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D:\PointCloudCompresstion\RefSw\MPEG_git\mpeg-pcc-tmc2\test\results_F32\"/>
    </mc:Choice>
  </mc:AlternateContent>
  <bookViews>
    <workbookView xWindow="0" yWindow="0" windowWidth="28800" windowHeight="12435" tabRatio="916" activeTab="9"/>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8"/>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workbook>
</file>

<file path=xl/calcChain.xml><?xml version="1.0" encoding="utf-8"?>
<calcChain xmlns="http://schemas.openxmlformats.org/spreadsheetml/2006/main">
  <c r="AA39" i="23" l="1"/>
  <c r="Z39" i="23"/>
  <c r="Q39" i="23"/>
  <c r="P39" i="23"/>
  <c r="AA37" i="23"/>
  <c r="Z37" i="23"/>
  <c r="Q37" i="23"/>
  <c r="AA38" i="23" s="1"/>
  <c r="P37" i="23"/>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L8" i="20"/>
  <c r="K8" i="20"/>
  <c r="P6" i="20"/>
  <c r="O6" i="20"/>
  <c r="N6" i="20"/>
  <c r="H6" i="20"/>
  <c r="G6" i="20"/>
  <c r="F6" i="20"/>
  <c r="P5" i="20"/>
  <c r="O5" i="20"/>
  <c r="N5" i="20"/>
  <c r="H5" i="20"/>
  <c r="G5" i="20"/>
  <c r="F5" i="20"/>
  <c r="P4" i="20"/>
  <c r="O4" i="20"/>
  <c r="V4" i="20" s="1"/>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AA23" i="17"/>
  <c r="AA24" i="17" s="1"/>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K9" i="10" s="1"/>
  <c r="N9" i="10"/>
  <c r="M9" i="10"/>
  <c r="L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H25" i="9" s="1"/>
  <c r="AK25" i="9"/>
  <c r="AJ25" i="9"/>
  <c r="AI25" i="9"/>
  <c r="AG25" i="9"/>
  <c r="AF25" i="9"/>
  <c r="BC25" i="9"/>
  <c r="K25" i="9" s="1"/>
  <c r="N25" i="9"/>
  <c r="M25" i="9"/>
  <c r="L25" i="9"/>
  <c r="J25" i="9"/>
  <c r="I25" i="9"/>
  <c r="BE24" i="9"/>
  <c r="BD24" i="9"/>
  <c r="AH24" i="9" s="1"/>
  <c r="AK24" i="9"/>
  <c r="AJ24" i="9"/>
  <c r="AI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H14" i="9" s="1"/>
  <c r="AK14" i="9"/>
  <c r="AJ14" i="9"/>
  <c r="AI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s="1"/>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s="1"/>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s="1"/>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s="1"/>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M45" i="3"/>
  <c r="AB40" i="3" a="1"/>
  <c r="AB40" i="3" s="1"/>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s="1"/>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s="1"/>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s="1"/>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s="1"/>
  <c r="AA4" i="3"/>
  <c r="S4" i="3"/>
  <c r="R4" i="3"/>
  <c r="Q4" i="3"/>
  <c r="P4" i="3"/>
  <c r="I4" i="3"/>
  <c r="H4" i="3"/>
  <c r="G4" i="3"/>
  <c r="F4" i="3"/>
  <c r="BK19" i="10"/>
  <c r="BS19" i="10"/>
  <c r="BQ19" i="10"/>
  <c r="BI19" i="9"/>
  <c r="BL19" i="9"/>
  <c r="BI19" i="10"/>
  <c r="BP19" i="10"/>
  <c r="BL19" i="10"/>
  <c r="BP19" i="9"/>
  <c r="BJ19" i="9"/>
  <c r="BR19" i="9"/>
  <c r="BJ19" i="10"/>
  <c r="BO19" i="10"/>
  <c r="BQ19" i="9"/>
  <c r="BS19" i="9"/>
  <c r="BO19" i="9"/>
  <c r="BR19" i="10"/>
  <c r="BM19" i="10"/>
  <c r="BK19" i="9"/>
  <c r="BM19" i="9"/>
  <c r="V5" i="20" l="1"/>
  <c r="AD23" i="22"/>
  <c r="C166" i="1" s="1"/>
  <c r="Z38" i="23"/>
  <c r="Z8" i="13"/>
  <c r="W74" i="5"/>
  <c r="C23" i="1" s="1"/>
  <c r="AA24" i="15"/>
  <c r="AS233" i="6"/>
  <c r="C33" i="1" s="1"/>
  <c r="BB6" i="12"/>
  <c r="AH5" i="11"/>
  <c r="AD13" i="7"/>
  <c r="AC26" i="18"/>
  <c r="C137" i="1" s="1"/>
  <c r="X46" i="3"/>
  <c r="S9" i="20"/>
  <c r="AF13" i="7"/>
  <c r="AG30" i="9"/>
  <c r="AW15" i="12"/>
  <c r="C89" i="1" s="1"/>
  <c r="J12" i="13"/>
  <c r="BD6" i="8" a="1"/>
  <c r="BD6" i="8" s="1"/>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H10" i="11" s="1"/>
  <c r="C77" i="1" s="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T36" i="23"/>
  <c r="T35" i="23"/>
  <c r="W11" i="11"/>
  <c r="BB5" i="12"/>
  <c r="U22" i="18"/>
  <c r="S11" i="21"/>
  <c r="Z11" i="21" s="1"/>
  <c r="C157" i="1" s="1"/>
  <c r="Z7" i="21"/>
  <c r="T34" i="23"/>
  <c r="Z31" i="3"/>
  <c r="Z35" i="3"/>
  <c r="Z39" i="3"/>
  <c r="Q42" i="3"/>
  <c r="AV226" i="6"/>
  <c r="AV229" i="6"/>
  <c r="AB227" i="6"/>
  <c r="H227" i="6"/>
  <c r="AH6" i="7"/>
  <c r="AH7" i="7"/>
  <c r="J11" i="8"/>
  <c r="J9" i="8"/>
  <c r="BB4" i="8"/>
  <c r="AF11" i="8"/>
  <c r="BB6" i="8"/>
  <c r="BC7" i="8"/>
  <c r="BF22" i="9"/>
  <c r="BG4" i="10" a="1"/>
  <c r="BG4" i="10"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X16" i="13"/>
  <c r="C100" i="1" s="1"/>
  <c r="T22" i="17"/>
  <c r="J31" i="10"/>
  <c r="AG30" i="10"/>
  <c r="BC4" i="12"/>
  <c r="BC8" i="12"/>
  <c r="U22" i="19"/>
  <c r="Z8" i="21"/>
  <c r="V7" i="20" l="1"/>
  <c r="C149" i="1" s="1"/>
  <c r="Z44" i="3"/>
  <c r="C12" i="1" s="1"/>
  <c r="BD11" i="12"/>
  <c r="Z42" i="3"/>
  <c r="C10" i="1" s="1"/>
  <c r="AH11" i="7"/>
  <c r="C42" i="1" s="1"/>
  <c r="BG31" i="9"/>
  <c r="Z11" i="13"/>
  <c r="C97" i="1" s="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c r="AZ166" i="6"/>
  <c r="BA130" i="6"/>
  <c r="BJ136" i="6"/>
  <c r="AG16" i="18"/>
  <c r="BA40" i="6"/>
  <c r="Z4" i="5"/>
  <c r="AA28" i="5"/>
  <c r="BA4" i="6"/>
  <c r="AZ154" i="6"/>
  <c r="BH124" i="6"/>
  <c r="BF64" i="6"/>
  <c r="AC4" i="17"/>
  <c r="BH112" i="6"/>
  <c r="AY58" i="6"/>
  <c r="BE172" i="6"/>
  <c r="BD160" i="6"/>
  <c r="BJ112" i="6"/>
  <c r="AY196" i="6"/>
  <c r="Z60" i="5"/>
  <c r="AA24" i="5"/>
  <c r="BH76" i="6"/>
  <c r="BD202" i="6"/>
  <c r="AZ112" i="6"/>
  <c r="BD148" i="6"/>
  <c r="BH208" i="6"/>
  <c r="BF70" i="6"/>
  <c r="BA10" i="6"/>
  <c r="Y64" i="5"/>
  <c r="AY94" i="6"/>
  <c r="BD124" i="6"/>
  <c r="Y8" i="5"/>
  <c r="AX178" i="6"/>
  <c r="BF202" i="6"/>
  <c r="BE118" i="6"/>
  <c r="BJ82" i="6"/>
  <c r="AY118" i="6"/>
  <c r="BA52" i="6"/>
  <c r="BJ34" i="6"/>
  <c r="BF106" i="6"/>
  <c r="AY46" i="6"/>
  <c r="AY34" i="6"/>
  <c r="BI76" i="6"/>
  <c r="AE10" i="15"/>
  <c r="BI94" i="6"/>
  <c r="Y60" i="5"/>
  <c r="BJ4" i="6"/>
  <c r="AH9" i="22"/>
  <c r="AY16" i="6"/>
  <c r="BI178" i="6"/>
  <c r="BI88" i="6"/>
  <c r="BH16" i="6"/>
  <c r="AC10" i="15"/>
  <c r="AE16" i="18"/>
  <c r="AY112" i="6"/>
  <c r="BB214" i="6"/>
  <c r="BH58" i="6"/>
  <c r="BF178" i="6"/>
  <c r="BB136" i="6"/>
  <c r="AA40" i="5"/>
  <c r="AN10" i="14"/>
  <c r="Z44" i="5"/>
  <c r="AE14" i="23"/>
  <c r="BB190" i="6"/>
  <c r="AX166" i="6"/>
  <c r="BI28" i="6"/>
  <c r="BF88" i="6"/>
  <c r="AY208" i="6"/>
  <c r="AY124" i="6"/>
  <c r="AX148" i="6"/>
  <c r="AZ46" i="6"/>
  <c r="AX220" i="6"/>
  <c r="AZ82" i="6"/>
  <c r="BE46" i="6"/>
  <c r="BJ28" i="6"/>
  <c r="AX16" i="6"/>
  <c r="BH88" i="6"/>
  <c r="BJ106" i="6"/>
  <c r="AX52" i="6"/>
  <c r="BJ208" i="6"/>
  <c r="BB28" i="6"/>
  <c r="BB106" i="6"/>
  <c r="BD172" i="6"/>
  <c r="BH4" i="6"/>
  <c r="BE40" i="6"/>
  <c r="BE148" i="6"/>
  <c r="BB64" i="6"/>
  <c r="BJ184" i="6"/>
  <c r="AI4" i="22"/>
  <c r="AM4" i="14"/>
  <c r="AM4" i="22"/>
  <c r="BB112" i="6"/>
  <c r="BF76" i="6"/>
  <c r="AC22" i="16"/>
  <c r="AY22" i="6"/>
  <c r="BF166" i="6"/>
  <c r="BD70" i="6"/>
  <c r="Z52" i="5"/>
  <c r="AD16" i="17"/>
  <c r="BF22" i="6"/>
  <c r="AY166" i="6"/>
  <c r="BJ190" i="6"/>
  <c r="BH40" i="6"/>
  <c r="AY148" i="6"/>
  <c r="BA16" i="6"/>
  <c r="AF16" i="19"/>
  <c r="BJ124" i="6"/>
  <c r="BH190" i="6"/>
  <c r="AD34" i="16"/>
  <c r="AZ124" i="6"/>
  <c r="BI136" i="6"/>
  <c r="AZ196" i="6"/>
  <c r="AM9" i="22"/>
  <c r="Z48" i="5"/>
  <c r="AA4" i="5"/>
  <c r="AD28" i="16"/>
  <c r="BI22" i="6"/>
  <c r="BD40" i="6"/>
  <c r="BH34" i="6"/>
  <c r="Y52" i="5"/>
  <c r="BB160" i="6"/>
  <c r="AJ10" i="14"/>
  <c r="AF10" i="19"/>
  <c r="AE16" i="19"/>
  <c r="BD112" i="6"/>
  <c r="AN16" i="14"/>
  <c r="AC4" i="16"/>
  <c r="BJ76" i="6"/>
  <c r="Y36" i="5"/>
  <c r="AD4" i="16"/>
  <c r="AZ214" i="6"/>
  <c r="AJ4" i="14"/>
  <c r="AK4" i="14"/>
  <c r="AX64" i="6"/>
  <c r="AH14" i="22"/>
  <c r="BH142" i="6"/>
  <c r="AK10" i="14"/>
  <c r="BE214" i="6"/>
  <c r="BF184" i="6"/>
  <c r="BD64" i="6"/>
  <c r="Z56" i="5"/>
  <c r="BF58" i="6"/>
  <c r="AX190" i="6"/>
  <c r="BH136" i="6"/>
  <c r="AX202" i="6"/>
  <c r="AX214" i="6"/>
  <c r="BF160" i="6"/>
  <c r="AX172" i="6"/>
  <c r="AX154" i="6"/>
  <c r="AZ16" i="6"/>
  <c r="AX118" i="6"/>
  <c r="AZ160" i="6"/>
  <c r="BJ10" i="6"/>
  <c r="AI10" i="14"/>
  <c r="BE124" i="6"/>
  <c r="BD220" i="6"/>
  <c r="BE4" i="6"/>
  <c r="BB196" i="6"/>
  <c r="BE100" i="6"/>
  <c r="BF16" i="6"/>
  <c r="BI220" i="6"/>
  <c r="BH94" i="6"/>
  <c r="AZ28" i="6"/>
  <c r="AX70" i="6"/>
  <c r="BA46" i="6"/>
  <c r="AA52" i="5"/>
  <c r="BB118" i="6"/>
  <c r="BI190" i="6"/>
  <c r="AY202" i="6"/>
  <c r="AY172" i="6"/>
  <c r="BB40" i="6"/>
  <c r="AE4" i="23"/>
  <c r="BE184" i="6"/>
  <c r="BE112" i="6"/>
  <c r="AK9" i="22"/>
  <c r="BE154" i="6"/>
  <c r="AY184" i="6"/>
  <c r="AX112" i="6"/>
  <c r="Y16" i="5"/>
  <c r="BA208" i="6"/>
  <c r="AX100" i="6"/>
  <c r="BH154" i="6"/>
  <c r="AN4" i="14"/>
  <c r="BF148" i="6"/>
  <c r="BI196" i="6"/>
  <c r="BB184" i="6"/>
  <c r="AC24" i="23"/>
  <c r="AX46" i="6"/>
  <c r="BE76" i="6"/>
  <c r="BD88" i="6"/>
  <c r="AY88" i="6"/>
  <c r="BF82" i="6"/>
  <c r="BI70" i="6"/>
  <c r="BJ148" i="6"/>
  <c r="BH196" i="6"/>
  <c r="AZ202" i="6"/>
  <c r="AZ178" i="6"/>
  <c r="BJ52" i="6"/>
  <c r="AA48" i="5"/>
  <c r="Z16" i="5"/>
  <c r="BD178" i="6"/>
  <c r="BB178" i="6"/>
  <c r="BF154" i="6"/>
  <c r="BB166" i="6"/>
  <c r="BI64" i="6"/>
  <c r="AY130" i="6"/>
  <c r="BA214" i="6"/>
  <c r="BI130" i="6"/>
  <c r="AZ22" i="6"/>
  <c r="BB142" i="6"/>
  <c r="BJ214" i="6"/>
  <c r="BI172" i="6"/>
  <c r="AA56" i="5"/>
  <c r="BA70" i="6"/>
  <c r="BE58" i="6"/>
  <c r="AA20" i="5"/>
  <c r="AX22" i="6"/>
  <c r="BD34" i="6"/>
  <c r="BI4" i="6"/>
  <c r="BE190" i="6"/>
  <c r="AD4" i="17"/>
  <c r="BF4" i="6"/>
  <c r="BB82" i="6"/>
  <c r="AE19" i="23"/>
  <c r="AA12" i="5"/>
  <c r="BB16" i="6"/>
  <c r="AA60" i="5"/>
  <c r="AF4" i="18"/>
  <c r="BE34" i="6"/>
  <c r="AY64" i="6"/>
  <c r="BA88" i="6"/>
  <c r="AZ76" i="6"/>
  <c r="AO16" i="14"/>
  <c r="BD184" i="6"/>
  <c r="BD46" i="6"/>
  <c r="AC16" i="15"/>
  <c r="AC14" i="23"/>
  <c r="AX106" i="6"/>
  <c r="AC10" i="17"/>
  <c r="BA160" i="6"/>
  <c r="BE196" i="6"/>
  <c r="BD136" i="6"/>
  <c r="AI4" i="14"/>
  <c r="BI82" i="6"/>
  <c r="BF52" i="6"/>
  <c r="AG10" i="19"/>
  <c r="BH214" i="6"/>
  <c r="AA44" i="5"/>
  <c r="AY4" i="6"/>
  <c r="AC29" i="23"/>
  <c r="BF172" i="6"/>
  <c r="AY190" i="6"/>
  <c r="AG4" i="18"/>
  <c r="AZ184" i="6"/>
  <c r="AZ106" i="6"/>
  <c r="BF94" i="6"/>
  <c r="AY178" i="6"/>
  <c r="BH52" i="6"/>
  <c r="BA22" i="6"/>
  <c r="BD166" i="6"/>
  <c r="BB22" i="6"/>
  <c r="AA16" i="5"/>
  <c r="AC4" i="23"/>
  <c r="AI14" i="22"/>
  <c r="AX40" i="6"/>
  <c r="AE10" i="19"/>
  <c r="BJ154" i="6"/>
  <c r="BI202" i="6"/>
  <c r="AZ70" i="6"/>
  <c r="BA148" i="6"/>
  <c r="AJ16" i="14"/>
  <c r="AO4" i="14"/>
  <c r="BA106" i="6"/>
  <c r="BE160" i="6"/>
  <c r="BF112" i="6"/>
  <c r="BJ196" i="6"/>
  <c r="BH64" i="6"/>
  <c r="Z36" i="5"/>
  <c r="BA166" i="6"/>
  <c r="BB58" i="6"/>
  <c r="BF196" i="6"/>
  <c r="BH46" i="6"/>
  <c r="Y44" i="5"/>
  <c r="BJ70" i="6"/>
  <c r="BF10" i="6"/>
  <c r="BA196" i="6"/>
  <c r="BE70" i="6"/>
  <c r="AC10" i="16"/>
  <c r="AE4" i="19"/>
  <c r="AY76" i="6"/>
  <c r="BI148" i="6"/>
  <c r="BF136" i="6"/>
  <c r="BB220" i="6"/>
  <c r="AL14" i="22"/>
  <c r="AX130" i="6"/>
  <c r="BI124" i="6"/>
  <c r="BJ58" i="6"/>
  <c r="AL4" i="22"/>
  <c r="BJ100" i="6"/>
  <c r="BI166" i="6"/>
  <c r="BD76" i="6"/>
  <c r="BA172" i="6"/>
  <c r="BD154" i="6"/>
  <c r="BI106" i="6"/>
  <c r="BH10" i="6"/>
  <c r="AY154" i="6"/>
  <c r="AX76" i="6"/>
  <c r="BE28" i="6"/>
  <c r="AO10" i="14"/>
  <c r="AC34" i="16"/>
  <c r="BE142" i="6"/>
  <c r="AZ64" i="6"/>
  <c r="BD22" i="6"/>
  <c r="AZ220" i="6"/>
  <c r="AX82" i="6"/>
  <c r="BE208" i="6"/>
  <c r="AC16" i="17"/>
  <c r="BJ142" i="6"/>
  <c r="AE4" i="18"/>
  <c r="BE166" i="6"/>
  <c r="AZ52" i="6"/>
  <c r="AX4" i="6"/>
  <c r="BD190" i="6"/>
  <c r="BD130" i="6"/>
  <c r="BJ94" i="6"/>
  <c r="BA124" i="6"/>
  <c r="BJ172" i="6"/>
  <c r="BI46" i="6"/>
  <c r="BE88" i="6"/>
  <c r="AZ172" i="6"/>
  <c r="Y4" i="5"/>
  <c r="BB4" i="6"/>
  <c r="BA220" i="6"/>
  <c r="BH70" i="6"/>
  <c r="BI184" i="6"/>
  <c r="Z28" i="5"/>
  <c r="AX28" i="6"/>
  <c r="BB52" i="6"/>
  <c r="AZ142" i="6"/>
  <c r="AI16" i="14"/>
  <c r="BF220" i="6"/>
  <c r="BA202" i="6"/>
  <c r="AY142" i="6"/>
  <c r="AF4" i="19"/>
  <c r="Y40" i="5"/>
  <c r="AZ148" i="6"/>
  <c r="BB94" i="6"/>
  <c r="BI214" i="6"/>
  <c r="BE52" i="6"/>
  <c r="BH166" i="6"/>
  <c r="BH130" i="6"/>
  <c r="AG10" i="18"/>
  <c r="BD142" i="6"/>
  <c r="AY220" i="6"/>
  <c r="Y12" i="5"/>
  <c r="BA94" i="6"/>
  <c r="BH28" i="6"/>
  <c r="AL9" i="22"/>
  <c r="Y32" i="5"/>
  <c r="BD106" i="6"/>
  <c r="AX58" i="6"/>
  <c r="BI118" i="6"/>
  <c r="AG4" i="19"/>
  <c r="BA118" i="6"/>
  <c r="BQ9" i="10"/>
  <c r="BS14" i="10"/>
  <c r="BJ14" i="10"/>
  <c r="BR9" i="10"/>
  <c r="BO9" i="10"/>
  <c r="BO14" i="9"/>
  <c r="BI24" i="9"/>
  <c r="BK14" i="9"/>
  <c r="BR24" i="9"/>
  <c r="BS24" i="9"/>
  <c r="BJ24" i="10"/>
  <c r="BK24" i="10"/>
  <c r="BO24" i="10"/>
  <c r="BQ4" i="10"/>
  <c r="BP4" i="10"/>
  <c r="BP9" i="9"/>
  <c r="BO9" i="9"/>
  <c r="BM9" i="9"/>
  <c r="BS4" i="9"/>
  <c r="BK4" i="9"/>
  <c r="BF40" i="6"/>
  <c r="AZ10" i="6"/>
  <c r="BF100" i="6"/>
  <c r="BA136" i="6"/>
  <c r="BH202" i="6"/>
  <c r="AZ4" i="6"/>
  <c r="BH178" i="6"/>
  <c r="BD58" i="6"/>
  <c r="BF130" i="6"/>
  <c r="AF10" i="18"/>
  <c r="BI34" i="6"/>
  <c r="Y24" i="5"/>
  <c r="BI16" i="6"/>
  <c r="AZ190" i="6"/>
  <c r="BD214" i="6"/>
  <c r="BI58" i="6"/>
  <c r="BJ220" i="6"/>
  <c r="AZ130" i="6"/>
  <c r="BF214" i="6"/>
  <c r="BD16" i="6"/>
  <c r="Z8" i="5"/>
  <c r="AC19" i="23"/>
  <c r="BB124" i="6"/>
  <c r="BJ22" i="6"/>
  <c r="AX10" i="6"/>
  <c r="BB70" i="6"/>
  <c r="BI14" i="10"/>
  <c r="BP9" i="10"/>
  <c r="BL24" i="9"/>
  <c r="BQ24" i="9"/>
  <c r="BI24" i="10"/>
  <c r="BK9" i="9"/>
  <c r="BL4" i="9"/>
  <c r="BF34" i="6"/>
  <c r="BB202" i="6"/>
  <c r="BJ118" i="6"/>
  <c r="AX160" i="6"/>
  <c r="Y20" i="5"/>
  <c r="BB172" i="6"/>
  <c r="BH172" i="6"/>
  <c r="AZ88" i="6"/>
  <c r="Z64" i="5"/>
  <c r="BH118" i="6"/>
  <c r="AK14" i="22"/>
  <c r="BI160" i="6"/>
  <c r="AZ58" i="6"/>
  <c r="BI40" i="6"/>
  <c r="AM14" i="22"/>
  <c r="BA82" i="6"/>
  <c r="BD196" i="6"/>
  <c r="BJ166" i="6"/>
  <c r="AE9" i="23"/>
  <c r="BA190" i="6"/>
  <c r="BI52" i="6"/>
  <c r="BA100" i="6"/>
  <c r="AY82" i="6"/>
  <c r="AC16" i="16"/>
  <c r="BF190" i="6"/>
  <c r="BB154" i="6"/>
  <c r="AE4" i="15"/>
  <c r="BA28" i="6"/>
  <c r="BJ46" i="6"/>
  <c r="BE10" i="6"/>
  <c r="BI112" i="6"/>
  <c r="BE130" i="6"/>
  <c r="AE29" i="23"/>
  <c r="BI10" i="6"/>
  <c r="BJ160" i="6"/>
  <c r="Z12" i="5"/>
  <c r="BA76" i="6"/>
  <c r="AY160" i="6"/>
  <c r="BH160" i="6"/>
  <c r="AE24" i="23"/>
  <c r="BF118" i="6"/>
  <c r="BB88" i="6"/>
  <c r="AM16" i="14"/>
  <c r="AH4" i="22"/>
  <c r="BI208" i="6"/>
  <c r="BD28" i="6"/>
  <c r="BB76" i="6"/>
  <c r="AX142" i="6"/>
  <c r="BA58" i="6"/>
  <c r="AF16" i="18"/>
  <c r="AY40" i="6"/>
  <c r="BH184" i="6"/>
  <c r="AY100" i="6"/>
  <c r="AK16" i="14"/>
  <c r="BJ40" i="6"/>
  <c r="BI154" i="6"/>
  <c r="AC28" i="16"/>
  <c r="BD52" i="6"/>
  <c r="AC4" i="15"/>
  <c r="AX184" i="6"/>
  <c r="BP14" i="10"/>
  <c r="BL14" i="10"/>
  <c r="BK9" i="10"/>
  <c r="BI9" i="10"/>
  <c r="BR14" i="10"/>
  <c r="BO24" i="9"/>
  <c r="BP14" i="9"/>
  <c r="BK24" i="9"/>
  <c r="BI14" i="9"/>
  <c r="BS14" i="9"/>
  <c r="BL24" i="10"/>
  <c r="BP24" i="10"/>
  <c r="BR4" i="10"/>
  <c r="BK4" i="10"/>
  <c r="BM4" i="10"/>
  <c r="BJ9" i="9"/>
  <c r="BS9" i="9"/>
  <c r="BP4" i="9"/>
  <c r="BI4" i="9"/>
  <c r="BO4" i="9"/>
  <c r="AY106" i="6"/>
  <c r="BF142" i="6"/>
  <c r="AA64" i="5"/>
  <c r="AZ34" i="6"/>
  <c r="Z20" i="5"/>
  <c r="BD10" i="6"/>
  <c r="AK4" i="22"/>
  <c r="AZ118" i="6"/>
  <c r="BE22" i="6"/>
  <c r="BB208" i="6"/>
  <c r="Y56" i="5"/>
  <c r="BE82" i="6"/>
  <c r="AY136" i="6"/>
  <c r="AD10" i="17"/>
  <c r="BH82" i="6"/>
  <c r="AA8" i="5"/>
  <c r="AA36" i="5"/>
  <c r="BJ202" i="6"/>
  <c r="BA178" i="6"/>
  <c r="BJ16" i="6"/>
  <c r="BD4" i="6"/>
  <c r="BJ130" i="6"/>
  <c r="AY214" i="6"/>
  <c r="Z40" i="5"/>
  <c r="BD100" i="6"/>
  <c r="BE64" i="6"/>
  <c r="Z32" i="5"/>
  <c r="AG9" i="22"/>
  <c r="BB148" i="6"/>
  <c r="BF28" i="6"/>
  <c r="AX124" i="6"/>
  <c r="Y28" i="5"/>
  <c r="BF46" i="6"/>
  <c r="AX196" i="6"/>
  <c r="BA142" i="6"/>
  <c r="Y48" i="5"/>
  <c r="BB100" i="6"/>
  <c r="BB46" i="6"/>
  <c r="AA32" i="5"/>
  <c r="AX136" i="6"/>
  <c r="AE16" i="15"/>
  <c r="AM10" i="14"/>
  <c r="AY28" i="6"/>
  <c r="BE220" i="6"/>
  <c r="Z24" i="5"/>
  <c r="BD94" i="6"/>
  <c r="AX94" i="6"/>
  <c r="AZ136" i="6"/>
  <c r="AY52" i="6"/>
  <c r="AX208" i="6"/>
  <c r="BB10" i="6"/>
  <c r="AG4" i="22"/>
  <c r="AG16" i="19"/>
  <c r="BJ88" i="6"/>
  <c r="AZ94" i="6"/>
  <c r="BH100" i="6"/>
  <c r="BF208" i="6"/>
  <c r="BF124" i="6"/>
  <c r="AD22" i="16"/>
  <c r="AD16" i="16"/>
  <c r="AC9" i="23"/>
  <c r="BQ14" i="10"/>
  <c r="BJ9" i="10"/>
  <c r="BM9" i="10"/>
  <c r="BK14" i="10"/>
  <c r="BO14" i="10"/>
  <c r="BM24" i="9"/>
  <c r="BM14" i="9"/>
  <c r="BJ14" i="9"/>
  <c r="BQ14" i="9"/>
  <c r="BJ24" i="9"/>
  <c r="BM24" i="10"/>
  <c r="BQ24" i="10"/>
  <c r="BS4" i="10"/>
  <c r="BJ4" i="10"/>
  <c r="BL4" i="10"/>
  <c r="BL9" i="9"/>
  <c r="BQ9" i="9"/>
  <c r="BQ4" i="9"/>
  <c r="BR4" i="9"/>
  <c r="BM4" i="9"/>
  <c r="AD10" i="16"/>
  <c r="BH22" i="6"/>
  <c r="AX34" i="6"/>
  <c r="BE202" i="6"/>
  <c r="BI100" i="6"/>
  <c r="BD208" i="6"/>
  <c r="BD118" i="6"/>
  <c r="AY10" i="6"/>
  <c r="BA112" i="6"/>
  <c r="BA64" i="6"/>
  <c r="AZ40" i="6"/>
  <c r="BA34" i="6"/>
  <c r="BH148" i="6"/>
  <c r="BE136" i="6"/>
  <c r="AZ208" i="6"/>
  <c r="BH220" i="6"/>
  <c r="AI9" i="22"/>
  <c r="BA154" i="6"/>
  <c r="BE94" i="6"/>
  <c r="BB130" i="6"/>
  <c r="AE10" i="18"/>
  <c r="BB34" i="6"/>
  <c r="BJ64" i="6"/>
  <c r="BE178" i="6"/>
  <c r="BA184" i="6"/>
  <c r="BE16" i="6"/>
  <c r="BI142" i="6"/>
  <c r="AY70" i="6"/>
  <c r="BD82" i="6"/>
  <c r="BH106" i="6"/>
  <c r="AZ100" i="6"/>
  <c r="BE106" i="6"/>
  <c r="BJ178" i="6"/>
  <c r="AX88" i="6"/>
  <c r="BL9" i="10"/>
  <c r="BS9" i="10"/>
  <c r="BM14" i="10"/>
  <c r="BL14" i="9"/>
  <c r="BR14" i="9"/>
  <c r="BP24" i="9"/>
  <c r="BR24" i="10"/>
  <c r="BS24" i="10"/>
  <c r="BI4" i="10"/>
  <c r="BO4" i="10"/>
  <c r="BI9" i="9"/>
  <c r="BR9" i="9"/>
  <c r="BJ4" i="9"/>
  <c r="BK29" i="9" l="1"/>
  <c r="E58" i="1" s="1"/>
  <c r="BK31" i="9"/>
  <c r="E60" i="1" s="1"/>
  <c r="BQ29" i="10"/>
  <c r="BQ31" i="10"/>
  <c r="AC22" i="15"/>
  <c r="C112" i="1" s="1"/>
  <c r="BI30" i="10"/>
  <c r="C68" i="1" s="1"/>
  <c r="AG22" i="19"/>
  <c r="E142" i="1" s="1"/>
  <c r="AD41" i="16"/>
  <c r="D120" i="1" s="1"/>
  <c r="BJ228" i="6"/>
  <c r="BF227" i="6"/>
  <c r="E29" i="1" s="1"/>
  <c r="AG19" i="22"/>
  <c r="BB227" i="6"/>
  <c r="BQ29" i="9"/>
  <c r="BQ31" i="9"/>
  <c r="BF229" i="6"/>
  <c r="E31" i="1" s="1"/>
  <c r="BF226" i="6"/>
  <c r="E28" i="1" s="1"/>
  <c r="AD22" i="17"/>
  <c r="D128" i="1" s="1"/>
  <c r="BI229" i="6"/>
  <c r="BI226" i="6"/>
  <c r="AC35" i="23"/>
  <c r="BL30" i="10"/>
  <c r="F68" i="1" s="1"/>
  <c r="BR30" i="10"/>
  <c r="AH19" i="22"/>
  <c r="BE228" i="6"/>
  <c r="D30" i="1" s="1"/>
  <c r="BJ30" i="9"/>
  <c r="D59" i="1" s="1"/>
  <c r="BI29" i="9"/>
  <c r="C58" i="1" s="1"/>
  <c r="BI31" i="9"/>
  <c r="C60" i="1" s="1"/>
  <c r="BL31" i="10"/>
  <c r="F69" i="1" s="1"/>
  <c r="BL29" i="10"/>
  <c r="F67" i="1" s="1"/>
  <c r="BO31" i="10"/>
  <c r="BO29" i="10"/>
  <c r="AF22" i="19"/>
  <c r="D142" i="1" s="1"/>
  <c r="BJ29" i="9"/>
  <c r="D58" i="1" s="1"/>
  <c r="BJ31" i="9"/>
  <c r="D60" i="1" s="1"/>
  <c r="BS29" i="9"/>
  <c r="BS31" i="9"/>
  <c r="Y69" i="5"/>
  <c r="C20" i="1" s="1"/>
  <c r="BB228" i="6"/>
  <c r="BM31" i="9"/>
  <c r="G60" i="1" s="1"/>
  <c r="BM29" i="9"/>
  <c r="G58" i="1" s="1"/>
  <c r="BD228" i="6"/>
  <c r="C30" i="1" s="1"/>
  <c r="BJ31" i="10"/>
  <c r="D69" i="1" s="1"/>
  <c r="BJ29" i="10"/>
  <c r="D67" i="1" s="1"/>
  <c r="AA69" i="5"/>
  <c r="E20" i="1" s="1"/>
  <c r="AZ228" i="6"/>
  <c r="BJ30" i="10"/>
  <c r="D68" i="1" s="1"/>
  <c r="BP31" i="9"/>
  <c r="BP29" i="9"/>
  <c r="BK30" i="10"/>
  <c r="E68" i="1" s="1"/>
  <c r="AX227" i="6"/>
  <c r="BB226" i="6"/>
  <c r="BB229" i="6"/>
  <c r="AE22" i="15"/>
  <c r="Y70" i="5"/>
  <c r="C21" i="1" s="1"/>
  <c r="Y68" i="5"/>
  <c r="C19" i="1" s="1"/>
  <c r="AC41" i="16"/>
  <c r="C120" i="1" s="1"/>
  <c r="BL30" i="9"/>
  <c r="F59" i="1" s="1"/>
  <c r="AM19" i="22"/>
  <c r="E165" i="1" s="1"/>
  <c r="AM22" i="14"/>
  <c r="BQ30" i="10"/>
  <c r="AI19" i="22"/>
  <c r="AN22" i="14"/>
  <c r="BK30" i="9"/>
  <c r="E59" i="1" s="1"/>
  <c r="BA227" i="6"/>
  <c r="BH229" i="6"/>
  <c r="BH226" i="6"/>
  <c r="BP31" i="10"/>
  <c r="BP29" i="10"/>
  <c r="BO30" i="10"/>
  <c r="BD226" i="6"/>
  <c r="C28" i="1" s="1"/>
  <c r="BD229" i="6"/>
  <c r="C31" i="1" s="1"/>
  <c r="AE34" i="23"/>
  <c r="C172" i="1" s="1"/>
  <c r="AE36" i="23"/>
  <c r="C174" i="1" s="1"/>
  <c r="AL19" i="22"/>
  <c r="D165" i="1" s="1"/>
  <c r="BM31" i="10"/>
  <c r="G69" i="1" s="1"/>
  <c r="BM29" i="10"/>
  <c r="G67" i="1" s="1"/>
  <c r="BI227" i="6"/>
  <c r="BI30" i="9"/>
  <c r="C59" i="1" s="1"/>
  <c r="BA228" i="6"/>
  <c r="AX226" i="6"/>
  <c r="AX229" i="6"/>
  <c r="BM30" i="9"/>
  <c r="G59" i="1" s="1"/>
  <c r="AY227" i="6"/>
  <c r="AE22" i="19"/>
  <c r="C142" i="1" s="1"/>
  <c r="BE229" i="6"/>
  <c r="D31" i="1" s="1"/>
  <c r="BE226" i="6"/>
  <c r="D28" i="1" s="1"/>
  <c r="BE227" i="6"/>
  <c r="D29" i="1" s="1"/>
  <c r="BO29" i="9"/>
  <c r="BO31" i="9"/>
  <c r="AE22" i="18"/>
  <c r="C135" i="1" s="1"/>
  <c r="BF228" i="6"/>
  <c r="E30" i="1" s="1"/>
  <c r="BK31" i="10"/>
  <c r="E69" i="1" s="1"/>
  <c r="BK29" i="10"/>
  <c r="E67" i="1" s="1"/>
  <c r="BI228" i="6"/>
  <c r="AO22" i="14"/>
  <c r="BJ229" i="6"/>
  <c r="BJ226" i="6"/>
  <c r="BO30" i="9"/>
  <c r="BP30" i="9"/>
  <c r="AC34" i="23"/>
  <c r="AC36" i="23"/>
  <c r="BR30" i="9"/>
  <c r="AK22" i="14"/>
  <c r="E105" i="1" s="1"/>
  <c r="AJ22" i="14"/>
  <c r="D105" i="1" s="1"/>
  <c r="BH228" i="6"/>
  <c r="AY228" i="6"/>
  <c r="AD40" i="16"/>
  <c r="D119" i="1" s="1"/>
  <c r="AD42" i="16"/>
  <c r="D121" i="1" s="1"/>
  <c r="AX228" i="6"/>
  <c r="AC40" i="16"/>
  <c r="C119" i="1" s="1"/>
  <c r="AC42" i="16"/>
  <c r="C121" i="1" s="1"/>
  <c r="BD227" i="6"/>
  <c r="C29" i="1" s="1"/>
  <c r="AG22" i="18"/>
  <c r="E135" i="1" s="1"/>
  <c r="BP30" i="10"/>
  <c r="BS29" i="10"/>
  <c r="BS31" i="10"/>
  <c r="BI29" i="10"/>
  <c r="C67" i="1" s="1"/>
  <c r="BI31" i="10"/>
  <c r="C69" i="1" s="1"/>
  <c r="BQ30" i="9"/>
  <c r="AZ226" i="6"/>
  <c r="AZ229" i="6"/>
  <c r="AY226" i="6"/>
  <c r="AY229" i="6"/>
  <c r="BR29" i="10"/>
  <c r="BR31" i="10"/>
  <c r="AK19" i="22"/>
  <c r="C165" i="1" s="1"/>
  <c r="AI22" i="14"/>
  <c r="C105" i="1" s="1"/>
  <c r="AA70" i="5"/>
  <c r="E21" i="1" s="1"/>
  <c r="AA68" i="5"/>
  <c r="E19" i="1" s="1"/>
  <c r="Z69" i="5"/>
  <c r="D20" i="1" s="1"/>
  <c r="BM30" i="10"/>
  <c r="G68" i="1" s="1"/>
  <c r="BL29" i="9"/>
  <c r="F58" i="1" s="1"/>
  <c r="BL31" i="9"/>
  <c r="F60" i="1" s="1"/>
  <c r="AZ227" i="6"/>
  <c r="BS30" i="10"/>
  <c r="BR29" i="9"/>
  <c r="BR31" i="9"/>
  <c r="AC22" i="17"/>
  <c r="C128" i="1" s="1"/>
  <c r="BJ227" i="6"/>
  <c r="BH227" i="6"/>
  <c r="BA226" i="6"/>
  <c r="BA229" i="6"/>
  <c r="BS30" i="9"/>
  <c r="Z68" i="5"/>
  <c r="D19" i="1" s="1"/>
  <c r="Z70" i="5"/>
  <c r="D21" i="1" s="1"/>
  <c r="AF22" i="18"/>
  <c r="D135" i="1" s="1"/>
  <c r="AE35" i="23"/>
  <c r="C173" i="1" s="1"/>
</calcChain>
</file>

<file path=xl/sharedStrings.xml><?xml version="1.0" encoding="utf-8"?>
<sst xmlns="http://schemas.openxmlformats.org/spreadsheetml/2006/main" count="3724" uniqueCount="1481">
  <si>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</si>
  <si>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</si>
  <si>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</si>
  <si>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</si>
  <si>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</si>
  <si>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</si>
  <si>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</si>
  <si>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</si>
  <si>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</si>
  <si>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</si>
  <si>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</si>
  <si>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</si>
  <si>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</si>
  <si>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</si>
  <si>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</si>
  <si>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</si>
  <si>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</si>
  <si>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</si>
  <si>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</si>
  <si>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</si>
  <si>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</si>
  <si>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</si>
  <si>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</si>
  <si>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</si>
  <si>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</si>
  <si>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</si>
  <si>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</si>
  <si>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</si>
  <si>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</si>
  <si>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</si>
  <si>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</si>
  <si>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</si>
  <si>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</si>
  <si>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</si>
  <si>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</si>
  <si>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</si>
  <si>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</si>
  <si>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</si>
  <si>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</si>
  <si>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</si>
  <si>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</si>
  <si>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</si>
  <si>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</si>
  <si>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</si>
  <si>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</si>
  <si>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</si>
  <si>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</si>
  <si>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</si>
  <si>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</si>
  <si>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</si>
  <si>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</si>
  <si>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</si>
  <si>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</si>
  <si>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</si>
  <si>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</si>
  <si>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</si>
  <si>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</si>
  <si>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</si>
  <si>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</si>
  <si>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</si>
  <si>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</si>
  <si>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</si>
  <si>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</si>
  <si>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</si>
  <si>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</si>
  <si>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</si>
  <si>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</si>
  <si>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</si>
  <si>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</si>
  <si>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</si>
  <si>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</si>
  <si>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</si>
  <si>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</si>
  <si>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</si>
  <si>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</si>
  <si>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</si>
  <si>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</si>
  <si>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</si>
  <si>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</si>
  <si>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</si>
  <si>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</si>
  <si>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</si>
  <si>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</si>
  <si>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</si>
  <si>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</si>
  <si>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</si>
  <si>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</si>
  <si>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</si>
  <si>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</si>
  <si>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</si>
  <si>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</si>
  <si>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</si>
  <si>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</si>
  <si>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</si>
  <si>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</si>
  <si>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</si>
  <si>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</si>
  <si>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</si>
  <si>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</si>
  <si>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</si>
  <si>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</si>
  <si>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</si>
  <si>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</si>
  <si>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</si>
  <si>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</si>
  <si>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</si>
  <si>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</si>
  <si>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</si>
  <si>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</si>
  <si>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</si>
  <si>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</si>
  <si>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</si>
  <si>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</si>
  <si>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</si>
  <si>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</si>
  <si>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</si>
  <si>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</si>
  <si>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</si>
  <si>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</si>
  <si>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</si>
  <si>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</si>
  <si>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</si>
  <si>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</si>
  <si>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</si>
  <si>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</si>
  <si>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</si>
  <si>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</si>
  <si>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</si>
  <si>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</si>
  <si>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</si>
  <si>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</si>
  <si>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</si>
  <si>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</si>
  <si>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</si>
  <si>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</si>
  <si>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</si>
  <si>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</si>
  <si>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</si>
  <si>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</si>
  <si>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</si>
  <si>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</si>
  <si>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</si>
  <si>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</si>
  <si>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</si>
  <si>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</si>
  <si>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</si>
  <si>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</si>
  <si>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</si>
  <si>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</si>
  <si>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</si>
  <si>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</si>
  <si>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</si>
  <si>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</si>
  <si>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</si>
  <si>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</si>
  <si>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</si>
  <si>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</si>
  <si>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</si>
  <si>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</si>
  <si>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</si>
  <si>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</si>
  <si>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</si>
  <si>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</si>
  <si>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</si>
  <si>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</si>
  <si>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</si>
  <si>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</si>
  <si>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</si>
  <si>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</si>
  <si>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</si>
  <si>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</si>
  <si>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</si>
  <si>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</si>
  <si>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</si>
  <si>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</si>
  <si>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</si>
  <si>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</si>
  <si>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</si>
  <si>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</si>
  <si>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</si>
  <si>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</si>
  <si>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</si>
  <si>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</si>
  <si>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</si>
  <si>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</si>
  <si>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</si>
  <si>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</si>
  <si>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</si>
  <si>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</si>
  <si>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</si>
  <si>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</si>
  <si>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</si>
  <si>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</si>
  <si>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</si>
  <si>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</si>
  <si>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</si>
  <si>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</si>
  <si>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</si>
  <si>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</si>
  <si>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</si>
  <si>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</si>
  <si>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</si>
  <si>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</si>
  <si>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</si>
  <si>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</si>
  <si>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</si>
  <si>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</si>
  <si>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</si>
  <si>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</si>
  <si>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</si>
  <si>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</si>
  <si>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</si>
  <si>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</si>
  <si>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</si>
  <si>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</si>
  <si>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</si>
  <si>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</si>
  <si>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</si>
  <si>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</si>
  <si>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</si>
  <si>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</si>
  <si>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</si>
  <si>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</si>
  <si>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</si>
  <si>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</si>
  <si>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</si>
  <si>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</si>
  <si>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</si>
  <si>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</si>
  <si>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</si>
  <si>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</si>
  <si>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</si>
  <si>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</si>
  <si>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</si>
  <si>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</si>
  <si>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</si>
  <si>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</si>
  <si>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</si>
  <si>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</si>
  <si>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</si>
  <si>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</si>
  <si>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</si>
  <si>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</si>
  <si>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</si>
  <si>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</si>
  <si>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</si>
  <si>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</si>
  <si>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</si>
  <si>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</si>
  <si>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</si>
  <si>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</si>
  <si>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</si>
  <si>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</si>
  <si>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</si>
  <si>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</si>
  <si>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</si>
  <si>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</si>
  <si>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</si>
  <si>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</si>
  <si>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</si>
  <si>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</si>
  <si>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</si>
  <si>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</si>
  <si>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</si>
  <si>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</si>
  <si>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</si>
  <si>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</si>
  <si>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</si>
  <si>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</si>
  <si>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</si>
  <si>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</si>
  <si>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</si>
  <si>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</si>
  <si>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</si>
  <si>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</si>
  <si>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</si>
  <si>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</si>
  <si>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</si>
  <si>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</si>
  <si>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</si>
  <si>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</si>
  <si>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</si>
  <si>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</si>
  <si>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</si>
  <si>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</si>
  <si>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</si>
  <si>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</si>
  <si>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</si>
  <si>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</si>
  <si>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</si>
  <si>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</si>
  <si>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</si>
  <si>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</si>
  <si>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</si>
  <si>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</si>
  <si>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</si>
  <si>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</si>
  <si>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</si>
  <si>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</si>
  <si>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</si>
  <si>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</si>
  <si>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</si>
  <si>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</si>
  <si>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</si>
  <si>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</si>
  <si>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</si>
  <si>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</si>
  <si>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</si>
  <si>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</si>
  <si>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</si>
  <si>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</si>
  <si>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</si>
  <si>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</si>
  <si>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</si>
  <si>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</si>
  <si>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</si>
  <si>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</si>
  <si>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</si>
  <si>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</si>
  <si>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</si>
  <si>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</si>
  <si>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</si>
  <si>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</si>
  <si>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</si>
  <si>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</si>
  <si>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</si>
  <si>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</si>
  <si>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</si>
  <si>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</si>
  <si>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</si>
  <si>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</si>
  <si>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</si>
  <si>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</si>
  <si>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</si>
  <si>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</si>
  <si>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</si>
  <si>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</si>
  <si>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</si>
  <si>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</si>
  <si>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</si>
  <si>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</si>
  <si>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</si>
  <si>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</si>
  <si>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</si>
  <si>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</si>
  <si>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</si>
  <si>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</si>
  <si>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</si>
  <si>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</si>
  <si>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</si>
  <si>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</si>
  <si>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</si>
  <si>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</si>
  <si>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</si>
  <si>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</si>
  <si>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</si>
  <si>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</si>
  <si>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</si>
  <si>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</si>
  <si>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</si>
  <si>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</si>
  <si>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</si>
  <si>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</si>
  <si>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</si>
  <si>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</si>
  <si>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</si>
  <si>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</si>
  <si>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</si>
  <si>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</si>
  <si>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</si>
  <si>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</si>
  <si>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</si>
  <si>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</si>
  <si>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</si>
  <si>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</si>
  <si>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</si>
  <si>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</si>
  <si>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</si>
  <si>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</si>
  <si>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</si>
  <si>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</si>
  <si>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</si>
  <si>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</si>
  <si>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</si>
  <si>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</si>
  <si>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</si>
  <si>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</si>
  <si>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</si>
  <si>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</si>
  <si>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</si>
  <si>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</si>
  <si>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</si>
  <si>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</si>
  <si>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</si>
  <si>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</si>
  <si>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</si>
  <si>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</si>
  <si>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</si>
  <si>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</si>
  <si>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</si>
  <si>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</si>
  <si>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</si>
  <si>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</si>
  <si>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</si>
  <si>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</si>
  <si>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</si>
  <si>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</si>
  <si>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</si>
  <si>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</si>
  <si>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</si>
  <si>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</si>
  <si>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</si>
  <si>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</si>
  <si>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</si>
  <si>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</si>
  <si>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</si>
  <si>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</si>
  <si>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</si>
  <si>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</si>
  <si>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</si>
  <si>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</si>
  <si>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</si>
  <si>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</si>
  <si>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</si>
  <si>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</si>
  <si>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</si>
  <si>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</si>
  <si>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</si>
  <si>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</si>
  <si>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</si>
  <si>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</si>
  <si>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</si>
  <si>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</si>
  <si>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</si>
  <si>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</si>
  <si>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</si>
  <si>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</si>
  <si>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</si>
  <si>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</si>
  <si>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</si>
  <si>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</si>
  <si>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</si>
  <si>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</si>
  <si>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</si>
  <si>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</si>
  <si>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</si>
  <si>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</si>
  <si>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</si>
  <si>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</si>
  <si>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</si>
  <si>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</si>
  <si>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</si>
  <si>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</si>
  <si>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</si>
  <si>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</si>
  <si>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</si>
  <si>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</si>
  <si>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</si>
  <si>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</si>
  <si>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</si>
  <si>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</si>
  <si>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</si>
  <si>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</si>
  <si>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</si>
  <si>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</si>
  <si>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</si>
  <si>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</si>
  <si>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</si>
  <si>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</si>
  <si>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</si>
  <si>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</si>
  <si>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</si>
  <si>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</si>
  <si>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</si>
  <si>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</si>
  <si>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</si>
  <si>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</si>
  <si>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</si>
  <si>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</si>
  <si>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</si>
  <si>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</si>
  <si>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</si>
  <si>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</si>
  <si>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</si>
  <si>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</si>
  <si>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</si>
  <si>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</si>
  <si>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</si>
  <si>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</si>
  <si>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</si>
  <si>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</si>
  <si>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</si>
  <si>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</si>
  <si>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</si>
  <si>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</si>
  <si>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</si>
  <si>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</si>
  <si>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</si>
  <si>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</si>
  <si>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</si>
  <si>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</si>
  <si>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</si>
  <si>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</si>
  <si>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</si>
  <si>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</si>
  <si>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</si>
  <si>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</si>
  <si>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</si>
  <si>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</si>
  <si>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</si>
  <si>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</si>
  <si>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</si>
  <si>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</si>
  <si>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</si>
  <si>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</si>
  <si>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</si>
  <si>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</si>
  <si>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</si>
  <si>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</si>
  <si>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</si>
  <si>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</si>
  <si>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</si>
  <si>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</si>
  <si>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</si>
  <si>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</si>
  <si>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</si>
  <si>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</si>
  <si>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</si>
  <si>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</si>
  <si>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</si>
  <si>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</si>
  <si>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</si>
  <si>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</si>
  <si>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</si>
  <si>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</si>
  <si>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</si>
  <si>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</si>
  <si>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</si>
  <si>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</si>
  <si>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</si>
  <si>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</si>
  <si>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</si>
  <si>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</si>
  <si>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</si>
  <si>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</si>
  <si>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</si>
  <si>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</si>
  <si>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</si>
  <si>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</si>
  <si>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</si>
  <si>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</si>
  <si>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</si>
  <si>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</si>
  <si>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</si>
  <si>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</si>
  <si>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</si>
  <si>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</si>
  <si>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</si>
  <si>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</si>
  <si>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</si>
  <si>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</si>
  <si>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</si>
  <si>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</si>
  <si>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</si>
  <si>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</si>
  <si>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</si>
  <si>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</si>
  <si>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</si>
  <si>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</si>
  <si>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</si>
  <si>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</si>
  <si>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</si>
  <si>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</si>
  <si>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</si>
  <si>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</si>
  <si>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</si>
  <si>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</si>
  <si>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</si>
  <si>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</si>
  <si>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</si>
  <si>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</si>
  <si>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</si>
  <si>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</si>
  <si>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</si>
  <si>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</si>
  <si>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</si>
  <si>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</si>
  <si>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</si>
  <si>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</si>
  <si>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</si>
  <si>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</si>
  <si>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</si>
  <si>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</si>
  <si>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</si>
  <si>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</si>
  <si>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</si>
  <si>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</si>
  <si>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</si>
  <si>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</si>
  <si>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</si>
  <si>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</si>
  <si>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</si>
  <si>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</si>
  <si>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</si>
  <si>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</si>
  <si>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</si>
  <si>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</si>
  <si>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</si>
  <si>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</si>
  <si>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</si>
  <si>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</si>
  <si>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</si>
  <si>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</si>
  <si>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</si>
  <si>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</si>
  <si>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</si>
  <si>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</si>
  <si>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</si>
  <si>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</si>
  <si>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</si>
  <si>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</si>
  <si>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</si>
  <si>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</si>
  <si>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</si>
  <si>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</si>
  <si>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</si>
  <si>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</si>
  <si>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</si>
  <si>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</si>
  <si>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</si>
  <si>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</si>
  <si>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</si>
  <si>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</si>
  <si>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</si>
  <si>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</si>
  <si>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</si>
  <si>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</si>
  <si>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</si>
  <si>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</si>
  <si>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</si>
  <si>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</si>
  <si>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</si>
  <si>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</si>
  <si>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</si>
  <si>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</si>
  <si>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</si>
  <si>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</si>
  <si>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</si>
  <si>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</si>
  <si>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</si>
  <si>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</si>
  <si>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</si>
  <si>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</si>
  <si>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</si>
  <si>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</si>
  <si>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</si>
  <si>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</si>
  <si>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</si>
  <si>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</si>
  <si>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</si>
  <si>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</si>
  <si>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</si>
  <si>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</si>
  <si>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</si>
  <si>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</si>
  <si>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</si>
  <si>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</si>
  <si>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</si>
  <si>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</si>
  <si>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</si>
  <si>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</si>
  <si>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</si>
  <si>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</si>
  <si>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</si>
  <si>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</si>
  <si>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</si>
  <si>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</si>
  <si>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</si>
  <si>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</si>
  <si>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</si>
  <si>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</si>
  <si>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</si>
  <si>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</si>
  <si>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</si>
  <si>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</si>
  <si>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</si>
  <si>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</si>
  <si>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</si>
  <si>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</si>
  <si>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</si>
  <si>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</si>
  <si>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</si>
  <si>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</si>
  <si>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</si>
  <si>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</si>
  <si>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</si>
  <si>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</si>
  <si>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</si>
  <si>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</si>
  <si>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</si>
  <si>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</si>
  <si>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</si>
  <si>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</si>
  <si>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</si>
  <si>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</si>
  <si>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</si>
  <si>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</si>
  <si>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</si>
  <si>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</si>
  <si>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</si>
  <si>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</si>
  <si>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</si>
  <si>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</si>
  <si>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</si>
  <si>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</si>
  <si>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</si>
  <si>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</si>
  <si>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</si>
  <si>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</si>
  <si>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</si>
  <si>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</si>
  <si>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</si>
  <si>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</si>
  <si>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</si>
  <si>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</si>
  <si>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</si>
  <si>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</si>
  <si>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</si>
  <si>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</si>
  <si>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</si>
  <si>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</si>
  <si>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</si>
  <si>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</si>
  <si>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</si>
  <si>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</si>
  <si>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</si>
  <si>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</si>
  <si>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</si>
  <si>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</si>
  <si>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</si>
  <si>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</si>
  <si>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</si>
  <si>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</si>
  <si>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</si>
  <si>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</si>
  <si>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</si>
  <si>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</si>
  <si>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</si>
  <si>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</si>
  <si>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</si>
  <si>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</si>
  <si>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</si>
  <si>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</si>
  <si>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</si>
  <si>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</si>
  <si>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</si>
  <si>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</si>
  <si>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</si>
  <si>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</si>
  <si>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</si>
  <si>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</si>
  <si>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</si>
  <si>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</si>
  <si>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</si>
  <si>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</si>
  <si>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</si>
  <si>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</si>
  <si>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</si>
  <si>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</si>
  <si>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</si>
  <si>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</si>
  <si>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</si>
  <si>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</si>
  <si>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</si>
  <si>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</si>
  <si>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</si>
  <si>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</si>
  <si>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</si>
  <si>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</si>
  <si>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</si>
  <si>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</si>
  <si>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</si>
  <si>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</si>
  <si>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</si>
  <si>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</si>
  <si>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</si>
  <si>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</si>
  <si>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</si>
  <si>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</si>
  <si>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</si>
  <si>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</si>
  <si>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</si>
  <si>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</si>
  <si>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</si>
  <si>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</si>
  <si>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</si>
  <si>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</si>
  <si>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</si>
  <si>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</si>
  <si>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</si>
  <si>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</si>
  <si>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</si>
  <si>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</si>
  <si>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</si>
  <si>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</si>
  <si>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</si>
  <si>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</si>
  <si>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</si>
  <si>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</si>
  <si>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</si>
  <si>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</si>
  <si>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</si>
  <si>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</si>
  <si>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</si>
  <si>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</si>
  <si>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</si>
  <si>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</si>
  <si>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</si>
  <si>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</si>
  <si>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</si>
  <si>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</si>
  <si>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</si>
  <si>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</si>
  <si>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</si>
  <si>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</si>
  <si>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</si>
  <si>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</si>
  <si>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</si>
  <si>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</si>
  <si>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</si>
  <si>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</si>
  <si>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</si>
  <si>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</si>
  <si>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</si>
  <si>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</si>
  <si>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</si>
  <si>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</si>
  <si>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</si>
  <si>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</si>
  <si>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</si>
  <si>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</si>
  <si>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</si>
  <si>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</si>
  <si>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</si>
  <si>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</si>
  <si>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</si>
  <si>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</si>
  <si>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</si>
  <si>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</si>
  <si>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</si>
  <si>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</si>
  <si>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</si>
  <si>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</si>
  <si>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</si>
  <si>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</si>
  <si>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</si>
  <si>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</si>
  <si>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</si>
  <si>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</si>
  <si>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</si>
  <si>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</si>
  <si>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</si>
  <si>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</si>
  <si>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</si>
  <si>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</si>
  <si>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</si>
  <si>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</si>
  <si>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</si>
  <si>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</si>
  <si>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</si>
  <si>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</si>
  <si>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</si>
  <si>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</si>
  <si>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</si>
  <si>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</si>
  <si>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</si>
  <si>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</si>
  <si>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</si>
  <si>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</si>
  <si>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</si>
  <si>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</si>
  <si>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</si>
  <si>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</si>
  <si>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</si>
  <si>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</si>
  <si>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</si>
  <si>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</si>
  <si>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</si>
  <si>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</si>
  <si>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</si>
  <si>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</si>
  <si>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</si>
  <si>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</si>
  <si>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</si>
  <si>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</si>
  <si>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</si>
  <si>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</si>
  <si>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</si>
  <si>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</si>
  <si>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</si>
  <si>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</si>
  <si>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</si>
  <si>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</si>
  <si>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</si>
  <si>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</si>
  <si>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</si>
  <si>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</si>
  <si>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</si>
  <si>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</si>
  <si>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</si>
  <si>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</si>
  <si>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</si>
  <si>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</si>
  <si>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</si>
  <si>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</si>
  <si>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</si>
  <si>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</si>
  <si>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</si>
  <si>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</si>
  <si>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</si>
  <si>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</si>
  <si>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</si>
  <si>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</si>
  <si>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</si>
  <si>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</si>
  <si>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</si>
  <si>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</si>
  <si>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</si>
  <si>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</si>
  <si>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</si>
  <si>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</si>
  <si>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</si>
  <si>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</si>
  <si>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</si>
  <si>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</si>
  <si>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</si>
  <si>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</si>
  <si>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</si>
  <si>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</si>
  <si>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</si>
  <si>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</si>
  <si>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</si>
  <si>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</si>
  <si>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</si>
  <si>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</si>
  <si>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</si>
  <si>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</si>
  <si>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</si>
  <si>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</si>
  <si>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</si>
  <si>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</si>
  <si>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</si>
  <si>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</si>
  <si>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</si>
  <si>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</si>
  <si>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</si>
  <si>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</si>
  <si>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</si>
  <si>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</si>
  <si>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</si>
  <si>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</si>
  <si>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</si>
  <si>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</si>
  <si>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</si>
  <si>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</si>
  <si>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</si>
  <si>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</si>
  <si>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</si>
  <si>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</si>
  <si>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</si>
  <si>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</si>
  <si>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</si>
  <si>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</si>
  <si>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</si>
  <si>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</si>
  <si>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</si>
  <si>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</si>
  <si>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</si>
  <si>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</si>
  <si>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</si>
  <si>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</si>
  <si>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</si>
  <si>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</si>
  <si>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</si>
  <si>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</si>
  <si>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</si>
  <si>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</si>
  <si>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</si>
  <si>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</si>
  <si>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</si>
  <si>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</si>
  <si>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</si>
  <si>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</si>
  <si>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</si>
  <si>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</si>
  <si>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</si>
  <si>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</si>
  <si>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</si>
  <si>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</si>
  <si>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</si>
  <si>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</si>
  <si>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</si>
  <si>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</si>
  <si>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</si>
  <si>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</si>
  <si>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</si>
  <si>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</si>
  <si>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</si>
  <si>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</si>
  <si>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</si>
  <si>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</si>
  <si>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</si>
  <si>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</si>
  <si>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</si>
  <si>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</si>
  <si>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</si>
  <si>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</si>
  <si>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</si>
  <si>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</si>
  <si>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</si>
  <si>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</si>
  <si>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</si>
  <si>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</si>
  <si>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</si>
  <si>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</si>
  <si>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</si>
  <si>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</si>
  <si>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</si>
  <si>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</si>
  <si>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</si>
  <si>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</si>
  <si>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</si>
  <si>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</si>
  <si>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</si>
  <si>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</si>
  <si>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</si>
  <si>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</si>
  <si>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</si>
  <si>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</si>
  <si>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</si>
  <si>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</si>
  <si>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</si>
  <si>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</si>
  <si>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</si>
  <si>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</si>
  <si>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</si>
  <si>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</si>
  <si>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</si>
  <si>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</si>
  <si>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</si>
  <si>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</si>
  <si>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</si>
  <si>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</si>
  <si>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</si>
  <si>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</si>
  <si>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</si>
  <si>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</si>
  <si>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</si>
  <si>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</si>
  <si>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</si>
  <si>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</si>
  <si>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</si>
  <si>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</si>
  <si>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</si>
  <si>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</si>
  <si>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</si>
  <si>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</si>
  <si>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</si>
  <si>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</si>
  <si>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</si>
  <si>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</si>
  <si>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</si>
  <si>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</si>
  <si>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</si>
  <si>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</si>
  <si>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</si>
  <si>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</si>
  <si>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</si>
  <si>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</si>
  <si>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</si>
  <si>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</si>
  <si>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</si>
  <si>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</si>
  <si>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</si>
  <si>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</si>
  <si>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</si>
  <si>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</si>
  <si>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</si>
  <si>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</si>
  <si>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</si>
  <si>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</si>
  <si>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</si>
  <si>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</si>
  <si>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</si>
  <si>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</si>
  <si>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</si>
  <si>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</si>
  <si>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</si>
  <si>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</si>
  <si>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</si>
  <si>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</si>
  <si>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</si>
  <si>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</si>
  <si>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</si>
  <si>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</si>
  <si>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</si>
  <si>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</si>
  <si>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</si>
  <si>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</si>
  <si>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</si>
  <si>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</si>
  <si>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</si>
  <si>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</si>
  <si>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</si>
  <si>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</si>
  <si>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</si>
  <si>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</si>
  <si>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</si>
  <si>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</si>
  <si>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</si>
  <si>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</si>
  <si>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</si>
  <si>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</si>
  <si>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</si>
  <si>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</si>
  <si>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</si>
  <si>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</si>
  <si>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</si>
  <si>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</si>
  <si>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</si>
  <si>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</si>
  <si>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</si>
  <si>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</si>
  <si>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</si>
  <si>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</si>
  <si>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</si>
  <si>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</si>
  <si>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</si>
  <si>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</si>
  <si>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</si>
  <si>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</si>
  <si>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</si>
  <si>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</si>
  <si>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</si>
  <si>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</si>
  <si>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</si>
  <si>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</si>
  <si>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</si>
  <si>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</si>
  <si>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</si>
  <si>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</si>
  <si>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</si>
  <si>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</si>
  <si>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</si>
  <si>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</si>
  <si>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</si>
  <si>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</si>
  <si>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</si>
  <si>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</si>
  <si>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</si>
  <si>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</si>
  <si>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</si>
  <si>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</si>
  <si>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</si>
  <si>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</si>
  <si>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</si>
  <si>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</si>
  <si>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</si>
  <si>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</si>
  <si>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</si>
  <si>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</si>
  <si>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</si>
  <si>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</si>
  <si>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</si>
  <si>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</si>
  <si>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</si>
  <si>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</si>
  <si>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</si>
  <si>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</si>
  <si>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</si>
  <si>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</si>
  <si>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</si>
  <si>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</si>
  <si>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</si>
  <si>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</si>
  <si>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</si>
  <si>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</si>
  <si>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</si>
  <si>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</si>
  <si>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</si>
  <si>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</si>
  <si>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</si>
  <si>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</si>
  <si>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</si>
  <si>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</si>
  <si>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</si>
  <si>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</si>
  <si>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</si>
  <si>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</si>
  <si>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</si>
  <si>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</si>
  <si>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</si>
  <si>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</si>
  <si>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</si>
  <si>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</si>
  <si>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</si>
  <si>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</si>
  <si>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</si>
  <si>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</si>
  <si>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</si>
  <si>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</si>
  <si>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</si>
  <si>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</si>
  <si>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</si>
  <si>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</si>
  <si>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</si>
  <si>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</si>
  <si>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</si>
  <si>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</si>
  <si>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</si>
  <si>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</si>
  <si>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</si>
  <si>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</si>
  <si>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</si>
  <si>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</si>
  <si>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</si>
  <si>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</si>
  <si>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</si>
  <si>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</si>
  <si>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</si>
  <si>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</si>
  <si>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</si>
  <si>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</si>
  <si>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</si>
  <si>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</si>
  <si>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</si>
  <si>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</si>
  <si>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</si>
  <si>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</si>
  <si>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</si>
  <si>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</si>
  <si>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</si>
  <si>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</si>
  <si>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</si>
  <si>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</si>
  <si>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</si>
  <si>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</si>
  <si>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</si>
  <si>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</si>
  <si>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</si>
  <si>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</si>
  <si>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</si>
  <si>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</si>
  <si>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</si>
  <si>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</si>
  <si>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</si>
  <si>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</si>
  <si>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</si>
  <si>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</si>
  <si>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</si>
  <si>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</si>
  <si>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</si>
  <si>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</si>
  <si>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</si>
  <si>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</si>
  <si>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</si>
  <si>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</si>
  <si>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</si>
  <si>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</si>
  <si>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</si>
  <si>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</si>
  <si>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</si>
  <si>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</si>
  <si>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</si>
  <si>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</si>
  <si>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</si>
  <si>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</si>
  <si>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</si>
  <si>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</si>
  <si>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</si>
  <si>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</si>
  <si>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</si>
  <si>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</si>
  <si>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</si>
  <si>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</si>
  <si>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</si>
  <si>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</si>
  <si>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</si>
  <si>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</si>
  <si>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</si>
  <si>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</si>
  <si>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</si>
  <si>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</si>
  <si>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</si>
  <si>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</si>
  <si>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</si>
  <si>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</si>
  <si>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</si>
  <si>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</si>
  <si>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</si>
  <si>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</si>
  <si>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</si>
  <si>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</si>
  <si>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</si>
  <si>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</si>
  <si>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</si>
  <si>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</si>
  <si>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</si>
  <si>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</si>
  <si>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</si>
  <si>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</si>
  <si>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</si>
  <si>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</si>
  <si>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</si>
  <si>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</si>
  <si>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</si>
  <si>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</si>
  <si>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</si>
  <si>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</si>
  <si>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</si>
  <si>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</si>
  <si>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</si>
  <si>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</si>
  <si>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</si>
  <si>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</si>
  <si>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</si>
  <si>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</si>
  <si>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</si>
  <si>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</si>
  <si>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</si>
  <si>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</si>
  <si>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</si>
  <si>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</si>
  <si>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</si>
  <si>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</si>
  <si>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</si>
  <si>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</si>
  <si>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</si>
  <si>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</si>
  <si>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</si>
  <si>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</si>
  <si>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</si>
  <si>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</si>
  <si>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</si>
  <si>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</si>
  <si>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</si>
  <si>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</si>
  <si>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</si>
  <si>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</si>
  <si>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</si>
  <si>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</si>
  <si>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</si>
  <si>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</si>
  <si>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</si>
  <si>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</si>
  <si>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</si>
  <si>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</si>
  <si>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</si>
  <si>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</si>
  <si>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</si>
  <si>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</si>
  <si>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</si>
  <si>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</si>
  <si>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</si>
  <si>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</si>
  <si>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</si>
  <si>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</si>
  <si>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</si>
  <si>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</si>
  <si>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</si>
  <si>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</si>
  <si>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</si>
  <si>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</si>
  <si>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</si>
  <si>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</si>
  <si>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</si>
  <si>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</si>
  <si>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</si>
  <si>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</si>
  <si>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</si>
  <si>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</si>
  <si>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</si>
  <si>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</si>
  <si>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</si>
  <si>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</si>
  <si>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</si>
  <si>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</si>
  <si>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</si>
  <si>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</si>
  <si>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</si>
  <si>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</si>
  <si>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</si>
  <si>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</si>
  <si>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</si>
  <si>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</si>
  <si>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</si>
  <si>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</si>
  <si>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</si>
  <si>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</si>
  <si>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</si>
  <si>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</si>
  <si>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</si>
  <si>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</si>
  <si>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</si>
  <si>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</si>
  <si>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</si>
  <si>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</si>
  <si>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</si>
  <si>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</si>
  <si>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</si>
  <si>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</si>
  <si>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</si>
  <si>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</si>
  <si>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</si>
  <si>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</si>
  <si>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</si>
  <si>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</si>
  <si>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</si>
  <si>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</si>
  <si>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</si>
  <si>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</si>
  <si>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</si>
  <si>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</si>
  <si>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</si>
  <si>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</si>
  <si>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</si>
  <si>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</si>
  <si>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</si>
  <si>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</si>
  <si>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</si>
  <si>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</si>
  <si>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</si>
  <si>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</si>
  <si>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</si>
  <si>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</si>
  <si>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</si>
  <si>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</si>
  <si>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</si>
  <si>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</si>
  <si>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</si>
  <si>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</si>
  <si>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</si>
  <si>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</si>
  <si>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</si>
  <si>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</si>
  <si>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</si>
  <si>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</si>
  <si>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</si>
  <si>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</si>
  <si>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</si>
  <si>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</si>
  <si>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</si>
  <si>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</si>
  <si>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</si>
  <si>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</si>
  <si>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</si>
  <si>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</si>
  <si>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</si>
  <si>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</si>
  <si>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</si>
  <si>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</si>
  <si>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</si>
  <si>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</si>
  <si>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</si>
  <si>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</si>
  <si>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</si>
  <si>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</si>
  <si>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</si>
  <si>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</si>
  <si>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</si>
  <si>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</si>
  <si>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</si>
  <si>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</si>
  <si>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</si>
  <si>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</si>
  <si>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C2.3 lossyG,lossyAttr'!$A$24:$BS$28</t>
  </si>
  <si>
    <t>inf</t>
  </si>
  <si>
    <t>TMC2-v2.1-CTC-32frames</t>
  </si>
  <si>
    <t>Samsung-textureDilateOffLossless-and-groupDilation</t>
  </si>
  <si>
    <t>tested(3.0_rc0.7_32frames-VisualQuality)</t>
  </si>
  <si>
    <t>tested(3.0_rc0.8_32frames-AuxiliaryInformationCoding)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</si>
</sst>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gt;1000]0;[&gt;100]0.0;0.00"/>
    <numFmt numFmtId="166" formatCode="0.000"/>
  </numFmts>
  <fonts count="3" x14ac:knownFonts="1">
    <font>
      <sz val="11"/>
      <color theme="1"/>
      <name val="Calibri"/>
      <family val="2"/>
      <scheme val="minor"/>
    </font>
    <font>
      <b/>
      <sz val="11"/>
      <color theme="1"/>
      <name val="Calibri"/>
      <family val="2"/>
      <scheme val="minor"/>
    </font>
    <font>
      <sz val="10"/>
      <name val="Arial"/>
      <charset val="1"/>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0" fillId="0" borderId="0" xfId="0" quotePrefix="1"/>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2" fillId="0" borderId="0" xfId="0" applyFont="1" applyFill="1" applyBorder="1" applyAlignment="1" applyProtection="1"/>
    <xf numFmtId="0" fontId="2" fillId="0" borderId="0" xfId="0" applyNumberFormat="1" applyFont="1" applyFill="1" applyBorder="1" applyAlignment="1" applyProtection="1"/>
  </cellXfs>
  <cellStyles count="1">
    <cellStyle name="Normal" xfId="0" builtinId="0"/>
  </cellStyles>
  <dxfs count="22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23"/>
      <tableStyleElement type="headerRow" dxfId="222"/>
    </tableStyle>
  </tableStyles>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242370736"/>
        <c:axId val="242369056"/>
      </c:scatterChart>
      <c:valAx>
        <c:axId val="242370736"/>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242369056"/>
        <c:crosses val="autoZero"/>
        <c:crossBetween val="midCat"/>
      </c:valAx>
      <c:valAx>
        <c:axId val="242369056"/>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24237073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38797008"/>
        <c:axId val="140035264"/>
      </c:scatterChart>
      <c:valAx>
        <c:axId val="138797008"/>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40035264"/>
        <c:crosses val="autoZero"/>
        <c:crossBetween val="midCat"/>
      </c:valAx>
      <c:valAx>
        <c:axId val="140035264"/>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3879700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40841088"/>
        <c:axId val="140841648"/>
      </c:scatterChart>
      <c:valAx>
        <c:axId val="140841088"/>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140841648"/>
        <c:crosses val="autoZero"/>
        <c:crossBetween val="midCat"/>
      </c:valAx>
      <c:valAx>
        <c:axId val="140841648"/>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4084108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140845008"/>
        <c:axId val="140845568"/>
      </c:scatterChart>
      <c:valAx>
        <c:axId val="140845008"/>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140845568"/>
        <c:crosses val="autoZero"/>
        <c:crossBetween val="midCat"/>
      </c:valAx>
      <c:valAx>
        <c:axId val="140845568"/>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14084500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249248432"/>
        <c:axId val="249248992"/>
      </c:scatterChart>
      <c:valAx>
        <c:axId val="249248432"/>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49248992"/>
        <c:crosses val="autoZero"/>
        <c:crossBetween val="midCat"/>
      </c:valAx>
      <c:valAx>
        <c:axId val="24924899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24924843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249252352"/>
        <c:axId val="249252912"/>
      </c:scatterChart>
      <c:valAx>
        <c:axId val="249252352"/>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49252912"/>
        <c:crosses val="autoZero"/>
        <c:crossBetween val="midCat"/>
      </c:valAx>
      <c:valAx>
        <c:axId val="24925291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24925235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workbookViewId="0">
      <selection activeCell="C1" sqref="C1:E1"/>
    </sheetView>
  </sheetViews>
  <sheetFormatPr defaultRowHeight="15" x14ac:dyDescent="0.25"/>
  <cols>
    <col min="2" max="2" width="16.7109375" customWidth="1"/>
    <col min="3" max="7" width="24.7109375" customWidth="1"/>
  </cols>
  <sheetData>
    <row r="1" spans="2:5" x14ac:dyDescent="0.25">
      <c r="B1" t="s">
        <v>0</v>
      </c>
      <c r="C1" s="71" t="s">
        <v>1477</v>
      </c>
      <c r="D1" s="71"/>
      <c r="E1" s="71"/>
    </row>
    <row r="2" spans="2:5" x14ac:dyDescent="0.25">
      <c r="B2" t="s">
        <v>1</v>
      </c>
      <c r="C2" s="72" t="s">
        <v>1478</v>
      </c>
      <c r="D2" s="72"/>
      <c r="E2" s="72"/>
    </row>
    <row r="4" spans="2:5" s="1" customFormat="1" x14ac:dyDescent="0.25">
      <c r="B4" s="1" t="s">
        <v>264</v>
      </c>
    </row>
    <row r="6" spans="2:5" ht="30" x14ac:dyDescent="0.25">
      <c r="B6" s="67" t="s">
        <v>265</v>
      </c>
      <c r="C6" s="2" t="s">
        <v>266</v>
      </c>
    </row>
    <row r="7" spans="2:5" x14ac:dyDescent="0.25">
      <c r="B7" s="67"/>
      <c r="C7" s="3"/>
    </row>
    <row r="8" spans="2:5" x14ac:dyDescent="0.25">
      <c r="B8" s="67"/>
      <c r="C8" s="4" t="s">
        <v>267</v>
      </c>
    </row>
    <row r="9" spans="2:5" x14ac:dyDescent="0.25">
      <c r="B9" s="5" t="s">
        <v>255</v>
      </c>
      <c r="C9" s="6" t="e">
        <f>'C1.1 losslG,noAttr'!Z41</f>
        <v>#DIV/0!</v>
      </c>
    </row>
    <row r="10" spans="2:5" x14ac:dyDescent="0.25">
      <c r="B10" s="5" t="s">
        <v>256</v>
      </c>
      <c r="C10" s="6" t="e">
        <f>'C1.1 losslG,noAttr'!Z42</f>
        <v>#DIV/0!</v>
      </c>
    </row>
    <row r="11" spans="2:5" x14ac:dyDescent="0.25">
      <c r="B11" s="5" t="s">
        <v>257</v>
      </c>
      <c r="C11" s="6" t="e">
        <f>'C1.1 losslG,noAttr'!Z43</f>
        <v>#DIV/0!</v>
      </c>
    </row>
    <row r="12" spans="2:5" x14ac:dyDescent="0.25">
      <c r="B12" s="7" t="s">
        <v>258</v>
      </c>
      <c r="C12" s="8" t="e">
        <f>'C1.1 losslG,noAttr'!Z44</f>
        <v>#DIV/0!</v>
      </c>
    </row>
    <row r="13" spans="2:5" x14ac:dyDescent="0.25">
      <c r="B13" t="s">
        <v>268</v>
      </c>
      <c r="C13" s="6" t="e">
        <f>'C1.1 losslG,noAttr'!W48</f>
        <v>#NUM!</v>
      </c>
    </row>
    <row r="14" spans="2:5" x14ac:dyDescent="0.25">
      <c r="B14" s="9" t="s">
        <v>269</v>
      </c>
      <c r="C14" s="10" t="e">
        <f>'C1.1 losslG,noAttr'!X48</f>
        <v>#NUM!</v>
      </c>
    </row>
    <row r="16" spans="2:5" x14ac:dyDescent="0.25">
      <c r="B16" s="67" t="s">
        <v>351</v>
      </c>
      <c r="C16" s="68" t="s">
        <v>352</v>
      </c>
      <c r="D16" s="68"/>
      <c r="E16" s="68"/>
    </row>
    <row r="17" spans="2:5" x14ac:dyDescent="0.25">
      <c r="B17" s="67"/>
      <c r="C17" s="69" t="s">
        <v>301</v>
      </c>
      <c r="D17" s="69"/>
      <c r="E17" s="69"/>
    </row>
    <row r="18" spans="2:5" x14ac:dyDescent="0.25">
      <c r="B18" s="67"/>
      <c r="C18" s="4" t="s">
        <v>285</v>
      </c>
      <c r="D18" s="4" t="s">
        <v>353</v>
      </c>
      <c r="E18" s="4" t="s">
        <v>354</v>
      </c>
    </row>
    <row r="19" spans="2:5" x14ac:dyDescent="0.25">
      <c r="B19" s="5" t="s">
        <v>349</v>
      </c>
      <c r="C19" s="11" t="e">
        <f>'C1.2 losslG,lossyC'!$Y$68:$Y$68</f>
        <v>#VALUE!</v>
      </c>
      <c r="D19" s="11" t="e">
        <f>'C1.2 losslG,lossyC'!$Z$68:$Z$68</f>
        <v>#VALUE!</v>
      </c>
      <c r="E19" s="11" t="e">
        <f>'C1.2 losslG,lossyC'!$AA$68:$AA$68</f>
        <v>#VALUE!</v>
      </c>
    </row>
    <row r="20" spans="2:5" x14ac:dyDescent="0.25">
      <c r="B20" s="5" t="s">
        <v>350</v>
      </c>
      <c r="C20" s="11" t="e">
        <f>'C1.2 losslG,lossyC'!$Y$69:$Y$69</f>
        <v>#VALUE!</v>
      </c>
      <c r="D20" s="11" t="e">
        <f>'C1.2 losslG,lossyC'!$Z$69:$Z$69</f>
        <v>#VALUE!</v>
      </c>
      <c r="E20" s="11" t="e">
        <f>'C1.2 losslG,lossyC'!$AA$69:$AA$69</f>
        <v>#VALUE!</v>
      </c>
    </row>
    <row r="21" spans="2:5" x14ac:dyDescent="0.25">
      <c r="B21" s="7" t="s">
        <v>258</v>
      </c>
      <c r="C21" s="12" t="e">
        <f>'C1.2 losslG,lossyC'!$Y$70:$Y$70</f>
        <v>#VALUE!</v>
      </c>
      <c r="D21" s="12" t="e">
        <f>'C1.2 losslG,lossyC'!$Z$70:$Z$70</f>
        <v>#VALUE!</v>
      </c>
      <c r="E21" s="12" t="e">
        <f>'C1.2 losslG,lossyC'!$AA$70:$AA$70</f>
        <v>#VALUE!</v>
      </c>
    </row>
    <row r="22" spans="2:5" x14ac:dyDescent="0.25">
      <c r="B22" t="s">
        <v>268</v>
      </c>
      <c r="C22" s="65" t="e">
        <f>'C1.2 losslG,lossyC'!V74</f>
        <v>#NUM!</v>
      </c>
      <c r="D22" s="65"/>
      <c r="E22" s="65"/>
    </row>
    <row r="23" spans="2:5" x14ac:dyDescent="0.25">
      <c r="B23" s="9" t="s">
        <v>269</v>
      </c>
      <c r="C23" s="66" t="e">
        <f>'C1.2 losslG,lossyC'!W74</f>
        <v>#NUM!</v>
      </c>
      <c r="D23" s="66"/>
      <c r="E23" s="66"/>
    </row>
    <row r="25" spans="2:5" x14ac:dyDescent="0.25">
      <c r="B25" s="67" t="s">
        <v>504</v>
      </c>
      <c r="C25" s="68" t="s">
        <v>505</v>
      </c>
      <c r="D25" s="68"/>
      <c r="E25" s="68"/>
    </row>
    <row r="26" spans="2:5" x14ac:dyDescent="0.25">
      <c r="B26" s="67"/>
      <c r="C26" s="69" t="s">
        <v>301</v>
      </c>
      <c r="D26" s="69"/>
      <c r="E26" s="69"/>
    </row>
    <row r="27" spans="2:5" x14ac:dyDescent="0.25">
      <c r="B27" s="67"/>
      <c r="C27" s="4" t="s">
        <v>285</v>
      </c>
      <c r="D27" s="4" t="s">
        <v>353</v>
      </c>
      <c r="E27" s="4" t="s">
        <v>354</v>
      </c>
    </row>
    <row r="28" spans="2:5" x14ac:dyDescent="0.25">
      <c r="B28" s="5" t="s">
        <v>255</v>
      </c>
      <c r="C28" s="11" t="e">
        <f>'C1.3 lossyG,lossyC'!$BD$226:$BD$226</f>
        <v>#VALUE!</v>
      </c>
      <c r="D28" s="11" t="e">
        <f>'C1.3 lossyG,lossyC'!$BE$226:$BE$226</f>
        <v>#VALUE!</v>
      </c>
      <c r="E28" s="11" t="e">
        <f>'C1.3 lossyG,lossyC'!$BF$226:$BF$226</f>
        <v>#VALUE!</v>
      </c>
    </row>
    <row r="29" spans="2:5" x14ac:dyDescent="0.25">
      <c r="B29" s="5" t="s">
        <v>256</v>
      </c>
      <c r="C29" s="11" t="e">
        <f>'C1.3 lossyG,lossyC'!$BD$227:$BD$227</f>
        <v>#VALUE!</v>
      </c>
      <c r="D29" s="11" t="e">
        <f>'C1.3 lossyG,lossyC'!$BE$227:$BE$227</f>
        <v>#VALUE!</v>
      </c>
      <c r="E29" s="11" t="e">
        <f>'C1.3 lossyG,lossyC'!$BF$227:$BF$227</f>
        <v>#VALUE!</v>
      </c>
    </row>
    <row r="30" spans="2:5" x14ac:dyDescent="0.25">
      <c r="B30" s="5" t="s">
        <v>257</v>
      </c>
      <c r="C30" s="11" t="e">
        <f>'C1.3 lossyG,lossyC'!$BD$228:$BD$228</f>
        <v>#VALUE!</v>
      </c>
      <c r="D30" s="11" t="e">
        <f>'C1.3 lossyG,lossyC'!$BE$228:$BE$228</f>
        <v>#VALUE!</v>
      </c>
      <c r="E30" s="11" t="e">
        <f>'C1.3 lossyG,lossyC'!$BF$228:$BF$228</f>
        <v>#VALUE!</v>
      </c>
    </row>
    <row r="31" spans="2:5" x14ac:dyDescent="0.25">
      <c r="B31" s="7" t="s">
        <v>258</v>
      </c>
      <c r="C31" s="12" t="e">
        <f>'C1.3 lossyG,lossyC'!$BD$229:$BD$229</f>
        <v>#VALUE!</v>
      </c>
      <c r="D31" s="12" t="e">
        <f>'C1.3 lossyG,lossyC'!$BE$229:$BE$229</f>
        <v>#VALUE!</v>
      </c>
      <c r="E31" s="12" t="e">
        <f>'C1.3 lossyG,lossyC'!$BF$229:$BF$229</f>
        <v>#VALUE!</v>
      </c>
    </row>
    <row r="32" spans="2:5" x14ac:dyDescent="0.25">
      <c r="B32" t="s">
        <v>268</v>
      </c>
      <c r="C32" s="65" t="e">
        <f>'C1.3 lossyG,lossyC'!AR233</f>
        <v>#NUM!</v>
      </c>
      <c r="D32" s="65"/>
      <c r="E32" s="65"/>
    </row>
    <row r="33" spans="2:5" x14ac:dyDescent="0.25">
      <c r="B33" s="9" t="s">
        <v>269</v>
      </c>
      <c r="C33" s="66" t="e">
        <f>'C1.3 lossyG,lossyC'!AS233</f>
        <v>#NUM!</v>
      </c>
      <c r="D33" s="66"/>
      <c r="E33" s="66"/>
    </row>
    <row r="35" spans="2:5" s="1" customFormat="1" x14ac:dyDescent="0.25">
      <c r="B35" s="1" t="s">
        <v>573</v>
      </c>
    </row>
    <row r="37" spans="2:5" ht="30" x14ac:dyDescent="0.25">
      <c r="B37" s="67" t="s">
        <v>574</v>
      </c>
      <c r="C37" s="2" t="s">
        <v>266</v>
      </c>
    </row>
    <row r="38" spans="2:5" x14ac:dyDescent="0.25">
      <c r="B38" s="67"/>
      <c r="C38" s="3"/>
    </row>
    <row r="39" spans="2:5" x14ac:dyDescent="0.25">
      <c r="B39" s="67"/>
      <c r="C39" s="4" t="s">
        <v>267</v>
      </c>
    </row>
    <row r="40" spans="2:5" x14ac:dyDescent="0.25">
      <c r="B40" s="5" t="s">
        <v>571</v>
      </c>
      <c r="C40" s="6" t="e">
        <f>'C2.1 losslG,noAttr'!AH9</f>
        <v>#DIV/0!</v>
      </c>
    </row>
    <row r="41" spans="2:5" x14ac:dyDescent="0.25">
      <c r="B41" s="5" t="s">
        <v>572</v>
      </c>
      <c r="C41" s="6" t="e">
        <f>'C2.1 losslG,noAttr'!AH10</f>
        <v>#DIV/0!</v>
      </c>
    </row>
    <row r="42" spans="2:5" x14ac:dyDescent="0.25">
      <c r="B42" s="7" t="s">
        <v>258</v>
      </c>
      <c r="C42" s="8" t="e">
        <f>'C2.1 losslG,noAttr'!AH11</f>
        <v>#DIV/0!</v>
      </c>
    </row>
    <row r="43" spans="2:5" x14ac:dyDescent="0.25">
      <c r="B43" t="s">
        <v>268</v>
      </c>
      <c r="C43" s="6" t="e">
        <f>'C2.1 losslG,noAttr'!AC15</f>
        <v>#NUM!</v>
      </c>
    </row>
    <row r="44" spans="2:5" x14ac:dyDescent="0.25">
      <c r="B44" s="9" t="s">
        <v>269</v>
      </c>
      <c r="C44" s="10" t="e">
        <f>'C2.1 losslG,noAttr'!AE15</f>
        <v>#NUM!</v>
      </c>
    </row>
    <row r="46" spans="2:5" ht="45" x14ac:dyDescent="0.25">
      <c r="B46" s="67" t="s">
        <v>650</v>
      </c>
      <c r="C46" s="2" t="s">
        <v>651</v>
      </c>
    </row>
    <row r="47" spans="2:5" x14ac:dyDescent="0.25">
      <c r="B47" s="67"/>
      <c r="C47" s="3"/>
    </row>
    <row r="48" spans="2:5" x14ac:dyDescent="0.25">
      <c r="B48" s="67"/>
      <c r="C48" s="4" t="s">
        <v>267</v>
      </c>
    </row>
    <row r="49" spans="2:7" x14ac:dyDescent="0.25">
      <c r="B49" s="5" t="s">
        <v>571</v>
      </c>
      <c r="C49" s="6" t="e">
        <f>'C2.2 losslG,losslAttr'!BB9</f>
        <v>#DIV/0!</v>
      </c>
    </row>
    <row r="50" spans="2:7" x14ac:dyDescent="0.25">
      <c r="B50" s="5" t="s">
        <v>572</v>
      </c>
      <c r="C50" s="6" t="e">
        <f>'C2.2 losslG,losslAttr'!BB10</f>
        <v>#DIV/0!</v>
      </c>
    </row>
    <row r="51" spans="2:7" x14ac:dyDescent="0.25">
      <c r="B51" s="7" t="s">
        <v>258</v>
      </c>
      <c r="C51" s="8" t="e">
        <f>'C2.2 losslG,losslAttr'!BB11</f>
        <v>#DIV/0!</v>
      </c>
    </row>
    <row r="52" spans="2:7" x14ac:dyDescent="0.25">
      <c r="B52" t="s">
        <v>268</v>
      </c>
      <c r="C52" s="6" t="e">
        <f>'C2.2 losslG,losslAttr'!AU15</f>
        <v>#NUM!</v>
      </c>
    </row>
    <row r="53" spans="2:7" x14ac:dyDescent="0.25">
      <c r="B53" s="9" t="s">
        <v>269</v>
      </c>
      <c r="C53" s="10" t="e">
        <f>'C2.2 losslG,losslAttr'!AW15</f>
        <v>#NUM!</v>
      </c>
    </row>
    <row r="55" spans="2:7" x14ac:dyDescent="0.25">
      <c r="B55" s="67" t="s">
        <v>737</v>
      </c>
      <c r="C55" s="68" t="s">
        <v>738</v>
      </c>
      <c r="D55" s="68"/>
      <c r="E55" s="68"/>
      <c r="F55" s="68"/>
      <c r="G55" s="68"/>
    </row>
    <row r="56" spans="2:7" x14ac:dyDescent="0.25">
      <c r="B56" s="67"/>
      <c r="C56" s="69" t="s">
        <v>409</v>
      </c>
      <c r="D56" s="69"/>
      <c r="E56" s="70" t="s">
        <v>412</v>
      </c>
      <c r="F56" s="70"/>
      <c r="G56" s="70"/>
    </row>
    <row r="57" spans="2:7" x14ac:dyDescent="0.25">
      <c r="B57" s="67"/>
      <c r="C57" s="4" t="s">
        <v>375</v>
      </c>
      <c r="D57" s="4" t="s">
        <v>739</v>
      </c>
      <c r="E57" s="14" t="s">
        <v>285</v>
      </c>
      <c r="F57" s="14" t="s">
        <v>353</v>
      </c>
      <c r="G57" s="14" t="s">
        <v>354</v>
      </c>
    </row>
    <row r="58" spans="2:7" x14ac:dyDescent="0.25">
      <c r="B58" s="5" t="s">
        <v>571</v>
      </c>
      <c r="C58" s="11">
        <f>'C2.3 lossyG,lossyAttr'!$BI$29:$BI$29</f>
        <v>-1.7347027562629347E-2</v>
      </c>
      <c r="D58" s="11">
        <f>'C2.3 lossyG,lossyAttr'!$BJ$29:$BJ$29</f>
        <v>-5.3077019110001455E-2</v>
      </c>
      <c r="E58" s="11">
        <f>'C2.3 lossyG,lossyAttr'!$BK$29:$BK$29</f>
        <v>-2.7466222228763104E-2</v>
      </c>
      <c r="F58" s="11">
        <f>'C2.3 lossyG,lossyAttr'!$BL$29:$BL$29</f>
        <v>-4.5335438061963773E-2</v>
      </c>
      <c r="G58" s="11">
        <f>'C2.3 lossyG,lossyAttr'!$BM$29:$BM$29</f>
        <v>-4.7434188469227506E-2</v>
      </c>
    </row>
    <row r="59" spans="2:7" x14ac:dyDescent="0.25">
      <c r="B59" s="5" t="s">
        <v>572</v>
      </c>
      <c r="C59" s="11">
        <f>'C2.3 lossyG,lossyAttr'!$BI$30:$BI$30</f>
        <v>-1.6126645141191664E-2</v>
      </c>
      <c r="D59" s="11">
        <f>'C2.3 lossyG,lossyAttr'!$BJ$30:$BJ$30</f>
        <v>-5.053758816066467E-2</v>
      </c>
      <c r="E59" s="11">
        <f>'C2.3 lossyG,lossyAttr'!$BK$30:$BK$30</f>
        <v>-2.7840170862660663E-2</v>
      </c>
      <c r="F59" s="11">
        <f>'C2.3 lossyG,lossyAttr'!$BL$30:$BL$30</f>
        <v>-3.8249181462975623E-2</v>
      </c>
      <c r="G59" s="11">
        <f>'C2.3 lossyG,lossyAttr'!$BM$30:$BM$30</f>
        <v>-3.8320403122759972E-2</v>
      </c>
    </row>
    <row r="60" spans="2:7" x14ac:dyDescent="0.25">
      <c r="B60" s="7" t="s">
        <v>258</v>
      </c>
      <c r="C60" s="12">
        <f>'C2.3 lossyG,lossyAttr'!$BI$31:$BI$31</f>
        <v>-1.710295107834181E-2</v>
      </c>
      <c r="D60" s="12">
        <f>'C2.3 lossyG,lossyAttr'!$BJ$31:$BJ$31</f>
        <v>-5.2569132920134098E-2</v>
      </c>
      <c r="E60" s="12">
        <f>'C2.3 lossyG,lossyAttr'!$BK$31:$BK$31</f>
        <v>-2.7541011955542614E-2</v>
      </c>
      <c r="F60" s="12">
        <f>'C2.3 lossyG,lossyAttr'!$BL$31:$BL$31</f>
        <v>-4.3918186742166146E-2</v>
      </c>
      <c r="G60" s="12">
        <f>'C2.3 lossyG,lossyAttr'!$BM$31:$BM$31</f>
        <v>-4.5611431399933997E-2</v>
      </c>
    </row>
    <row r="61" spans="2:7" x14ac:dyDescent="0.25">
      <c r="B61" t="s">
        <v>268</v>
      </c>
      <c r="C61" s="65" t="e">
        <f>'C2.3 lossyG,lossyAttr'!AX35</f>
        <v>#NUM!</v>
      </c>
      <c r="D61" s="65"/>
      <c r="E61" s="65"/>
      <c r="F61" s="65"/>
      <c r="G61" s="65"/>
    </row>
    <row r="62" spans="2:7" x14ac:dyDescent="0.25">
      <c r="B62" s="9" t="s">
        <v>269</v>
      </c>
      <c r="C62" s="66" t="e">
        <f>'C2.3 lossyG,lossyAttr'!AZ35</f>
        <v>#NUM!</v>
      </c>
      <c r="D62" s="66"/>
      <c r="E62" s="66"/>
      <c r="F62" s="66"/>
      <c r="G62" s="66"/>
    </row>
    <row r="64" spans="2:7" x14ac:dyDescent="0.25">
      <c r="B64" s="67" t="s">
        <v>824</v>
      </c>
      <c r="C64" s="68" t="s">
        <v>825</v>
      </c>
      <c r="D64" s="68"/>
      <c r="E64" s="68"/>
      <c r="F64" s="68"/>
      <c r="G64" s="68"/>
    </row>
    <row r="65" spans="2:7" x14ac:dyDescent="0.25">
      <c r="B65" s="67"/>
      <c r="C65" s="69" t="s">
        <v>409</v>
      </c>
      <c r="D65" s="69"/>
      <c r="E65" s="70" t="s">
        <v>412</v>
      </c>
      <c r="F65" s="70"/>
      <c r="G65" s="70"/>
    </row>
    <row r="66" spans="2:7" x14ac:dyDescent="0.25">
      <c r="B66" s="67"/>
      <c r="C66" s="4" t="s">
        <v>375</v>
      </c>
      <c r="D66" s="4" t="s">
        <v>739</v>
      </c>
      <c r="E66" s="14" t="s">
        <v>285</v>
      </c>
      <c r="F66" s="14" t="s">
        <v>353</v>
      </c>
      <c r="G66" s="14" t="s">
        <v>354</v>
      </c>
    </row>
    <row r="67" spans="2:7" x14ac:dyDescent="0.25">
      <c r="B67" s="5" t="s">
        <v>571</v>
      </c>
      <c r="C67" s="11">
        <f>'C2.4 lossyG,lossyAttr,interRA'!$BI$29:$BI$29</f>
        <v>-4.7635368525685368E-2</v>
      </c>
      <c r="D67" s="11">
        <f>'C2.4 lossyG,lossyAttr,interRA'!$BJ$29:$BJ$29</f>
        <v>-6.9869075164990052E-2</v>
      </c>
      <c r="E67" s="11">
        <f>'C2.4 lossyG,lossyAttr,interRA'!$BK$29:$BK$29</f>
        <v>-4.5188596594440134E-2</v>
      </c>
      <c r="F67" s="11">
        <f>'C2.4 lossyG,lossyAttr,interRA'!$BL$29:$BL$29</f>
        <v>-5.4983985552479242E-2</v>
      </c>
      <c r="G67" s="11">
        <f>'C2.4 lossyG,lossyAttr,interRA'!$BM$29:$BM$29</f>
        <v>-4.686044200935735E-2</v>
      </c>
    </row>
    <row r="68" spans="2:7" x14ac:dyDescent="0.25">
      <c r="B68" s="5" t="s">
        <v>572</v>
      </c>
      <c r="C68" s="11">
        <f>'C2.4 lossyG,lossyAttr,interRA'!$BI$30:$BI$30</f>
        <v>-3.6198740517959238E-2</v>
      </c>
      <c r="D68" s="11">
        <f>'C2.4 lossyG,lossyAttr,interRA'!$BJ$30:$BJ$30</f>
        <v>-5.5092590531276686E-2</v>
      </c>
      <c r="E68" s="11">
        <f>'C2.4 lossyG,lossyAttr,interRA'!$BK$30:$BK$30</f>
        <v>-3.1022177284859009E-2</v>
      </c>
      <c r="F68" s="11">
        <f>'C2.4 lossyG,lossyAttr,interRA'!$BL$30:$BL$30</f>
        <v>-3.2688084397626271E-2</v>
      </c>
      <c r="G68" s="11">
        <f>'C2.4 lossyG,lossyAttr,interRA'!$BM$30:$BM$30</f>
        <v>-3.5508136373907262E-2</v>
      </c>
    </row>
    <row r="69" spans="2:7" x14ac:dyDescent="0.25">
      <c r="B69" s="7" t="s">
        <v>258</v>
      </c>
      <c r="C69" s="12">
        <f>'C2.4 lossyG,lossyAttr,interRA'!$BI$31:$BI$31</f>
        <v>-4.5348042924140144E-2</v>
      </c>
      <c r="D69" s="12">
        <f>'C2.4 lossyG,lossyAttr,interRA'!$BJ$31:$BJ$31</f>
        <v>-6.6913778238247373E-2</v>
      </c>
      <c r="E69" s="12">
        <f>'C2.4 lossyG,lossyAttr,interRA'!$BK$31:$BK$31</f>
        <v>-4.2355312732523909E-2</v>
      </c>
      <c r="F69" s="12">
        <f>'C2.4 lossyG,lossyAttr,interRA'!$BL$31:$BL$31</f>
        <v>-5.0524805321508645E-2</v>
      </c>
      <c r="G69" s="12">
        <f>'C2.4 lossyG,lossyAttr,interRA'!$BM$31:$BM$31</f>
        <v>-4.458998088226733E-2</v>
      </c>
    </row>
    <row r="70" spans="2:7" x14ac:dyDescent="0.25">
      <c r="B70" t="s">
        <v>268</v>
      </c>
      <c r="C70" s="65" t="e">
        <f>'C2.4 lossyG,lossyAttr,interRA'!AX35</f>
        <v>#NUM!</v>
      </c>
      <c r="D70" s="65"/>
      <c r="E70" s="65"/>
      <c r="F70" s="65"/>
      <c r="G70" s="65"/>
    </row>
    <row r="71" spans="2:7" x14ac:dyDescent="0.25">
      <c r="B71" s="9" t="s">
        <v>269</v>
      </c>
      <c r="C71" s="66" t="e">
        <f>'C2.4 lossyG,lossyAttr,interRA'!AZ35</f>
        <v>#NUM!</v>
      </c>
      <c r="D71" s="66"/>
      <c r="E71" s="66"/>
      <c r="F71" s="66"/>
      <c r="G71" s="66"/>
    </row>
    <row r="73" spans="2:7" ht="45" x14ac:dyDescent="0.25">
      <c r="B73" s="67" t="s">
        <v>875</v>
      </c>
      <c r="C73" s="2" t="s">
        <v>876</v>
      </c>
    </row>
    <row r="74" spans="2:7" x14ac:dyDescent="0.25">
      <c r="B74" s="67"/>
      <c r="C74" s="3"/>
    </row>
    <row r="75" spans="2:7" x14ac:dyDescent="0.25">
      <c r="B75" s="67"/>
      <c r="C75" s="4" t="s">
        <v>267</v>
      </c>
    </row>
    <row r="76" spans="2:7" x14ac:dyDescent="0.25">
      <c r="B76" s="5" t="s">
        <v>571</v>
      </c>
      <c r="C76" s="6" t="e">
        <f>'C2.5 losslG,noAttr,interRA'!AH9</f>
        <v>#DIV/0!</v>
      </c>
    </row>
    <row r="77" spans="2:7" x14ac:dyDescent="0.25">
      <c r="B77" s="5" t="s">
        <v>572</v>
      </c>
      <c r="C77" s="6" t="e">
        <f>'C2.5 losslG,noAttr,interRA'!AH10</f>
        <v>#DIV/0!</v>
      </c>
    </row>
    <row r="78" spans="2:7" x14ac:dyDescent="0.25">
      <c r="B78" s="7" t="s">
        <v>258</v>
      </c>
      <c r="C78" s="8" t="e">
        <f>'C2.5 losslG,noAttr,interRA'!AH11</f>
        <v>#DIV/0!</v>
      </c>
    </row>
    <row r="79" spans="2:7" x14ac:dyDescent="0.25">
      <c r="B79" t="s">
        <v>268</v>
      </c>
      <c r="C79" s="6" t="e">
        <f>'C2.5 losslG,noAttr,interRA'!AC15</f>
        <v>#NUM!</v>
      </c>
    </row>
    <row r="80" spans="2:7" x14ac:dyDescent="0.25">
      <c r="B80" s="9" t="s">
        <v>269</v>
      </c>
      <c r="C80" s="10" t="e">
        <f>'C2.5 losslG,noAttr,interRA'!AE15</f>
        <v>#NUM!</v>
      </c>
    </row>
    <row r="82" spans="2:3" ht="45" x14ac:dyDescent="0.25">
      <c r="B82" s="67" t="s">
        <v>948</v>
      </c>
      <c r="C82" s="2" t="s">
        <v>949</v>
      </c>
    </row>
    <row r="83" spans="2:3" x14ac:dyDescent="0.25">
      <c r="B83" s="67"/>
      <c r="C83" s="3"/>
    </row>
    <row r="84" spans="2:3" x14ac:dyDescent="0.25">
      <c r="B84" s="67"/>
      <c r="C84" s="4" t="s">
        <v>267</v>
      </c>
    </row>
    <row r="85" spans="2:3" x14ac:dyDescent="0.25">
      <c r="B85" s="5" t="s">
        <v>571</v>
      </c>
      <c r="C85" s="6" t="e">
        <f>'C2.6 losslG,losslAttr,interRA'!BB9</f>
        <v>#DIV/0!</v>
      </c>
    </row>
    <row r="86" spans="2:3" x14ac:dyDescent="0.25">
      <c r="B86" s="5" t="s">
        <v>572</v>
      </c>
      <c r="C86" s="6" t="e">
        <f>'C2.6 losslG,losslAttr,interRA'!BB10</f>
        <v>#DIV/0!</v>
      </c>
    </row>
    <row r="87" spans="2:3" x14ac:dyDescent="0.25">
      <c r="B87" s="7" t="s">
        <v>258</v>
      </c>
      <c r="C87" s="8" t="e">
        <f>'C2.6 losslG,losslAttr,interRA'!BB11</f>
        <v>#DIV/0!</v>
      </c>
    </row>
    <row r="88" spans="2:3" x14ac:dyDescent="0.25">
      <c r="B88" t="s">
        <v>268</v>
      </c>
      <c r="C88" s="6" t="e">
        <f>'C2.6 losslG,losslAttr,interRA'!AU15</f>
        <v>#NUM!</v>
      </c>
    </row>
    <row r="89" spans="2:3" x14ac:dyDescent="0.25">
      <c r="B89" s="9" t="s">
        <v>269</v>
      </c>
      <c r="C89" s="10" t="e">
        <f>'C2.6 losslG,losslAttr,interRA'!AW15</f>
        <v>#NUM!</v>
      </c>
    </row>
    <row r="91" spans="2:3" s="1" customFormat="1" x14ac:dyDescent="0.25">
      <c r="B91" s="1" t="s">
        <v>1003</v>
      </c>
    </row>
    <row r="93" spans="2:3" ht="30" x14ac:dyDescent="0.25">
      <c r="B93" s="67" t="s">
        <v>1004</v>
      </c>
      <c r="C93" s="2" t="s">
        <v>266</v>
      </c>
    </row>
    <row r="94" spans="2:3" x14ac:dyDescent="0.25">
      <c r="B94" s="67"/>
      <c r="C94" s="3"/>
    </row>
    <row r="95" spans="2:3" x14ac:dyDescent="0.25">
      <c r="B95" s="67"/>
      <c r="C95" s="4" t="s">
        <v>267</v>
      </c>
    </row>
    <row r="96" spans="2:3" x14ac:dyDescent="0.25">
      <c r="B96" s="5" t="s">
        <v>1001</v>
      </c>
      <c r="C96" s="6" t="e">
        <f>'C3.1 losslG,noAttr'!Z10</f>
        <v>#DIV/0!</v>
      </c>
    </row>
    <row r="97" spans="2:5" x14ac:dyDescent="0.25">
      <c r="B97" s="5" t="s">
        <v>1002</v>
      </c>
      <c r="C97" s="6" t="e">
        <f>'C3.1 losslG,noAttr'!Z11</f>
        <v>#DIV/0!</v>
      </c>
    </row>
    <row r="98" spans="2:5" x14ac:dyDescent="0.25">
      <c r="B98" s="7" t="s">
        <v>258</v>
      </c>
      <c r="C98" s="8" t="e">
        <f>'C3.1 losslG,noAttr'!Z12</f>
        <v>#DIV/0!</v>
      </c>
    </row>
    <row r="99" spans="2:5" x14ac:dyDescent="0.25">
      <c r="B99" t="s">
        <v>268</v>
      </c>
      <c r="C99" s="6" t="e">
        <f>'C3.1 losslG,noAttr'!W16</f>
        <v>#NUM!</v>
      </c>
    </row>
    <row r="100" spans="2:5" x14ac:dyDescent="0.25">
      <c r="B100" s="9" t="s">
        <v>269</v>
      </c>
      <c r="C100" s="10" t="e">
        <f>'C3.1 losslG,noAttr'!X16</f>
        <v>#NUM!</v>
      </c>
    </row>
    <row r="102" spans="2:5" x14ac:dyDescent="0.25">
      <c r="B102" s="67" t="s">
        <v>1056</v>
      </c>
      <c r="C102" s="68" t="s">
        <v>352</v>
      </c>
      <c r="D102" s="68"/>
      <c r="E102" s="68"/>
    </row>
    <row r="103" spans="2:5" x14ac:dyDescent="0.25">
      <c r="B103" s="67"/>
      <c r="C103" s="69" t="s">
        <v>412</v>
      </c>
      <c r="D103" s="69"/>
      <c r="E103" s="69"/>
    </row>
    <row r="104" spans="2:5" x14ac:dyDescent="0.25">
      <c r="B104" s="67"/>
      <c r="C104" s="4" t="s">
        <v>285</v>
      </c>
      <c r="D104" s="4" t="s">
        <v>353</v>
      </c>
      <c r="E104" s="4" t="s">
        <v>354</v>
      </c>
    </row>
    <row r="105" spans="2:5" x14ac:dyDescent="0.25">
      <c r="B105" s="7" t="s">
        <v>258</v>
      </c>
      <c r="C105" s="12" t="e">
        <f>'C3.2 losslG,lossyC'!$AI$22:$AI$22</f>
        <v>#VALUE!</v>
      </c>
      <c r="D105" s="12" t="e">
        <f>'C3.2 losslG,lossyC'!$AJ$22:$AJ$22</f>
        <v>#VALUE!</v>
      </c>
      <c r="E105" s="12" t="e">
        <f>'C3.2 losslG,lossyC'!$AK$22:$AK$22</f>
        <v>#VALUE!</v>
      </c>
    </row>
    <row r="106" spans="2:5" x14ac:dyDescent="0.25">
      <c r="B106" t="s">
        <v>268</v>
      </c>
      <c r="C106" s="65" t="e">
        <f>'C3.2 losslG,lossyC'!AF26</f>
        <v>#NUM!</v>
      </c>
      <c r="D106" s="65"/>
      <c r="E106" s="65"/>
    </row>
    <row r="107" spans="2:5" x14ac:dyDescent="0.25">
      <c r="B107" s="9" t="s">
        <v>269</v>
      </c>
      <c r="C107" s="66" t="e">
        <f>'C3.2 losslG,lossyC'!AG26</f>
        <v>#NUM!</v>
      </c>
      <c r="D107" s="66"/>
      <c r="E107" s="66"/>
    </row>
    <row r="109" spans="2:5" ht="30" x14ac:dyDescent="0.25">
      <c r="B109" s="67" t="s">
        <v>1102</v>
      </c>
      <c r="C109" s="2" t="s">
        <v>1103</v>
      </c>
    </row>
    <row r="110" spans="2:5" ht="30" x14ac:dyDescent="0.25">
      <c r="B110" s="67"/>
      <c r="C110" s="3" t="s">
        <v>412</v>
      </c>
    </row>
    <row r="111" spans="2:5" x14ac:dyDescent="0.25">
      <c r="B111" s="67"/>
      <c r="C111" s="4" t="s">
        <v>1072</v>
      </c>
    </row>
    <row r="112" spans="2:5" x14ac:dyDescent="0.25">
      <c r="B112" s="7" t="s">
        <v>258</v>
      </c>
      <c r="C112" s="12" t="e">
        <f>'C3.3 losslG,lossyR'!$AC$22:$AC$22</f>
        <v>#VALUE!</v>
      </c>
    </row>
    <row r="113" spans="2:4" x14ac:dyDescent="0.25">
      <c r="B113" t="s">
        <v>268</v>
      </c>
      <c r="C113" s="6" t="e">
        <f>'C3.3 losslG,lossyR'!Z26</f>
        <v>#NUM!</v>
      </c>
    </row>
    <row r="114" spans="2:4" x14ac:dyDescent="0.25">
      <c r="B114" s="9" t="s">
        <v>269</v>
      </c>
      <c r="C114" s="10" t="e">
        <f>'C3.3 losslG,lossyR'!AA26</f>
        <v>#NUM!</v>
      </c>
    </row>
    <row r="116" spans="2:4" x14ac:dyDescent="0.25">
      <c r="B116" s="67" t="s">
        <v>1151</v>
      </c>
      <c r="C116" s="68" t="s">
        <v>1152</v>
      </c>
      <c r="D116" s="68"/>
    </row>
    <row r="117" spans="2:4" x14ac:dyDescent="0.25">
      <c r="B117" s="67"/>
      <c r="C117" s="69" t="s">
        <v>409</v>
      </c>
      <c r="D117" s="69"/>
    </row>
    <row r="118" spans="2:4" x14ac:dyDescent="0.25">
      <c r="B118" s="67"/>
      <c r="C118" s="4" t="s">
        <v>375</v>
      </c>
      <c r="D118" s="4" t="s">
        <v>739</v>
      </c>
    </row>
    <row r="119" spans="2:4" x14ac:dyDescent="0.25">
      <c r="B119" s="5" t="s">
        <v>1001</v>
      </c>
      <c r="C119" s="11" t="e">
        <f>'C3.4 lossyG,noAttr'!$AC$40:$AC$40</f>
        <v>#VALUE!</v>
      </c>
      <c r="D119" s="11" t="e">
        <f>'C3.4 lossyG,noAttr'!$AD$40:$AD$40</f>
        <v>#VALUE!</v>
      </c>
    </row>
    <row r="120" spans="2:4" x14ac:dyDescent="0.25">
      <c r="B120" s="5" t="s">
        <v>1002</v>
      </c>
      <c r="C120" s="11" t="e">
        <f>'C3.4 lossyG,noAttr'!$AC$41:$AC$41</f>
        <v>#VALUE!</v>
      </c>
      <c r="D120" s="11" t="e">
        <f>'C3.4 lossyG,noAttr'!$AD$41:$AD$41</f>
        <v>#VALUE!</v>
      </c>
    </row>
    <row r="121" spans="2:4" x14ac:dyDescent="0.25">
      <c r="B121" s="7" t="s">
        <v>258</v>
      </c>
      <c r="C121" s="12" t="e">
        <f>'C3.4 lossyG,noAttr'!$AC$42:$AC$42</f>
        <v>#VALUE!</v>
      </c>
      <c r="D121" s="12" t="e">
        <f>'C3.4 lossyG,noAttr'!$AD$42:$AD$42</f>
        <v>#VALUE!</v>
      </c>
    </row>
    <row r="122" spans="2:4" x14ac:dyDescent="0.25">
      <c r="B122" t="s">
        <v>268</v>
      </c>
      <c r="C122" s="65" t="e">
        <f>'C3.4 lossyG,noAttr'!Z46</f>
        <v>#NUM!</v>
      </c>
      <c r="D122" s="65"/>
    </row>
    <row r="123" spans="2:4" x14ac:dyDescent="0.25">
      <c r="B123" s="9" t="s">
        <v>269</v>
      </c>
      <c r="C123" s="66" t="e">
        <f>'C3.4 lossyG,noAttr'!AA46</f>
        <v>#NUM!</v>
      </c>
      <c r="D123" s="66"/>
    </row>
    <row r="125" spans="2:4" x14ac:dyDescent="0.25">
      <c r="B125" s="67" t="s">
        <v>1194</v>
      </c>
      <c r="C125" s="68" t="s">
        <v>1195</v>
      </c>
      <c r="D125" s="68"/>
    </row>
    <row r="126" spans="2:4" x14ac:dyDescent="0.25">
      <c r="B126" s="67"/>
      <c r="C126" s="69" t="s">
        <v>409</v>
      </c>
      <c r="D126" s="69"/>
    </row>
    <row r="127" spans="2:4" x14ac:dyDescent="0.25">
      <c r="B127" s="67"/>
      <c r="C127" s="4" t="s">
        <v>375</v>
      </c>
      <c r="D127" s="4" t="s">
        <v>739</v>
      </c>
    </row>
    <row r="128" spans="2:4" x14ac:dyDescent="0.25">
      <c r="B128" s="7" t="s">
        <v>258</v>
      </c>
      <c r="C128" s="12" t="e">
        <f>'C3.5 lossyG,noAttr,interRA'!$AC$22:$AC$22</f>
        <v>#VALUE!</v>
      </c>
      <c r="D128" s="12" t="e">
        <f>'C3.5 lossyG,noAttr,interRA'!$AD$22:$AD$22</f>
        <v>#VALUE!</v>
      </c>
    </row>
    <row r="129" spans="2:5" x14ac:dyDescent="0.25">
      <c r="B129" t="s">
        <v>268</v>
      </c>
      <c r="C129" s="65" t="e">
        <f>'C3.5 lossyG,noAttr,interRA'!Z26</f>
        <v>#NUM!</v>
      </c>
      <c r="D129" s="65"/>
    </row>
    <row r="130" spans="2:5" x14ac:dyDescent="0.25">
      <c r="B130" s="9" t="s">
        <v>269</v>
      </c>
      <c r="C130" s="66" t="e">
        <f>'C3.5 lossyG,noAttr,interRA'!AA26</f>
        <v>#NUM!</v>
      </c>
      <c r="D130" s="66"/>
    </row>
    <row r="132" spans="2:5" x14ac:dyDescent="0.25">
      <c r="B132" s="67" t="s">
        <v>1240</v>
      </c>
      <c r="C132" s="68" t="s">
        <v>1241</v>
      </c>
      <c r="D132" s="68"/>
      <c r="E132" s="68"/>
    </row>
    <row r="133" spans="2:5" ht="30" x14ac:dyDescent="0.25">
      <c r="B133" s="67"/>
      <c r="C133" s="69" t="s">
        <v>409</v>
      </c>
      <c r="D133" s="69"/>
      <c r="E133" s="13" t="s">
        <v>412</v>
      </c>
    </row>
    <row r="134" spans="2:5" x14ac:dyDescent="0.25">
      <c r="B134" s="67"/>
      <c r="C134" s="4" t="s">
        <v>375</v>
      </c>
      <c r="D134" s="4" t="s">
        <v>739</v>
      </c>
      <c r="E134" s="14" t="s">
        <v>1072</v>
      </c>
    </row>
    <row r="135" spans="2:5" x14ac:dyDescent="0.25">
      <c r="B135" s="7" t="s">
        <v>258</v>
      </c>
      <c r="C135" s="12" t="e">
        <f>'C3.6 lossyG,lossyR'!$AE$22:$AE$22</f>
        <v>#VALUE!</v>
      </c>
      <c r="D135" s="12" t="e">
        <f>'C3.6 lossyG,lossyR'!$AF$22:$AF$22</f>
        <v>#VALUE!</v>
      </c>
      <c r="E135" s="12" t="e">
        <f>'C3.6 lossyG,lossyR'!$AG$22:$AG$22</f>
        <v>#VALUE!</v>
      </c>
    </row>
    <row r="136" spans="2:5" x14ac:dyDescent="0.25">
      <c r="B136" t="s">
        <v>268</v>
      </c>
      <c r="C136" s="65" t="e">
        <f>'C3.6 lossyG,lossyR'!AB26</f>
        <v>#NUM!</v>
      </c>
      <c r="D136" s="65"/>
      <c r="E136" s="65"/>
    </row>
    <row r="137" spans="2:5" x14ac:dyDescent="0.25">
      <c r="B137" s="9" t="s">
        <v>269</v>
      </c>
      <c r="C137" s="66" t="e">
        <f>'C3.6 lossyG,lossyR'!AC26</f>
        <v>#NUM!</v>
      </c>
      <c r="D137" s="66"/>
      <c r="E137" s="66"/>
    </row>
    <row r="139" spans="2:5" x14ac:dyDescent="0.25">
      <c r="B139" s="67" t="s">
        <v>1286</v>
      </c>
      <c r="C139" s="68" t="s">
        <v>1287</v>
      </c>
      <c r="D139" s="68"/>
      <c r="E139" s="68"/>
    </row>
    <row r="140" spans="2:5" ht="30" x14ac:dyDescent="0.25">
      <c r="B140" s="67"/>
      <c r="C140" s="69" t="s">
        <v>409</v>
      </c>
      <c r="D140" s="69"/>
      <c r="E140" s="13" t="s">
        <v>412</v>
      </c>
    </row>
    <row r="141" spans="2:5" x14ac:dyDescent="0.25">
      <c r="B141" s="67"/>
      <c r="C141" s="4" t="s">
        <v>375</v>
      </c>
      <c r="D141" s="4" t="s">
        <v>739</v>
      </c>
      <c r="E141" s="14" t="s">
        <v>1072</v>
      </c>
    </row>
    <row r="142" spans="2:5" x14ac:dyDescent="0.25">
      <c r="B142" s="7" t="s">
        <v>258</v>
      </c>
      <c r="C142" s="12" t="e">
        <f>'C3.7 lossyG,lossyR,interRA'!$AE$22:$AE$22</f>
        <v>#VALUE!</v>
      </c>
      <c r="D142" s="12" t="e">
        <f>'C3.7 lossyG,lossyR,interRA'!$AF$22:$AF$22</f>
        <v>#VALUE!</v>
      </c>
      <c r="E142" s="12" t="e">
        <f>'C3.7 lossyG,lossyR,interRA'!$AG$22:$AG$22</f>
        <v>#VALUE!</v>
      </c>
    </row>
    <row r="143" spans="2:5" x14ac:dyDescent="0.25">
      <c r="B143" t="s">
        <v>268</v>
      </c>
      <c r="C143" s="65" t="e">
        <f>'C3.7 lossyG,lossyR,interRA'!AB26</f>
        <v>#NUM!</v>
      </c>
      <c r="D143" s="65"/>
      <c r="E143" s="65"/>
    </row>
    <row r="144" spans="2:5" x14ac:dyDescent="0.25">
      <c r="B144" s="9" t="s">
        <v>269</v>
      </c>
      <c r="C144" s="66" t="e">
        <f>'C3.7 lossyG,lossyR,interRA'!AC26</f>
        <v>#NUM!</v>
      </c>
      <c r="D144" s="66"/>
      <c r="E144" s="66"/>
    </row>
    <row r="146" spans="2:3" ht="30" x14ac:dyDescent="0.25">
      <c r="B146" s="67" t="s">
        <v>1321</v>
      </c>
      <c r="C146" s="2" t="s">
        <v>1322</v>
      </c>
    </row>
    <row r="147" spans="2:3" x14ac:dyDescent="0.25">
      <c r="B147" s="67"/>
      <c r="C147" s="3"/>
    </row>
    <row r="148" spans="2:3" x14ac:dyDescent="0.25">
      <c r="B148" s="67"/>
      <c r="C148" s="4" t="s">
        <v>267</v>
      </c>
    </row>
    <row r="149" spans="2:3" x14ac:dyDescent="0.25">
      <c r="B149" s="7" t="s">
        <v>258</v>
      </c>
      <c r="C149" s="8" t="e">
        <f>'C3.W losslG,losslC'!V7</f>
        <v>#DIV/0!</v>
      </c>
    </row>
    <row r="150" spans="2:3" x14ac:dyDescent="0.25">
      <c r="B150" t="s">
        <v>268</v>
      </c>
      <c r="C150" s="6" t="e">
        <f>'C3.W losslG,losslC'!S11</f>
        <v>#NUM!</v>
      </c>
    </row>
    <row r="151" spans="2:3" x14ac:dyDescent="0.25">
      <c r="B151" s="9" t="s">
        <v>269</v>
      </c>
      <c r="C151" s="10" t="e">
        <f>'C3.W losslG,losslC'!T11</f>
        <v>#NUM!</v>
      </c>
    </row>
    <row r="153" spans="2:3" ht="45" x14ac:dyDescent="0.25">
      <c r="B153" s="67" t="s">
        <v>1366</v>
      </c>
      <c r="C153" s="2" t="s">
        <v>1367</v>
      </c>
    </row>
    <row r="154" spans="2:3" x14ac:dyDescent="0.25">
      <c r="B154" s="67"/>
      <c r="C154" s="3"/>
    </row>
    <row r="155" spans="2:3" x14ac:dyDescent="0.25">
      <c r="B155" s="67"/>
      <c r="C155" s="4" t="s">
        <v>267</v>
      </c>
    </row>
    <row r="156" spans="2:3" x14ac:dyDescent="0.25">
      <c r="B156" s="5" t="s">
        <v>1001</v>
      </c>
      <c r="C156" s="6" t="e">
        <f>'C3.X losslG,losslR'!Z10</f>
        <v>#DIV/0!</v>
      </c>
    </row>
    <row r="157" spans="2:3" x14ac:dyDescent="0.25">
      <c r="B157" s="5" t="s">
        <v>1002</v>
      </c>
      <c r="C157" s="6" t="e">
        <f>'C3.X losslG,losslR'!Z11</f>
        <v>#DIV/0!</v>
      </c>
    </row>
    <row r="158" spans="2:3" x14ac:dyDescent="0.25">
      <c r="B158" s="7" t="s">
        <v>258</v>
      </c>
      <c r="C158" s="8" t="e">
        <f>'C3.X losslG,losslR'!Z12</f>
        <v>#DIV/0!</v>
      </c>
    </row>
    <row r="159" spans="2:3" x14ac:dyDescent="0.25">
      <c r="B159" t="s">
        <v>268</v>
      </c>
      <c r="C159" s="6" t="e">
        <f>'C3.X losslG,losslR'!W16</f>
        <v>#NUM!</v>
      </c>
    </row>
    <row r="160" spans="2:3" x14ac:dyDescent="0.25">
      <c r="B160" s="9" t="s">
        <v>269</v>
      </c>
      <c r="C160" s="10" t="e">
        <f>'C3.X losslG,losslR'!X16</f>
        <v>#NUM!</v>
      </c>
    </row>
    <row r="162" spans="2:5" x14ac:dyDescent="0.25">
      <c r="B162" s="67" t="s">
        <v>1419</v>
      </c>
      <c r="C162" s="68" t="s">
        <v>1420</v>
      </c>
      <c r="D162" s="68"/>
      <c r="E162" s="68"/>
    </row>
    <row r="163" spans="2:5" x14ac:dyDescent="0.25">
      <c r="B163" s="67"/>
      <c r="C163" s="69" t="s">
        <v>1404</v>
      </c>
      <c r="D163" s="69"/>
      <c r="E163" s="69"/>
    </row>
    <row r="164" spans="2:5" x14ac:dyDescent="0.25">
      <c r="B164" s="67"/>
      <c r="C164" s="4" t="s">
        <v>285</v>
      </c>
      <c r="D164" s="4" t="s">
        <v>353</v>
      </c>
      <c r="E164" s="4" t="s">
        <v>354</v>
      </c>
    </row>
    <row r="165" spans="2:5" x14ac:dyDescent="0.25">
      <c r="B165" s="7" t="s">
        <v>258</v>
      </c>
      <c r="C165" s="12" t="e">
        <f>'C3.Y losslG,nearllC'!$AK$19:$AK$19</f>
        <v>#VALUE!</v>
      </c>
      <c r="D165" s="12" t="e">
        <f>'C3.Y losslG,nearllC'!$AL$19:$AL$19</f>
        <v>#VALUE!</v>
      </c>
      <c r="E165" s="12" t="e">
        <f>'C3.Y losslG,nearllC'!$AM$19:$AM$19</f>
        <v>#VALUE!</v>
      </c>
    </row>
    <row r="166" spans="2:5" x14ac:dyDescent="0.25">
      <c r="B166" t="s">
        <v>268</v>
      </c>
      <c r="C166" s="65" t="e">
        <f>'C3.Y losslG,nearllC'!AD23</f>
        <v>#NUM!</v>
      </c>
      <c r="D166" s="65"/>
      <c r="E166" s="65"/>
    </row>
    <row r="167" spans="2:5" x14ac:dyDescent="0.25">
      <c r="B167" s="9" t="s">
        <v>269</v>
      </c>
      <c r="C167" s="66" t="e">
        <f>'C3.Y losslG,nearllC'!AE23</f>
        <v>#NUM!</v>
      </c>
      <c r="D167" s="66"/>
      <c r="E167" s="66"/>
    </row>
    <row r="169" spans="2:5" ht="45" x14ac:dyDescent="0.25">
      <c r="B169" s="67" t="s">
        <v>1470</v>
      </c>
      <c r="C169" s="2" t="s">
        <v>1471</v>
      </c>
    </row>
    <row r="170" spans="2:5" ht="30" x14ac:dyDescent="0.25">
      <c r="B170" s="67"/>
      <c r="C170" s="3" t="s">
        <v>1404</v>
      </c>
    </row>
    <row r="171" spans="2:5" x14ac:dyDescent="0.25">
      <c r="B171" s="67"/>
      <c r="C171" s="4" t="s">
        <v>1072</v>
      </c>
    </row>
    <row r="172" spans="2:5" x14ac:dyDescent="0.25">
      <c r="B172" s="5" t="s">
        <v>1001</v>
      </c>
      <c r="C172" s="11" t="e">
        <f>'C3.Z losslG,nearllR'!$AE$34:$AE$34</f>
        <v>#VALUE!</v>
      </c>
    </row>
    <row r="173" spans="2:5" x14ac:dyDescent="0.25">
      <c r="B173" s="5" t="s">
        <v>1002</v>
      </c>
      <c r="C173" s="11" t="e">
        <f>'C3.Z losslG,nearllR'!$AE$35:$AE$35</f>
        <v>#VALUE!</v>
      </c>
    </row>
    <row r="174" spans="2:5" x14ac:dyDescent="0.25">
      <c r="B174" s="7" t="s">
        <v>258</v>
      </c>
      <c r="C174" s="12" t="e">
        <f>'C3.Z losslG,nearllR'!$AE$36:$AE$36</f>
        <v>#VALUE!</v>
      </c>
    </row>
    <row r="175" spans="2:5" x14ac:dyDescent="0.25">
      <c r="B175" t="s">
        <v>268</v>
      </c>
      <c r="C175" s="6" t="e">
        <f>'C3.Z losslG,nearllR'!Z40</f>
        <v>#NUM!</v>
      </c>
    </row>
    <row r="176" spans="2:5" x14ac:dyDescent="0.25">
      <c r="B176" s="9" t="s">
        <v>269</v>
      </c>
      <c r="C176" s="10" t="e">
        <f>'C3.Z losslG,nearllR'!AA40</f>
        <v>#NUM!</v>
      </c>
    </row>
  </sheetData>
  <mergeCells count="64">
    <mergeCell ref="C1:E1"/>
    <mergeCell ref="C2:E2"/>
    <mergeCell ref="B6:B8"/>
    <mergeCell ref="B16:B18"/>
    <mergeCell ref="C16:E16"/>
    <mergeCell ref="C17:E17"/>
    <mergeCell ref="C22:E22"/>
    <mergeCell ref="C23:E23"/>
    <mergeCell ref="B25:B27"/>
    <mergeCell ref="C25:E25"/>
    <mergeCell ref="C26:E26"/>
    <mergeCell ref="C32:E32"/>
    <mergeCell ref="C33:E33"/>
    <mergeCell ref="B37:B39"/>
    <mergeCell ref="B46:B48"/>
    <mergeCell ref="B55:B57"/>
    <mergeCell ref="C55:G55"/>
    <mergeCell ref="C56:D56"/>
    <mergeCell ref="E56:G56"/>
    <mergeCell ref="C61:G61"/>
    <mergeCell ref="C62:G62"/>
    <mergeCell ref="B64:B66"/>
    <mergeCell ref="C64:G64"/>
    <mergeCell ref="C65:D65"/>
    <mergeCell ref="E65:G65"/>
    <mergeCell ref="C70:G70"/>
    <mergeCell ref="C71:G71"/>
    <mergeCell ref="B73:B75"/>
    <mergeCell ref="B82:B84"/>
    <mergeCell ref="B93:B95"/>
    <mergeCell ref="B102:B104"/>
    <mergeCell ref="C102:E102"/>
    <mergeCell ref="C103:E103"/>
    <mergeCell ref="C106:E106"/>
    <mergeCell ref="C107:E107"/>
    <mergeCell ref="B109:B111"/>
    <mergeCell ref="B116:B118"/>
    <mergeCell ref="C116:D116"/>
    <mergeCell ref="C117:D117"/>
    <mergeCell ref="C122:D122"/>
    <mergeCell ref="C123:D123"/>
    <mergeCell ref="B125:B127"/>
    <mergeCell ref="C125:D125"/>
    <mergeCell ref="C126:D126"/>
    <mergeCell ref="C129:D129"/>
    <mergeCell ref="C130:D130"/>
    <mergeCell ref="B132:B134"/>
    <mergeCell ref="C132:E132"/>
    <mergeCell ref="C133:D133"/>
    <mergeCell ref="C136:E136"/>
    <mergeCell ref="C137:E137"/>
    <mergeCell ref="B139:B141"/>
    <mergeCell ref="C139:E139"/>
    <mergeCell ref="C140:D140"/>
    <mergeCell ref="C143:E143"/>
    <mergeCell ref="C166:E166"/>
    <mergeCell ref="C167:E167"/>
    <mergeCell ref="B169:B171"/>
    <mergeCell ref="C144:E144"/>
    <mergeCell ref="B146:B148"/>
    <mergeCell ref="B153:B155"/>
    <mergeCell ref="B162:B164"/>
    <mergeCell ref="C162:E162"/>
    <mergeCell ref="C163:E163"/>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election activeCell="B2" sqref="B2"/>
    </sheetView>
  </sheetViews>
  <sheetFormatPr defaultRowHeight="15" x14ac:dyDescent="0.25"/>
  <cols>
    <col min="1" max="1" width="12.7109375" customWidth="1"/>
    <col min="2" max="2" width="24.7109375" customWidth="1"/>
    <col min="4" max="4" width="24.7109375" customWidth="1"/>
    <col min="9" max="9" width="16.7109375" customWidth="1"/>
  </cols>
  <sheetData>
    <row r="1" spans="1:32" x14ac:dyDescent="0.25">
      <c r="A1" t="s">
        <v>85</v>
      </c>
      <c r="B1" s="15" t="s">
        <v>270</v>
      </c>
      <c r="C1" t="s">
        <v>86</v>
      </c>
      <c r="I1" t="s">
        <v>4</v>
      </c>
      <c r="M1" t="s">
        <v>270</v>
      </c>
      <c r="N1" t="s">
        <v>355</v>
      </c>
      <c r="O1" t="s">
        <v>506</v>
      </c>
      <c r="P1" t="s">
        <v>575</v>
      </c>
      <c r="Q1" t="s">
        <v>652</v>
      </c>
      <c r="R1" t="s">
        <v>740</v>
      </c>
      <c r="S1" t="s">
        <v>826</v>
      </c>
      <c r="T1" t="s">
        <v>877</v>
      </c>
      <c r="U1" t="s">
        <v>950</v>
      </c>
      <c r="V1" t="s">
        <v>1005</v>
      </c>
      <c r="W1" t="s">
        <v>1057</v>
      </c>
      <c r="X1" t="s">
        <v>1104</v>
      </c>
      <c r="Y1" t="s">
        <v>1153</v>
      </c>
      <c r="Z1" t="s">
        <v>1196</v>
      </c>
      <c r="AA1" t="s">
        <v>1242</v>
      </c>
      <c r="AB1" t="s">
        <v>1288</v>
      </c>
      <c r="AC1" t="s">
        <v>1323</v>
      </c>
      <c r="AD1" t="s">
        <v>1368</v>
      </c>
      <c r="AE1" t="s">
        <v>1421</v>
      </c>
      <c r="AF1" t="s">
        <v>1472</v>
      </c>
    </row>
    <row r="2" spans="1:32" x14ac:dyDescent="0.25">
      <c r="A2" t="s">
        <v>87</v>
      </c>
      <c r="B2" s="15" t="s">
        <v>141</v>
      </c>
      <c r="C2" t="s">
        <v>88</v>
      </c>
      <c r="I2" t="s">
        <v>5</v>
      </c>
      <c r="J2" t="s">
        <v>6</v>
      </c>
      <c r="M2" t="s">
        <v>272</v>
      </c>
      <c r="N2" t="s">
        <v>357</v>
      </c>
      <c r="O2" t="s">
        <v>508</v>
      </c>
      <c r="P2" t="s">
        <v>577</v>
      </c>
      <c r="Q2" t="s">
        <v>654</v>
      </c>
      <c r="R2" t="s">
        <v>742</v>
      </c>
      <c r="S2" t="s">
        <v>828</v>
      </c>
      <c r="T2" t="s">
        <v>879</v>
      </c>
      <c r="U2" t="s">
        <v>952</v>
      </c>
      <c r="V2" t="s">
        <v>1007</v>
      </c>
      <c r="W2" t="s">
        <v>1059</v>
      </c>
      <c r="X2" t="s">
        <v>1106</v>
      </c>
      <c r="Y2" t="s">
        <v>1155</v>
      </c>
      <c r="Z2" t="s">
        <v>1198</v>
      </c>
      <c r="AA2" t="s">
        <v>1244</v>
      </c>
      <c r="AB2" t="s">
        <v>1290</v>
      </c>
      <c r="AC2" t="s">
        <v>1325</v>
      </c>
      <c r="AD2" t="s">
        <v>1370</v>
      </c>
      <c r="AE2" t="s">
        <v>1423</v>
      </c>
      <c r="AF2" t="s">
        <v>1474</v>
      </c>
    </row>
    <row r="3" spans="1:32" x14ac:dyDescent="0.25">
      <c r="I3" t="s">
        <v>7</v>
      </c>
      <c r="J3" t="s">
        <v>8</v>
      </c>
      <c r="M3" t="s">
        <v>141</v>
      </c>
      <c r="N3" t="s">
        <v>147</v>
      </c>
      <c r="O3" t="s">
        <v>141</v>
      </c>
      <c r="P3" t="s">
        <v>554</v>
      </c>
      <c r="Q3" t="s">
        <v>554</v>
      </c>
      <c r="R3" t="s">
        <v>554</v>
      </c>
      <c r="S3" t="s">
        <v>554</v>
      </c>
      <c r="T3" t="s">
        <v>554</v>
      </c>
      <c r="U3" t="s">
        <v>554</v>
      </c>
      <c r="V3" t="s">
        <v>981</v>
      </c>
      <c r="W3" t="s">
        <v>981</v>
      </c>
      <c r="X3" t="s">
        <v>981</v>
      </c>
      <c r="Y3" t="s">
        <v>981</v>
      </c>
      <c r="Z3" t="s">
        <v>991</v>
      </c>
      <c r="AA3" t="s">
        <v>991</v>
      </c>
      <c r="AB3" t="s">
        <v>991</v>
      </c>
      <c r="AC3" t="s">
        <v>981</v>
      </c>
      <c r="AD3" t="s">
        <v>981</v>
      </c>
      <c r="AE3" t="s">
        <v>981</v>
      </c>
      <c r="AF3" t="s">
        <v>981</v>
      </c>
    </row>
    <row r="4" spans="1:32" x14ac:dyDescent="0.25">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984</v>
      </c>
      <c r="W4" t="s">
        <v>984</v>
      </c>
      <c r="X4" t="s">
        <v>984</v>
      </c>
      <c r="Y4" t="s">
        <v>984</v>
      </c>
      <c r="Z4" t="s">
        <v>994</v>
      </c>
      <c r="AA4" t="s">
        <v>994</v>
      </c>
      <c r="AB4" t="s">
        <v>994</v>
      </c>
      <c r="AC4" t="s">
        <v>984</v>
      </c>
      <c r="AD4" t="s">
        <v>984</v>
      </c>
      <c r="AE4" t="s">
        <v>984</v>
      </c>
      <c r="AF4" t="s">
        <v>984</v>
      </c>
    </row>
    <row r="5" spans="1:32" x14ac:dyDescent="0.25">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987</v>
      </c>
      <c r="W5" t="s">
        <v>987</v>
      </c>
      <c r="X5" t="s">
        <v>987</v>
      </c>
      <c r="Y5" t="s">
        <v>987</v>
      </c>
      <c r="Z5" t="s">
        <v>997</v>
      </c>
      <c r="AA5" t="s">
        <v>997</v>
      </c>
      <c r="AB5" t="s">
        <v>997</v>
      </c>
      <c r="AC5" t="s">
        <v>987</v>
      </c>
      <c r="AD5" t="s">
        <v>987</v>
      </c>
      <c r="AE5" t="s">
        <v>987</v>
      </c>
      <c r="AF5" t="s">
        <v>987</v>
      </c>
    </row>
    <row r="6" spans="1:32" x14ac:dyDescent="0.25">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991</v>
      </c>
      <c r="Y6" t="s">
        <v>991</v>
      </c>
      <c r="AD6" t="s">
        <v>991</v>
      </c>
      <c r="AF6" t="s">
        <v>991</v>
      </c>
    </row>
    <row r="7" spans="1:32" x14ac:dyDescent="0.25">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994</v>
      </c>
      <c r="Y7" t="s">
        <v>994</v>
      </c>
      <c r="AD7" t="s">
        <v>994</v>
      </c>
      <c r="AF7" t="s">
        <v>994</v>
      </c>
    </row>
    <row r="8" spans="1:32" x14ac:dyDescent="0.25">
      <c r="A8" t="s">
        <v>89</v>
      </c>
      <c r="B8" s="15" t="s">
        <v>73</v>
      </c>
      <c r="C8" t="s">
        <v>90</v>
      </c>
      <c r="D8" s="15" t="s">
        <v>11</v>
      </c>
      <c r="E8" t="s">
        <v>95</v>
      </c>
      <c r="I8" t="s">
        <v>17</v>
      </c>
      <c r="J8" t="s">
        <v>18</v>
      </c>
      <c r="M8" t="s">
        <v>156</v>
      </c>
      <c r="N8" t="s">
        <v>171</v>
      </c>
      <c r="O8" t="s">
        <v>156</v>
      </c>
      <c r="V8" t="s">
        <v>997</v>
      </c>
      <c r="Y8" t="s">
        <v>997</v>
      </c>
      <c r="AD8" t="s">
        <v>997</v>
      </c>
      <c r="AF8" t="s">
        <v>997</v>
      </c>
    </row>
    <row r="9" spans="1:32" x14ac:dyDescent="0.25">
      <c r="A9" t="s">
        <v>89</v>
      </c>
      <c r="B9" s="15" t="s">
        <v>73</v>
      </c>
      <c r="C9" t="s">
        <v>90</v>
      </c>
      <c r="D9" s="15" t="s">
        <v>37</v>
      </c>
      <c r="E9" t="s">
        <v>96</v>
      </c>
      <c r="I9" t="s">
        <v>19</v>
      </c>
      <c r="J9" t="s">
        <v>20</v>
      </c>
      <c r="M9" t="s">
        <v>159</v>
      </c>
      <c r="N9" t="s">
        <v>177</v>
      </c>
      <c r="O9" t="s">
        <v>159</v>
      </c>
    </row>
    <row r="10" spans="1:32" x14ac:dyDescent="0.25">
      <c r="I10" t="s">
        <v>21</v>
      </c>
      <c r="J10" t="s">
        <v>22</v>
      </c>
      <c r="M10" t="s">
        <v>162</v>
      </c>
      <c r="N10" t="s">
        <v>180</v>
      </c>
      <c r="O10" t="s">
        <v>162</v>
      </c>
    </row>
    <row r="11" spans="1:32" x14ac:dyDescent="0.25">
      <c r="I11" t="s">
        <v>23</v>
      </c>
      <c r="J11" t="s">
        <v>24</v>
      </c>
      <c r="M11" t="s">
        <v>165</v>
      </c>
      <c r="N11" t="s">
        <v>183</v>
      </c>
      <c r="O11" t="s">
        <v>165</v>
      </c>
    </row>
    <row r="12" spans="1:32" x14ac:dyDescent="0.25">
      <c r="I12" t="s">
        <v>25</v>
      </c>
      <c r="J12" t="s">
        <v>26</v>
      </c>
      <c r="M12" t="s">
        <v>168</v>
      </c>
      <c r="N12" t="s">
        <v>186</v>
      </c>
      <c r="O12" t="s">
        <v>168</v>
      </c>
    </row>
    <row r="13" spans="1:32" x14ac:dyDescent="0.25">
      <c r="I13" t="s">
        <v>27</v>
      </c>
      <c r="J13" t="s">
        <v>28</v>
      </c>
      <c r="M13" t="s">
        <v>171</v>
      </c>
      <c r="N13" t="s">
        <v>195</v>
      </c>
      <c r="O13" t="s">
        <v>171</v>
      </c>
    </row>
    <row r="14" spans="1:32" x14ac:dyDescent="0.25">
      <c r="I14" t="s">
        <v>29</v>
      </c>
      <c r="J14" t="s">
        <v>30</v>
      </c>
      <c r="M14" t="s">
        <v>174</v>
      </c>
      <c r="N14" t="s">
        <v>202</v>
      </c>
      <c r="O14" t="s">
        <v>174</v>
      </c>
    </row>
    <row r="15" spans="1:32" x14ac:dyDescent="0.25">
      <c r="I15" t="s">
        <v>31</v>
      </c>
      <c r="J15" t="s">
        <v>32</v>
      </c>
      <c r="M15" t="s">
        <v>177</v>
      </c>
      <c r="N15" t="s">
        <v>208</v>
      </c>
      <c r="O15" t="s">
        <v>177</v>
      </c>
    </row>
    <row r="16" spans="1:32" x14ac:dyDescent="0.25">
      <c r="I16" t="s">
        <v>33</v>
      </c>
      <c r="J16" t="s">
        <v>34</v>
      </c>
      <c r="M16" t="s">
        <v>180</v>
      </c>
      <c r="N16" t="s">
        <v>214</v>
      </c>
      <c r="O16" t="s">
        <v>180</v>
      </c>
    </row>
    <row r="17" spans="9:15" x14ac:dyDescent="0.25">
      <c r="I17" t="s">
        <v>35</v>
      </c>
      <c r="J17" t="s">
        <v>36</v>
      </c>
      <c r="M17" t="s">
        <v>183</v>
      </c>
      <c r="N17" t="s">
        <v>223</v>
      </c>
      <c r="O17" t="s">
        <v>183</v>
      </c>
    </row>
    <row r="18" spans="9:15" x14ac:dyDescent="0.25">
      <c r="I18" t="s">
        <v>37</v>
      </c>
      <c r="J18" t="s">
        <v>38</v>
      </c>
      <c r="M18" t="s">
        <v>186</v>
      </c>
      <c r="N18" t="s">
        <v>226</v>
      </c>
      <c r="O18" t="s">
        <v>186</v>
      </c>
    </row>
    <row r="19" spans="9:15" x14ac:dyDescent="0.25">
      <c r="I19" t="s">
        <v>39</v>
      </c>
      <c r="J19" t="s">
        <v>40</v>
      </c>
      <c r="M19" t="s">
        <v>189</v>
      </c>
      <c r="O19" t="s">
        <v>189</v>
      </c>
    </row>
    <row r="20" spans="9:15" x14ac:dyDescent="0.25">
      <c r="I20" t="s">
        <v>41</v>
      </c>
      <c r="J20" t="s">
        <v>42</v>
      </c>
      <c r="M20" t="s">
        <v>192</v>
      </c>
      <c r="O20" t="s">
        <v>192</v>
      </c>
    </row>
    <row r="21" spans="9:15" x14ac:dyDescent="0.25">
      <c r="I21" t="s">
        <v>43</v>
      </c>
      <c r="J21" t="s">
        <v>44</v>
      </c>
      <c r="M21" t="s">
        <v>195</v>
      </c>
      <c r="O21" t="s">
        <v>195</v>
      </c>
    </row>
    <row r="22" spans="9:15" x14ac:dyDescent="0.25">
      <c r="I22" t="s">
        <v>45</v>
      </c>
      <c r="J22" t="s">
        <v>46</v>
      </c>
      <c r="M22" t="s">
        <v>198</v>
      </c>
      <c r="O22" t="s">
        <v>198</v>
      </c>
    </row>
    <row r="23" spans="9:15" x14ac:dyDescent="0.25">
      <c r="I23" t="s">
        <v>47</v>
      </c>
      <c r="J23" t="s">
        <v>48</v>
      </c>
      <c r="M23" t="s">
        <v>202</v>
      </c>
      <c r="O23" t="s">
        <v>202</v>
      </c>
    </row>
    <row r="24" spans="9:15" x14ac:dyDescent="0.25">
      <c r="I24" t="s">
        <v>49</v>
      </c>
      <c r="J24" t="s">
        <v>50</v>
      </c>
      <c r="M24" t="s">
        <v>205</v>
      </c>
      <c r="O24" t="s">
        <v>205</v>
      </c>
    </row>
    <row r="25" spans="9:15" x14ac:dyDescent="0.25">
      <c r="I25" t="s">
        <v>51</v>
      </c>
      <c r="J25" t="s">
        <v>52</v>
      </c>
      <c r="M25" t="s">
        <v>208</v>
      </c>
      <c r="O25" t="s">
        <v>208</v>
      </c>
    </row>
    <row r="26" spans="9:15" x14ac:dyDescent="0.25">
      <c r="I26" t="s">
        <v>53</v>
      </c>
      <c r="J26" t="s">
        <v>54</v>
      </c>
      <c r="M26" t="s">
        <v>211</v>
      </c>
      <c r="O26" t="s">
        <v>211</v>
      </c>
    </row>
    <row r="27" spans="9:15" x14ac:dyDescent="0.25">
      <c r="I27" t="s">
        <v>55</v>
      </c>
      <c r="J27" t="s">
        <v>56</v>
      </c>
      <c r="M27" t="s">
        <v>214</v>
      </c>
      <c r="O27" t="s">
        <v>214</v>
      </c>
    </row>
    <row r="28" spans="9:15" x14ac:dyDescent="0.25">
      <c r="I28" t="s">
        <v>57</v>
      </c>
      <c r="J28" t="s">
        <v>58</v>
      </c>
      <c r="M28" t="s">
        <v>217</v>
      </c>
      <c r="O28" t="s">
        <v>217</v>
      </c>
    </row>
    <row r="29" spans="9:15" x14ac:dyDescent="0.25">
      <c r="I29" t="s">
        <v>59</v>
      </c>
      <c r="J29" t="s">
        <v>60</v>
      </c>
      <c r="M29" t="s">
        <v>220</v>
      </c>
      <c r="O29" t="s">
        <v>220</v>
      </c>
    </row>
    <row r="30" spans="9:15" x14ac:dyDescent="0.25">
      <c r="I30" t="s">
        <v>61</v>
      </c>
      <c r="J30" t="s">
        <v>62</v>
      </c>
      <c r="M30" t="s">
        <v>223</v>
      </c>
      <c r="O30" t="s">
        <v>223</v>
      </c>
    </row>
    <row r="31" spans="9:15" x14ac:dyDescent="0.25">
      <c r="I31" t="s">
        <v>63</v>
      </c>
      <c r="J31" t="s">
        <v>64</v>
      </c>
      <c r="M31" t="s">
        <v>226</v>
      </c>
      <c r="O31" t="s">
        <v>226</v>
      </c>
    </row>
    <row r="32" spans="9:15" x14ac:dyDescent="0.25">
      <c r="I32" t="s">
        <v>65</v>
      </c>
      <c r="J32" t="s">
        <v>66</v>
      </c>
      <c r="M32" t="s">
        <v>230</v>
      </c>
      <c r="O32" t="s">
        <v>230</v>
      </c>
    </row>
    <row r="33" spans="9:15" x14ac:dyDescent="0.25">
      <c r="I33" t="s">
        <v>67</v>
      </c>
      <c r="J33" t="s">
        <v>68</v>
      </c>
      <c r="M33" t="s">
        <v>233</v>
      </c>
      <c r="O33" t="s">
        <v>233</v>
      </c>
    </row>
    <row r="34" spans="9:15" x14ac:dyDescent="0.25">
      <c r="I34" t="s">
        <v>69</v>
      </c>
      <c r="J34" t="s">
        <v>70</v>
      </c>
      <c r="M34" t="s">
        <v>236</v>
      </c>
      <c r="O34" t="s">
        <v>236</v>
      </c>
    </row>
    <row r="35" spans="9:15" x14ac:dyDescent="0.25">
      <c r="I35" t="s">
        <v>71</v>
      </c>
      <c r="J35" t="s">
        <v>72</v>
      </c>
      <c r="M35" t="s">
        <v>239</v>
      </c>
      <c r="O35" t="s">
        <v>239</v>
      </c>
    </row>
    <row r="36" spans="9:15" x14ac:dyDescent="0.25">
      <c r="I36" t="s">
        <v>73</v>
      </c>
      <c r="J36" t="s">
        <v>74</v>
      </c>
      <c r="M36" t="s">
        <v>242</v>
      </c>
      <c r="O36" t="s">
        <v>242</v>
      </c>
    </row>
    <row r="37" spans="9:15" x14ac:dyDescent="0.25">
      <c r="I37" t="s">
        <v>75</v>
      </c>
      <c r="J37" t="s">
        <v>76</v>
      </c>
      <c r="M37" t="s">
        <v>245</v>
      </c>
      <c r="O37" t="s">
        <v>245</v>
      </c>
    </row>
    <row r="38" spans="9:15" x14ac:dyDescent="0.25">
      <c r="I38" t="s">
        <v>77</v>
      </c>
      <c r="J38" t="s">
        <v>78</v>
      </c>
      <c r="M38" t="s">
        <v>248</v>
      </c>
      <c r="O38" t="s">
        <v>248</v>
      </c>
    </row>
    <row r="39" spans="9:15" x14ac:dyDescent="0.25">
      <c r="I39" t="s">
        <v>79</v>
      </c>
      <c r="J39" t="s">
        <v>80</v>
      </c>
      <c r="M39" t="s">
        <v>251</v>
      </c>
      <c r="O39" t="s">
        <v>251</v>
      </c>
    </row>
    <row r="40" spans="9:15" x14ac:dyDescent="0.25">
      <c r="I40" t="s">
        <v>81</v>
      </c>
      <c r="J40" t="s">
        <v>82</v>
      </c>
    </row>
    <row r="41" spans="9:15" x14ac:dyDescent="0.25">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zoomScale="85" zoomScaleNormal="85" workbookViewId="0">
      <pane xSplit="2" topLeftCell="C1" activePane="topRight" state="frozen"/>
      <selection pane="topRight" sqref="A1:D1"/>
    </sheetView>
  </sheetViews>
  <sheetFormatPr defaultRowHeight="15" outlineLevelRow="2" x14ac:dyDescent="0.25"/>
  <cols>
    <col min="2" max="2" width="24.7109375" customWidth="1"/>
    <col min="3" max="4" width="10.7109375" customWidth="1"/>
    <col min="5" max="5" width="1.7109375" customWidth="1"/>
    <col min="7" max="8" width="10.7109375" customWidth="1"/>
    <col min="9" max="9" width="12.7109375" customWidth="1"/>
    <col min="10" max="10" width="10.7109375" customWidth="1"/>
    <col min="11" max="12" width="12.7109375" customWidth="1"/>
    <col min="15" max="15" width="1.7109375" customWidth="1"/>
    <col min="17" max="18" width="10.7109375" customWidth="1"/>
    <col min="19" max="19" width="12.7109375" customWidth="1"/>
    <col min="20" max="20" width="10.7109375" customWidth="1"/>
    <col min="21" max="22" width="12.7109375" customWidth="1"/>
    <col min="25" max="25" width="1.7109375" customWidth="1"/>
    <col min="29" max="29" width="1.7109375" customWidth="1"/>
  </cols>
  <sheetData>
    <row r="1" spans="1:28" x14ac:dyDescent="0.25">
      <c r="A1" s="74" t="s">
        <v>136</v>
      </c>
      <c r="B1" s="74"/>
      <c r="C1" s="74"/>
      <c r="D1" s="74"/>
      <c r="F1" s="71" t="s">
        <v>2</v>
      </c>
      <c r="G1" s="71"/>
      <c r="H1" s="71"/>
      <c r="I1" s="71"/>
      <c r="J1" s="71"/>
      <c r="K1" s="71"/>
      <c r="L1" s="71"/>
      <c r="M1" s="71"/>
      <c r="N1" s="71"/>
      <c r="P1" s="72" t="s">
        <v>3</v>
      </c>
      <c r="Q1" s="72"/>
      <c r="R1" s="72"/>
      <c r="S1" s="72"/>
      <c r="T1" s="72"/>
      <c r="U1" s="72"/>
      <c r="V1" s="72"/>
      <c r="W1" s="72"/>
      <c r="X1" s="72"/>
    </row>
    <row r="2" spans="1:28" ht="30" customHeight="1" x14ac:dyDescent="0.25">
      <c r="A2" s="73" t="s">
        <v>97</v>
      </c>
      <c r="B2" s="76" t="s">
        <v>99</v>
      </c>
      <c r="C2" s="73" t="s">
        <v>101</v>
      </c>
      <c r="D2" s="76" t="s">
        <v>103</v>
      </c>
      <c r="F2" s="73" t="s">
        <v>105</v>
      </c>
      <c r="G2" s="75" t="s">
        <v>107</v>
      </c>
      <c r="H2" s="75"/>
      <c r="I2" s="73" t="s">
        <v>112</v>
      </c>
      <c r="J2" s="76" t="s">
        <v>26</v>
      </c>
      <c r="K2" s="77" t="s">
        <v>115</v>
      </c>
      <c r="L2" s="77"/>
      <c r="M2" s="76" t="s">
        <v>118</v>
      </c>
      <c r="N2" s="73" t="s">
        <v>120</v>
      </c>
      <c r="P2" s="76" t="s">
        <v>105</v>
      </c>
      <c r="Q2" s="77" t="s">
        <v>107</v>
      </c>
      <c r="R2" s="77"/>
      <c r="S2" s="76" t="s">
        <v>112</v>
      </c>
      <c r="T2" s="73" t="s">
        <v>26</v>
      </c>
      <c r="U2" s="75" t="s">
        <v>115</v>
      </c>
      <c r="V2" s="75"/>
      <c r="W2" s="73" t="s">
        <v>118</v>
      </c>
      <c r="X2" s="76" t="s">
        <v>120</v>
      </c>
      <c r="Z2" s="73" t="s">
        <v>131</v>
      </c>
      <c r="AA2" s="76" t="s">
        <v>133</v>
      </c>
      <c r="AB2" s="73" t="s">
        <v>133</v>
      </c>
    </row>
    <row r="3" spans="1:28" x14ac:dyDescent="0.25">
      <c r="A3" s="73"/>
      <c r="B3" s="76"/>
      <c r="C3" s="73"/>
      <c r="D3" s="76"/>
      <c r="F3" s="73"/>
      <c r="G3" s="17" t="s">
        <v>108</v>
      </c>
      <c r="H3" s="17" t="s">
        <v>110</v>
      </c>
      <c r="I3" s="73"/>
      <c r="J3" s="76"/>
      <c r="K3" s="16" t="s">
        <v>108</v>
      </c>
      <c r="L3" s="16" t="s">
        <v>110</v>
      </c>
      <c r="M3" s="76"/>
      <c r="N3" s="73"/>
      <c r="P3" s="76"/>
      <c r="Q3" s="16" t="s">
        <v>108</v>
      </c>
      <c r="R3" s="16" t="s">
        <v>110</v>
      </c>
      <c r="S3" s="76"/>
      <c r="T3" s="73"/>
      <c r="U3" s="17" t="s">
        <v>108</v>
      </c>
      <c r="V3" s="17" t="s">
        <v>110</v>
      </c>
      <c r="W3" s="73"/>
      <c r="X3" s="76"/>
      <c r="Z3" s="73"/>
      <c r="AA3" s="76"/>
      <c r="AB3" s="73"/>
    </row>
    <row r="4" spans="1:28" collapsed="1" x14ac:dyDescent="0.25">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25">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25">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25">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25">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25">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25">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25">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25">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25">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25">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25">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25">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25">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25">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25">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25">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25">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25">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25">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25">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25">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25">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25">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25">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25">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25">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25">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25">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25">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25">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25">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25">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25">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25">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25">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25">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25">
      <c r="B41" s="46" t="s">
        <v>255</v>
      </c>
      <c r="G41" s="47" t="e">
        <f>AVERAGE(G4:G23)</f>
        <v>#DIV/0!</v>
      </c>
      <c r="Q41" s="47" t="e">
        <f>AVERAGE(Q4:Q23)</f>
        <v>#DIV/0!</v>
      </c>
      <c r="Z41" s="6" t="e">
        <f t="shared" si="8"/>
        <v>#DIV/0!</v>
      </c>
      <c r="AB41" s="6" t="e">
        <f>AVERAGE(AB4:AB23)</f>
        <v>#DIV/0!</v>
      </c>
    </row>
    <row r="42" spans="1:28" x14ac:dyDescent="0.25">
      <c r="B42" s="46" t="s">
        <v>256</v>
      </c>
      <c r="G42" s="47" t="e">
        <f>AVERAGE(G24:G32)</f>
        <v>#DIV/0!</v>
      </c>
      <c r="Q42" s="47" t="e">
        <f>AVERAGE(Q24:Q32)</f>
        <v>#DIV/0!</v>
      </c>
      <c r="Z42" s="6" t="e">
        <f t="shared" si="8"/>
        <v>#DIV/0!</v>
      </c>
      <c r="AB42" s="6" t="e">
        <f>AVERAGE(AB24:AB32)</f>
        <v>#DIV/0!</v>
      </c>
    </row>
    <row r="43" spans="1:28" x14ac:dyDescent="0.25">
      <c r="B43" s="46" t="s">
        <v>257</v>
      </c>
      <c r="G43" s="47" t="e">
        <f>AVERAGE(G33:G40)</f>
        <v>#DIV/0!</v>
      </c>
      <c r="Q43" s="47" t="e">
        <f>AVERAGE(Q33:Q40)</f>
        <v>#DIV/0!</v>
      </c>
      <c r="Z43" s="6" t="e">
        <f t="shared" si="8"/>
        <v>#DIV/0!</v>
      </c>
      <c r="AB43" s="6" t="e">
        <f>AVERAGE(AB33:AB40)</f>
        <v>#DIV/0!</v>
      </c>
    </row>
    <row r="44" spans="1:28" collapsed="1" x14ac:dyDescent="0.25">
      <c r="B44" s="46" t="s">
        <v>258</v>
      </c>
      <c r="G44" s="47" t="e">
        <f>AVERAGE(G4:G23,G24:G32,G33:G40)</f>
        <v>#DIV/0!</v>
      </c>
      <c r="Q44" s="47" t="e">
        <f>AVERAGE(Q4:Q23,Q24:Q32,Q33:Q40)</f>
        <v>#DIV/0!</v>
      </c>
      <c r="Z44" s="6" t="e">
        <f t="shared" si="8"/>
        <v>#DIV/0!</v>
      </c>
      <c r="AB44" s="6" t="e">
        <f>AVERAGE(AB4:AB23,AB24:AB32,AB33:AB40)</f>
        <v>#DIV/0!</v>
      </c>
    </row>
    <row r="45" spans="1:28" hidden="1" outlineLevel="2" x14ac:dyDescent="0.25">
      <c r="A45" s="46" t="s">
        <v>259</v>
      </c>
      <c r="B45" s="46" t="s">
        <v>260</v>
      </c>
      <c r="M45" s="48">
        <f>SUM(M4:M23,M24:M32,M33:M40)</f>
        <v>0</v>
      </c>
      <c r="N45" s="48">
        <f>SUM(N4:N23,N24:N32,N33:N40)</f>
        <v>0</v>
      </c>
      <c r="W45" s="48">
        <f>SUM(W4:W23,W24:W32,W33:W40)</f>
        <v>0</v>
      </c>
      <c r="X45" s="48">
        <f>SUM(X4:X23,X24:X32,X33:X40)</f>
        <v>0</v>
      </c>
    </row>
    <row r="46" spans="1:28" hidden="1" outlineLevel="2" x14ac:dyDescent="0.25">
      <c r="B46" s="46" t="s">
        <v>261</v>
      </c>
      <c r="W46" s="6" t="e">
        <f>W45/M45</f>
        <v>#DIV/0!</v>
      </c>
      <c r="X46" s="6" t="e">
        <f>X45/N45</f>
        <v>#DIV/0!</v>
      </c>
    </row>
    <row r="47" spans="1:28" hidden="1" outlineLevel="2" x14ac:dyDescent="0.25">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25">
      <c r="B48" s="46" t="s">
        <v>263</v>
      </c>
      <c r="W48" s="6" t="e">
        <f>W47/M47</f>
        <v>#NUM!</v>
      </c>
      <c r="X48" s="6" t="e">
        <f>X47/N47</f>
        <v>#NUM!</v>
      </c>
    </row>
  </sheetData>
  <mergeCells count="24">
    <mergeCell ref="J2:J3"/>
    <mergeCell ref="K2:L2"/>
    <mergeCell ref="M2:M3"/>
    <mergeCell ref="A2:A3"/>
    <mergeCell ref="B2:B3"/>
    <mergeCell ref="C2:C3"/>
    <mergeCell ref="D2:D3"/>
    <mergeCell ref="F2:F3"/>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topLeftCell="A422" workbookViewId="0">
      <selection activeCell="D441" sqref="D441"/>
    </sheetView>
  </sheetViews>
  <sheetFormatPr defaultRowHeight="15" x14ac:dyDescent="0.25"/>
  <cols>
    <col min="1" max="1" width="55.7109375" customWidth="1"/>
    <col min="2" max="2" width="41.140625" style="5" bestFit="1" customWidth="1"/>
  </cols>
  <sheetData>
    <row r="1" spans="1:2" x14ac:dyDescent="0.25">
      <c r="A1" t="s">
        <v>98</v>
      </c>
      <c r="B1" s="5">
        <v>1</v>
      </c>
    </row>
    <row r="2" spans="1:2" x14ac:dyDescent="0.25">
      <c r="A2" t="s">
        <v>100</v>
      </c>
      <c r="B2" s="5">
        <v>2</v>
      </c>
    </row>
    <row r="3" spans="1:2" x14ac:dyDescent="0.25">
      <c r="A3" t="s">
        <v>102</v>
      </c>
      <c r="B3" s="5">
        <v>3</v>
      </c>
    </row>
    <row r="4" spans="1:2" x14ac:dyDescent="0.25">
      <c r="A4" t="s">
        <v>104</v>
      </c>
      <c r="B4" s="5">
        <v>4</v>
      </c>
    </row>
    <row r="5" spans="1:2" x14ac:dyDescent="0.25">
      <c r="A5" t="s">
        <v>106</v>
      </c>
      <c r="B5" s="5">
        <v>6</v>
      </c>
    </row>
    <row r="6" spans="1:2" x14ac:dyDescent="0.25">
      <c r="A6" t="s">
        <v>109</v>
      </c>
      <c r="B6" s="5">
        <v>7</v>
      </c>
    </row>
    <row r="7" spans="1:2" x14ac:dyDescent="0.25">
      <c r="A7" t="s">
        <v>111</v>
      </c>
      <c r="B7" s="5">
        <v>8</v>
      </c>
    </row>
    <row r="8" spans="1:2" x14ac:dyDescent="0.25">
      <c r="A8" t="s">
        <v>113</v>
      </c>
      <c r="B8" s="5">
        <v>9</v>
      </c>
    </row>
    <row r="9" spans="1:2" x14ac:dyDescent="0.25">
      <c r="A9" t="s">
        <v>114</v>
      </c>
      <c r="B9" s="5">
        <v>10</v>
      </c>
    </row>
    <row r="10" spans="1:2" x14ac:dyDescent="0.25">
      <c r="A10" t="s">
        <v>116</v>
      </c>
      <c r="B10" s="5">
        <v>11</v>
      </c>
    </row>
    <row r="11" spans="1:2" x14ac:dyDescent="0.25">
      <c r="A11" t="s">
        <v>117</v>
      </c>
      <c r="B11" s="5">
        <v>12</v>
      </c>
    </row>
    <row r="12" spans="1:2" x14ac:dyDescent="0.25">
      <c r="A12" t="s">
        <v>119</v>
      </c>
      <c r="B12" s="5">
        <v>13</v>
      </c>
    </row>
    <row r="13" spans="1:2" x14ac:dyDescent="0.25">
      <c r="A13" t="s">
        <v>121</v>
      </c>
      <c r="B13" s="5">
        <v>14</v>
      </c>
    </row>
    <row r="14" spans="1:2" x14ac:dyDescent="0.25">
      <c r="A14" t="s">
        <v>122</v>
      </c>
      <c r="B14" s="5">
        <v>16</v>
      </c>
    </row>
    <row r="15" spans="1:2" x14ac:dyDescent="0.25">
      <c r="A15" t="s">
        <v>123</v>
      </c>
      <c r="B15" s="5">
        <v>17</v>
      </c>
    </row>
    <row r="16" spans="1:2" x14ac:dyDescent="0.25">
      <c r="A16" t="s">
        <v>124</v>
      </c>
      <c r="B16" s="5">
        <v>18</v>
      </c>
    </row>
    <row r="17" spans="1:2" x14ac:dyDescent="0.25">
      <c r="A17" t="s">
        <v>125</v>
      </c>
      <c r="B17" s="5">
        <v>19</v>
      </c>
    </row>
    <row r="18" spans="1:2" x14ac:dyDescent="0.25">
      <c r="A18" t="s">
        <v>126</v>
      </c>
      <c r="B18" s="5">
        <v>20</v>
      </c>
    </row>
    <row r="19" spans="1:2" x14ac:dyDescent="0.25">
      <c r="A19" t="s">
        <v>127</v>
      </c>
      <c r="B19" s="5">
        <v>21</v>
      </c>
    </row>
    <row r="20" spans="1:2" x14ac:dyDescent="0.25">
      <c r="A20" t="s">
        <v>128</v>
      </c>
      <c r="B20" s="5">
        <v>22</v>
      </c>
    </row>
    <row r="21" spans="1:2" x14ac:dyDescent="0.25">
      <c r="A21" t="s">
        <v>129</v>
      </c>
      <c r="B21" s="5">
        <v>23</v>
      </c>
    </row>
    <row r="22" spans="1:2" x14ac:dyDescent="0.25">
      <c r="A22" t="s">
        <v>130</v>
      </c>
      <c r="B22" s="5">
        <v>24</v>
      </c>
    </row>
    <row r="23" spans="1:2" x14ac:dyDescent="0.25">
      <c r="A23" t="s">
        <v>132</v>
      </c>
      <c r="B23" s="5">
        <v>26</v>
      </c>
    </row>
    <row r="24" spans="1:2" x14ac:dyDescent="0.25">
      <c r="A24" t="s">
        <v>134</v>
      </c>
      <c r="B24" s="5">
        <v>27</v>
      </c>
    </row>
    <row r="25" spans="1:2" x14ac:dyDescent="0.25">
      <c r="A25" t="s">
        <v>135</v>
      </c>
      <c r="B25" s="5">
        <v>28</v>
      </c>
    </row>
    <row r="26" spans="1:2" x14ac:dyDescent="0.25">
      <c r="A26" t="s">
        <v>137</v>
      </c>
      <c r="B26" s="5" t="s">
        <v>138</v>
      </c>
    </row>
    <row r="27" spans="1:2" x14ac:dyDescent="0.25">
      <c r="A27" t="s">
        <v>139</v>
      </c>
      <c r="B27" s="5" t="s">
        <v>140</v>
      </c>
    </row>
    <row r="28" spans="1:2" x14ac:dyDescent="0.25">
      <c r="A28" t="s">
        <v>142</v>
      </c>
      <c r="B28" s="5" t="s">
        <v>143</v>
      </c>
    </row>
    <row r="29" spans="1:2" x14ac:dyDescent="0.25">
      <c r="A29" t="s">
        <v>145</v>
      </c>
      <c r="B29" s="5" t="s">
        <v>146</v>
      </c>
    </row>
    <row r="30" spans="1:2" x14ac:dyDescent="0.25">
      <c r="A30" t="s">
        <v>148</v>
      </c>
      <c r="B30" s="5" t="s">
        <v>149</v>
      </c>
    </row>
    <row r="31" spans="1:2" x14ac:dyDescent="0.25">
      <c r="A31" t="s">
        <v>151</v>
      </c>
      <c r="B31" s="5" t="s">
        <v>152</v>
      </c>
    </row>
    <row r="32" spans="1:2" x14ac:dyDescent="0.25">
      <c r="A32" t="s">
        <v>154</v>
      </c>
      <c r="B32" s="5" t="s">
        <v>155</v>
      </c>
    </row>
    <row r="33" spans="1:2" x14ac:dyDescent="0.25">
      <c r="A33" t="s">
        <v>157</v>
      </c>
      <c r="B33" s="5" t="s">
        <v>158</v>
      </c>
    </row>
    <row r="34" spans="1:2" x14ac:dyDescent="0.25">
      <c r="A34" t="s">
        <v>160</v>
      </c>
      <c r="B34" s="5" t="s">
        <v>161</v>
      </c>
    </row>
    <row r="35" spans="1:2" x14ac:dyDescent="0.25">
      <c r="A35" t="s">
        <v>163</v>
      </c>
      <c r="B35" s="5" t="s">
        <v>164</v>
      </c>
    </row>
    <row r="36" spans="1:2" x14ac:dyDescent="0.25">
      <c r="A36" t="s">
        <v>166</v>
      </c>
      <c r="B36" s="5" t="s">
        <v>167</v>
      </c>
    </row>
    <row r="37" spans="1:2" x14ac:dyDescent="0.25">
      <c r="A37" t="s">
        <v>169</v>
      </c>
      <c r="B37" s="5" t="s">
        <v>170</v>
      </c>
    </row>
    <row r="38" spans="1:2" x14ac:dyDescent="0.25">
      <c r="A38" t="s">
        <v>172</v>
      </c>
      <c r="B38" s="5" t="s">
        <v>173</v>
      </c>
    </row>
    <row r="39" spans="1:2" x14ac:dyDescent="0.25">
      <c r="A39" t="s">
        <v>175</v>
      </c>
      <c r="B39" s="5" t="s">
        <v>176</v>
      </c>
    </row>
    <row r="40" spans="1:2" x14ac:dyDescent="0.25">
      <c r="A40" t="s">
        <v>178</v>
      </c>
      <c r="B40" s="5" t="s">
        <v>179</v>
      </c>
    </row>
    <row r="41" spans="1:2" x14ac:dyDescent="0.25">
      <c r="A41" t="s">
        <v>181</v>
      </c>
      <c r="B41" s="5" t="s">
        <v>182</v>
      </c>
    </row>
    <row r="42" spans="1:2" x14ac:dyDescent="0.25">
      <c r="A42" t="s">
        <v>184</v>
      </c>
      <c r="B42" s="5" t="s">
        <v>185</v>
      </c>
    </row>
    <row r="43" spans="1:2" x14ac:dyDescent="0.25">
      <c r="A43" t="s">
        <v>187</v>
      </c>
      <c r="B43" s="5" t="s">
        <v>188</v>
      </c>
    </row>
    <row r="44" spans="1:2" x14ac:dyDescent="0.25">
      <c r="A44" t="s">
        <v>190</v>
      </c>
      <c r="B44" s="5" t="s">
        <v>191</v>
      </c>
    </row>
    <row r="45" spans="1:2" x14ac:dyDescent="0.25">
      <c r="A45" t="s">
        <v>193</v>
      </c>
      <c r="B45" s="5" t="s">
        <v>194</v>
      </c>
    </row>
    <row r="46" spans="1:2" x14ac:dyDescent="0.25">
      <c r="A46" t="s">
        <v>196</v>
      </c>
      <c r="B46" s="5" t="s">
        <v>197</v>
      </c>
    </row>
    <row r="47" spans="1:2" x14ac:dyDescent="0.25">
      <c r="A47" t="s">
        <v>199</v>
      </c>
      <c r="B47" s="5" t="s">
        <v>200</v>
      </c>
    </row>
    <row r="48" spans="1:2" x14ac:dyDescent="0.25">
      <c r="A48" t="s">
        <v>203</v>
      </c>
      <c r="B48" s="5" t="s">
        <v>204</v>
      </c>
    </row>
    <row r="49" spans="1:2" x14ac:dyDescent="0.25">
      <c r="A49" t="s">
        <v>206</v>
      </c>
      <c r="B49" s="5" t="s">
        <v>207</v>
      </c>
    </row>
    <row r="50" spans="1:2" x14ac:dyDescent="0.25">
      <c r="A50" t="s">
        <v>209</v>
      </c>
      <c r="B50" s="5" t="s">
        <v>210</v>
      </c>
    </row>
    <row r="51" spans="1:2" x14ac:dyDescent="0.25">
      <c r="A51" t="s">
        <v>212</v>
      </c>
      <c r="B51" s="5" t="s">
        <v>213</v>
      </c>
    </row>
    <row r="52" spans="1:2" x14ac:dyDescent="0.25">
      <c r="A52" t="s">
        <v>215</v>
      </c>
      <c r="B52" s="5" t="s">
        <v>216</v>
      </c>
    </row>
    <row r="53" spans="1:2" x14ac:dyDescent="0.25">
      <c r="A53" t="s">
        <v>218</v>
      </c>
      <c r="B53" s="5" t="s">
        <v>219</v>
      </c>
    </row>
    <row r="54" spans="1:2" x14ac:dyDescent="0.25">
      <c r="A54" t="s">
        <v>221</v>
      </c>
      <c r="B54" s="5" t="s">
        <v>222</v>
      </c>
    </row>
    <row r="55" spans="1:2" x14ac:dyDescent="0.25">
      <c r="A55" t="s">
        <v>224</v>
      </c>
      <c r="B55" s="5" t="s">
        <v>225</v>
      </c>
    </row>
    <row r="56" spans="1:2" x14ac:dyDescent="0.25">
      <c r="A56" t="s">
        <v>227</v>
      </c>
      <c r="B56" s="5" t="s">
        <v>228</v>
      </c>
    </row>
    <row r="57" spans="1:2" x14ac:dyDescent="0.25">
      <c r="A57" t="s">
        <v>231</v>
      </c>
      <c r="B57" s="5" t="s">
        <v>232</v>
      </c>
    </row>
    <row r="58" spans="1:2" x14ac:dyDescent="0.25">
      <c r="A58" t="s">
        <v>234</v>
      </c>
      <c r="B58" s="5" t="s">
        <v>235</v>
      </c>
    </row>
    <row r="59" spans="1:2" x14ac:dyDescent="0.25">
      <c r="A59" t="s">
        <v>237</v>
      </c>
      <c r="B59" s="5" t="s">
        <v>238</v>
      </c>
    </row>
    <row r="60" spans="1:2" x14ac:dyDescent="0.25">
      <c r="A60" t="s">
        <v>240</v>
      </c>
      <c r="B60" s="5" t="s">
        <v>241</v>
      </c>
    </row>
    <row r="61" spans="1:2" x14ac:dyDescent="0.25">
      <c r="A61" t="s">
        <v>243</v>
      </c>
      <c r="B61" s="5" t="s">
        <v>244</v>
      </c>
    </row>
    <row r="62" spans="1:2" x14ac:dyDescent="0.25">
      <c r="A62" t="s">
        <v>246</v>
      </c>
      <c r="B62" s="5" t="s">
        <v>247</v>
      </c>
    </row>
    <row r="63" spans="1:2" x14ac:dyDescent="0.25">
      <c r="A63" t="s">
        <v>249</v>
      </c>
      <c r="B63" s="5" t="s">
        <v>250</v>
      </c>
    </row>
    <row r="64" spans="1:2" x14ac:dyDescent="0.25">
      <c r="A64" t="s">
        <v>252</v>
      </c>
      <c r="B64" s="5" t="s">
        <v>253</v>
      </c>
    </row>
    <row r="65" spans="1:10" x14ac:dyDescent="0.25">
      <c r="A65" t="s">
        <v>271</v>
      </c>
      <c r="B65" s="5" t="s">
        <v>83</v>
      </c>
      <c r="C65" t="s">
        <v>77</v>
      </c>
      <c r="D65" t="s">
        <v>25</v>
      </c>
      <c r="E65" t="s">
        <v>73</v>
      </c>
      <c r="F65" t="s">
        <v>51</v>
      </c>
      <c r="G65" t="s">
        <v>71</v>
      </c>
      <c r="H65" t="s">
        <v>61</v>
      </c>
      <c r="I65" t="s">
        <v>39</v>
      </c>
      <c r="J65" t="s">
        <v>57</v>
      </c>
    </row>
    <row r="66" spans="1:10" x14ac:dyDescent="0.25">
      <c r="A66" t="s">
        <v>273</v>
      </c>
      <c r="B66" s="5">
        <v>1</v>
      </c>
    </row>
    <row r="67" spans="1:10" x14ac:dyDescent="0.25">
      <c r="A67" t="s">
        <v>274</v>
      </c>
      <c r="B67" s="5">
        <v>2</v>
      </c>
    </row>
    <row r="68" spans="1:10" x14ac:dyDescent="0.25">
      <c r="A68" t="s">
        <v>276</v>
      </c>
      <c r="B68" s="5">
        <v>3</v>
      </c>
    </row>
    <row r="69" spans="1:10" x14ac:dyDescent="0.25">
      <c r="A69" t="s">
        <v>277</v>
      </c>
      <c r="B69" s="5">
        <v>4</v>
      </c>
    </row>
    <row r="70" spans="1:10" x14ac:dyDescent="0.25">
      <c r="A70" t="s">
        <v>278</v>
      </c>
      <c r="B70" s="5">
        <v>5</v>
      </c>
    </row>
    <row r="71" spans="1:10" x14ac:dyDescent="0.25">
      <c r="A71" t="s">
        <v>280</v>
      </c>
      <c r="B71" s="5">
        <v>7</v>
      </c>
    </row>
    <row r="72" spans="1:10" x14ac:dyDescent="0.25">
      <c r="A72" t="s">
        <v>281</v>
      </c>
      <c r="B72" s="5">
        <v>8</v>
      </c>
    </row>
    <row r="73" spans="1:10" x14ac:dyDescent="0.25">
      <c r="A73" t="s">
        <v>283</v>
      </c>
      <c r="B73" s="5">
        <v>9</v>
      </c>
    </row>
    <row r="74" spans="1:10" x14ac:dyDescent="0.25">
      <c r="A74" t="s">
        <v>286</v>
      </c>
      <c r="B74" s="5">
        <v>10</v>
      </c>
    </row>
    <row r="75" spans="1:10" x14ac:dyDescent="0.25">
      <c r="A75" t="s">
        <v>288</v>
      </c>
      <c r="B75" s="5">
        <v>11</v>
      </c>
    </row>
    <row r="76" spans="1:10" x14ac:dyDescent="0.25">
      <c r="A76" t="s">
        <v>290</v>
      </c>
      <c r="B76" s="5">
        <v>12</v>
      </c>
    </row>
    <row r="77" spans="1:10" x14ac:dyDescent="0.25">
      <c r="A77" t="s">
        <v>291</v>
      </c>
      <c r="B77" s="5">
        <v>13</v>
      </c>
    </row>
    <row r="78" spans="1:10" x14ac:dyDescent="0.25">
      <c r="A78" t="s">
        <v>292</v>
      </c>
      <c r="B78" s="5">
        <v>14</v>
      </c>
    </row>
    <row r="79" spans="1:10" x14ac:dyDescent="0.25">
      <c r="A79" t="s">
        <v>293</v>
      </c>
      <c r="B79" s="5">
        <v>16</v>
      </c>
    </row>
    <row r="80" spans="1:10" x14ac:dyDescent="0.25">
      <c r="A80" t="s">
        <v>294</v>
      </c>
      <c r="B80" s="5">
        <v>17</v>
      </c>
    </row>
    <row r="81" spans="1:2" x14ac:dyDescent="0.25">
      <c r="A81" t="s">
        <v>295</v>
      </c>
      <c r="B81" s="5">
        <v>18</v>
      </c>
    </row>
    <row r="82" spans="1:2" x14ac:dyDescent="0.25">
      <c r="A82" t="s">
        <v>296</v>
      </c>
      <c r="B82" s="5">
        <v>19</v>
      </c>
    </row>
    <row r="83" spans="1:2" x14ac:dyDescent="0.25">
      <c r="A83" t="s">
        <v>297</v>
      </c>
      <c r="B83" s="5">
        <v>20</v>
      </c>
    </row>
    <row r="84" spans="1:2" x14ac:dyDescent="0.25">
      <c r="A84" t="s">
        <v>298</v>
      </c>
      <c r="B84" s="5">
        <v>21</v>
      </c>
    </row>
    <row r="85" spans="1:2" x14ac:dyDescent="0.25">
      <c r="A85" t="s">
        <v>299</v>
      </c>
      <c r="B85" s="5">
        <v>22</v>
      </c>
    </row>
    <row r="86" spans="1:2" x14ac:dyDescent="0.25">
      <c r="A86" t="s">
        <v>300</v>
      </c>
      <c r="B86" s="5">
        <v>23</v>
      </c>
    </row>
    <row r="87" spans="1:2" x14ac:dyDescent="0.25">
      <c r="A87" t="s">
        <v>302</v>
      </c>
      <c r="B87" s="5">
        <v>25</v>
      </c>
    </row>
    <row r="88" spans="1:2" x14ac:dyDescent="0.25">
      <c r="A88" t="s">
        <v>303</v>
      </c>
      <c r="B88" s="5">
        <v>26</v>
      </c>
    </row>
    <row r="89" spans="1:2" x14ac:dyDescent="0.25">
      <c r="A89" t="s">
        <v>304</v>
      </c>
      <c r="B89" s="5">
        <v>27</v>
      </c>
    </row>
    <row r="90" spans="1:2" x14ac:dyDescent="0.25">
      <c r="A90" t="s">
        <v>306</v>
      </c>
      <c r="B90" s="5" t="s">
        <v>307</v>
      </c>
    </row>
    <row r="91" spans="1:2" x14ac:dyDescent="0.25">
      <c r="A91" t="s">
        <v>308</v>
      </c>
      <c r="B91" s="5" t="s">
        <v>309</v>
      </c>
    </row>
    <row r="92" spans="1:2" x14ac:dyDescent="0.25">
      <c r="A92" t="s">
        <v>314</v>
      </c>
      <c r="B92" s="5" t="s">
        <v>315</v>
      </c>
    </row>
    <row r="93" spans="1:2" x14ac:dyDescent="0.25">
      <c r="A93" t="s">
        <v>316</v>
      </c>
      <c r="B93" s="5" t="s">
        <v>317</v>
      </c>
    </row>
    <row r="94" spans="1:2" x14ac:dyDescent="0.25">
      <c r="A94" t="s">
        <v>318</v>
      </c>
      <c r="B94" s="5" t="s">
        <v>319</v>
      </c>
    </row>
    <row r="95" spans="1:2" x14ac:dyDescent="0.25">
      <c r="A95" t="s">
        <v>320</v>
      </c>
      <c r="B95" s="5" t="s">
        <v>321</v>
      </c>
    </row>
    <row r="96" spans="1:2" x14ac:dyDescent="0.25">
      <c r="A96" t="s">
        <v>323</v>
      </c>
      <c r="B96" s="5" t="s">
        <v>324</v>
      </c>
    </row>
    <row r="97" spans="1:9" x14ac:dyDescent="0.25">
      <c r="A97" t="s">
        <v>325</v>
      </c>
      <c r="B97" s="5" t="s">
        <v>326</v>
      </c>
    </row>
    <row r="98" spans="1:9" x14ac:dyDescent="0.25">
      <c r="A98" t="s">
        <v>327</v>
      </c>
      <c r="B98" s="5" t="s">
        <v>328</v>
      </c>
    </row>
    <row r="99" spans="1:9" x14ac:dyDescent="0.25">
      <c r="A99" t="s">
        <v>329</v>
      </c>
      <c r="B99" s="5" t="s">
        <v>330</v>
      </c>
    </row>
    <row r="100" spans="1:9" x14ac:dyDescent="0.25">
      <c r="A100" t="s">
        <v>331</v>
      </c>
      <c r="B100" s="5" t="s">
        <v>332</v>
      </c>
    </row>
    <row r="101" spans="1:9" x14ac:dyDescent="0.25">
      <c r="A101" t="s">
        <v>333</v>
      </c>
      <c r="B101" s="5" t="s">
        <v>334</v>
      </c>
    </row>
    <row r="102" spans="1:9" x14ac:dyDescent="0.25">
      <c r="A102" t="s">
        <v>335</v>
      </c>
      <c r="B102" s="5" t="s">
        <v>336</v>
      </c>
    </row>
    <row r="103" spans="1:9" x14ac:dyDescent="0.25">
      <c r="A103" t="s">
        <v>338</v>
      </c>
      <c r="B103" s="5" t="s">
        <v>339</v>
      </c>
    </row>
    <row r="104" spans="1:9" x14ac:dyDescent="0.25">
      <c r="A104" t="s">
        <v>340</v>
      </c>
      <c r="B104" s="5" t="s">
        <v>341</v>
      </c>
    </row>
    <row r="105" spans="1:9" x14ac:dyDescent="0.25">
      <c r="A105" t="s">
        <v>342</v>
      </c>
      <c r="B105" s="5" t="s">
        <v>343</v>
      </c>
    </row>
    <row r="106" spans="1:9" x14ac:dyDescent="0.25">
      <c r="A106" t="s">
        <v>344</v>
      </c>
      <c r="B106" s="5" t="s">
        <v>345</v>
      </c>
    </row>
    <row r="107" spans="1:9" x14ac:dyDescent="0.25">
      <c r="A107" t="s">
        <v>346</v>
      </c>
      <c r="B107" s="5" t="s">
        <v>347</v>
      </c>
    </row>
    <row r="108" spans="1:9" x14ac:dyDescent="0.25">
      <c r="A108" t="s">
        <v>356</v>
      </c>
      <c r="B108" s="5" t="s">
        <v>47</v>
      </c>
      <c r="C108" t="s">
        <v>49</v>
      </c>
      <c r="D108" t="s">
        <v>11</v>
      </c>
      <c r="E108" t="s">
        <v>25</v>
      </c>
      <c r="F108" t="s">
        <v>7</v>
      </c>
      <c r="G108" t="s">
        <v>75</v>
      </c>
      <c r="H108" t="s">
        <v>61</v>
      </c>
      <c r="I108" t="s">
        <v>39</v>
      </c>
    </row>
    <row r="109" spans="1:9" x14ac:dyDescent="0.25">
      <c r="A109" t="s">
        <v>358</v>
      </c>
      <c r="B109" s="5">
        <v>1</v>
      </c>
    </row>
    <row r="110" spans="1:9" x14ac:dyDescent="0.25">
      <c r="A110" t="s">
        <v>359</v>
      </c>
      <c r="B110" s="5">
        <v>2</v>
      </c>
    </row>
    <row r="111" spans="1:9" x14ac:dyDescent="0.25">
      <c r="A111" t="s">
        <v>360</v>
      </c>
      <c r="B111" s="5">
        <v>3</v>
      </c>
    </row>
    <row r="112" spans="1:9" x14ac:dyDescent="0.25">
      <c r="A112" t="s">
        <v>361</v>
      </c>
      <c r="B112" s="5">
        <v>4</v>
      </c>
    </row>
    <row r="113" spans="1:2" x14ac:dyDescent="0.25">
      <c r="A113" t="s">
        <v>362</v>
      </c>
      <c r="B113" s="5">
        <v>5</v>
      </c>
    </row>
    <row r="114" spans="1:2" x14ac:dyDescent="0.25">
      <c r="A114" t="s">
        <v>363</v>
      </c>
      <c r="B114" s="5">
        <v>7</v>
      </c>
    </row>
    <row r="115" spans="1:2" x14ac:dyDescent="0.25">
      <c r="A115" t="s">
        <v>364</v>
      </c>
      <c r="B115" s="5">
        <v>8</v>
      </c>
    </row>
    <row r="116" spans="1:2" x14ac:dyDescent="0.25">
      <c r="A116" t="s">
        <v>365</v>
      </c>
      <c r="B116" s="5">
        <v>9</v>
      </c>
    </row>
    <row r="117" spans="1:2" x14ac:dyDescent="0.25">
      <c r="A117" t="s">
        <v>367</v>
      </c>
      <c r="B117" s="5">
        <v>10</v>
      </c>
    </row>
    <row r="118" spans="1:2" x14ac:dyDescent="0.25">
      <c r="A118" t="s">
        <v>368</v>
      </c>
      <c r="B118" s="5">
        <v>11</v>
      </c>
    </row>
    <row r="119" spans="1:2" x14ac:dyDescent="0.25">
      <c r="A119" t="s">
        <v>369</v>
      </c>
      <c r="B119" s="5">
        <v>12</v>
      </c>
    </row>
    <row r="120" spans="1:2" x14ac:dyDescent="0.25">
      <c r="A120" t="s">
        <v>370</v>
      </c>
      <c r="B120" s="5">
        <v>13</v>
      </c>
    </row>
    <row r="121" spans="1:2" x14ac:dyDescent="0.25">
      <c r="A121" t="s">
        <v>371</v>
      </c>
      <c r="B121" s="5">
        <v>14</v>
      </c>
    </row>
    <row r="122" spans="1:2" x14ac:dyDescent="0.25">
      <c r="A122" t="s">
        <v>373</v>
      </c>
      <c r="B122" s="5">
        <v>15</v>
      </c>
    </row>
    <row r="123" spans="1:2" x14ac:dyDescent="0.25">
      <c r="A123" t="s">
        <v>376</v>
      </c>
      <c r="B123" s="5">
        <v>16</v>
      </c>
    </row>
    <row r="124" spans="1:2" x14ac:dyDescent="0.25">
      <c r="A124" t="s">
        <v>378</v>
      </c>
      <c r="B124" s="5">
        <v>17</v>
      </c>
    </row>
    <row r="125" spans="1:2" x14ac:dyDescent="0.25">
      <c r="A125" t="s">
        <v>379</v>
      </c>
      <c r="B125" s="5">
        <v>18</v>
      </c>
    </row>
    <row r="126" spans="1:2" x14ac:dyDescent="0.25">
      <c r="A126" t="s">
        <v>380</v>
      </c>
      <c r="B126" s="5">
        <v>19</v>
      </c>
    </row>
    <row r="127" spans="1:2" x14ac:dyDescent="0.25">
      <c r="A127" t="s">
        <v>381</v>
      </c>
      <c r="B127" s="5">
        <v>20</v>
      </c>
    </row>
    <row r="128" spans="1:2" x14ac:dyDescent="0.25">
      <c r="A128" t="s">
        <v>383</v>
      </c>
      <c r="B128" s="5">
        <v>21</v>
      </c>
    </row>
    <row r="129" spans="1:2" x14ac:dyDescent="0.25">
      <c r="A129" t="s">
        <v>384</v>
      </c>
      <c r="B129" s="5">
        <v>22</v>
      </c>
    </row>
    <row r="130" spans="1:2" x14ac:dyDescent="0.25">
      <c r="A130" t="s">
        <v>385</v>
      </c>
      <c r="B130" s="5">
        <v>23</v>
      </c>
    </row>
    <row r="131" spans="1:2" x14ac:dyDescent="0.25">
      <c r="A131" t="s">
        <v>386</v>
      </c>
      <c r="B131" s="5">
        <v>24</v>
      </c>
    </row>
    <row r="132" spans="1:2" x14ac:dyDescent="0.25">
      <c r="A132" t="s">
        <v>387</v>
      </c>
      <c r="B132" s="5">
        <v>25</v>
      </c>
    </row>
    <row r="133" spans="1:2" x14ac:dyDescent="0.25">
      <c r="A133" t="s">
        <v>388</v>
      </c>
      <c r="B133" s="5">
        <v>27</v>
      </c>
    </row>
    <row r="134" spans="1:2" x14ac:dyDescent="0.25">
      <c r="A134" t="s">
        <v>389</v>
      </c>
      <c r="B134" s="5">
        <v>28</v>
      </c>
    </row>
    <row r="135" spans="1:2" x14ac:dyDescent="0.25">
      <c r="A135" t="s">
        <v>390</v>
      </c>
      <c r="B135" s="5">
        <v>29</v>
      </c>
    </row>
    <row r="136" spans="1:2" x14ac:dyDescent="0.25">
      <c r="A136" t="s">
        <v>391</v>
      </c>
      <c r="B136" s="5">
        <v>30</v>
      </c>
    </row>
    <row r="137" spans="1:2" x14ac:dyDescent="0.25">
      <c r="A137" t="s">
        <v>392</v>
      </c>
      <c r="B137" s="5">
        <v>31</v>
      </c>
    </row>
    <row r="138" spans="1:2" x14ac:dyDescent="0.25">
      <c r="A138" t="s">
        <v>393</v>
      </c>
      <c r="B138" s="5">
        <v>32</v>
      </c>
    </row>
    <row r="139" spans="1:2" x14ac:dyDescent="0.25">
      <c r="A139" t="s">
        <v>394</v>
      </c>
      <c r="B139" s="5">
        <v>33</v>
      </c>
    </row>
    <row r="140" spans="1:2" x14ac:dyDescent="0.25">
      <c r="A140" t="s">
        <v>395</v>
      </c>
      <c r="B140" s="5">
        <v>34</v>
      </c>
    </row>
    <row r="141" spans="1:2" x14ac:dyDescent="0.25">
      <c r="A141" t="s">
        <v>396</v>
      </c>
      <c r="B141" s="5">
        <v>35</v>
      </c>
    </row>
    <row r="142" spans="1:2" x14ac:dyDescent="0.25">
      <c r="A142" t="s">
        <v>397</v>
      </c>
      <c r="B142" s="5">
        <v>36</v>
      </c>
    </row>
    <row r="143" spans="1:2" x14ac:dyDescent="0.25">
      <c r="A143" t="s">
        <v>398</v>
      </c>
      <c r="B143" s="5">
        <v>37</v>
      </c>
    </row>
    <row r="144" spans="1:2" x14ac:dyDescent="0.25">
      <c r="A144" t="s">
        <v>399</v>
      </c>
      <c r="B144" s="5">
        <v>38</v>
      </c>
    </row>
    <row r="145" spans="1:2" x14ac:dyDescent="0.25">
      <c r="A145" t="s">
        <v>400</v>
      </c>
      <c r="B145" s="5">
        <v>39</v>
      </c>
    </row>
    <row r="146" spans="1:2" x14ac:dyDescent="0.25">
      <c r="A146" t="s">
        <v>401</v>
      </c>
      <c r="B146" s="5">
        <v>40</v>
      </c>
    </row>
    <row r="147" spans="1:2" x14ac:dyDescent="0.25">
      <c r="A147" t="s">
        <v>402</v>
      </c>
      <c r="B147" s="5">
        <v>41</v>
      </c>
    </row>
    <row r="148" spans="1:2" x14ac:dyDescent="0.25">
      <c r="A148" t="s">
        <v>403</v>
      </c>
      <c r="B148" s="5">
        <v>42</v>
      </c>
    </row>
    <row r="149" spans="1:2" x14ac:dyDescent="0.25">
      <c r="A149" t="s">
        <v>404</v>
      </c>
      <c r="B149" s="5">
        <v>43</v>
      </c>
    </row>
    <row r="150" spans="1:2" x14ac:dyDescent="0.25">
      <c r="A150" t="s">
        <v>405</v>
      </c>
      <c r="B150" s="5">
        <v>44</v>
      </c>
    </row>
    <row r="151" spans="1:2" x14ac:dyDescent="0.25">
      <c r="A151" t="s">
        <v>406</v>
      </c>
      <c r="B151" s="5">
        <v>45</v>
      </c>
    </row>
    <row r="152" spans="1:2" x14ac:dyDescent="0.25">
      <c r="A152" t="s">
        <v>407</v>
      </c>
      <c r="B152" s="5">
        <v>47</v>
      </c>
    </row>
    <row r="153" spans="1:2" x14ac:dyDescent="0.25">
      <c r="A153" t="s">
        <v>408</v>
      </c>
      <c r="B153" s="5">
        <v>48</v>
      </c>
    </row>
    <row r="154" spans="1:2" x14ac:dyDescent="0.25">
      <c r="A154" t="s">
        <v>410</v>
      </c>
      <c r="B154" s="5">
        <v>50</v>
      </c>
    </row>
    <row r="155" spans="1:2" x14ac:dyDescent="0.25">
      <c r="A155" t="s">
        <v>411</v>
      </c>
      <c r="B155" s="5">
        <v>51</v>
      </c>
    </row>
    <row r="156" spans="1:2" x14ac:dyDescent="0.25">
      <c r="A156" t="s">
        <v>413</v>
      </c>
      <c r="B156" s="5">
        <v>52</v>
      </c>
    </row>
    <row r="157" spans="1:2" x14ac:dyDescent="0.25">
      <c r="A157" t="s">
        <v>414</v>
      </c>
      <c r="B157" s="5">
        <v>53</v>
      </c>
    </row>
    <row r="158" spans="1:2" x14ac:dyDescent="0.25">
      <c r="A158" t="s">
        <v>415</v>
      </c>
      <c r="B158" s="5">
        <v>54</v>
      </c>
    </row>
    <row r="159" spans="1:2" x14ac:dyDescent="0.25">
      <c r="A159" t="s">
        <v>416</v>
      </c>
      <c r="B159" s="5">
        <v>56</v>
      </c>
    </row>
    <row r="160" spans="1:2" x14ac:dyDescent="0.25">
      <c r="A160" t="s">
        <v>417</v>
      </c>
      <c r="B160" s="5">
        <v>57</v>
      </c>
    </row>
    <row r="161" spans="1:2" x14ac:dyDescent="0.25">
      <c r="A161" t="s">
        <v>418</v>
      </c>
      <c r="B161" s="5">
        <v>58</v>
      </c>
    </row>
    <row r="162" spans="1:2" x14ac:dyDescent="0.25">
      <c r="A162" t="s">
        <v>420</v>
      </c>
      <c r="B162" s="5">
        <v>60</v>
      </c>
    </row>
    <row r="163" spans="1:2" x14ac:dyDescent="0.25">
      <c r="A163" t="s">
        <v>421</v>
      </c>
      <c r="B163" s="5">
        <v>61</v>
      </c>
    </row>
    <row r="164" spans="1:2" x14ac:dyDescent="0.25">
      <c r="A164" t="s">
        <v>422</v>
      </c>
      <c r="B164" s="5">
        <v>62</v>
      </c>
    </row>
    <row r="165" spans="1:2" x14ac:dyDescent="0.25">
      <c r="A165" t="s">
        <v>424</v>
      </c>
      <c r="B165" s="5" t="s">
        <v>425</v>
      </c>
    </row>
    <row r="166" spans="1:2" x14ac:dyDescent="0.25">
      <c r="A166" t="s">
        <v>426</v>
      </c>
      <c r="B166" s="5" t="s">
        <v>427</v>
      </c>
    </row>
    <row r="167" spans="1:2" x14ac:dyDescent="0.25">
      <c r="A167" t="s">
        <v>430</v>
      </c>
      <c r="B167" s="5" t="s">
        <v>431</v>
      </c>
    </row>
    <row r="168" spans="1:2" x14ac:dyDescent="0.25">
      <c r="A168" t="s">
        <v>432</v>
      </c>
      <c r="B168" s="5" t="s">
        <v>433</v>
      </c>
    </row>
    <row r="169" spans="1:2" x14ac:dyDescent="0.25">
      <c r="A169" t="s">
        <v>434</v>
      </c>
      <c r="B169" s="5" t="s">
        <v>435</v>
      </c>
    </row>
    <row r="170" spans="1:2" x14ac:dyDescent="0.25">
      <c r="A170" t="s">
        <v>436</v>
      </c>
      <c r="B170" s="5" t="s">
        <v>437</v>
      </c>
    </row>
    <row r="171" spans="1:2" x14ac:dyDescent="0.25">
      <c r="A171" t="s">
        <v>438</v>
      </c>
      <c r="B171" s="5" t="s">
        <v>439</v>
      </c>
    </row>
    <row r="172" spans="1:2" x14ac:dyDescent="0.25">
      <c r="A172" t="s">
        <v>440</v>
      </c>
      <c r="B172" s="5" t="s">
        <v>441</v>
      </c>
    </row>
    <row r="173" spans="1:2" x14ac:dyDescent="0.25">
      <c r="A173" t="s">
        <v>442</v>
      </c>
      <c r="B173" s="5" t="s">
        <v>443</v>
      </c>
    </row>
    <row r="174" spans="1:2" x14ac:dyDescent="0.25">
      <c r="A174" t="s">
        <v>444</v>
      </c>
      <c r="B174" s="5" t="s">
        <v>445</v>
      </c>
    </row>
    <row r="175" spans="1:2" x14ac:dyDescent="0.25">
      <c r="A175" t="s">
        <v>446</v>
      </c>
      <c r="B175" s="5" t="s">
        <v>447</v>
      </c>
    </row>
    <row r="176" spans="1:2" x14ac:dyDescent="0.25">
      <c r="A176" t="s">
        <v>448</v>
      </c>
      <c r="B176" s="5" t="s">
        <v>449</v>
      </c>
    </row>
    <row r="177" spans="1:2" x14ac:dyDescent="0.25">
      <c r="A177" t="s">
        <v>450</v>
      </c>
      <c r="B177" s="5" t="s">
        <v>451</v>
      </c>
    </row>
    <row r="178" spans="1:2" x14ac:dyDescent="0.25">
      <c r="A178" t="s">
        <v>452</v>
      </c>
      <c r="B178" s="5" t="s">
        <v>453</v>
      </c>
    </row>
    <row r="179" spans="1:2" x14ac:dyDescent="0.25">
      <c r="A179" t="s">
        <v>454</v>
      </c>
      <c r="B179" s="5" t="s">
        <v>455</v>
      </c>
    </row>
    <row r="180" spans="1:2" x14ac:dyDescent="0.25">
      <c r="A180" t="s">
        <v>456</v>
      </c>
      <c r="B180" s="5" t="s">
        <v>457</v>
      </c>
    </row>
    <row r="181" spans="1:2" x14ac:dyDescent="0.25">
      <c r="A181" t="s">
        <v>458</v>
      </c>
      <c r="B181" s="5" t="s">
        <v>459</v>
      </c>
    </row>
    <row r="182" spans="1:2" x14ac:dyDescent="0.25">
      <c r="A182" t="s">
        <v>460</v>
      </c>
      <c r="B182" s="5" t="s">
        <v>461</v>
      </c>
    </row>
    <row r="183" spans="1:2" x14ac:dyDescent="0.25">
      <c r="A183" t="s">
        <v>462</v>
      </c>
      <c r="B183" s="5" t="s">
        <v>463</v>
      </c>
    </row>
    <row r="184" spans="1:2" x14ac:dyDescent="0.25">
      <c r="A184" t="s">
        <v>464</v>
      </c>
      <c r="B184" s="5" t="s">
        <v>465</v>
      </c>
    </row>
    <row r="185" spans="1:2" x14ac:dyDescent="0.25">
      <c r="A185" t="s">
        <v>466</v>
      </c>
      <c r="B185" s="5" t="s">
        <v>467</v>
      </c>
    </row>
    <row r="186" spans="1:2" x14ac:dyDescent="0.25">
      <c r="A186" t="s">
        <v>468</v>
      </c>
      <c r="B186" s="5" t="s">
        <v>469</v>
      </c>
    </row>
    <row r="187" spans="1:2" x14ac:dyDescent="0.25">
      <c r="A187" t="s">
        <v>470</v>
      </c>
      <c r="B187" s="5" t="s">
        <v>471</v>
      </c>
    </row>
    <row r="188" spans="1:2" x14ac:dyDescent="0.25">
      <c r="A188" t="s">
        <v>472</v>
      </c>
      <c r="B188" s="5" t="s">
        <v>473</v>
      </c>
    </row>
    <row r="189" spans="1:2" x14ac:dyDescent="0.25">
      <c r="A189" t="s">
        <v>474</v>
      </c>
      <c r="B189" s="5" t="s">
        <v>475</v>
      </c>
    </row>
    <row r="190" spans="1:2" x14ac:dyDescent="0.25">
      <c r="A190" t="s">
        <v>476</v>
      </c>
      <c r="B190" s="5" t="s">
        <v>477</v>
      </c>
    </row>
    <row r="191" spans="1:2" x14ac:dyDescent="0.25">
      <c r="A191" t="s">
        <v>478</v>
      </c>
      <c r="B191" s="5" t="s">
        <v>479</v>
      </c>
    </row>
    <row r="192" spans="1:2" x14ac:dyDescent="0.25">
      <c r="A192" t="s">
        <v>480</v>
      </c>
      <c r="B192" s="5" t="s">
        <v>481</v>
      </c>
    </row>
    <row r="193" spans="1:20" x14ac:dyDescent="0.25">
      <c r="A193" t="s">
        <v>482</v>
      </c>
      <c r="B193" s="5" t="s">
        <v>483</v>
      </c>
    </row>
    <row r="194" spans="1:20" x14ac:dyDescent="0.25">
      <c r="A194" t="s">
        <v>484</v>
      </c>
      <c r="B194" s="5" t="s">
        <v>485</v>
      </c>
    </row>
    <row r="195" spans="1:20" x14ac:dyDescent="0.25">
      <c r="A195" t="s">
        <v>486</v>
      </c>
      <c r="B195" s="5" t="s">
        <v>487</v>
      </c>
    </row>
    <row r="196" spans="1:20" x14ac:dyDescent="0.25">
      <c r="A196" t="s">
        <v>488</v>
      </c>
      <c r="B196" s="5" t="s">
        <v>489</v>
      </c>
    </row>
    <row r="197" spans="1:20" x14ac:dyDescent="0.25">
      <c r="A197" t="s">
        <v>490</v>
      </c>
      <c r="B197" s="5" t="s">
        <v>491</v>
      </c>
    </row>
    <row r="198" spans="1:20" x14ac:dyDescent="0.25">
      <c r="A198" t="s">
        <v>492</v>
      </c>
      <c r="B198" s="5" t="s">
        <v>493</v>
      </c>
    </row>
    <row r="199" spans="1:20" x14ac:dyDescent="0.25">
      <c r="A199" t="s">
        <v>494</v>
      </c>
      <c r="B199" s="5" t="s">
        <v>495</v>
      </c>
    </row>
    <row r="200" spans="1:20" x14ac:dyDescent="0.25">
      <c r="A200" t="s">
        <v>496</v>
      </c>
      <c r="B200" s="5" t="s">
        <v>497</v>
      </c>
    </row>
    <row r="201" spans="1:20" x14ac:dyDescent="0.25">
      <c r="A201" t="s">
        <v>498</v>
      </c>
      <c r="B201" s="5" t="s">
        <v>499</v>
      </c>
    </row>
    <row r="202" spans="1:20" x14ac:dyDescent="0.25">
      <c r="A202" t="s">
        <v>500</v>
      </c>
      <c r="B202" s="5" t="s">
        <v>501</v>
      </c>
    </row>
    <row r="203" spans="1:20" x14ac:dyDescent="0.25">
      <c r="A203" t="s">
        <v>502</v>
      </c>
      <c r="B203" s="5" t="s">
        <v>503</v>
      </c>
    </row>
    <row r="204" spans="1:20" x14ac:dyDescent="0.25">
      <c r="A204" t="s">
        <v>507</v>
      </c>
      <c r="B204" s="5"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25">
      <c r="A205" t="s">
        <v>509</v>
      </c>
      <c r="B205" s="5">
        <v>1</v>
      </c>
    </row>
    <row r="206" spans="1:20" x14ac:dyDescent="0.25">
      <c r="A206" t="s">
        <v>510</v>
      </c>
      <c r="B206" s="5">
        <v>2</v>
      </c>
    </row>
    <row r="207" spans="1:20" x14ac:dyDescent="0.25">
      <c r="A207" t="s">
        <v>511</v>
      </c>
      <c r="B207" s="5">
        <v>3</v>
      </c>
    </row>
    <row r="208" spans="1:20" x14ac:dyDescent="0.25">
      <c r="A208" t="s">
        <v>512</v>
      </c>
      <c r="B208" s="5">
        <v>4</v>
      </c>
    </row>
    <row r="209" spans="1:2" x14ac:dyDescent="0.25">
      <c r="A209" t="s">
        <v>514</v>
      </c>
      <c r="B209" s="5">
        <v>5</v>
      </c>
    </row>
    <row r="210" spans="1:2" x14ac:dyDescent="0.25">
      <c r="A210" t="s">
        <v>516</v>
      </c>
      <c r="B210" s="5">
        <v>6</v>
      </c>
    </row>
    <row r="211" spans="1:2" x14ac:dyDescent="0.25">
      <c r="A211" t="s">
        <v>517</v>
      </c>
      <c r="B211" s="5">
        <v>8</v>
      </c>
    </row>
    <row r="212" spans="1:2" x14ac:dyDescent="0.25">
      <c r="A212" t="s">
        <v>519</v>
      </c>
      <c r="B212" s="5">
        <v>9</v>
      </c>
    </row>
    <row r="213" spans="1:2" x14ac:dyDescent="0.25">
      <c r="A213" t="s">
        <v>521</v>
      </c>
      <c r="B213" s="5">
        <v>10</v>
      </c>
    </row>
    <row r="214" spans="1:2" x14ac:dyDescent="0.25">
      <c r="A214" t="s">
        <v>522</v>
      </c>
      <c r="B214" s="5">
        <v>11</v>
      </c>
    </row>
    <row r="215" spans="1:2" x14ac:dyDescent="0.25">
      <c r="A215" t="s">
        <v>523</v>
      </c>
      <c r="B215" s="5">
        <v>12</v>
      </c>
    </row>
    <row r="216" spans="1:2" x14ac:dyDescent="0.25">
      <c r="A216" t="s">
        <v>525</v>
      </c>
      <c r="B216" s="5">
        <v>13</v>
      </c>
    </row>
    <row r="217" spans="1:2" x14ac:dyDescent="0.25">
      <c r="A217" t="s">
        <v>526</v>
      </c>
      <c r="B217" s="5">
        <v>14</v>
      </c>
    </row>
    <row r="218" spans="1:2" x14ac:dyDescent="0.25">
      <c r="A218" t="s">
        <v>527</v>
      </c>
      <c r="B218" s="5">
        <v>15</v>
      </c>
    </row>
    <row r="219" spans="1:2" x14ac:dyDescent="0.25">
      <c r="A219" t="s">
        <v>530</v>
      </c>
      <c r="B219" s="5">
        <v>16</v>
      </c>
    </row>
    <row r="220" spans="1:2" x14ac:dyDescent="0.25">
      <c r="A220" t="s">
        <v>532</v>
      </c>
      <c r="B220" s="5">
        <v>17</v>
      </c>
    </row>
    <row r="221" spans="1:2" x14ac:dyDescent="0.25">
      <c r="A221" t="s">
        <v>534</v>
      </c>
      <c r="B221" s="5">
        <v>18</v>
      </c>
    </row>
    <row r="222" spans="1:2" x14ac:dyDescent="0.25">
      <c r="A222" t="s">
        <v>535</v>
      </c>
      <c r="B222" s="5">
        <v>19</v>
      </c>
    </row>
    <row r="223" spans="1:2" x14ac:dyDescent="0.25">
      <c r="A223" t="s">
        <v>536</v>
      </c>
      <c r="B223" s="5">
        <v>21</v>
      </c>
    </row>
    <row r="224" spans="1:2" x14ac:dyDescent="0.25">
      <c r="A224" t="s">
        <v>537</v>
      </c>
      <c r="B224" s="5">
        <v>22</v>
      </c>
    </row>
    <row r="225" spans="1:2" x14ac:dyDescent="0.25">
      <c r="A225" t="s">
        <v>538</v>
      </c>
      <c r="B225" s="5">
        <v>23</v>
      </c>
    </row>
    <row r="226" spans="1:2" x14ac:dyDescent="0.25">
      <c r="A226" t="s">
        <v>539</v>
      </c>
      <c r="B226" s="5">
        <v>24</v>
      </c>
    </row>
    <row r="227" spans="1:2" x14ac:dyDescent="0.25">
      <c r="A227" t="s">
        <v>540</v>
      </c>
      <c r="B227" s="5">
        <v>25</v>
      </c>
    </row>
    <row r="228" spans="1:2" x14ac:dyDescent="0.25">
      <c r="A228" t="s">
        <v>541</v>
      </c>
      <c r="B228" s="5">
        <v>26</v>
      </c>
    </row>
    <row r="229" spans="1:2" x14ac:dyDescent="0.25">
      <c r="A229" t="s">
        <v>542</v>
      </c>
      <c r="B229" s="5">
        <v>27</v>
      </c>
    </row>
    <row r="230" spans="1:2" x14ac:dyDescent="0.25">
      <c r="A230" t="s">
        <v>543</v>
      </c>
      <c r="B230" s="5">
        <v>28</v>
      </c>
    </row>
    <row r="231" spans="1:2" x14ac:dyDescent="0.25">
      <c r="A231" t="s">
        <v>544</v>
      </c>
      <c r="B231" s="5">
        <v>29</v>
      </c>
    </row>
    <row r="232" spans="1:2" x14ac:dyDescent="0.25">
      <c r="A232" t="s">
        <v>545</v>
      </c>
      <c r="B232" s="5">
        <v>30</v>
      </c>
    </row>
    <row r="233" spans="1:2" x14ac:dyDescent="0.25">
      <c r="A233" t="s">
        <v>546</v>
      </c>
      <c r="B233" s="5">
        <v>31</v>
      </c>
    </row>
    <row r="234" spans="1:2" x14ac:dyDescent="0.25">
      <c r="A234" t="s">
        <v>547</v>
      </c>
      <c r="B234" s="5">
        <v>32</v>
      </c>
    </row>
    <row r="235" spans="1:2" x14ac:dyDescent="0.25">
      <c r="A235" t="s">
        <v>548</v>
      </c>
      <c r="B235" s="5">
        <v>34</v>
      </c>
    </row>
    <row r="236" spans="1:2" x14ac:dyDescent="0.25">
      <c r="A236" t="s">
        <v>550</v>
      </c>
      <c r="B236" s="5" t="s">
        <v>551</v>
      </c>
    </row>
    <row r="237" spans="1:2" x14ac:dyDescent="0.25">
      <c r="A237" t="s">
        <v>552</v>
      </c>
      <c r="B237" s="5" t="s">
        <v>553</v>
      </c>
    </row>
    <row r="238" spans="1:2" x14ac:dyDescent="0.25">
      <c r="A238" t="s">
        <v>555</v>
      </c>
      <c r="B238" s="5" t="s">
        <v>556</v>
      </c>
    </row>
    <row r="239" spans="1:2" x14ac:dyDescent="0.25">
      <c r="A239" t="s">
        <v>558</v>
      </c>
      <c r="B239" s="5" t="s">
        <v>559</v>
      </c>
    </row>
    <row r="240" spans="1:2" x14ac:dyDescent="0.25">
      <c r="A240" t="s">
        <v>561</v>
      </c>
      <c r="B240" s="5" t="s">
        <v>562</v>
      </c>
    </row>
    <row r="241" spans="1:13" x14ac:dyDescent="0.25">
      <c r="A241" t="s">
        <v>564</v>
      </c>
      <c r="B241" s="5" t="s">
        <v>565</v>
      </c>
    </row>
    <row r="242" spans="1:13" x14ac:dyDescent="0.25">
      <c r="A242" t="s">
        <v>568</v>
      </c>
      <c r="B242" s="5" t="s">
        <v>569</v>
      </c>
    </row>
    <row r="243" spans="1:13" x14ac:dyDescent="0.25">
      <c r="A243" t="s">
        <v>576</v>
      </c>
      <c r="B243" s="5" t="s">
        <v>71</v>
      </c>
      <c r="C243" t="s">
        <v>73</v>
      </c>
      <c r="D243" t="s">
        <v>15</v>
      </c>
      <c r="E243" t="s">
        <v>43</v>
      </c>
      <c r="F243" t="s">
        <v>41</v>
      </c>
      <c r="G243" t="s">
        <v>57</v>
      </c>
      <c r="H243" t="s">
        <v>19</v>
      </c>
      <c r="I243" t="s">
        <v>25</v>
      </c>
      <c r="J243" t="s">
        <v>67</v>
      </c>
      <c r="K243" t="s">
        <v>65</v>
      </c>
      <c r="L243" t="s">
        <v>83</v>
      </c>
      <c r="M243" t="s">
        <v>63</v>
      </c>
    </row>
    <row r="244" spans="1:13" x14ac:dyDescent="0.25">
      <c r="A244" t="s">
        <v>578</v>
      </c>
      <c r="B244" s="5">
        <v>1</v>
      </c>
    </row>
    <row r="245" spans="1:13" x14ac:dyDescent="0.25">
      <c r="A245" t="s">
        <v>579</v>
      </c>
      <c r="B245" s="5">
        <v>2</v>
      </c>
    </row>
    <row r="246" spans="1:13" x14ac:dyDescent="0.25">
      <c r="A246" t="s">
        <v>580</v>
      </c>
      <c r="B246" s="5">
        <v>3</v>
      </c>
    </row>
    <row r="247" spans="1:13" x14ac:dyDescent="0.25">
      <c r="A247" t="s">
        <v>581</v>
      </c>
      <c r="B247" s="5">
        <v>4</v>
      </c>
    </row>
    <row r="248" spans="1:13" x14ac:dyDescent="0.25">
      <c r="A248" t="s">
        <v>582</v>
      </c>
      <c r="B248" s="5">
        <v>5</v>
      </c>
    </row>
    <row r="249" spans="1:13" x14ac:dyDescent="0.25">
      <c r="A249" t="s">
        <v>583</v>
      </c>
      <c r="B249" s="5">
        <v>6</v>
      </c>
    </row>
    <row r="250" spans="1:13" x14ac:dyDescent="0.25">
      <c r="A250" t="s">
        <v>584</v>
      </c>
      <c r="B250" s="5">
        <v>8</v>
      </c>
    </row>
    <row r="251" spans="1:13" x14ac:dyDescent="0.25">
      <c r="A251" t="s">
        <v>585</v>
      </c>
      <c r="B251" s="5">
        <v>9</v>
      </c>
    </row>
    <row r="252" spans="1:13" x14ac:dyDescent="0.25">
      <c r="A252" t="s">
        <v>586</v>
      </c>
      <c r="B252" s="5">
        <v>10</v>
      </c>
    </row>
    <row r="253" spans="1:13" x14ac:dyDescent="0.25">
      <c r="A253" t="s">
        <v>588</v>
      </c>
      <c r="B253" s="5">
        <v>11</v>
      </c>
    </row>
    <row r="254" spans="1:13" x14ac:dyDescent="0.25">
      <c r="A254" t="s">
        <v>589</v>
      </c>
      <c r="B254" s="5">
        <v>12</v>
      </c>
    </row>
    <row r="255" spans="1:13" x14ac:dyDescent="0.25">
      <c r="A255" t="s">
        <v>590</v>
      </c>
      <c r="B255" s="5">
        <v>13</v>
      </c>
    </row>
    <row r="256" spans="1:13" x14ac:dyDescent="0.25">
      <c r="A256" t="s">
        <v>591</v>
      </c>
      <c r="B256" s="5">
        <v>14</v>
      </c>
    </row>
    <row r="257" spans="1:2" x14ac:dyDescent="0.25">
      <c r="A257" t="s">
        <v>592</v>
      </c>
      <c r="B257" s="5">
        <v>15</v>
      </c>
    </row>
    <row r="258" spans="1:2" x14ac:dyDescent="0.25">
      <c r="A258" t="s">
        <v>593</v>
      </c>
      <c r="B258" s="5">
        <v>16</v>
      </c>
    </row>
    <row r="259" spans="1:2" x14ac:dyDescent="0.25">
      <c r="A259" t="s">
        <v>594</v>
      </c>
      <c r="B259" s="5">
        <v>17</v>
      </c>
    </row>
    <row r="260" spans="1:2" x14ac:dyDescent="0.25">
      <c r="A260" t="s">
        <v>596</v>
      </c>
      <c r="B260" s="5">
        <v>52</v>
      </c>
    </row>
    <row r="261" spans="1:2" x14ac:dyDescent="0.25">
      <c r="A261" t="s">
        <v>598</v>
      </c>
      <c r="B261" s="5">
        <v>18</v>
      </c>
    </row>
    <row r="262" spans="1:2" x14ac:dyDescent="0.25">
      <c r="A262" t="s">
        <v>599</v>
      </c>
      <c r="B262" s="5">
        <v>19</v>
      </c>
    </row>
    <row r="263" spans="1:2" x14ac:dyDescent="0.25">
      <c r="A263" t="s">
        <v>600</v>
      </c>
      <c r="B263" s="5">
        <v>20</v>
      </c>
    </row>
    <row r="264" spans="1:2" x14ac:dyDescent="0.25">
      <c r="A264" t="s">
        <v>601</v>
      </c>
      <c r="B264" s="5">
        <v>21</v>
      </c>
    </row>
    <row r="265" spans="1:2" x14ac:dyDescent="0.25">
      <c r="A265" t="s">
        <v>602</v>
      </c>
      <c r="B265" s="5">
        <v>22</v>
      </c>
    </row>
    <row r="266" spans="1:2" x14ac:dyDescent="0.25">
      <c r="A266" t="s">
        <v>603</v>
      </c>
      <c r="B266" s="5">
        <v>23</v>
      </c>
    </row>
    <row r="267" spans="1:2" x14ac:dyDescent="0.25">
      <c r="A267" t="s">
        <v>604</v>
      </c>
      <c r="B267" s="5">
        <v>24</v>
      </c>
    </row>
    <row r="268" spans="1:2" x14ac:dyDescent="0.25">
      <c r="A268" t="s">
        <v>605</v>
      </c>
      <c r="B268" s="5">
        <v>25</v>
      </c>
    </row>
    <row r="269" spans="1:2" x14ac:dyDescent="0.25">
      <c r="A269" t="s">
        <v>606</v>
      </c>
      <c r="B269" s="5">
        <v>26</v>
      </c>
    </row>
    <row r="270" spans="1:2" x14ac:dyDescent="0.25">
      <c r="A270" t="s">
        <v>607</v>
      </c>
      <c r="B270" s="5">
        <v>27</v>
      </c>
    </row>
    <row r="271" spans="1:2" x14ac:dyDescent="0.25">
      <c r="A271" t="s">
        <v>608</v>
      </c>
      <c r="B271" s="5">
        <v>28</v>
      </c>
    </row>
    <row r="272" spans="1:2" x14ac:dyDescent="0.25">
      <c r="A272" t="s">
        <v>609</v>
      </c>
      <c r="B272" s="5">
        <v>30</v>
      </c>
    </row>
    <row r="273" spans="1:2" x14ac:dyDescent="0.25">
      <c r="A273" t="s">
        <v>610</v>
      </c>
      <c r="B273" s="5">
        <v>31</v>
      </c>
    </row>
    <row r="274" spans="1:2" x14ac:dyDescent="0.25">
      <c r="A274" t="s">
        <v>611</v>
      </c>
      <c r="B274" s="5">
        <v>32</v>
      </c>
    </row>
    <row r="275" spans="1:2" x14ac:dyDescent="0.25">
      <c r="A275" t="s">
        <v>612</v>
      </c>
      <c r="B275" s="5">
        <v>33</v>
      </c>
    </row>
    <row r="276" spans="1:2" x14ac:dyDescent="0.25">
      <c r="A276" t="s">
        <v>613</v>
      </c>
      <c r="B276" s="5">
        <v>34</v>
      </c>
    </row>
    <row r="277" spans="1:2" x14ac:dyDescent="0.25">
      <c r="A277" t="s">
        <v>614</v>
      </c>
      <c r="B277" s="5">
        <v>35</v>
      </c>
    </row>
    <row r="278" spans="1:2" x14ac:dyDescent="0.25">
      <c r="A278" t="s">
        <v>615</v>
      </c>
      <c r="B278" s="5">
        <v>36</v>
      </c>
    </row>
    <row r="279" spans="1:2" x14ac:dyDescent="0.25">
      <c r="A279" t="s">
        <v>616</v>
      </c>
      <c r="B279" s="5">
        <v>37</v>
      </c>
    </row>
    <row r="280" spans="1:2" x14ac:dyDescent="0.25">
      <c r="A280" t="s">
        <v>617</v>
      </c>
      <c r="B280" s="5">
        <v>38</v>
      </c>
    </row>
    <row r="281" spans="1:2" x14ac:dyDescent="0.25">
      <c r="A281" t="s">
        <v>618</v>
      </c>
      <c r="B281" s="5">
        <v>39</v>
      </c>
    </row>
    <row r="282" spans="1:2" x14ac:dyDescent="0.25">
      <c r="A282" t="s">
        <v>620</v>
      </c>
      <c r="B282" s="5">
        <v>53</v>
      </c>
    </row>
    <row r="283" spans="1:2" x14ac:dyDescent="0.25">
      <c r="A283" t="s">
        <v>621</v>
      </c>
      <c r="B283" s="5">
        <v>40</v>
      </c>
    </row>
    <row r="284" spans="1:2" x14ac:dyDescent="0.25">
      <c r="A284" t="s">
        <v>622</v>
      </c>
      <c r="B284" s="5">
        <v>41</v>
      </c>
    </row>
    <row r="285" spans="1:2" x14ac:dyDescent="0.25">
      <c r="A285" t="s">
        <v>623</v>
      </c>
      <c r="B285" s="5">
        <v>42</v>
      </c>
    </row>
    <row r="286" spans="1:2" x14ac:dyDescent="0.25">
      <c r="A286" t="s">
        <v>624</v>
      </c>
      <c r="B286" s="5">
        <v>43</v>
      </c>
    </row>
    <row r="287" spans="1:2" x14ac:dyDescent="0.25">
      <c r="A287" t="s">
        <v>625</v>
      </c>
      <c r="B287" s="5">
        <v>44</v>
      </c>
    </row>
    <row r="288" spans="1:2" x14ac:dyDescent="0.25">
      <c r="A288" t="s">
        <v>626</v>
      </c>
      <c r="B288" s="5">
        <v>45</v>
      </c>
    </row>
    <row r="289" spans="1:23" x14ac:dyDescent="0.25">
      <c r="A289" t="s">
        <v>627</v>
      </c>
      <c r="B289" s="5">
        <v>46</v>
      </c>
    </row>
    <row r="290" spans="1:23" x14ac:dyDescent="0.25">
      <c r="A290" t="s">
        <v>628</v>
      </c>
      <c r="B290" s="5">
        <v>47</v>
      </c>
    </row>
    <row r="291" spans="1:23" x14ac:dyDescent="0.25">
      <c r="A291" t="s">
        <v>629</v>
      </c>
      <c r="B291" s="5">
        <v>48</v>
      </c>
    </row>
    <row r="292" spans="1:23" x14ac:dyDescent="0.25">
      <c r="A292" t="s">
        <v>630</v>
      </c>
      <c r="B292" s="5">
        <v>49</v>
      </c>
    </row>
    <row r="293" spans="1:23" x14ac:dyDescent="0.25">
      <c r="A293" t="s">
        <v>631</v>
      </c>
      <c r="B293" s="5">
        <v>50</v>
      </c>
    </row>
    <row r="294" spans="1:23" x14ac:dyDescent="0.25">
      <c r="A294" t="s">
        <v>632</v>
      </c>
      <c r="B294" s="5">
        <v>54</v>
      </c>
    </row>
    <row r="295" spans="1:23" x14ac:dyDescent="0.25">
      <c r="A295" t="s">
        <v>633</v>
      </c>
      <c r="B295" s="5">
        <v>55</v>
      </c>
    </row>
    <row r="296" spans="1:23" x14ac:dyDescent="0.25">
      <c r="A296" t="s">
        <v>634</v>
      </c>
      <c r="B296" s="5">
        <v>56</v>
      </c>
    </row>
    <row r="297" spans="1:23" x14ac:dyDescent="0.25">
      <c r="A297" t="s">
        <v>636</v>
      </c>
      <c r="B297" s="5" t="s">
        <v>637</v>
      </c>
    </row>
    <row r="298" spans="1:23" x14ac:dyDescent="0.25">
      <c r="A298" t="s">
        <v>638</v>
      </c>
      <c r="B298" s="5" t="s">
        <v>639</v>
      </c>
    </row>
    <row r="299" spans="1:23" x14ac:dyDescent="0.25">
      <c r="A299" t="s">
        <v>640</v>
      </c>
      <c r="B299" s="5" t="s">
        <v>641</v>
      </c>
    </row>
    <row r="300" spans="1:23" x14ac:dyDescent="0.25">
      <c r="A300" t="s">
        <v>642</v>
      </c>
      <c r="B300" s="5" t="s">
        <v>643</v>
      </c>
    </row>
    <row r="301" spans="1:23" x14ac:dyDescent="0.25">
      <c r="A301" t="s">
        <v>644</v>
      </c>
      <c r="B301" s="5" t="s">
        <v>645</v>
      </c>
    </row>
    <row r="302" spans="1:23" x14ac:dyDescent="0.25">
      <c r="A302" t="s">
        <v>646</v>
      </c>
      <c r="B302" s="5" t="s">
        <v>647</v>
      </c>
    </row>
    <row r="303" spans="1:23" x14ac:dyDescent="0.25">
      <c r="A303" t="s">
        <v>648</v>
      </c>
      <c r="B303" s="5" t="s">
        <v>649</v>
      </c>
    </row>
    <row r="304" spans="1:23" x14ac:dyDescent="0.25">
      <c r="A304" t="s">
        <v>653</v>
      </c>
      <c r="B304" s="5"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25">
      <c r="A305" t="s">
        <v>655</v>
      </c>
      <c r="B305" s="5">
        <v>1</v>
      </c>
    </row>
    <row r="306" spans="1:2" x14ac:dyDescent="0.25">
      <c r="A306" t="s">
        <v>656</v>
      </c>
      <c r="B306" s="5">
        <v>2</v>
      </c>
    </row>
    <row r="307" spans="1:2" x14ac:dyDescent="0.25">
      <c r="A307" t="s">
        <v>657</v>
      </c>
      <c r="B307" s="5">
        <v>3</v>
      </c>
    </row>
    <row r="308" spans="1:2" x14ac:dyDescent="0.25">
      <c r="A308" t="s">
        <v>658</v>
      </c>
      <c r="B308" s="5">
        <v>4</v>
      </c>
    </row>
    <row r="309" spans="1:2" x14ac:dyDescent="0.25">
      <c r="A309" t="s">
        <v>659</v>
      </c>
      <c r="B309" s="5">
        <v>5</v>
      </c>
    </row>
    <row r="310" spans="1:2" x14ac:dyDescent="0.25">
      <c r="A310" t="s">
        <v>660</v>
      </c>
      <c r="B310" s="5">
        <v>6</v>
      </c>
    </row>
    <row r="311" spans="1:2" x14ac:dyDescent="0.25">
      <c r="A311" t="s">
        <v>661</v>
      </c>
      <c r="B311" s="5">
        <v>7</v>
      </c>
    </row>
    <row r="312" spans="1:2" x14ac:dyDescent="0.25">
      <c r="A312" t="s">
        <v>662</v>
      </c>
      <c r="B312" s="5">
        <v>9</v>
      </c>
    </row>
    <row r="313" spans="1:2" x14ac:dyDescent="0.25">
      <c r="A313" t="s">
        <v>663</v>
      </c>
      <c r="B313" s="5">
        <v>10</v>
      </c>
    </row>
    <row r="314" spans="1:2" x14ac:dyDescent="0.25">
      <c r="A314" t="s">
        <v>664</v>
      </c>
      <c r="B314" s="5">
        <v>11</v>
      </c>
    </row>
    <row r="315" spans="1:2" x14ac:dyDescent="0.25">
      <c r="A315" t="s">
        <v>665</v>
      </c>
      <c r="B315" s="5">
        <v>12</v>
      </c>
    </row>
    <row r="316" spans="1:2" x14ac:dyDescent="0.25">
      <c r="A316" t="s">
        <v>666</v>
      </c>
      <c r="B316" s="5">
        <v>13</v>
      </c>
    </row>
    <row r="317" spans="1:2" x14ac:dyDescent="0.25">
      <c r="A317" t="s">
        <v>667</v>
      </c>
      <c r="B317" s="5">
        <v>14</v>
      </c>
    </row>
    <row r="318" spans="1:2" x14ac:dyDescent="0.25">
      <c r="A318" t="s">
        <v>668</v>
      </c>
      <c r="B318" s="5">
        <v>15</v>
      </c>
    </row>
    <row r="319" spans="1:2" x14ac:dyDescent="0.25">
      <c r="A319" t="s">
        <v>669</v>
      </c>
      <c r="B319" s="5">
        <v>16</v>
      </c>
    </row>
    <row r="320" spans="1:2" x14ac:dyDescent="0.25">
      <c r="A320" t="s">
        <v>670</v>
      </c>
      <c r="B320" s="5">
        <v>17</v>
      </c>
    </row>
    <row r="321" spans="1:2" x14ac:dyDescent="0.25">
      <c r="A321" t="s">
        <v>671</v>
      </c>
      <c r="B321" s="5">
        <v>18</v>
      </c>
    </row>
    <row r="322" spans="1:2" x14ac:dyDescent="0.25">
      <c r="A322" t="s">
        <v>672</v>
      </c>
      <c r="B322" s="5">
        <v>19</v>
      </c>
    </row>
    <row r="323" spans="1:2" x14ac:dyDescent="0.25">
      <c r="A323" t="s">
        <v>673</v>
      </c>
      <c r="B323" s="5">
        <v>55</v>
      </c>
    </row>
    <row r="324" spans="1:2" x14ac:dyDescent="0.25">
      <c r="A324" t="s">
        <v>674</v>
      </c>
      <c r="B324" s="5">
        <v>20</v>
      </c>
    </row>
    <row r="325" spans="1:2" x14ac:dyDescent="0.25">
      <c r="A325" t="s">
        <v>675</v>
      </c>
      <c r="B325" s="5">
        <v>21</v>
      </c>
    </row>
    <row r="326" spans="1:2" x14ac:dyDescent="0.25">
      <c r="A326" t="s">
        <v>676</v>
      </c>
      <c r="B326" s="5">
        <v>22</v>
      </c>
    </row>
    <row r="327" spans="1:2" x14ac:dyDescent="0.25">
      <c r="A327" t="s">
        <v>677</v>
      </c>
      <c r="B327" s="5">
        <v>23</v>
      </c>
    </row>
    <row r="328" spans="1:2" x14ac:dyDescent="0.25">
      <c r="A328" t="s">
        <v>678</v>
      </c>
      <c r="B328" s="5">
        <v>24</v>
      </c>
    </row>
    <row r="329" spans="1:2" x14ac:dyDescent="0.25">
      <c r="A329" t="s">
        <v>679</v>
      </c>
      <c r="B329" s="5">
        <v>25</v>
      </c>
    </row>
    <row r="330" spans="1:2" x14ac:dyDescent="0.25">
      <c r="A330" t="s">
        <v>680</v>
      </c>
      <c r="B330" s="5">
        <v>26</v>
      </c>
    </row>
    <row r="331" spans="1:2" x14ac:dyDescent="0.25">
      <c r="A331" t="s">
        <v>681</v>
      </c>
      <c r="B331" s="5">
        <v>27</v>
      </c>
    </row>
    <row r="332" spans="1:2" x14ac:dyDescent="0.25">
      <c r="A332" t="s">
        <v>682</v>
      </c>
      <c r="B332" s="5">
        <v>28</v>
      </c>
    </row>
    <row r="333" spans="1:2" x14ac:dyDescent="0.25">
      <c r="A333" t="s">
        <v>683</v>
      </c>
      <c r="B333" s="5">
        <v>29</v>
      </c>
    </row>
    <row r="334" spans="1:2" x14ac:dyDescent="0.25">
      <c r="A334" t="s">
        <v>684</v>
      </c>
      <c r="B334" s="5">
        <v>30</v>
      </c>
    </row>
    <row r="335" spans="1:2" x14ac:dyDescent="0.25">
      <c r="A335" t="s">
        <v>685</v>
      </c>
      <c r="B335" s="5">
        <v>32</v>
      </c>
    </row>
    <row r="336" spans="1:2" x14ac:dyDescent="0.25">
      <c r="A336" t="s">
        <v>686</v>
      </c>
      <c r="B336" s="5">
        <v>33</v>
      </c>
    </row>
    <row r="337" spans="1:2" x14ac:dyDescent="0.25">
      <c r="A337" t="s">
        <v>687</v>
      </c>
      <c r="B337" s="5">
        <v>34</v>
      </c>
    </row>
    <row r="338" spans="1:2" x14ac:dyDescent="0.25">
      <c r="A338" t="s">
        <v>688</v>
      </c>
      <c r="B338" s="5">
        <v>35</v>
      </c>
    </row>
    <row r="339" spans="1:2" x14ac:dyDescent="0.25">
      <c r="A339" t="s">
        <v>689</v>
      </c>
      <c r="B339" s="5">
        <v>36</v>
      </c>
    </row>
    <row r="340" spans="1:2" x14ac:dyDescent="0.25">
      <c r="A340" t="s">
        <v>690</v>
      </c>
      <c r="B340" s="5">
        <v>37</v>
      </c>
    </row>
    <row r="341" spans="1:2" x14ac:dyDescent="0.25">
      <c r="A341" t="s">
        <v>691</v>
      </c>
      <c r="B341" s="5">
        <v>38</v>
      </c>
    </row>
    <row r="342" spans="1:2" x14ac:dyDescent="0.25">
      <c r="A342" t="s">
        <v>692</v>
      </c>
      <c r="B342" s="5">
        <v>39</v>
      </c>
    </row>
    <row r="343" spans="1:2" x14ac:dyDescent="0.25">
      <c r="A343" t="s">
        <v>693</v>
      </c>
      <c r="B343" s="5">
        <v>40</v>
      </c>
    </row>
    <row r="344" spans="1:2" x14ac:dyDescent="0.25">
      <c r="A344" t="s">
        <v>694</v>
      </c>
      <c r="B344" s="5">
        <v>41</v>
      </c>
    </row>
    <row r="345" spans="1:2" x14ac:dyDescent="0.25">
      <c r="A345" t="s">
        <v>695</v>
      </c>
      <c r="B345" s="5">
        <v>42</v>
      </c>
    </row>
    <row r="346" spans="1:2" x14ac:dyDescent="0.25">
      <c r="A346" t="s">
        <v>696</v>
      </c>
      <c r="B346" s="5">
        <v>56</v>
      </c>
    </row>
    <row r="347" spans="1:2" x14ac:dyDescent="0.25">
      <c r="A347" t="s">
        <v>697</v>
      </c>
      <c r="B347" s="5">
        <v>43</v>
      </c>
    </row>
    <row r="348" spans="1:2" x14ac:dyDescent="0.25">
      <c r="A348" t="s">
        <v>698</v>
      </c>
      <c r="B348" s="5">
        <v>44</v>
      </c>
    </row>
    <row r="349" spans="1:2" x14ac:dyDescent="0.25">
      <c r="A349" t="s">
        <v>699</v>
      </c>
      <c r="B349" s="5">
        <v>45</v>
      </c>
    </row>
    <row r="350" spans="1:2" x14ac:dyDescent="0.25">
      <c r="A350" t="s">
        <v>700</v>
      </c>
      <c r="B350" s="5">
        <v>46</v>
      </c>
    </row>
    <row r="351" spans="1:2" x14ac:dyDescent="0.25">
      <c r="A351" t="s">
        <v>701</v>
      </c>
      <c r="B351" s="5">
        <v>47</v>
      </c>
    </row>
    <row r="352" spans="1:2" x14ac:dyDescent="0.25">
      <c r="A352" t="s">
        <v>702</v>
      </c>
      <c r="B352" s="5">
        <v>48</v>
      </c>
    </row>
    <row r="353" spans="1:2" x14ac:dyDescent="0.25">
      <c r="A353" t="s">
        <v>703</v>
      </c>
      <c r="B353" s="5">
        <v>49</v>
      </c>
    </row>
    <row r="354" spans="1:2" x14ac:dyDescent="0.25">
      <c r="A354" t="s">
        <v>704</v>
      </c>
      <c r="B354" s="5">
        <v>50</v>
      </c>
    </row>
    <row r="355" spans="1:2" x14ac:dyDescent="0.25">
      <c r="A355" t="s">
        <v>705</v>
      </c>
      <c r="B355" s="5">
        <v>51</v>
      </c>
    </row>
    <row r="356" spans="1:2" x14ac:dyDescent="0.25">
      <c r="A356" t="s">
        <v>706</v>
      </c>
      <c r="B356" s="5">
        <v>52</v>
      </c>
    </row>
    <row r="357" spans="1:2" x14ac:dyDescent="0.25">
      <c r="A357" t="s">
        <v>707</v>
      </c>
      <c r="B357" s="5">
        <v>53</v>
      </c>
    </row>
    <row r="358" spans="1:2" x14ac:dyDescent="0.25">
      <c r="A358" t="s">
        <v>709</v>
      </c>
      <c r="B358" s="5">
        <v>57</v>
      </c>
    </row>
    <row r="359" spans="1:2" x14ac:dyDescent="0.25">
      <c r="A359" t="s">
        <v>710</v>
      </c>
      <c r="B359" s="5">
        <v>58</v>
      </c>
    </row>
    <row r="360" spans="1:2" x14ac:dyDescent="0.25">
      <c r="A360" t="s">
        <v>711</v>
      </c>
      <c r="B360" s="5">
        <v>59</v>
      </c>
    </row>
    <row r="361" spans="1:2" x14ac:dyDescent="0.25">
      <c r="A361" t="s">
        <v>712</v>
      </c>
      <c r="B361" s="5">
        <v>61</v>
      </c>
    </row>
    <row r="362" spans="1:2" x14ac:dyDescent="0.25">
      <c r="A362" t="s">
        <v>713</v>
      </c>
      <c r="B362" s="5">
        <v>62</v>
      </c>
    </row>
    <row r="363" spans="1:2" x14ac:dyDescent="0.25">
      <c r="A363" t="s">
        <v>714</v>
      </c>
      <c r="B363" s="5">
        <v>63</v>
      </c>
    </row>
    <row r="364" spans="1:2" x14ac:dyDescent="0.25">
      <c r="A364" t="s">
        <v>715</v>
      </c>
      <c r="B364" s="5">
        <v>64</v>
      </c>
    </row>
    <row r="365" spans="1:2" x14ac:dyDescent="0.25">
      <c r="A365" t="s">
        <v>716</v>
      </c>
      <c r="B365" s="5">
        <v>65</v>
      </c>
    </row>
    <row r="366" spans="1:2" x14ac:dyDescent="0.25">
      <c r="A366" t="s">
        <v>718</v>
      </c>
      <c r="B366" s="5">
        <v>67</v>
      </c>
    </row>
    <row r="367" spans="1:2" x14ac:dyDescent="0.25">
      <c r="A367" t="s">
        <v>719</v>
      </c>
      <c r="B367" s="5">
        <v>68</v>
      </c>
    </row>
    <row r="368" spans="1:2" x14ac:dyDescent="0.25">
      <c r="A368" t="s">
        <v>720</v>
      </c>
      <c r="B368" s="5">
        <v>69</v>
      </c>
    </row>
    <row r="369" spans="1:24" x14ac:dyDescent="0.25">
      <c r="A369" t="s">
        <v>721</v>
      </c>
      <c r="B369" s="5">
        <v>70</v>
      </c>
    </row>
    <row r="370" spans="1:24" x14ac:dyDescent="0.25">
      <c r="A370" t="s">
        <v>722</v>
      </c>
      <c r="B370" s="5">
        <v>71</v>
      </c>
    </row>
    <row r="371" spans="1:24" x14ac:dyDescent="0.25">
      <c r="A371" t="s">
        <v>724</v>
      </c>
      <c r="B371" s="5" t="s">
        <v>725</v>
      </c>
    </row>
    <row r="372" spans="1:24" x14ac:dyDescent="0.25">
      <c r="A372" t="s">
        <v>726</v>
      </c>
      <c r="B372" s="5" t="s">
        <v>727</v>
      </c>
    </row>
    <row r="373" spans="1:24" x14ac:dyDescent="0.25">
      <c r="A373" t="s">
        <v>728</v>
      </c>
      <c r="B373" s="5" t="s">
        <v>729</v>
      </c>
    </row>
    <row r="374" spans="1:24" x14ac:dyDescent="0.25">
      <c r="A374" t="s">
        <v>730</v>
      </c>
      <c r="B374" s="5" t="s">
        <v>731</v>
      </c>
    </row>
    <row r="375" spans="1:24" x14ac:dyDescent="0.25">
      <c r="A375" t="s">
        <v>732</v>
      </c>
      <c r="B375" s="5" t="s">
        <v>733</v>
      </c>
    </row>
    <row r="376" spans="1:24" x14ac:dyDescent="0.25">
      <c r="A376" t="s">
        <v>734</v>
      </c>
      <c r="B376" s="5" t="s">
        <v>735</v>
      </c>
    </row>
    <row r="377" spans="1:24" x14ac:dyDescent="0.25">
      <c r="A377" t="s">
        <v>736</v>
      </c>
      <c r="B377" s="64" t="s">
        <v>1475</v>
      </c>
    </row>
    <row r="378" spans="1:24" x14ac:dyDescent="0.25">
      <c r="A378" t="s">
        <v>741</v>
      </c>
      <c r="B378" s="5"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25">
      <c r="A379" t="s">
        <v>743</v>
      </c>
      <c r="B379" s="5">
        <v>1</v>
      </c>
    </row>
    <row r="380" spans="1:24" x14ac:dyDescent="0.25">
      <c r="A380" t="s">
        <v>744</v>
      </c>
      <c r="B380" s="5">
        <v>2</v>
      </c>
    </row>
    <row r="381" spans="1:24" x14ac:dyDescent="0.25">
      <c r="A381" t="s">
        <v>745</v>
      </c>
      <c r="B381" s="5">
        <v>3</v>
      </c>
    </row>
    <row r="382" spans="1:24" x14ac:dyDescent="0.25">
      <c r="A382" t="s">
        <v>746</v>
      </c>
      <c r="B382" s="5">
        <v>4</v>
      </c>
    </row>
    <row r="383" spans="1:24" x14ac:dyDescent="0.25">
      <c r="A383" t="s">
        <v>747</v>
      </c>
      <c r="B383" s="5">
        <v>5</v>
      </c>
    </row>
    <row r="384" spans="1:24" x14ac:dyDescent="0.25">
      <c r="A384" t="s">
        <v>748</v>
      </c>
      <c r="B384" s="5">
        <v>6</v>
      </c>
    </row>
    <row r="385" spans="1:2" x14ac:dyDescent="0.25">
      <c r="A385" t="s">
        <v>749</v>
      </c>
      <c r="B385" s="5">
        <v>7</v>
      </c>
    </row>
    <row r="386" spans="1:2" x14ac:dyDescent="0.25">
      <c r="A386" t="s">
        <v>750</v>
      </c>
      <c r="B386" s="5">
        <v>9</v>
      </c>
    </row>
    <row r="387" spans="1:2" x14ac:dyDescent="0.25">
      <c r="A387" t="s">
        <v>751</v>
      </c>
      <c r="B387" s="5">
        <v>10</v>
      </c>
    </row>
    <row r="388" spans="1:2" x14ac:dyDescent="0.25">
      <c r="A388" t="s">
        <v>752</v>
      </c>
      <c r="B388" s="5">
        <v>11</v>
      </c>
    </row>
    <row r="389" spans="1:2" x14ac:dyDescent="0.25">
      <c r="A389" t="s">
        <v>753</v>
      </c>
      <c r="B389" s="5">
        <v>12</v>
      </c>
    </row>
    <row r="390" spans="1:2" x14ac:dyDescent="0.25">
      <c r="A390" t="s">
        <v>754</v>
      </c>
      <c r="B390" s="5">
        <v>13</v>
      </c>
    </row>
    <row r="391" spans="1:2" x14ac:dyDescent="0.25">
      <c r="A391" t="s">
        <v>755</v>
      </c>
      <c r="B391" s="5">
        <v>14</v>
      </c>
    </row>
    <row r="392" spans="1:2" x14ac:dyDescent="0.25">
      <c r="A392" t="s">
        <v>756</v>
      </c>
      <c r="B392" s="5">
        <v>15</v>
      </c>
    </row>
    <row r="393" spans="1:2" x14ac:dyDescent="0.25">
      <c r="A393" t="s">
        <v>757</v>
      </c>
      <c r="B393" s="5">
        <v>16</v>
      </c>
    </row>
    <row r="394" spans="1:2" x14ac:dyDescent="0.25">
      <c r="A394" t="s">
        <v>758</v>
      </c>
      <c r="B394" s="5">
        <v>17</v>
      </c>
    </row>
    <row r="395" spans="1:2" x14ac:dyDescent="0.25">
      <c r="A395" t="s">
        <v>759</v>
      </c>
      <c r="B395" s="5">
        <v>18</v>
      </c>
    </row>
    <row r="396" spans="1:2" x14ac:dyDescent="0.25">
      <c r="A396" t="s">
        <v>760</v>
      </c>
      <c r="B396" s="5">
        <v>19</v>
      </c>
    </row>
    <row r="397" spans="1:2" x14ac:dyDescent="0.25">
      <c r="A397" t="s">
        <v>761</v>
      </c>
      <c r="B397" s="5">
        <v>55</v>
      </c>
    </row>
    <row r="398" spans="1:2" x14ac:dyDescent="0.25">
      <c r="A398" t="s">
        <v>762</v>
      </c>
      <c r="B398" s="5">
        <v>20</v>
      </c>
    </row>
    <row r="399" spans="1:2" x14ac:dyDescent="0.25">
      <c r="A399" t="s">
        <v>763</v>
      </c>
      <c r="B399" s="5">
        <v>21</v>
      </c>
    </row>
    <row r="400" spans="1:2" x14ac:dyDescent="0.25">
      <c r="A400" t="s">
        <v>764</v>
      </c>
      <c r="B400" s="5">
        <v>22</v>
      </c>
    </row>
    <row r="401" spans="1:2" x14ac:dyDescent="0.25">
      <c r="A401" t="s">
        <v>765</v>
      </c>
      <c r="B401" s="5">
        <v>23</v>
      </c>
    </row>
    <row r="402" spans="1:2" x14ac:dyDescent="0.25">
      <c r="A402" t="s">
        <v>766</v>
      </c>
      <c r="B402" s="5">
        <v>24</v>
      </c>
    </row>
    <row r="403" spans="1:2" x14ac:dyDescent="0.25">
      <c r="A403" t="s">
        <v>767</v>
      </c>
      <c r="B403" s="5">
        <v>25</v>
      </c>
    </row>
    <row r="404" spans="1:2" x14ac:dyDescent="0.25">
      <c r="A404" t="s">
        <v>768</v>
      </c>
      <c r="B404" s="5">
        <v>26</v>
      </c>
    </row>
    <row r="405" spans="1:2" x14ac:dyDescent="0.25">
      <c r="A405" t="s">
        <v>769</v>
      </c>
      <c r="B405" s="5">
        <v>27</v>
      </c>
    </row>
    <row r="406" spans="1:2" x14ac:dyDescent="0.25">
      <c r="A406" t="s">
        <v>770</v>
      </c>
      <c r="B406" s="5">
        <v>28</v>
      </c>
    </row>
    <row r="407" spans="1:2" x14ac:dyDescent="0.25">
      <c r="A407" t="s">
        <v>771</v>
      </c>
      <c r="B407" s="5">
        <v>29</v>
      </c>
    </row>
    <row r="408" spans="1:2" x14ac:dyDescent="0.25">
      <c r="A408" t="s">
        <v>772</v>
      </c>
      <c r="B408" s="5">
        <v>30</v>
      </c>
    </row>
    <row r="409" spans="1:2" x14ac:dyDescent="0.25">
      <c r="A409" t="s">
        <v>773</v>
      </c>
      <c r="B409" s="5">
        <v>32</v>
      </c>
    </row>
    <row r="410" spans="1:2" x14ac:dyDescent="0.25">
      <c r="A410" t="s">
        <v>774</v>
      </c>
      <c r="B410" s="5">
        <v>33</v>
      </c>
    </row>
    <row r="411" spans="1:2" x14ac:dyDescent="0.25">
      <c r="A411" t="s">
        <v>775</v>
      </c>
      <c r="B411" s="5">
        <v>34</v>
      </c>
    </row>
    <row r="412" spans="1:2" x14ac:dyDescent="0.25">
      <c r="A412" t="s">
        <v>776</v>
      </c>
      <c r="B412" s="5">
        <v>35</v>
      </c>
    </row>
    <row r="413" spans="1:2" x14ac:dyDescent="0.25">
      <c r="A413" t="s">
        <v>777</v>
      </c>
      <c r="B413" s="5">
        <v>36</v>
      </c>
    </row>
    <row r="414" spans="1:2" x14ac:dyDescent="0.25">
      <c r="A414" t="s">
        <v>778</v>
      </c>
      <c r="B414" s="5">
        <v>37</v>
      </c>
    </row>
    <row r="415" spans="1:2" x14ac:dyDescent="0.25">
      <c r="A415" t="s">
        <v>779</v>
      </c>
      <c r="B415" s="5">
        <v>38</v>
      </c>
    </row>
    <row r="416" spans="1:2" x14ac:dyDescent="0.25">
      <c r="A416" t="s">
        <v>780</v>
      </c>
      <c r="B416" s="5">
        <v>39</v>
      </c>
    </row>
    <row r="417" spans="1:2" x14ac:dyDescent="0.25">
      <c r="A417" t="s">
        <v>781</v>
      </c>
      <c r="B417" s="5">
        <v>40</v>
      </c>
    </row>
    <row r="418" spans="1:2" x14ac:dyDescent="0.25">
      <c r="A418" t="s">
        <v>782</v>
      </c>
      <c r="B418" s="5">
        <v>41</v>
      </c>
    </row>
    <row r="419" spans="1:2" x14ac:dyDescent="0.25">
      <c r="A419" t="s">
        <v>783</v>
      </c>
      <c r="B419" s="5">
        <v>42</v>
      </c>
    </row>
    <row r="420" spans="1:2" x14ac:dyDescent="0.25">
      <c r="A420" t="s">
        <v>784</v>
      </c>
      <c r="B420" s="5">
        <v>56</v>
      </c>
    </row>
    <row r="421" spans="1:2" x14ac:dyDescent="0.25">
      <c r="A421" t="s">
        <v>785</v>
      </c>
      <c r="B421" s="5">
        <v>43</v>
      </c>
    </row>
    <row r="422" spans="1:2" x14ac:dyDescent="0.25">
      <c r="A422" t="s">
        <v>786</v>
      </c>
      <c r="B422" s="5">
        <v>44</v>
      </c>
    </row>
    <row r="423" spans="1:2" x14ac:dyDescent="0.25">
      <c r="A423" t="s">
        <v>787</v>
      </c>
      <c r="B423" s="5">
        <v>45</v>
      </c>
    </row>
    <row r="424" spans="1:2" x14ac:dyDescent="0.25">
      <c r="A424" t="s">
        <v>788</v>
      </c>
      <c r="B424" s="5">
        <v>46</v>
      </c>
    </row>
    <row r="425" spans="1:2" x14ac:dyDescent="0.25">
      <c r="A425" t="s">
        <v>789</v>
      </c>
      <c r="B425" s="5">
        <v>47</v>
      </c>
    </row>
    <row r="426" spans="1:2" x14ac:dyDescent="0.25">
      <c r="A426" t="s">
        <v>790</v>
      </c>
      <c r="B426" s="5">
        <v>48</v>
      </c>
    </row>
    <row r="427" spans="1:2" x14ac:dyDescent="0.25">
      <c r="A427" t="s">
        <v>791</v>
      </c>
      <c r="B427" s="5">
        <v>49</v>
      </c>
    </row>
    <row r="428" spans="1:2" x14ac:dyDescent="0.25">
      <c r="A428" t="s">
        <v>792</v>
      </c>
      <c r="B428" s="5">
        <v>50</v>
      </c>
    </row>
    <row r="429" spans="1:2" x14ac:dyDescent="0.25">
      <c r="A429" t="s">
        <v>793</v>
      </c>
      <c r="B429" s="5">
        <v>51</v>
      </c>
    </row>
    <row r="430" spans="1:2" x14ac:dyDescent="0.25">
      <c r="A430" t="s">
        <v>794</v>
      </c>
      <c r="B430" s="5">
        <v>52</v>
      </c>
    </row>
    <row r="431" spans="1:2" x14ac:dyDescent="0.25">
      <c r="A431" t="s">
        <v>795</v>
      </c>
      <c r="B431" s="5">
        <v>53</v>
      </c>
    </row>
    <row r="432" spans="1:2" x14ac:dyDescent="0.25">
      <c r="A432" t="s">
        <v>796</v>
      </c>
      <c r="B432" s="5">
        <v>57</v>
      </c>
    </row>
    <row r="433" spans="1:2" x14ac:dyDescent="0.25">
      <c r="A433" t="s">
        <v>797</v>
      </c>
      <c r="B433" s="5">
        <v>58</v>
      </c>
    </row>
    <row r="434" spans="1:2" x14ac:dyDescent="0.25">
      <c r="A434" t="s">
        <v>798</v>
      </c>
      <c r="B434" s="5">
        <v>59</v>
      </c>
    </row>
    <row r="435" spans="1:2" x14ac:dyDescent="0.25">
      <c r="A435" t="s">
        <v>799</v>
      </c>
      <c r="B435" s="5">
        <v>61</v>
      </c>
    </row>
    <row r="436" spans="1:2" x14ac:dyDescent="0.25">
      <c r="A436" t="s">
        <v>800</v>
      </c>
      <c r="B436" s="5">
        <v>62</v>
      </c>
    </row>
    <row r="437" spans="1:2" x14ac:dyDescent="0.25">
      <c r="A437" t="s">
        <v>801</v>
      </c>
      <c r="B437" s="5">
        <v>63</v>
      </c>
    </row>
    <row r="438" spans="1:2" x14ac:dyDescent="0.25">
      <c r="A438" t="s">
        <v>802</v>
      </c>
      <c r="B438" s="5">
        <v>64</v>
      </c>
    </row>
    <row r="439" spans="1:2" x14ac:dyDescent="0.25">
      <c r="A439" t="s">
        <v>803</v>
      </c>
      <c r="B439" s="5">
        <v>65</v>
      </c>
    </row>
    <row r="440" spans="1:2" x14ac:dyDescent="0.25">
      <c r="A440" t="s">
        <v>804</v>
      </c>
      <c r="B440" s="5">
        <v>67</v>
      </c>
    </row>
    <row r="441" spans="1:2" x14ac:dyDescent="0.25">
      <c r="A441" t="s">
        <v>805</v>
      </c>
      <c r="B441" s="5">
        <v>68</v>
      </c>
    </row>
    <row r="442" spans="1:2" x14ac:dyDescent="0.25">
      <c r="A442" t="s">
        <v>806</v>
      </c>
      <c r="B442" s="5">
        <v>69</v>
      </c>
    </row>
    <row r="443" spans="1:2" x14ac:dyDescent="0.25">
      <c r="A443" t="s">
        <v>807</v>
      </c>
      <c r="B443" s="5">
        <v>70</v>
      </c>
    </row>
    <row r="444" spans="1:2" x14ac:dyDescent="0.25">
      <c r="A444" t="s">
        <v>808</v>
      </c>
      <c r="B444" s="5">
        <v>71</v>
      </c>
    </row>
    <row r="445" spans="1:2" x14ac:dyDescent="0.25">
      <c r="A445" t="s">
        <v>810</v>
      </c>
      <c r="B445" s="5" t="s">
        <v>811</v>
      </c>
    </row>
    <row r="446" spans="1:2" x14ac:dyDescent="0.25">
      <c r="A446" t="s">
        <v>812</v>
      </c>
      <c r="B446" s="5" t="s">
        <v>813</v>
      </c>
    </row>
    <row r="447" spans="1:2" x14ac:dyDescent="0.25">
      <c r="A447" t="s">
        <v>814</v>
      </c>
      <c r="B447" s="5" t="s">
        <v>815</v>
      </c>
    </row>
    <row r="448" spans="1:2" x14ac:dyDescent="0.25">
      <c r="A448" t="s">
        <v>816</v>
      </c>
      <c r="B448" s="5" t="s">
        <v>817</v>
      </c>
    </row>
    <row r="449" spans="1:24" x14ac:dyDescent="0.25">
      <c r="A449" t="s">
        <v>818</v>
      </c>
      <c r="B449" s="5" t="s">
        <v>819</v>
      </c>
    </row>
    <row r="450" spans="1:24" x14ac:dyDescent="0.25">
      <c r="A450" t="s">
        <v>820</v>
      </c>
      <c r="B450" s="5" t="s">
        <v>821</v>
      </c>
    </row>
    <row r="451" spans="1:24" x14ac:dyDescent="0.25">
      <c r="A451" t="s">
        <v>822</v>
      </c>
      <c r="B451" s="5" t="s">
        <v>823</v>
      </c>
    </row>
    <row r="452" spans="1:24" x14ac:dyDescent="0.25">
      <c r="A452" t="s">
        <v>827</v>
      </c>
      <c r="B452" s="5"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25">
      <c r="A453" t="s">
        <v>829</v>
      </c>
      <c r="B453" s="5">
        <v>1</v>
      </c>
    </row>
    <row r="454" spans="1:24" x14ac:dyDescent="0.25">
      <c r="A454" t="s">
        <v>830</v>
      </c>
      <c r="B454" s="5">
        <v>2</v>
      </c>
    </row>
    <row r="455" spans="1:24" x14ac:dyDescent="0.25">
      <c r="A455" t="s">
        <v>831</v>
      </c>
      <c r="B455" s="5">
        <v>3</v>
      </c>
    </row>
    <row r="456" spans="1:24" x14ac:dyDescent="0.25">
      <c r="A456" t="s">
        <v>832</v>
      </c>
      <c r="B456" s="5">
        <v>4</v>
      </c>
    </row>
    <row r="457" spans="1:24" x14ac:dyDescent="0.25">
      <c r="A457" t="s">
        <v>833</v>
      </c>
      <c r="B457" s="5">
        <v>5</v>
      </c>
    </row>
    <row r="458" spans="1:24" x14ac:dyDescent="0.25">
      <c r="A458" t="s">
        <v>834</v>
      </c>
      <c r="B458" s="5">
        <v>6</v>
      </c>
    </row>
    <row r="459" spans="1:24" x14ac:dyDescent="0.25">
      <c r="A459" t="s">
        <v>835</v>
      </c>
      <c r="B459" s="5">
        <v>8</v>
      </c>
    </row>
    <row r="460" spans="1:24" x14ac:dyDescent="0.25">
      <c r="A460" t="s">
        <v>836</v>
      </c>
      <c r="B460" s="5">
        <v>9</v>
      </c>
    </row>
    <row r="461" spans="1:24" x14ac:dyDescent="0.25">
      <c r="A461" t="s">
        <v>837</v>
      </c>
      <c r="B461" s="5">
        <v>10</v>
      </c>
    </row>
    <row r="462" spans="1:24" x14ac:dyDescent="0.25">
      <c r="A462" t="s">
        <v>838</v>
      </c>
      <c r="B462" s="5">
        <v>11</v>
      </c>
    </row>
    <row r="463" spans="1:24" x14ac:dyDescent="0.25">
      <c r="A463" t="s">
        <v>839</v>
      </c>
      <c r="B463" s="5">
        <v>12</v>
      </c>
    </row>
    <row r="464" spans="1:24" x14ac:dyDescent="0.25">
      <c r="A464" t="s">
        <v>840</v>
      </c>
      <c r="B464" s="5">
        <v>13</v>
      </c>
    </row>
    <row r="465" spans="1:2" x14ac:dyDescent="0.25">
      <c r="A465" t="s">
        <v>841</v>
      </c>
      <c r="B465" s="5">
        <v>14</v>
      </c>
    </row>
    <row r="466" spans="1:2" x14ac:dyDescent="0.25">
      <c r="A466" t="s">
        <v>842</v>
      </c>
      <c r="B466" s="5">
        <v>15</v>
      </c>
    </row>
    <row r="467" spans="1:2" x14ac:dyDescent="0.25">
      <c r="A467" t="s">
        <v>843</v>
      </c>
      <c r="B467" s="5">
        <v>16</v>
      </c>
    </row>
    <row r="468" spans="1:2" x14ac:dyDescent="0.25">
      <c r="A468" t="s">
        <v>844</v>
      </c>
      <c r="B468" s="5">
        <v>17</v>
      </c>
    </row>
    <row r="469" spans="1:2" x14ac:dyDescent="0.25">
      <c r="A469" t="s">
        <v>845</v>
      </c>
      <c r="B469" s="5">
        <v>18</v>
      </c>
    </row>
    <row r="470" spans="1:2" x14ac:dyDescent="0.25">
      <c r="A470" t="s">
        <v>846</v>
      </c>
      <c r="B470" s="5">
        <v>19</v>
      </c>
    </row>
    <row r="471" spans="1:2" x14ac:dyDescent="0.25">
      <c r="A471" t="s">
        <v>847</v>
      </c>
      <c r="B471" s="5">
        <v>21</v>
      </c>
    </row>
    <row r="472" spans="1:2" x14ac:dyDescent="0.25">
      <c r="A472" t="s">
        <v>848</v>
      </c>
      <c r="B472" s="5">
        <v>22</v>
      </c>
    </row>
    <row r="473" spans="1:2" x14ac:dyDescent="0.25">
      <c r="A473" t="s">
        <v>849</v>
      </c>
      <c r="B473" s="5">
        <v>23</v>
      </c>
    </row>
    <row r="474" spans="1:2" x14ac:dyDescent="0.25">
      <c r="A474" t="s">
        <v>850</v>
      </c>
      <c r="B474" s="5">
        <v>24</v>
      </c>
    </row>
    <row r="475" spans="1:2" x14ac:dyDescent="0.25">
      <c r="A475" t="s">
        <v>851</v>
      </c>
      <c r="B475" s="5">
        <v>25</v>
      </c>
    </row>
    <row r="476" spans="1:2" x14ac:dyDescent="0.25">
      <c r="A476" t="s">
        <v>852</v>
      </c>
      <c r="B476" s="5">
        <v>26</v>
      </c>
    </row>
    <row r="477" spans="1:2" x14ac:dyDescent="0.25">
      <c r="A477" t="s">
        <v>853</v>
      </c>
      <c r="B477" s="5">
        <v>27</v>
      </c>
    </row>
    <row r="478" spans="1:2" x14ac:dyDescent="0.25">
      <c r="A478" t="s">
        <v>854</v>
      </c>
      <c r="B478" s="5">
        <v>28</v>
      </c>
    </row>
    <row r="479" spans="1:2" x14ac:dyDescent="0.25">
      <c r="A479" t="s">
        <v>855</v>
      </c>
      <c r="B479" s="5">
        <v>29</v>
      </c>
    </row>
    <row r="480" spans="1:2" x14ac:dyDescent="0.25">
      <c r="A480" t="s">
        <v>856</v>
      </c>
      <c r="B480" s="5">
        <v>30</v>
      </c>
    </row>
    <row r="481" spans="1:13" x14ac:dyDescent="0.25">
      <c r="A481" t="s">
        <v>857</v>
      </c>
      <c r="B481" s="5">
        <v>31</v>
      </c>
    </row>
    <row r="482" spans="1:13" x14ac:dyDescent="0.25">
      <c r="A482" t="s">
        <v>858</v>
      </c>
      <c r="B482" s="5">
        <v>32</v>
      </c>
    </row>
    <row r="483" spans="1:13" x14ac:dyDescent="0.25">
      <c r="A483" t="s">
        <v>859</v>
      </c>
      <c r="B483" s="5">
        <v>34</v>
      </c>
    </row>
    <row r="484" spans="1:13" x14ac:dyDescent="0.25">
      <c r="A484" t="s">
        <v>861</v>
      </c>
      <c r="B484" s="5" t="s">
        <v>862</v>
      </c>
    </row>
    <row r="485" spans="1:13" x14ac:dyDescent="0.25">
      <c r="A485" t="s">
        <v>863</v>
      </c>
      <c r="B485" s="5" t="s">
        <v>864</v>
      </c>
    </row>
    <row r="486" spans="1:13" x14ac:dyDescent="0.25">
      <c r="A486" t="s">
        <v>865</v>
      </c>
      <c r="B486" s="5" t="s">
        <v>866</v>
      </c>
    </row>
    <row r="487" spans="1:13" x14ac:dyDescent="0.25">
      <c r="A487" t="s">
        <v>867</v>
      </c>
      <c r="B487" s="5" t="s">
        <v>868</v>
      </c>
    </row>
    <row r="488" spans="1:13" x14ac:dyDescent="0.25">
      <c r="A488" t="s">
        <v>869</v>
      </c>
      <c r="B488" s="5" t="s">
        <v>870</v>
      </c>
    </row>
    <row r="489" spans="1:13" x14ac:dyDescent="0.25">
      <c r="A489" t="s">
        <v>871</v>
      </c>
      <c r="B489" s="5" t="s">
        <v>872</v>
      </c>
    </row>
    <row r="490" spans="1:13" x14ac:dyDescent="0.25">
      <c r="A490" t="s">
        <v>873</v>
      </c>
      <c r="B490" s="5" t="s">
        <v>874</v>
      </c>
    </row>
    <row r="491" spans="1:13" x14ac:dyDescent="0.25">
      <c r="A491" t="s">
        <v>878</v>
      </c>
      <c r="B491" s="5" t="s">
        <v>57</v>
      </c>
      <c r="C491" t="s">
        <v>41</v>
      </c>
      <c r="D491" t="s">
        <v>43</v>
      </c>
      <c r="E491" t="s">
        <v>25</v>
      </c>
      <c r="F491" t="s">
        <v>19</v>
      </c>
      <c r="G491" t="s">
        <v>15</v>
      </c>
      <c r="H491" t="s">
        <v>73</v>
      </c>
      <c r="I491" t="s">
        <v>71</v>
      </c>
      <c r="J491" t="s">
        <v>65</v>
      </c>
      <c r="K491" t="s">
        <v>67</v>
      </c>
      <c r="L491" t="s">
        <v>63</v>
      </c>
      <c r="M491" t="s">
        <v>83</v>
      </c>
    </row>
    <row r="492" spans="1:13" x14ac:dyDescent="0.25">
      <c r="A492" t="s">
        <v>880</v>
      </c>
      <c r="B492" s="5">
        <v>1</v>
      </c>
    </row>
    <row r="493" spans="1:13" x14ac:dyDescent="0.25">
      <c r="A493" t="s">
        <v>881</v>
      </c>
      <c r="B493" s="5">
        <v>2</v>
      </c>
    </row>
    <row r="494" spans="1:13" x14ac:dyDescent="0.25">
      <c r="A494" t="s">
        <v>882</v>
      </c>
      <c r="B494" s="5">
        <v>3</v>
      </c>
    </row>
    <row r="495" spans="1:13" x14ac:dyDescent="0.25">
      <c r="A495" t="s">
        <v>883</v>
      </c>
      <c r="B495" s="5">
        <v>4</v>
      </c>
    </row>
    <row r="496" spans="1:13" x14ac:dyDescent="0.25">
      <c r="A496" t="s">
        <v>884</v>
      </c>
      <c r="B496" s="5">
        <v>5</v>
      </c>
    </row>
    <row r="497" spans="1:2" x14ac:dyDescent="0.25">
      <c r="A497" t="s">
        <v>885</v>
      </c>
      <c r="B497" s="5">
        <v>6</v>
      </c>
    </row>
    <row r="498" spans="1:2" x14ac:dyDescent="0.25">
      <c r="A498" t="s">
        <v>886</v>
      </c>
      <c r="B498" s="5">
        <v>8</v>
      </c>
    </row>
    <row r="499" spans="1:2" x14ac:dyDescent="0.25">
      <c r="A499" t="s">
        <v>887</v>
      </c>
      <c r="B499" s="5">
        <v>9</v>
      </c>
    </row>
    <row r="500" spans="1:2" x14ac:dyDescent="0.25">
      <c r="A500" t="s">
        <v>888</v>
      </c>
      <c r="B500" s="5">
        <v>10</v>
      </c>
    </row>
    <row r="501" spans="1:2" x14ac:dyDescent="0.25">
      <c r="A501" t="s">
        <v>889</v>
      </c>
      <c r="B501" s="5">
        <v>11</v>
      </c>
    </row>
    <row r="502" spans="1:2" x14ac:dyDescent="0.25">
      <c r="A502" t="s">
        <v>890</v>
      </c>
      <c r="B502" s="5">
        <v>12</v>
      </c>
    </row>
    <row r="503" spans="1:2" x14ac:dyDescent="0.25">
      <c r="A503" t="s">
        <v>891</v>
      </c>
      <c r="B503" s="5">
        <v>13</v>
      </c>
    </row>
    <row r="504" spans="1:2" x14ac:dyDescent="0.25">
      <c r="A504" t="s">
        <v>892</v>
      </c>
      <c r="B504" s="5">
        <v>14</v>
      </c>
    </row>
    <row r="505" spans="1:2" x14ac:dyDescent="0.25">
      <c r="A505" t="s">
        <v>893</v>
      </c>
      <c r="B505" s="5">
        <v>15</v>
      </c>
    </row>
    <row r="506" spans="1:2" x14ac:dyDescent="0.25">
      <c r="A506" t="s">
        <v>894</v>
      </c>
      <c r="B506" s="5">
        <v>16</v>
      </c>
    </row>
    <row r="507" spans="1:2" x14ac:dyDescent="0.25">
      <c r="A507" t="s">
        <v>895</v>
      </c>
      <c r="B507" s="5">
        <v>17</v>
      </c>
    </row>
    <row r="508" spans="1:2" x14ac:dyDescent="0.25">
      <c r="A508" t="s">
        <v>896</v>
      </c>
      <c r="B508" s="5">
        <v>52</v>
      </c>
    </row>
    <row r="509" spans="1:2" x14ac:dyDescent="0.25">
      <c r="A509" t="s">
        <v>897</v>
      </c>
      <c r="B509" s="5">
        <v>18</v>
      </c>
    </row>
    <row r="510" spans="1:2" x14ac:dyDescent="0.25">
      <c r="A510" t="s">
        <v>898</v>
      </c>
      <c r="B510" s="5">
        <v>19</v>
      </c>
    </row>
    <row r="511" spans="1:2" x14ac:dyDescent="0.25">
      <c r="A511" t="s">
        <v>899</v>
      </c>
      <c r="B511" s="5">
        <v>20</v>
      </c>
    </row>
    <row r="512" spans="1:2" x14ac:dyDescent="0.25">
      <c r="A512" t="s">
        <v>900</v>
      </c>
      <c r="B512" s="5">
        <v>21</v>
      </c>
    </row>
    <row r="513" spans="1:2" x14ac:dyDescent="0.25">
      <c r="A513" t="s">
        <v>901</v>
      </c>
      <c r="B513" s="5">
        <v>22</v>
      </c>
    </row>
    <row r="514" spans="1:2" x14ac:dyDescent="0.25">
      <c r="A514" t="s">
        <v>902</v>
      </c>
      <c r="B514" s="5">
        <v>23</v>
      </c>
    </row>
    <row r="515" spans="1:2" x14ac:dyDescent="0.25">
      <c r="A515" t="s">
        <v>903</v>
      </c>
      <c r="B515" s="5">
        <v>24</v>
      </c>
    </row>
    <row r="516" spans="1:2" x14ac:dyDescent="0.25">
      <c r="A516" t="s">
        <v>904</v>
      </c>
      <c r="B516" s="5">
        <v>25</v>
      </c>
    </row>
    <row r="517" spans="1:2" x14ac:dyDescent="0.25">
      <c r="A517" t="s">
        <v>905</v>
      </c>
      <c r="B517" s="5">
        <v>26</v>
      </c>
    </row>
    <row r="518" spans="1:2" x14ac:dyDescent="0.25">
      <c r="A518" t="s">
        <v>906</v>
      </c>
      <c r="B518" s="5">
        <v>27</v>
      </c>
    </row>
    <row r="519" spans="1:2" x14ac:dyDescent="0.25">
      <c r="A519" t="s">
        <v>907</v>
      </c>
      <c r="B519" s="5">
        <v>28</v>
      </c>
    </row>
    <row r="520" spans="1:2" x14ac:dyDescent="0.25">
      <c r="A520" t="s">
        <v>908</v>
      </c>
      <c r="B520" s="5">
        <v>30</v>
      </c>
    </row>
    <row r="521" spans="1:2" x14ac:dyDescent="0.25">
      <c r="A521" t="s">
        <v>909</v>
      </c>
      <c r="B521" s="5">
        <v>31</v>
      </c>
    </row>
    <row r="522" spans="1:2" x14ac:dyDescent="0.25">
      <c r="A522" t="s">
        <v>910</v>
      </c>
      <c r="B522" s="5">
        <v>32</v>
      </c>
    </row>
    <row r="523" spans="1:2" x14ac:dyDescent="0.25">
      <c r="A523" t="s">
        <v>911</v>
      </c>
      <c r="B523" s="5">
        <v>33</v>
      </c>
    </row>
    <row r="524" spans="1:2" x14ac:dyDescent="0.25">
      <c r="A524" t="s">
        <v>912</v>
      </c>
      <c r="B524" s="5">
        <v>34</v>
      </c>
    </row>
    <row r="525" spans="1:2" x14ac:dyDescent="0.25">
      <c r="A525" t="s">
        <v>913</v>
      </c>
      <c r="B525" s="5">
        <v>35</v>
      </c>
    </row>
    <row r="526" spans="1:2" x14ac:dyDescent="0.25">
      <c r="A526" t="s">
        <v>914</v>
      </c>
      <c r="B526" s="5">
        <v>36</v>
      </c>
    </row>
    <row r="527" spans="1:2" x14ac:dyDescent="0.25">
      <c r="A527" t="s">
        <v>915</v>
      </c>
      <c r="B527" s="5">
        <v>37</v>
      </c>
    </row>
    <row r="528" spans="1:2" x14ac:dyDescent="0.25">
      <c r="A528" t="s">
        <v>916</v>
      </c>
      <c r="B528" s="5">
        <v>38</v>
      </c>
    </row>
    <row r="529" spans="1:2" x14ac:dyDescent="0.25">
      <c r="A529" t="s">
        <v>917</v>
      </c>
      <c r="B529" s="5">
        <v>39</v>
      </c>
    </row>
    <row r="530" spans="1:2" x14ac:dyDescent="0.25">
      <c r="A530" t="s">
        <v>918</v>
      </c>
      <c r="B530" s="5">
        <v>53</v>
      </c>
    </row>
    <row r="531" spans="1:2" x14ac:dyDescent="0.25">
      <c r="A531" t="s">
        <v>919</v>
      </c>
      <c r="B531" s="5">
        <v>40</v>
      </c>
    </row>
    <row r="532" spans="1:2" x14ac:dyDescent="0.25">
      <c r="A532" t="s">
        <v>920</v>
      </c>
      <c r="B532" s="5">
        <v>41</v>
      </c>
    </row>
    <row r="533" spans="1:2" x14ac:dyDescent="0.25">
      <c r="A533" t="s">
        <v>921</v>
      </c>
      <c r="B533" s="5">
        <v>42</v>
      </c>
    </row>
    <row r="534" spans="1:2" x14ac:dyDescent="0.25">
      <c r="A534" t="s">
        <v>922</v>
      </c>
      <c r="B534" s="5">
        <v>43</v>
      </c>
    </row>
    <row r="535" spans="1:2" x14ac:dyDescent="0.25">
      <c r="A535" t="s">
        <v>923</v>
      </c>
      <c r="B535" s="5">
        <v>44</v>
      </c>
    </row>
    <row r="536" spans="1:2" x14ac:dyDescent="0.25">
      <c r="A536" t="s">
        <v>924</v>
      </c>
      <c r="B536" s="5">
        <v>45</v>
      </c>
    </row>
    <row r="537" spans="1:2" x14ac:dyDescent="0.25">
      <c r="A537" t="s">
        <v>925</v>
      </c>
      <c r="B537" s="5">
        <v>46</v>
      </c>
    </row>
    <row r="538" spans="1:2" x14ac:dyDescent="0.25">
      <c r="A538" t="s">
        <v>926</v>
      </c>
      <c r="B538" s="5">
        <v>47</v>
      </c>
    </row>
    <row r="539" spans="1:2" x14ac:dyDescent="0.25">
      <c r="A539" t="s">
        <v>927</v>
      </c>
      <c r="B539" s="5">
        <v>48</v>
      </c>
    </row>
    <row r="540" spans="1:2" x14ac:dyDescent="0.25">
      <c r="A540" t="s">
        <v>928</v>
      </c>
      <c r="B540" s="5">
        <v>49</v>
      </c>
    </row>
    <row r="541" spans="1:2" x14ac:dyDescent="0.25">
      <c r="A541" t="s">
        <v>929</v>
      </c>
      <c r="B541" s="5">
        <v>50</v>
      </c>
    </row>
    <row r="542" spans="1:2" x14ac:dyDescent="0.25">
      <c r="A542" t="s">
        <v>930</v>
      </c>
      <c r="B542" s="5">
        <v>54</v>
      </c>
    </row>
    <row r="543" spans="1:2" x14ac:dyDescent="0.25">
      <c r="A543" t="s">
        <v>931</v>
      </c>
      <c r="B543" s="5">
        <v>55</v>
      </c>
    </row>
    <row r="544" spans="1:2" x14ac:dyDescent="0.25">
      <c r="A544" t="s">
        <v>932</v>
      </c>
      <c r="B544" s="5">
        <v>56</v>
      </c>
    </row>
    <row r="545" spans="1:23" x14ac:dyDescent="0.25">
      <c r="A545" t="s">
        <v>934</v>
      </c>
      <c r="B545" s="5" t="s">
        <v>935</v>
      </c>
    </row>
    <row r="546" spans="1:23" x14ac:dyDescent="0.25">
      <c r="A546" t="s">
        <v>936</v>
      </c>
      <c r="B546" s="5" t="s">
        <v>937</v>
      </c>
    </row>
    <row r="547" spans="1:23" x14ac:dyDescent="0.25">
      <c r="A547" t="s">
        <v>938</v>
      </c>
      <c r="B547" s="5" t="s">
        <v>939</v>
      </c>
    </row>
    <row r="548" spans="1:23" x14ac:dyDescent="0.25">
      <c r="A548" t="s">
        <v>940</v>
      </c>
      <c r="B548" s="5" t="s">
        <v>941</v>
      </c>
    </row>
    <row r="549" spans="1:23" x14ac:dyDescent="0.25">
      <c r="A549" t="s">
        <v>942</v>
      </c>
      <c r="B549" s="5" t="s">
        <v>943</v>
      </c>
    </row>
    <row r="550" spans="1:23" x14ac:dyDescent="0.25">
      <c r="A550" t="s">
        <v>944</v>
      </c>
      <c r="B550" s="5" t="s">
        <v>945</v>
      </c>
    </row>
    <row r="551" spans="1:23" x14ac:dyDescent="0.25">
      <c r="A551" t="s">
        <v>946</v>
      </c>
      <c r="B551" s="5" t="s">
        <v>947</v>
      </c>
    </row>
    <row r="552" spans="1:23" x14ac:dyDescent="0.25">
      <c r="A552" t="s">
        <v>951</v>
      </c>
      <c r="B552" s="5"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25">
      <c r="A553" t="s">
        <v>953</v>
      </c>
      <c r="B553" s="5">
        <v>1</v>
      </c>
    </row>
    <row r="554" spans="1:23" x14ac:dyDescent="0.25">
      <c r="A554" t="s">
        <v>954</v>
      </c>
      <c r="B554" s="5">
        <v>2</v>
      </c>
    </row>
    <row r="555" spans="1:23" x14ac:dyDescent="0.25">
      <c r="A555" t="s">
        <v>955</v>
      </c>
      <c r="B555" s="5">
        <v>3</v>
      </c>
    </row>
    <row r="556" spans="1:23" x14ac:dyDescent="0.25">
      <c r="A556" t="s">
        <v>956</v>
      </c>
      <c r="B556" s="5">
        <v>4</v>
      </c>
    </row>
    <row r="557" spans="1:23" x14ac:dyDescent="0.25">
      <c r="A557" t="s">
        <v>957</v>
      </c>
      <c r="B557" s="5">
        <v>5</v>
      </c>
    </row>
    <row r="558" spans="1:23" x14ac:dyDescent="0.25">
      <c r="A558" t="s">
        <v>958</v>
      </c>
      <c r="B558" s="5">
        <v>6</v>
      </c>
    </row>
    <row r="559" spans="1:23" x14ac:dyDescent="0.25">
      <c r="A559" t="s">
        <v>959</v>
      </c>
      <c r="B559" s="5">
        <v>8</v>
      </c>
    </row>
    <row r="560" spans="1:23" x14ac:dyDescent="0.25">
      <c r="A560" t="s">
        <v>960</v>
      </c>
      <c r="B560" s="5">
        <v>9</v>
      </c>
    </row>
    <row r="561" spans="1:2" x14ac:dyDescent="0.25">
      <c r="A561" t="s">
        <v>961</v>
      </c>
      <c r="B561" s="5">
        <v>10</v>
      </c>
    </row>
    <row r="562" spans="1:2" x14ac:dyDescent="0.25">
      <c r="A562" t="s">
        <v>962</v>
      </c>
      <c r="B562" s="5">
        <v>11</v>
      </c>
    </row>
    <row r="563" spans="1:2" x14ac:dyDescent="0.25">
      <c r="A563" t="s">
        <v>963</v>
      </c>
      <c r="B563" s="5">
        <v>12</v>
      </c>
    </row>
    <row r="564" spans="1:2" x14ac:dyDescent="0.25">
      <c r="A564" t="s">
        <v>964</v>
      </c>
      <c r="B564" s="5">
        <v>13</v>
      </c>
    </row>
    <row r="565" spans="1:2" x14ac:dyDescent="0.25">
      <c r="A565" t="s">
        <v>965</v>
      </c>
      <c r="B565" s="5">
        <v>14</v>
      </c>
    </row>
    <row r="566" spans="1:2" x14ac:dyDescent="0.25">
      <c r="A566" t="s">
        <v>966</v>
      </c>
      <c r="B566" s="5">
        <v>15</v>
      </c>
    </row>
    <row r="567" spans="1:2" x14ac:dyDescent="0.25">
      <c r="A567" t="s">
        <v>967</v>
      </c>
      <c r="B567" s="5">
        <v>17</v>
      </c>
    </row>
    <row r="568" spans="1:2" x14ac:dyDescent="0.25">
      <c r="A568" t="s">
        <v>968</v>
      </c>
      <c r="B568" s="5">
        <v>18</v>
      </c>
    </row>
    <row r="569" spans="1:2" x14ac:dyDescent="0.25">
      <c r="A569" t="s">
        <v>969</v>
      </c>
      <c r="B569" s="5">
        <v>19</v>
      </c>
    </row>
    <row r="570" spans="1:2" x14ac:dyDescent="0.25">
      <c r="A570" t="s">
        <v>970</v>
      </c>
      <c r="B570" s="5">
        <v>20</v>
      </c>
    </row>
    <row r="571" spans="1:2" x14ac:dyDescent="0.25">
      <c r="A571" t="s">
        <v>971</v>
      </c>
      <c r="B571" s="5">
        <v>21</v>
      </c>
    </row>
    <row r="572" spans="1:2" x14ac:dyDescent="0.25">
      <c r="A572" t="s">
        <v>972</v>
      </c>
      <c r="B572" s="5">
        <v>22</v>
      </c>
    </row>
    <row r="573" spans="1:2" x14ac:dyDescent="0.25">
      <c r="A573" t="s">
        <v>973</v>
      </c>
      <c r="B573" s="5">
        <v>23</v>
      </c>
    </row>
    <row r="574" spans="1:2" x14ac:dyDescent="0.25">
      <c r="A574" t="s">
        <v>974</v>
      </c>
      <c r="B574" s="5">
        <v>24</v>
      </c>
    </row>
    <row r="575" spans="1:2" x14ac:dyDescent="0.25">
      <c r="A575" t="s">
        <v>975</v>
      </c>
      <c r="B575" s="5">
        <v>26</v>
      </c>
    </row>
    <row r="576" spans="1:2" x14ac:dyDescent="0.25">
      <c r="A576" t="s">
        <v>977</v>
      </c>
      <c r="B576" s="5" t="s">
        <v>978</v>
      </c>
    </row>
    <row r="577" spans="1:9" x14ac:dyDescent="0.25">
      <c r="A577" t="s">
        <v>979</v>
      </c>
      <c r="B577" s="5" t="s">
        <v>980</v>
      </c>
    </row>
    <row r="578" spans="1:9" x14ac:dyDescent="0.25">
      <c r="A578" t="s">
        <v>982</v>
      </c>
      <c r="B578" s="5" t="s">
        <v>983</v>
      </c>
    </row>
    <row r="579" spans="1:9" x14ac:dyDescent="0.25">
      <c r="A579" t="s">
        <v>985</v>
      </c>
      <c r="B579" s="5" t="s">
        <v>986</v>
      </c>
    </row>
    <row r="580" spans="1:9" x14ac:dyDescent="0.25">
      <c r="A580" t="s">
        <v>988</v>
      </c>
      <c r="B580" s="5" t="s">
        <v>989</v>
      </c>
    </row>
    <row r="581" spans="1:9" x14ac:dyDescent="0.25">
      <c r="A581" t="s">
        <v>992</v>
      </c>
      <c r="B581" s="5" t="s">
        <v>993</v>
      </c>
    </row>
    <row r="582" spans="1:9" x14ac:dyDescent="0.25">
      <c r="A582" t="s">
        <v>995</v>
      </c>
      <c r="B582" s="5" t="s">
        <v>996</v>
      </c>
    </row>
    <row r="583" spans="1:9" x14ac:dyDescent="0.25">
      <c r="A583" t="s">
        <v>998</v>
      </c>
      <c r="B583" s="5" t="s">
        <v>999</v>
      </c>
    </row>
    <row r="584" spans="1:9" x14ac:dyDescent="0.25">
      <c r="A584" t="s">
        <v>1006</v>
      </c>
      <c r="B584" s="5" t="s">
        <v>57</v>
      </c>
      <c r="C584" t="s">
        <v>25</v>
      </c>
      <c r="D584" t="s">
        <v>61</v>
      </c>
      <c r="E584" t="s">
        <v>39</v>
      </c>
      <c r="F584" t="s">
        <v>73</v>
      </c>
      <c r="G584" t="s">
        <v>71</v>
      </c>
      <c r="H584" t="s">
        <v>67</v>
      </c>
      <c r="I584" t="s">
        <v>83</v>
      </c>
    </row>
    <row r="585" spans="1:9" x14ac:dyDescent="0.25">
      <c r="A585" t="s">
        <v>1008</v>
      </c>
      <c r="B585" s="5">
        <v>1</v>
      </c>
    </row>
    <row r="586" spans="1:9" x14ac:dyDescent="0.25">
      <c r="A586" t="s">
        <v>1009</v>
      </c>
      <c r="B586" s="5">
        <v>2</v>
      </c>
    </row>
    <row r="587" spans="1:9" x14ac:dyDescent="0.25">
      <c r="A587" t="s">
        <v>1010</v>
      </c>
      <c r="B587" s="5">
        <v>3</v>
      </c>
    </row>
    <row r="588" spans="1:9" x14ac:dyDescent="0.25">
      <c r="A588" t="s">
        <v>1011</v>
      </c>
      <c r="B588" s="5">
        <v>4</v>
      </c>
    </row>
    <row r="589" spans="1:9" x14ac:dyDescent="0.25">
      <c r="A589" t="s">
        <v>1012</v>
      </c>
      <c r="B589" s="5">
        <v>5</v>
      </c>
    </row>
    <row r="590" spans="1:9" x14ac:dyDescent="0.25">
      <c r="A590" t="s">
        <v>1013</v>
      </c>
      <c r="B590" s="5">
        <v>6</v>
      </c>
    </row>
    <row r="591" spans="1:9" x14ac:dyDescent="0.25">
      <c r="A591" t="s">
        <v>1014</v>
      </c>
      <c r="B591" s="5">
        <v>7</v>
      </c>
    </row>
    <row r="592" spans="1:9" x14ac:dyDescent="0.25">
      <c r="A592" t="s">
        <v>1015</v>
      </c>
      <c r="B592" s="5">
        <v>9</v>
      </c>
    </row>
    <row r="593" spans="1:2" x14ac:dyDescent="0.25">
      <c r="A593" t="s">
        <v>1016</v>
      </c>
      <c r="B593" s="5">
        <v>10</v>
      </c>
    </row>
    <row r="594" spans="1:2" x14ac:dyDescent="0.25">
      <c r="A594" t="s">
        <v>1017</v>
      </c>
      <c r="B594" s="5">
        <v>11</v>
      </c>
    </row>
    <row r="595" spans="1:2" x14ac:dyDescent="0.25">
      <c r="A595" t="s">
        <v>1018</v>
      </c>
      <c r="B595" s="5">
        <v>12</v>
      </c>
    </row>
    <row r="596" spans="1:2" x14ac:dyDescent="0.25">
      <c r="A596" t="s">
        <v>1019</v>
      </c>
      <c r="B596" s="5">
        <v>13</v>
      </c>
    </row>
    <row r="597" spans="1:2" x14ac:dyDescent="0.25">
      <c r="A597" t="s">
        <v>1020</v>
      </c>
      <c r="B597" s="5">
        <v>14</v>
      </c>
    </row>
    <row r="598" spans="1:2" x14ac:dyDescent="0.25">
      <c r="A598" t="s">
        <v>1021</v>
      </c>
      <c r="B598" s="5">
        <v>15</v>
      </c>
    </row>
    <row r="599" spans="1:2" x14ac:dyDescent="0.25">
      <c r="A599" t="s">
        <v>1022</v>
      </c>
      <c r="B599" s="5">
        <v>16</v>
      </c>
    </row>
    <row r="600" spans="1:2" x14ac:dyDescent="0.25">
      <c r="A600" t="s">
        <v>1023</v>
      </c>
      <c r="B600" s="5">
        <v>17</v>
      </c>
    </row>
    <row r="601" spans="1:2" x14ac:dyDescent="0.25">
      <c r="A601" t="s">
        <v>1024</v>
      </c>
      <c r="B601" s="5">
        <v>18</v>
      </c>
    </row>
    <row r="602" spans="1:2" x14ac:dyDescent="0.25">
      <c r="A602" t="s">
        <v>1025</v>
      </c>
      <c r="B602" s="5">
        <v>19</v>
      </c>
    </row>
    <row r="603" spans="1:2" x14ac:dyDescent="0.25">
      <c r="A603" t="s">
        <v>1026</v>
      </c>
      <c r="B603" s="5">
        <v>20</v>
      </c>
    </row>
    <row r="604" spans="1:2" x14ac:dyDescent="0.25">
      <c r="A604" t="s">
        <v>1027</v>
      </c>
      <c r="B604" s="5">
        <v>22</v>
      </c>
    </row>
    <row r="605" spans="1:2" x14ac:dyDescent="0.25">
      <c r="A605" t="s">
        <v>1028</v>
      </c>
      <c r="B605" s="5">
        <v>23</v>
      </c>
    </row>
    <row r="606" spans="1:2" x14ac:dyDescent="0.25">
      <c r="A606" t="s">
        <v>1029</v>
      </c>
      <c r="B606" s="5">
        <v>24</v>
      </c>
    </row>
    <row r="607" spans="1:2" x14ac:dyDescent="0.25">
      <c r="A607" t="s">
        <v>1030</v>
      </c>
      <c r="B607" s="5">
        <v>25</v>
      </c>
    </row>
    <row r="608" spans="1:2" x14ac:dyDescent="0.25">
      <c r="A608" t="s">
        <v>1031</v>
      </c>
      <c r="B608" s="5">
        <v>26</v>
      </c>
    </row>
    <row r="609" spans="1:2" x14ac:dyDescent="0.25">
      <c r="A609" t="s">
        <v>1032</v>
      </c>
      <c r="B609" s="5">
        <v>27</v>
      </c>
    </row>
    <row r="610" spans="1:2" x14ac:dyDescent="0.25">
      <c r="A610" t="s">
        <v>1033</v>
      </c>
      <c r="B610" s="5">
        <v>28</v>
      </c>
    </row>
    <row r="611" spans="1:2" x14ac:dyDescent="0.25">
      <c r="A611" t="s">
        <v>1034</v>
      </c>
      <c r="B611" s="5">
        <v>29</v>
      </c>
    </row>
    <row r="612" spans="1:2" x14ac:dyDescent="0.25">
      <c r="A612" t="s">
        <v>1035</v>
      </c>
      <c r="B612" s="5">
        <v>30</v>
      </c>
    </row>
    <row r="613" spans="1:2" x14ac:dyDescent="0.25">
      <c r="A613" t="s">
        <v>1036</v>
      </c>
      <c r="B613" s="5">
        <v>31</v>
      </c>
    </row>
    <row r="614" spans="1:2" x14ac:dyDescent="0.25">
      <c r="A614" t="s">
        <v>1037</v>
      </c>
      <c r="B614" s="5">
        <v>32</v>
      </c>
    </row>
    <row r="615" spans="1:2" x14ac:dyDescent="0.25">
      <c r="A615" t="s">
        <v>1038</v>
      </c>
      <c r="B615" s="5">
        <v>33</v>
      </c>
    </row>
    <row r="616" spans="1:2" x14ac:dyDescent="0.25">
      <c r="A616" t="s">
        <v>1039</v>
      </c>
      <c r="B616" s="5">
        <v>35</v>
      </c>
    </row>
    <row r="617" spans="1:2" x14ac:dyDescent="0.25">
      <c r="A617" t="s">
        <v>1040</v>
      </c>
      <c r="B617" s="5">
        <v>36</v>
      </c>
    </row>
    <row r="618" spans="1:2" x14ac:dyDescent="0.25">
      <c r="A618" t="s">
        <v>1041</v>
      </c>
      <c r="B618" s="5">
        <v>37</v>
      </c>
    </row>
    <row r="619" spans="1:2" x14ac:dyDescent="0.25">
      <c r="A619" t="s">
        <v>1042</v>
      </c>
      <c r="B619" s="5">
        <v>39</v>
      </c>
    </row>
    <row r="620" spans="1:2" x14ac:dyDescent="0.25">
      <c r="A620" t="s">
        <v>1043</v>
      </c>
      <c r="B620" s="5">
        <v>40</v>
      </c>
    </row>
    <row r="621" spans="1:2" x14ac:dyDescent="0.25">
      <c r="A621" t="s">
        <v>1044</v>
      </c>
      <c r="B621" s="5">
        <v>41</v>
      </c>
    </row>
    <row r="622" spans="1:2" x14ac:dyDescent="0.25">
      <c r="A622" t="s">
        <v>1046</v>
      </c>
      <c r="B622" s="5" t="s">
        <v>1047</v>
      </c>
    </row>
    <row r="623" spans="1:2" x14ac:dyDescent="0.25">
      <c r="A623" t="s">
        <v>1048</v>
      </c>
      <c r="B623" s="5" t="s">
        <v>1049</v>
      </c>
    </row>
    <row r="624" spans="1:2" x14ac:dyDescent="0.25">
      <c r="A624" t="s">
        <v>1050</v>
      </c>
      <c r="B624" s="5" t="s">
        <v>1051</v>
      </c>
    </row>
    <row r="625" spans="1:13" x14ac:dyDescent="0.25">
      <c r="A625" t="s">
        <v>1052</v>
      </c>
      <c r="B625" s="5" t="s">
        <v>1053</v>
      </c>
    </row>
    <row r="626" spans="1:13" x14ac:dyDescent="0.25">
      <c r="A626" t="s">
        <v>1054</v>
      </c>
      <c r="B626" s="5" t="s">
        <v>1055</v>
      </c>
    </row>
    <row r="627" spans="1:13" x14ac:dyDescent="0.25">
      <c r="A627" t="s">
        <v>1058</v>
      </c>
      <c r="B627" s="5" t="s">
        <v>47</v>
      </c>
      <c r="C627" t="s">
        <v>49</v>
      </c>
      <c r="D627" t="s">
        <v>71</v>
      </c>
      <c r="E627" t="s">
        <v>11</v>
      </c>
      <c r="F627" t="s">
        <v>67</v>
      </c>
      <c r="G627" t="s">
        <v>7</v>
      </c>
      <c r="H627" t="s">
        <v>61</v>
      </c>
      <c r="I627" t="s">
        <v>25</v>
      </c>
      <c r="J627" t="s">
        <v>73</v>
      </c>
      <c r="K627" t="s">
        <v>75</v>
      </c>
      <c r="L627" t="s">
        <v>57</v>
      </c>
      <c r="M627" t="s">
        <v>39</v>
      </c>
    </row>
    <row r="628" spans="1:13" x14ac:dyDescent="0.25">
      <c r="A628" t="s">
        <v>1060</v>
      </c>
      <c r="B628" s="5">
        <v>1</v>
      </c>
    </row>
    <row r="629" spans="1:13" x14ac:dyDescent="0.25">
      <c r="A629" t="s">
        <v>1061</v>
      </c>
      <c r="B629" s="5">
        <v>2</v>
      </c>
    </row>
    <row r="630" spans="1:13" x14ac:dyDescent="0.25">
      <c r="A630" t="s">
        <v>1062</v>
      </c>
      <c r="B630" s="5">
        <v>3</v>
      </c>
    </row>
    <row r="631" spans="1:13" x14ac:dyDescent="0.25">
      <c r="A631" t="s">
        <v>1063</v>
      </c>
      <c r="B631" s="5">
        <v>4</v>
      </c>
    </row>
    <row r="632" spans="1:13" x14ac:dyDescent="0.25">
      <c r="A632" t="s">
        <v>1064</v>
      </c>
      <c r="B632" s="5">
        <v>5</v>
      </c>
    </row>
    <row r="633" spans="1:13" x14ac:dyDescent="0.25">
      <c r="A633" t="s">
        <v>1065</v>
      </c>
      <c r="B633" s="5">
        <v>6</v>
      </c>
    </row>
    <row r="634" spans="1:13" x14ac:dyDescent="0.25">
      <c r="A634" t="s">
        <v>1066</v>
      </c>
      <c r="B634" s="5">
        <v>7</v>
      </c>
    </row>
    <row r="635" spans="1:13" x14ac:dyDescent="0.25">
      <c r="A635" t="s">
        <v>1067</v>
      </c>
      <c r="B635" s="5">
        <v>9</v>
      </c>
    </row>
    <row r="636" spans="1:13" x14ac:dyDescent="0.25">
      <c r="A636" t="s">
        <v>1068</v>
      </c>
      <c r="B636" s="5">
        <v>10</v>
      </c>
    </row>
    <row r="637" spans="1:13" x14ac:dyDescent="0.25">
      <c r="A637" t="s">
        <v>1069</v>
      </c>
      <c r="B637" s="5">
        <v>11</v>
      </c>
    </row>
    <row r="638" spans="1:13" x14ac:dyDescent="0.25">
      <c r="A638" t="s">
        <v>1070</v>
      </c>
      <c r="B638" s="5">
        <v>12</v>
      </c>
    </row>
    <row r="639" spans="1:13" x14ac:dyDescent="0.25">
      <c r="A639" t="s">
        <v>1071</v>
      </c>
      <c r="B639" s="5">
        <v>13</v>
      </c>
    </row>
    <row r="640" spans="1:13" x14ac:dyDescent="0.25">
      <c r="A640" t="s">
        <v>1073</v>
      </c>
      <c r="B640" s="5">
        <v>14</v>
      </c>
    </row>
    <row r="641" spans="1:2" x14ac:dyDescent="0.25">
      <c r="A641" t="s">
        <v>1075</v>
      </c>
      <c r="B641" s="5">
        <v>15</v>
      </c>
    </row>
    <row r="642" spans="1:2" x14ac:dyDescent="0.25">
      <c r="A642" t="s">
        <v>1076</v>
      </c>
      <c r="B642" s="5">
        <v>16</v>
      </c>
    </row>
    <row r="643" spans="1:2" x14ac:dyDescent="0.25">
      <c r="A643" t="s">
        <v>1077</v>
      </c>
      <c r="B643" s="5">
        <v>17</v>
      </c>
    </row>
    <row r="644" spans="1:2" x14ac:dyDescent="0.25">
      <c r="A644" t="s">
        <v>1078</v>
      </c>
      <c r="B644" s="5">
        <v>19</v>
      </c>
    </row>
    <row r="645" spans="1:2" x14ac:dyDescent="0.25">
      <c r="A645" t="s">
        <v>1079</v>
      </c>
      <c r="B645" s="5">
        <v>20</v>
      </c>
    </row>
    <row r="646" spans="1:2" x14ac:dyDescent="0.25">
      <c r="A646" t="s">
        <v>1080</v>
      </c>
      <c r="B646" s="5">
        <v>21</v>
      </c>
    </row>
    <row r="647" spans="1:2" x14ac:dyDescent="0.25">
      <c r="A647" t="s">
        <v>1081</v>
      </c>
      <c r="B647" s="5">
        <v>22</v>
      </c>
    </row>
    <row r="648" spans="1:2" x14ac:dyDescent="0.25">
      <c r="A648" t="s">
        <v>1082</v>
      </c>
      <c r="B648" s="5">
        <v>23</v>
      </c>
    </row>
    <row r="649" spans="1:2" x14ac:dyDescent="0.25">
      <c r="A649" t="s">
        <v>1083</v>
      </c>
      <c r="B649" s="5">
        <v>24</v>
      </c>
    </row>
    <row r="650" spans="1:2" x14ac:dyDescent="0.25">
      <c r="A650" t="s">
        <v>1084</v>
      </c>
      <c r="B650" s="5">
        <v>25</v>
      </c>
    </row>
    <row r="651" spans="1:2" x14ac:dyDescent="0.25">
      <c r="A651" t="s">
        <v>1085</v>
      </c>
      <c r="B651" s="5">
        <v>26</v>
      </c>
    </row>
    <row r="652" spans="1:2" x14ac:dyDescent="0.25">
      <c r="A652" t="s">
        <v>1086</v>
      </c>
      <c r="B652" s="5">
        <v>27</v>
      </c>
    </row>
    <row r="653" spans="1:2" x14ac:dyDescent="0.25">
      <c r="A653" t="s">
        <v>1088</v>
      </c>
      <c r="B653" s="5">
        <v>29</v>
      </c>
    </row>
    <row r="654" spans="1:2" x14ac:dyDescent="0.25">
      <c r="A654" t="s">
        <v>1090</v>
      </c>
      <c r="B654" s="5">
        <v>31</v>
      </c>
    </row>
    <row r="655" spans="1:2" x14ac:dyDescent="0.25">
      <c r="A655" t="s">
        <v>1092</v>
      </c>
      <c r="B655" s="5" t="s">
        <v>1093</v>
      </c>
    </row>
    <row r="656" spans="1:2" x14ac:dyDescent="0.25">
      <c r="A656" t="s">
        <v>1094</v>
      </c>
      <c r="B656" s="5" t="s">
        <v>1095</v>
      </c>
    </row>
    <row r="657" spans="1:10" x14ac:dyDescent="0.25">
      <c r="A657" t="s">
        <v>1096</v>
      </c>
      <c r="B657" s="5" t="s">
        <v>1097</v>
      </c>
    </row>
    <row r="658" spans="1:10" x14ac:dyDescent="0.25">
      <c r="A658" t="s">
        <v>1098</v>
      </c>
      <c r="B658" s="5" t="s">
        <v>1099</v>
      </c>
    </row>
    <row r="659" spans="1:10" x14ac:dyDescent="0.25">
      <c r="A659" t="s">
        <v>1100</v>
      </c>
      <c r="B659" s="5" t="s">
        <v>1101</v>
      </c>
    </row>
    <row r="660" spans="1:10" x14ac:dyDescent="0.25">
      <c r="A660" t="s">
        <v>1105</v>
      </c>
      <c r="B660" s="5" t="s">
        <v>67</v>
      </c>
      <c r="C660" t="s">
        <v>55</v>
      </c>
      <c r="D660" t="s">
        <v>37</v>
      </c>
      <c r="E660" t="s">
        <v>73</v>
      </c>
      <c r="F660" t="s">
        <v>25</v>
      </c>
      <c r="G660" t="s">
        <v>71</v>
      </c>
      <c r="H660" t="s">
        <v>61</v>
      </c>
      <c r="I660" t="s">
        <v>39</v>
      </c>
      <c r="J660" t="s">
        <v>57</v>
      </c>
    </row>
    <row r="661" spans="1:10" x14ac:dyDescent="0.25">
      <c r="A661" t="s">
        <v>1107</v>
      </c>
      <c r="B661" s="5">
        <v>1</v>
      </c>
    </row>
    <row r="662" spans="1:10" x14ac:dyDescent="0.25">
      <c r="A662" t="s">
        <v>1108</v>
      </c>
      <c r="B662" s="5">
        <v>2</v>
      </c>
    </row>
    <row r="663" spans="1:10" x14ac:dyDescent="0.25">
      <c r="A663" t="s">
        <v>1109</v>
      </c>
      <c r="B663" s="5">
        <v>3</v>
      </c>
    </row>
    <row r="664" spans="1:10" x14ac:dyDescent="0.25">
      <c r="A664" t="s">
        <v>1110</v>
      </c>
      <c r="B664" s="5">
        <v>4</v>
      </c>
    </row>
    <row r="665" spans="1:10" x14ac:dyDescent="0.25">
      <c r="A665" t="s">
        <v>1111</v>
      </c>
      <c r="B665" s="5">
        <v>5</v>
      </c>
    </row>
    <row r="666" spans="1:10" x14ac:dyDescent="0.25">
      <c r="A666" t="s">
        <v>1112</v>
      </c>
      <c r="B666" s="5">
        <v>6</v>
      </c>
    </row>
    <row r="667" spans="1:10" x14ac:dyDescent="0.25">
      <c r="A667" t="s">
        <v>1113</v>
      </c>
      <c r="B667" s="5">
        <v>7</v>
      </c>
    </row>
    <row r="668" spans="1:10" x14ac:dyDescent="0.25">
      <c r="A668" t="s">
        <v>1114</v>
      </c>
      <c r="B668" s="5">
        <v>9</v>
      </c>
    </row>
    <row r="669" spans="1:10" x14ac:dyDescent="0.25">
      <c r="A669" t="s">
        <v>1115</v>
      </c>
      <c r="B669" s="5">
        <v>10</v>
      </c>
    </row>
    <row r="670" spans="1:10" x14ac:dyDescent="0.25">
      <c r="A670" t="s">
        <v>1116</v>
      </c>
      <c r="B670" s="5">
        <v>11</v>
      </c>
    </row>
    <row r="671" spans="1:10" x14ac:dyDescent="0.25">
      <c r="A671" t="s">
        <v>1117</v>
      </c>
      <c r="B671" s="5">
        <v>12</v>
      </c>
    </row>
    <row r="672" spans="1:10" x14ac:dyDescent="0.25">
      <c r="A672" t="s">
        <v>1118</v>
      </c>
      <c r="B672" s="5">
        <v>13</v>
      </c>
    </row>
    <row r="673" spans="1:2" x14ac:dyDescent="0.25">
      <c r="A673" t="s">
        <v>1119</v>
      </c>
      <c r="B673" s="5">
        <v>14</v>
      </c>
    </row>
    <row r="674" spans="1:2" x14ac:dyDescent="0.25">
      <c r="A674" t="s">
        <v>1120</v>
      </c>
      <c r="B674" s="5">
        <v>15</v>
      </c>
    </row>
    <row r="675" spans="1:2" x14ac:dyDescent="0.25">
      <c r="A675" t="s">
        <v>1121</v>
      </c>
      <c r="B675" s="5">
        <v>16</v>
      </c>
    </row>
    <row r="676" spans="1:2" x14ac:dyDescent="0.25">
      <c r="A676" t="s">
        <v>1122</v>
      </c>
      <c r="B676" s="5">
        <v>17</v>
      </c>
    </row>
    <row r="677" spans="1:2" x14ac:dyDescent="0.25">
      <c r="A677" t="s">
        <v>1123</v>
      </c>
      <c r="B677" s="5">
        <v>19</v>
      </c>
    </row>
    <row r="678" spans="1:2" x14ac:dyDescent="0.25">
      <c r="A678" t="s">
        <v>1124</v>
      </c>
      <c r="B678" s="5">
        <v>20</v>
      </c>
    </row>
    <row r="679" spans="1:2" x14ac:dyDescent="0.25">
      <c r="A679" t="s">
        <v>1125</v>
      </c>
      <c r="B679" s="5">
        <v>21</v>
      </c>
    </row>
    <row r="680" spans="1:2" x14ac:dyDescent="0.25">
      <c r="A680" t="s">
        <v>1126</v>
      </c>
      <c r="B680" s="5">
        <v>22</v>
      </c>
    </row>
    <row r="681" spans="1:2" x14ac:dyDescent="0.25">
      <c r="A681" t="s">
        <v>1127</v>
      </c>
      <c r="B681" s="5">
        <v>23</v>
      </c>
    </row>
    <row r="682" spans="1:2" x14ac:dyDescent="0.25">
      <c r="A682" t="s">
        <v>1128</v>
      </c>
      <c r="B682" s="5">
        <v>24</v>
      </c>
    </row>
    <row r="683" spans="1:2" x14ac:dyDescent="0.25">
      <c r="A683" t="s">
        <v>1129</v>
      </c>
      <c r="B683" s="5">
        <v>25</v>
      </c>
    </row>
    <row r="684" spans="1:2" x14ac:dyDescent="0.25">
      <c r="A684" t="s">
        <v>1130</v>
      </c>
      <c r="B684" s="5">
        <v>26</v>
      </c>
    </row>
    <row r="685" spans="1:2" x14ac:dyDescent="0.25">
      <c r="A685" t="s">
        <v>1131</v>
      </c>
      <c r="B685" s="5">
        <v>27</v>
      </c>
    </row>
    <row r="686" spans="1:2" x14ac:dyDescent="0.25">
      <c r="A686" t="s">
        <v>1132</v>
      </c>
      <c r="B686" s="5">
        <v>29</v>
      </c>
    </row>
    <row r="687" spans="1:2" x14ac:dyDescent="0.25">
      <c r="A687" t="s">
        <v>1133</v>
      </c>
      <c r="B687" s="5">
        <v>30</v>
      </c>
    </row>
    <row r="688" spans="1:2" x14ac:dyDescent="0.25">
      <c r="A688" t="s">
        <v>1135</v>
      </c>
      <c r="B688" s="5" t="s">
        <v>1136</v>
      </c>
    </row>
    <row r="689" spans="1:10" x14ac:dyDescent="0.25">
      <c r="A689" t="s">
        <v>1137</v>
      </c>
      <c r="B689" s="5" t="s">
        <v>1138</v>
      </c>
    </row>
    <row r="690" spans="1:10" x14ac:dyDescent="0.25">
      <c r="A690" t="s">
        <v>1139</v>
      </c>
      <c r="B690" s="5" t="s">
        <v>1140</v>
      </c>
    </row>
    <row r="691" spans="1:10" x14ac:dyDescent="0.25">
      <c r="A691" t="s">
        <v>1141</v>
      </c>
      <c r="B691" s="5" t="s">
        <v>1142</v>
      </c>
    </row>
    <row r="692" spans="1:10" x14ac:dyDescent="0.25">
      <c r="A692" t="s">
        <v>1143</v>
      </c>
      <c r="B692" s="5" t="s">
        <v>1144</v>
      </c>
    </row>
    <row r="693" spans="1:10" x14ac:dyDescent="0.25">
      <c r="A693" t="s">
        <v>1145</v>
      </c>
      <c r="B693" s="5" t="s">
        <v>1146</v>
      </c>
    </row>
    <row r="694" spans="1:10" x14ac:dyDescent="0.25">
      <c r="A694" t="s">
        <v>1147</v>
      </c>
      <c r="B694" s="5" t="s">
        <v>1148</v>
      </c>
    </row>
    <row r="695" spans="1:10" x14ac:dyDescent="0.25">
      <c r="A695" t="s">
        <v>1149</v>
      </c>
      <c r="B695" s="5" t="s">
        <v>1150</v>
      </c>
    </row>
    <row r="696" spans="1:10" x14ac:dyDescent="0.25">
      <c r="A696" t="s">
        <v>1154</v>
      </c>
      <c r="B696" s="5" t="s">
        <v>67</v>
      </c>
      <c r="C696" t="s">
        <v>19</v>
      </c>
      <c r="D696" t="s">
        <v>71</v>
      </c>
      <c r="E696" t="s">
        <v>73</v>
      </c>
      <c r="F696" t="s">
        <v>25</v>
      </c>
      <c r="G696" t="s">
        <v>15</v>
      </c>
      <c r="H696" t="s">
        <v>39</v>
      </c>
      <c r="I696" t="s">
        <v>61</v>
      </c>
      <c r="J696" t="s">
        <v>57</v>
      </c>
    </row>
    <row r="697" spans="1:10" x14ac:dyDescent="0.25">
      <c r="A697" t="s">
        <v>1156</v>
      </c>
      <c r="B697" s="5">
        <v>1</v>
      </c>
    </row>
    <row r="698" spans="1:10" x14ac:dyDescent="0.25">
      <c r="A698" t="s">
        <v>1157</v>
      </c>
      <c r="B698" s="5">
        <v>2</v>
      </c>
    </row>
    <row r="699" spans="1:10" x14ac:dyDescent="0.25">
      <c r="A699" t="s">
        <v>1158</v>
      </c>
      <c r="B699" s="5">
        <v>3</v>
      </c>
    </row>
    <row r="700" spans="1:10" x14ac:dyDescent="0.25">
      <c r="A700" t="s">
        <v>1159</v>
      </c>
      <c r="B700" s="5">
        <v>4</v>
      </c>
    </row>
    <row r="701" spans="1:10" x14ac:dyDescent="0.25">
      <c r="A701" t="s">
        <v>1160</v>
      </c>
      <c r="B701" s="5">
        <v>5</v>
      </c>
    </row>
    <row r="702" spans="1:10" x14ac:dyDescent="0.25">
      <c r="A702" t="s">
        <v>1161</v>
      </c>
      <c r="B702" s="5">
        <v>6</v>
      </c>
    </row>
    <row r="703" spans="1:10" x14ac:dyDescent="0.25">
      <c r="A703" t="s">
        <v>1162</v>
      </c>
      <c r="B703" s="5">
        <v>7</v>
      </c>
    </row>
    <row r="704" spans="1:10" x14ac:dyDescent="0.25">
      <c r="A704" t="s">
        <v>1163</v>
      </c>
      <c r="B704" s="5">
        <v>9</v>
      </c>
    </row>
    <row r="705" spans="1:2" x14ac:dyDescent="0.25">
      <c r="A705" t="s">
        <v>1164</v>
      </c>
      <c r="B705" s="5">
        <v>10</v>
      </c>
    </row>
    <row r="706" spans="1:2" x14ac:dyDescent="0.25">
      <c r="A706" t="s">
        <v>1165</v>
      </c>
      <c r="B706" s="5">
        <v>11</v>
      </c>
    </row>
    <row r="707" spans="1:2" x14ac:dyDescent="0.25">
      <c r="A707" t="s">
        <v>1166</v>
      </c>
      <c r="B707" s="5">
        <v>12</v>
      </c>
    </row>
    <row r="708" spans="1:2" x14ac:dyDescent="0.25">
      <c r="A708" t="s">
        <v>1167</v>
      </c>
      <c r="B708" s="5">
        <v>13</v>
      </c>
    </row>
    <row r="709" spans="1:2" x14ac:dyDescent="0.25">
      <c r="A709" t="s">
        <v>1168</v>
      </c>
      <c r="B709" s="5">
        <v>14</v>
      </c>
    </row>
    <row r="710" spans="1:2" x14ac:dyDescent="0.25">
      <c r="A710" t="s">
        <v>1169</v>
      </c>
      <c r="B710" s="5">
        <v>15</v>
      </c>
    </row>
    <row r="711" spans="1:2" x14ac:dyDescent="0.25">
      <c r="A711" t="s">
        <v>1170</v>
      </c>
      <c r="B711" s="5">
        <v>16</v>
      </c>
    </row>
    <row r="712" spans="1:2" x14ac:dyDescent="0.25">
      <c r="A712" t="s">
        <v>1171</v>
      </c>
      <c r="B712" s="5">
        <v>17</v>
      </c>
    </row>
    <row r="713" spans="1:2" x14ac:dyDescent="0.25">
      <c r="A713" t="s">
        <v>1172</v>
      </c>
      <c r="B713" s="5">
        <v>19</v>
      </c>
    </row>
    <row r="714" spans="1:2" x14ac:dyDescent="0.25">
      <c r="A714" t="s">
        <v>1173</v>
      </c>
      <c r="B714" s="5">
        <v>20</v>
      </c>
    </row>
    <row r="715" spans="1:2" x14ac:dyDescent="0.25">
      <c r="A715" t="s">
        <v>1174</v>
      </c>
      <c r="B715" s="5">
        <v>21</v>
      </c>
    </row>
    <row r="716" spans="1:2" x14ac:dyDescent="0.25">
      <c r="A716" t="s">
        <v>1175</v>
      </c>
      <c r="B716" s="5">
        <v>22</v>
      </c>
    </row>
    <row r="717" spans="1:2" x14ac:dyDescent="0.25">
      <c r="A717" t="s">
        <v>1176</v>
      </c>
      <c r="B717" s="5">
        <v>23</v>
      </c>
    </row>
    <row r="718" spans="1:2" x14ac:dyDescent="0.25">
      <c r="A718" t="s">
        <v>1177</v>
      </c>
      <c r="B718" s="5">
        <v>24</v>
      </c>
    </row>
    <row r="719" spans="1:2" x14ac:dyDescent="0.25">
      <c r="A719" t="s">
        <v>1178</v>
      </c>
      <c r="B719" s="5">
        <v>25</v>
      </c>
    </row>
    <row r="720" spans="1:2" x14ac:dyDescent="0.25">
      <c r="A720" t="s">
        <v>1179</v>
      </c>
      <c r="B720" s="5">
        <v>26</v>
      </c>
    </row>
    <row r="721" spans="1:10" x14ac:dyDescent="0.25">
      <c r="A721" t="s">
        <v>1180</v>
      </c>
      <c r="B721" s="5">
        <v>27</v>
      </c>
    </row>
    <row r="722" spans="1:10" x14ac:dyDescent="0.25">
      <c r="A722" t="s">
        <v>1181</v>
      </c>
      <c r="B722" s="5">
        <v>29</v>
      </c>
    </row>
    <row r="723" spans="1:10" x14ac:dyDescent="0.25">
      <c r="A723" t="s">
        <v>1182</v>
      </c>
      <c r="B723" s="5">
        <v>30</v>
      </c>
    </row>
    <row r="724" spans="1:10" x14ac:dyDescent="0.25">
      <c r="A724" t="s">
        <v>1184</v>
      </c>
      <c r="B724" s="5" t="s">
        <v>1185</v>
      </c>
    </row>
    <row r="725" spans="1:10" x14ac:dyDescent="0.25">
      <c r="A725" t="s">
        <v>1186</v>
      </c>
      <c r="B725" s="5" t="s">
        <v>1187</v>
      </c>
    </row>
    <row r="726" spans="1:10" x14ac:dyDescent="0.25">
      <c r="A726" t="s">
        <v>1188</v>
      </c>
      <c r="B726" s="5" t="s">
        <v>1189</v>
      </c>
    </row>
    <row r="727" spans="1:10" x14ac:dyDescent="0.25">
      <c r="A727" t="s">
        <v>1190</v>
      </c>
      <c r="B727" s="5" t="s">
        <v>1191</v>
      </c>
    </row>
    <row r="728" spans="1:10" x14ac:dyDescent="0.25">
      <c r="A728" t="s">
        <v>1192</v>
      </c>
      <c r="B728" s="5" t="s">
        <v>1193</v>
      </c>
    </row>
    <row r="729" spans="1:10" x14ac:dyDescent="0.25">
      <c r="A729" t="s">
        <v>1197</v>
      </c>
      <c r="B729" s="5" t="s">
        <v>71</v>
      </c>
      <c r="C729" t="s">
        <v>73</v>
      </c>
      <c r="D729" t="s">
        <v>39</v>
      </c>
      <c r="E729" t="s">
        <v>15</v>
      </c>
      <c r="F729" t="s">
        <v>61</v>
      </c>
      <c r="G729" t="s">
        <v>25</v>
      </c>
      <c r="H729" t="s">
        <v>57</v>
      </c>
      <c r="I729" t="s">
        <v>19</v>
      </c>
      <c r="J729" t="s">
        <v>67</v>
      </c>
    </row>
    <row r="730" spans="1:10" x14ac:dyDescent="0.25">
      <c r="A730" t="s">
        <v>1199</v>
      </c>
      <c r="B730" s="5">
        <v>1</v>
      </c>
    </row>
    <row r="731" spans="1:10" x14ac:dyDescent="0.25">
      <c r="A731" t="s">
        <v>1200</v>
      </c>
      <c r="B731" s="5">
        <v>2</v>
      </c>
    </row>
    <row r="732" spans="1:10" x14ac:dyDescent="0.25">
      <c r="A732" t="s">
        <v>1201</v>
      </c>
      <c r="B732" s="5">
        <v>3</v>
      </c>
    </row>
    <row r="733" spans="1:10" x14ac:dyDescent="0.25">
      <c r="A733" t="s">
        <v>1202</v>
      </c>
      <c r="B733" s="5">
        <v>4</v>
      </c>
    </row>
    <row r="734" spans="1:10" x14ac:dyDescent="0.25">
      <c r="A734" t="s">
        <v>1203</v>
      </c>
      <c r="B734" s="5">
        <v>5</v>
      </c>
    </row>
    <row r="735" spans="1:10" x14ac:dyDescent="0.25">
      <c r="A735" t="s">
        <v>1204</v>
      </c>
      <c r="B735" s="5">
        <v>6</v>
      </c>
    </row>
    <row r="736" spans="1:10" x14ac:dyDescent="0.25">
      <c r="A736" t="s">
        <v>1205</v>
      </c>
      <c r="B736" s="5">
        <v>7</v>
      </c>
    </row>
    <row r="737" spans="1:2" x14ac:dyDescent="0.25">
      <c r="A737" t="s">
        <v>1206</v>
      </c>
      <c r="B737" s="5">
        <v>9</v>
      </c>
    </row>
    <row r="738" spans="1:2" x14ac:dyDescent="0.25">
      <c r="A738" t="s">
        <v>1207</v>
      </c>
      <c r="B738" s="5">
        <v>10</v>
      </c>
    </row>
    <row r="739" spans="1:2" x14ac:dyDescent="0.25">
      <c r="A739" t="s">
        <v>1208</v>
      </c>
      <c r="B739" s="5">
        <v>11</v>
      </c>
    </row>
    <row r="740" spans="1:2" x14ac:dyDescent="0.25">
      <c r="A740" t="s">
        <v>1209</v>
      </c>
      <c r="B740" s="5">
        <v>12</v>
      </c>
    </row>
    <row r="741" spans="1:2" x14ac:dyDescent="0.25">
      <c r="A741" t="s">
        <v>1210</v>
      </c>
      <c r="B741" s="5">
        <v>13</v>
      </c>
    </row>
    <row r="742" spans="1:2" x14ac:dyDescent="0.25">
      <c r="A742" t="s">
        <v>1211</v>
      </c>
      <c r="B742" s="5">
        <v>14</v>
      </c>
    </row>
    <row r="743" spans="1:2" x14ac:dyDescent="0.25">
      <c r="A743" t="s">
        <v>1212</v>
      </c>
      <c r="B743" s="5">
        <v>15</v>
      </c>
    </row>
    <row r="744" spans="1:2" x14ac:dyDescent="0.25">
      <c r="A744" t="s">
        <v>1213</v>
      </c>
      <c r="B744" s="5">
        <v>16</v>
      </c>
    </row>
    <row r="745" spans="1:2" x14ac:dyDescent="0.25">
      <c r="A745" t="s">
        <v>1214</v>
      </c>
      <c r="B745" s="5">
        <v>17</v>
      </c>
    </row>
    <row r="746" spans="1:2" x14ac:dyDescent="0.25">
      <c r="A746" t="s">
        <v>1215</v>
      </c>
      <c r="B746" s="5">
        <v>18</v>
      </c>
    </row>
    <row r="747" spans="1:2" x14ac:dyDescent="0.25">
      <c r="A747" t="s">
        <v>1216</v>
      </c>
      <c r="B747" s="5">
        <v>20</v>
      </c>
    </row>
    <row r="748" spans="1:2" x14ac:dyDescent="0.25">
      <c r="A748" t="s">
        <v>1217</v>
      </c>
      <c r="B748" s="5">
        <v>21</v>
      </c>
    </row>
    <row r="749" spans="1:2" x14ac:dyDescent="0.25">
      <c r="A749" t="s">
        <v>1218</v>
      </c>
      <c r="B749" s="5">
        <v>22</v>
      </c>
    </row>
    <row r="750" spans="1:2" x14ac:dyDescent="0.25">
      <c r="A750" t="s">
        <v>1219</v>
      </c>
      <c r="B750" s="5">
        <v>23</v>
      </c>
    </row>
    <row r="751" spans="1:2" x14ac:dyDescent="0.25">
      <c r="A751" t="s">
        <v>1220</v>
      </c>
      <c r="B751" s="5">
        <v>24</v>
      </c>
    </row>
    <row r="752" spans="1:2" x14ac:dyDescent="0.25">
      <c r="A752" t="s">
        <v>1221</v>
      </c>
      <c r="B752" s="5">
        <v>25</v>
      </c>
    </row>
    <row r="753" spans="1:11" x14ac:dyDescent="0.25">
      <c r="A753" t="s">
        <v>1222</v>
      </c>
      <c r="B753" s="5">
        <v>26</v>
      </c>
    </row>
    <row r="754" spans="1:11" x14ac:dyDescent="0.25">
      <c r="A754" t="s">
        <v>1223</v>
      </c>
      <c r="B754" s="5">
        <v>27</v>
      </c>
    </row>
    <row r="755" spans="1:11" x14ac:dyDescent="0.25">
      <c r="A755" t="s">
        <v>1224</v>
      </c>
      <c r="B755" s="5">
        <v>28</v>
      </c>
    </row>
    <row r="756" spans="1:11" x14ac:dyDescent="0.25">
      <c r="A756" t="s">
        <v>1225</v>
      </c>
      <c r="B756" s="5">
        <v>29</v>
      </c>
    </row>
    <row r="757" spans="1:11" x14ac:dyDescent="0.25">
      <c r="A757" t="s">
        <v>1226</v>
      </c>
      <c r="B757" s="5">
        <v>31</v>
      </c>
    </row>
    <row r="758" spans="1:11" x14ac:dyDescent="0.25">
      <c r="A758" t="s">
        <v>1227</v>
      </c>
      <c r="B758" s="5">
        <v>32</v>
      </c>
    </row>
    <row r="759" spans="1:11" x14ac:dyDescent="0.25">
      <c r="A759" t="s">
        <v>1228</v>
      </c>
      <c r="B759" s="5">
        <v>33</v>
      </c>
    </row>
    <row r="760" spans="1:11" x14ac:dyDescent="0.25">
      <c r="A760" t="s">
        <v>1230</v>
      </c>
      <c r="B760" s="5" t="s">
        <v>1231</v>
      </c>
    </row>
    <row r="761" spans="1:11" x14ac:dyDescent="0.25">
      <c r="A761" t="s">
        <v>1232</v>
      </c>
      <c r="B761" s="5" t="s">
        <v>1233</v>
      </c>
    </row>
    <row r="762" spans="1:11" x14ac:dyDescent="0.25">
      <c r="A762" t="s">
        <v>1234</v>
      </c>
      <c r="B762" s="5" t="s">
        <v>1235</v>
      </c>
    </row>
    <row r="763" spans="1:11" x14ac:dyDescent="0.25">
      <c r="A763" t="s">
        <v>1236</v>
      </c>
      <c r="B763" s="5" t="s">
        <v>1237</v>
      </c>
    </row>
    <row r="764" spans="1:11" x14ac:dyDescent="0.25">
      <c r="A764" t="s">
        <v>1238</v>
      </c>
      <c r="B764" s="5" t="s">
        <v>1239</v>
      </c>
    </row>
    <row r="765" spans="1:11" x14ac:dyDescent="0.25">
      <c r="A765" t="s">
        <v>1243</v>
      </c>
      <c r="B765" s="5" t="s">
        <v>71</v>
      </c>
      <c r="C765" t="s">
        <v>15</v>
      </c>
      <c r="D765" t="s">
        <v>25</v>
      </c>
      <c r="E765" t="s">
        <v>67</v>
      </c>
      <c r="F765" t="s">
        <v>73</v>
      </c>
      <c r="G765" t="s">
        <v>19</v>
      </c>
      <c r="H765" t="s">
        <v>37</v>
      </c>
      <c r="I765" t="s">
        <v>39</v>
      </c>
      <c r="J765" t="s">
        <v>61</v>
      </c>
      <c r="K765" t="s">
        <v>57</v>
      </c>
    </row>
    <row r="766" spans="1:11" x14ac:dyDescent="0.25">
      <c r="A766" t="s">
        <v>1245</v>
      </c>
      <c r="B766" s="5">
        <v>1</v>
      </c>
    </row>
    <row r="767" spans="1:11" x14ac:dyDescent="0.25">
      <c r="A767" t="s">
        <v>1246</v>
      </c>
      <c r="B767" s="5">
        <v>2</v>
      </c>
    </row>
    <row r="768" spans="1:11" x14ac:dyDescent="0.25">
      <c r="A768" t="s">
        <v>1247</v>
      </c>
      <c r="B768" s="5">
        <v>3</v>
      </c>
    </row>
    <row r="769" spans="1:2" x14ac:dyDescent="0.25">
      <c r="A769" t="s">
        <v>1248</v>
      </c>
      <c r="B769" s="5">
        <v>4</v>
      </c>
    </row>
    <row r="770" spans="1:2" x14ac:dyDescent="0.25">
      <c r="A770" t="s">
        <v>1249</v>
      </c>
      <c r="B770" s="5">
        <v>5</v>
      </c>
    </row>
    <row r="771" spans="1:2" x14ac:dyDescent="0.25">
      <c r="A771" t="s">
        <v>1250</v>
      </c>
      <c r="B771" s="5">
        <v>6</v>
      </c>
    </row>
    <row r="772" spans="1:2" x14ac:dyDescent="0.25">
      <c r="A772" t="s">
        <v>1251</v>
      </c>
      <c r="B772" s="5">
        <v>7</v>
      </c>
    </row>
    <row r="773" spans="1:2" x14ac:dyDescent="0.25">
      <c r="A773" t="s">
        <v>1252</v>
      </c>
      <c r="B773" s="5">
        <v>9</v>
      </c>
    </row>
    <row r="774" spans="1:2" x14ac:dyDescent="0.25">
      <c r="A774" t="s">
        <v>1253</v>
      </c>
      <c r="B774" s="5">
        <v>10</v>
      </c>
    </row>
    <row r="775" spans="1:2" x14ac:dyDescent="0.25">
      <c r="A775" t="s">
        <v>1254</v>
      </c>
      <c r="B775" s="5">
        <v>11</v>
      </c>
    </row>
    <row r="776" spans="1:2" x14ac:dyDescent="0.25">
      <c r="A776" t="s">
        <v>1255</v>
      </c>
      <c r="B776" s="5">
        <v>12</v>
      </c>
    </row>
    <row r="777" spans="1:2" x14ac:dyDescent="0.25">
      <c r="A777" t="s">
        <v>1256</v>
      </c>
      <c r="B777" s="5">
        <v>13</v>
      </c>
    </row>
    <row r="778" spans="1:2" x14ac:dyDescent="0.25">
      <c r="A778" t="s">
        <v>1257</v>
      </c>
      <c r="B778" s="5">
        <v>14</v>
      </c>
    </row>
    <row r="779" spans="1:2" x14ac:dyDescent="0.25">
      <c r="A779" t="s">
        <v>1258</v>
      </c>
      <c r="B779" s="5">
        <v>15</v>
      </c>
    </row>
    <row r="780" spans="1:2" x14ac:dyDescent="0.25">
      <c r="A780" t="s">
        <v>1259</v>
      </c>
      <c r="B780" s="5">
        <v>16</v>
      </c>
    </row>
    <row r="781" spans="1:2" x14ac:dyDescent="0.25">
      <c r="A781" t="s">
        <v>1260</v>
      </c>
      <c r="B781" s="5">
        <v>17</v>
      </c>
    </row>
    <row r="782" spans="1:2" x14ac:dyDescent="0.25">
      <c r="A782" t="s">
        <v>1261</v>
      </c>
      <c r="B782" s="5">
        <v>18</v>
      </c>
    </row>
    <row r="783" spans="1:2" x14ac:dyDescent="0.25">
      <c r="A783" t="s">
        <v>1262</v>
      </c>
      <c r="B783" s="5">
        <v>20</v>
      </c>
    </row>
    <row r="784" spans="1:2" x14ac:dyDescent="0.25">
      <c r="A784" t="s">
        <v>1263</v>
      </c>
      <c r="B784" s="5">
        <v>21</v>
      </c>
    </row>
    <row r="785" spans="1:2" x14ac:dyDescent="0.25">
      <c r="A785" t="s">
        <v>1264</v>
      </c>
      <c r="B785" s="5">
        <v>22</v>
      </c>
    </row>
    <row r="786" spans="1:2" x14ac:dyDescent="0.25">
      <c r="A786" t="s">
        <v>1265</v>
      </c>
      <c r="B786" s="5">
        <v>23</v>
      </c>
    </row>
    <row r="787" spans="1:2" x14ac:dyDescent="0.25">
      <c r="A787" t="s">
        <v>1266</v>
      </c>
      <c r="B787" s="5">
        <v>24</v>
      </c>
    </row>
    <row r="788" spans="1:2" x14ac:dyDescent="0.25">
      <c r="A788" t="s">
        <v>1267</v>
      </c>
      <c r="B788" s="5">
        <v>25</v>
      </c>
    </row>
    <row r="789" spans="1:2" x14ac:dyDescent="0.25">
      <c r="A789" t="s">
        <v>1268</v>
      </c>
      <c r="B789" s="5">
        <v>26</v>
      </c>
    </row>
    <row r="790" spans="1:2" x14ac:dyDescent="0.25">
      <c r="A790" t="s">
        <v>1269</v>
      </c>
      <c r="B790" s="5">
        <v>27</v>
      </c>
    </row>
    <row r="791" spans="1:2" x14ac:dyDescent="0.25">
      <c r="A791" t="s">
        <v>1270</v>
      </c>
      <c r="B791" s="5">
        <v>28</v>
      </c>
    </row>
    <row r="792" spans="1:2" x14ac:dyDescent="0.25">
      <c r="A792" t="s">
        <v>1271</v>
      </c>
      <c r="B792" s="5">
        <v>29</v>
      </c>
    </row>
    <row r="793" spans="1:2" x14ac:dyDescent="0.25">
      <c r="A793" t="s">
        <v>1272</v>
      </c>
      <c r="B793" s="5">
        <v>31</v>
      </c>
    </row>
    <row r="794" spans="1:2" x14ac:dyDescent="0.25">
      <c r="A794" t="s">
        <v>1273</v>
      </c>
      <c r="B794" s="5">
        <v>32</v>
      </c>
    </row>
    <row r="795" spans="1:2" x14ac:dyDescent="0.25">
      <c r="A795" t="s">
        <v>1274</v>
      </c>
      <c r="B795" s="5">
        <v>33</v>
      </c>
    </row>
    <row r="796" spans="1:2" x14ac:dyDescent="0.25">
      <c r="A796" t="s">
        <v>1276</v>
      </c>
      <c r="B796" s="5" t="s">
        <v>1277</v>
      </c>
    </row>
    <row r="797" spans="1:2" x14ac:dyDescent="0.25">
      <c r="A797" t="s">
        <v>1278</v>
      </c>
      <c r="B797" s="5" t="s">
        <v>1279</v>
      </c>
    </row>
    <row r="798" spans="1:2" x14ac:dyDescent="0.25">
      <c r="A798" t="s">
        <v>1280</v>
      </c>
      <c r="B798" s="5" t="s">
        <v>1281</v>
      </c>
    </row>
    <row r="799" spans="1:2" x14ac:dyDescent="0.25">
      <c r="A799" t="s">
        <v>1282</v>
      </c>
      <c r="B799" s="5" t="s">
        <v>1283</v>
      </c>
    </row>
    <row r="800" spans="1:2" x14ac:dyDescent="0.25">
      <c r="A800" t="s">
        <v>1284</v>
      </c>
      <c r="B800" s="5" t="s">
        <v>1285</v>
      </c>
    </row>
    <row r="801" spans="1:11" x14ac:dyDescent="0.25">
      <c r="A801" t="s">
        <v>1289</v>
      </c>
      <c r="B801" s="5" t="s">
        <v>19</v>
      </c>
      <c r="C801" t="s">
        <v>67</v>
      </c>
      <c r="D801" t="s">
        <v>37</v>
      </c>
      <c r="E801" t="s">
        <v>15</v>
      </c>
      <c r="F801" t="s">
        <v>25</v>
      </c>
      <c r="G801" t="s">
        <v>73</v>
      </c>
      <c r="H801" t="s">
        <v>71</v>
      </c>
      <c r="I801" t="s">
        <v>61</v>
      </c>
      <c r="J801" t="s">
        <v>39</v>
      </c>
      <c r="K801" t="s">
        <v>57</v>
      </c>
    </row>
    <row r="802" spans="1:11" x14ac:dyDescent="0.25">
      <c r="A802" t="s">
        <v>1291</v>
      </c>
      <c r="B802" s="5">
        <v>1</v>
      </c>
    </row>
    <row r="803" spans="1:11" x14ac:dyDescent="0.25">
      <c r="A803" t="s">
        <v>1292</v>
      </c>
      <c r="B803" s="5">
        <v>2</v>
      </c>
    </row>
    <row r="804" spans="1:11" x14ac:dyDescent="0.25">
      <c r="A804" t="s">
        <v>1293</v>
      </c>
      <c r="B804" s="5">
        <v>3</v>
      </c>
    </row>
    <row r="805" spans="1:11" x14ac:dyDescent="0.25">
      <c r="A805" t="s">
        <v>1294</v>
      </c>
      <c r="B805" s="5">
        <v>4</v>
      </c>
    </row>
    <row r="806" spans="1:11" x14ac:dyDescent="0.25">
      <c r="A806" t="s">
        <v>1295</v>
      </c>
      <c r="B806" s="5">
        <v>6</v>
      </c>
    </row>
    <row r="807" spans="1:11" x14ac:dyDescent="0.25">
      <c r="A807" t="s">
        <v>1296</v>
      </c>
      <c r="B807" s="5">
        <v>7</v>
      </c>
    </row>
    <row r="808" spans="1:11" x14ac:dyDescent="0.25">
      <c r="A808" t="s">
        <v>1297</v>
      </c>
      <c r="B808" s="5">
        <v>8</v>
      </c>
    </row>
    <row r="809" spans="1:11" x14ac:dyDescent="0.25">
      <c r="A809" t="s">
        <v>1298</v>
      </c>
      <c r="B809" s="5">
        <v>9</v>
      </c>
    </row>
    <row r="810" spans="1:11" x14ac:dyDescent="0.25">
      <c r="A810" t="s">
        <v>1299</v>
      </c>
      <c r="B810" s="5">
        <v>10</v>
      </c>
    </row>
    <row r="811" spans="1:11" x14ac:dyDescent="0.25">
      <c r="A811" t="s">
        <v>1300</v>
      </c>
      <c r="B811" s="5">
        <v>11</v>
      </c>
    </row>
    <row r="812" spans="1:11" x14ac:dyDescent="0.25">
      <c r="A812" t="s">
        <v>1301</v>
      </c>
      <c r="B812" s="5">
        <v>12</v>
      </c>
    </row>
    <row r="813" spans="1:11" x14ac:dyDescent="0.25">
      <c r="A813" t="s">
        <v>1302</v>
      </c>
      <c r="B813" s="5">
        <v>14</v>
      </c>
    </row>
    <row r="814" spans="1:11" x14ac:dyDescent="0.25">
      <c r="A814" t="s">
        <v>1303</v>
      </c>
      <c r="B814" s="5">
        <v>15</v>
      </c>
    </row>
    <row r="815" spans="1:11" x14ac:dyDescent="0.25">
      <c r="A815" t="s">
        <v>1304</v>
      </c>
      <c r="B815" s="5">
        <v>16</v>
      </c>
    </row>
    <row r="816" spans="1:11" x14ac:dyDescent="0.25">
      <c r="A816" t="s">
        <v>1305</v>
      </c>
      <c r="B816" s="5">
        <v>17</v>
      </c>
    </row>
    <row r="817" spans="1:8" x14ac:dyDescent="0.25">
      <c r="A817" t="s">
        <v>1306</v>
      </c>
      <c r="B817" s="5">
        <v>18</v>
      </c>
    </row>
    <row r="818" spans="1:8" x14ac:dyDescent="0.25">
      <c r="A818" t="s">
        <v>1307</v>
      </c>
      <c r="B818" s="5">
        <v>19</v>
      </c>
    </row>
    <row r="819" spans="1:8" x14ac:dyDescent="0.25">
      <c r="A819" t="s">
        <v>1308</v>
      </c>
      <c r="B819" s="5">
        <v>20</v>
      </c>
    </row>
    <row r="820" spans="1:8" x14ac:dyDescent="0.25">
      <c r="A820" t="s">
        <v>1309</v>
      </c>
      <c r="B820" s="5">
        <v>22</v>
      </c>
    </row>
    <row r="821" spans="1:8" x14ac:dyDescent="0.25">
      <c r="A821" t="s">
        <v>1311</v>
      </c>
      <c r="B821" s="5" t="s">
        <v>1312</v>
      </c>
    </row>
    <row r="822" spans="1:8" x14ac:dyDescent="0.25">
      <c r="A822" t="s">
        <v>1313</v>
      </c>
      <c r="B822" s="5" t="s">
        <v>1314</v>
      </c>
    </row>
    <row r="823" spans="1:8" x14ac:dyDescent="0.25">
      <c r="A823" t="s">
        <v>1315</v>
      </c>
      <c r="B823" s="5" t="s">
        <v>1316</v>
      </c>
    </row>
    <row r="824" spans="1:8" x14ac:dyDescent="0.25">
      <c r="A824" t="s">
        <v>1317</v>
      </c>
      <c r="B824" s="5" t="s">
        <v>1318</v>
      </c>
    </row>
    <row r="825" spans="1:8" x14ac:dyDescent="0.25">
      <c r="A825" t="s">
        <v>1319</v>
      </c>
      <c r="B825" s="5" t="s">
        <v>1320</v>
      </c>
    </row>
    <row r="826" spans="1:8" x14ac:dyDescent="0.25">
      <c r="A826" t="s">
        <v>1324</v>
      </c>
      <c r="B826" s="5" t="s">
        <v>73</v>
      </c>
      <c r="C826" t="s">
        <v>71</v>
      </c>
      <c r="D826" t="s">
        <v>25</v>
      </c>
      <c r="E826" t="s">
        <v>57</v>
      </c>
      <c r="F826" t="s">
        <v>61</v>
      </c>
      <c r="G826" t="s">
        <v>39</v>
      </c>
      <c r="H826" t="s">
        <v>83</v>
      </c>
    </row>
    <row r="827" spans="1:8" x14ac:dyDescent="0.25">
      <c r="A827" t="s">
        <v>1326</v>
      </c>
      <c r="B827" s="5">
        <v>1</v>
      </c>
    </row>
    <row r="828" spans="1:8" x14ac:dyDescent="0.25">
      <c r="A828" t="s">
        <v>1327</v>
      </c>
      <c r="B828" s="5">
        <v>2</v>
      </c>
    </row>
    <row r="829" spans="1:8" x14ac:dyDescent="0.25">
      <c r="A829" t="s">
        <v>1328</v>
      </c>
      <c r="B829" s="5">
        <v>3</v>
      </c>
    </row>
    <row r="830" spans="1:8" x14ac:dyDescent="0.25">
      <c r="A830" t="s">
        <v>1329</v>
      </c>
      <c r="B830" s="5">
        <v>4</v>
      </c>
    </row>
    <row r="831" spans="1:8" x14ac:dyDescent="0.25">
      <c r="A831" t="s">
        <v>1330</v>
      </c>
      <c r="B831" s="5">
        <v>5</v>
      </c>
    </row>
    <row r="832" spans="1:8" x14ac:dyDescent="0.25">
      <c r="A832" t="s">
        <v>1331</v>
      </c>
      <c r="B832" s="5">
        <v>6</v>
      </c>
    </row>
    <row r="833" spans="1:2" x14ac:dyDescent="0.25">
      <c r="A833" t="s">
        <v>1332</v>
      </c>
      <c r="B833" s="5">
        <v>8</v>
      </c>
    </row>
    <row r="834" spans="1:2" x14ac:dyDescent="0.25">
      <c r="A834" t="s">
        <v>1333</v>
      </c>
      <c r="B834" s="5">
        <v>9</v>
      </c>
    </row>
    <row r="835" spans="1:2" x14ac:dyDescent="0.25">
      <c r="A835" t="s">
        <v>1334</v>
      </c>
      <c r="B835" s="5">
        <v>10</v>
      </c>
    </row>
    <row r="836" spans="1:2" x14ac:dyDescent="0.25">
      <c r="A836" t="s">
        <v>1335</v>
      </c>
      <c r="B836" s="5">
        <v>11</v>
      </c>
    </row>
    <row r="837" spans="1:2" x14ac:dyDescent="0.25">
      <c r="A837" t="s">
        <v>1336</v>
      </c>
      <c r="B837" s="5">
        <v>12</v>
      </c>
    </row>
    <row r="838" spans="1:2" x14ac:dyDescent="0.25">
      <c r="A838" t="s">
        <v>1337</v>
      </c>
      <c r="B838" s="5">
        <v>13</v>
      </c>
    </row>
    <row r="839" spans="1:2" x14ac:dyDescent="0.25">
      <c r="A839" t="s">
        <v>1338</v>
      </c>
      <c r="B839" s="5">
        <v>14</v>
      </c>
    </row>
    <row r="840" spans="1:2" x14ac:dyDescent="0.25">
      <c r="A840" t="s">
        <v>1339</v>
      </c>
      <c r="B840" s="5">
        <v>15</v>
      </c>
    </row>
    <row r="841" spans="1:2" x14ac:dyDescent="0.25">
      <c r="A841" t="s">
        <v>1340</v>
      </c>
      <c r="B841" s="5">
        <v>17</v>
      </c>
    </row>
    <row r="842" spans="1:2" x14ac:dyDescent="0.25">
      <c r="A842" t="s">
        <v>1341</v>
      </c>
      <c r="B842" s="5">
        <v>18</v>
      </c>
    </row>
    <row r="843" spans="1:2" x14ac:dyDescent="0.25">
      <c r="A843" t="s">
        <v>1342</v>
      </c>
      <c r="B843" s="5">
        <v>19</v>
      </c>
    </row>
    <row r="844" spans="1:2" x14ac:dyDescent="0.25">
      <c r="A844" t="s">
        <v>1343</v>
      </c>
      <c r="B844" s="5">
        <v>20</v>
      </c>
    </row>
    <row r="845" spans="1:2" x14ac:dyDescent="0.25">
      <c r="A845" t="s">
        <v>1344</v>
      </c>
      <c r="B845" s="5">
        <v>21</v>
      </c>
    </row>
    <row r="846" spans="1:2" x14ac:dyDescent="0.25">
      <c r="A846" t="s">
        <v>1345</v>
      </c>
      <c r="B846" s="5">
        <v>22</v>
      </c>
    </row>
    <row r="847" spans="1:2" x14ac:dyDescent="0.25">
      <c r="A847" t="s">
        <v>1346</v>
      </c>
      <c r="B847" s="5">
        <v>23</v>
      </c>
    </row>
    <row r="848" spans="1:2" x14ac:dyDescent="0.25">
      <c r="A848" t="s">
        <v>1347</v>
      </c>
      <c r="B848" s="5">
        <v>24</v>
      </c>
    </row>
    <row r="849" spans="1:9" x14ac:dyDescent="0.25">
      <c r="A849" t="s">
        <v>1348</v>
      </c>
      <c r="B849" s="5">
        <v>26</v>
      </c>
    </row>
    <row r="850" spans="1:9" x14ac:dyDescent="0.25">
      <c r="A850" t="s">
        <v>1350</v>
      </c>
      <c r="B850" s="5" t="s">
        <v>1351</v>
      </c>
    </row>
    <row r="851" spans="1:9" x14ac:dyDescent="0.25">
      <c r="A851" t="s">
        <v>1352</v>
      </c>
      <c r="B851" s="5" t="s">
        <v>1353</v>
      </c>
    </row>
    <row r="852" spans="1:9" x14ac:dyDescent="0.25">
      <c r="A852" t="s">
        <v>1354</v>
      </c>
      <c r="B852" s="5" t="s">
        <v>1355</v>
      </c>
    </row>
    <row r="853" spans="1:9" x14ac:dyDescent="0.25">
      <c r="A853" t="s">
        <v>1356</v>
      </c>
      <c r="B853" s="5" t="s">
        <v>1357</v>
      </c>
    </row>
    <row r="854" spans="1:9" x14ac:dyDescent="0.25">
      <c r="A854" t="s">
        <v>1358</v>
      </c>
      <c r="B854" s="5" t="s">
        <v>1359</v>
      </c>
    </row>
    <row r="855" spans="1:9" x14ac:dyDescent="0.25">
      <c r="A855" t="s">
        <v>1360</v>
      </c>
      <c r="B855" s="5" t="s">
        <v>1361</v>
      </c>
    </row>
    <row r="856" spans="1:9" x14ac:dyDescent="0.25">
      <c r="A856" t="s">
        <v>1362</v>
      </c>
      <c r="B856" s="5" t="s">
        <v>1363</v>
      </c>
    </row>
    <row r="857" spans="1:9" x14ac:dyDescent="0.25">
      <c r="A857" t="s">
        <v>1364</v>
      </c>
      <c r="B857" s="5" t="s">
        <v>1365</v>
      </c>
    </row>
    <row r="858" spans="1:9" x14ac:dyDescent="0.25">
      <c r="A858" t="s">
        <v>1369</v>
      </c>
      <c r="B858" s="5" t="s">
        <v>57</v>
      </c>
      <c r="C858" t="s">
        <v>25</v>
      </c>
      <c r="D858" t="s">
        <v>61</v>
      </c>
      <c r="E858" t="s">
        <v>39</v>
      </c>
      <c r="F858" t="s">
        <v>73</v>
      </c>
      <c r="G858" t="s">
        <v>71</v>
      </c>
      <c r="H858" t="s">
        <v>67</v>
      </c>
      <c r="I858" t="s">
        <v>83</v>
      </c>
    </row>
    <row r="859" spans="1:9" x14ac:dyDescent="0.25">
      <c r="A859" t="s">
        <v>1371</v>
      </c>
      <c r="B859" s="5">
        <v>1</v>
      </c>
    </row>
    <row r="860" spans="1:9" x14ac:dyDescent="0.25">
      <c r="A860" t="s">
        <v>1372</v>
      </c>
      <c r="B860" s="5">
        <v>2</v>
      </c>
    </row>
    <row r="861" spans="1:9" x14ac:dyDescent="0.25">
      <c r="A861" t="s">
        <v>1373</v>
      </c>
      <c r="B861" s="5">
        <v>3</v>
      </c>
    </row>
    <row r="862" spans="1:9" x14ac:dyDescent="0.25">
      <c r="A862" t="s">
        <v>1374</v>
      </c>
      <c r="B862" s="5">
        <v>4</v>
      </c>
    </row>
    <row r="863" spans="1:9" x14ac:dyDescent="0.25">
      <c r="A863" t="s">
        <v>1375</v>
      </c>
      <c r="B863" s="5">
        <v>5</v>
      </c>
    </row>
    <row r="864" spans="1:9" x14ac:dyDescent="0.25">
      <c r="A864" t="s">
        <v>1376</v>
      </c>
      <c r="B864" s="5">
        <v>7</v>
      </c>
    </row>
    <row r="865" spans="1:2" x14ac:dyDescent="0.25">
      <c r="A865" t="s">
        <v>1377</v>
      </c>
      <c r="B865" s="5">
        <v>8</v>
      </c>
    </row>
    <row r="866" spans="1:2" x14ac:dyDescent="0.25">
      <c r="A866" t="s">
        <v>1378</v>
      </c>
      <c r="B866" s="5">
        <v>9</v>
      </c>
    </row>
    <row r="867" spans="1:2" x14ac:dyDescent="0.25">
      <c r="A867" t="s">
        <v>1379</v>
      </c>
      <c r="B867" s="5">
        <v>10</v>
      </c>
    </row>
    <row r="868" spans="1:2" x14ac:dyDescent="0.25">
      <c r="A868" t="s">
        <v>1380</v>
      </c>
      <c r="B868" s="5">
        <v>11</v>
      </c>
    </row>
    <row r="869" spans="1:2" x14ac:dyDescent="0.25">
      <c r="A869" t="s">
        <v>1381</v>
      </c>
      <c r="B869" s="5">
        <v>12</v>
      </c>
    </row>
    <row r="870" spans="1:2" x14ac:dyDescent="0.25">
      <c r="A870" t="s">
        <v>1382</v>
      </c>
      <c r="B870" s="5">
        <v>13</v>
      </c>
    </row>
    <row r="871" spans="1:2" x14ac:dyDescent="0.25">
      <c r="A871" t="s">
        <v>1384</v>
      </c>
      <c r="B871" s="5">
        <v>14</v>
      </c>
    </row>
    <row r="872" spans="1:2" x14ac:dyDescent="0.25">
      <c r="A872" t="s">
        <v>1385</v>
      </c>
      <c r="B872" s="5">
        <v>15</v>
      </c>
    </row>
    <row r="873" spans="1:2" x14ac:dyDescent="0.25">
      <c r="A873" t="s">
        <v>1386</v>
      </c>
      <c r="B873" s="5">
        <v>16</v>
      </c>
    </row>
    <row r="874" spans="1:2" x14ac:dyDescent="0.25">
      <c r="A874" t="s">
        <v>1387</v>
      </c>
      <c r="B874" s="5">
        <v>17</v>
      </c>
    </row>
    <row r="875" spans="1:2" x14ac:dyDescent="0.25">
      <c r="A875" t="s">
        <v>1388</v>
      </c>
      <c r="B875" s="5">
        <v>18</v>
      </c>
    </row>
    <row r="876" spans="1:2" x14ac:dyDescent="0.25">
      <c r="A876" t="s">
        <v>1389</v>
      </c>
      <c r="B876" s="5">
        <v>20</v>
      </c>
    </row>
    <row r="877" spans="1:2" x14ac:dyDescent="0.25">
      <c r="A877" t="s">
        <v>1390</v>
      </c>
      <c r="B877" s="5">
        <v>21</v>
      </c>
    </row>
    <row r="878" spans="1:2" x14ac:dyDescent="0.25">
      <c r="A878" t="s">
        <v>1391</v>
      </c>
      <c r="B878" s="5">
        <v>22</v>
      </c>
    </row>
    <row r="879" spans="1:2" x14ac:dyDescent="0.25">
      <c r="A879" t="s">
        <v>1392</v>
      </c>
      <c r="B879" s="5">
        <v>23</v>
      </c>
    </row>
    <row r="880" spans="1:2" x14ac:dyDescent="0.25">
      <c r="A880" t="s">
        <v>1393</v>
      </c>
      <c r="B880" s="5">
        <v>24</v>
      </c>
    </row>
    <row r="881" spans="1:2" x14ac:dyDescent="0.25">
      <c r="A881" t="s">
        <v>1394</v>
      </c>
      <c r="B881" s="5">
        <v>25</v>
      </c>
    </row>
    <row r="882" spans="1:2" x14ac:dyDescent="0.25">
      <c r="A882" t="s">
        <v>1395</v>
      </c>
      <c r="B882" s="5">
        <v>26</v>
      </c>
    </row>
    <row r="883" spans="1:2" x14ac:dyDescent="0.25">
      <c r="A883" t="s">
        <v>1396</v>
      </c>
      <c r="B883" s="5">
        <v>27</v>
      </c>
    </row>
    <row r="884" spans="1:2" x14ac:dyDescent="0.25">
      <c r="A884" t="s">
        <v>1397</v>
      </c>
      <c r="B884" s="5">
        <v>28</v>
      </c>
    </row>
    <row r="885" spans="1:2" x14ac:dyDescent="0.25">
      <c r="A885" t="s">
        <v>1398</v>
      </c>
      <c r="B885" s="5">
        <v>29</v>
      </c>
    </row>
    <row r="886" spans="1:2" x14ac:dyDescent="0.25">
      <c r="A886" t="s">
        <v>1399</v>
      </c>
      <c r="B886" s="5">
        <v>30</v>
      </c>
    </row>
    <row r="887" spans="1:2" x14ac:dyDescent="0.25">
      <c r="A887" t="s">
        <v>1400</v>
      </c>
      <c r="B887" s="5">
        <v>31</v>
      </c>
    </row>
    <row r="888" spans="1:2" x14ac:dyDescent="0.25">
      <c r="A888" t="s">
        <v>1401</v>
      </c>
      <c r="B888" s="5">
        <v>33</v>
      </c>
    </row>
    <row r="889" spans="1:2" x14ac:dyDescent="0.25">
      <c r="A889" t="s">
        <v>1402</v>
      </c>
      <c r="B889" s="5">
        <v>34</v>
      </c>
    </row>
    <row r="890" spans="1:2" x14ac:dyDescent="0.25">
      <c r="A890" t="s">
        <v>1403</v>
      </c>
      <c r="B890" s="5">
        <v>35</v>
      </c>
    </row>
    <row r="891" spans="1:2" x14ac:dyDescent="0.25">
      <c r="A891" t="s">
        <v>1405</v>
      </c>
      <c r="B891" s="5">
        <v>37</v>
      </c>
    </row>
    <row r="892" spans="1:2" x14ac:dyDescent="0.25">
      <c r="A892" t="s">
        <v>1406</v>
      </c>
      <c r="B892" s="5">
        <v>38</v>
      </c>
    </row>
    <row r="893" spans="1:2" x14ac:dyDescent="0.25">
      <c r="A893" t="s">
        <v>1407</v>
      </c>
      <c r="B893" s="5">
        <v>39</v>
      </c>
    </row>
    <row r="894" spans="1:2" x14ac:dyDescent="0.25">
      <c r="A894" t="s">
        <v>1409</v>
      </c>
      <c r="B894" s="5" t="s">
        <v>1410</v>
      </c>
    </row>
    <row r="895" spans="1:2" x14ac:dyDescent="0.25">
      <c r="A895" t="s">
        <v>1411</v>
      </c>
      <c r="B895" s="5" t="s">
        <v>1412</v>
      </c>
    </row>
    <row r="896" spans="1:2" x14ac:dyDescent="0.25">
      <c r="A896" t="s">
        <v>1413</v>
      </c>
      <c r="B896" s="5" t="s">
        <v>1414</v>
      </c>
    </row>
    <row r="897" spans="1:13" x14ac:dyDescent="0.25">
      <c r="A897" t="s">
        <v>1415</v>
      </c>
      <c r="B897" s="5" t="s">
        <v>1416</v>
      </c>
    </row>
    <row r="898" spans="1:13" x14ac:dyDescent="0.25">
      <c r="A898" t="s">
        <v>1417</v>
      </c>
      <c r="B898" s="5" t="s">
        <v>1418</v>
      </c>
    </row>
    <row r="899" spans="1:13" x14ac:dyDescent="0.25">
      <c r="A899" t="s">
        <v>1422</v>
      </c>
      <c r="B899" s="5" t="s">
        <v>47</v>
      </c>
      <c r="C899" t="s">
        <v>7</v>
      </c>
      <c r="D899" t="s">
        <v>71</v>
      </c>
      <c r="E899" t="s">
        <v>11</v>
      </c>
      <c r="F899" t="s">
        <v>45</v>
      </c>
      <c r="G899" t="s">
        <v>9</v>
      </c>
      <c r="H899" t="s">
        <v>61</v>
      </c>
      <c r="I899" t="s">
        <v>5</v>
      </c>
      <c r="J899" t="s">
        <v>25</v>
      </c>
      <c r="K899" t="s">
        <v>73</v>
      </c>
      <c r="L899" t="s">
        <v>39</v>
      </c>
      <c r="M899" t="s">
        <v>57</v>
      </c>
    </row>
    <row r="900" spans="1:13" x14ac:dyDescent="0.25">
      <c r="A900" t="s">
        <v>1424</v>
      </c>
      <c r="B900" s="5">
        <v>1</v>
      </c>
    </row>
    <row r="901" spans="1:13" x14ac:dyDescent="0.25">
      <c r="A901" t="s">
        <v>1425</v>
      </c>
      <c r="B901" s="5">
        <v>2</v>
      </c>
    </row>
    <row r="902" spans="1:13" x14ac:dyDescent="0.25">
      <c r="A902" t="s">
        <v>1426</v>
      </c>
      <c r="B902" s="5">
        <v>3</v>
      </c>
    </row>
    <row r="903" spans="1:13" x14ac:dyDescent="0.25">
      <c r="A903" t="s">
        <v>1427</v>
      </c>
      <c r="B903" s="5">
        <v>4</v>
      </c>
    </row>
    <row r="904" spans="1:13" x14ac:dyDescent="0.25">
      <c r="A904" t="s">
        <v>1428</v>
      </c>
      <c r="B904" s="5">
        <v>5</v>
      </c>
    </row>
    <row r="905" spans="1:13" x14ac:dyDescent="0.25">
      <c r="A905" t="s">
        <v>1429</v>
      </c>
      <c r="B905" s="5">
        <v>6</v>
      </c>
    </row>
    <row r="906" spans="1:13" x14ac:dyDescent="0.25">
      <c r="A906" t="s">
        <v>1430</v>
      </c>
      <c r="B906" s="5">
        <v>7</v>
      </c>
    </row>
    <row r="907" spans="1:13" x14ac:dyDescent="0.25">
      <c r="A907" t="s">
        <v>1431</v>
      </c>
      <c r="B907" s="5">
        <v>9</v>
      </c>
    </row>
    <row r="908" spans="1:13" x14ac:dyDescent="0.25">
      <c r="A908" t="s">
        <v>1432</v>
      </c>
      <c r="B908" s="5">
        <v>10</v>
      </c>
    </row>
    <row r="909" spans="1:13" x14ac:dyDescent="0.25">
      <c r="A909" t="s">
        <v>1433</v>
      </c>
      <c r="B909" s="5">
        <v>11</v>
      </c>
    </row>
    <row r="910" spans="1:13" x14ac:dyDescent="0.25">
      <c r="A910" t="s">
        <v>1434</v>
      </c>
      <c r="B910" s="5">
        <v>12</v>
      </c>
    </row>
    <row r="911" spans="1:13" x14ac:dyDescent="0.25">
      <c r="A911" t="s">
        <v>1435</v>
      </c>
      <c r="B911" s="5">
        <v>13</v>
      </c>
    </row>
    <row r="912" spans="1:13" x14ac:dyDescent="0.25">
      <c r="A912" t="s">
        <v>1436</v>
      </c>
      <c r="B912" s="5">
        <v>14</v>
      </c>
    </row>
    <row r="913" spans="1:2" x14ac:dyDescent="0.25">
      <c r="A913" t="s">
        <v>1438</v>
      </c>
      <c r="B913" s="5">
        <v>15</v>
      </c>
    </row>
    <row r="914" spans="1:2" x14ac:dyDescent="0.25">
      <c r="A914" t="s">
        <v>1439</v>
      </c>
      <c r="B914" s="5">
        <v>16</v>
      </c>
    </row>
    <row r="915" spans="1:2" x14ac:dyDescent="0.25">
      <c r="A915" t="s">
        <v>1440</v>
      </c>
      <c r="B915" s="5">
        <v>17</v>
      </c>
    </row>
    <row r="916" spans="1:2" x14ac:dyDescent="0.25">
      <c r="A916" t="s">
        <v>1441</v>
      </c>
      <c r="B916" s="5">
        <v>19</v>
      </c>
    </row>
    <row r="917" spans="1:2" x14ac:dyDescent="0.25">
      <c r="A917" t="s">
        <v>1442</v>
      </c>
      <c r="B917" s="5">
        <v>20</v>
      </c>
    </row>
    <row r="918" spans="1:2" x14ac:dyDescent="0.25">
      <c r="A918" t="s">
        <v>1443</v>
      </c>
      <c r="B918" s="5">
        <v>21</v>
      </c>
    </row>
    <row r="919" spans="1:2" x14ac:dyDescent="0.25">
      <c r="A919" t="s">
        <v>1444</v>
      </c>
      <c r="B919" s="5">
        <v>22</v>
      </c>
    </row>
    <row r="920" spans="1:2" x14ac:dyDescent="0.25">
      <c r="A920" t="s">
        <v>1445</v>
      </c>
      <c r="B920" s="5">
        <v>23</v>
      </c>
    </row>
    <row r="921" spans="1:2" x14ac:dyDescent="0.25">
      <c r="A921" t="s">
        <v>1446</v>
      </c>
      <c r="B921" s="5">
        <v>24</v>
      </c>
    </row>
    <row r="922" spans="1:2" x14ac:dyDescent="0.25">
      <c r="A922" t="s">
        <v>1447</v>
      </c>
      <c r="B922" s="5">
        <v>25</v>
      </c>
    </row>
    <row r="923" spans="1:2" x14ac:dyDescent="0.25">
      <c r="A923" t="s">
        <v>1448</v>
      </c>
      <c r="B923" s="5">
        <v>26</v>
      </c>
    </row>
    <row r="924" spans="1:2" x14ac:dyDescent="0.25">
      <c r="A924" t="s">
        <v>1449</v>
      </c>
      <c r="B924" s="5">
        <v>27</v>
      </c>
    </row>
    <row r="925" spans="1:2" x14ac:dyDescent="0.25">
      <c r="A925" t="s">
        <v>1450</v>
      </c>
      <c r="B925" s="5">
        <v>29</v>
      </c>
    </row>
    <row r="926" spans="1:2" x14ac:dyDescent="0.25">
      <c r="A926" t="s">
        <v>1452</v>
      </c>
      <c r="B926" s="5">
        <v>31</v>
      </c>
    </row>
    <row r="927" spans="1:2" x14ac:dyDescent="0.25">
      <c r="A927" t="s">
        <v>1454</v>
      </c>
      <c r="B927" s="5" t="s">
        <v>1455</v>
      </c>
    </row>
    <row r="928" spans="1:2" x14ac:dyDescent="0.25">
      <c r="A928" t="s">
        <v>1456</v>
      </c>
      <c r="B928" s="5" t="s">
        <v>1457</v>
      </c>
    </row>
    <row r="929" spans="1:10" x14ac:dyDescent="0.25">
      <c r="A929" t="s">
        <v>1458</v>
      </c>
      <c r="B929" s="5" t="s">
        <v>1459</v>
      </c>
    </row>
    <row r="930" spans="1:10" x14ac:dyDescent="0.25">
      <c r="A930" t="s">
        <v>1460</v>
      </c>
      <c r="B930" s="5" t="s">
        <v>1461</v>
      </c>
    </row>
    <row r="931" spans="1:10" x14ac:dyDescent="0.25">
      <c r="A931" t="s">
        <v>1462</v>
      </c>
      <c r="B931" s="5" t="s">
        <v>1463</v>
      </c>
    </row>
    <row r="932" spans="1:10" x14ac:dyDescent="0.25">
      <c r="A932" t="s">
        <v>1464</v>
      </c>
      <c r="B932" s="5" t="s">
        <v>1465</v>
      </c>
    </row>
    <row r="933" spans="1:10" x14ac:dyDescent="0.25">
      <c r="A933" t="s">
        <v>1466</v>
      </c>
      <c r="B933" s="5" t="s">
        <v>1467</v>
      </c>
    </row>
    <row r="934" spans="1:10" x14ac:dyDescent="0.25">
      <c r="A934" t="s">
        <v>1468</v>
      </c>
      <c r="B934" s="5" t="s">
        <v>1469</v>
      </c>
    </row>
    <row r="935" spans="1:10" x14ac:dyDescent="0.25">
      <c r="A935" t="s">
        <v>1473</v>
      </c>
      <c r="B935" s="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7" max="8" width="10.7109375" customWidth="1"/>
    <col min="9" max="9" width="12.7109375" customWidth="1"/>
    <col min="10" max="12" width="11.7109375" customWidth="1"/>
    <col min="15" max="15" width="1.7109375" customWidth="1"/>
    <col min="16" max="17" width="10.7109375" customWidth="1"/>
    <col min="18" max="18" width="12.7109375" customWidth="1"/>
    <col min="19" max="21" width="11.7109375" customWidth="1"/>
    <col min="24" max="24" width="1.7109375" customWidth="1"/>
    <col min="25" max="27" width="11.7109375" customWidth="1"/>
    <col min="28" max="28" width="1.7109375" customWidth="1"/>
  </cols>
  <sheetData>
    <row r="1" spans="1:27" x14ac:dyDescent="0.25">
      <c r="A1" s="74" t="s">
        <v>305</v>
      </c>
      <c r="B1" s="74"/>
      <c r="C1" s="74"/>
      <c r="D1" s="74"/>
      <c r="E1" s="74"/>
      <c r="G1" s="71" t="s">
        <v>2</v>
      </c>
      <c r="H1" s="71"/>
      <c r="I1" s="71"/>
      <c r="J1" s="71"/>
      <c r="K1" s="71"/>
      <c r="L1" s="71"/>
      <c r="M1" s="71"/>
      <c r="N1" s="71"/>
      <c r="P1" s="72" t="s">
        <v>3</v>
      </c>
      <c r="Q1" s="72"/>
      <c r="R1" s="72"/>
      <c r="S1" s="72"/>
      <c r="T1" s="72"/>
      <c r="U1" s="72"/>
      <c r="V1" s="72"/>
      <c r="W1" s="72"/>
    </row>
    <row r="2" spans="1:27" ht="30" customHeight="1" x14ac:dyDescent="0.25">
      <c r="A2" s="73" t="s">
        <v>97</v>
      </c>
      <c r="B2" s="76" t="s">
        <v>99</v>
      </c>
      <c r="C2" s="73" t="s">
        <v>275</v>
      </c>
      <c r="D2" s="76" t="s">
        <v>101</v>
      </c>
      <c r="E2" s="73" t="s">
        <v>103</v>
      </c>
      <c r="G2" s="76" t="s">
        <v>279</v>
      </c>
      <c r="H2" s="73" t="s">
        <v>26</v>
      </c>
      <c r="I2" s="76" t="s">
        <v>282</v>
      </c>
      <c r="J2" s="77" t="s">
        <v>284</v>
      </c>
      <c r="K2" s="77"/>
      <c r="L2" s="77"/>
      <c r="M2" s="76" t="s">
        <v>118</v>
      </c>
      <c r="N2" s="73" t="s">
        <v>120</v>
      </c>
      <c r="P2" s="76" t="s">
        <v>279</v>
      </c>
      <c r="Q2" s="73" t="s">
        <v>26</v>
      </c>
      <c r="R2" s="76" t="s">
        <v>282</v>
      </c>
      <c r="S2" s="77" t="s">
        <v>284</v>
      </c>
      <c r="T2" s="77"/>
      <c r="U2" s="77"/>
      <c r="V2" s="76" t="s">
        <v>118</v>
      </c>
      <c r="W2" s="73" t="s">
        <v>120</v>
      </c>
      <c r="Y2" s="75" t="s">
        <v>301</v>
      </c>
      <c r="Z2" s="75"/>
      <c r="AA2" s="75"/>
    </row>
    <row r="3" spans="1:27" x14ac:dyDescent="0.25">
      <c r="A3" s="73"/>
      <c r="B3" s="76"/>
      <c r="C3" s="73"/>
      <c r="D3" s="76"/>
      <c r="E3" s="73"/>
      <c r="G3" s="76"/>
      <c r="H3" s="73"/>
      <c r="I3" s="76"/>
      <c r="J3" s="16" t="s">
        <v>285</v>
      </c>
      <c r="K3" s="16" t="s">
        <v>287</v>
      </c>
      <c r="L3" s="16" t="s">
        <v>289</v>
      </c>
      <c r="M3" s="76"/>
      <c r="N3" s="73"/>
      <c r="P3" s="76"/>
      <c r="Q3" s="73"/>
      <c r="R3" s="76"/>
      <c r="S3" s="16" t="s">
        <v>285</v>
      </c>
      <c r="T3" s="16" t="s">
        <v>287</v>
      </c>
      <c r="U3" s="16" t="s">
        <v>289</v>
      </c>
      <c r="V3" s="76"/>
      <c r="W3" s="73"/>
      <c r="Y3" s="17" t="s">
        <v>285</v>
      </c>
      <c r="Z3" s="17" t="s">
        <v>287</v>
      </c>
      <c r="AA3" s="17" t="s">
        <v>289</v>
      </c>
    </row>
    <row r="4" spans="1:27" x14ac:dyDescent="0.25">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25">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25">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25">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x14ac:dyDescent="0.25">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25">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25">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25">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x14ac:dyDescent="0.25">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25">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25">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25">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x14ac:dyDescent="0.25">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25">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25">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25">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x14ac:dyDescent="0.25">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25">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25">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25">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x14ac:dyDescent="0.25">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25">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25">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25">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x14ac:dyDescent="0.25">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25">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25">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25">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x14ac:dyDescent="0.25">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25">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25">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25">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x14ac:dyDescent="0.25">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25">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25">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25">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x14ac:dyDescent="0.25">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25">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25">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25">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x14ac:dyDescent="0.25">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25">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25">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25">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x14ac:dyDescent="0.25">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25">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25">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25">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x14ac:dyDescent="0.25">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25">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25">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25">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25">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25">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25">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25">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25">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25">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25">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25">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25">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25">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25">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25">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25">
      <c r="B68" s="46" t="s">
        <v>349</v>
      </c>
      <c r="Y68" s="11" t="e">
        <f>AVERAGE(Y4:Y47)</f>
        <v>#VALUE!</v>
      </c>
      <c r="Z68" s="11" t="e">
        <f>AVERAGE(Z4:Z47)</f>
        <v>#VALUE!</v>
      </c>
      <c r="AA68" s="11" t="e">
        <f>AVERAGE(AA4:AA47)</f>
        <v>#VALUE!</v>
      </c>
    </row>
    <row r="69" spans="1:27" x14ac:dyDescent="0.25">
      <c r="B69" s="46" t="s">
        <v>350</v>
      </c>
      <c r="Y69" s="11" t="e">
        <f>AVERAGE(Y48:Y67)</f>
        <v>#VALUE!</v>
      </c>
      <c r="Z69" s="11" t="e">
        <f>AVERAGE(Z48:Z67)</f>
        <v>#VALUE!</v>
      </c>
      <c r="AA69" s="11" t="e">
        <f>AVERAGE(AA48:AA67)</f>
        <v>#VALUE!</v>
      </c>
    </row>
    <row r="70" spans="1:27" x14ac:dyDescent="0.25">
      <c r="B70" s="46" t="s">
        <v>258</v>
      </c>
      <c r="Y70" s="11" t="e">
        <f>AVERAGE(Y4:Y47,Y48:Y67)</f>
        <v>#VALUE!</v>
      </c>
      <c r="Z70" s="11" t="e">
        <f>AVERAGE(Z4:Z47,Z48:Z67)</f>
        <v>#VALUE!</v>
      </c>
      <c r="AA70" s="11" t="e">
        <f>AVERAGE(AA4:AA47,AA48:AA67)</f>
        <v>#VALUE!</v>
      </c>
    </row>
    <row r="71" spans="1:27" hidden="1" outlineLevel="2" x14ac:dyDescent="0.25">
      <c r="A71" s="46" t="s">
        <v>259</v>
      </c>
      <c r="B71" s="46" t="s">
        <v>260</v>
      </c>
      <c r="M71" s="48">
        <f>SUM(M4:M47,M48:M67)</f>
        <v>0</v>
      </c>
      <c r="N71" s="48">
        <f>SUM(N4:N47,N48:N67)</f>
        <v>0</v>
      </c>
      <c r="V71" s="48">
        <f>SUM(V4:V47,V48:V67)</f>
        <v>0</v>
      </c>
      <c r="W71" s="48">
        <f>SUM(W4:W47,W48:W67)</f>
        <v>0</v>
      </c>
    </row>
    <row r="72" spans="1:27" hidden="1" outlineLevel="2" x14ac:dyDescent="0.25">
      <c r="B72" s="46" t="s">
        <v>261</v>
      </c>
      <c r="V72" s="6" t="e">
        <f>V71/M71</f>
        <v>#DIV/0!</v>
      </c>
      <c r="W72" s="6" t="e">
        <f>W71/N71</f>
        <v>#DIV/0!</v>
      </c>
    </row>
    <row r="73" spans="1:27" hidden="1" outlineLevel="2" x14ac:dyDescent="0.25">
      <c r="B73" s="46" t="s">
        <v>262</v>
      </c>
      <c r="M73" s="48" t="e">
        <f>GEOMEAN(M4:M47,M48:M67)</f>
        <v>#NUM!</v>
      </c>
      <c r="N73" s="48" t="e">
        <f>GEOMEAN(N4:N47,N48:N67)</f>
        <v>#NUM!</v>
      </c>
      <c r="V73" s="48" t="e">
        <f>GEOMEAN(V4:V47,V48:V67)</f>
        <v>#NUM!</v>
      </c>
      <c r="W73" s="48" t="e">
        <f>GEOMEAN(W4:W47,W48:W67)</f>
        <v>#NUM!</v>
      </c>
    </row>
    <row r="74" spans="1:27" outlineLevel="2" collapsed="1" x14ac:dyDescent="0.25">
      <c r="B74" s="46" t="s">
        <v>263</v>
      </c>
      <c r="V74" s="6" t="e">
        <f>V73/M73</f>
        <v>#NUM!</v>
      </c>
      <c r="W74" s="6" t="e">
        <f>W73/N73</f>
        <v>#NUM!</v>
      </c>
    </row>
  </sheetData>
  <mergeCells count="21">
    <mergeCell ref="A2:A3"/>
    <mergeCell ref="B2:B3"/>
    <mergeCell ref="C2:C3"/>
    <mergeCell ref="D2:D3"/>
    <mergeCell ref="E2:E3"/>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8" max="10" width="10.7109375" customWidth="1"/>
    <col min="11" max="11" width="12.7109375" customWidth="1"/>
    <col min="12" max="12" width="10.7109375" customWidth="1"/>
    <col min="13" max="15" width="12.7109375" customWidth="1"/>
    <col min="16" max="23" width="11.7109375" customWidth="1"/>
    <col min="26" max="26" width="1.7109375" customWidth="1"/>
    <col min="28" max="30" width="10.7109375" customWidth="1"/>
    <col min="31" max="31" width="12.7109375" customWidth="1"/>
    <col min="32" max="32" width="10.7109375" customWidth="1"/>
    <col min="33" max="35" width="12.7109375" customWidth="1"/>
    <col min="36" max="43" width="11.7109375" customWidth="1"/>
    <col min="46" max="46" width="1.7109375" customWidth="1"/>
    <col min="49" max="49" width="1.7109375" customWidth="1"/>
    <col min="52" max="54" width="11.7109375" customWidth="1"/>
    <col min="55" max="55" width="1.7109375" customWidth="1"/>
    <col min="56" max="58" width="11.7109375" customWidth="1"/>
    <col min="59" max="59" width="1.7109375" customWidth="1"/>
    <col min="60" max="62" width="11.7109375" customWidth="1"/>
  </cols>
  <sheetData>
    <row r="1" spans="1:62" x14ac:dyDescent="0.25">
      <c r="A1" s="74" t="s">
        <v>423</v>
      </c>
      <c r="B1" s="74"/>
      <c r="C1" s="74"/>
      <c r="D1" s="74"/>
      <c r="E1" s="74"/>
      <c r="G1" s="71" t="s">
        <v>2</v>
      </c>
      <c r="H1" s="71"/>
      <c r="I1" s="71"/>
      <c r="J1" s="71"/>
      <c r="K1" s="71"/>
      <c r="L1" s="71"/>
      <c r="M1" s="71"/>
      <c r="N1" s="71"/>
      <c r="O1" s="71"/>
      <c r="P1" s="71"/>
      <c r="Q1" s="71"/>
      <c r="R1" s="71"/>
      <c r="S1" s="71"/>
      <c r="T1" s="71"/>
      <c r="U1" s="71"/>
      <c r="V1" s="71"/>
      <c r="W1" s="71"/>
      <c r="X1" s="71"/>
      <c r="Y1" s="71"/>
      <c r="AA1" s="72" t="s">
        <v>3</v>
      </c>
      <c r="AB1" s="72"/>
      <c r="AC1" s="72"/>
      <c r="AD1" s="72"/>
      <c r="AE1" s="72"/>
      <c r="AF1" s="72"/>
      <c r="AG1" s="72"/>
      <c r="AH1" s="72"/>
      <c r="AI1" s="72"/>
      <c r="AJ1" s="72"/>
      <c r="AK1" s="72"/>
      <c r="AL1" s="72"/>
      <c r="AM1" s="72"/>
      <c r="AN1" s="72"/>
      <c r="AO1" s="72"/>
      <c r="AP1" s="72"/>
      <c r="AQ1" s="72"/>
      <c r="AR1" s="72"/>
      <c r="AS1" s="72"/>
    </row>
    <row r="2" spans="1:62" ht="30" customHeight="1" x14ac:dyDescent="0.25">
      <c r="A2" s="73" t="s">
        <v>97</v>
      </c>
      <c r="B2" s="76" t="s">
        <v>99</v>
      </c>
      <c r="C2" s="73" t="s">
        <v>275</v>
      </c>
      <c r="D2" s="76" t="s">
        <v>101</v>
      </c>
      <c r="E2" s="73" t="s">
        <v>103</v>
      </c>
      <c r="G2" s="76" t="s">
        <v>105</v>
      </c>
      <c r="H2" s="77" t="s">
        <v>107</v>
      </c>
      <c r="I2" s="77"/>
      <c r="J2" s="77"/>
      <c r="K2" s="76" t="s">
        <v>112</v>
      </c>
      <c r="L2" s="73" t="s">
        <v>26</v>
      </c>
      <c r="M2" s="75" t="s">
        <v>115</v>
      </c>
      <c r="N2" s="75"/>
      <c r="O2" s="75"/>
      <c r="P2" s="77" t="s">
        <v>374</v>
      </c>
      <c r="Q2" s="77"/>
      <c r="R2" s="75" t="s">
        <v>284</v>
      </c>
      <c r="S2" s="75"/>
      <c r="T2" s="75"/>
      <c r="U2" s="77" t="s">
        <v>382</v>
      </c>
      <c r="V2" s="77"/>
      <c r="W2" s="77"/>
      <c r="X2" s="76" t="s">
        <v>118</v>
      </c>
      <c r="Y2" s="73" t="s">
        <v>120</v>
      </c>
      <c r="AA2" s="76" t="s">
        <v>105</v>
      </c>
      <c r="AB2" s="77" t="s">
        <v>107</v>
      </c>
      <c r="AC2" s="77"/>
      <c r="AD2" s="77"/>
      <c r="AE2" s="76" t="s">
        <v>112</v>
      </c>
      <c r="AF2" s="73" t="s">
        <v>26</v>
      </c>
      <c r="AG2" s="75" t="s">
        <v>115</v>
      </c>
      <c r="AH2" s="75"/>
      <c r="AI2" s="75"/>
      <c r="AJ2" s="77" t="s">
        <v>374</v>
      </c>
      <c r="AK2" s="77"/>
      <c r="AL2" s="75" t="s">
        <v>284</v>
      </c>
      <c r="AM2" s="75"/>
      <c r="AN2" s="75"/>
      <c r="AO2" s="77" t="s">
        <v>382</v>
      </c>
      <c r="AP2" s="77"/>
      <c r="AQ2" s="77"/>
      <c r="AR2" s="76" t="s">
        <v>118</v>
      </c>
      <c r="AS2" s="73" t="s">
        <v>120</v>
      </c>
      <c r="AU2" s="76" t="s">
        <v>133</v>
      </c>
      <c r="AV2" s="73" t="s">
        <v>133</v>
      </c>
      <c r="AX2" s="75" t="s">
        <v>409</v>
      </c>
      <c r="AY2" s="75"/>
      <c r="AZ2" s="77" t="s">
        <v>412</v>
      </c>
      <c r="BA2" s="77"/>
      <c r="BB2" s="77"/>
      <c r="BD2" s="75" t="s">
        <v>301</v>
      </c>
      <c r="BE2" s="75"/>
      <c r="BF2" s="75"/>
      <c r="BH2" s="77" t="s">
        <v>419</v>
      </c>
      <c r="BI2" s="77"/>
      <c r="BJ2" s="77"/>
    </row>
    <row r="3" spans="1:62" x14ac:dyDescent="0.25">
      <c r="A3" s="73"/>
      <c r="B3" s="76"/>
      <c r="C3" s="73"/>
      <c r="D3" s="76"/>
      <c r="E3" s="73"/>
      <c r="G3" s="76"/>
      <c r="H3" s="16" t="s">
        <v>108</v>
      </c>
      <c r="I3" s="16" t="s">
        <v>110</v>
      </c>
      <c r="J3" s="16" t="s">
        <v>366</v>
      </c>
      <c r="K3" s="76"/>
      <c r="L3" s="73"/>
      <c r="M3" s="17" t="s">
        <v>108</v>
      </c>
      <c r="N3" s="17" t="s">
        <v>110</v>
      </c>
      <c r="O3" s="17" t="s">
        <v>372</v>
      </c>
      <c r="P3" s="16" t="s">
        <v>375</v>
      </c>
      <c r="Q3" s="16" t="s">
        <v>377</v>
      </c>
      <c r="R3" s="17" t="s">
        <v>285</v>
      </c>
      <c r="S3" s="17" t="s">
        <v>287</v>
      </c>
      <c r="T3" s="17" t="s">
        <v>289</v>
      </c>
      <c r="U3" s="16" t="s">
        <v>285</v>
      </c>
      <c r="V3" s="16" t="s">
        <v>287</v>
      </c>
      <c r="W3" s="16" t="s">
        <v>289</v>
      </c>
      <c r="X3" s="76"/>
      <c r="Y3" s="73"/>
      <c r="AA3" s="76"/>
      <c r="AB3" s="16" t="s">
        <v>108</v>
      </c>
      <c r="AC3" s="16" t="s">
        <v>110</v>
      </c>
      <c r="AD3" s="16" t="s">
        <v>366</v>
      </c>
      <c r="AE3" s="76"/>
      <c r="AF3" s="73"/>
      <c r="AG3" s="17" t="s">
        <v>108</v>
      </c>
      <c r="AH3" s="17" t="s">
        <v>110</v>
      </c>
      <c r="AI3" s="17" t="s">
        <v>372</v>
      </c>
      <c r="AJ3" s="16" t="s">
        <v>375</v>
      </c>
      <c r="AK3" s="16" t="s">
        <v>377</v>
      </c>
      <c r="AL3" s="17" t="s">
        <v>285</v>
      </c>
      <c r="AM3" s="17" t="s">
        <v>287</v>
      </c>
      <c r="AN3" s="17" t="s">
        <v>289</v>
      </c>
      <c r="AO3" s="16" t="s">
        <v>285</v>
      </c>
      <c r="AP3" s="16" t="s">
        <v>287</v>
      </c>
      <c r="AQ3" s="16" t="s">
        <v>289</v>
      </c>
      <c r="AR3" s="76"/>
      <c r="AS3" s="73"/>
      <c r="AU3" s="76"/>
      <c r="AV3" s="73"/>
      <c r="AX3" s="17" t="s">
        <v>375</v>
      </c>
      <c r="AY3" s="17" t="s">
        <v>377</v>
      </c>
      <c r="AZ3" s="16" t="s">
        <v>285</v>
      </c>
      <c r="BA3" s="16" t="s">
        <v>287</v>
      </c>
      <c r="BB3" s="16" t="s">
        <v>289</v>
      </c>
      <c r="BD3" s="17" t="s">
        <v>285</v>
      </c>
      <c r="BE3" s="17" t="s">
        <v>287</v>
      </c>
      <c r="BF3" s="17" t="s">
        <v>289</v>
      </c>
      <c r="BH3" s="16" t="s">
        <v>285</v>
      </c>
      <c r="BI3" s="16" t="s">
        <v>287</v>
      </c>
      <c r="BJ3" s="16" t="s">
        <v>289</v>
      </c>
    </row>
    <row r="4" spans="1:62" x14ac:dyDescent="0.25">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25">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25">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25">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25">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25">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x14ac:dyDescent="0.25">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25">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25">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25">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25">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25">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x14ac:dyDescent="0.25">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25">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25">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25">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25">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25">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x14ac:dyDescent="0.25">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25">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25">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25">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25">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25">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x14ac:dyDescent="0.25">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25">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25">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25">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25">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25">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x14ac:dyDescent="0.25">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25">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25">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25">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25">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25">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25">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25">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25">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25">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25">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25">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25">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25">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25">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25">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25">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25">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25">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25">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25">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25">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25">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25">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25">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25">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25">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25">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25">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25">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25">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25">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25">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25">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25">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25">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25">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25">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25">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25">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25">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25">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25">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25">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25">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25">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25">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25">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25">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25">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25">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25">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25">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25">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25">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25">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25">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25">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25">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25">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25">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25">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25">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25">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25">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25">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25">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25">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25">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25">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25">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25">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25">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25">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25">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25">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25">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25">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25">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25">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25">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25">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25">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25">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25">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25">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25">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25">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25">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25">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25">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25">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25">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25">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25">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25">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25">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25">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25">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25">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25">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25">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25">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25">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25">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25">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25">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25">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25">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25">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25">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25">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25">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25">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25">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25">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25">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25">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25">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25">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25">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25">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25">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25">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25">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25">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25">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25">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25">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25">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25">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25">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25">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25">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25">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25">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25">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25">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25">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25">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25">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25">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25">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25">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25">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25">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25">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25">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25">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25">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25">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25">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25">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25">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25">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25">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25">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25">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25">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25">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25">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25">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25">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25">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25">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25">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25">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25">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25">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25">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25">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25">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25">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25">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25">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25">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25">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25">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25">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25">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25">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25">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25">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25">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25">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25">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25">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25">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25">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25">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25">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25">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25">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25">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25">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25">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25">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25">
      <c r="B231" s="46" t="s">
        <v>261</v>
      </c>
      <c r="AR231" s="6" t="e">
        <f>AR230/X230</f>
        <v>#DIV/0!</v>
      </c>
      <c r="AS231" s="6" t="e">
        <f>AS230/Y230</f>
        <v>#DIV/0!</v>
      </c>
    </row>
    <row r="232" spans="1:62" hidden="1" outlineLevel="2" x14ac:dyDescent="0.25">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25">
      <c r="B233" s="46" t="s">
        <v>263</v>
      </c>
      <c r="AR233" s="6" t="e">
        <f>AR232/X232</f>
        <v>#NUM!</v>
      </c>
      <c r="AS233" s="6" t="e">
        <f>AS232/Y232</f>
        <v>#NUM!</v>
      </c>
    </row>
  </sheetData>
  <mergeCells count="34">
    <mergeCell ref="A2:A3"/>
    <mergeCell ref="B2:B3"/>
    <mergeCell ref="C2:C3"/>
    <mergeCell ref="D2:D3"/>
    <mergeCell ref="E2:E3"/>
    <mergeCell ref="G2:G3"/>
    <mergeCell ref="H2:J2"/>
    <mergeCell ref="K2:K3"/>
    <mergeCell ref="L2:L3"/>
    <mergeCell ref="M2:O2"/>
    <mergeCell ref="AE2:AE3"/>
    <mergeCell ref="AF2:AF3"/>
    <mergeCell ref="AG2:AI2"/>
    <mergeCell ref="P2:Q2"/>
    <mergeCell ref="R2:T2"/>
    <mergeCell ref="U2:W2"/>
    <mergeCell ref="X2:X3"/>
    <mergeCell ref="Y2:Y3"/>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G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4" t="s">
        <v>549</v>
      </c>
      <c r="B1" s="74"/>
      <c r="C1" s="74"/>
      <c r="D1" s="74"/>
      <c r="E1" s="74"/>
      <c r="F1" s="74"/>
      <c r="H1" s="71" t="s">
        <v>1477</v>
      </c>
      <c r="I1" s="71"/>
      <c r="J1" s="71"/>
      <c r="K1" s="71"/>
      <c r="L1" s="71"/>
      <c r="M1" s="71"/>
      <c r="N1" s="71"/>
      <c r="O1" s="71"/>
      <c r="P1" s="71"/>
      <c r="Q1" s="71"/>
      <c r="R1" s="71"/>
      <c r="S1" s="71"/>
      <c r="U1" s="72"/>
      <c r="V1" s="72"/>
      <c r="W1" s="72"/>
      <c r="X1" s="72"/>
      <c r="Y1" s="72"/>
      <c r="Z1" s="72"/>
      <c r="AA1" s="72"/>
      <c r="AB1" s="72"/>
      <c r="AC1" s="72"/>
      <c r="AD1" s="72"/>
      <c r="AE1" s="72"/>
      <c r="AF1" s="72"/>
    </row>
    <row r="2" spans="1:34" ht="30" customHeight="1" x14ac:dyDescent="0.25">
      <c r="A2" s="73" t="s">
        <v>97</v>
      </c>
      <c r="B2" s="76" t="s">
        <v>99</v>
      </c>
      <c r="C2" s="73" t="s">
        <v>101</v>
      </c>
      <c r="D2" s="76" t="s">
        <v>103</v>
      </c>
      <c r="E2" s="73" t="s">
        <v>513</v>
      </c>
      <c r="F2" s="76" t="s">
        <v>515</v>
      </c>
      <c r="H2" s="73" t="s">
        <v>105</v>
      </c>
      <c r="I2" s="76" t="s">
        <v>518</v>
      </c>
      <c r="J2" s="73" t="s">
        <v>520</v>
      </c>
      <c r="K2" s="76" t="s">
        <v>112</v>
      </c>
      <c r="L2" s="73" t="s">
        <v>26</v>
      </c>
      <c r="M2" s="76" t="s">
        <v>524</v>
      </c>
      <c r="N2" s="77" t="s">
        <v>374</v>
      </c>
      <c r="O2" s="77"/>
      <c r="P2" s="75" t="s">
        <v>528</v>
      </c>
      <c r="Q2" s="75"/>
      <c r="R2" s="77" t="s">
        <v>533</v>
      </c>
      <c r="S2" s="77"/>
      <c r="U2" s="76" t="s">
        <v>105</v>
      </c>
      <c r="V2" s="73" t="s">
        <v>518</v>
      </c>
      <c r="W2" s="76" t="s">
        <v>520</v>
      </c>
      <c r="X2" s="73" t="s">
        <v>112</v>
      </c>
      <c r="Y2" s="76" t="s">
        <v>26</v>
      </c>
      <c r="Z2" s="73" t="s">
        <v>524</v>
      </c>
      <c r="AA2" s="75" t="s">
        <v>374</v>
      </c>
      <c r="AB2" s="75"/>
      <c r="AC2" s="77" t="s">
        <v>528</v>
      </c>
      <c r="AD2" s="77"/>
      <c r="AE2" s="75" t="s">
        <v>533</v>
      </c>
      <c r="AF2" s="75"/>
      <c r="AH2" s="73" t="s">
        <v>131</v>
      </c>
    </row>
    <row r="3" spans="1:34" ht="15.75" thickBot="1" x14ac:dyDescent="0.3">
      <c r="A3" s="73"/>
      <c r="B3" s="76"/>
      <c r="C3" s="73"/>
      <c r="D3" s="76"/>
      <c r="E3" s="73"/>
      <c r="F3" s="76"/>
      <c r="H3" s="73"/>
      <c r="I3" s="76"/>
      <c r="J3" s="73"/>
      <c r="K3" s="76"/>
      <c r="L3" s="73"/>
      <c r="M3" s="76"/>
      <c r="N3" s="16" t="s">
        <v>375</v>
      </c>
      <c r="O3" s="16" t="s">
        <v>377</v>
      </c>
      <c r="P3" s="17" t="s">
        <v>529</v>
      </c>
      <c r="Q3" s="17" t="s">
        <v>531</v>
      </c>
      <c r="R3" s="16" t="s">
        <v>529</v>
      </c>
      <c r="S3" s="16" t="s">
        <v>531</v>
      </c>
      <c r="U3" s="76"/>
      <c r="V3" s="73"/>
      <c r="W3" s="76"/>
      <c r="X3" s="73"/>
      <c r="Y3" s="76"/>
      <c r="Z3" s="73"/>
      <c r="AA3" s="17" t="s">
        <v>375</v>
      </c>
      <c r="AB3" s="17" t="s">
        <v>377</v>
      </c>
      <c r="AC3" s="16" t="s">
        <v>529</v>
      </c>
      <c r="AD3" s="16" t="s">
        <v>531</v>
      </c>
      <c r="AE3" s="17" t="s">
        <v>529</v>
      </c>
      <c r="AF3" s="17" t="s">
        <v>531</v>
      </c>
      <c r="AH3" s="73"/>
    </row>
    <row r="4" spans="1:34" collapsed="1" x14ac:dyDescent="0.25">
      <c r="A4" s="18" t="s">
        <v>566</v>
      </c>
      <c r="B4" s="18" t="s">
        <v>554</v>
      </c>
      <c r="C4" s="18">
        <v>238146391</v>
      </c>
      <c r="D4" s="19">
        <v>10</v>
      </c>
      <c r="E4" s="19">
        <v>300</v>
      </c>
      <c r="F4" s="19">
        <v>30</v>
      </c>
      <c r="H4" s="20">
        <f>IF(ISBLANK(M4),"·",M4/(C4*D4*3))</f>
        <v>6.398045589809785E-3</v>
      </c>
      <c r="I4" s="55">
        <f>IF(OR(ISBLANK(M4),ISBLANK(F4)),"·",M4*F4/E4/1000000)</f>
        <v>4.5710144000000001</v>
      </c>
      <c r="J4" s="21">
        <f>IF(ISBLANK(M4),"·",M4/C4)</f>
        <v>0.19194136769429354</v>
      </c>
      <c r="K4" s="21">
        <f>IF(ISBLANK(M4),"·",M4/L4)</f>
        <v>1.2651638305884818</v>
      </c>
      <c r="L4" s="22">
        <v>36129822</v>
      </c>
      <c r="M4" s="23">
        <v>45710144</v>
      </c>
      <c r="N4" s="49" t="s">
        <v>1476</v>
      </c>
      <c r="O4" s="49" t="s">
        <v>1476</v>
      </c>
      <c r="P4" s="24"/>
      <c r="Q4" s="24"/>
      <c r="R4" s="24"/>
      <c r="S4" s="24"/>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300</v>
      </c>
      <c r="F5" s="26">
        <v>30</v>
      </c>
      <c r="H5" s="27">
        <f>IF(ISBLANK(M5),"·",M5/(C5*D5*3))</f>
        <v>8.0465462720346447E-3</v>
      </c>
      <c r="I5" s="56">
        <f>IF(OR(ISBLANK(M5),ISBLANK(F5)),"·",M5*F5/E5/1000000)</f>
        <v>5.2653679999999996</v>
      </c>
      <c r="J5" s="28">
        <f>IF(ISBLANK(M5),"·",M5/C5)</f>
        <v>0.24139638816103937</v>
      </c>
      <c r="K5" s="28">
        <f>IF(ISBLANK(M5),"·",M5/L5)</f>
        <v>1.646561054375872</v>
      </c>
      <c r="L5" s="29">
        <v>31977970</v>
      </c>
      <c r="M5" s="30">
        <v>52653680</v>
      </c>
      <c r="N5" s="51" t="s">
        <v>1476</v>
      </c>
      <c r="O5" s="51" t="s">
        <v>1476</v>
      </c>
      <c r="P5" s="31"/>
      <c r="Q5" s="31"/>
      <c r="R5" s="31"/>
      <c r="S5" s="31"/>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300</v>
      </c>
      <c r="F6" s="19">
        <v>30</v>
      </c>
      <c r="H6" s="20">
        <f>IF(ISBLANK(M6),"·",M6/(C6*D6*3))</f>
        <v>7.8647147399347871E-3</v>
      </c>
      <c r="I6" s="55">
        <f>IF(OR(ISBLANK(M6),ISBLANK(F6)),"·",M6*F6/E6/1000000)</f>
        <v>7.6112279999999997</v>
      </c>
      <c r="J6" s="21">
        <f>IF(ISBLANK(M6),"·",M6/C6)</f>
        <v>0.23594144219804361</v>
      </c>
      <c r="K6" s="21">
        <f>IF(ISBLANK(M6),"·",M6/L6)</f>
        <v>1.6055246788603854</v>
      </c>
      <c r="L6" s="22">
        <v>47406484</v>
      </c>
      <c r="M6" s="23">
        <v>76112280</v>
      </c>
      <c r="N6" s="49" t="s">
        <v>1476</v>
      </c>
      <c r="O6" s="49" t="s">
        <v>1476</v>
      </c>
      <c r="P6" s="24"/>
      <c r="Q6" s="24"/>
      <c r="R6" s="24"/>
      <c r="S6" s="24"/>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250</v>
      </c>
      <c r="F7" s="33">
        <v>50</v>
      </c>
      <c r="H7" s="34">
        <f>IF(ISBLANK(M7),"·",M7/(C7*D7*3))</f>
        <v>7.7885996933690603E-3</v>
      </c>
      <c r="I7" s="57">
        <f>IF(OR(ISBLANK(M7),ISBLANK(F7)),"·",M7*F7/E7/1000000)</f>
        <v>11.711073599999999</v>
      </c>
      <c r="J7" s="35">
        <f>IF(ISBLANK(M7),"·",M7/C7)</f>
        <v>0.2336579908010718</v>
      </c>
      <c r="K7" s="35">
        <f>IF(ISBLANK(M7),"·",M7/L7)</f>
        <v>1.5326521164351807</v>
      </c>
      <c r="L7" s="36">
        <v>38205257</v>
      </c>
      <c r="M7" s="37">
        <v>58555368</v>
      </c>
      <c r="N7" s="53" t="s">
        <v>1476</v>
      </c>
      <c r="O7" s="53" t="s">
        <v>1476</v>
      </c>
      <c r="P7" s="38"/>
      <c r="Q7" s="38"/>
      <c r="R7" s="38"/>
      <c r="S7" s="38"/>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300</v>
      </c>
      <c r="F8" s="40">
        <v>30</v>
      </c>
      <c r="H8" s="41">
        <f>IF(ISBLANK(M8),"·",M8/(C8*D8*3))</f>
        <v>7.0896268941211043E-3</v>
      </c>
      <c r="I8" s="58">
        <f>IF(OR(ISBLANK(M8),ISBLANK(F8)),"·",M8*F8/E8/1000000)</f>
        <v>5.3234855999999997</v>
      </c>
      <c r="J8" s="42">
        <f>IF(ISBLANK(M8),"·",M8/C8)</f>
        <v>0.21268880682363311</v>
      </c>
      <c r="K8" s="42">
        <f>IF(ISBLANK(M8),"·",M8/L8)</f>
        <v>1.4870898961752286</v>
      </c>
      <c r="L8" s="43">
        <v>35798008</v>
      </c>
      <c r="M8" s="44">
        <v>53234856</v>
      </c>
      <c r="N8" s="59" t="s">
        <v>1476</v>
      </c>
      <c r="O8" s="59" t="s">
        <v>1476</v>
      </c>
      <c r="P8" s="45"/>
      <c r="Q8" s="45"/>
      <c r="R8" s="45"/>
      <c r="S8" s="45"/>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0.2257342972136121</v>
      </c>
      <c r="W9" s="47" t="e">
        <f>AVERAGE(W4:W7)</f>
        <v>#DIV/0!</v>
      </c>
      <c r="AH9" s="6" t="e">
        <f t="shared" si="0"/>
        <v>#DIV/0!</v>
      </c>
    </row>
    <row r="10" spans="1:34" x14ac:dyDescent="0.25">
      <c r="B10" s="46" t="s">
        <v>572</v>
      </c>
      <c r="J10" s="47">
        <f>AVERAGE(J8:J8)</f>
        <v>0.21268880682363311</v>
      </c>
      <c r="W10" s="47" t="e">
        <f>AVERAGE(W8:W8)</f>
        <v>#DIV/0!</v>
      </c>
      <c r="AH10" s="6" t="e">
        <f t="shared" si="0"/>
        <v>#DIV/0!</v>
      </c>
    </row>
    <row r="11" spans="1:34" collapsed="1" x14ac:dyDescent="0.25">
      <c r="B11" s="46" t="s">
        <v>258</v>
      </c>
      <c r="J11" s="47">
        <f>AVERAGE(J4:J7,J8:J8)</f>
        <v>0.22312519913561629</v>
      </c>
      <c r="W11" s="47" t="e">
        <f>AVERAGE(W4:W7,W8:W8)</f>
        <v>#DIV/0!</v>
      </c>
      <c r="AH11" s="6" t="e">
        <f t="shared" si="0"/>
        <v>#DIV/0!</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20"/>
  <sheetViews>
    <sheetView zoomScale="85" zoomScaleNormal="85" workbookViewId="0">
      <pane xSplit="2" topLeftCell="AD1" activePane="topRight" state="frozen"/>
      <selection pane="topRight" activeCell="AK4" sqref="AK4:AT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2" width="6.5703125" style="5" customWidth="1"/>
    <col min="53" max="53" width="5.7109375" style="5" customWidth="1"/>
    <col min="57" max="57" width="1.7109375" customWidth="1"/>
  </cols>
  <sheetData>
    <row r="1" spans="1:56" x14ac:dyDescent="0.25">
      <c r="A1" s="74" t="s">
        <v>635</v>
      </c>
      <c r="B1" s="74"/>
      <c r="C1" s="74"/>
      <c r="D1" s="74"/>
      <c r="E1" s="74"/>
      <c r="F1" s="74"/>
      <c r="H1" s="71" t="s">
        <v>1477</v>
      </c>
      <c r="I1" s="71"/>
      <c r="J1" s="71"/>
      <c r="K1" s="71"/>
      <c r="L1" s="71"/>
      <c r="M1" s="71"/>
      <c r="N1" s="71"/>
      <c r="O1" s="71"/>
      <c r="P1" s="71"/>
      <c r="Q1" s="71"/>
      <c r="R1" s="71"/>
      <c r="S1" s="71"/>
      <c r="T1" s="71"/>
      <c r="U1" s="71"/>
      <c r="V1" s="71"/>
      <c r="W1" s="71"/>
      <c r="X1" s="71"/>
      <c r="Y1" s="71"/>
      <c r="Z1" s="71"/>
      <c r="AA1" s="71"/>
      <c r="AB1" s="71"/>
      <c r="AD1" s="72"/>
      <c r="AE1" s="72"/>
      <c r="AF1" s="72"/>
      <c r="AG1" s="72"/>
      <c r="AH1" s="72"/>
      <c r="AI1" s="72"/>
      <c r="AJ1" s="72"/>
      <c r="AK1" s="72"/>
      <c r="AL1" s="72"/>
      <c r="AM1" s="72"/>
      <c r="AN1" s="72"/>
      <c r="AO1" s="72"/>
      <c r="AP1" s="72"/>
      <c r="AQ1" s="72"/>
      <c r="AR1" s="72"/>
      <c r="AS1" s="72"/>
      <c r="AT1" s="72"/>
      <c r="AU1" s="72"/>
      <c r="AV1" s="72"/>
      <c r="AW1" s="72"/>
      <c r="AX1" s="72"/>
    </row>
    <row r="2" spans="1:56" ht="30" customHeight="1" thickBot="1" x14ac:dyDescent="0.3">
      <c r="A2" s="73" t="s">
        <v>97</v>
      </c>
      <c r="B2" s="76" t="s">
        <v>99</v>
      </c>
      <c r="C2" s="73" t="s">
        <v>101</v>
      </c>
      <c r="D2" s="76" t="s">
        <v>103</v>
      </c>
      <c r="E2" s="73" t="s">
        <v>513</v>
      </c>
      <c r="F2" s="76" t="s">
        <v>515</v>
      </c>
      <c r="H2" s="73" t="s">
        <v>105</v>
      </c>
      <c r="I2" s="76" t="s">
        <v>518</v>
      </c>
      <c r="J2" s="77" t="s">
        <v>107</v>
      </c>
      <c r="K2" s="77"/>
      <c r="L2" s="77"/>
      <c r="M2" s="77"/>
      <c r="N2" s="76" t="s">
        <v>112</v>
      </c>
      <c r="O2" s="73" t="s">
        <v>26</v>
      </c>
      <c r="P2" s="75" t="s">
        <v>115</v>
      </c>
      <c r="Q2" s="75"/>
      <c r="R2" s="75"/>
      <c r="S2" s="75"/>
      <c r="T2" s="77" t="s">
        <v>374</v>
      </c>
      <c r="U2" s="77"/>
      <c r="V2" s="75" t="s">
        <v>284</v>
      </c>
      <c r="W2" s="75"/>
      <c r="X2" s="75"/>
      <c r="Y2" s="77" t="s">
        <v>528</v>
      </c>
      <c r="Z2" s="77"/>
      <c r="AA2" s="75" t="s">
        <v>533</v>
      </c>
      <c r="AB2" s="75"/>
      <c r="AD2" s="73" t="s">
        <v>105</v>
      </c>
      <c r="AE2" s="76" t="s">
        <v>518</v>
      </c>
      <c r="AF2" s="77" t="s">
        <v>107</v>
      </c>
      <c r="AG2" s="77"/>
      <c r="AH2" s="77"/>
      <c r="AI2" s="77"/>
      <c r="AJ2" s="76" t="s">
        <v>112</v>
      </c>
      <c r="AK2" s="73" t="s">
        <v>26</v>
      </c>
      <c r="AL2" s="75" t="s">
        <v>115</v>
      </c>
      <c r="AM2" s="75"/>
      <c r="AN2" s="75"/>
      <c r="AO2" s="75"/>
      <c r="AP2" s="77" t="s">
        <v>374</v>
      </c>
      <c r="AQ2" s="77"/>
      <c r="AR2" s="75" t="s">
        <v>284</v>
      </c>
      <c r="AS2" s="75"/>
      <c r="AT2" s="75"/>
      <c r="AU2" s="77" t="s">
        <v>528</v>
      </c>
      <c r="AV2" s="77"/>
      <c r="AW2" s="75" t="s">
        <v>533</v>
      </c>
      <c r="AX2" s="75"/>
      <c r="AZ2" s="76" t="s">
        <v>115</v>
      </c>
      <c r="BA2" s="76"/>
      <c r="BB2" s="73" t="s">
        <v>131</v>
      </c>
      <c r="BC2" s="76" t="s">
        <v>133</v>
      </c>
      <c r="BD2" s="73" t="s">
        <v>133</v>
      </c>
    </row>
    <row r="3" spans="1:56" ht="30" customHeight="1" thickBot="1" x14ac:dyDescent="0.3">
      <c r="A3" s="73"/>
      <c r="B3" s="76"/>
      <c r="C3" s="73"/>
      <c r="D3" s="76"/>
      <c r="E3" s="73"/>
      <c r="F3" s="76"/>
      <c r="H3" s="73"/>
      <c r="I3" s="76"/>
      <c r="J3" s="16" t="s">
        <v>108</v>
      </c>
      <c r="K3" s="16" t="s">
        <v>587</v>
      </c>
      <c r="L3" s="16" t="s">
        <v>110</v>
      </c>
      <c r="M3" s="16" t="s">
        <v>366</v>
      </c>
      <c r="N3" s="76"/>
      <c r="O3" s="73"/>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3"/>
      <c r="AE3" s="76"/>
      <c r="AF3" s="16" t="s">
        <v>108</v>
      </c>
      <c r="AG3" s="16" t="s">
        <v>587</v>
      </c>
      <c r="AH3" s="16" t="s">
        <v>110</v>
      </c>
      <c r="AI3" s="16" t="s">
        <v>366</v>
      </c>
      <c r="AJ3" s="76"/>
      <c r="AK3" s="73"/>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3"/>
      <c r="BC3" s="76"/>
      <c r="BD3" s="73"/>
    </row>
    <row r="4" spans="1:56" collapsed="1" x14ac:dyDescent="0.25">
      <c r="A4" s="18" t="s">
        <v>566</v>
      </c>
      <c r="B4" s="18" t="s">
        <v>554</v>
      </c>
      <c r="C4" s="18">
        <v>238146391</v>
      </c>
      <c r="D4" s="19">
        <v>10</v>
      </c>
      <c r="E4" s="19">
        <v>300</v>
      </c>
      <c r="F4" s="19">
        <v>30</v>
      </c>
      <c r="H4" s="20">
        <f>IF(ISBLANK(P4),"·",P4/(C4*D4*3))</f>
        <v>3.3898645140500998E-2</v>
      </c>
      <c r="I4" s="55">
        <f>IF(OR(ISBLANK(P4),ISBLANK(F4)),"·",P4*F4/E4/1000000)</f>
        <v>24.218520000000002</v>
      </c>
      <c r="J4" s="21">
        <f>IF(ISBLANK(P4),"·",P4/C4)</f>
        <v>1.0169593542150299</v>
      </c>
      <c r="K4" s="21">
        <f>IF(AZ4="","·",AZ4/C4)</f>
        <v>0.19194029272524227</v>
      </c>
      <c r="L4" s="21">
        <f>IF(Q4="","·",Q4/C4)</f>
        <v>0.18225488875873833</v>
      </c>
      <c r="M4" s="21">
        <f>IF(ISBLANK(S4),"·",S4/C4)</f>
        <v>0.82501798652073632</v>
      </c>
      <c r="N4" s="21">
        <f>IF(ISBLANK(P4),"·",P4/O4)</f>
        <v>6.7031938325076723</v>
      </c>
      <c r="O4" s="22">
        <v>36129822</v>
      </c>
      <c r="P4" s="23">
        <v>242185200</v>
      </c>
      <c r="Q4" s="23">
        <v>43403344</v>
      </c>
      <c r="R4" s="23">
        <v>2306544</v>
      </c>
      <c r="S4" s="23">
        <v>196475056</v>
      </c>
      <c r="T4" s="49" t="s">
        <v>1476</v>
      </c>
      <c r="U4" s="49" t="s">
        <v>1476</v>
      </c>
      <c r="V4" s="49" t="s">
        <v>1476</v>
      </c>
      <c r="W4" s="49" t="s">
        <v>1476</v>
      </c>
      <c r="X4" s="49" t="s">
        <v>1476</v>
      </c>
      <c r="Y4" s="24"/>
      <c r="Z4" s="24"/>
      <c r="AA4" s="24"/>
      <c r="AB4" s="24"/>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45709888</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300</v>
      </c>
      <c r="F5" s="26">
        <v>30</v>
      </c>
      <c r="H5" s="27">
        <f>IF(ISBLANK(P5),"·",P5/(C5*D5*3))</f>
        <v>4.8821852939935122E-2</v>
      </c>
      <c r="I5" s="56">
        <f>IF(OR(ISBLANK(P5),ISBLANK(F5)),"·",P5*F5/E5/1000000)</f>
        <v>31.947249600000003</v>
      </c>
      <c r="J5" s="28">
        <f>IF(ISBLANK(P5),"·",P5/C5)</f>
        <v>1.4646555881980536</v>
      </c>
      <c r="K5" s="28">
        <f>IF(AZ5="","·",AZ5/C5)</f>
        <v>0.24139521450185031</v>
      </c>
      <c r="L5" s="28">
        <f>IF(Q5="","·",Q5/C5)</f>
        <v>0.22668438684206649</v>
      </c>
      <c r="M5" s="28">
        <f>IF(ISBLANK(S5),"·",S5/C5)</f>
        <v>1.2232592000370144</v>
      </c>
      <c r="N5" s="28">
        <f>IF(ISBLANK(P5),"·",P5/O5)</f>
        <v>9.9903932613608681</v>
      </c>
      <c r="O5" s="29">
        <v>31977970</v>
      </c>
      <c r="P5" s="30">
        <v>319472496</v>
      </c>
      <c r="Q5" s="30">
        <v>49444680</v>
      </c>
      <c r="R5" s="30">
        <v>3208744</v>
      </c>
      <c r="S5" s="30">
        <v>266818816</v>
      </c>
      <c r="T5" s="51" t="s">
        <v>1476</v>
      </c>
      <c r="U5" s="51" t="s">
        <v>1476</v>
      </c>
      <c r="V5" s="51" t="s">
        <v>1476</v>
      </c>
      <c r="W5" s="51" t="s">
        <v>1476</v>
      </c>
      <c r="X5" s="51" t="s">
        <v>1476</v>
      </c>
      <c r="Y5" s="31"/>
      <c r="Z5" s="31"/>
      <c r="AA5" s="31"/>
      <c r="AB5" s="31"/>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52653424</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300</v>
      </c>
      <c r="F6" s="19">
        <v>30</v>
      </c>
      <c r="H6" s="20">
        <f>IF(ISBLANK(P6),"·",P6/(C6*D6*3))</f>
        <v>4.0289431349406407E-2</v>
      </c>
      <c r="I6" s="55">
        <f>IF(OR(ISBLANK(P6),ISBLANK(F6)),"·",P6*F6/E6/1000000)</f>
        <v>38.990867200000004</v>
      </c>
      <c r="J6" s="21">
        <f>IF(ISBLANK(P6),"·",P6/C6)</f>
        <v>1.2086829404821922</v>
      </c>
      <c r="K6" s="21">
        <f>IF(AZ6="","·",AZ6/C6)</f>
        <v>0.23594064862032918</v>
      </c>
      <c r="L6" s="21">
        <f>IF(Q6="","·",Q6/C6)</f>
        <v>0.22266037356232549</v>
      </c>
      <c r="M6" s="21">
        <f>IF(ISBLANK(S6),"·",S6/C6)</f>
        <v>0.97274149828414858</v>
      </c>
      <c r="N6" s="21">
        <f>IF(ISBLANK(P6),"·",P6/O6)</f>
        <v>8.2247962536095276</v>
      </c>
      <c r="O6" s="22">
        <v>47406484</v>
      </c>
      <c r="P6" s="23">
        <v>389908672</v>
      </c>
      <c r="Q6" s="23">
        <v>71827944</v>
      </c>
      <c r="R6" s="23">
        <v>4284080</v>
      </c>
      <c r="S6" s="23">
        <v>313796392</v>
      </c>
      <c r="T6" s="49" t="s">
        <v>1476</v>
      </c>
      <c r="U6" s="49" t="s">
        <v>1476</v>
      </c>
      <c r="V6" s="49" t="s">
        <v>1476</v>
      </c>
      <c r="W6" s="49" t="s">
        <v>1476</v>
      </c>
      <c r="X6" s="49" t="s">
        <v>1476</v>
      </c>
      <c r="Y6" s="24"/>
      <c r="Z6" s="24"/>
      <c r="AA6" s="24"/>
      <c r="AB6" s="24"/>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76112024</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250</v>
      </c>
      <c r="F7" s="33">
        <v>50</v>
      </c>
      <c r="H7" s="34">
        <f>IF(ISBLANK(P7),"·",P7/(C7*D7*3))</f>
        <v>4.0066522616452979E-2</v>
      </c>
      <c r="I7" s="57">
        <f>IF(OR(ISBLANK(P7),ISBLANK(F7)),"·",P7*F7/E7/1000000)</f>
        <v>60.244718399999996</v>
      </c>
      <c r="J7" s="35">
        <f>IF(ISBLANK(P7),"·",P7/C7)</f>
        <v>1.2019956784935892</v>
      </c>
      <c r="K7" s="35">
        <f>IF(AZ7="","·",AZ7/C7)</f>
        <v>0.23365696926457244</v>
      </c>
      <c r="L7" s="35">
        <f>IF(Q7="","·",Q7/C7)</f>
        <v>0.2168199089131817</v>
      </c>
      <c r="M7" s="35">
        <f>IF(ISBLANK(S7),"·",S7/C7)</f>
        <v>0.96833768769251749</v>
      </c>
      <c r="N7" s="35">
        <f>IF(ISBLANK(P7),"·",P7/O7)</f>
        <v>7.8843493187338067</v>
      </c>
      <c r="O7" s="36">
        <v>38205257</v>
      </c>
      <c r="P7" s="37">
        <v>301223592</v>
      </c>
      <c r="Q7" s="37">
        <v>54335696</v>
      </c>
      <c r="R7" s="37">
        <v>4219416</v>
      </c>
      <c r="S7" s="37">
        <v>242668224</v>
      </c>
      <c r="T7" s="53" t="s">
        <v>1476</v>
      </c>
      <c r="U7" s="53" t="s">
        <v>1476</v>
      </c>
      <c r="V7" s="53" t="s">
        <v>1476</v>
      </c>
      <c r="W7" s="53" t="s">
        <v>1476</v>
      </c>
      <c r="X7" s="53" t="s">
        <v>1476</v>
      </c>
      <c r="Y7" s="38"/>
      <c r="Z7" s="38"/>
      <c r="AA7" s="38"/>
      <c r="AB7" s="38"/>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58555112</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300</v>
      </c>
      <c r="F8" s="40">
        <v>30</v>
      </c>
      <c r="H8" s="41">
        <f>IF(ISBLANK(P8),"·",P8/(C8*D8*3))</f>
        <v>5.6079328157410936E-2</v>
      </c>
      <c r="I8" s="58">
        <f>IF(OR(ISBLANK(P8),ISBLANK(F8)),"·",P8*F8/E8/1000000)</f>
        <v>42.109056000000002</v>
      </c>
      <c r="J8" s="42">
        <f>IF(ISBLANK(P8),"·",P8/C8)</f>
        <v>1.6823798447223279</v>
      </c>
      <c r="K8" s="42">
        <f>IF(AZ8="","·",AZ8/C8)</f>
        <v>0.21268778402882088</v>
      </c>
      <c r="L8" s="42">
        <f>IF(Q8="","·",Q8/C8)</f>
        <v>0.20148351433352241</v>
      </c>
      <c r="M8" s="42">
        <f>IF(ISBLANK(S8),"·",S8/C8)</f>
        <v>1.4696910378986949</v>
      </c>
      <c r="N8" s="42">
        <f>IF(ISBLANK(P8),"·",P8/O8)</f>
        <v>11.762960665297355</v>
      </c>
      <c r="O8" s="43">
        <v>35798008</v>
      </c>
      <c r="P8" s="44">
        <v>421090560</v>
      </c>
      <c r="Q8" s="44">
        <v>50430232</v>
      </c>
      <c r="R8" s="44">
        <v>2804368</v>
      </c>
      <c r="S8" s="44">
        <v>367855704</v>
      </c>
      <c r="T8" s="59" t="s">
        <v>1476</v>
      </c>
      <c r="U8" s="59" t="s">
        <v>1476</v>
      </c>
      <c r="V8" s="59" t="s">
        <v>1476</v>
      </c>
      <c r="W8" s="59" t="s">
        <v>1476</v>
      </c>
      <c r="X8" s="59" t="s">
        <v>1476</v>
      </c>
      <c r="Y8" s="45"/>
      <c r="Z8" s="45"/>
      <c r="AA8" s="45"/>
      <c r="AB8" s="45"/>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53234600</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1.2230733903472162</v>
      </c>
      <c r="AF9" s="47" t="e">
        <f>AVERAGE(AF4:AF7)</f>
        <v>#DIV/0!</v>
      </c>
      <c r="BB9" s="6" t="e">
        <f t="shared" si="0"/>
        <v>#DIV/0!</v>
      </c>
      <c r="BD9" s="6" t="e">
        <f>AVERAGE(BD4:BD7)</f>
        <v>#VALUE!</v>
      </c>
    </row>
    <row r="10" spans="1:56" x14ac:dyDescent="0.25">
      <c r="B10" s="46" t="s">
        <v>572</v>
      </c>
      <c r="J10" s="47">
        <f>AVERAGE(J8:J8)</f>
        <v>1.6823798447223279</v>
      </c>
      <c r="AF10" s="47" t="e">
        <f>AVERAGE(AF8:AF8)</f>
        <v>#DIV/0!</v>
      </c>
      <c r="BB10" s="6" t="e">
        <f t="shared" si="0"/>
        <v>#DIV/0!</v>
      </c>
      <c r="BD10" s="6" t="e">
        <f>AVERAGE(BD8:BD8)</f>
        <v>#VALUE!</v>
      </c>
    </row>
    <row r="11" spans="1:56" collapsed="1" x14ac:dyDescent="0.25">
      <c r="B11" s="46" t="s">
        <v>258</v>
      </c>
      <c r="J11" s="47">
        <f>AVERAGE(J4:J7,J8:J8)</f>
        <v>1.3149346812222384</v>
      </c>
      <c r="AF11" s="47" t="e">
        <f>AVERAGE(AF4:AF7,AF8:AF8)</f>
        <v>#DIV/0!</v>
      </c>
      <c r="BB11" s="6" t="e">
        <f t="shared" si="0"/>
        <v>#DIV/0!</v>
      </c>
      <c r="BD11" s="6" t="e">
        <f>AVERAGE(BD4:BD7,BD8:BD8)</f>
        <v>#VALUE!</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51" x14ac:dyDescent="0.25">
      <c r="B17" s="5"/>
    </row>
    <row r="20" spans="2:51" x14ac:dyDescent="0.2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5"/>
  <sheetViews>
    <sheetView zoomScale="60" zoomScaleNormal="60" workbookViewId="0">
      <pane xSplit="2" topLeftCell="AB1" activePane="topRight" state="frozen"/>
      <selection pane="topRight" activeCell="AS36" sqref="AS36"/>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1.5703125" customWidth="1"/>
    <col min="33" max="36" width="10.7109375" customWidth="1"/>
    <col min="37" max="37" width="12.7109375" customWidth="1"/>
    <col min="38" max="38" width="10.7109375" customWidth="1"/>
    <col min="41" max="44" width="12.7109375" customWidth="1"/>
    <col min="45" max="49" width="11.7109375" customWidth="1"/>
    <col min="54" max="54" width="5.28515625" customWidth="1"/>
    <col min="55" max="55" width="1.28515625" style="5" hidden="1" customWidth="1"/>
    <col min="56" max="56" width="1.7109375" style="5" hidden="1" customWidth="1"/>
    <col min="60" max="60" width="1.7109375" customWidth="1"/>
    <col min="63" max="65" width="11.7109375" customWidth="1"/>
    <col min="66" max="66" width="10.28515625" customWidth="1"/>
    <col min="69" max="71" width="11.7109375" customWidth="1"/>
    <col min="72" max="72" width="1.7109375" customWidth="1"/>
  </cols>
  <sheetData>
    <row r="1" spans="1:71" x14ac:dyDescent="0.25">
      <c r="A1" s="74" t="s">
        <v>723</v>
      </c>
      <c r="B1" s="74"/>
      <c r="C1" s="74"/>
      <c r="D1" s="74"/>
      <c r="E1" s="74"/>
      <c r="F1" s="74"/>
      <c r="G1" s="74"/>
      <c r="I1" s="71" t="s">
        <v>1477</v>
      </c>
      <c r="J1" s="71"/>
      <c r="K1" s="71"/>
      <c r="L1" s="71"/>
      <c r="M1" s="71"/>
      <c r="N1" s="71"/>
      <c r="O1" s="71"/>
      <c r="P1" s="71"/>
      <c r="Q1" s="71"/>
      <c r="R1" s="71"/>
      <c r="S1" s="71"/>
      <c r="T1" s="71"/>
      <c r="U1" s="71"/>
      <c r="V1" s="71"/>
      <c r="W1" s="71"/>
      <c r="X1" s="71"/>
      <c r="Y1" s="71"/>
      <c r="Z1" s="71"/>
      <c r="AA1" s="71"/>
      <c r="AB1" s="71"/>
      <c r="AC1" s="71"/>
      <c r="AD1" s="71"/>
      <c r="AF1" s="72" t="s">
        <v>1479</v>
      </c>
      <c r="AG1" s="72"/>
      <c r="AH1" s="72"/>
      <c r="AI1" s="72"/>
      <c r="AJ1" s="72"/>
      <c r="AK1" s="72"/>
      <c r="AL1" s="72"/>
      <c r="AM1" s="72"/>
      <c r="AN1" s="72"/>
      <c r="AO1" s="72"/>
      <c r="AP1" s="72"/>
      <c r="AQ1" s="72"/>
      <c r="AR1" s="72"/>
      <c r="AS1" s="72"/>
      <c r="AT1" s="72"/>
      <c r="AU1" s="72"/>
      <c r="AV1" s="72"/>
      <c r="AW1" s="72"/>
      <c r="AX1" s="72"/>
      <c r="AY1" s="72"/>
      <c r="AZ1" s="72"/>
      <c r="BA1" s="72"/>
    </row>
    <row r="2" spans="1:71" ht="30" customHeight="1" thickBot="1" x14ac:dyDescent="0.3">
      <c r="A2" s="73" t="s">
        <v>97</v>
      </c>
      <c r="B2" s="76" t="s">
        <v>99</v>
      </c>
      <c r="C2" s="73" t="s">
        <v>275</v>
      </c>
      <c r="D2" s="76" t="s">
        <v>101</v>
      </c>
      <c r="E2" s="73" t="s">
        <v>103</v>
      </c>
      <c r="F2" s="76" t="s">
        <v>513</v>
      </c>
      <c r="G2" s="73" t="s">
        <v>515</v>
      </c>
      <c r="I2" s="76" t="s">
        <v>518</v>
      </c>
      <c r="J2" s="77" t="s">
        <v>107</v>
      </c>
      <c r="K2" s="77"/>
      <c r="L2" s="77"/>
      <c r="M2" s="77"/>
      <c r="N2" s="76" t="s">
        <v>112</v>
      </c>
      <c r="O2" s="73" t="s">
        <v>26</v>
      </c>
      <c r="P2" s="76" t="s">
        <v>28</v>
      </c>
      <c r="Q2" s="73" t="s">
        <v>24</v>
      </c>
      <c r="R2" s="75" t="s">
        <v>115</v>
      </c>
      <c r="S2" s="75"/>
      <c r="T2" s="75"/>
      <c r="U2" s="75"/>
      <c r="V2" s="77" t="s">
        <v>374</v>
      </c>
      <c r="W2" s="77"/>
      <c r="X2" s="75" t="s">
        <v>284</v>
      </c>
      <c r="Y2" s="75"/>
      <c r="Z2" s="75"/>
      <c r="AA2" s="77" t="s">
        <v>528</v>
      </c>
      <c r="AB2" s="77"/>
      <c r="AC2" s="75" t="s">
        <v>533</v>
      </c>
      <c r="AD2" s="75"/>
      <c r="AF2" s="73" t="s">
        <v>518</v>
      </c>
      <c r="AG2" s="75" t="s">
        <v>107</v>
      </c>
      <c r="AH2" s="75"/>
      <c r="AI2" s="75"/>
      <c r="AJ2" s="75"/>
      <c r="AK2" s="73" t="s">
        <v>112</v>
      </c>
      <c r="AL2" s="76" t="s">
        <v>26</v>
      </c>
      <c r="AM2" s="73" t="s">
        <v>28</v>
      </c>
      <c r="AN2" s="76" t="s">
        <v>24</v>
      </c>
      <c r="AO2" s="77" t="s">
        <v>115</v>
      </c>
      <c r="AP2" s="77"/>
      <c r="AQ2" s="77"/>
      <c r="AR2" s="77"/>
      <c r="AS2" s="75" t="s">
        <v>374</v>
      </c>
      <c r="AT2" s="75"/>
      <c r="AU2" s="77" t="s">
        <v>284</v>
      </c>
      <c r="AV2" s="77"/>
      <c r="AW2" s="77"/>
      <c r="AX2" s="75" t="s">
        <v>528</v>
      </c>
      <c r="AY2" s="75"/>
      <c r="AZ2" s="77" t="s">
        <v>533</v>
      </c>
      <c r="BA2" s="77"/>
      <c r="BC2" s="76" t="s">
        <v>115</v>
      </c>
      <c r="BD2" s="76"/>
      <c r="BE2" s="76" t="s">
        <v>708</v>
      </c>
      <c r="BF2" s="73" t="s">
        <v>133</v>
      </c>
      <c r="BG2" s="76" t="s">
        <v>133</v>
      </c>
      <c r="BI2" s="77" t="s">
        <v>409</v>
      </c>
      <c r="BJ2" s="77"/>
      <c r="BK2" s="75" t="s">
        <v>412</v>
      </c>
      <c r="BL2" s="75"/>
      <c r="BM2" s="75"/>
      <c r="BO2" s="77" t="s">
        <v>717</v>
      </c>
      <c r="BP2" s="77"/>
      <c r="BQ2" s="75" t="s">
        <v>301</v>
      </c>
      <c r="BR2" s="75"/>
      <c r="BS2" s="75"/>
    </row>
    <row r="3" spans="1:71" ht="30" customHeight="1" thickBot="1" x14ac:dyDescent="0.3">
      <c r="A3" s="73"/>
      <c r="B3" s="76"/>
      <c r="C3" s="73"/>
      <c r="D3" s="76"/>
      <c r="E3" s="73"/>
      <c r="F3" s="76"/>
      <c r="G3" s="73"/>
      <c r="I3" s="76"/>
      <c r="J3" s="16" t="s">
        <v>108</v>
      </c>
      <c r="K3" s="16" t="s">
        <v>587</v>
      </c>
      <c r="L3" s="16" t="s">
        <v>110</v>
      </c>
      <c r="M3" s="16" t="s">
        <v>366</v>
      </c>
      <c r="N3" s="76"/>
      <c r="O3" s="73"/>
      <c r="P3" s="76"/>
      <c r="Q3" s="73"/>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3"/>
      <c r="AG3" s="17" t="s">
        <v>108</v>
      </c>
      <c r="AH3" s="17" t="s">
        <v>587</v>
      </c>
      <c r="AI3" s="17" t="s">
        <v>110</v>
      </c>
      <c r="AJ3" s="17" t="s">
        <v>366</v>
      </c>
      <c r="AK3" s="73"/>
      <c r="AL3" s="76"/>
      <c r="AM3" s="73"/>
      <c r="AN3" s="76"/>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6"/>
      <c r="BF3" s="73"/>
      <c r="BG3" s="76"/>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0.24825120000000001</v>
      </c>
      <c r="J4" s="21">
        <f t="shared" ref="J4:J28" si="1">IF(ISBLANK(R4),"·",R4/D4)</f>
        <v>1.0424310818130349E-2</v>
      </c>
      <c r="K4" s="21">
        <f t="shared" ref="K4:K28" si="2">IF(BC4="","·",BC4/D4)</f>
        <v>6.3327434594631334E-3</v>
      </c>
      <c r="L4" s="21">
        <f t="shared" ref="L4:L28" si="3">IF(S4="","·",S4/D4)</f>
        <v>3.5987612342191656E-3</v>
      </c>
      <c r="M4" s="21">
        <f t="shared" ref="M4:M28" si="4">IF(ISBLANK(U4),"·",U4/D4)</f>
        <v>4.0904587968330786E-3</v>
      </c>
      <c r="N4" s="21">
        <f t="shared" ref="N4:N28" si="5">IF(ISBLANK(R4),"·",R4/O4)</f>
        <v>6.4659526587764624E-2</v>
      </c>
      <c r="O4" s="5">
        <v>38393600</v>
      </c>
      <c r="P4" s="5">
        <v>1199800</v>
      </c>
      <c r="Q4" s="5">
        <v>508250.65625</v>
      </c>
      <c r="R4" s="5">
        <v>2482512</v>
      </c>
      <c r="S4" s="5">
        <v>857032</v>
      </c>
      <c r="T4" s="5">
        <v>651088</v>
      </c>
      <c r="U4" s="5">
        <v>974128</v>
      </c>
      <c r="V4" s="5">
        <v>66.253784374999995</v>
      </c>
      <c r="W4" s="5">
        <v>68.155709375000001</v>
      </c>
      <c r="X4" s="5">
        <v>32.218981249999999</v>
      </c>
      <c r="Y4" s="5">
        <v>44.237709375000001</v>
      </c>
      <c r="Z4" s="5">
        <v>43.960390625000002</v>
      </c>
      <c r="AA4" s="5"/>
      <c r="AB4" s="5"/>
      <c r="AC4" s="5"/>
      <c r="AD4" s="5"/>
      <c r="AF4" s="55">
        <f t="shared" ref="AF4:AF28" si="6">IF(OR(ISBLANK(AO4),ISBLANK(G4)),"·",AO4*G4/F4/1000000)</f>
        <v>0.2440416</v>
      </c>
      <c r="AG4" s="21">
        <f t="shared" ref="AG4:AG28" si="7">IF(ISBLANK(AO4),"·",AO4/D4)</f>
        <v>1.0247545594759822E-2</v>
      </c>
      <c r="AH4" s="21">
        <f t="shared" ref="AH4:AH28" si="8">IF(BD4="","·",BD4/D4)</f>
        <v>6.207946271165621E-3</v>
      </c>
      <c r="AI4" s="21">
        <f t="shared" ref="AI4:AI28" si="9">IF(AP4="","·",AP4/D4)</f>
        <v>3.4868300817542095E-3</v>
      </c>
      <c r="AJ4" s="21">
        <f t="shared" ref="AJ4:AJ28" si="10">IF(ISBLANK(AR4),"·",AR4/D4)</f>
        <v>4.0384907617600635E-3</v>
      </c>
      <c r="AK4" s="21">
        <f t="shared" ref="AK4:AK28" si="11">IF(ISBLANK(AO4),"·",AO4/AL4)</f>
        <v>6.3563093848974836E-2</v>
      </c>
      <c r="AL4" s="5">
        <v>38393600</v>
      </c>
      <c r="AM4" s="5">
        <v>1199800</v>
      </c>
      <c r="AN4" s="5">
        <v>544389.625</v>
      </c>
      <c r="AO4" s="5">
        <v>2440416</v>
      </c>
      <c r="AP4" s="5">
        <v>830376</v>
      </c>
      <c r="AQ4" s="5">
        <v>648024</v>
      </c>
      <c r="AR4" s="5">
        <v>961752</v>
      </c>
      <c r="AS4" s="5">
        <v>66.048556249999905</v>
      </c>
      <c r="AT4" s="5">
        <v>68.212106250000005</v>
      </c>
      <c r="AU4" s="5">
        <v>32.214896875000001</v>
      </c>
      <c r="AV4" s="5">
        <v>44.25016875</v>
      </c>
      <c r="AW4" s="5">
        <v>44.090990624999897</v>
      </c>
      <c r="AX4" s="5"/>
      <c r="AY4" s="5"/>
      <c r="AZ4" s="5"/>
      <c r="BA4" s="5"/>
      <c r="BC4" s="18">
        <f t="shared" ref="BC4:BC28" si="12">IF(OR(ISBLANK(S4),ISBLANK(T4)),"",S4+T4)</f>
        <v>1508120</v>
      </c>
      <c r="BD4" s="18">
        <f t="shared" ref="BD4:BD28" si="13">IF(OR(ISBLANK(AP4),ISBLANK(AQ4)),"",AP4+AQ4)</f>
        <v>1478400</v>
      </c>
      <c r="BE4" s="20">
        <f t="shared" ref="BE4:BE28" si="14">(AN4/AM4) - (Q4/P4)</f>
        <v>3.0120827429571562E-2</v>
      </c>
      <c r="BF4" s="20">
        <f t="shared" ref="BF4:BF28" si="15">(BD4/AO4) - (BC4/R4)</f>
        <v>-1.6992112903648771E-3</v>
      </c>
      <c r="BG4" s="20">
        <f t="array" ref="BG4">AVERAGE(BD4:BD8/AO4:AO8) - AVERAGE(BC4:BC8/R4:R8)</f>
        <v>-3.3066907780706645E-3</v>
      </c>
      <c r="BI4" s="50">
        <f>bdRateExtend( R4:R8,V4:V8, AO4:AO8,AS4:AS8)</f>
        <v>-2.1355175286776884E-2</v>
      </c>
      <c r="BJ4" s="50">
        <f>bdRateExtend( R4:R8,W4:W8, AO4:AO8,AT4:AT8)</f>
        <v>-4.7902500173615081E-2</v>
      </c>
      <c r="BK4" s="50">
        <f>bdRateExtend( R4:R8,X4:X8, AO4:AO8,AU4:AU8)</f>
        <v>-3.0711064390932297E-2</v>
      </c>
      <c r="BL4" s="50">
        <f>bdRateExtend( R4:R8,Y4:Y8, AO4:AO8,AV4:AV8)</f>
        <v>-5.310154778680809E-2</v>
      </c>
      <c r="BM4" s="50">
        <f>bdRateExtend( R4:R8,Z4:Z8, AO4:AO8,AW4:AW8)</f>
        <v>-5.9294974661733835E-2</v>
      </c>
      <c r="BO4" s="50">
        <f>bdRateExtend( BC4:BC8,V4:V8, BD4:BD8,AS4:AS8)</f>
        <v>-3.5912610494592712E-2</v>
      </c>
      <c r="BP4" s="50">
        <f>bdRateExtend( BC4:BC8,W4:W8, BD4:BD8,AT4:AT8)</f>
        <v>-4.9381270789821463E-2</v>
      </c>
      <c r="BQ4" s="50">
        <f>bdRateExtend( U4:U8,X4:X8, AR4:AR8,AU4:AU8)</f>
        <v>-2.5470335167301128E-2</v>
      </c>
      <c r="BR4" s="50">
        <f>bdRateExtend( U4:U8,Y4:Y8, AR4:AR8,AV4:AV8)</f>
        <v>-5.3998210842818528E-2</v>
      </c>
      <c r="BS4" s="50">
        <f>bdRateExtend( U4:U8,Z4:Z8, AR4:AR8,AW4:AW8)</f>
        <v>-6.2515590214790584E-2</v>
      </c>
    </row>
    <row r="5" spans="1:71" outlineLevel="1" x14ac:dyDescent="0.25">
      <c r="A5" s="25"/>
      <c r="B5" s="25"/>
      <c r="C5" s="26" t="s">
        <v>311</v>
      </c>
      <c r="D5" s="25">
        <v>238146391</v>
      </c>
      <c r="E5" s="26">
        <v>10</v>
      </c>
      <c r="F5" s="26">
        <v>300</v>
      </c>
      <c r="G5" s="26">
        <v>30</v>
      </c>
      <c r="I5" s="56">
        <f t="shared" si="0"/>
        <v>0.39386720000000003</v>
      </c>
      <c r="J5" s="28">
        <f t="shared" si="1"/>
        <v>1.6538869152965666E-2</v>
      </c>
      <c r="K5" s="28">
        <f t="shared" si="2"/>
        <v>7.9220516090038086E-3</v>
      </c>
      <c r="L5" s="28">
        <f t="shared" si="3"/>
        <v>5.1880693837598408E-3</v>
      </c>
      <c r="M5" s="28">
        <f t="shared" si="4"/>
        <v>8.6157089821277191E-3</v>
      </c>
      <c r="N5" s="28">
        <f t="shared" si="5"/>
        <v>0.10258668111351892</v>
      </c>
      <c r="O5" s="5">
        <v>38393600</v>
      </c>
      <c r="P5" s="5">
        <v>1199800</v>
      </c>
      <c r="Q5" s="5">
        <v>459961.78125</v>
      </c>
      <c r="R5" s="5">
        <v>3938672</v>
      </c>
      <c r="S5" s="5">
        <v>1235520</v>
      </c>
      <c r="T5" s="5">
        <v>651088</v>
      </c>
      <c r="U5" s="5">
        <v>2051800</v>
      </c>
      <c r="V5" s="5">
        <v>67.993778125000006</v>
      </c>
      <c r="W5" s="5">
        <v>70.104934374999999</v>
      </c>
      <c r="X5" s="5">
        <v>34.467840625000001</v>
      </c>
      <c r="Y5" s="5">
        <v>45.477253124999997</v>
      </c>
      <c r="Z5" s="5">
        <v>45.488743749999998</v>
      </c>
      <c r="AA5" s="5"/>
      <c r="AB5" s="5"/>
      <c r="AC5" s="5"/>
      <c r="AD5" s="5"/>
      <c r="AF5" s="56">
        <f t="shared" si="6"/>
        <v>0.38341120000000001</v>
      </c>
      <c r="AG5" s="28">
        <f t="shared" si="7"/>
        <v>1.6099811481081819E-2</v>
      </c>
      <c r="AH5" s="28">
        <f t="shared" si="8"/>
        <v>7.6880106908695503E-3</v>
      </c>
      <c r="AI5" s="28">
        <f t="shared" si="9"/>
        <v>4.9668945014581392E-3</v>
      </c>
      <c r="AJ5" s="28">
        <f t="shared" si="10"/>
        <v>8.4106922283781315E-3</v>
      </c>
      <c r="AK5" s="28">
        <f t="shared" si="11"/>
        <v>9.9863310551758622E-2</v>
      </c>
      <c r="AL5" s="5">
        <v>38393600</v>
      </c>
      <c r="AM5" s="5">
        <v>1199800</v>
      </c>
      <c r="AN5" s="5">
        <v>477362.3125</v>
      </c>
      <c r="AO5" s="5">
        <v>3834112</v>
      </c>
      <c r="AP5" s="5">
        <v>1182848</v>
      </c>
      <c r="AQ5" s="5">
        <v>648024</v>
      </c>
      <c r="AR5" s="5">
        <v>2002976</v>
      </c>
      <c r="AS5" s="5">
        <v>67.838396875000001</v>
      </c>
      <c r="AT5" s="5">
        <v>70.132146875000004</v>
      </c>
      <c r="AU5" s="5">
        <v>34.464862500000002</v>
      </c>
      <c r="AV5" s="5">
        <v>45.527574999999999</v>
      </c>
      <c r="AW5" s="5">
        <v>45.534937499999899</v>
      </c>
      <c r="AX5" s="5"/>
      <c r="AY5" s="5"/>
      <c r="AZ5" s="5"/>
      <c r="BA5" s="5"/>
      <c r="BC5" s="25">
        <f t="shared" si="12"/>
        <v>1886608</v>
      </c>
      <c r="BD5" s="25">
        <f t="shared" si="13"/>
        <v>1830872</v>
      </c>
      <c r="BE5" s="27">
        <f t="shared" si="14"/>
        <v>1.4502859851641958E-2</v>
      </c>
      <c r="BF5" s="27">
        <f t="shared" si="15"/>
        <v>-1.4741827518434669E-3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0.65556480000000006</v>
      </c>
      <c r="J6" s="21">
        <f t="shared" si="1"/>
        <v>2.7527807465282984E-2</v>
      </c>
      <c r="K6" s="21">
        <f t="shared" si="2"/>
        <v>1.023091716724777E-2</v>
      </c>
      <c r="L6" s="21">
        <f t="shared" si="3"/>
        <v>7.4969349420038033E-3</v>
      </c>
      <c r="M6" s="21">
        <f t="shared" si="4"/>
        <v>1.7295781736201075E-2</v>
      </c>
      <c r="N6" s="21">
        <f t="shared" si="5"/>
        <v>0.17074845807634606</v>
      </c>
      <c r="O6" s="5">
        <v>38393600</v>
      </c>
      <c r="P6" s="5">
        <v>1199800</v>
      </c>
      <c r="Q6" s="5">
        <v>407488.78125</v>
      </c>
      <c r="R6" s="5">
        <v>6555648</v>
      </c>
      <c r="S6" s="5">
        <v>1785368</v>
      </c>
      <c r="T6" s="5">
        <v>651088</v>
      </c>
      <c r="U6" s="5">
        <v>4118928</v>
      </c>
      <c r="V6" s="5">
        <v>69.338753124999997</v>
      </c>
      <c r="W6" s="5">
        <v>71.811459374999998</v>
      </c>
      <c r="X6" s="5">
        <v>36.975740625</v>
      </c>
      <c r="Y6" s="5">
        <v>46.691356249999998</v>
      </c>
      <c r="Z6" s="5">
        <v>46.701371875</v>
      </c>
      <c r="AA6" s="5"/>
      <c r="AB6" s="5"/>
      <c r="AC6" s="5"/>
      <c r="AD6" s="5"/>
      <c r="AF6" s="55">
        <f t="shared" si="6"/>
        <v>0.63285360000000002</v>
      </c>
      <c r="AG6" s="21">
        <f t="shared" si="7"/>
        <v>2.6574141952879732E-2</v>
      </c>
      <c r="AH6" s="21">
        <f t="shared" si="8"/>
        <v>9.8326747265298671E-3</v>
      </c>
      <c r="AI6" s="21">
        <f t="shared" si="9"/>
        <v>7.1115585371184569E-3</v>
      </c>
      <c r="AJ6" s="21">
        <f t="shared" si="10"/>
        <v>1.6740358664515727E-2</v>
      </c>
      <c r="AK6" s="21">
        <f t="shared" si="11"/>
        <v>0.16483309718286382</v>
      </c>
      <c r="AL6" s="5">
        <v>38393600</v>
      </c>
      <c r="AM6" s="5">
        <v>1199800</v>
      </c>
      <c r="AN6" s="5">
        <v>423197.90625</v>
      </c>
      <c r="AO6" s="5">
        <v>6328536</v>
      </c>
      <c r="AP6" s="5">
        <v>1693592</v>
      </c>
      <c r="AQ6" s="5">
        <v>648024</v>
      </c>
      <c r="AR6" s="5">
        <v>3986656</v>
      </c>
      <c r="AS6" s="5">
        <v>69.396540625</v>
      </c>
      <c r="AT6" s="5">
        <v>71.884609374999997</v>
      </c>
      <c r="AU6" s="5">
        <v>36.962362499999898</v>
      </c>
      <c r="AV6" s="5">
        <v>46.764559374999997</v>
      </c>
      <c r="AW6" s="5">
        <v>46.776843749999898</v>
      </c>
      <c r="AX6" s="5"/>
      <c r="AY6" s="5"/>
      <c r="AZ6" s="5"/>
      <c r="BA6" s="5"/>
      <c r="BC6" s="18">
        <f t="shared" si="12"/>
        <v>2436456</v>
      </c>
      <c r="BD6" s="18">
        <f t="shared" si="13"/>
        <v>2341616</v>
      </c>
      <c r="BE6" s="20">
        <f t="shared" si="14"/>
        <v>1.3093119686614418E-2</v>
      </c>
      <c r="BF6" s="20">
        <f t="shared" si="15"/>
        <v>-1.6484243875514171E-3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1.1496928</v>
      </c>
      <c r="J7" s="28">
        <f t="shared" si="1"/>
        <v>4.8276725722037082E-2</v>
      </c>
      <c r="K7" s="28">
        <f t="shared" si="2"/>
        <v>1.4129796323472313E-2</v>
      </c>
      <c r="L7" s="28">
        <f t="shared" si="3"/>
        <v>1.1395814098228346E-2</v>
      </c>
      <c r="M7" s="28">
        <f t="shared" si="4"/>
        <v>3.414582083673063E-2</v>
      </c>
      <c r="N7" s="28">
        <f t="shared" si="5"/>
        <v>0.29944907484580763</v>
      </c>
      <c r="O7" s="5">
        <v>38393600</v>
      </c>
      <c r="P7" s="5">
        <v>1199800</v>
      </c>
      <c r="Q7" s="5">
        <v>412398.34375</v>
      </c>
      <c r="R7" s="5">
        <v>11496928</v>
      </c>
      <c r="S7" s="5">
        <v>2713872</v>
      </c>
      <c r="T7" s="5">
        <v>651088</v>
      </c>
      <c r="U7" s="5">
        <v>8131704</v>
      </c>
      <c r="V7" s="5">
        <v>70.602696875000007</v>
      </c>
      <c r="W7" s="5">
        <v>73.491174999999998</v>
      </c>
      <c r="X7" s="5">
        <v>39.564253125</v>
      </c>
      <c r="Y7" s="5">
        <v>48.07433125</v>
      </c>
      <c r="Z7" s="5">
        <v>48.284962499999999</v>
      </c>
      <c r="AA7" s="5"/>
      <c r="AB7" s="5"/>
      <c r="AC7" s="5"/>
      <c r="AD7" s="5"/>
      <c r="AF7" s="56">
        <f t="shared" si="6"/>
        <v>1.1040391999999999</v>
      </c>
      <c r="AG7" s="28">
        <f t="shared" si="7"/>
        <v>4.6359686382986168E-2</v>
      </c>
      <c r="AH7" s="28">
        <f t="shared" si="8"/>
        <v>1.3329347493659898E-2</v>
      </c>
      <c r="AI7" s="28">
        <f t="shared" si="9"/>
        <v>1.0608231304248487E-2</v>
      </c>
      <c r="AJ7" s="28">
        <f t="shared" si="10"/>
        <v>3.3029230327492137E-2</v>
      </c>
      <c r="AK7" s="28">
        <f t="shared" si="11"/>
        <v>0.28755813468911484</v>
      </c>
      <c r="AL7" s="5">
        <v>38393600</v>
      </c>
      <c r="AM7" s="5">
        <v>1199800</v>
      </c>
      <c r="AN7" s="5">
        <v>418038.09375</v>
      </c>
      <c r="AO7" s="5">
        <v>11040392</v>
      </c>
      <c r="AP7" s="5">
        <v>2526312</v>
      </c>
      <c r="AQ7" s="5">
        <v>648024</v>
      </c>
      <c r="AR7" s="5">
        <v>7865792</v>
      </c>
      <c r="AS7" s="5">
        <v>70.644937499999997</v>
      </c>
      <c r="AT7" s="5">
        <v>73.552740624999998</v>
      </c>
      <c r="AU7" s="5">
        <v>39.543996874999898</v>
      </c>
      <c r="AV7" s="5">
        <v>48.127321875</v>
      </c>
      <c r="AW7" s="5">
        <v>48.372599999999899</v>
      </c>
      <c r="AX7" s="5"/>
      <c r="AY7" s="5"/>
      <c r="AZ7" s="5"/>
      <c r="BA7" s="5"/>
      <c r="BC7" s="25">
        <f t="shared" si="12"/>
        <v>3364960</v>
      </c>
      <c r="BD7" s="25">
        <f t="shared" si="13"/>
        <v>3174336</v>
      </c>
      <c r="BE7" s="27">
        <f t="shared" si="14"/>
        <v>4.7005750958493131E-3</v>
      </c>
      <c r="BF7" s="27">
        <f t="shared" si="15"/>
        <v>-5.1631763046284807E-3</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2.1007560000000001</v>
      </c>
      <c r="J8" s="42">
        <f t="shared" si="1"/>
        <v>8.8212800167943764E-2</v>
      </c>
      <c r="K8" s="42">
        <f t="shared" si="2"/>
        <v>2.110033235817544E-2</v>
      </c>
      <c r="L8" s="42">
        <f t="shared" si="3"/>
        <v>1.8366350132931471E-2</v>
      </c>
      <c r="M8" s="42">
        <f t="shared" si="4"/>
        <v>6.7111359247934183E-2</v>
      </c>
      <c r="N8" s="42">
        <f t="shared" si="5"/>
        <v>0.54716306884480748</v>
      </c>
      <c r="O8" s="5">
        <v>38393600</v>
      </c>
      <c r="P8" s="5">
        <v>1199800</v>
      </c>
      <c r="Q8" s="5">
        <v>407011.1875</v>
      </c>
      <c r="R8" s="5">
        <v>21007560</v>
      </c>
      <c r="S8" s="5">
        <v>4373880</v>
      </c>
      <c r="T8" s="5">
        <v>651088</v>
      </c>
      <c r="U8" s="5">
        <v>15982328</v>
      </c>
      <c r="V8" s="5">
        <v>71.649137499999995</v>
      </c>
      <c r="W8" s="5">
        <v>74.861978124999993</v>
      </c>
      <c r="X8" s="5">
        <v>42.194509375000003</v>
      </c>
      <c r="Y8" s="5">
        <v>49.657028124999997</v>
      </c>
      <c r="Z8" s="5">
        <v>49.859425000000002</v>
      </c>
      <c r="AA8" s="5"/>
      <c r="AB8" s="5"/>
      <c r="AC8" s="5"/>
      <c r="AD8" s="5"/>
      <c r="AF8" s="58">
        <f t="shared" si="6"/>
        <v>2.0182728000000001</v>
      </c>
      <c r="AG8" s="42">
        <f t="shared" si="7"/>
        <v>8.4749249884706418E-2</v>
      </c>
      <c r="AH8" s="42">
        <f t="shared" si="8"/>
        <v>1.9716880781955666E-2</v>
      </c>
      <c r="AI8" s="42">
        <f t="shared" si="9"/>
        <v>1.6995764592544257E-2</v>
      </c>
      <c r="AJ8" s="42">
        <f t="shared" si="10"/>
        <v>6.5031260540916611E-2</v>
      </c>
      <c r="AK8" s="42">
        <f t="shared" si="11"/>
        <v>0.52567948824804134</v>
      </c>
      <c r="AL8" s="5">
        <v>38393600</v>
      </c>
      <c r="AM8" s="5">
        <v>1199800</v>
      </c>
      <c r="AN8" s="5">
        <v>408575.125</v>
      </c>
      <c r="AO8" s="5">
        <v>20182728</v>
      </c>
      <c r="AP8" s="5">
        <v>4047480</v>
      </c>
      <c r="AQ8" s="5">
        <v>648024</v>
      </c>
      <c r="AR8" s="5">
        <v>15486960</v>
      </c>
      <c r="AS8" s="5">
        <v>71.676890624999999</v>
      </c>
      <c r="AT8" s="5">
        <v>74.910731249999898</v>
      </c>
      <c r="AU8" s="5">
        <v>42.190406249999903</v>
      </c>
      <c r="AV8" s="5">
        <v>49.706096874999901</v>
      </c>
      <c r="AW8" s="5">
        <v>49.950015624999999</v>
      </c>
      <c r="AX8" s="5"/>
      <c r="AY8" s="5"/>
      <c r="AZ8" s="5"/>
      <c r="BA8" s="5"/>
      <c r="BC8" s="39">
        <f t="shared" si="12"/>
        <v>5024968</v>
      </c>
      <c r="BD8" s="39">
        <f t="shared" si="13"/>
        <v>4695504</v>
      </c>
      <c r="BE8" s="41">
        <f t="shared" si="14"/>
        <v>1.3034984997499777E-3</v>
      </c>
      <c r="BF8" s="41">
        <f t="shared" si="15"/>
        <v>-6.5484591559652472E-3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0.35253040000000002</v>
      </c>
      <c r="J9" s="28">
        <f t="shared" si="1"/>
        <v>1.6162130600741766E-2</v>
      </c>
      <c r="K9" s="28">
        <f t="shared" si="2"/>
        <v>7.7362478983133611E-3</v>
      </c>
      <c r="L9" s="28">
        <f t="shared" si="3"/>
        <v>4.1425034614464553E-3</v>
      </c>
      <c r="M9" s="28">
        <f t="shared" si="4"/>
        <v>8.4246723663896975E-3</v>
      </c>
      <c r="N9" s="28">
        <f t="shared" si="5"/>
        <v>0.10264380656714638</v>
      </c>
      <c r="O9" s="5">
        <v>34345024</v>
      </c>
      <c r="P9" s="5">
        <v>1073282</v>
      </c>
      <c r="Q9" s="5">
        <v>431987.0625</v>
      </c>
      <c r="R9" s="5">
        <v>3525304</v>
      </c>
      <c r="S9" s="5">
        <v>903568</v>
      </c>
      <c r="T9" s="5">
        <v>783872</v>
      </c>
      <c r="U9" s="5">
        <v>1837600</v>
      </c>
      <c r="V9" s="5">
        <v>65.833606250000003</v>
      </c>
      <c r="W9" s="5">
        <v>67.816337500000003</v>
      </c>
      <c r="X9" s="5">
        <v>32.592378125000003</v>
      </c>
      <c r="Y9" s="5">
        <v>39.333868750000001</v>
      </c>
      <c r="Z9" s="5">
        <v>32.276715625000001</v>
      </c>
      <c r="AA9" s="5"/>
      <c r="AB9" s="5"/>
      <c r="AC9" s="5"/>
      <c r="AD9" s="5"/>
      <c r="AF9" s="56">
        <f t="shared" si="6"/>
        <v>0.34682079999999998</v>
      </c>
      <c r="AG9" s="28">
        <f t="shared" si="7"/>
        <v>1.5900367924734263E-2</v>
      </c>
      <c r="AH9" s="28">
        <f t="shared" si="8"/>
        <v>7.5446480357011722E-3</v>
      </c>
      <c r="AI9" s="28">
        <f t="shared" si="9"/>
        <v>3.9974831978996338E-3</v>
      </c>
      <c r="AJ9" s="28">
        <f t="shared" si="10"/>
        <v>8.3545095529943842E-3</v>
      </c>
      <c r="AK9" s="28">
        <f t="shared" si="11"/>
        <v>0.10098138233940381</v>
      </c>
      <c r="AL9" s="5">
        <v>34345024</v>
      </c>
      <c r="AM9" s="5">
        <v>1073282</v>
      </c>
      <c r="AN9" s="5">
        <v>461513.90625</v>
      </c>
      <c r="AO9" s="5">
        <v>3468208</v>
      </c>
      <c r="AP9" s="5">
        <v>871936</v>
      </c>
      <c r="AQ9" s="5">
        <v>773712</v>
      </c>
      <c r="AR9" s="5">
        <v>1822296</v>
      </c>
      <c r="AS9" s="5">
        <v>65.649331249999904</v>
      </c>
      <c r="AT9" s="5">
        <v>67.886368750000003</v>
      </c>
      <c r="AU9" s="5">
        <v>32.588818749999902</v>
      </c>
      <c r="AV9" s="5">
        <v>39.3578187499999</v>
      </c>
      <c r="AW9" s="5">
        <v>32.310524999999998</v>
      </c>
      <c r="AX9" s="5"/>
      <c r="AY9" s="5"/>
      <c r="AZ9" s="5"/>
      <c r="BA9" s="5"/>
      <c r="BC9" s="25">
        <f t="shared" si="12"/>
        <v>1687440</v>
      </c>
      <c r="BD9" s="25">
        <f t="shared" si="13"/>
        <v>1645648</v>
      </c>
      <c r="BE9" s="27">
        <f t="shared" si="14"/>
        <v>2.7510797488451311E-2</v>
      </c>
      <c r="BF9" s="27">
        <f t="shared" si="15"/>
        <v>-4.1699163705917752E-3</v>
      </c>
      <c r="BG9" s="27">
        <f t="array" ref="BG9">AVERAGE(BD9:BD13/AO9:AO13) - AVERAGE(BC9:BC13/R9:R13)</f>
        <v>-2.8484906204632177E-3</v>
      </c>
      <c r="BI9" s="52">
        <f>bdRateExtend( R9:R13,V9:V13, AO9:AO13,AS9:AS13)</f>
        <v>-2.495406349487872E-2</v>
      </c>
      <c r="BJ9" s="52">
        <f>bdRateExtend( R9:R13,W9:W13, AO9:AO13,AT9:AT13)</f>
        <v>-5.3331526363021076E-2</v>
      </c>
      <c r="BK9" s="52">
        <f>bdRateExtend( R9:R13,X9:X13, AO9:AO13,AU9:AU13)</f>
        <v>-3.0222741085191851E-2</v>
      </c>
      <c r="BL9" s="52">
        <f>bdRateExtend( R9:R13,Y9:Y13, AO9:AO13,AV9:AV13)</f>
        <v>-4.4422489859462844E-2</v>
      </c>
      <c r="BM9" s="52">
        <f>bdRateExtend( R9:R13,Z9:Z13, AO9:AO13,AW9:AW13)</f>
        <v>-4.2851973096043827E-2</v>
      </c>
      <c r="BO9" s="52">
        <f>bdRateExtend( BC9:BC13,V9:V13, BD9:BD13,AS9:AS13)</f>
        <v>-3.6490192334697302E-2</v>
      </c>
      <c r="BP9" s="52">
        <f>bdRateExtend( BC9:BC13,W9:W13, BD9:BD13,AT9:AT13)</f>
        <v>-5.2590731723151651E-2</v>
      </c>
      <c r="BQ9" s="52">
        <f>bdRateExtend( U9:U13,X9:X13, AR9:AR13,AU9:AU13)</f>
        <v>-2.5751684917232787E-2</v>
      </c>
      <c r="BR9" s="52">
        <f>bdRateExtend( U9:U13,Y9:Y13, AR9:AR13,AV9:AV13)</f>
        <v>-4.2747224743792556E-2</v>
      </c>
      <c r="BS9" s="52">
        <f>bdRateExtend( U9:U13,Z9:Z13, AR9:AR13,AW9:AW13)</f>
        <v>-4.0551413477505127E-2</v>
      </c>
    </row>
    <row r="10" spans="1:71" outlineLevel="1" x14ac:dyDescent="0.25">
      <c r="A10" s="18"/>
      <c r="B10" s="18"/>
      <c r="C10" s="19" t="s">
        <v>311</v>
      </c>
      <c r="D10" s="18">
        <v>218121242</v>
      </c>
      <c r="E10" s="19">
        <v>10</v>
      </c>
      <c r="F10" s="19">
        <v>300</v>
      </c>
      <c r="G10" s="19">
        <v>30</v>
      </c>
      <c r="I10" s="55">
        <f t="shared" si="0"/>
        <v>0.5215592</v>
      </c>
      <c r="J10" s="21">
        <f t="shared" si="1"/>
        <v>2.3911435457533291E-2</v>
      </c>
      <c r="K10" s="21">
        <f t="shared" si="2"/>
        <v>9.6859525492707394E-3</v>
      </c>
      <c r="L10" s="21">
        <f t="shared" si="3"/>
        <v>6.0922081124038345E-3</v>
      </c>
      <c r="M10" s="21">
        <f t="shared" si="4"/>
        <v>1.4224272572223846E-2</v>
      </c>
      <c r="N10" s="21">
        <f t="shared" si="5"/>
        <v>0.15185873796448651</v>
      </c>
      <c r="O10" s="5">
        <v>34345024</v>
      </c>
      <c r="P10" s="5">
        <v>1073282</v>
      </c>
      <c r="Q10" s="5">
        <v>388048.84375</v>
      </c>
      <c r="R10" s="5">
        <v>5215592</v>
      </c>
      <c r="S10" s="5">
        <v>1328840</v>
      </c>
      <c r="T10" s="5">
        <v>783872</v>
      </c>
      <c r="U10" s="5">
        <v>3102616</v>
      </c>
      <c r="V10" s="5">
        <v>67.505971875</v>
      </c>
      <c r="W10" s="5">
        <v>69.678178125000002</v>
      </c>
      <c r="X10" s="5">
        <v>34.433678125</v>
      </c>
      <c r="Y10" s="5">
        <v>40.212687500000001</v>
      </c>
      <c r="Z10" s="5">
        <v>34.021746874999998</v>
      </c>
      <c r="AA10" s="5"/>
      <c r="AB10" s="5"/>
      <c r="AC10" s="5"/>
      <c r="AD10" s="5"/>
      <c r="AF10" s="55">
        <f t="shared" si="6"/>
        <v>0.50783840000000002</v>
      </c>
      <c r="AG10" s="21">
        <f t="shared" si="7"/>
        <v>2.3282390809052884E-2</v>
      </c>
      <c r="AH10" s="21">
        <f t="shared" si="8"/>
        <v>9.3390995820572115E-3</v>
      </c>
      <c r="AI10" s="21">
        <f t="shared" si="9"/>
        <v>5.7919347442556739E-3</v>
      </c>
      <c r="AJ10" s="21">
        <f t="shared" si="10"/>
        <v>1.3942080890956965E-2</v>
      </c>
      <c r="AK10" s="21">
        <f t="shared" si="11"/>
        <v>0.1478637487631396</v>
      </c>
      <c r="AL10" s="5">
        <v>34345024</v>
      </c>
      <c r="AM10" s="5">
        <v>1073282</v>
      </c>
      <c r="AN10" s="5">
        <v>416073.53125</v>
      </c>
      <c r="AO10" s="5">
        <v>5078384</v>
      </c>
      <c r="AP10" s="5">
        <v>1263344</v>
      </c>
      <c r="AQ10" s="5">
        <v>773712</v>
      </c>
      <c r="AR10" s="5">
        <v>3041064</v>
      </c>
      <c r="AS10" s="5">
        <v>67.329671875000003</v>
      </c>
      <c r="AT10" s="5">
        <v>69.729556250000002</v>
      </c>
      <c r="AU10" s="5">
        <v>34.428449999999998</v>
      </c>
      <c r="AV10" s="5">
        <v>40.246440624999899</v>
      </c>
      <c r="AW10" s="5">
        <v>34.042553124999998</v>
      </c>
      <c r="AX10" s="5"/>
      <c r="AY10" s="5"/>
      <c r="AZ10" s="5"/>
      <c r="BA10" s="5"/>
      <c r="BC10" s="18">
        <f t="shared" si="12"/>
        <v>2112712</v>
      </c>
      <c r="BD10" s="18">
        <f t="shared" si="13"/>
        <v>2037056</v>
      </c>
      <c r="BE10" s="20">
        <f t="shared" si="14"/>
        <v>2.6111206094949879E-2</v>
      </c>
      <c r="BF10" s="20">
        <f t="shared" si="15"/>
        <v>-3.9532870493982908E-3</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0.82977919999999994</v>
      </c>
      <c r="J11" s="28">
        <f t="shared" si="1"/>
        <v>3.8042108709430512E-2</v>
      </c>
      <c r="K11" s="28">
        <f t="shared" si="2"/>
        <v>1.2542308923768185E-2</v>
      </c>
      <c r="L11" s="28">
        <f t="shared" si="3"/>
        <v>8.9485644869012806E-3</v>
      </c>
      <c r="M11" s="28">
        <f t="shared" si="4"/>
        <v>2.5498589449623618E-2</v>
      </c>
      <c r="N11" s="28">
        <f t="shared" si="5"/>
        <v>0.24160099582402389</v>
      </c>
      <c r="O11" s="5">
        <v>34345024</v>
      </c>
      <c r="P11" s="5">
        <v>1073282</v>
      </c>
      <c r="Q11" s="5">
        <v>360815.21875</v>
      </c>
      <c r="R11" s="5">
        <v>8297792</v>
      </c>
      <c r="S11" s="5">
        <v>1951872</v>
      </c>
      <c r="T11" s="5">
        <v>783872</v>
      </c>
      <c r="U11" s="5">
        <v>5561784</v>
      </c>
      <c r="V11" s="5">
        <v>68.837900000000005</v>
      </c>
      <c r="W11" s="5">
        <v>71.330234375000003</v>
      </c>
      <c r="X11" s="5">
        <v>36.536099999999998</v>
      </c>
      <c r="Y11" s="5">
        <v>41.107121874999997</v>
      </c>
      <c r="Z11" s="5">
        <v>35.785018749999999</v>
      </c>
      <c r="AA11" s="5"/>
      <c r="AB11" s="5"/>
      <c r="AC11" s="5"/>
      <c r="AD11" s="5"/>
      <c r="AF11" s="56">
        <f t="shared" si="6"/>
        <v>0.80194080000000001</v>
      </c>
      <c r="AG11" s="28">
        <f t="shared" si="7"/>
        <v>3.6765827695039444E-2</v>
      </c>
      <c r="AH11" s="28">
        <f t="shared" si="8"/>
        <v>1.2062612407094216E-2</v>
      </c>
      <c r="AI11" s="28">
        <f t="shared" si="9"/>
        <v>8.5154475692926779E-3</v>
      </c>
      <c r="AJ11" s="28">
        <f t="shared" si="10"/>
        <v>2.4702004951906519E-2</v>
      </c>
      <c r="AK11" s="28">
        <f t="shared" si="11"/>
        <v>0.23349548394550546</v>
      </c>
      <c r="AL11" s="5">
        <v>34345024</v>
      </c>
      <c r="AM11" s="5">
        <v>1073282</v>
      </c>
      <c r="AN11" s="5">
        <v>373210.75</v>
      </c>
      <c r="AO11" s="5">
        <v>8019408</v>
      </c>
      <c r="AP11" s="5">
        <v>1857400</v>
      </c>
      <c r="AQ11" s="5">
        <v>773712</v>
      </c>
      <c r="AR11" s="5">
        <v>5388032</v>
      </c>
      <c r="AS11" s="5">
        <v>68.893225000000001</v>
      </c>
      <c r="AT11" s="5">
        <v>71.412806250000003</v>
      </c>
      <c r="AU11" s="5">
        <v>36.526809374999999</v>
      </c>
      <c r="AV11" s="5">
        <v>41.116509375</v>
      </c>
      <c r="AW11" s="5">
        <v>35.822684374999902</v>
      </c>
      <c r="AX11" s="5"/>
      <c r="AY11" s="5"/>
      <c r="AZ11" s="5"/>
      <c r="BA11" s="5"/>
      <c r="BC11" s="25">
        <f t="shared" si="12"/>
        <v>2735744</v>
      </c>
      <c r="BD11" s="25">
        <f t="shared" si="13"/>
        <v>2631112</v>
      </c>
      <c r="BE11" s="27">
        <f t="shared" si="14"/>
        <v>1.1549183951654829E-2</v>
      </c>
      <c r="BF11" s="27">
        <f t="shared" si="15"/>
        <v>-1.6023714992183247E-3</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1.4652936000000001</v>
      </c>
      <c r="J12" s="21">
        <f t="shared" si="1"/>
        <v>6.7177941339615146E-2</v>
      </c>
      <c r="K12" s="21">
        <f t="shared" si="2"/>
        <v>1.7701861426224597E-2</v>
      </c>
      <c r="L12" s="21">
        <f t="shared" si="3"/>
        <v>1.410811698935769E-2</v>
      </c>
      <c r="M12" s="21">
        <f t="shared" si="4"/>
        <v>4.9474869577351845E-2</v>
      </c>
      <c r="N12" s="21">
        <f t="shared" si="5"/>
        <v>0.42663927094649867</v>
      </c>
      <c r="O12" s="5">
        <v>34345024</v>
      </c>
      <c r="P12" s="5">
        <v>1073282</v>
      </c>
      <c r="Q12" s="5">
        <v>365487.5625</v>
      </c>
      <c r="R12" s="5">
        <v>14652936</v>
      </c>
      <c r="S12" s="5">
        <v>3077280</v>
      </c>
      <c r="T12" s="5">
        <v>783872</v>
      </c>
      <c r="U12" s="5">
        <v>10791520</v>
      </c>
      <c r="V12" s="5">
        <v>70.010381249999995</v>
      </c>
      <c r="W12" s="5">
        <v>72.894028125000006</v>
      </c>
      <c r="X12" s="5">
        <v>38.843134374999998</v>
      </c>
      <c r="Y12" s="5">
        <v>42.274128124999997</v>
      </c>
      <c r="Z12" s="5">
        <v>37.822743750000001</v>
      </c>
      <c r="AA12" s="5"/>
      <c r="AB12" s="5"/>
      <c r="AC12" s="5"/>
      <c r="AD12" s="5"/>
      <c r="AF12" s="55">
        <f t="shared" si="6"/>
        <v>1.4063656</v>
      </c>
      <c r="AG12" s="21">
        <f t="shared" si="7"/>
        <v>6.4476324593823839E-2</v>
      </c>
      <c r="AH12" s="21">
        <f t="shared" si="8"/>
        <v>1.6857780408200684E-2</v>
      </c>
      <c r="AI12" s="21">
        <f t="shared" si="9"/>
        <v>1.3310615570399146E-2</v>
      </c>
      <c r="AJ12" s="21">
        <f t="shared" si="10"/>
        <v>4.7617333849584442E-2</v>
      </c>
      <c r="AK12" s="21">
        <f t="shared" si="11"/>
        <v>0.40948161806496336</v>
      </c>
      <c r="AL12" s="5">
        <v>34345024</v>
      </c>
      <c r="AM12" s="5">
        <v>1073282</v>
      </c>
      <c r="AN12" s="5">
        <v>374107.1875</v>
      </c>
      <c r="AO12" s="5">
        <v>14063656</v>
      </c>
      <c r="AP12" s="5">
        <v>2903328</v>
      </c>
      <c r="AQ12" s="5">
        <v>773712</v>
      </c>
      <c r="AR12" s="5">
        <v>10386352</v>
      </c>
      <c r="AS12" s="5">
        <v>70.071868749999993</v>
      </c>
      <c r="AT12" s="5">
        <v>72.979153124999996</v>
      </c>
      <c r="AU12" s="5">
        <v>38.821481249999998</v>
      </c>
      <c r="AV12" s="5">
        <v>42.298181249999999</v>
      </c>
      <c r="AW12" s="5">
        <v>37.863275000000002</v>
      </c>
      <c r="AX12" s="5"/>
      <c r="AY12" s="5"/>
      <c r="AZ12" s="5"/>
      <c r="BA12" s="5"/>
      <c r="BC12" s="18">
        <f t="shared" si="12"/>
        <v>3861152</v>
      </c>
      <c r="BD12" s="18">
        <f t="shared" si="13"/>
        <v>3677040</v>
      </c>
      <c r="BE12" s="20">
        <f t="shared" si="14"/>
        <v>8.0310906173773344E-3</v>
      </c>
      <c r="BF12" s="20">
        <f t="shared" si="15"/>
        <v>-2.0501470692136925E-3</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2.6807032000000004</v>
      </c>
      <c r="J13" s="35">
        <f t="shared" si="1"/>
        <v>0.12289968530437764</v>
      </c>
      <c r="K13" s="35">
        <f t="shared" si="2"/>
        <v>2.6724623179983545E-2</v>
      </c>
      <c r="L13" s="35">
        <f t="shared" si="3"/>
        <v>2.3130878743116638E-2</v>
      </c>
      <c r="M13" s="35">
        <f t="shared" si="4"/>
        <v>9.6173851788355399E-2</v>
      </c>
      <c r="N13" s="35">
        <f t="shared" si="5"/>
        <v>0.7805215684228376</v>
      </c>
      <c r="O13" s="5">
        <v>34345024</v>
      </c>
      <c r="P13" s="5">
        <v>1073282</v>
      </c>
      <c r="Q13" s="5">
        <v>362532.875</v>
      </c>
      <c r="R13" s="5">
        <v>26807032</v>
      </c>
      <c r="S13" s="5">
        <v>5045336</v>
      </c>
      <c r="T13" s="5">
        <v>783872</v>
      </c>
      <c r="U13" s="5">
        <v>20977560</v>
      </c>
      <c r="V13" s="5">
        <v>71.004506250000006</v>
      </c>
      <c r="W13" s="5">
        <v>74.198378125000005</v>
      </c>
      <c r="X13" s="5">
        <v>41.2995375</v>
      </c>
      <c r="Y13" s="5">
        <v>43.623684375000003</v>
      </c>
      <c r="Z13" s="5">
        <v>39.698618750000001</v>
      </c>
      <c r="AA13" s="5"/>
      <c r="AB13" s="5"/>
      <c r="AC13" s="5"/>
      <c r="AD13" s="5"/>
      <c r="AF13" s="57">
        <f t="shared" si="6"/>
        <v>2.5732560000000002</v>
      </c>
      <c r="AG13" s="35">
        <f t="shared" si="7"/>
        <v>0.11797365430369225</v>
      </c>
      <c r="AH13" s="35">
        <f t="shared" si="8"/>
        <v>2.5362444983693978E-2</v>
      </c>
      <c r="AI13" s="35">
        <f t="shared" si="9"/>
        <v>2.181528014589244E-2</v>
      </c>
      <c r="AJ13" s="35">
        <f t="shared" si="10"/>
        <v>9.2609998983959566E-2</v>
      </c>
      <c r="AK13" s="35">
        <f t="shared" si="11"/>
        <v>0.74923692002661002</v>
      </c>
      <c r="AL13" s="5">
        <v>34345024</v>
      </c>
      <c r="AM13" s="5">
        <v>1073282</v>
      </c>
      <c r="AN13" s="5">
        <v>366084</v>
      </c>
      <c r="AO13" s="5">
        <v>25732560</v>
      </c>
      <c r="AP13" s="5">
        <v>4758376</v>
      </c>
      <c r="AQ13" s="5">
        <v>773712</v>
      </c>
      <c r="AR13" s="5">
        <v>20200208</v>
      </c>
      <c r="AS13" s="5">
        <v>71.047071875</v>
      </c>
      <c r="AT13" s="5">
        <v>74.258475000000004</v>
      </c>
      <c r="AU13" s="5">
        <v>41.279899999999998</v>
      </c>
      <c r="AV13" s="5">
        <v>43.653887500000003</v>
      </c>
      <c r="AW13" s="5">
        <v>39.775628124999997</v>
      </c>
      <c r="AX13" s="5"/>
      <c r="AY13" s="5"/>
      <c r="AZ13" s="5"/>
      <c r="BA13" s="5"/>
      <c r="BC13" s="32">
        <f t="shared" si="12"/>
        <v>5829208</v>
      </c>
      <c r="BD13" s="32">
        <f t="shared" si="13"/>
        <v>5532088</v>
      </c>
      <c r="BE13" s="34">
        <f t="shared" si="14"/>
        <v>3.3086597930459538E-3</v>
      </c>
      <c r="BF13" s="34">
        <f t="shared" si="15"/>
        <v>-2.4667311138939774E-3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0.49462800000000001</v>
      </c>
      <c r="J14" s="21">
        <f t="shared" si="1"/>
        <v>1.5333037411510195E-2</v>
      </c>
      <c r="K14" s="21">
        <f t="shared" si="2"/>
        <v>7.5614564561552154E-3</v>
      </c>
      <c r="L14" s="21">
        <f t="shared" si="3"/>
        <v>4.2034819561383146E-3</v>
      </c>
      <c r="M14" s="21">
        <f t="shared" si="4"/>
        <v>7.77076257833697E-3</v>
      </c>
      <c r="N14" s="21">
        <f t="shared" si="5"/>
        <v>9.669701991415762E-2</v>
      </c>
      <c r="O14" s="5">
        <v>51152352</v>
      </c>
      <c r="P14" s="5">
        <v>1598511</v>
      </c>
      <c r="Q14" s="5">
        <v>643075.59375</v>
      </c>
      <c r="R14" s="5">
        <v>4946280</v>
      </c>
      <c r="S14" s="5">
        <v>1356000</v>
      </c>
      <c r="T14" s="5">
        <v>1083248</v>
      </c>
      <c r="U14" s="5">
        <v>2506768</v>
      </c>
      <c r="V14" s="5">
        <v>65.891424999999998</v>
      </c>
      <c r="W14" s="5">
        <v>67.765265624999998</v>
      </c>
      <c r="X14" s="5">
        <v>29.6486625</v>
      </c>
      <c r="Y14" s="5">
        <v>43.163418749999998</v>
      </c>
      <c r="Z14" s="5">
        <v>43.471553125</v>
      </c>
      <c r="AA14" s="5"/>
      <c r="AB14" s="5"/>
      <c r="AC14" s="5"/>
      <c r="AD14" s="5"/>
      <c r="AF14" s="55">
        <f t="shared" si="6"/>
        <v>0.48548720000000001</v>
      </c>
      <c r="AG14" s="21">
        <f t="shared" si="7"/>
        <v>1.5049680568850393E-2</v>
      </c>
      <c r="AH14" s="21">
        <f t="shared" si="8"/>
        <v>7.4164301288425494E-3</v>
      </c>
      <c r="AI14" s="21">
        <f t="shared" si="9"/>
        <v>4.0999448637083595E-3</v>
      </c>
      <c r="AJ14" s="21">
        <f t="shared" si="10"/>
        <v>7.6324320629898345E-3</v>
      </c>
      <c r="AK14" s="21">
        <f t="shared" si="11"/>
        <v>9.4910044410079136E-2</v>
      </c>
      <c r="AL14" s="5">
        <v>51152352</v>
      </c>
      <c r="AM14" s="5">
        <v>1598511</v>
      </c>
      <c r="AN14" s="5">
        <v>694853.71875</v>
      </c>
      <c r="AO14" s="5">
        <v>4854872</v>
      </c>
      <c r="AP14" s="5">
        <v>1322600</v>
      </c>
      <c r="AQ14" s="5">
        <v>1069864</v>
      </c>
      <c r="AR14" s="5">
        <v>2462144</v>
      </c>
      <c r="AS14" s="5">
        <v>65.664074999999997</v>
      </c>
      <c r="AT14" s="5">
        <v>67.802028125000007</v>
      </c>
      <c r="AU14" s="5">
        <v>29.638581249999898</v>
      </c>
      <c r="AV14" s="5">
        <v>43.177934375</v>
      </c>
      <c r="AW14" s="5">
        <v>43.490796874999901</v>
      </c>
      <c r="AX14" s="5"/>
      <c r="AY14" s="5"/>
      <c r="AZ14" s="5"/>
      <c r="BA14" s="5"/>
      <c r="BC14" s="18">
        <f t="shared" si="12"/>
        <v>2439248</v>
      </c>
      <c r="BD14" s="18">
        <f t="shared" si="13"/>
        <v>2392464</v>
      </c>
      <c r="BE14" s="20">
        <f t="shared" si="14"/>
        <v>3.239147243903856E-2</v>
      </c>
      <c r="BF14" s="20">
        <f t="shared" si="15"/>
        <v>-3.5146740611591287E-4</v>
      </c>
      <c r="BG14" s="20">
        <f t="array" ref="BG14">AVERAGE(BD14:BD18/AO14:AO18) - AVERAGE(BC14:BC18/R14:R18)</f>
        <v>-1.233656745791567E-4</v>
      </c>
      <c r="BI14" s="50">
        <f>bdRateExtend( R14:R18,V14:V18, AO14:AO18,AS14:AS18)</f>
        <v>-1.8460662461966204E-2</v>
      </c>
      <c r="BJ14" s="50">
        <f>bdRateExtend( R14:R18,W14:W18, AO14:AO18,AT14:AT18)</f>
        <v>-4.9581857822398878E-2</v>
      </c>
      <c r="BK14" s="50">
        <f>bdRateExtend( R14:R18,X14:X18, AO14:AO18,AU14:AU18)</f>
        <v>-2.9957812094651426E-2</v>
      </c>
      <c r="BL14" s="50">
        <f>bdRateExtend( R14:R18,Y14:Y18, AO14:AO18,AV14:AV18)</f>
        <v>-4.6725143688726822E-2</v>
      </c>
      <c r="BM14" s="50">
        <f>bdRateExtend( R14:R18,Z14:Z18, AO14:AO18,AW14:AW18)</f>
        <v>-4.4777779424775677E-2</v>
      </c>
      <c r="BO14" s="50">
        <f>bdRateExtend( BC14:BC18,V14:V18, BD14:BD18,AS14:AS18)</f>
        <v>-2.7171745818119319E-2</v>
      </c>
      <c r="BP14" s="50">
        <f>bdRateExtend( BC14:BC18,W14:W18, BD14:BD18,AT14:AT18)</f>
        <v>-4.1618003504551804E-2</v>
      </c>
      <c r="BQ14" s="50">
        <f>bdRateExtend( U14:U18,X14:X18, AR14:AR18,AU14:AU18)</f>
        <v>-2.9617788908930853E-2</v>
      </c>
      <c r="BR14" s="50">
        <f>bdRateExtend( U14:U18,Y14:Y18, AR14:AR18,AV14:AV18)</f>
        <v>-4.897291831441597E-2</v>
      </c>
      <c r="BS14" s="50">
        <f>bdRateExtend( U14:U18,Z14:Z18, AR14:AR18,AW14:AW18)</f>
        <v>-4.6957947054323879E-2</v>
      </c>
    </row>
    <row r="15" spans="1:71" outlineLevel="1" x14ac:dyDescent="0.25">
      <c r="A15" s="25"/>
      <c r="B15" s="25"/>
      <c r="C15" s="26" t="s">
        <v>311</v>
      </c>
      <c r="D15" s="25">
        <v>322589704</v>
      </c>
      <c r="E15" s="26">
        <v>10</v>
      </c>
      <c r="F15" s="26">
        <v>300</v>
      </c>
      <c r="G15" s="26">
        <v>30</v>
      </c>
      <c r="I15" s="56">
        <f t="shared" si="0"/>
        <v>0.81876880000000007</v>
      </c>
      <c r="J15" s="28">
        <f t="shared" si="1"/>
        <v>2.5381120037234667E-2</v>
      </c>
      <c r="K15" s="28">
        <f t="shared" si="2"/>
        <v>9.5386057330583626E-3</v>
      </c>
      <c r="L15" s="28">
        <f t="shared" si="3"/>
        <v>6.1806312330414609E-3</v>
      </c>
      <c r="M15" s="28">
        <f t="shared" si="4"/>
        <v>1.5841695927158294E-2</v>
      </c>
      <c r="N15" s="28">
        <f t="shared" si="5"/>
        <v>0.1600647415000585</v>
      </c>
      <c r="O15" s="5">
        <v>51152352</v>
      </c>
      <c r="P15" s="5">
        <v>1598511</v>
      </c>
      <c r="Q15" s="5">
        <v>581847.5</v>
      </c>
      <c r="R15" s="5">
        <v>8187688</v>
      </c>
      <c r="S15" s="5">
        <v>1993808</v>
      </c>
      <c r="T15" s="5">
        <v>1083248</v>
      </c>
      <c r="U15" s="5">
        <v>5110368</v>
      </c>
      <c r="V15" s="5">
        <v>67.672506249999998</v>
      </c>
      <c r="W15" s="5">
        <v>69.796196875000007</v>
      </c>
      <c r="X15" s="5">
        <v>32.027940624999999</v>
      </c>
      <c r="Y15" s="5">
        <v>44.182981249999997</v>
      </c>
      <c r="Z15" s="5">
        <v>44.554737500000002</v>
      </c>
      <c r="AA15" s="5"/>
      <c r="AB15" s="5"/>
      <c r="AC15" s="5"/>
      <c r="AD15" s="5"/>
      <c r="AF15" s="56">
        <f t="shared" si="6"/>
        <v>0.79478480000000007</v>
      </c>
      <c r="AG15" s="28">
        <f t="shared" si="7"/>
        <v>2.4637636916025069E-2</v>
      </c>
      <c r="AH15" s="28">
        <f t="shared" si="8"/>
        <v>9.2739475652948919E-3</v>
      </c>
      <c r="AI15" s="28">
        <f t="shared" si="9"/>
        <v>5.957462300160702E-3</v>
      </c>
      <c r="AJ15" s="28">
        <f t="shared" si="10"/>
        <v>1.5362870973712167E-2</v>
      </c>
      <c r="AK15" s="28">
        <f t="shared" si="11"/>
        <v>0.15537600304283172</v>
      </c>
      <c r="AL15" s="5">
        <v>51152352</v>
      </c>
      <c r="AM15" s="5">
        <v>1598511</v>
      </c>
      <c r="AN15" s="5">
        <v>618769.96875</v>
      </c>
      <c r="AO15" s="5">
        <v>7947848</v>
      </c>
      <c r="AP15" s="5">
        <v>1921816</v>
      </c>
      <c r="AQ15" s="5">
        <v>1069864</v>
      </c>
      <c r="AR15" s="5">
        <v>4955904</v>
      </c>
      <c r="AS15" s="5">
        <v>67.477043750000007</v>
      </c>
      <c r="AT15" s="5">
        <v>69.811815624999994</v>
      </c>
      <c r="AU15" s="5">
        <v>32.018021874999903</v>
      </c>
      <c r="AV15" s="5">
        <v>44.198899999999902</v>
      </c>
      <c r="AW15" s="5">
        <v>44.585559375000003</v>
      </c>
      <c r="AX15" s="5"/>
      <c r="AY15" s="5"/>
      <c r="AZ15" s="5"/>
      <c r="BA15" s="5"/>
      <c r="BC15" s="25">
        <f t="shared" si="12"/>
        <v>3077056</v>
      </c>
      <c r="BD15" s="25">
        <f t="shared" si="13"/>
        <v>2991680</v>
      </c>
      <c r="BE15" s="27">
        <f t="shared" si="14"/>
        <v>2.3098038580904368E-2</v>
      </c>
      <c r="BF15" s="27">
        <f t="shared" si="15"/>
        <v>5.988376481477764E-4</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1.4190416000000001</v>
      </c>
      <c r="J16" s="21">
        <f t="shared" si="1"/>
        <v>4.3989054281782035E-2</v>
      </c>
      <c r="K16" s="21">
        <f t="shared" si="2"/>
        <v>1.2322550753200729E-2</v>
      </c>
      <c r="L16" s="21">
        <f t="shared" si="3"/>
        <v>8.9645762531838282E-3</v>
      </c>
      <c r="M16" s="21">
        <f t="shared" si="4"/>
        <v>3.1665685151563303E-2</v>
      </c>
      <c r="N16" s="21">
        <f t="shared" si="5"/>
        <v>0.27741473158458091</v>
      </c>
      <c r="O16" s="5">
        <v>51152352</v>
      </c>
      <c r="P16" s="5">
        <v>1598511</v>
      </c>
      <c r="Q16" s="5">
        <v>533697.375</v>
      </c>
      <c r="R16" s="5">
        <v>14190416</v>
      </c>
      <c r="S16" s="5">
        <v>2891880</v>
      </c>
      <c r="T16" s="5">
        <v>1083248</v>
      </c>
      <c r="U16" s="5">
        <v>10215024</v>
      </c>
      <c r="V16" s="5">
        <v>69.010446875</v>
      </c>
      <c r="W16" s="5">
        <v>71.556181249999995</v>
      </c>
      <c r="X16" s="5">
        <v>34.573387500000003</v>
      </c>
      <c r="Y16" s="5">
        <v>45.068278124999999</v>
      </c>
      <c r="Z16" s="5">
        <v>45.546578125000003</v>
      </c>
      <c r="AA16" s="5"/>
      <c r="AB16" s="5"/>
      <c r="AC16" s="5"/>
      <c r="AD16" s="5"/>
      <c r="AF16" s="55">
        <f t="shared" si="6"/>
        <v>1.3661823999999998</v>
      </c>
      <c r="AG16" s="21">
        <f t="shared" si="7"/>
        <v>4.235046509729895E-2</v>
      </c>
      <c r="AH16" s="21">
        <f t="shared" si="8"/>
        <v>1.1957430606650731E-2</v>
      </c>
      <c r="AI16" s="21">
        <f t="shared" si="9"/>
        <v>8.6409453415165413E-3</v>
      </c>
      <c r="AJ16" s="21">
        <f t="shared" si="10"/>
        <v>3.0392216113630209E-2</v>
      </c>
      <c r="AK16" s="21">
        <f t="shared" si="11"/>
        <v>0.26708105230430068</v>
      </c>
      <c r="AL16" s="5">
        <v>51152352</v>
      </c>
      <c r="AM16" s="5">
        <v>1598511</v>
      </c>
      <c r="AN16" s="5">
        <v>553897.6875</v>
      </c>
      <c r="AO16" s="5">
        <v>13661824</v>
      </c>
      <c r="AP16" s="5">
        <v>2787480</v>
      </c>
      <c r="AQ16" s="5">
        <v>1069864</v>
      </c>
      <c r="AR16" s="5">
        <v>9804216</v>
      </c>
      <c r="AS16" s="5">
        <v>69.073399999999907</v>
      </c>
      <c r="AT16" s="5">
        <v>71.6353062499999</v>
      </c>
      <c r="AU16" s="5">
        <v>34.546162500000001</v>
      </c>
      <c r="AV16" s="5">
        <v>45.123862499999902</v>
      </c>
      <c r="AW16" s="5">
        <v>45.569453125000003</v>
      </c>
      <c r="AX16" s="5"/>
      <c r="AY16" s="5"/>
      <c r="AZ16" s="5"/>
      <c r="BA16" s="5"/>
      <c r="BC16" s="18">
        <f t="shared" si="12"/>
        <v>3975128</v>
      </c>
      <c r="BD16" s="18">
        <f t="shared" si="13"/>
        <v>3857344</v>
      </c>
      <c r="BE16" s="20">
        <f t="shared" si="14"/>
        <v>1.2636955579285958E-2</v>
      </c>
      <c r="BF16" s="20">
        <f t="shared" si="15"/>
        <v>2.2170713802822095E-3</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2.5852624</v>
      </c>
      <c r="J17" s="28">
        <f t="shared" si="1"/>
        <v>8.0140883851643321E-2</v>
      </c>
      <c r="K17" s="28">
        <f t="shared" si="2"/>
        <v>1.7161961250939366E-2</v>
      </c>
      <c r="L17" s="28">
        <f t="shared" si="3"/>
        <v>1.3803986750922466E-2</v>
      </c>
      <c r="M17" s="28">
        <f t="shared" si="4"/>
        <v>6.2978104223685952E-2</v>
      </c>
      <c r="N17" s="28">
        <f t="shared" si="5"/>
        <v>0.50540440447391355</v>
      </c>
      <c r="O17" s="5">
        <v>51152352</v>
      </c>
      <c r="P17" s="5">
        <v>1598511</v>
      </c>
      <c r="Q17" s="5">
        <v>537468.71875</v>
      </c>
      <c r="R17" s="5">
        <v>25852624</v>
      </c>
      <c r="S17" s="5">
        <v>4453024</v>
      </c>
      <c r="T17" s="5">
        <v>1083248</v>
      </c>
      <c r="U17" s="5">
        <v>20316088</v>
      </c>
      <c r="V17" s="5">
        <v>70.260975000000002</v>
      </c>
      <c r="W17" s="5">
        <v>73.213446875000002</v>
      </c>
      <c r="X17" s="5">
        <v>37.176384374999998</v>
      </c>
      <c r="Y17" s="5">
        <v>46.399968749999999</v>
      </c>
      <c r="Z17" s="5">
        <v>46.953353125</v>
      </c>
      <c r="AA17" s="5"/>
      <c r="AB17" s="5"/>
      <c r="AC17" s="5"/>
      <c r="AD17" s="5"/>
      <c r="AF17" s="56">
        <f t="shared" si="6"/>
        <v>2.4826039999999998</v>
      </c>
      <c r="AG17" s="28">
        <f t="shared" si="7"/>
        <v>7.6958562818855492E-2</v>
      </c>
      <c r="AH17" s="28">
        <f t="shared" si="8"/>
        <v>1.6430704186392756E-2</v>
      </c>
      <c r="AI17" s="28">
        <f t="shared" si="9"/>
        <v>1.3114218921258566E-2</v>
      </c>
      <c r="AJ17" s="28">
        <f t="shared" si="10"/>
        <v>6.0527040255444732E-2</v>
      </c>
      <c r="AK17" s="28">
        <f t="shared" si="11"/>
        <v>0.48533525887529083</v>
      </c>
      <c r="AL17" s="5">
        <v>51152352</v>
      </c>
      <c r="AM17" s="5">
        <v>1598511</v>
      </c>
      <c r="AN17" s="5">
        <v>548890.6875</v>
      </c>
      <c r="AO17" s="5">
        <v>24826040</v>
      </c>
      <c r="AP17" s="5">
        <v>4230512</v>
      </c>
      <c r="AQ17" s="5">
        <v>1069864</v>
      </c>
      <c r="AR17" s="5">
        <v>19525400</v>
      </c>
      <c r="AS17" s="5">
        <v>70.309653124999997</v>
      </c>
      <c r="AT17" s="5">
        <v>73.275062499999905</v>
      </c>
      <c r="AU17" s="5">
        <v>37.145174999999902</v>
      </c>
      <c r="AV17" s="5">
        <v>46.422971875000002</v>
      </c>
      <c r="AW17" s="5">
        <v>46.973890625000003</v>
      </c>
      <c r="AX17" s="5"/>
      <c r="AY17" s="5"/>
      <c r="AZ17" s="5"/>
      <c r="BA17" s="5"/>
      <c r="BC17" s="25">
        <f t="shared" si="12"/>
        <v>5536272</v>
      </c>
      <c r="BD17" s="25">
        <f t="shared" si="13"/>
        <v>5300376</v>
      </c>
      <c r="BE17" s="27">
        <f t="shared" si="14"/>
        <v>7.1453801381410886E-3</v>
      </c>
      <c r="BF17" s="27">
        <f t="shared" si="15"/>
        <v>-6.4672875608046132E-4</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4.7351184000000002</v>
      </c>
      <c r="J18" s="42">
        <f t="shared" si="1"/>
        <v>0.14678454833759977</v>
      </c>
      <c r="K18" s="42">
        <f t="shared" si="2"/>
        <v>2.5482177199307017E-2</v>
      </c>
      <c r="L18" s="42">
        <f t="shared" si="3"/>
        <v>2.2124202699290118E-2</v>
      </c>
      <c r="M18" s="42">
        <f t="shared" si="4"/>
        <v>0.12130155276127473</v>
      </c>
      <c r="N18" s="42">
        <f t="shared" si="5"/>
        <v>0.92568928208814327</v>
      </c>
      <c r="O18" s="5">
        <v>51152352</v>
      </c>
      <c r="P18" s="5">
        <v>1598511</v>
      </c>
      <c r="Q18" s="5">
        <v>529290.78125</v>
      </c>
      <c r="R18" s="5">
        <v>47351184</v>
      </c>
      <c r="S18" s="5">
        <v>7137040</v>
      </c>
      <c r="T18" s="5">
        <v>1083248</v>
      </c>
      <c r="U18" s="5">
        <v>39130632</v>
      </c>
      <c r="V18" s="5">
        <v>71.268156250000004</v>
      </c>
      <c r="W18" s="5">
        <v>74.516315625000004</v>
      </c>
      <c r="X18" s="5">
        <v>39.518621875000001</v>
      </c>
      <c r="Y18" s="5">
        <v>48.224759374999998</v>
      </c>
      <c r="Z18" s="5">
        <v>48.85750625</v>
      </c>
      <c r="AA18" s="5"/>
      <c r="AB18" s="5"/>
      <c r="AC18" s="5"/>
      <c r="AD18" s="5"/>
      <c r="AF18" s="58">
        <f t="shared" si="6"/>
        <v>4.5554344000000002</v>
      </c>
      <c r="AG18" s="42">
        <f t="shared" si="7"/>
        <v>0.14121450075790393</v>
      </c>
      <c r="AH18" s="42">
        <f t="shared" si="8"/>
        <v>2.4171410008795569E-2</v>
      </c>
      <c r="AI18" s="42">
        <f t="shared" si="9"/>
        <v>2.0854924743661379E-2</v>
      </c>
      <c r="AJ18" s="42">
        <f t="shared" si="10"/>
        <v>0.11704227237209033</v>
      </c>
      <c r="AK18" s="42">
        <f t="shared" si="11"/>
        <v>0.89056206056761578</v>
      </c>
      <c r="AL18" s="5">
        <v>51152352</v>
      </c>
      <c r="AM18" s="5">
        <v>1598511</v>
      </c>
      <c r="AN18" s="5">
        <v>534928.59375</v>
      </c>
      <c r="AO18" s="5">
        <v>45554344</v>
      </c>
      <c r="AP18" s="5">
        <v>6727584</v>
      </c>
      <c r="AQ18" s="5">
        <v>1069864</v>
      </c>
      <c r="AR18" s="5">
        <v>37756632</v>
      </c>
      <c r="AS18" s="5">
        <v>71.315481249999905</v>
      </c>
      <c r="AT18" s="5">
        <v>74.585806250000005</v>
      </c>
      <c r="AU18" s="5">
        <v>39.526840624999998</v>
      </c>
      <c r="AV18" s="5">
        <v>48.244149999999998</v>
      </c>
      <c r="AW18" s="5">
        <v>48.881374999999899</v>
      </c>
      <c r="AX18" s="5"/>
      <c r="AY18" s="5"/>
      <c r="AZ18" s="5"/>
      <c r="BA18" s="5"/>
      <c r="BC18" s="39">
        <f t="shared" si="12"/>
        <v>8220288</v>
      </c>
      <c r="BD18" s="39">
        <f t="shared" si="13"/>
        <v>7797448</v>
      </c>
      <c r="BE18" s="41">
        <f t="shared" si="14"/>
        <v>3.5269150478163813E-3</v>
      </c>
      <c r="BF18" s="41">
        <f t="shared" si="15"/>
        <v>-2.4345412391297561E-3</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0.70956319999999995</v>
      </c>
      <c r="J19" s="28">
        <f t="shared" si="1"/>
        <v>1.4157123191368132E-2</v>
      </c>
      <c r="K19" s="28">
        <f t="shared" si="2"/>
        <v>7.0535818359733129E-3</v>
      </c>
      <c r="L19" s="28">
        <f t="shared" si="3"/>
        <v>3.7054321133110951E-3</v>
      </c>
      <c r="M19" s="28">
        <f t="shared" si="4"/>
        <v>7.1024878958798601E-3</v>
      </c>
      <c r="N19" s="28">
        <f t="shared" si="5"/>
        <v>8.8220772245320184E-2</v>
      </c>
      <c r="O19" s="5">
        <v>40215200</v>
      </c>
      <c r="P19" s="5">
        <v>1256725</v>
      </c>
      <c r="Q19" s="5">
        <v>291720.5</v>
      </c>
      <c r="R19" s="5">
        <v>3547816</v>
      </c>
      <c r="S19" s="5">
        <v>928592</v>
      </c>
      <c r="T19" s="5">
        <v>839056</v>
      </c>
      <c r="U19" s="5">
        <v>1779904</v>
      </c>
      <c r="V19" s="5">
        <v>66.799634374999997</v>
      </c>
      <c r="W19" s="5">
        <v>68.463306250000002</v>
      </c>
      <c r="X19" s="5">
        <v>30.264518750000001</v>
      </c>
      <c r="Y19" s="5">
        <v>39.134384375000003</v>
      </c>
      <c r="Z19" s="5">
        <v>37.941653125000002</v>
      </c>
      <c r="AA19" s="5"/>
      <c r="AB19" s="5"/>
      <c r="AC19" s="5"/>
      <c r="AD19" s="5"/>
      <c r="AF19" s="56">
        <f t="shared" si="6"/>
        <v>0.6918976</v>
      </c>
      <c r="AG19" s="28">
        <f t="shared" si="7"/>
        <v>1.3804661176075579E-2</v>
      </c>
      <c r="AH19" s="28">
        <f t="shared" si="8"/>
        <v>6.9797439008794197E-3</v>
      </c>
      <c r="AI19" s="28">
        <f t="shared" si="9"/>
        <v>3.6507479875800795E-3</v>
      </c>
      <c r="AJ19" s="28">
        <f t="shared" si="10"/>
        <v>6.8238638156812009E-3</v>
      </c>
      <c r="AK19" s="28">
        <f t="shared" si="11"/>
        <v>8.6024388788318848E-2</v>
      </c>
      <c r="AL19" s="5">
        <v>40215200</v>
      </c>
      <c r="AM19" s="5">
        <v>1256725</v>
      </c>
      <c r="AN19" s="5">
        <v>342487.4375</v>
      </c>
      <c r="AO19" s="5">
        <v>3459488</v>
      </c>
      <c r="AP19" s="5">
        <v>914888</v>
      </c>
      <c r="AQ19" s="5">
        <v>834256</v>
      </c>
      <c r="AR19" s="5">
        <v>1710080</v>
      </c>
      <c r="AS19" s="5">
        <v>66.676615624999997</v>
      </c>
      <c r="AT19" s="5">
        <v>68.578318749999994</v>
      </c>
      <c r="AU19" s="5">
        <v>30.147768749999901</v>
      </c>
      <c r="AV19" s="5">
        <v>39.126115624999997</v>
      </c>
      <c r="AW19" s="5">
        <v>37.8795</v>
      </c>
      <c r="AX19" s="5"/>
      <c r="AY19" s="5"/>
      <c r="AZ19" s="5"/>
      <c r="BA19" s="5"/>
      <c r="BC19" s="25">
        <f t="shared" si="12"/>
        <v>1767648</v>
      </c>
      <c r="BD19" s="25">
        <f t="shared" si="13"/>
        <v>1749144</v>
      </c>
      <c r="BE19" s="27">
        <f t="shared" si="14"/>
        <v>4.0396218345302298E-2</v>
      </c>
      <c r="BF19" s="27">
        <f t="shared" si="15"/>
        <v>7.3722320368607153E-3</v>
      </c>
      <c r="BG19" s="27">
        <f t="array" ref="BG19">AVERAGE(BD19:BD23/AO19:AO23) - AVERAGE(BC19:BC23/R19:R23)</f>
        <v>3.8575122271123363E-3</v>
      </c>
      <c r="BI19" s="52">
        <f>bdRateExtend( R19:R23,V19:V23, AO19:AO23,AS19:AS23)</f>
        <v>-4.6182090068955794E-3</v>
      </c>
      <c r="BJ19" s="52">
        <f>bdRateExtend( R19:R23,W19:W23, AO19:AO23,AT19:AT23)</f>
        <v>-6.1492192080970787E-2</v>
      </c>
      <c r="BK19" s="52">
        <f>bdRateExtend( R19:R23,X19:X23, AO19:AO23,AU19:AU23)</f>
        <v>-1.8973271344276843E-2</v>
      </c>
      <c r="BL19" s="52">
        <f>bdRateExtend( R19:R23,Y19:Y23, AO19:AO23,AV19:AV23)</f>
        <v>-3.7092570912857337E-2</v>
      </c>
      <c r="BM19" s="52">
        <f>bdRateExtend( R19:R23,Z19:Z23, AO19:AO23,AW19:AW23)</f>
        <v>-4.2812026694356686E-2</v>
      </c>
      <c r="BO19" s="52">
        <f>bdRateExtend( BC19:BC23,V19:V23, BD19:BD23,AS19:AS23)</f>
        <v>-4.33531971634038E-3</v>
      </c>
      <c r="BP19" s="52">
        <f>bdRateExtend( BC19:BC23,W19:W23, BD19:BD23,AT19:AT23)</f>
        <v>-3.8810408041002886E-2</v>
      </c>
      <c r="BQ19" s="52">
        <f>bdRateExtend( U19:U23,X19:X23, AR19:AR23,AU19:AU23)</f>
        <v>-2.1440484094793377E-2</v>
      </c>
      <c r="BR19" s="52">
        <f>bdRateExtend( U19:U23,Y19:Y23, AR19:AR23,AV19:AV23)</f>
        <v>-4.3294416801638147E-2</v>
      </c>
      <c r="BS19" s="52">
        <f>bdRateExtend( U19:U23,Z19:Z23, AR19:AR23,AW19:AW23)</f>
        <v>-4.9591503472112719E-2</v>
      </c>
    </row>
    <row r="20" spans="1:71" outlineLevel="1" x14ac:dyDescent="0.25">
      <c r="A20" s="18"/>
      <c r="B20" s="18"/>
      <c r="C20" s="19" t="s">
        <v>311</v>
      </c>
      <c r="D20" s="18">
        <v>250602891</v>
      </c>
      <c r="E20" s="19">
        <v>10</v>
      </c>
      <c r="F20" s="19">
        <v>250</v>
      </c>
      <c r="G20" s="19">
        <v>50</v>
      </c>
      <c r="I20" s="55">
        <f t="shared" si="0"/>
        <v>1.1822463999999999</v>
      </c>
      <c r="J20" s="21">
        <f t="shared" si="1"/>
        <v>2.3588043922446209E-2</v>
      </c>
      <c r="K20" s="21">
        <f t="shared" si="2"/>
        <v>8.8728106492594293E-3</v>
      </c>
      <c r="L20" s="21">
        <f t="shared" si="3"/>
        <v>5.5246609265972111E-3</v>
      </c>
      <c r="M20" s="21">
        <f t="shared" si="4"/>
        <v>1.4714179813671822E-2</v>
      </c>
      <c r="N20" s="21">
        <f t="shared" si="5"/>
        <v>0.14698999383317751</v>
      </c>
      <c r="O20" s="5">
        <v>40215200</v>
      </c>
      <c r="P20" s="5">
        <v>1256725</v>
      </c>
      <c r="Q20" s="5">
        <v>270442.53125</v>
      </c>
      <c r="R20" s="5">
        <v>5911232</v>
      </c>
      <c r="S20" s="5">
        <v>1384496</v>
      </c>
      <c r="T20" s="5">
        <v>839056</v>
      </c>
      <c r="U20" s="5">
        <v>3687416</v>
      </c>
      <c r="V20" s="5">
        <v>68.297399999999996</v>
      </c>
      <c r="W20" s="5">
        <v>70.390356249999996</v>
      </c>
      <c r="X20" s="5">
        <v>32.507693750000001</v>
      </c>
      <c r="Y20" s="5">
        <v>40.305128125000003</v>
      </c>
      <c r="Z20" s="5">
        <v>39.337556249999999</v>
      </c>
      <c r="AA20" s="5"/>
      <c r="AB20" s="5"/>
      <c r="AC20" s="5"/>
      <c r="AD20" s="5"/>
      <c r="AF20" s="55">
        <f t="shared" si="6"/>
        <v>1.1513183999999999</v>
      </c>
      <c r="AG20" s="21">
        <f t="shared" si="7"/>
        <v>2.2970972030805503E-2</v>
      </c>
      <c r="AH20" s="21">
        <f t="shared" si="8"/>
        <v>8.7793400595685862E-3</v>
      </c>
      <c r="AI20" s="21">
        <f t="shared" si="9"/>
        <v>5.450344146269246E-3</v>
      </c>
      <c r="AJ20" s="21">
        <f t="shared" si="10"/>
        <v>1.4190578511721957E-2</v>
      </c>
      <c r="AK20" s="21">
        <f t="shared" si="11"/>
        <v>0.14314468161292249</v>
      </c>
      <c r="AL20" s="5">
        <v>40215200</v>
      </c>
      <c r="AM20" s="5">
        <v>1256725</v>
      </c>
      <c r="AN20" s="5">
        <v>299317.46875</v>
      </c>
      <c r="AO20" s="5">
        <v>5756592</v>
      </c>
      <c r="AP20" s="5">
        <v>1365872</v>
      </c>
      <c r="AQ20" s="5">
        <v>834256</v>
      </c>
      <c r="AR20" s="5">
        <v>3556200</v>
      </c>
      <c r="AS20" s="5">
        <v>68.26556875</v>
      </c>
      <c r="AT20" s="5">
        <v>70.482825000000005</v>
      </c>
      <c r="AU20" s="5">
        <v>32.434856249999903</v>
      </c>
      <c r="AV20" s="5">
        <v>40.303678124999898</v>
      </c>
      <c r="AW20" s="5">
        <v>39.346656250000002</v>
      </c>
      <c r="AX20" s="5"/>
      <c r="AY20" s="5"/>
      <c r="AZ20" s="5"/>
      <c r="BA20" s="5"/>
      <c r="BC20" s="18">
        <f t="shared" si="12"/>
        <v>2223552</v>
      </c>
      <c r="BD20" s="18">
        <f t="shared" si="13"/>
        <v>2200128</v>
      </c>
      <c r="BE20" s="20">
        <f t="shared" si="14"/>
        <v>2.2976337305297495E-2</v>
      </c>
      <c r="BF20" s="20">
        <f t="shared" si="15"/>
        <v>6.0356782123809904E-3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1.961776</v>
      </c>
      <c r="J21" s="28">
        <f t="shared" si="1"/>
        <v>3.9141128663196467E-2</v>
      </c>
      <c r="K21" s="28">
        <f t="shared" si="2"/>
        <v>1.155309896245371E-2</v>
      </c>
      <c r="L21" s="28">
        <f t="shared" si="3"/>
        <v>8.2049492397914918E-3</v>
      </c>
      <c r="M21" s="28">
        <f t="shared" si="4"/>
        <v>2.7586976241227801E-2</v>
      </c>
      <c r="N21" s="28">
        <f t="shared" si="5"/>
        <v>0.24390976546181542</v>
      </c>
      <c r="O21" s="5">
        <v>40215200</v>
      </c>
      <c r="P21" s="5">
        <v>1256725</v>
      </c>
      <c r="Q21" s="5">
        <v>268628.84375</v>
      </c>
      <c r="R21" s="5">
        <v>9808880</v>
      </c>
      <c r="S21" s="5">
        <v>2056184</v>
      </c>
      <c r="T21" s="5">
        <v>839056</v>
      </c>
      <c r="U21" s="5">
        <v>6913376</v>
      </c>
      <c r="V21" s="5">
        <v>69.555921874999996</v>
      </c>
      <c r="W21" s="5">
        <v>72.113778124999996</v>
      </c>
      <c r="X21" s="5">
        <v>34.320124999999997</v>
      </c>
      <c r="Y21" s="5">
        <v>41.384078125000002</v>
      </c>
      <c r="Z21" s="5">
        <v>40.497690624999997</v>
      </c>
      <c r="AA21" s="5"/>
      <c r="AB21" s="5"/>
      <c r="AC21" s="5"/>
      <c r="AD21" s="5"/>
      <c r="AF21" s="56">
        <f t="shared" si="6"/>
        <v>1.8939264</v>
      </c>
      <c r="AG21" s="28">
        <f t="shared" si="7"/>
        <v>3.7787401263459489E-2</v>
      </c>
      <c r="AH21" s="28">
        <f t="shared" si="8"/>
        <v>1.1300077140770096E-2</v>
      </c>
      <c r="AI21" s="28">
        <f t="shared" si="9"/>
        <v>7.9710812274707554E-3</v>
      </c>
      <c r="AJ21" s="28">
        <f t="shared" si="10"/>
        <v>2.6486270663174431E-2</v>
      </c>
      <c r="AK21" s="28">
        <f t="shared" si="11"/>
        <v>0.23547395014820266</v>
      </c>
      <c r="AL21" s="5">
        <v>40215200</v>
      </c>
      <c r="AM21" s="5">
        <v>1256725</v>
      </c>
      <c r="AN21" s="5">
        <v>287914.625</v>
      </c>
      <c r="AO21" s="5">
        <v>9469632</v>
      </c>
      <c r="AP21" s="5">
        <v>1997576</v>
      </c>
      <c r="AQ21" s="5">
        <v>834256</v>
      </c>
      <c r="AR21" s="5">
        <v>6637536</v>
      </c>
      <c r="AS21" s="5">
        <v>69.459643749999998</v>
      </c>
      <c r="AT21" s="5">
        <v>72.208803125000003</v>
      </c>
      <c r="AU21" s="5">
        <v>34.260253124999998</v>
      </c>
      <c r="AV21" s="5">
        <v>41.384034374999999</v>
      </c>
      <c r="AW21" s="5">
        <v>40.519434374999904</v>
      </c>
      <c r="AX21" s="5"/>
      <c r="AY21" s="5"/>
      <c r="AZ21" s="5"/>
      <c r="BA21" s="5"/>
      <c r="BC21" s="25">
        <f t="shared" si="12"/>
        <v>2895240</v>
      </c>
      <c r="BD21" s="25">
        <f t="shared" si="13"/>
        <v>2831832</v>
      </c>
      <c r="BE21" s="27">
        <f t="shared" si="14"/>
        <v>1.5346063180091102E-2</v>
      </c>
      <c r="BF21" s="27">
        <f t="shared" si="15"/>
        <v>3.8783136278804919E-3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3.4054720000000001</v>
      </c>
      <c r="J22" s="21">
        <f t="shared" si="1"/>
        <v>6.7945584873559978E-2</v>
      </c>
      <c r="K22" s="21">
        <f t="shared" si="2"/>
        <v>1.6527024023836979E-2</v>
      </c>
      <c r="L22" s="21">
        <f t="shared" si="3"/>
        <v>1.3178874301174762E-2</v>
      </c>
      <c r="M22" s="21">
        <f t="shared" si="4"/>
        <v>5.1417507390208041E-2</v>
      </c>
      <c r="N22" s="21">
        <f t="shared" si="5"/>
        <v>0.42340607531480634</v>
      </c>
      <c r="O22" s="5">
        <v>40215200</v>
      </c>
      <c r="P22" s="5">
        <v>1256725</v>
      </c>
      <c r="Q22" s="5">
        <v>278078.53125</v>
      </c>
      <c r="R22" s="5">
        <v>17027360</v>
      </c>
      <c r="S22" s="5">
        <v>3302664</v>
      </c>
      <c r="T22" s="5">
        <v>839056</v>
      </c>
      <c r="U22" s="5">
        <v>12885376</v>
      </c>
      <c r="V22" s="5">
        <v>70.649096874999998</v>
      </c>
      <c r="W22" s="5">
        <v>73.670559374999996</v>
      </c>
      <c r="X22" s="5">
        <v>35.895443749999998</v>
      </c>
      <c r="Y22" s="5">
        <v>42.501021874999999</v>
      </c>
      <c r="Z22" s="5">
        <v>41.601996874999998</v>
      </c>
      <c r="AA22" s="5"/>
      <c r="AB22" s="5"/>
      <c r="AC22" s="5"/>
      <c r="AD22" s="5"/>
      <c r="AF22" s="55">
        <f t="shared" si="6"/>
        <v>3.2775583999999998</v>
      </c>
      <c r="AG22" s="21">
        <f t="shared" si="7"/>
        <v>6.5393467468018954E-2</v>
      </c>
      <c r="AH22" s="21">
        <f t="shared" si="8"/>
        <v>1.5988865826771326E-2</v>
      </c>
      <c r="AI22" s="21">
        <f t="shared" si="9"/>
        <v>1.2659869913471988E-2</v>
      </c>
      <c r="AJ22" s="21">
        <f t="shared" si="10"/>
        <v>4.9403548181732669E-2</v>
      </c>
      <c r="AK22" s="21">
        <f t="shared" si="11"/>
        <v>0.4075024368895343</v>
      </c>
      <c r="AL22" s="5">
        <v>40215200</v>
      </c>
      <c r="AM22" s="5">
        <v>1256725</v>
      </c>
      <c r="AN22" s="5">
        <v>287921.25</v>
      </c>
      <c r="AO22" s="5">
        <v>16387792</v>
      </c>
      <c r="AP22" s="5">
        <v>3172600</v>
      </c>
      <c r="AQ22" s="5">
        <v>834256</v>
      </c>
      <c r="AR22" s="5">
        <v>12380672</v>
      </c>
      <c r="AS22" s="5">
        <v>70.580993750000005</v>
      </c>
      <c r="AT22" s="5">
        <v>73.768196875000001</v>
      </c>
      <c r="AU22" s="5">
        <v>35.905271874999997</v>
      </c>
      <c r="AV22" s="5">
        <v>42.5232125</v>
      </c>
      <c r="AW22" s="5">
        <v>41.650053124999999</v>
      </c>
      <c r="AX22" s="5"/>
      <c r="AY22" s="5"/>
      <c r="AZ22" s="5"/>
      <c r="BA22" s="5"/>
      <c r="BC22" s="18">
        <f t="shared" si="12"/>
        <v>4141720</v>
      </c>
      <c r="BD22" s="18">
        <f t="shared" si="13"/>
        <v>4006856</v>
      </c>
      <c r="BE22" s="20">
        <f t="shared" si="14"/>
        <v>7.8320386321589774E-3</v>
      </c>
      <c r="BF22" s="20">
        <f t="shared" si="15"/>
        <v>1.2633767355129943E-3</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5.9598959999999996</v>
      </c>
      <c r="J23" s="35">
        <f t="shared" si="1"/>
        <v>0.11891115813185092</v>
      </c>
      <c r="K23" s="35">
        <f t="shared" si="2"/>
        <v>2.5699144867406976E-2</v>
      </c>
      <c r="L23" s="35">
        <f t="shared" si="3"/>
        <v>2.235099514474476E-2</v>
      </c>
      <c r="M23" s="35">
        <f t="shared" si="4"/>
        <v>9.3210959804928981E-2</v>
      </c>
      <c r="N23" s="35">
        <f t="shared" si="5"/>
        <v>0.74100041775249159</v>
      </c>
      <c r="O23" s="5">
        <v>40215200</v>
      </c>
      <c r="P23" s="5">
        <v>1256725</v>
      </c>
      <c r="Q23" s="5">
        <v>276706.59375</v>
      </c>
      <c r="R23" s="5">
        <v>29799480</v>
      </c>
      <c r="S23" s="5">
        <v>5601224</v>
      </c>
      <c r="T23" s="5">
        <v>839056</v>
      </c>
      <c r="U23" s="5">
        <v>23358936</v>
      </c>
      <c r="V23" s="5">
        <v>71.688637499999999</v>
      </c>
      <c r="W23" s="5">
        <v>75.056862499999994</v>
      </c>
      <c r="X23" s="5">
        <v>37.406912499999997</v>
      </c>
      <c r="Y23" s="5">
        <v>43.464740624999997</v>
      </c>
      <c r="Z23" s="5">
        <v>42.482553125000003</v>
      </c>
      <c r="AA23" s="5"/>
      <c r="AB23" s="5"/>
      <c r="AC23" s="5"/>
      <c r="AD23" s="5"/>
      <c r="AF23" s="57">
        <f t="shared" si="6"/>
        <v>5.7317520000000002</v>
      </c>
      <c r="AG23" s="35">
        <f t="shared" si="7"/>
        <v>0.11435925533676305</v>
      </c>
      <c r="AH23" s="35">
        <f t="shared" si="8"/>
        <v>2.4799777748773059E-2</v>
      </c>
      <c r="AI23" s="35">
        <f t="shared" si="9"/>
        <v>2.1470781835473719E-2</v>
      </c>
      <c r="AJ23" s="35">
        <f t="shared" si="10"/>
        <v>8.9558424128475034E-2</v>
      </c>
      <c r="AK23" s="35">
        <f t="shared" si="11"/>
        <v>0.71263502357317632</v>
      </c>
      <c r="AL23" s="5">
        <v>40215200</v>
      </c>
      <c r="AM23" s="5">
        <v>1256725</v>
      </c>
      <c r="AN23" s="5">
        <v>281735.15625</v>
      </c>
      <c r="AO23" s="5">
        <v>28658760</v>
      </c>
      <c r="AP23" s="5">
        <v>5380640</v>
      </c>
      <c r="AQ23" s="5">
        <v>834256</v>
      </c>
      <c r="AR23" s="5">
        <v>22443600</v>
      </c>
      <c r="AS23" s="5">
        <v>71.659171874999998</v>
      </c>
      <c r="AT23" s="5">
        <v>75.151668749999999</v>
      </c>
      <c r="AU23" s="5">
        <v>37.379212500000001</v>
      </c>
      <c r="AV23" s="5">
        <v>43.516343749999997</v>
      </c>
      <c r="AW23" s="5">
        <v>42.572331249999898</v>
      </c>
      <c r="AX23" s="5"/>
      <c r="AY23" s="5"/>
      <c r="AZ23" s="5"/>
      <c r="BA23" s="5"/>
      <c r="BC23" s="32">
        <f t="shared" si="12"/>
        <v>6440280</v>
      </c>
      <c r="BD23" s="32">
        <f t="shared" si="13"/>
        <v>6214896</v>
      </c>
      <c r="BE23" s="34">
        <f t="shared" si="14"/>
        <v>4.0013228828900405E-3</v>
      </c>
      <c r="BF23" s="34">
        <f t="shared" si="15"/>
        <v>7.3796052292637859E-4</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0.5357288</v>
      </c>
      <c r="J24" s="21">
        <f t="shared" si="1"/>
        <v>2.1403931148617512E-2</v>
      </c>
      <c r="K24" s="21">
        <f t="shared" si="2"/>
        <v>6.6949591421839091E-3</v>
      </c>
      <c r="L24" s="21">
        <f t="shared" si="3"/>
        <v>3.7769894675546752E-3</v>
      </c>
      <c r="M24" s="21">
        <f t="shared" si="4"/>
        <v>1.4707917249283487E-2</v>
      </c>
      <c r="N24" s="21">
        <f t="shared" si="5"/>
        <v>0.14099527363561179</v>
      </c>
      <c r="O24" s="5">
        <v>37996224</v>
      </c>
      <c r="P24" s="5">
        <v>1187382</v>
      </c>
      <c r="Q24" s="5">
        <v>472518.40625</v>
      </c>
      <c r="R24" s="5">
        <v>5357288</v>
      </c>
      <c r="S24" s="5">
        <v>945360</v>
      </c>
      <c r="T24" s="5">
        <v>730352</v>
      </c>
      <c r="U24" s="5">
        <v>3681312</v>
      </c>
      <c r="V24" s="5">
        <v>66.109203124999993</v>
      </c>
      <c r="W24" s="5">
        <v>67.998446874999999</v>
      </c>
      <c r="X24" s="5">
        <v>27.499949999999998</v>
      </c>
      <c r="Y24" s="5">
        <v>33.338709375000001</v>
      </c>
      <c r="Z24" s="5">
        <v>32.76653125</v>
      </c>
      <c r="AA24" s="5"/>
      <c r="AB24" s="5"/>
      <c r="AC24" s="5"/>
      <c r="AD24" s="5"/>
      <c r="AF24" s="55">
        <f t="shared" si="6"/>
        <v>0.52410159999999995</v>
      </c>
      <c r="AG24" s="21">
        <f t="shared" si="7"/>
        <v>2.0939390529835761E-2</v>
      </c>
      <c r="AH24" s="21">
        <f t="shared" si="8"/>
        <v>6.5516719814574329E-3</v>
      </c>
      <c r="AI24" s="21">
        <f t="shared" si="9"/>
        <v>3.6828603824912197E-3</v>
      </c>
      <c r="AJ24" s="21">
        <f t="shared" si="10"/>
        <v>1.4386663791228209E-2</v>
      </c>
      <c r="AK24" s="21">
        <f t="shared" si="11"/>
        <v>0.1379351800852632</v>
      </c>
      <c r="AL24" s="5">
        <v>37996224</v>
      </c>
      <c r="AM24" s="5">
        <v>1187382</v>
      </c>
      <c r="AN24" s="5">
        <v>507426.78125</v>
      </c>
      <c r="AO24" s="5">
        <v>5241016</v>
      </c>
      <c r="AP24" s="5">
        <v>921800</v>
      </c>
      <c r="AQ24" s="5">
        <v>718048</v>
      </c>
      <c r="AR24" s="5">
        <v>3600904</v>
      </c>
      <c r="AS24" s="5">
        <v>65.895893749999999</v>
      </c>
      <c r="AT24" s="5">
        <v>68.047524999999993</v>
      </c>
      <c r="AU24" s="5">
        <v>27.49566875</v>
      </c>
      <c r="AV24" s="5">
        <v>33.344484375</v>
      </c>
      <c r="AW24" s="5">
        <v>32.782793749999897</v>
      </c>
      <c r="AX24" s="5"/>
      <c r="AY24" s="5"/>
      <c r="AZ24" s="5"/>
      <c r="BA24" s="5"/>
      <c r="BC24" s="18">
        <f t="shared" si="12"/>
        <v>1675712</v>
      </c>
      <c r="BD24" s="18">
        <f t="shared" si="13"/>
        <v>1639848</v>
      </c>
      <c r="BE24" s="20">
        <f t="shared" si="14"/>
        <v>2.939944769248648E-2</v>
      </c>
      <c r="BF24" s="20">
        <f t="shared" si="15"/>
        <v>9.6326101146848586E-5</v>
      </c>
      <c r="BG24" s="20">
        <f t="array" ref="BG24">AVERAGE(BD24:BD28/AO24:AO28) - AVERAGE(BC24:BC28/R24:R28)</f>
        <v>-6.8992662229605539E-4</v>
      </c>
      <c r="BI24" s="50">
        <f>bdRateExtend( R24:R28,V24:V28, AO24:AO28,AS24:AS28)</f>
        <v>-1.6126645141191664E-2</v>
      </c>
      <c r="BJ24" s="50">
        <f>bdRateExtend( R24:R28,W24:W28, AO24:AO28,AT24:AT28)</f>
        <v>-5.053758816066467E-2</v>
      </c>
      <c r="BK24" s="50">
        <f>bdRateExtend( R24:R28,X24:X28, AO24:AO28,AU24:AU28)</f>
        <v>-2.7840170862660663E-2</v>
      </c>
      <c r="BL24" s="50">
        <f>bdRateExtend( R24:R28,Y24:Y28, AO24:AO28,AV24:AV28)</f>
        <v>-3.8249181462975623E-2</v>
      </c>
      <c r="BM24" s="50">
        <f>bdRateExtend( R24:R28,Z24:Z28, AO24:AO28,AW24:AW28)</f>
        <v>-3.8320403122759972E-2</v>
      </c>
      <c r="BO24" s="50">
        <f>bdRateExtend( BC24:BC28,V24:V28, BD24:BD28,AS24:AS28)</f>
        <v>-3.1667725968176352E-2</v>
      </c>
      <c r="BP24" s="50">
        <f>bdRateExtend( BC24:BC28,W24:W28, BD24:BD28,AT24:AT28)</f>
        <v>-4.594989824767981E-2</v>
      </c>
      <c r="BQ24" s="50">
        <f>bdRateExtend( U24:U28,X24:X28, AR24:AR28,AU24:AU28)</f>
        <v>-2.688659559656259E-2</v>
      </c>
      <c r="BR24" s="50">
        <f>bdRateExtend( U24:U28,Y24:Y28, AR24:AR28,AV24:AV28)</f>
        <v>-3.7813809932039866E-2</v>
      </c>
      <c r="BS24" s="50">
        <f>bdRateExtend( U24:U28,Z24:Z28, AR24:AR28,AW24:AW28)</f>
        <v>-3.8044724269500008E-2</v>
      </c>
    </row>
    <row r="25" spans="1:71" outlineLevel="1" x14ac:dyDescent="0.25">
      <c r="A25" s="25"/>
      <c r="B25" s="25"/>
      <c r="C25" s="26" t="s">
        <v>311</v>
      </c>
      <c r="D25" s="25">
        <v>250294582</v>
      </c>
      <c r="E25" s="26">
        <v>10</v>
      </c>
      <c r="F25" s="26">
        <v>300</v>
      </c>
      <c r="G25" s="26">
        <v>30</v>
      </c>
      <c r="I25" s="56">
        <f t="shared" si="0"/>
        <v>0.93986800000000004</v>
      </c>
      <c r="J25" s="28">
        <f t="shared" si="1"/>
        <v>3.7550473225984572E-2</v>
      </c>
      <c r="K25" s="28">
        <f t="shared" si="2"/>
        <v>8.4139575981712622E-3</v>
      </c>
      <c r="L25" s="28">
        <f t="shared" si="3"/>
        <v>5.4959879235420284E-3</v>
      </c>
      <c r="M25" s="28">
        <f t="shared" si="4"/>
        <v>2.9135460870663193E-2</v>
      </c>
      <c r="N25" s="28">
        <f t="shared" si="5"/>
        <v>0.2473582638106355</v>
      </c>
      <c r="O25" s="5">
        <v>37996224</v>
      </c>
      <c r="P25" s="5">
        <v>1187382</v>
      </c>
      <c r="Q25" s="5">
        <v>427835.15625</v>
      </c>
      <c r="R25" s="5">
        <v>9398680</v>
      </c>
      <c r="S25" s="5">
        <v>1375616</v>
      </c>
      <c r="T25" s="5">
        <v>730352</v>
      </c>
      <c r="U25" s="5">
        <v>7292448</v>
      </c>
      <c r="V25" s="5">
        <v>67.814868750000002</v>
      </c>
      <c r="W25" s="5">
        <v>69.949540624999997</v>
      </c>
      <c r="X25" s="5">
        <v>29.8384125</v>
      </c>
      <c r="Y25" s="5">
        <v>34.492193749999998</v>
      </c>
      <c r="Z25" s="5">
        <v>34.073365625000001</v>
      </c>
      <c r="AA25" s="5"/>
      <c r="AB25" s="5"/>
      <c r="AC25" s="5"/>
      <c r="AD25" s="5"/>
      <c r="AF25" s="56">
        <f t="shared" si="6"/>
        <v>0.91021759999999996</v>
      </c>
      <c r="AG25" s="28">
        <f t="shared" si="7"/>
        <v>3.6365853097051856E-2</v>
      </c>
      <c r="AH25" s="28">
        <f t="shared" si="8"/>
        <v>8.1527933353347619E-3</v>
      </c>
      <c r="AI25" s="28">
        <f t="shared" si="9"/>
        <v>5.2839817363685487E-3</v>
      </c>
      <c r="AJ25" s="28">
        <f t="shared" si="10"/>
        <v>2.8212005004566977E-2</v>
      </c>
      <c r="AK25" s="28">
        <f t="shared" si="11"/>
        <v>0.23955475154583783</v>
      </c>
      <c r="AL25" s="5">
        <v>37996224</v>
      </c>
      <c r="AM25" s="5">
        <v>1187382</v>
      </c>
      <c r="AN25" s="5">
        <v>450832.25</v>
      </c>
      <c r="AO25" s="5">
        <v>9102176</v>
      </c>
      <c r="AP25" s="5">
        <v>1322552</v>
      </c>
      <c r="AQ25" s="5">
        <v>718048</v>
      </c>
      <c r="AR25" s="5">
        <v>7061312</v>
      </c>
      <c r="AS25" s="5">
        <v>67.647837499999994</v>
      </c>
      <c r="AT25" s="5">
        <v>69.988856249999998</v>
      </c>
      <c r="AU25" s="5">
        <v>29.828990624999999</v>
      </c>
      <c r="AV25" s="5">
        <v>34.496559374999997</v>
      </c>
      <c r="AW25" s="5">
        <v>34.076606249999998</v>
      </c>
      <c r="AX25" s="5"/>
      <c r="AY25" s="5"/>
      <c r="AZ25" s="5"/>
      <c r="BA25" s="5"/>
      <c r="BC25" s="25">
        <f t="shared" si="12"/>
        <v>2105968</v>
      </c>
      <c r="BD25" s="25">
        <f t="shared" si="13"/>
        <v>2040600</v>
      </c>
      <c r="BE25" s="27">
        <f t="shared" si="14"/>
        <v>1.936789824167795E-2</v>
      </c>
      <c r="BF25" s="27">
        <f t="shared" si="15"/>
        <v>1.1753600284838961E-4</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1.7347736</v>
      </c>
      <c r="J26" s="21">
        <f t="shared" si="1"/>
        <v>6.9309274940677706E-2</v>
      </c>
      <c r="K26" s="21">
        <f t="shared" si="2"/>
        <v>1.0903887643880361E-2</v>
      </c>
      <c r="L26" s="21">
        <f t="shared" si="3"/>
        <v>7.9859179692511276E-3</v>
      </c>
      <c r="M26" s="21">
        <f t="shared" si="4"/>
        <v>5.8404332539647226E-2</v>
      </c>
      <c r="N26" s="21">
        <f t="shared" si="5"/>
        <v>0.4565647365380307</v>
      </c>
      <c r="O26" s="5">
        <v>37996224</v>
      </c>
      <c r="P26" s="5">
        <v>1187382</v>
      </c>
      <c r="Q26" s="5">
        <v>391191.78125</v>
      </c>
      <c r="R26" s="5">
        <v>17347736</v>
      </c>
      <c r="S26" s="5">
        <v>1998832</v>
      </c>
      <c r="T26" s="5">
        <v>730352</v>
      </c>
      <c r="U26" s="5">
        <v>14618288</v>
      </c>
      <c r="V26" s="5">
        <v>69.144087499999998</v>
      </c>
      <c r="W26" s="5">
        <v>71.664940625</v>
      </c>
      <c r="X26" s="5">
        <v>32.333671875</v>
      </c>
      <c r="Y26" s="5">
        <v>35.759203124999999</v>
      </c>
      <c r="Z26" s="5">
        <v>35.399637499999997</v>
      </c>
      <c r="AA26" s="5"/>
      <c r="AB26" s="5"/>
      <c r="AC26" s="5"/>
      <c r="AD26" s="5"/>
      <c r="AF26" s="55">
        <f t="shared" si="6"/>
        <v>1.6779776000000002</v>
      </c>
      <c r="AG26" s="21">
        <f t="shared" si="7"/>
        <v>6.7040108762721845E-2</v>
      </c>
      <c r="AH26" s="21">
        <f t="shared" si="8"/>
        <v>1.0534850490691005E-2</v>
      </c>
      <c r="AI26" s="21">
        <f t="shared" si="9"/>
        <v>7.6660388917247921E-3</v>
      </c>
      <c r="AJ26" s="21">
        <f t="shared" si="10"/>
        <v>5.6504203514880717E-2</v>
      </c>
      <c r="AK26" s="21">
        <f t="shared" si="11"/>
        <v>0.44161693540916064</v>
      </c>
      <c r="AL26" s="5">
        <v>37996224</v>
      </c>
      <c r="AM26" s="5">
        <v>1187382</v>
      </c>
      <c r="AN26" s="5">
        <v>403373.5625</v>
      </c>
      <c r="AO26" s="5">
        <v>16779776</v>
      </c>
      <c r="AP26" s="5">
        <v>1918768</v>
      </c>
      <c r="AQ26" s="5">
        <v>718048</v>
      </c>
      <c r="AR26" s="5">
        <v>14142696</v>
      </c>
      <c r="AS26" s="5">
        <v>69.196993750000004</v>
      </c>
      <c r="AT26" s="5">
        <v>71.733340624999997</v>
      </c>
      <c r="AU26" s="5">
        <v>32.315937499999997</v>
      </c>
      <c r="AV26" s="5">
        <v>35.774443750000003</v>
      </c>
      <c r="AW26" s="5">
        <v>35.420046874999997</v>
      </c>
      <c r="AX26" s="5"/>
      <c r="AY26" s="5"/>
      <c r="AZ26" s="5"/>
      <c r="BA26" s="5"/>
      <c r="BC26" s="18">
        <f t="shared" si="12"/>
        <v>2729184</v>
      </c>
      <c r="BD26" s="18">
        <f t="shared" si="13"/>
        <v>2636816</v>
      </c>
      <c r="BE26" s="20">
        <f t="shared" si="14"/>
        <v>1.0259361561822555E-2</v>
      </c>
      <c r="BF26" s="20">
        <f t="shared" si="15"/>
        <v>-1.7969745506349333E-4</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3.2569272000000002</v>
      </c>
      <c r="J27" s="28">
        <f t="shared" si="1"/>
        <v>0.13012375953067973</v>
      </c>
      <c r="K27" s="28">
        <f t="shared" si="2"/>
        <v>1.5253098846542351E-2</v>
      </c>
      <c r="L27" s="28">
        <f t="shared" si="3"/>
        <v>1.2335129171913118E-2</v>
      </c>
      <c r="M27" s="28">
        <f t="shared" si="4"/>
        <v>0.11486960592698726</v>
      </c>
      <c r="N27" s="28">
        <f t="shared" si="5"/>
        <v>0.85717128101992446</v>
      </c>
      <c r="O27" s="5">
        <v>37996224</v>
      </c>
      <c r="P27" s="5">
        <v>1187382</v>
      </c>
      <c r="Q27" s="5">
        <v>397767.59375</v>
      </c>
      <c r="R27" s="5">
        <v>32569272</v>
      </c>
      <c r="S27" s="5">
        <v>3087416</v>
      </c>
      <c r="T27" s="5">
        <v>730352</v>
      </c>
      <c r="U27" s="5">
        <v>28751240</v>
      </c>
      <c r="V27" s="5">
        <v>70.382068750000002</v>
      </c>
      <c r="W27" s="5">
        <v>73.316634375000007</v>
      </c>
      <c r="X27" s="5">
        <v>34.95349375</v>
      </c>
      <c r="Y27" s="5">
        <v>37.545731250000003</v>
      </c>
      <c r="Z27" s="5">
        <v>37.135987499999999</v>
      </c>
      <c r="AA27" s="5"/>
      <c r="AB27" s="5"/>
      <c r="AC27" s="5"/>
      <c r="AD27" s="5"/>
      <c r="AF27" s="56">
        <f t="shared" si="6"/>
        <v>3.1491903999999997</v>
      </c>
      <c r="AG27" s="28">
        <f t="shared" si="7"/>
        <v>0.12581935952572876</v>
      </c>
      <c r="AH27" s="28">
        <f t="shared" si="8"/>
        <v>1.4552963835229962E-2</v>
      </c>
      <c r="AI27" s="28">
        <f t="shared" si="9"/>
        <v>1.1684152236263748E-2</v>
      </c>
      <c r="AJ27" s="28">
        <f t="shared" si="10"/>
        <v>0.11126534093334869</v>
      </c>
      <c r="AK27" s="28">
        <f t="shared" si="11"/>
        <v>0.82881667399371051</v>
      </c>
      <c r="AL27" s="5">
        <v>37996224</v>
      </c>
      <c r="AM27" s="5">
        <v>1187382</v>
      </c>
      <c r="AN27" s="5">
        <v>405376.6875</v>
      </c>
      <c r="AO27" s="5">
        <v>31491904</v>
      </c>
      <c r="AP27" s="5">
        <v>2924480</v>
      </c>
      <c r="AQ27" s="5">
        <v>718048</v>
      </c>
      <c r="AR27" s="5">
        <v>27849112</v>
      </c>
      <c r="AS27" s="5">
        <v>70.427896875000002</v>
      </c>
      <c r="AT27" s="5">
        <v>73.381418749999895</v>
      </c>
      <c r="AU27" s="5">
        <v>34.929071874999998</v>
      </c>
      <c r="AV27" s="5">
        <v>37.576034374999999</v>
      </c>
      <c r="AW27" s="5">
        <v>37.162415625000001</v>
      </c>
      <c r="AX27" s="5"/>
      <c r="AY27" s="5"/>
      <c r="AZ27" s="5"/>
      <c r="BA27" s="5"/>
      <c r="BC27" s="25">
        <f t="shared" si="12"/>
        <v>3817768</v>
      </c>
      <c r="BD27" s="25">
        <f t="shared" si="13"/>
        <v>3642528</v>
      </c>
      <c r="BE27" s="27">
        <f t="shared" si="14"/>
        <v>6.4082946768605487E-3</v>
      </c>
      <c r="BF27" s="27">
        <f t="shared" si="15"/>
        <v>-1.5543992294126396E-3</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5.7366543999999999</v>
      </c>
      <c r="J28" s="42">
        <f t="shared" si="1"/>
        <v>0.22919610780867802</v>
      </c>
      <c r="K28" s="42">
        <f t="shared" si="2"/>
        <v>2.2695912770496967E-2</v>
      </c>
      <c r="L28" s="42">
        <f t="shared" si="3"/>
        <v>1.9777943095867733E-2</v>
      </c>
      <c r="M28" s="42">
        <f t="shared" si="4"/>
        <v>0.20649914028103095</v>
      </c>
      <c r="N28" s="42">
        <f t="shared" si="5"/>
        <v>1.5097959207736011</v>
      </c>
      <c r="O28" s="5">
        <v>37996224</v>
      </c>
      <c r="P28" s="5">
        <v>1187382</v>
      </c>
      <c r="Q28" s="5">
        <v>393729.75</v>
      </c>
      <c r="R28" s="5">
        <v>57366544</v>
      </c>
      <c r="S28" s="5">
        <v>4950312</v>
      </c>
      <c r="T28" s="5">
        <v>730352</v>
      </c>
      <c r="U28" s="5">
        <v>51685616</v>
      </c>
      <c r="V28" s="5">
        <v>71.407509375000004</v>
      </c>
      <c r="W28" s="5">
        <v>74.653009374999996</v>
      </c>
      <c r="X28" s="5">
        <v>36.836946875000002</v>
      </c>
      <c r="Y28" s="5">
        <v>39.636318750000001</v>
      </c>
      <c r="Z28" s="5">
        <v>39.033887499999999</v>
      </c>
      <c r="AA28" s="5"/>
      <c r="AB28" s="5"/>
      <c r="AC28" s="5"/>
      <c r="AD28" s="5"/>
      <c r="AF28" s="58">
        <f t="shared" si="6"/>
        <v>5.5618175999999995</v>
      </c>
      <c r="AG28" s="42">
        <f t="shared" si="7"/>
        <v>0.22221086671384679</v>
      </c>
      <c r="AH28" s="42">
        <f t="shared" si="8"/>
        <v>2.1575473016031965E-2</v>
      </c>
      <c r="AI28" s="42">
        <f t="shared" si="9"/>
        <v>1.8706661417065753E-2</v>
      </c>
      <c r="AJ28" s="42">
        <f t="shared" si="10"/>
        <v>0.20063433894066474</v>
      </c>
      <c r="AK28" s="42">
        <f t="shared" si="11"/>
        <v>1.4637816641990531</v>
      </c>
      <c r="AL28" s="5">
        <v>37996224</v>
      </c>
      <c r="AM28" s="5">
        <v>1187382</v>
      </c>
      <c r="AN28" s="5">
        <v>397384.03125</v>
      </c>
      <c r="AO28" s="5">
        <v>55618176</v>
      </c>
      <c r="AP28" s="5">
        <v>4682176</v>
      </c>
      <c r="AQ28" s="5">
        <v>718048</v>
      </c>
      <c r="AR28" s="5">
        <v>50217688</v>
      </c>
      <c r="AS28" s="5">
        <v>71.459043750000006</v>
      </c>
      <c r="AT28" s="5">
        <v>74.721903124999997</v>
      </c>
      <c r="AU28" s="5">
        <v>36.841368750000001</v>
      </c>
      <c r="AV28" s="5">
        <v>39.682434375</v>
      </c>
      <c r="AW28" s="5">
        <v>39.077431249999997</v>
      </c>
      <c r="AX28" s="5"/>
      <c r="AY28" s="5"/>
      <c r="AZ28" s="5"/>
      <c r="BA28" s="5"/>
      <c r="BC28" s="39">
        <f t="shared" si="12"/>
        <v>5680664</v>
      </c>
      <c r="BD28" s="39">
        <f t="shared" si="13"/>
        <v>5400224</v>
      </c>
      <c r="BE28" s="41">
        <f t="shared" si="14"/>
        <v>3.0775952894687708E-3</v>
      </c>
      <c r="BF28" s="41">
        <f t="shared" si="15"/>
        <v>-1.9293985309995904E-3</v>
      </c>
      <c r="BG28" s="41"/>
      <c r="BI28" s="60"/>
      <c r="BJ28" s="60"/>
      <c r="BK28" s="60"/>
      <c r="BL28" s="60"/>
      <c r="BM28" s="60"/>
      <c r="BO28" s="60"/>
      <c r="BP28" s="60"/>
      <c r="BQ28" s="60"/>
      <c r="BR28" s="60"/>
      <c r="BS28" s="60"/>
    </row>
    <row r="29" spans="1:71" x14ac:dyDescent="0.25">
      <c r="B29" s="46" t="s">
        <v>571</v>
      </c>
      <c r="J29" s="47">
        <f>AVERAGE(J4:J23)</f>
        <v>5.1727274872012487E-2</v>
      </c>
      <c r="AG29" s="47">
        <f>AVERAGE(AG4:AG23)</f>
        <v>4.9847780202840655E-2</v>
      </c>
      <c r="BG29" s="6">
        <f>AVERAGE(BG4:BG23)</f>
        <v>-6.0525871150017563E-4</v>
      </c>
      <c r="BI29" s="11">
        <f>AVERAGE(BI4:BI23)</f>
        <v>-1.7347027562629347E-2</v>
      </c>
      <c r="BJ29" s="11">
        <f>AVERAGE(BJ4:BJ23)</f>
        <v>-5.3077019110001455E-2</v>
      </c>
      <c r="BK29" s="11">
        <f>AVERAGE(BK4:BK23)</f>
        <v>-2.7466222228763104E-2</v>
      </c>
      <c r="BL29" s="11">
        <f>AVERAGE(BL4:BL23)</f>
        <v>-4.5335438061963773E-2</v>
      </c>
      <c r="BM29" s="11">
        <f>AVERAGE(BM4:BM23)</f>
        <v>-4.7434188469227506E-2</v>
      </c>
      <c r="BO29" s="11">
        <f>AVERAGE(BO4:BO23)</f>
        <v>-2.5977467090937428E-2</v>
      </c>
      <c r="BP29" s="11">
        <f>AVERAGE(BP4:BP23)</f>
        <v>-4.5600103514631951E-2</v>
      </c>
      <c r="BQ29" s="11">
        <f>AVERAGE(BQ4:BQ23)</f>
        <v>-2.5570073272064536E-2</v>
      </c>
      <c r="BR29" s="11">
        <f>AVERAGE(BR4:BR23)</f>
        <v>-4.72531926756663E-2</v>
      </c>
      <c r="BS29" s="11">
        <f>AVERAGE(BS4:BS23)</f>
        <v>-4.9904113554683077E-2</v>
      </c>
    </row>
    <row r="30" spans="1:71" x14ac:dyDescent="0.25">
      <c r="B30" s="46" t="s">
        <v>572</v>
      </c>
      <c r="J30" s="47">
        <f>AVERAGE(J24:J28)</f>
        <v>9.7516709330927515E-2</v>
      </c>
      <c r="AG30" s="47">
        <f>AVERAGE(AG24:AG28)</f>
        <v>9.4475115725837E-2</v>
      </c>
      <c r="BG30" s="6">
        <f>AVERAGE(BG24:BG28)</f>
        <v>-6.8992662229605539E-4</v>
      </c>
      <c r="BI30" s="11">
        <f>AVERAGE(BI24:BI28)</f>
        <v>-1.6126645141191664E-2</v>
      </c>
      <c r="BJ30" s="11">
        <f>AVERAGE(BJ24:BJ28)</f>
        <v>-5.053758816066467E-2</v>
      </c>
      <c r="BK30" s="11">
        <f>AVERAGE(BK24:BK28)</f>
        <v>-2.7840170862660663E-2</v>
      </c>
      <c r="BL30" s="11">
        <f>AVERAGE(BL24:BL28)</f>
        <v>-3.8249181462975623E-2</v>
      </c>
      <c r="BM30" s="11">
        <f>AVERAGE(BM24:BM28)</f>
        <v>-3.8320403122759972E-2</v>
      </c>
      <c r="BO30" s="11">
        <f>AVERAGE(BO24:BO28)</f>
        <v>-3.1667725968176352E-2</v>
      </c>
      <c r="BP30" s="11">
        <f>AVERAGE(BP24:BP28)</f>
        <v>-4.594989824767981E-2</v>
      </c>
      <c r="BQ30" s="11">
        <f>AVERAGE(BQ24:BQ28)</f>
        <v>-2.688659559656259E-2</v>
      </c>
      <c r="BR30" s="11">
        <f>AVERAGE(BR24:BR28)</f>
        <v>-3.7813809932039866E-2</v>
      </c>
      <c r="BS30" s="11">
        <f>AVERAGE(BS24:BS28)</f>
        <v>-3.8044724269500008E-2</v>
      </c>
    </row>
    <row r="31" spans="1:71" collapsed="1" x14ac:dyDescent="0.25">
      <c r="B31" s="46" t="s">
        <v>258</v>
      </c>
      <c r="J31" s="47">
        <f>AVERAGE(J4:J23,J24:J28)</f>
        <v>6.0885161763795485E-2</v>
      </c>
      <c r="AG31" s="47">
        <f>AVERAGE(AG4:AG23,AG24:AG28)</f>
        <v>5.8773247307439921E-2</v>
      </c>
      <c r="BG31" s="6">
        <f>AVERAGE(BG4:BG23,BG24:BG28)</f>
        <v>-6.2219229365935154E-4</v>
      </c>
      <c r="BI31" s="11">
        <f>AVERAGE(BI4:BI23,BI24:BI28)</f>
        <v>-1.710295107834181E-2</v>
      </c>
      <c r="BJ31" s="11">
        <f>AVERAGE(BJ4:BJ23,BJ24:BJ28)</f>
        <v>-5.2569132920134098E-2</v>
      </c>
      <c r="BK31" s="11">
        <f>AVERAGE(BK4:BK23,BK24:BK28)</f>
        <v>-2.7541011955542614E-2</v>
      </c>
      <c r="BL31" s="11">
        <f>AVERAGE(BL4:BL23,BL24:BL28)</f>
        <v>-4.3918186742166146E-2</v>
      </c>
      <c r="BM31" s="11">
        <f>AVERAGE(BM4:BM23,BM24:BM28)</f>
        <v>-4.5611431399933997E-2</v>
      </c>
      <c r="BO31" s="11">
        <f>AVERAGE(BO4:BO23,BO24:BO28)</f>
        <v>-2.7115518866385212E-2</v>
      </c>
      <c r="BP31" s="11">
        <f>AVERAGE(BP4:BP23,BP24:BP28)</f>
        <v>-4.5670062461241522E-2</v>
      </c>
      <c r="BQ31" s="11">
        <f>AVERAGE(BQ4:BQ23,BQ24:BQ28)</f>
        <v>-2.5833377736964147E-2</v>
      </c>
      <c r="BR31" s="11">
        <f>AVERAGE(BR4:BR23,BR24:BR28)</f>
        <v>-4.5365316126941016E-2</v>
      </c>
      <c r="BS31" s="11">
        <f>AVERAGE(BS4:BS23,BS24:BS28)</f>
        <v>-4.7532235697646461E-2</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71" hidden="1" outlineLevel="2" x14ac:dyDescent="0.25">
      <c r="B33" s="46" t="s">
        <v>261</v>
      </c>
      <c r="AX33" s="6" t="e">
        <f>AX32/AA32</f>
        <v>#DIV/0!</v>
      </c>
      <c r="AY33" s="6" t="e">
        <f>AY32/AB32</f>
        <v>#DIV/0!</v>
      </c>
      <c r="AZ33" s="6" t="e">
        <f>AZ32/AC32</f>
        <v>#DIV/0!</v>
      </c>
      <c r="BA33" s="6" t="e">
        <f>BA32/AD32</f>
        <v>#DIV/0!</v>
      </c>
    </row>
    <row r="34" spans="2:71"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71" outlineLevel="2" collapsed="1" x14ac:dyDescent="0.25">
      <c r="B35" s="46" t="s">
        <v>263</v>
      </c>
      <c r="AX35" s="6" t="e">
        <f>AX34/AA34</f>
        <v>#NUM!</v>
      </c>
      <c r="AY35" s="6" t="e">
        <f>AY34/AB34</f>
        <v>#NUM!</v>
      </c>
      <c r="AZ35" s="6" t="e">
        <f>AZ34/AC34</f>
        <v>#NUM!</v>
      </c>
      <c r="BA35" s="6" t="e">
        <f>BA34/AD34</f>
        <v>#NUM!</v>
      </c>
    </row>
    <row r="37" spans="2:71" x14ac:dyDescent="0.25">
      <c r="B37" s="5"/>
    </row>
    <row r="38" spans="2:71" x14ac:dyDescent="0.2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row>
    <row r="39" spans="2:71" x14ac:dyDescent="0.2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E39" s="5"/>
      <c r="BF39" s="5"/>
      <c r="BG39" s="5"/>
      <c r="BH39" s="5"/>
      <c r="BI39" s="5"/>
      <c r="BJ39" s="5"/>
      <c r="BK39" s="5"/>
      <c r="BL39" s="5"/>
      <c r="BM39" s="5"/>
      <c r="BN39" s="5"/>
      <c r="BO39" s="5"/>
      <c r="BP39" s="5"/>
      <c r="BQ39" s="5"/>
      <c r="BR39" s="5"/>
      <c r="BS39" s="5"/>
    </row>
    <row r="40" spans="2:71" x14ac:dyDescent="0.25">
      <c r="N40" s="5"/>
      <c r="O40" s="5"/>
      <c r="P40" s="5"/>
      <c r="Q40" s="5"/>
      <c r="R40" s="5"/>
      <c r="S40" s="5"/>
      <c r="T40" s="5"/>
      <c r="U40" s="5"/>
      <c r="V40" s="5"/>
      <c r="W40" s="5"/>
      <c r="X40" s="5"/>
      <c r="Y40" s="5"/>
      <c r="Z40" s="5"/>
      <c r="AA40" s="5"/>
      <c r="AB40" s="5"/>
      <c r="AC40" s="5"/>
      <c r="AD40" s="5"/>
      <c r="AK40" s="5"/>
      <c r="AL40" s="5"/>
      <c r="AM40" s="5"/>
      <c r="AN40" s="5"/>
      <c r="AO40" s="5"/>
      <c r="AP40" s="5"/>
      <c r="AQ40" s="5"/>
      <c r="AR40" s="5"/>
      <c r="AS40" s="5"/>
      <c r="AT40" s="5"/>
      <c r="AU40" s="5"/>
      <c r="AV40" s="5"/>
      <c r="AW40" s="5"/>
      <c r="AX40" s="5"/>
      <c r="AY40" s="5"/>
      <c r="AZ40" s="5"/>
      <c r="BA40" s="5"/>
    </row>
    <row r="41" spans="2:71"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71"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71"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71"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71"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71"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71"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71" x14ac:dyDescent="0.2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9"/>
  <sheetViews>
    <sheetView tabSelected="1" zoomScale="60" zoomScaleNormal="60" workbookViewId="0">
      <pane xSplit="2" topLeftCell="AC1" activePane="topRight" state="frozen"/>
      <selection pane="topRight" activeCell="BL41" sqref="BL41"/>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4" t="s">
        <v>809</v>
      </c>
      <c r="B1" s="74"/>
      <c r="C1" s="74"/>
      <c r="D1" s="74"/>
      <c r="E1" s="74"/>
      <c r="F1" s="74"/>
      <c r="G1" s="74"/>
      <c r="I1" s="71" t="s">
        <v>1477</v>
      </c>
      <c r="J1" s="71"/>
      <c r="K1" s="71"/>
      <c r="L1" s="71"/>
      <c r="M1" s="71"/>
      <c r="N1" s="71"/>
      <c r="O1" s="71"/>
      <c r="P1" s="71"/>
      <c r="Q1" s="71"/>
      <c r="R1" s="71"/>
      <c r="S1" s="71"/>
      <c r="T1" s="71"/>
      <c r="U1" s="71"/>
      <c r="V1" s="71"/>
      <c r="W1" s="71"/>
      <c r="X1" s="71"/>
      <c r="Y1" s="71"/>
      <c r="Z1" s="71"/>
      <c r="AA1" s="71"/>
      <c r="AB1" s="71"/>
      <c r="AC1" s="71"/>
      <c r="AD1" s="71"/>
      <c r="AF1" s="72" t="s">
        <v>1480</v>
      </c>
      <c r="AG1" s="72"/>
      <c r="AH1" s="72"/>
      <c r="AI1" s="72"/>
      <c r="AJ1" s="72"/>
      <c r="AK1" s="72"/>
      <c r="AL1" s="72"/>
      <c r="AM1" s="72"/>
      <c r="AN1" s="72"/>
      <c r="AO1" s="72"/>
      <c r="AP1" s="72"/>
      <c r="AQ1" s="72"/>
      <c r="AR1" s="72"/>
      <c r="AS1" s="72"/>
      <c r="AT1" s="72"/>
      <c r="AU1" s="72"/>
      <c r="AV1" s="72"/>
      <c r="AW1" s="72"/>
      <c r="AX1" s="72"/>
      <c r="AY1" s="72"/>
      <c r="AZ1" s="72"/>
      <c r="BA1" s="72"/>
      <c r="BC1" s="63" t="s">
        <v>2</v>
      </c>
      <c r="BD1" s="62" t="s">
        <v>3</v>
      </c>
    </row>
    <row r="2" spans="1:71" ht="30" customHeight="1" thickBot="1" x14ac:dyDescent="0.3">
      <c r="A2" s="73" t="s">
        <v>97</v>
      </c>
      <c r="B2" s="76" t="s">
        <v>99</v>
      </c>
      <c r="C2" s="73" t="s">
        <v>275</v>
      </c>
      <c r="D2" s="76" t="s">
        <v>101</v>
      </c>
      <c r="E2" s="73" t="s">
        <v>103</v>
      </c>
      <c r="F2" s="76" t="s">
        <v>513</v>
      </c>
      <c r="G2" s="73" t="s">
        <v>515</v>
      </c>
      <c r="I2" s="76" t="s">
        <v>518</v>
      </c>
      <c r="J2" s="77" t="s">
        <v>107</v>
      </c>
      <c r="K2" s="77"/>
      <c r="L2" s="77"/>
      <c r="M2" s="77"/>
      <c r="N2" s="76" t="s">
        <v>112</v>
      </c>
      <c r="O2" s="73" t="s">
        <v>26</v>
      </c>
      <c r="P2" s="76" t="s">
        <v>28</v>
      </c>
      <c r="Q2" s="73" t="s">
        <v>24</v>
      </c>
      <c r="R2" s="75" t="s">
        <v>115</v>
      </c>
      <c r="S2" s="75"/>
      <c r="T2" s="75"/>
      <c r="U2" s="75"/>
      <c r="V2" s="77" t="s">
        <v>374</v>
      </c>
      <c r="W2" s="77"/>
      <c r="X2" s="75" t="s">
        <v>284</v>
      </c>
      <c r="Y2" s="75"/>
      <c r="Z2" s="75"/>
      <c r="AA2" s="77" t="s">
        <v>528</v>
      </c>
      <c r="AB2" s="77"/>
      <c r="AC2" s="75" t="s">
        <v>533</v>
      </c>
      <c r="AD2" s="75"/>
      <c r="AF2" s="73" t="s">
        <v>518</v>
      </c>
      <c r="AG2" s="75" t="s">
        <v>107</v>
      </c>
      <c r="AH2" s="75"/>
      <c r="AI2" s="75"/>
      <c r="AJ2" s="75"/>
      <c r="AK2" s="73" t="s">
        <v>112</v>
      </c>
      <c r="AL2" s="76" t="s">
        <v>26</v>
      </c>
      <c r="AM2" s="73" t="s">
        <v>28</v>
      </c>
      <c r="AN2" s="76" t="s">
        <v>24</v>
      </c>
      <c r="AO2" s="77" t="s">
        <v>115</v>
      </c>
      <c r="AP2" s="77"/>
      <c r="AQ2" s="77"/>
      <c r="AR2" s="77"/>
      <c r="AS2" s="75" t="s">
        <v>374</v>
      </c>
      <c r="AT2" s="75"/>
      <c r="AU2" s="77" t="s">
        <v>284</v>
      </c>
      <c r="AV2" s="77"/>
      <c r="AW2" s="77"/>
      <c r="AX2" s="75" t="s">
        <v>528</v>
      </c>
      <c r="AY2" s="75"/>
      <c r="AZ2" s="77" t="s">
        <v>533</v>
      </c>
      <c r="BA2" s="77"/>
      <c r="BC2" s="76" t="s">
        <v>115</v>
      </c>
      <c r="BD2" s="76"/>
      <c r="BE2" s="76" t="s">
        <v>708</v>
      </c>
      <c r="BF2" s="73" t="s">
        <v>133</v>
      </c>
      <c r="BG2" s="76" t="s">
        <v>133</v>
      </c>
      <c r="BI2" s="77" t="s">
        <v>409</v>
      </c>
      <c r="BJ2" s="77"/>
      <c r="BK2" s="75" t="s">
        <v>412</v>
      </c>
      <c r="BL2" s="75"/>
      <c r="BM2" s="75"/>
      <c r="BO2" s="77" t="s">
        <v>717</v>
      </c>
      <c r="BP2" s="77"/>
      <c r="BQ2" s="75" t="s">
        <v>301</v>
      </c>
      <c r="BR2" s="75"/>
      <c r="BS2" s="75"/>
    </row>
    <row r="3" spans="1:71" ht="30" customHeight="1" thickBot="1" x14ac:dyDescent="0.3">
      <c r="A3" s="73"/>
      <c r="B3" s="76"/>
      <c r="C3" s="73"/>
      <c r="D3" s="76"/>
      <c r="E3" s="73"/>
      <c r="F3" s="76"/>
      <c r="G3" s="73"/>
      <c r="I3" s="76"/>
      <c r="J3" s="16" t="s">
        <v>108</v>
      </c>
      <c r="K3" s="16" t="s">
        <v>587</v>
      </c>
      <c r="L3" s="16" t="s">
        <v>110</v>
      </c>
      <c r="M3" s="16" t="s">
        <v>366</v>
      </c>
      <c r="N3" s="76"/>
      <c r="O3" s="73"/>
      <c r="P3" s="76"/>
      <c r="Q3" s="73"/>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3"/>
      <c r="AG3" s="17" t="s">
        <v>108</v>
      </c>
      <c r="AH3" s="17" t="s">
        <v>587</v>
      </c>
      <c r="AI3" s="17" t="s">
        <v>110</v>
      </c>
      <c r="AJ3" s="17" t="s">
        <v>366</v>
      </c>
      <c r="AK3" s="73"/>
      <c r="AL3" s="76"/>
      <c r="AM3" s="73"/>
      <c r="AN3" s="76"/>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6"/>
      <c r="BF3" s="73"/>
      <c r="BG3" s="76"/>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0.19498560000000001</v>
      </c>
      <c r="J4" s="21">
        <f t="shared" ref="J4:J28" si="1">IF(ISBLANK(R4),"·",R4/D4)</f>
        <v>8.1876361502366841E-3</v>
      </c>
      <c r="K4" s="21">
        <f t="shared" ref="K4:K28" si="2">IF(BC4="","·",BC4/D4)</f>
        <v>5.7607591458314397E-3</v>
      </c>
      <c r="L4" s="21">
        <f t="shared" ref="L4:L28" si="3">IF(S4="","·",S4/D4)</f>
        <v>3.0267769205874718E-3</v>
      </c>
      <c r="M4" s="21">
        <f t="shared" ref="M4:M28" si="4">IF(ISBLANK(U4),"·",U4/D4)</f>
        <v>2.4257684425711074E-3</v>
      </c>
      <c r="N4" s="21">
        <f t="shared" ref="N4:N28" si="5">IF(ISBLANK(R4),"·",R4/O4)</f>
        <v>5.0785964327387897E-2</v>
      </c>
      <c r="O4" s="5">
        <v>38393600</v>
      </c>
      <c r="P4" s="5">
        <v>1199800</v>
      </c>
      <c r="Q4" s="5">
        <v>475463.625</v>
      </c>
      <c r="R4" s="5">
        <v>1949856</v>
      </c>
      <c r="S4" s="5">
        <v>720816</v>
      </c>
      <c r="T4" s="5">
        <v>651088</v>
      </c>
      <c r="U4" s="5">
        <v>577688</v>
      </c>
      <c r="V4" s="5">
        <v>66.269562500000006</v>
      </c>
      <c r="W4" s="5">
        <v>67.826503125000002</v>
      </c>
      <c r="X4" s="5">
        <v>32.385878124999998</v>
      </c>
      <c r="Y4" s="5">
        <v>44.748800000000003</v>
      </c>
      <c r="Z4" s="5">
        <v>44.496090625000001</v>
      </c>
      <c r="AA4" s="5"/>
      <c r="AB4" s="5"/>
      <c r="AC4" s="5"/>
      <c r="AD4" s="5"/>
      <c r="AF4" s="55">
        <f t="shared" ref="AF4:AF28" si="6">IF(OR(ISBLANK(AO4),ISBLANK(G4)),"·",AO4*G4/F4/1000000)</f>
        <v>0.18779599999999999</v>
      </c>
      <c r="AG4" s="21">
        <f t="shared" ref="AG4:AG28" si="7">IF(ISBLANK(AO4),"·",AO4/D4)</f>
        <v>7.8857378107401177E-3</v>
      </c>
      <c r="AH4" s="21">
        <f t="shared" ref="AH4:AH28" si="8">IF(BD4="","·",BD4/D4)</f>
        <v>5.5191262587724879E-3</v>
      </c>
      <c r="AI4" s="21">
        <f t="shared" ref="AI4:AI28" si="9">IF(AP4="","·",AP4/D4)</f>
        <v>2.929828149274788E-3</v>
      </c>
      <c r="AJ4" s="21">
        <f t="shared" ref="AJ4:AJ28" si="10">IF(ISBLANK(AR4),"·",AR4/D4)</f>
        <v>2.3654693973506405E-3</v>
      </c>
      <c r="AK4" s="21">
        <f t="shared" ref="AK4:AK28" si="11">IF(ISBLANK(AO4),"·",AO4/AL4)</f>
        <v>4.891336056009335E-2</v>
      </c>
      <c r="AL4" s="5">
        <v>38393600</v>
      </c>
      <c r="AM4" s="79">
        <v>1199800</v>
      </c>
      <c r="AN4" s="79">
        <v>507319</v>
      </c>
      <c r="AO4" s="78">
        <v>1877960</v>
      </c>
      <c r="AP4" s="78">
        <v>697728</v>
      </c>
      <c r="AQ4" s="78">
        <v>616632</v>
      </c>
      <c r="AR4" s="78">
        <v>563328</v>
      </c>
      <c r="AS4" s="79">
        <v>66.136600000000001</v>
      </c>
      <c r="AT4" s="79">
        <v>67.872699999999995</v>
      </c>
      <c r="AU4" s="79">
        <v>32.377699999999997</v>
      </c>
      <c r="AV4" s="79">
        <v>44.783999999999999</v>
      </c>
      <c r="AW4" s="79">
        <v>44.5426</v>
      </c>
      <c r="AX4" s="5"/>
      <c r="AY4" s="5"/>
      <c r="AZ4" s="5"/>
      <c r="BA4" s="5"/>
      <c r="BC4" s="18">
        <f t="shared" ref="BC4:BC28" si="12">IF(OR(ISBLANK(S4),ISBLANK(T4)),"",S4+T4)</f>
        <v>1371904</v>
      </c>
      <c r="BD4" s="18">
        <f t="shared" ref="BD4:BD28" si="13">IF(OR(ISBLANK(AP4),ISBLANK(AQ4)),"",AP4+AQ4)</f>
        <v>1314360</v>
      </c>
      <c r="BE4" s="20">
        <f t="shared" ref="BE4:BE28" si="14">(AN4/AM4) - (Q4/P4)</f>
        <v>2.6550570928488115E-2</v>
      </c>
      <c r="BF4" s="20">
        <f t="shared" ref="BF4:BF28" si="15">(BD4/AO4) - (BC4/R4)</f>
        <v>-3.7053588717564923E-3</v>
      </c>
      <c r="BG4" s="20">
        <f t="array" ref="BG4">AVERAGE(BD4:BD8/AO4:AO8) - AVERAGE(BC4:BC8/R4:R8)</f>
        <v>-2.0742882426147968E-3</v>
      </c>
      <c r="BI4" s="50">
        <f>bdRateExtend( R4:R8,V4:V8, AO4:AO8,AS4:AS8)</f>
        <v>-6.2576270113604116E-2</v>
      </c>
      <c r="BJ4" s="50">
        <f>bdRateExtend( R4:R8,W4:W8, AO4:AO8,AT4:AT8)</f>
        <v>-7.1424666632191602E-2</v>
      </c>
      <c r="BK4" s="50">
        <f>bdRateExtend( R4:R8,X4:X8, AO4:AO8,AU4:AU8)</f>
        <v>-5.4747983916984433E-2</v>
      </c>
      <c r="BL4" s="50">
        <f>bdRateExtend( R4:R8,Y4:Y8, AO4:AO8,AV4:AV8)</f>
        <v>-6.8164309033815984E-2</v>
      </c>
      <c r="BM4" s="50">
        <f>bdRateExtend( R4:R8,Z4:Z8, AO4:AO8,AW4:AW8)</f>
        <v>-6.542695659366804E-2</v>
      </c>
      <c r="BO4" s="50">
        <f>bdRateExtend( BC4:BC8,V4:V8, BD4:BD8,AS4:AS8)</f>
        <v>-6.1965264465387748E-2</v>
      </c>
      <c r="BP4" s="50">
        <f>bdRateExtend( BC4:BC8,W4:W8, BD4:BD8,AT4:AT8)</f>
        <v>-6.7633303822875024E-2</v>
      </c>
      <c r="BQ4" s="50">
        <f>bdRateExtend( U4:U8,X4:X8, AR4:AR8,AU4:AU8)</f>
        <v>-5.2447355548922991E-2</v>
      </c>
      <c r="BR4" s="50">
        <f>bdRateExtend( U4:U8,Y4:Y8, AR4:AR8,AV4:AV8)</f>
        <v>-7.3192029804107994E-2</v>
      </c>
      <c r="BS4" s="50">
        <f>bdRateExtend( U4:U8,Z4:Z8, AR4:AR8,AW4:AW8)</f>
        <v>-6.6748702871968768E-2</v>
      </c>
    </row>
    <row r="5" spans="1:71" outlineLevel="1" x14ac:dyDescent="0.25">
      <c r="A5" s="25"/>
      <c r="B5" s="25"/>
      <c r="C5" s="26" t="s">
        <v>311</v>
      </c>
      <c r="D5" s="25">
        <v>238146391</v>
      </c>
      <c r="E5" s="26">
        <v>10</v>
      </c>
      <c r="F5" s="26">
        <v>300</v>
      </c>
      <c r="G5" s="26">
        <v>30</v>
      </c>
      <c r="I5" s="56">
        <f t="shared" si="0"/>
        <v>0.27428720000000001</v>
      </c>
      <c r="J5" s="28">
        <f t="shared" si="1"/>
        <v>1.1517587936069121E-2</v>
      </c>
      <c r="K5" s="28">
        <f t="shared" si="2"/>
        <v>7.1706146493733768E-3</v>
      </c>
      <c r="L5" s="28">
        <f t="shared" si="3"/>
        <v>4.4366324241294089E-3</v>
      </c>
      <c r="M5" s="28">
        <f t="shared" si="4"/>
        <v>4.3458647248616087E-3</v>
      </c>
      <c r="N5" s="28">
        <f t="shared" si="5"/>
        <v>7.1440865144190693E-2</v>
      </c>
      <c r="O5" s="5">
        <v>38393600</v>
      </c>
      <c r="P5" s="5">
        <v>1199800</v>
      </c>
      <c r="Q5" s="5">
        <v>426976.59375</v>
      </c>
      <c r="R5" s="5">
        <v>2742872</v>
      </c>
      <c r="S5" s="5">
        <v>1056568</v>
      </c>
      <c r="T5" s="5">
        <v>651088</v>
      </c>
      <c r="U5" s="5">
        <v>1034952</v>
      </c>
      <c r="V5" s="5">
        <v>67.885971874999996</v>
      </c>
      <c r="W5" s="5">
        <v>69.870931249999998</v>
      </c>
      <c r="X5" s="5">
        <v>34.607296875000003</v>
      </c>
      <c r="Y5" s="5">
        <v>45.862946874999999</v>
      </c>
      <c r="Z5" s="5">
        <v>45.86285625</v>
      </c>
      <c r="AA5" s="5"/>
      <c r="AB5" s="5"/>
      <c r="AC5" s="5"/>
      <c r="AD5" s="5"/>
      <c r="AF5" s="56">
        <f t="shared" si="6"/>
        <v>0.26028479999999998</v>
      </c>
      <c r="AG5" s="28">
        <f t="shared" si="7"/>
        <v>1.0929613457799577E-2</v>
      </c>
      <c r="AH5" s="28">
        <f t="shared" si="8"/>
        <v>6.8135905532156482E-3</v>
      </c>
      <c r="AI5" s="28">
        <f t="shared" si="9"/>
        <v>4.224292443717948E-3</v>
      </c>
      <c r="AJ5" s="28">
        <f t="shared" si="10"/>
        <v>4.1148807499669397E-3</v>
      </c>
      <c r="AK5" s="28">
        <f t="shared" si="11"/>
        <v>6.7793798966494415E-2</v>
      </c>
      <c r="AL5" s="5">
        <v>38393600</v>
      </c>
      <c r="AM5" s="79">
        <v>1199800</v>
      </c>
      <c r="AN5" s="79">
        <v>446982</v>
      </c>
      <c r="AO5" s="78">
        <v>2602848</v>
      </c>
      <c r="AP5" s="78">
        <v>1006000</v>
      </c>
      <c r="AQ5" s="78">
        <v>616632</v>
      </c>
      <c r="AR5" s="78">
        <v>979944</v>
      </c>
      <c r="AS5" s="79">
        <v>67.856700000000004</v>
      </c>
      <c r="AT5" s="79">
        <v>69.918700000000001</v>
      </c>
      <c r="AU5" s="79">
        <v>34.601300000000002</v>
      </c>
      <c r="AV5" s="79">
        <v>45.940800000000003</v>
      </c>
      <c r="AW5" s="79">
        <v>45.817500000000003</v>
      </c>
      <c r="AX5" s="5"/>
      <c r="AY5" s="5"/>
      <c r="AZ5" s="5"/>
      <c r="BA5" s="5"/>
      <c r="BC5" s="25">
        <f t="shared" si="12"/>
        <v>1707656</v>
      </c>
      <c r="BD5" s="25">
        <f t="shared" si="13"/>
        <v>1622632</v>
      </c>
      <c r="BE5" s="27">
        <f t="shared" si="14"/>
        <v>1.6673950866811116E-2</v>
      </c>
      <c r="BF5" s="27">
        <f t="shared" si="15"/>
        <v>8.2681667142170401E-4</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0.42163200000000001</v>
      </c>
      <c r="J6" s="21">
        <f t="shared" si="1"/>
        <v>1.7704740274648967E-2</v>
      </c>
      <c r="K6" s="21">
        <f t="shared" si="2"/>
        <v>8.9911083305058356E-3</v>
      </c>
      <c r="L6" s="21">
        <f t="shared" si="3"/>
        <v>6.2571261052618678E-3</v>
      </c>
      <c r="M6" s="21">
        <f t="shared" si="4"/>
        <v>8.7125233823089933E-3</v>
      </c>
      <c r="N6" s="21">
        <f t="shared" si="5"/>
        <v>0.10981830305050842</v>
      </c>
      <c r="O6" s="5">
        <v>38393600</v>
      </c>
      <c r="P6" s="5">
        <v>1199800</v>
      </c>
      <c r="Q6" s="5">
        <v>401866.59375</v>
      </c>
      <c r="R6" s="5">
        <v>4216320</v>
      </c>
      <c r="S6" s="5">
        <v>1490112</v>
      </c>
      <c r="T6" s="5">
        <v>651088</v>
      </c>
      <c r="U6" s="5">
        <v>2074856</v>
      </c>
      <c r="V6" s="5">
        <v>69.134437500000004</v>
      </c>
      <c r="W6" s="5">
        <v>71.533903124999995</v>
      </c>
      <c r="X6" s="5">
        <v>37.167468749999998</v>
      </c>
      <c r="Y6" s="5">
        <v>47.205943750000003</v>
      </c>
      <c r="Z6" s="5">
        <v>47.181756249999999</v>
      </c>
      <c r="AA6" s="5"/>
      <c r="AB6" s="5"/>
      <c r="AC6" s="5"/>
      <c r="AD6" s="5"/>
      <c r="AF6" s="55">
        <f t="shared" si="6"/>
        <v>0.39510719999999999</v>
      </c>
      <c r="AG6" s="21">
        <f t="shared" si="7"/>
        <v>1.6590937966387238E-2</v>
      </c>
      <c r="AH6" s="21">
        <f t="shared" si="8"/>
        <v>8.4726037271755251E-3</v>
      </c>
      <c r="AI6" s="21">
        <f t="shared" si="9"/>
        <v>5.8833056176778257E-3</v>
      </c>
      <c r="AJ6" s="21">
        <f t="shared" si="10"/>
        <v>8.1171920845947224E-3</v>
      </c>
      <c r="AK6" s="21">
        <f t="shared" si="11"/>
        <v>0.10290965160860144</v>
      </c>
      <c r="AL6" s="5">
        <v>38393600</v>
      </c>
      <c r="AM6" s="79">
        <v>1199800</v>
      </c>
      <c r="AN6" s="79">
        <v>415551</v>
      </c>
      <c r="AO6" s="78">
        <v>3951072</v>
      </c>
      <c r="AP6" s="78">
        <v>1401088</v>
      </c>
      <c r="AQ6" s="78">
        <v>616632</v>
      </c>
      <c r="AR6" s="78">
        <v>1933080</v>
      </c>
      <c r="AS6" s="79">
        <v>69.181100000000001</v>
      </c>
      <c r="AT6" s="79">
        <v>71.590299999999999</v>
      </c>
      <c r="AU6" s="79">
        <v>37.1509</v>
      </c>
      <c r="AV6" s="79">
        <v>47.2547</v>
      </c>
      <c r="AW6" s="79">
        <v>47.286499999999997</v>
      </c>
      <c r="AX6" s="5"/>
      <c r="AY6" s="5"/>
      <c r="AZ6" s="5"/>
      <c r="BA6" s="5"/>
      <c r="BC6" s="18">
        <f t="shared" si="12"/>
        <v>2141200</v>
      </c>
      <c r="BD6" s="18">
        <f t="shared" si="13"/>
        <v>2017720</v>
      </c>
      <c r="BE6" s="20">
        <f t="shared" si="14"/>
        <v>1.1405572803800612E-2</v>
      </c>
      <c r="BF6" s="20">
        <f t="shared" si="15"/>
        <v>2.8403787588802132E-3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0.80391360000000001</v>
      </c>
      <c r="J7" s="28">
        <f t="shared" si="1"/>
        <v>3.3757118746342872E-2</v>
      </c>
      <c r="K7" s="28">
        <f t="shared" si="2"/>
        <v>1.2874937920012401E-2</v>
      </c>
      <c r="L7" s="28">
        <f t="shared" si="3"/>
        <v>1.0140955694768434E-2</v>
      </c>
      <c r="M7" s="28">
        <f t="shared" si="4"/>
        <v>2.0881072264496335E-2</v>
      </c>
      <c r="N7" s="28">
        <f t="shared" si="5"/>
        <v>0.20938739789964994</v>
      </c>
      <c r="O7" s="5">
        <v>38393600</v>
      </c>
      <c r="P7" s="5">
        <v>1199800</v>
      </c>
      <c r="Q7" s="5">
        <v>410735.125</v>
      </c>
      <c r="R7" s="5">
        <v>8039136</v>
      </c>
      <c r="S7" s="5">
        <v>2415032</v>
      </c>
      <c r="T7" s="5">
        <v>651088</v>
      </c>
      <c r="U7" s="5">
        <v>4972752</v>
      </c>
      <c r="V7" s="5">
        <v>70.408112500000001</v>
      </c>
      <c r="W7" s="5">
        <v>73.225959375000002</v>
      </c>
      <c r="X7" s="5">
        <v>39.681818749999998</v>
      </c>
      <c r="Y7" s="5">
        <v>48.367865625</v>
      </c>
      <c r="Z7" s="5">
        <v>48.514768750000002</v>
      </c>
      <c r="AA7" s="5"/>
      <c r="AB7" s="5"/>
      <c r="AC7" s="5"/>
      <c r="AD7" s="5"/>
      <c r="AF7" s="56">
        <f t="shared" si="6"/>
        <v>0.75238559999999999</v>
      </c>
      <c r="AG7" s="28">
        <f t="shared" si="7"/>
        <v>3.1593407602805115E-2</v>
      </c>
      <c r="AH7" s="28">
        <f t="shared" si="8"/>
        <v>1.1954361298718989E-2</v>
      </c>
      <c r="AI7" s="28">
        <f t="shared" si="9"/>
        <v>9.3650631892212895E-3</v>
      </c>
      <c r="AJ7" s="28">
        <f t="shared" si="10"/>
        <v>1.963790414946914E-2</v>
      </c>
      <c r="AK7" s="28">
        <f t="shared" si="11"/>
        <v>0.19596641106851143</v>
      </c>
      <c r="AL7" s="5">
        <v>38393600</v>
      </c>
      <c r="AM7" s="79">
        <v>1199800</v>
      </c>
      <c r="AN7" s="79">
        <v>416331</v>
      </c>
      <c r="AO7" s="78">
        <v>7523856</v>
      </c>
      <c r="AP7" s="78">
        <v>2230256</v>
      </c>
      <c r="AQ7" s="78">
        <v>616632</v>
      </c>
      <c r="AR7" s="78">
        <v>4676696</v>
      </c>
      <c r="AS7" s="79">
        <v>70.448999999999998</v>
      </c>
      <c r="AT7" s="79">
        <v>73.283600000000007</v>
      </c>
      <c r="AU7" s="79">
        <v>39.6661</v>
      </c>
      <c r="AV7" s="79">
        <v>48.377299999999998</v>
      </c>
      <c r="AW7" s="79">
        <v>48.5289</v>
      </c>
      <c r="AX7" s="5"/>
      <c r="AY7" s="5"/>
      <c r="AZ7" s="5"/>
      <c r="BA7" s="5"/>
      <c r="BC7" s="25">
        <f t="shared" si="12"/>
        <v>3066120</v>
      </c>
      <c r="BD7" s="25">
        <f t="shared" si="13"/>
        <v>2846888</v>
      </c>
      <c r="BE7" s="27">
        <f t="shared" si="14"/>
        <v>4.6640065010835063E-3</v>
      </c>
      <c r="BF7" s="27">
        <f t="shared" si="15"/>
        <v>-3.0176843801378861E-3</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1.6152392</v>
      </c>
      <c r="J8" s="42">
        <f t="shared" si="1"/>
        <v>6.7825474625815341E-2</v>
      </c>
      <c r="K8" s="42">
        <f t="shared" si="2"/>
        <v>2.0169341974197712E-2</v>
      </c>
      <c r="L8" s="42">
        <f t="shared" si="3"/>
        <v>1.7435359748953744E-2</v>
      </c>
      <c r="M8" s="42">
        <f t="shared" si="4"/>
        <v>4.7655024089783497E-2</v>
      </c>
      <c r="N8" s="42">
        <f t="shared" si="5"/>
        <v>0.42070532588764792</v>
      </c>
      <c r="O8" s="5">
        <v>38393600</v>
      </c>
      <c r="P8" s="5">
        <v>1199800</v>
      </c>
      <c r="Q8" s="5">
        <v>407327.46875</v>
      </c>
      <c r="R8" s="5">
        <v>16152392</v>
      </c>
      <c r="S8" s="5">
        <v>4152168</v>
      </c>
      <c r="T8" s="5">
        <v>651088</v>
      </c>
      <c r="U8" s="5">
        <v>11348872</v>
      </c>
      <c r="V8" s="5">
        <v>71.506918749999997</v>
      </c>
      <c r="W8" s="5">
        <v>74.669775000000001</v>
      </c>
      <c r="X8" s="5">
        <v>42.167787500000003</v>
      </c>
      <c r="Y8" s="5">
        <v>49.991206249999998</v>
      </c>
      <c r="Z8" s="5">
        <v>50.162418750000001</v>
      </c>
      <c r="AA8" s="5"/>
      <c r="AB8" s="5"/>
      <c r="AC8" s="5"/>
      <c r="AD8" s="5"/>
      <c r="AF8" s="58">
        <f t="shared" si="6"/>
        <v>1.526044</v>
      </c>
      <c r="AG8" s="42">
        <f t="shared" si="7"/>
        <v>6.4080080894444461E-2</v>
      </c>
      <c r="AH8" s="42">
        <f t="shared" si="8"/>
        <v>1.8586785974010415E-2</v>
      </c>
      <c r="AI8" s="42">
        <f t="shared" si="9"/>
        <v>1.5997487864512716E-2</v>
      </c>
      <c r="AJ8" s="42">
        <f t="shared" si="10"/>
        <v>4.5492152765817057E-2</v>
      </c>
      <c r="AK8" s="42">
        <f t="shared" si="11"/>
        <v>0.39747353725620937</v>
      </c>
      <c r="AL8" s="5">
        <v>38393600</v>
      </c>
      <c r="AM8" s="79">
        <v>1199800</v>
      </c>
      <c r="AN8" s="79">
        <v>409079</v>
      </c>
      <c r="AO8" s="78">
        <v>15260440</v>
      </c>
      <c r="AP8" s="78">
        <v>3809744</v>
      </c>
      <c r="AQ8" s="78">
        <v>616632</v>
      </c>
      <c r="AR8" s="78">
        <v>10833792</v>
      </c>
      <c r="AS8" s="79">
        <v>71.539599999999993</v>
      </c>
      <c r="AT8" s="79">
        <v>74.723299999999995</v>
      </c>
      <c r="AU8" s="79">
        <v>42.167400000000001</v>
      </c>
      <c r="AV8" s="79">
        <v>49.966299999999997</v>
      </c>
      <c r="AW8" s="79">
        <v>50.184399999999997</v>
      </c>
      <c r="AX8" s="5"/>
      <c r="AY8" s="5"/>
      <c r="AZ8" s="5"/>
      <c r="BA8" s="5"/>
      <c r="BC8" s="39">
        <f t="shared" si="12"/>
        <v>4803256</v>
      </c>
      <c r="BD8" s="39">
        <f t="shared" si="13"/>
        <v>4426376</v>
      </c>
      <c r="BE8" s="41">
        <f t="shared" si="14"/>
        <v>1.4598526837806269E-3</v>
      </c>
      <c r="BF8" s="41">
        <f t="shared" si="15"/>
        <v>-7.3155933914810789E-3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0.29871199999999998</v>
      </c>
      <c r="J9" s="28">
        <f t="shared" si="1"/>
        <v>1.3694768893714624E-2</v>
      </c>
      <c r="K9" s="28">
        <f t="shared" si="2"/>
        <v>7.7250247823180832E-3</v>
      </c>
      <c r="L9" s="28">
        <f t="shared" si="3"/>
        <v>4.1312803454511783E-3</v>
      </c>
      <c r="M9" s="28">
        <f t="shared" si="4"/>
        <v>5.9685337753578351E-3</v>
      </c>
      <c r="N9" s="28">
        <f t="shared" si="5"/>
        <v>8.697388011724784E-2</v>
      </c>
      <c r="O9" s="5">
        <v>34345024</v>
      </c>
      <c r="P9" s="5">
        <v>1073282</v>
      </c>
      <c r="Q9" s="5">
        <v>422493.0625</v>
      </c>
      <c r="R9" s="5">
        <v>2987120</v>
      </c>
      <c r="S9" s="5">
        <v>901120</v>
      </c>
      <c r="T9" s="5">
        <v>783872</v>
      </c>
      <c r="U9" s="5">
        <v>1301864</v>
      </c>
      <c r="V9" s="5">
        <v>65.871990624999995</v>
      </c>
      <c r="W9" s="5">
        <v>67.746165625000003</v>
      </c>
      <c r="X9" s="5">
        <v>32.620512499999997</v>
      </c>
      <c r="Y9" s="5">
        <v>39.547240625000001</v>
      </c>
      <c r="Z9" s="5">
        <v>32.229071875000002</v>
      </c>
      <c r="AA9" s="5"/>
      <c r="AB9" s="5"/>
      <c r="AC9" s="5"/>
      <c r="AD9" s="5"/>
      <c r="AF9" s="56">
        <f t="shared" si="6"/>
        <v>0.29119200000000001</v>
      </c>
      <c r="AG9" s="28">
        <f t="shared" si="7"/>
        <v>1.335000650693159E-2</v>
      </c>
      <c r="AH9" s="28">
        <f t="shared" si="8"/>
        <v>7.4784463220688982E-3</v>
      </c>
      <c r="AI9" s="28">
        <f t="shared" si="9"/>
        <v>4.0088896981432002E-3</v>
      </c>
      <c r="AJ9" s="28">
        <f t="shared" si="10"/>
        <v>5.8703131719743283E-3</v>
      </c>
      <c r="AK9" s="28">
        <f t="shared" si="11"/>
        <v>8.4784334406055442E-2</v>
      </c>
      <c r="AL9" s="5">
        <v>34345024</v>
      </c>
      <c r="AM9" s="79">
        <v>1073282</v>
      </c>
      <c r="AN9" s="79">
        <v>455217</v>
      </c>
      <c r="AO9" s="78">
        <v>2911920</v>
      </c>
      <c r="AP9" s="78">
        <v>874424</v>
      </c>
      <c r="AQ9" s="78">
        <v>756784</v>
      </c>
      <c r="AR9" s="78">
        <v>1280440</v>
      </c>
      <c r="AS9" s="79">
        <v>65.655000000000001</v>
      </c>
      <c r="AT9" s="79">
        <v>67.781800000000004</v>
      </c>
      <c r="AU9" s="79">
        <v>32.622100000000003</v>
      </c>
      <c r="AV9" s="79">
        <v>39.566299999999998</v>
      </c>
      <c r="AW9" s="79">
        <v>32.228000000000002</v>
      </c>
      <c r="AX9" s="5"/>
      <c r="AY9" s="5"/>
      <c r="AZ9" s="5"/>
      <c r="BA9" s="5"/>
      <c r="BC9" s="25">
        <f t="shared" si="12"/>
        <v>1684992</v>
      </c>
      <c r="BD9" s="25">
        <f t="shared" si="13"/>
        <v>1631208</v>
      </c>
      <c r="BE9" s="27">
        <f t="shared" si="14"/>
        <v>3.0489598726150258E-2</v>
      </c>
      <c r="BF9" s="27">
        <f t="shared" si="15"/>
        <v>-3.9028363444095771E-3</v>
      </c>
      <c r="BG9" s="27">
        <f t="array" ref="BG9">AVERAGE(BD9:BD13/AO9:AO13) - AVERAGE(BC9:BC13/R9:R13)</f>
        <v>-2.4311389319469079E-3</v>
      </c>
      <c r="BI9" s="52">
        <f>bdRateExtend( R9:R13,V9:V13, AO9:AO13,AS9:AS13)</f>
        <v>-3.703752477547817E-2</v>
      </c>
      <c r="BJ9" s="52">
        <f>bdRateExtend( R9:R13,W9:W13, AO9:AO13,AT9:AT13)</f>
        <v>-5.7093656192210296E-2</v>
      </c>
      <c r="BK9" s="52">
        <f>bdRateExtend( R9:R13,X9:X13, AO9:AO13,AU9:AU13)</f>
        <v>-3.4464433893818147E-2</v>
      </c>
      <c r="BL9" s="52">
        <f>bdRateExtend( R9:R13,Y9:Y13, AO9:AO13,AV9:AV13)</f>
        <v>-4.1411854706347673E-2</v>
      </c>
      <c r="BM9" s="52">
        <f>bdRateExtend( R9:R13,Z9:Z13, AO9:AO13,AW9:AW13)</f>
        <v>-3.6119477479831241E-2</v>
      </c>
      <c r="BO9" s="52">
        <f>bdRateExtend( BC9:BC13,V9:V13, BD9:BD13,AS9:AS13)</f>
        <v>-4.0953895311587885E-2</v>
      </c>
      <c r="BP9" s="52">
        <f>bdRateExtend( BC9:BC13,W9:W13, BD9:BD13,AT9:AT13)</f>
        <v>-5.3657882086177833E-2</v>
      </c>
      <c r="BQ9" s="52">
        <f>bdRateExtend( U9:U13,X9:X13, AR9:AR13,AU9:AU13)</f>
        <v>-3.0062982301625518E-2</v>
      </c>
      <c r="BR9" s="52">
        <f>bdRateExtend( U9:U13,Y9:Y13, AR9:AR13,AV9:AV13)</f>
        <v>-3.8975363445731714E-2</v>
      </c>
      <c r="BS9" s="52">
        <f>bdRateExtend( U9:U13,Z9:Z13, AR9:AR13,AW9:AW13)</f>
        <v>-3.2185884030100698E-2</v>
      </c>
    </row>
    <row r="10" spans="1:71" outlineLevel="1" x14ac:dyDescent="0.25">
      <c r="A10" s="18"/>
      <c r="B10" s="18"/>
      <c r="C10" s="19" t="s">
        <v>311</v>
      </c>
      <c r="D10" s="18">
        <v>218121242</v>
      </c>
      <c r="E10" s="19">
        <v>10</v>
      </c>
      <c r="F10" s="19">
        <v>300</v>
      </c>
      <c r="G10" s="19">
        <v>30</v>
      </c>
      <c r="I10" s="55">
        <f t="shared" si="0"/>
        <v>0.4203616</v>
      </c>
      <c r="J10" s="21">
        <f t="shared" si="1"/>
        <v>1.92719240063744E-2</v>
      </c>
      <c r="K10" s="21">
        <f t="shared" si="2"/>
        <v>9.7011367650290566E-3</v>
      </c>
      <c r="L10" s="21">
        <f t="shared" si="3"/>
        <v>6.1073923281621508E-3</v>
      </c>
      <c r="M10" s="21">
        <f t="shared" si="4"/>
        <v>9.5695769053066367E-3</v>
      </c>
      <c r="N10" s="21">
        <f t="shared" si="5"/>
        <v>0.12239374181249663</v>
      </c>
      <c r="O10" s="5">
        <v>34345024</v>
      </c>
      <c r="P10" s="5">
        <v>1073282</v>
      </c>
      <c r="Q10" s="5">
        <v>385741.09375</v>
      </c>
      <c r="R10" s="5">
        <v>4203616</v>
      </c>
      <c r="S10" s="5">
        <v>1332152</v>
      </c>
      <c r="T10" s="5">
        <v>783872</v>
      </c>
      <c r="U10" s="5">
        <v>2087328</v>
      </c>
      <c r="V10" s="5">
        <v>67.508315624999994</v>
      </c>
      <c r="W10" s="5">
        <v>69.624300000000005</v>
      </c>
      <c r="X10" s="5">
        <v>34.506628124999999</v>
      </c>
      <c r="Y10" s="5">
        <v>40.397100000000002</v>
      </c>
      <c r="Z10" s="5">
        <v>33.94225625</v>
      </c>
      <c r="AA10" s="5"/>
      <c r="AB10" s="5"/>
      <c r="AC10" s="5"/>
      <c r="AD10" s="5"/>
      <c r="AF10" s="55">
        <f t="shared" si="6"/>
        <v>0.40739440000000005</v>
      </c>
      <c r="AG10" s="21">
        <f t="shared" si="7"/>
        <v>1.8677428950271611E-2</v>
      </c>
      <c r="AH10" s="21">
        <f t="shared" si="8"/>
        <v>9.3271796059184366E-3</v>
      </c>
      <c r="AI10" s="21">
        <f t="shared" si="9"/>
        <v>5.8576229819927396E-3</v>
      </c>
      <c r="AJ10" s="21">
        <f t="shared" si="10"/>
        <v>9.3490023314648091E-3</v>
      </c>
      <c r="AK10" s="21">
        <f t="shared" si="11"/>
        <v>0.11861817304305858</v>
      </c>
      <c r="AL10" s="5">
        <v>34345024</v>
      </c>
      <c r="AM10" s="79">
        <v>1073282</v>
      </c>
      <c r="AN10" s="79">
        <v>405173</v>
      </c>
      <c r="AO10" s="78">
        <v>4073944</v>
      </c>
      <c r="AP10" s="78">
        <v>1277672</v>
      </c>
      <c r="AQ10" s="78">
        <v>756784</v>
      </c>
      <c r="AR10" s="78">
        <v>2039216</v>
      </c>
      <c r="AS10" s="79">
        <v>67.362399999999994</v>
      </c>
      <c r="AT10" s="79">
        <v>69.659700000000001</v>
      </c>
      <c r="AU10" s="79">
        <v>34.498800000000003</v>
      </c>
      <c r="AV10" s="79">
        <v>40.421700000000001</v>
      </c>
      <c r="AW10" s="79">
        <v>33.945799999999998</v>
      </c>
      <c r="AX10" s="5"/>
      <c r="AY10" s="5"/>
      <c r="AZ10" s="5"/>
      <c r="BA10" s="5"/>
      <c r="BC10" s="18">
        <f t="shared" si="12"/>
        <v>2116024</v>
      </c>
      <c r="BD10" s="18">
        <f t="shared" si="13"/>
        <v>2034456</v>
      </c>
      <c r="BE10" s="20">
        <f t="shared" si="14"/>
        <v>1.8105126378715031E-2</v>
      </c>
      <c r="BF10" s="20">
        <f t="shared" si="15"/>
        <v>-3.9994336468161529E-3</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0.65556559999999997</v>
      </c>
      <c r="J11" s="28">
        <f t="shared" si="1"/>
        <v>3.0055101190006976E-2</v>
      </c>
      <c r="K11" s="28">
        <f t="shared" si="2"/>
        <v>1.2508346160985092E-2</v>
      </c>
      <c r="L11" s="28">
        <f t="shared" si="3"/>
        <v>8.914601724118185E-3</v>
      </c>
      <c r="M11" s="28">
        <f t="shared" si="4"/>
        <v>1.7545544692983181E-2</v>
      </c>
      <c r="N11" s="28">
        <f t="shared" si="5"/>
        <v>0.19087644253793504</v>
      </c>
      <c r="O11" s="5">
        <v>34345024</v>
      </c>
      <c r="P11" s="5">
        <v>1073282</v>
      </c>
      <c r="Q11" s="5">
        <v>357398.1875</v>
      </c>
      <c r="R11" s="5">
        <v>6555656</v>
      </c>
      <c r="S11" s="5">
        <v>1944464</v>
      </c>
      <c r="T11" s="5">
        <v>783872</v>
      </c>
      <c r="U11" s="5">
        <v>3827056</v>
      </c>
      <c r="V11" s="5">
        <v>68.781321875000003</v>
      </c>
      <c r="W11" s="5">
        <v>71.254831249999995</v>
      </c>
      <c r="X11" s="5">
        <v>36.624259375000001</v>
      </c>
      <c r="Y11" s="5">
        <v>41.349571875000002</v>
      </c>
      <c r="Z11" s="5">
        <v>35.725368750000001</v>
      </c>
      <c r="AA11" s="5"/>
      <c r="AB11" s="5"/>
      <c r="AC11" s="5"/>
      <c r="AD11" s="5"/>
      <c r="AF11" s="56">
        <f t="shared" si="6"/>
        <v>0.62946559999999996</v>
      </c>
      <c r="AG11" s="28">
        <f t="shared" si="7"/>
        <v>2.8858518969922243E-2</v>
      </c>
      <c r="AH11" s="28">
        <f t="shared" si="8"/>
        <v>1.2001692159812661E-2</v>
      </c>
      <c r="AI11" s="28">
        <f t="shared" si="9"/>
        <v>8.532135535886963E-3</v>
      </c>
      <c r="AJ11" s="28">
        <f t="shared" si="10"/>
        <v>1.6855579797221219E-2</v>
      </c>
      <c r="AK11" s="28">
        <f t="shared" si="11"/>
        <v>0.18327708840733375</v>
      </c>
      <c r="AL11" s="5">
        <v>34345024</v>
      </c>
      <c r="AM11" s="79">
        <v>1073282</v>
      </c>
      <c r="AN11" s="79">
        <v>370966</v>
      </c>
      <c r="AO11" s="78">
        <v>6294656</v>
      </c>
      <c r="AP11" s="78">
        <v>1861040</v>
      </c>
      <c r="AQ11" s="78">
        <v>756784</v>
      </c>
      <c r="AR11" s="78">
        <v>3676560</v>
      </c>
      <c r="AS11" s="79">
        <v>68.852199999999996</v>
      </c>
      <c r="AT11" s="79">
        <v>71.344399999999993</v>
      </c>
      <c r="AU11" s="79">
        <v>36.614199999999997</v>
      </c>
      <c r="AV11" s="79">
        <v>41.3446</v>
      </c>
      <c r="AW11" s="79">
        <v>35.725099999999998</v>
      </c>
      <c r="AX11" s="5"/>
      <c r="AY11" s="5"/>
      <c r="AZ11" s="5"/>
      <c r="BA11" s="5"/>
      <c r="BC11" s="25">
        <f t="shared" si="12"/>
        <v>2728336</v>
      </c>
      <c r="BD11" s="25">
        <f t="shared" si="13"/>
        <v>2617824</v>
      </c>
      <c r="BE11" s="27">
        <f t="shared" si="14"/>
        <v>1.2641423689207454E-2</v>
      </c>
      <c r="BF11" s="27">
        <f t="shared" si="15"/>
        <v>-3.0007948653959504E-4</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1.2113080000000001</v>
      </c>
      <c r="J12" s="21">
        <f t="shared" si="1"/>
        <v>5.5533701756567112E-2</v>
      </c>
      <c r="K12" s="21">
        <f t="shared" si="2"/>
        <v>1.781130514560338E-2</v>
      </c>
      <c r="L12" s="21">
        <f t="shared" si="3"/>
        <v>1.4217560708736475E-2</v>
      </c>
      <c r="M12" s="21">
        <f t="shared" si="4"/>
        <v>3.7721186274925024E-2</v>
      </c>
      <c r="N12" s="21">
        <f t="shared" si="5"/>
        <v>0.35268806334215985</v>
      </c>
      <c r="O12" s="5">
        <v>34345024</v>
      </c>
      <c r="P12" s="5">
        <v>1073282</v>
      </c>
      <c r="Q12" s="5">
        <v>364633.15625</v>
      </c>
      <c r="R12" s="5">
        <v>12113080</v>
      </c>
      <c r="S12" s="5">
        <v>3101152</v>
      </c>
      <c r="T12" s="5">
        <v>783872</v>
      </c>
      <c r="U12" s="5">
        <v>8227792</v>
      </c>
      <c r="V12" s="5">
        <v>69.946584375</v>
      </c>
      <c r="W12" s="5">
        <v>72.806884374999996</v>
      </c>
      <c r="X12" s="5">
        <v>38.888734374999999</v>
      </c>
      <c r="Y12" s="5">
        <v>42.424409375000003</v>
      </c>
      <c r="Z12" s="5">
        <v>37.746043749999998</v>
      </c>
      <c r="AA12" s="5"/>
      <c r="AB12" s="5"/>
      <c r="AC12" s="5"/>
      <c r="AD12" s="5"/>
      <c r="AF12" s="55">
        <f t="shared" si="6"/>
        <v>1.1587664</v>
      </c>
      <c r="AG12" s="21">
        <f t="shared" si="7"/>
        <v>5.3124876301593772E-2</v>
      </c>
      <c r="AH12" s="21">
        <f t="shared" si="8"/>
        <v>1.6986699534747744E-2</v>
      </c>
      <c r="AI12" s="21">
        <f t="shared" si="9"/>
        <v>1.3517142910822046E-2</v>
      </c>
      <c r="AJ12" s="21">
        <f t="shared" si="10"/>
        <v>3.6136929753957665E-2</v>
      </c>
      <c r="AK12" s="21">
        <f t="shared" si="11"/>
        <v>0.33738989380237439</v>
      </c>
      <c r="AL12" s="5">
        <v>34345024</v>
      </c>
      <c r="AM12" s="79">
        <v>1073282</v>
      </c>
      <c r="AN12" s="79">
        <v>373222</v>
      </c>
      <c r="AO12" s="78">
        <v>11587664</v>
      </c>
      <c r="AP12" s="78">
        <v>2948376</v>
      </c>
      <c r="AQ12" s="78">
        <v>756784</v>
      </c>
      <c r="AR12" s="78">
        <v>7882232</v>
      </c>
      <c r="AS12" s="79">
        <v>70.009</v>
      </c>
      <c r="AT12" s="79">
        <v>72.884699999999995</v>
      </c>
      <c r="AU12" s="79">
        <v>38.866599999999998</v>
      </c>
      <c r="AV12" s="79">
        <v>42.426400000000001</v>
      </c>
      <c r="AW12" s="79">
        <v>37.733899999999998</v>
      </c>
      <c r="AX12" s="5"/>
      <c r="AY12" s="5"/>
      <c r="AZ12" s="5"/>
      <c r="BA12" s="5"/>
      <c r="BC12" s="18">
        <f t="shared" si="12"/>
        <v>3885024</v>
      </c>
      <c r="BD12" s="18">
        <f t="shared" si="13"/>
        <v>3705160</v>
      </c>
      <c r="BE12" s="20">
        <f t="shared" si="14"/>
        <v>8.0024110625166456E-3</v>
      </c>
      <c r="BF12" s="20">
        <f t="shared" si="15"/>
        <v>-9.7927470633168978E-4</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2.3554664000000001</v>
      </c>
      <c r="J13" s="35">
        <f t="shared" si="1"/>
        <v>0.10798885878341001</v>
      </c>
      <c r="K13" s="35">
        <f t="shared" si="2"/>
        <v>2.7068541999224451E-2</v>
      </c>
      <c r="L13" s="35">
        <f t="shared" si="3"/>
        <v>2.3474797562357545E-2</v>
      </c>
      <c r="M13" s="35">
        <f t="shared" si="4"/>
        <v>8.0919106448146857E-2</v>
      </c>
      <c r="N13" s="35">
        <f t="shared" si="5"/>
        <v>0.6858246481353456</v>
      </c>
      <c r="O13" s="5">
        <v>34345024</v>
      </c>
      <c r="P13" s="5">
        <v>1073282</v>
      </c>
      <c r="Q13" s="5">
        <v>362078.8125</v>
      </c>
      <c r="R13" s="5">
        <v>23554664</v>
      </c>
      <c r="S13" s="5">
        <v>5120352</v>
      </c>
      <c r="T13" s="5">
        <v>783872</v>
      </c>
      <c r="U13" s="5">
        <v>17650176</v>
      </c>
      <c r="V13" s="5">
        <v>70.939449999999994</v>
      </c>
      <c r="W13" s="5">
        <v>74.1043375</v>
      </c>
      <c r="X13" s="5">
        <v>41.301409374999999</v>
      </c>
      <c r="Y13" s="5">
        <v>43.7074</v>
      </c>
      <c r="Z13" s="5">
        <v>39.667693749999998</v>
      </c>
      <c r="AA13" s="5"/>
      <c r="AB13" s="5"/>
      <c r="AC13" s="5"/>
      <c r="AD13" s="5"/>
      <c r="AF13" s="57">
        <f t="shared" si="6"/>
        <v>2.2598896000000002</v>
      </c>
      <c r="AG13" s="35">
        <f t="shared" si="7"/>
        <v>0.1036070388779466</v>
      </c>
      <c r="AH13" s="35">
        <f t="shared" si="8"/>
        <v>2.5662058168548298E-2</v>
      </c>
      <c r="AI13" s="35">
        <f t="shared" si="9"/>
        <v>2.21925015446226E-2</v>
      </c>
      <c r="AJ13" s="35">
        <f t="shared" si="10"/>
        <v>7.7943733696509948E-2</v>
      </c>
      <c r="AK13" s="35">
        <f t="shared" si="11"/>
        <v>0.65799622093727461</v>
      </c>
      <c r="AL13" s="5">
        <v>34345024</v>
      </c>
      <c r="AM13" s="79">
        <v>1073282</v>
      </c>
      <c r="AN13" s="79">
        <v>365168</v>
      </c>
      <c r="AO13" s="78">
        <v>22598896</v>
      </c>
      <c r="AP13" s="78">
        <v>4840656</v>
      </c>
      <c r="AQ13" s="78">
        <v>756784</v>
      </c>
      <c r="AR13" s="78">
        <v>17001184</v>
      </c>
      <c r="AS13" s="79">
        <v>70.991</v>
      </c>
      <c r="AT13" s="79">
        <v>74.1768</v>
      </c>
      <c r="AU13" s="79">
        <v>41.291800000000002</v>
      </c>
      <c r="AV13" s="79">
        <v>43.720500000000001</v>
      </c>
      <c r="AW13" s="79">
        <v>39.661700000000003</v>
      </c>
      <c r="AX13" s="5"/>
      <c r="AY13" s="5"/>
      <c r="AZ13" s="5"/>
      <c r="BA13" s="5"/>
      <c r="BC13" s="32">
        <f t="shared" si="12"/>
        <v>5904224</v>
      </c>
      <c r="BD13" s="32">
        <f t="shared" si="13"/>
        <v>5597440</v>
      </c>
      <c r="BE13" s="34">
        <f t="shared" si="14"/>
        <v>2.8782626560400759E-3</v>
      </c>
      <c r="BF13" s="34">
        <f t="shared" si="15"/>
        <v>-2.9740704756375802E-3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0.34814079999999997</v>
      </c>
      <c r="J14" s="21">
        <f t="shared" si="1"/>
        <v>1.0792061733005589E-2</v>
      </c>
      <c r="K14" s="21">
        <f t="shared" si="2"/>
        <v>6.593266845243145E-3</v>
      </c>
      <c r="L14" s="21">
        <f t="shared" si="3"/>
        <v>3.2352923452262446E-3</v>
      </c>
      <c r="M14" s="21">
        <f t="shared" si="4"/>
        <v>4.1979765107444346E-3</v>
      </c>
      <c r="N14" s="21">
        <f t="shared" si="5"/>
        <v>6.8059587954039727E-2</v>
      </c>
      <c r="O14" s="5">
        <v>51152352</v>
      </c>
      <c r="P14" s="5">
        <v>1598511</v>
      </c>
      <c r="Q14" s="5">
        <v>596532.96875</v>
      </c>
      <c r="R14" s="5">
        <v>3481408</v>
      </c>
      <c r="S14" s="5">
        <v>1043672</v>
      </c>
      <c r="T14" s="5">
        <v>1083248</v>
      </c>
      <c r="U14" s="5">
        <v>1354224</v>
      </c>
      <c r="V14" s="5">
        <v>66.059456249999997</v>
      </c>
      <c r="W14" s="5">
        <v>67.702784374999993</v>
      </c>
      <c r="X14" s="5">
        <v>29.8489875</v>
      </c>
      <c r="Y14" s="5">
        <v>43.540609375000003</v>
      </c>
      <c r="Z14" s="5">
        <v>43.801746874999999</v>
      </c>
      <c r="AA14" s="5"/>
      <c r="AB14" s="5"/>
      <c r="AC14" s="5"/>
      <c r="AD14" s="5"/>
      <c r="AF14" s="55">
        <f t="shared" si="6"/>
        <v>0.33307359999999997</v>
      </c>
      <c r="AG14" s="21">
        <f t="shared" si="7"/>
        <v>1.0324991649454503E-2</v>
      </c>
      <c r="AH14" s="21">
        <f t="shared" si="8"/>
        <v>6.2275267161037481E-3</v>
      </c>
      <c r="AI14" s="21">
        <f t="shared" si="9"/>
        <v>3.1414269811909433E-3</v>
      </c>
      <c r="AJ14" s="21">
        <f t="shared" si="10"/>
        <v>4.0966217570291702E-3</v>
      </c>
      <c r="AK14" s="21">
        <f t="shared" si="11"/>
        <v>6.5114034248122163E-2</v>
      </c>
      <c r="AL14" s="5">
        <v>51152352</v>
      </c>
      <c r="AM14" s="79">
        <v>1598511</v>
      </c>
      <c r="AN14" s="79">
        <v>652807</v>
      </c>
      <c r="AO14" s="78">
        <v>3330736</v>
      </c>
      <c r="AP14" s="78">
        <v>1013392</v>
      </c>
      <c r="AQ14" s="78">
        <v>995544</v>
      </c>
      <c r="AR14" s="78">
        <v>1321528</v>
      </c>
      <c r="AS14" s="79">
        <v>65.911299999999997</v>
      </c>
      <c r="AT14" s="79">
        <v>67.773499999999999</v>
      </c>
      <c r="AU14" s="79">
        <v>29.834099999999999</v>
      </c>
      <c r="AV14" s="79">
        <v>43.554499999999997</v>
      </c>
      <c r="AW14" s="79">
        <v>43.828800000000001</v>
      </c>
      <c r="AX14" s="5"/>
      <c r="AY14" s="5"/>
      <c r="AZ14" s="5"/>
      <c r="BA14" s="5"/>
      <c r="BC14" s="18">
        <f t="shared" si="12"/>
        <v>2126920</v>
      </c>
      <c r="BD14" s="18">
        <f t="shared" si="13"/>
        <v>2008936</v>
      </c>
      <c r="BE14" s="20">
        <f t="shared" si="14"/>
        <v>3.5204031282862591E-2</v>
      </c>
      <c r="BF14" s="20">
        <f t="shared" si="15"/>
        <v>-7.7859493677706615E-3</v>
      </c>
      <c r="BG14" s="20">
        <f t="array" ref="BG14">AVERAGE(BD14:BD18/AO14:AO18) - AVERAGE(BC14:BC18/R14:R18)</f>
        <v>-1.5954833371665811E-3</v>
      </c>
      <c r="BI14" s="50">
        <f>bdRateExtend( R14:R18,V14:V18, AO14:AO18,AS14:AS18)</f>
        <v>-6.2381846716726863E-2</v>
      </c>
      <c r="BJ14" s="50">
        <f>bdRateExtend( R14:R18,W14:W18, AO14:AO18,AT14:AT18)</f>
        <v>-7.6376780730230132E-2</v>
      </c>
      <c r="BK14" s="50">
        <f>bdRateExtend( R14:R18,X14:X18, AO14:AO18,AU14:AU18)</f>
        <v>-5.3935195396342839E-2</v>
      </c>
      <c r="BL14" s="50">
        <f>bdRateExtend( R14:R18,Y14:Y18, AO14:AO18,AV14:AV18)</f>
        <v>-6.6965685266644592E-2</v>
      </c>
      <c r="BM14" s="50">
        <f>bdRateExtend( R14:R18,Z14:Z18, AO14:AO18,AW14:AW18)</f>
        <v>-6.6917983734890329E-2</v>
      </c>
      <c r="BO14" s="50">
        <f>bdRateExtend( BC14:BC18,V14:V18, BD14:BD18,AS14:AS18)</f>
        <v>-6.1212356036416726E-2</v>
      </c>
      <c r="BP14" s="50">
        <f>bdRateExtend( BC14:BC18,W14:W18, BD14:BD18,AT14:AT18)</f>
        <v>-6.7922386518660671E-2</v>
      </c>
      <c r="BQ14" s="50">
        <f>bdRateExtend( U14:U18,X14:X18, AR14:AR18,AU14:AU18)</f>
        <v>-5.2021498566375612E-2</v>
      </c>
      <c r="BR14" s="50">
        <f>bdRateExtend( U14:U18,Y14:Y18, AR14:AR18,AV14:AV18)</f>
        <v>-6.8255002289627442E-2</v>
      </c>
      <c r="BS14" s="50">
        <f>bdRateExtend( U14:U18,Z14:Z18, AR14:AR18,AW14:AW18)</f>
        <v>-6.6816184805592038E-2</v>
      </c>
    </row>
    <row r="15" spans="1:71" outlineLevel="1" x14ac:dyDescent="0.25">
      <c r="A15" s="25"/>
      <c r="B15" s="25"/>
      <c r="C15" s="26" t="s">
        <v>311</v>
      </c>
      <c r="D15" s="25">
        <v>322589704</v>
      </c>
      <c r="E15" s="26">
        <v>10</v>
      </c>
      <c r="F15" s="26">
        <v>300</v>
      </c>
      <c r="G15" s="26">
        <v>30</v>
      </c>
      <c r="I15" s="56">
        <f t="shared" si="0"/>
        <v>0.51590320000000001</v>
      </c>
      <c r="J15" s="28">
        <f t="shared" si="1"/>
        <v>1.5992550090811328E-2</v>
      </c>
      <c r="K15" s="28">
        <f t="shared" si="2"/>
        <v>8.0082655086846782E-3</v>
      </c>
      <c r="L15" s="28">
        <f t="shared" si="3"/>
        <v>4.6502910086677783E-3</v>
      </c>
      <c r="M15" s="28">
        <f t="shared" si="4"/>
        <v>7.9834662051086417E-3</v>
      </c>
      <c r="N15" s="28">
        <f t="shared" si="5"/>
        <v>0.1008562030539671</v>
      </c>
      <c r="O15" s="5">
        <v>51152352</v>
      </c>
      <c r="P15" s="5">
        <v>1598511</v>
      </c>
      <c r="Q15" s="5">
        <v>570848.21875</v>
      </c>
      <c r="R15" s="5">
        <v>5159032</v>
      </c>
      <c r="S15" s="5">
        <v>1500136</v>
      </c>
      <c r="T15" s="5">
        <v>1083248</v>
      </c>
      <c r="U15" s="5">
        <v>2575384</v>
      </c>
      <c r="V15" s="5">
        <v>67.73165625</v>
      </c>
      <c r="W15" s="5">
        <v>69.833265624999996</v>
      </c>
      <c r="X15" s="5">
        <v>32.269734374999999</v>
      </c>
      <c r="Y15" s="5">
        <v>44.453618749999997</v>
      </c>
      <c r="Z15" s="5">
        <v>44.871193750000003</v>
      </c>
      <c r="AA15" s="5"/>
      <c r="AB15" s="5"/>
      <c r="AC15" s="5"/>
      <c r="AD15" s="5"/>
      <c r="AF15" s="56">
        <f t="shared" si="6"/>
        <v>0.48733359999999998</v>
      </c>
      <c r="AG15" s="28">
        <f t="shared" si="7"/>
        <v>1.5106917361503887E-2</v>
      </c>
      <c r="AH15" s="28">
        <f t="shared" si="8"/>
        <v>7.581147103194589E-3</v>
      </c>
      <c r="AI15" s="28">
        <f t="shared" si="9"/>
        <v>4.4950473682817847E-3</v>
      </c>
      <c r="AJ15" s="28">
        <f t="shared" si="10"/>
        <v>7.5249270819877125E-3</v>
      </c>
      <c r="AK15" s="28">
        <f t="shared" si="11"/>
        <v>9.5271005329334607E-2</v>
      </c>
      <c r="AL15" s="5">
        <v>51152352</v>
      </c>
      <c r="AM15" s="79">
        <v>1598511</v>
      </c>
      <c r="AN15" s="79">
        <v>588842</v>
      </c>
      <c r="AO15" s="78">
        <v>4873336</v>
      </c>
      <c r="AP15" s="78">
        <v>1450056</v>
      </c>
      <c r="AQ15" s="78">
        <v>995544</v>
      </c>
      <c r="AR15" s="78">
        <v>2427464</v>
      </c>
      <c r="AS15" s="79">
        <v>67.652199999999993</v>
      </c>
      <c r="AT15" s="79">
        <v>69.871099999999998</v>
      </c>
      <c r="AU15" s="79">
        <v>32.259599999999999</v>
      </c>
      <c r="AV15" s="79">
        <v>44.4343</v>
      </c>
      <c r="AW15" s="79">
        <v>44.842700000000001</v>
      </c>
      <c r="AX15" s="5"/>
      <c r="AY15" s="5"/>
      <c r="AZ15" s="5"/>
      <c r="BA15" s="5"/>
      <c r="BC15" s="25">
        <f t="shared" si="12"/>
        <v>2583384</v>
      </c>
      <c r="BD15" s="25">
        <f t="shared" si="13"/>
        <v>2445600</v>
      </c>
      <c r="BE15" s="27">
        <f t="shared" si="14"/>
        <v>1.1256588944336343E-2</v>
      </c>
      <c r="BF15" s="27">
        <f t="shared" si="15"/>
        <v>1.0830776799801711E-3</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0.86684240000000001</v>
      </c>
      <c r="J16" s="21">
        <f t="shared" si="1"/>
        <v>2.6871359787725896E-2</v>
      </c>
      <c r="K16" s="21">
        <f t="shared" si="2"/>
        <v>9.8356021926849849E-3</v>
      </c>
      <c r="L16" s="21">
        <f t="shared" si="3"/>
        <v>6.4776276926680832E-3</v>
      </c>
      <c r="M16" s="21">
        <f t="shared" si="4"/>
        <v>1.7034939218022904E-2</v>
      </c>
      <c r="N16" s="21">
        <f t="shared" si="5"/>
        <v>0.16946286262653182</v>
      </c>
      <c r="O16" s="5">
        <v>51152352</v>
      </c>
      <c r="P16" s="5">
        <v>1598511</v>
      </c>
      <c r="Q16" s="5">
        <v>529561.125</v>
      </c>
      <c r="R16" s="5">
        <v>8668424</v>
      </c>
      <c r="S16" s="5">
        <v>2089616</v>
      </c>
      <c r="T16" s="5">
        <v>1083248</v>
      </c>
      <c r="U16" s="5">
        <v>5495296</v>
      </c>
      <c r="V16" s="5">
        <v>68.949493750000002</v>
      </c>
      <c r="W16" s="5">
        <v>71.469956249999996</v>
      </c>
      <c r="X16" s="5">
        <v>34.818568749999997</v>
      </c>
      <c r="Y16" s="5">
        <v>45.468506249999997</v>
      </c>
      <c r="Z16" s="5">
        <v>45.973350000000003</v>
      </c>
      <c r="AA16" s="5"/>
      <c r="AB16" s="5"/>
      <c r="AC16" s="5"/>
      <c r="AD16" s="5"/>
      <c r="AF16" s="55">
        <f t="shared" si="6"/>
        <v>0.81051839999999997</v>
      </c>
      <c r="AG16" s="21">
        <f t="shared" si="7"/>
        <v>2.5125364819454994E-2</v>
      </c>
      <c r="AH16" s="21">
        <f t="shared" si="8"/>
        <v>9.2756339179380625E-3</v>
      </c>
      <c r="AI16" s="21">
        <f t="shared" si="9"/>
        <v>6.189534183025259E-3</v>
      </c>
      <c r="AJ16" s="21">
        <f t="shared" si="10"/>
        <v>1.5848887725195347E-2</v>
      </c>
      <c r="AK16" s="21">
        <f t="shared" si="11"/>
        <v>0.15845183423823797</v>
      </c>
      <c r="AL16" s="5">
        <v>51152352</v>
      </c>
      <c r="AM16" s="79">
        <v>1598511</v>
      </c>
      <c r="AN16" s="79">
        <v>549459</v>
      </c>
      <c r="AO16" s="78">
        <v>8105184</v>
      </c>
      <c r="AP16" s="78">
        <v>1996680</v>
      </c>
      <c r="AQ16" s="78">
        <v>995544</v>
      </c>
      <c r="AR16" s="78">
        <v>5112688</v>
      </c>
      <c r="AS16" s="79">
        <v>69.016599999999997</v>
      </c>
      <c r="AT16" s="79">
        <v>71.552099999999996</v>
      </c>
      <c r="AU16" s="79">
        <v>34.787599999999998</v>
      </c>
      <c r="AV16" s="79">
        <v>45.536700000000003</v>
      </c>
      <c r="AW16" s="79">
        <v>45.973999999999997</v>
      </c>
      <c r="AX16" s="5"/>
      <c r="AY16" s="5"/>
      <c r="AZ16" s="5"/>
      <c r="BA16" s="5"/>
      <c r="BC16" s="18">
        <f t="shared" si="12"/>
        <v>3172864</v>
      </c>
      <c r="BD16" s="18">
        <f t="shared" si="13"/>
        <v>2992224</v>
      </c>
      <c r="BE16" s="20">
        <f t="shared" si="14"/>
        <v>1.2447756067990812E-2</v>
      </c>
      <c r="BF16" s="20">
        <f t="shared" si="15"/>
        <v>3.1486253430765831E-3</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1.7620656000000001</v>
      </c>
      <c r="J17" s="28">
        <f t="shared" si="1"/>
        <v>5.4622499669115289E-2</v>
      </c>
      <c r="K17" s="28">
        <f t="shared" si="2"/>
        <v>1.3982715331794966E-2</v>
      </c>
      <c r="L17" s="28">
        <f t="shared" si="3"/>
        <v>1.0624740831778065E-2</v>
      </c>
      <c r="M17" s="28">
        <f t="shared" si="4"/>
        <v>4.0638965960302316E-2</v>
      </c>
      <c r="N17" s="28">
        <f t="shared" si="5"/>
        <v>0.34447401362893343</v>
      </c>
      <c r="O17" s="5">
        <v>51152352</v>
      </c>
      <c r="P17" s="5">
        <v>1598511</v>
      </c>
      <c r="Q17" s="5">
        <v>536708.03125</v>
      </c>
      <c r="R17" s="5">
        <v>17620656</v>
      </c>
      <c r="S17" s="5">
        <v>3427432</v>
      </c>
      <c r="T17" s="5">
        <v>1083248</v>
      </c>
      <c r="U17" s="5">
        <v>13109712</v>
      </c>
      <c r="V17" s="5">
        <v>70.125387500000002</v>
      </c>
      <c r="W17" s="5">
        <v>73.036337500000002</v>
      </c>
      <c r="X17" s="5">
        <v>37.288668749999999</v>
      </c>
      <c r="Y17" s="5">
        <v>46.802671875000001</v>
      </c>
      <c r="Z17" s="5">
        <v>47.275859375000003</v>
      </c>
      <c r="AA17" s="5"/>
      <c r="AB17" s="5"/>
      <c r="AC17" s="5"/>
      <c r="AD17" s="5"/>
      <c r="AF17" s="56">
        <f t="shared" si="6"/>
        <v>1.6546896</v>
      </c>
      <c r="AG17" s="28">
        <f t="shared" si="7"/>
        <v>5.1293937143139574E-2</v>
      </c>
      <c r="AH17" s="28">
        <f t="shared" si="8"/>
        <v>1.3084410158360168E-2</v>
      </c>
      <c r="AI17" s="28">
        <f t="shared" si="9"/>
        <v>9.9983104234473638E-3</v>
      </c>
      <c r="AJ17" s="28">
        <f t="shared" si="10"/>
        <v>3.8208683808457815E-2</v>
      </c>
      <c r="AK17" s="28">
        <f t="shared" si="11"/>
        <v>0.32348260349788022</v>
      </c>
      <c r="AL17" s="5">
        <v>51152352</v>
      </c>
      <c r="AM17" s="79">
        <v>1598511</v>
      </c>
      <c r="AN17" s="79">
        <v>549102</v>
      </c>
      <c r="AO17" s="78">
        <v>16546896</v>
      </c>
      <c r="AP17" s="78">
        <v>3225352</v>
      </c>
      <c r="AQ17" s="78">
        <v>995544</v>
      </c>
      <c r="AR17" s="78">
        <v>12325728</v>
      </c>
      <c r="AS17" s="79">
        <v>70.171599999999998</v>
      </c>
      <c r="AT17" s="79">
        <v>73.091499999999996</v>
      </c>
      <c r="AU17" s="79">
        <v>37.265700000000002</v>
      </c>
      <c r="AV17" s="79">
        <v>46.817500000000003</v>
      </c>
      <c r="AW17" s="79">
        <v>47.339300000000001</v>
      </c>
      <c r="AX17" s="5"/>
      <c r="AY17" s="5"/>
      <c r="AZ17" s="5"/>
      <c r="BA17" s="5"/>
      <c r="BC17" s="25">
        <f t="shared" si="12"/>
        <v>4510680</v>
      </c>
      <c r="BD17" s="25">
        <f t="shared" si="13"/>
        <v>4220896</v>
      </c>
      <c r="BE17" s="27">
        <f t="shared" si="14"/>
        <v>7.7534460194518817E-3</v>
      </c>
      <c r="BF17" s="27">
        <f t="shared" si="15"/>
        <v>-9.0132379601864931E-4</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3.5615023999999997</v>
      </c>
      <c r="J18" s="42">
        <f t="shared" si="1"/>
        <v>0.11040347400548159</v>
      </c>
      <c r="K18" s="42">
        <f t="shared" si="2"/>
        <v>2.1594762367245297E-2</v>
      </c>
      <c r="L18" s="42">
        <f t="shared" si="3"/>
        <v>1.8236787867228398E-2</v>
      </c>
      <c r="M18" s="42">
        <f t="shared" si="4"/>
        <v>8.8807893261218282E-2</v>
      </c>
      <c r="N18" s="42">
        <f t="shared" si="5"/>
        <v>0.69625388877524141</v>
      </c>
      <c r="O18" s="5">
        <v>51152352</v>
      </c>
      <c r="P18" s="5">
        <v>1598511</v>
      </c>
      <c r="Q18" s="5">
        <v>534794.40625</v>
      </c>
      <c r="R18" s="5">
        <v>35615024</v>
      </c>
      <c r="S18" s="5">
        <v>5883000</v>
      </c>
      <c r="T18" s="5">
        <v>1083248</v>
      </c>
      <c r="U18" s="5">
        <v>28648512</v>
      </c>
      <c r="V18" s="5">
        <v>71.131628125000006</v>
      </c>
      <c r="W18" s="5">
        <v>74.342675</v>
      </c>
      <c r="X18" s="5">
        <v>39.466412499999997</v>
      </c>
      <c r="Y18" s="5">
        <v>48.573009374999998</v>
      </c>
      <c r="Z18" s="5">
        <v>49.192203124999999</v>
      </c>
      <c r="AA18" s="5"/>
      <c r="AB18" s="5"/>
      <c r="AC18" s="5"/>
      <c r="AD18" s="5"/>
      <c r="AF18" s="58">
        <f t="shared" si="6"/>
        <v>3.3769087999999998</v>
      </c>
      <c r="AG18" s="42">
        <f t="shared" si="7"/>
        <v>0.1046812330997396</v>
      </c>
      <c r="AH18" s="42">
        <f t="shared" si="8"/>
        <v>2.0106828951986639E-2</v>
      </c>
      <c r="AI18" s="42">
        <f t="shared" si="9"/>
        <v>1.7020729217073833E-2</v>
      </c>
      <c r="AJ18" s="42">
        <f t="shared" si="10"/>
        <v>8.4573560971431372E-2</v>
      </c>
      <c r="AK18" s="42">
        <f t="shared" si="11"/>
        <v>0.66016686779133826</v>
      </c>
      <c r="AL18" s="5">
        <v>51152352</v>
      </c>
      <c r="AM18" s="79">
        <v>1598511</v>
      </c>
      <c r="AN18" s="79">
        <v>540216</v>
      </c>
      <c r="AO18" s="78">
        <v>33769088</v>
      </c>
      <c r="AP18" s="78">
        <v>5490712</v>
      </c>
      <c r="AQ18" s="78">
        <v>995544</v>
      </c>
      <c r="AR18" s="78">
        <v>27282560</v>
      </c>
      <c r="AS18" s="79">
        <v>71.177999999999997</v>
      </c>
      <c r="AT18" s="79">
        <v>74.404399999999995</v>
      </c>
      <c r="AU18" s="79">
        <v>39.4801</v>
      </c>
      <c r="AV18" s="79">
        <v>48.592599999999997</v>
      </c>
      <c r="AW18" s="79">
        <v>49.202599999999997</v>
      </c>
      <c r="AX18" s="5"/>
      <c r="AY18" s="5"/>
      <c r="AZ18" s="5"/>
      <c r="BA18" s="5"/>
      <c r="BC18" s="39">
        <f t="shared" si="12"/>
        <v>6966248</v>
      </c>
      <c r="BD18" s="39">
        <f t="shared" si="13"/>
        <v>6486256</v>
      </c>
      <c r="BE18" s="41">
        <f t="shared" si="14"/>
        <v>3.3916524503115886E-3</v>
      </c>
      <c r="BF18" s="41">
        <f t="shared" si="15"/>
        <v>-3.5218465451005987E-3</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0.58724959999999993</v>
      </c>
      <c r="J19" s="28">
        <f t="shared" si="1"/>
        <v>1.1716736340443894E-2</v>
      </c>
      <c r="K19" s="28">
        <f t="shared" si="2"/>
        <v>6.224636889763574E-3</v>
      </c>
      <c r="L19" s="28">
        <f t="shared" si="3"/>
        <v>2.8764871671013562E-3</v>
      </c>
      <c r="M19" s="28">
        <f t="shared" si="4"/>
        <v>5.4910459911653615E-3</v>
      </c>
      <c r="N19" s="28">
        <f t="shared" si="5"/>
        <v>7.3013387972706831E-2</v>
      </c>
      <c r="O19" s="5">
        <v>40215200</v>
      </c>
      <c r="P19" s="5">
        <v>1256725</v>
      </c>
      <c r="Q19" s="5">
        <v>290928.4375</v>
      </c>
      <c r="R19" s="5">
        <v>2936248</v>
      </c>
      <c r="S19" s="5">
        <v>720856</v>
      </c>
      <c r="T19" s="5">
        <v>839056</v>
      </c>
      <c r="U19" s="5">
        <v>1376072</v>
      </c>
      <c r="V19" s="5">
        <v>66.795406249999999</v>
      </c>
      <c r="W19" s="5">
        <v>68.464796875000005</v>
      </c>
      <c r="X19" s="5">
        <v>30.291812499999999</v>
      </c>
      <c r="Y19" s="5">
        <v>39.347296874999998</v>
      </c>
      <c r="Z19" s="5">
        <v>38.089746875000003</v>
      </c>
      <c r="AA19" s="5"/>
      <c r="AB19" s="5"/>
      <c r="AC19" s="5"/>
      <c r="AD19" s="5"/>
      <c r="AF19" s="56">
        <f t="shared" si="6"/>
        <v>0.5560991999999999</v>
      </c>
      <c r="AG19" s="28">
        <f t="shared" si="7"/>
        <v>1.109522714963412E-2</v>
      </c>
      <c r="AH19" s="28">
        <f t="shared" si="8"/>
        <v>5.8725898736738833E-3</v>
      </c>
      <c r="AI19" s="28">
        <f t="shared" si="9"/>
        <v>2.8373814729854814E-3</v>
      </c>
      <c r="AJ19" s="28">
        <f t="shared" si="10"/>
        <v>5.2215518934296727E-3</v>
      </c>
      <c r="AK19" s="28">
        <f t="shared" si="11"/>
        <v>6.914042451610336E-2</v>
      </c>
      <c r="AL19" s="5">
        <v>40215200</v>
      </c>
      <c r="AM19" s="79">
        <v>1256725</v>
      </c>
      <c r="AN19" s="79">
        <v>335918</v>
      </c>
      <c r="AO19" s="78">
        <v>2780496</v>
      </c>
      <c r="AP19" s="78">
        <v>711056</v>
      </c>
      <c r="AQ19" s="78">
        <v>760632</v>
      </c>
      <c r="AR19" s="78">
        <v>1308536</v>
      </c>
      <c r="AS19" s="79">
        <v>66.726299999999995</v>
      </c>
      <c r="AT19" s="79">
        <v>68.518600000000006</v>
      </c>
      <c r="AU19" s="79">
        <v>30.195</v>
      </c>
      <c r="AV19" s="79">
        <v>39.349499999999999</v>
      </c>
      <c r="AW19" s="79">
        <v>38.043999999999997</v>
      </c>
      <c r="AX19" s="5"/>
      <c r="AY19" s="5"/>
      <c r="AZ19" s="5"/>
      <c r="BA19" s="5"/>
      <c r="BC19" s="25">
        <f t="shared" si="12"/>
        <v>1559912</v>
      </c>
      <c r="BD19" s="25">
        <f t="shared" si="13"/>
        <v>1471688</v>
      </c>
      <c r="BE19" s="27">
        <f t="shared" si="14"/>
        <v>3.5799051105054797E-2</v>
      </c>
      <c r="BF19" s="27">
        <f t="shared" si="15"/>
        <v>-1.9705640295425431E-3</v>
      </c>
      <c r="BG19" s="27">
        <f t="array" ref="BG19">AVERAGE(BD19:BD23/AO19:AO23) - AVERAGE(BC19:BC23/R19:R23)</f>
        <v>-2.2299119843939286E-3</v>
      </c>
      <c r="BI19" s="52">
        <f>bdRateExtend( R19:R23,V19:V23, AO19:AO23,AS19:AS23)</f>
        <v>-2.8545832496932322E-2</v>
      </c>
      <c r="BJ19" s="52">
        <f>bdRateExtend( R19:R23,W19:W23, AO19:AO23,AT19:AT23)</f>
        <v>-7.4581197105328179E-2</v>
      </c>
      <c r="BK19" s="52">
        <f>bdRateExtend( R19:R23,X19:X23, AO19:AO23,AU19:AU23)</f>
        <v>-3.7606773170615115E-2</v>
      </c>
      <c r="BL19" s="52">
        <f>bdRateExtend( R19:R23,Y19:Y23, AO19:AO23,AV19:AV23)</f>
        <v>-4.3394093203108719E-2</v>
      </c>
      <c r="BM19" s="52">
        <f>bdRateExtend( R19:R23,Z19:Z23, AO19:AO23,AW19:AW23)</f>
        <v>-1.8977350229039791E-2</v>
      </c>
      <c r="BO19" s="52">
        <f>bdRateExtend( BC19:BC23,V19:V23, BD19:BD23,AS19:AS23)</f>
        <v>-4.3398350184104206E-2</v>
      </c>
      <c r="BP19" s="52">
        <f>bdRateExtend( BC19:BC23,W19:W23, BD19:BD23,AT19:AT23)</f>
        <v>-7.1130368219853413E-2</v>
      </c>
      <c r="BQ19" s="52">
        <f>bdRateExtend( U19:U23,X19:X23, AR19:AR23,AU19:AU23)</f>
        <v>-3.0592708441855243E-2</v>
      </c>
      <c r="BR19" s="52">
        <f>bdRateExtend( U19:U23,Y19:Y23, AR19:AR23,AV19:AV23)</f>
        <v>-3.6986247512039494E-2</v>
      </c>
      <c r="BS19" s="52">
        <f>bdRateExtend( U19:U23,Z19:Z23, AR19:AR23,AW19:AW23)</f>
        <v>-5.3216728742980779E-3</v>
      </c>
    </row>
    <row r="20" spans="1:71" outlineLevel="1" x14ac:dyDescent="0.25">
      <c r="A20" s="18"/>
      <c r="B20" s="18"/>
      <c r="C20" s="19" t="s">
        <v>311</v>
      </c>
      <c r="D20" s="18">
        <v>250602891</v>
      </c>
      <c r="E20" s="19">
        <v>10</v>
      </c>
      <c r="F20" s="19">
        <v>250</v>
      </c>
      <c r="G20" s="19">
        <v>50</v>
      </c>
      <c r="I20" s="55">
        <f t="shared" si="0"/>
        <v>0.95119359999999997</v>
      </c>
      <c r="J20" s="21">
        <f t="shared" si="1"/>
        <v>1.8978105084988824E-2</v>
      </c>
      <c r="K20" s="21">
        <f t="shared" si="2"/>
        <v>7.6035515488127392E-3</v>
      </c>
      <c r="L20" s="21">
        <f t="shared" si="3"/>
        <v>4.2554018261505211E-3</v>
      </c>
      <c r="M20" s="21">
        <f t="shared" si="4"/>
        <v>1.1373500076661127E-2</v>
      </c>
      <c r="N20" s="21">
        <f t="shared" si="5"/>
        <v>0.11826294535399551</v>
      </c>
      <c r="O20" s="5">
        <v>40215200</v>
      </c>
      <c r="P20" s="5">
        <v>1256725</v>
      </c>
      <c r="Q20" s="5">
        <v>279247.75</v>
      </c>
      <c r="R20" s="5">
        <v>4755968</v>
      </c>
      <c r="S20" s="5">
        <v>1066416</v>
      </c>
      <c r="T20" s="5">
        <v>839056</v>
      </c>
      <c r="U20" s="5">
        <v>2850232</v>
      </c>
      <c r="V20" s="5">
        <v>68.335300000000004</v>
      </c>
      <c r="W20" s="5">
        <v>70.462868749999998</v>
      </c>
      <c r="X20" s="5">
        <v>32.597528124999997</v>
      </c>
      <c r="Y20" s="5">
        <v>40.458465625000002</v>
      </c>
      <c r="Z20" s="5">
        <v>39.531687499999997</v>
      </c>
      <c r="AA20" s="5"/>
      <c r="AB20" s="5"/>
      <c r="AC20" s="5"/>
      <c r="AD20" s="5"/>
      <c r="AF20" s="55">
        <f t="shared" si="6"/>
        <v>0.90474399999999999</v>
      </c>
      <c r="AG20" s="21">
        <f t="shared" si="7"/>
        <v>1.805134801896599E-2</v>
      </c>
      <c r="AH20" s="21">
        <f t="shared" si="8"/>
        <v>7.2028219339257344E-3</v>
      </c>
      <c r="AI20" s="21">
        <f t="shared" si="9"/>
        <v>4.1676135332373325E-3</v>
      </c>
      <c r="AJ20" s="21">
        <f t="shared" si="10"/>
        <v>1.0847440702509693E-2</v>
      </c>
      <c r="AK20" s="21">
        <f t="shared" si="11"/>
        <v>0.11248781555232848</v>
      </c>
      <c r="AL20" s="5">
        <v>40215200</v>
      </c>
      <c r="AM20" s="79">
        <v>1256725</v>
      </c>
      <c r="AN20" s="79">
        <v>300718</v>
      </c>
      <c r="AO20" s="78">
        <v>4523720</v>
      </c>
      <c r="AP20" s="78">
        <v>1044416</v>
      </c>
      <c r="AQ20" s="78">
        <v>760632</v>
      </c>
      <c r="AR20" s="78">
        <v>2718400</v>
      </c>
      <c r="AS20" s="79">
        <v>68.320499999999996</v>
      </c>
      <c r="AT20" s="79">
        <v>70.553299999999993</v>
      </c>
      <c r="AU20" s="79">
        <v>32.533700000000003</v>
      </c>
      <c r="AV20" s="79">
        <v>40.393000000000001</v>
      </c>
      <c r="AW20" s="79">
        <v>39.380000000000003</v>
      </c>
      <c r="AX20" s="5"/>
      <c r="AY20" s="5"/>
      <c r="AZ20" s="5"/>
      <c r="BA20" s="5"/>
      <c r="BC20" s="18">
        <f t="shared" si="12"/>
        <v>1905472</v>
      </c>
      <c r="BD20" s="18">
        <f t="shared" si="13"/>
        <v>1805048</v>
      </c>
      <c r="BE20" s="20">
        <f t="shared" si="14"/>
        <v>1.7084286538423282E-2</v>
      </c>
      <c r="BF20" s="20">
        <f t="shared" si="15"/>
        <v>-1.6301097507840923E-3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1.500856</v>
      </c>
      <c r="J21" s="28">
        <f t="shared" si="1"/>
        <v>2.9944905942844848E-2</v>
      </c>
      <c r="K21" s="28">
        <f t="shared" si="2"/>
        <v>9.2914809989163294E-3</v>
      </c>
      <c r="L21" s="28">
        <f t="shared" si="3"/>
        <v>5.9433312762541112E-3</v>
      </c>
      <c r="M21" s="28">
        <f t="shared" si="4"/>
        <v>2.0652371484413561E-2</v>
      </c>
      <c r="N21" s="28">
        <f t="shared" si="5"/>
        <v>0.18660307545405716</v>
      </c>
      <c r="O21" s="5">
        <v>40215200</v>
      </c>
      <c r="P21" s="5">
        <v>1256725</v>
      </c>
      <c r="Q21" s="5">
        <v>273402.875</v>
      </c>
      <c r="R21" s="5">
        <v>7504280</v>
      </c>
      <c r="S21" s="5">
        <v>1489416</v>
      </c>
      <c r="T21" s="5">
        <v>839056</v>
      </c>
      <c r="U21" s="5">
        <v>5175544</v>
      </c>
      <c r="V21" s="5">
        <v>69.594946875000005</v>
      </c>
      <c r="W21" s="5">
        <v>72.1974625</v>
      </c>
      <c r="X21" s="5">
        <v>34.404034375000002</v>
      </c>
      <c r="Y21" s="5">
        <v>41.596112499999997</v>
      </c>
      <c r="Z21" s="5">
        <v>40.755274999999997</v>
      </c>
      <c r="AA21" s="5"/>
      <c r="AB21" s="5"/>
      <c r="AC21" s="5"/>
      <c r="AD21" s="5"/>
      <c r="AF21" s="56">
        <f t="shared" si="6"/>
        <v>1.4180511999999998</v>
      </c>
      <c r="AG21" s="28">
        <f t="shared" si="7"/>
        <v>2.8292794116249839E-2</v>
      </c>
      <c r="AH21" s="28">
        <f t="shared" si="8"/>
        <v>8.7081198117542873E-3</v>
      </c>
      <c r="AI21" s="28">
        <f t="shared" si="9"/>
        <v>5.6729114110658846E-3</v>
      </c>
      <c r="AJ21" s="28">
        <f t="shared" si="10"/>
        <v>1.9583588921964989E-2</v>
      </c>
      <c r="AK21" s="28">
        <f t="shared" si="11"/>
        <v>0.17630786369332987</v>
      </c>
      <c r="AL21" s="5">
        <v>40215200</v>
      </c>
      <c r="AM21" s="79">
        <v>1256725</v>
      </c>
      <c r="AN21" s="79">
        <v>289934</v>
      </c>
      <c r="AO21" s="78">
        <v>7090256</v>
      </c>
      <c r="AP21" s="78">
        <v>1421648</v>
      </c>
      <c r="AQ21" s="78">
        <v>760632</v>
      </c>
      <c r="AR21" s="78">
        <v>4907704</v>
      </c>
      <c r="AS21" s="79">
        <v>69.4923</v>
      </c>
      <c r="AT21" s="79">
        <v>72.280799999999999</v>
      </c>
      <c r="AU21" s="79">
        <v>34.387599999999999</v>
      </c>
      <c r="AV21" s="79">
        <v>41.579500000000003</v>
      </c>
      <c r="AW21" s="79">
        <v>40.683</v>
      </c>
      <c r="AX21" s="5"/>
      <c r="AY21" s="5"/>
      <c r="AZ21" s="5"/>
      <c r="BA21" s="5"/>
      <c r="BC21" s="25">
        <f t="shared" si="12"/>
        <v>2328472</v>
      </c>
      <c r="BD21" s="25">
        <f t="shared" si="13"/>
        <v>2182280</v>
      </c>
      <c r="BE21" s="27">
        <f t="shared" si="14"/>
        <v>1.3154130776422857E-2</v>
      </c>
      <c r="BF21" s="27">
        <f t="shared" si="15"/>
        <v>-2.5000797765624139E-3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2.5473887999999998</v>
      </c>
      <c r="J22" s="21">
        <f t="shared" si="1"/>
        <v>5.0825207758676653E-2</v>
      </c>
      <c r="K22" s="21">
        <f t="shared" si="2"/>
        <v>1.3219608069086482E-2</v>
      </c>
      <c r="L22" s="21">
        <f t="shared" si="3"/>
        <v>9.8714583464242639E-3</v>
      </c>
      <c r="M22" s="21">
        <f t="shared" si="4"/>
        <v>3.7604546230075211E-2</v>
      </c>
      <c r="N22" s="21">
        <f t="shared" si="5"/>
        <v>0.31671964829218802</v>
      </c>
      <c r="O22" s="5">
        <v>40215200</v>
      </c>
      <c r="P22" s="5">
        <v>1256725</v>
      </c>
      <c r="Q22" s="5">
        <v>279650.375</v>
      </c>
      <c r="R22" s="5">
        <v>12736944</v>
      </c>
      <c r="S22" s="5">
        <v>2473816</v>
      </c>
      <c r="T22" s="5">
        <v>839056</v>
      </c>
      <c r="U22" s="5">
        <v>9423808</v>
      </c>
      <c r="V22" s="5">
        <v>70.675684375000003</v>
      </c>
      <c r="W22" s="5">
        <v>73.726103124999995</v>
      </c>
      <c r="X22" s="5">
        <v>36.037937499999998</v>
      </c>
      <c r="Y22" s="5">
        <v>42.662943749999997</v>
      </c>
      <c r="Z22" s="5">
        <v>41.746121875</v>
      </c>
      <c r="AA22" s="5"/>
      <c r="AB22" s="5"/>
      <c r="AC22" s="5"/>
      <c r="AD22" s="5"/>
      <c r="AF22" s="55">
        <f t="shared" si="6"/>
        <v>2.4143119999999998</v>
      </c>
      <c r="AG22" s="21">
        <f t="shared" si="7"/>
        <v>4.8170074781778954E-2</v>
      </c>
      <c r="AH22" s="21">
        <f t="shared" si="8"/>
        <v>1.244515571051413E-2</v>
      </c>
      <c r="AI22" s="21">
        <f t="shared" si="9"/>
        <v>9.4099473098257277E-3</v>
      </c>
      <c r="AJ22" s="21">
        <f t="shared" si="10"/>
        <v>3.5723833688734261E-2</v>
      </c>
      <c r="AK22" s="21">
        <f t="shared" si="11"/>
        <v>0.30017406353816467</v>
      </c>
      <c r="AL22" s="5">
        <v>40215200</v>
      </c>
      <c r="AM22" s="79">
        <v>1256725</v>
      </c>
      <c r="AN22" s="79">
        <v>288689</v>
      </c>
      <c r="AO22" s="78">
        <v>12071560</v>
      </c>
      <c r="AP22" s="78">
        <v>2358160</v>
      </c>
      <c r="AQ22" s="78">
        <v>760632</v>
      </c>
      <c r="AR22" s="78">
        <v>8952496</v>
      </c>
      <c r="AS22" s="79">
        <v>70.599699999999999</v>
      </c>
      <c r="AT22" s="79">
        <v>73.804199999999994</v>
      </c>
      <c r="AU22" s="79">
        <v>35.973799999999997</v>
      </c>
      <c r="AV22" s="79">
        <v>42.674999999999997</v>
      </c>
      <c r="AW22" s="79">
        <v>41.712600000000002</v>
      </c>
      <c r="AX22" s="5"/>
      <c r="AY22" s="5"/>
      <c r="AZ22" s="5"/>
      <c r="BA22" s="5"/>
      <c r="BC22" s="18">
        <f t="shared" si="12"/>
        <v>3312872</v>
      </c>
      <c r="BD22" s="18">
        <f t="shared" si="13"/>
        <v>3118792</v>
      </c>
      <c r="BE22" s="20">
        <f t="shared" si="14"/>
        <v>7.1922059320853882E-3</v>
      </c>
      <c r="BF22" s="20">
        <f t="shared" si="15"/>
        <v>-1.7407853089776437E-3</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4.3905887999999997</v>
      </c>
      <c r="J23" s="35">
        <f t="shared" si="1"/>
        <v>8.7600521735401685E-2</v>
      </c>
      <c r="K23" s="35">
        <f t="shared" si="2"/>
        <v>2.0604167730850321E-2</v>
      </c>
      <c r="L23" s="35">
        <f t="shared" si="3"/>
        <v>1.7256018008188101E-2</v>
      </c>
      <c r="M23" s="35">
        <f t="shared" si="4"/>
        <v>6.6995300545036413E-2</v>
      </c>
      <c r="N23" s="35">
        <f t="shared" si="5"/>
        <v>0.54588672939585037</v>
      </c>
      <c r="O23" s="5">
        <v>40215200</v>
      </c>
      <c r="P23" s="5">
        <v>1256725</v>
      </c>
      <c r="Q23" s="5">
        <v>278971.3125</v>
      </c>
      <c r="R23" s="5">
        <v>21952944</v>
      </c>
      <c r="S23" s="5">
        <v>4324408</v>
      </c>
      <c r="T23" s="5">
        <v>839056</v>
      </c>
      <c r="U23" s="5">
        <v>16789216</v>
      </c>
      <c r="V23" s="5">
        <v>71.711784374999993</v>
      </c>
      <c r="W23" s="5">
        <v>75.140881250000007</v>
      </c>
      <c r="X23" s="5">
        <v>37.475653125000001</v>
      </c>
      <c r="Y23" s="5">
        <v>43.552553125000003</v>
      </c>
      <c r="Z23" s="5">
        <v>42.555696875000002</v>
      </c>
      <c r="AA23" s="5"/>
      <c r="AB23" s="5"/>
      <c r="AC23" s="5"/>
      <c r="AD23" s="5"/>
      <c r="AF23" s="57">
        <f t="shared" si="6"/>
        <v>4.1712895999999997</v>
      </c>
      <c r="AG23" s="35">
        <f t="shared" si="7"/>
        <v>8.3225089370577127E-2</v>
      </c>
      <c r="AH23" s="35">
        <f t="shared" si="8"/>
        <v>1.9299729467207143E-2</v>
      </c>
      <c r="AI23" s="35">
        <f t="shared" si="9"/>
        <v>1.6264521066518742E-2</v>
      </c>
      <c r="AJ23" s="35">
        <f t="shared" si="10"/>
        <v>6.392427452083943E-2</v>
      </c>
      <c r="AK23" s="35">
        <f t="shared" si="11"/>
        <v>0.51862101891821999</v>
      </c>
      <c r="AL23" s="5">
        <v>40215200</v>
      </c>
      <c r="AM23" s="79">
        <v>1256725</v>
      </c>
      <c r="AN23" s="79">
        <v>283515</v>
      </c>
      <c r="AO23" s="78">
        <v>20856448</v>
      </c>
      <c r="AP23" s="78">
        <v>4075936</v>
      </c>
      <c r="AQ23" s="78">
        <v>760632</v>
      </c>
      <c r="AR23" s="78">
        <v>16019608</v>
      </c>
      <c r="AS23" s="79">
        <v>71.682299999999998</v>
      </c>
      <c r="AT23" s="79">
        <v>75.227599999999995</v>
      </c>
      <c r="AU23" s="79">
        <v>37.450000000000003</v>
      </c>
      <c r="AV23" s="79">
        <v>43.540199999999999</v>
      </c>
      <c r="AW23" s="79">
        <v>42.527700000000003</v>
      </c>
      <c r="AX23" s="5"/>
      <c r="AY23" s="5"/>
      <c r="AZ23" s="5"/>
      <c r="BA23" s="5"/>
      <c r="BC23" s="32">
        <f t="shared" si="12"/>
        <v>5163464</v>
      </c>
      <c r="BD23" s="32">
        <f t="shared" si="13"/>
        <v>4836568</v>
      </c>
      <c r="BE23" s="34">
        <f t="shared" si="14"/>
        <v>3.6154986174381787E-3</v>
      </c>
      <c r="BF23" s="34">
        <f t="shared" si="15"/>
        <v>-3.3080210561031165E-3</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0.3984048</v>
      </c>
      <c r="J24" s="21">
        <f t="shared" si="1"/>
        <v>1.5917436039426535E-2</v>
      </c>
      <c r="K24" s="21">
        <f t="shared" si="2"/>
        <v>6.6374908586714831E-3</v>
      </c>
      <c r="L24" s="21">
        <f t="shared" si="3"/>
        <v>3.7195211840422497E-3</v>
      </c>
      <c r="M24" s="21">
        <f t="shared" si="4"/>
        <v>9.2788904236049338E-3</v>
      </c>
      <c r="N24" s="21">
        <f t="shared" si="5"/>
        <v>0.10485378757636549</v>
      </c>
      <c r="O24" s="5">
        <v>37996224</v>
      </c>
      <c r="P24" s="5">
        <v>1187382</v>
      </c>
      <c r="Q24" s="5">
        <v>463943.375</v>
      </c>
      <c r="R24" s="5">
        <v>3984048</v>
      </c>
      <c r="S24" s="5">
        <v>930976</v>
      </c>
      <c r="T24" s="5">
        <v>730352</v>
      </c>
      <c r="U24" s="5">
        <v>2322456</v>
      </c>
      <c r="V24" s="5">
        <v>66.10920625</v>
      </c>
      <c r="W24" s="5">
        <v>67.856090624999993</v>
      </c>
      <c r="X24" s="5">
        <v>27.587503125000001</v>
      </c>
      <c r="Y24" s="5">
        <v>33.513156250000002</v>
      </c>
      <c r="Z24" s="5">
        <v>32.891462500000003</v>
      </c>
      <c r="AA24" s="5"/>
      <c r="AB24" s="5"/>
      <c r="AC24" s="5"/>
      <c r="AD24" s="5"/>
      <c r="AF24" s="55">
        <f t="shared" si="6"/>
        <v>0.38737520000000003</v>
      </c>
      <c r="AG24" s="21">
        <f t="shared" si="7"/>
        <v>1.5476771287042881E-2</v>
      </c>
      <c r="AH24" s="21">
        <f t="shared" si="8"/>
        <v>6.4688256016664399E-3</v>
      </c>
      <c r="AI24" s="21">
        <f t="shared" si="9"/>
        <v>3.6353004237223161E-3</v>
      </c>
      <c r="AJ24" s="21">
        <f t="shared" si="10"/>
        <v>9.0068589658884434E-3</v>
      </c>
      <c r="AK24" s="21">
        <f t="shared" si="11"/>
        <v>0.10195097281245631</v>
      </c>
      <c r="AL24" s="5">
        <v>37996224</v>
      </c>
      <c r="AM24" s="79">
        <v>1187382</v>
      </c>
      <c r="AN24" s="79">
        <v>497242</v>
      </c>
      <c r="AO24" s="78">
        <v>3873752</v>
      </c>
      <c r="AP24" s="78">
        <v>909896</v>
      </c>
      <c r="AQ24" s="78">
        <v>709216</v>
      </c>
      <c r="AR24" s="78">
        <v>2254368</v>
      </c>
      <c r="AS24" s="79">
        <v>65.905100000000004</v>
      </c>
      <c r="AT24" s="79">
        <v>67.900099999999995</v>
      </c>
      <c r="AU24" s="79">
        <v>27.5932</v>
      </c>
      <c r="AV24" s="79">
        <v>33.514000000000003</v>
      </c>
      <c r="AW24" s="79">
        <v>32.889299999999999</v>
      </c>
      <c r="AX24" s="5"/>
      <c r="AY24" s="5"/>
      <c r="AZ24" s="5"/>
      <c r="BA24" s="5"/>
      <c r="BC24" s="18">
        <f t="shared" si="12"/>
        <v>1661328</v>
      </c>
      <c r="BD24" s="18">
        <f t="shared" si="13"/>
        <v>1619112</v>
      </c>
      <c r="BE24" s="20">
        <f t="shared" si="14"/>
        <v>2.8043734029992051E-2</v>
      </c>
      <c r="BF24" s="20">
        <f t="shared" si="15"/>
        <v>9.7499217010826866E-4</v>
      </c>
      <c r="BG24" s="20">
        <f t="array" ref="BG24">AVERAGE(BD24:BD28/AO24:AO28) - AVERAGE(BC24:BC28/R24:R28)</f>
        <v>-2.0187860089421195E-4</v>
      </c>
      <c r="BI24" s="50">
        <f>bdRateExtend( R24:R28,V24:V28, AO24:AO28,AS24:AS28)</f>
        <v>-3.6198740517959238E-2</v>
      </c>
      <c r="BJ24" s="50">
        <f>bdRateExtend( R24:R28,W24:W28, AO24:AO28,AT24:AT28)</f>
        <v>-5.5092590531276686E-2</v>
      </c>
      <c r="BK24" s="50">
        <f>bdRateExtend( R24:R28,X24:X28, AO24:AO28,AU24:AU28)</f>
        <v>-3.1022177284859009E-2</v>
      </c>
      <c r="BL24" s="50">
        <f>bdRateExtend( R24:R28,Y24:Y28, AO24:AO28,AV24:AV28)</f>
        <v>-3.2688084397626271E-2</v>
      </c>
      <c r="BM24" s="50">
        <f>bdRateExtend( R24:R28,Z24:Z28, AO24:AO28,AW24:AW28)</f>
        <v>-3.5508136373907262E-2</v>
      </c>
      <c r="BO24" s="50">
        <f>bdRateExtend( BC24:BC28,V24:V28, BD24:BD28,AS24:AS28)</f>
        <v>-3.8670128628918166E-2</v>
      </c>
      <c r="BP24" s="50">
        <f>bdRateExtend( BC24:BC28,W24:W28, BD24:BD28,AT24:AT28)</f>
        <v>-4.6396635665472585E-2</v>
      </c>
      <c r="BQ24" s="50">
        <f>bdRateExtend( U24:U28,X24:X28, AR24:AR28,AU24:AU28)</f>
        <v>-3.0802779179339601E-2</v>
      </c>
      <c r="BR24" s="50">
        <f>bdRateExtend( U24:U28,Y24:Y28, AR24:AR28,AV24:AV28)</f>
        <v>-3.2103310869611712E-2</v>
      </c>
      <c r="BS24" s="50">
        <f>bdRateExtend( U24:U28,Z24:Z28, AR24:AR28,AW24:AW28)</f>
        <v>-3.566645247924749E-2</v>
      </c>
    </row>
    <row r="25" spans="1:71" outlineLevel="1" x14ac:dyDescent="0.25">
      <c r="A25" s="25"/>
      <c r="B25" s="25"/>
      <c r="C25" s="26" t="s">
        <v>311</v>
      </c>
      <c r="D25" s="25">
        <v>250294582</v>
      </c>
      <c r="E25" s="26">
        <v>10</v>
      </c>
      <c r="F25" s="26">
        <v>300</v>
      </c>
      <c r="G25" s="26">
        <v>30</v>
      </c>
      <c r="I25" s="56">
        <f t="shared" si="0"/>
        <v>0.70465359999999999</v>
      </c>
      <c r="J25" s="28">
        <f t="shared" si="1"/>
        <v>2.815297056649832E-2</v>
      </c>
      <c r="K25" s="28">
        <f t="shared" si="2"/>
        <v>8.3785752901355259E-3</v>
      </c>
      <c r="L25" s="28">
        <f t="shared" si="3"/>
        <v>5.4606056155062921E-3</v>
      </c>
      <c r="M25" s="28">
        <f t="shared" si="4"/>
        <v>1.9773340519212677E-2</v>
      </c>
      <c r="N25" s="28">
        <f t="shared" si="5"/>
        <v>0.18545358612476862</v>
      </c>
      <c r="O25" s="5">
        <v>37996224</v>
      </c>
      <c r="P25" s="5">
        <v>1187382</v>
      </c>
      <c r="Q25" s="5">
        <v>423667.3125</v>
      </c>
      <c r="R25" s="5">
        <v>7046536</v>
      </c>
      <c r="S25" s="5">
        <v>1366760</v>
      </c>
      <c r="T25" s="5">
        <v>730352</v>
      </c>
      <c r="U25" s="5">
        <v>4949160</v>
      </c>
      <c r="V25" s="5">
        <v>67.776509375000003</v>
      </c>
      <c r="W25" s="5">
        <v>69.882850000000005</v>
      </c>
      <c r="X25" s="5">
        <v>29.955040624999999</v>
      </c>
      <c r="Y25" s="5">
        <v>34.690281249999998</v>
      </c>
      <c r="Z25" s="5">
        <v>34.167059375000001</v>
      </c>
      <c r="AA25" s="5"/>
      <c r="AB25" s="5"/>
      <c r="AC25" s="5"/>
      <c r="AD25" s="5"/>
      <c r="AF25" s="56">
        <f t="shared" si="6"/>
        <v>0.6797048</v>
      </c>
      <c r="AG25" s="28">
        <f t="shared" si="7"/>
        <v>2.7156193097300045E-2</v>
      </c>
      <c r="AH25" s="28">
        <f t="shared" si="8"/>
        <v>8.112233128562088E-3</v>
      </c>
      <c r="AI25" s="28">
        <f t="shared" si="9"/>
        <v>5.2787079506179642E-3</v>
      </c>
      <c r="AJ25" s="28">
        <f t="shared" si="10"/>
        <v>1.9042873249249959E-2</v>
      </c>
      <c r="AK25" s="28">
        <f t="shared" si="11"/>
        <v>0.17888745997497013</v>
      </c>
      <c r="AL25" s="5">
        <v>37996224</v>
      </c>
      <c r="AM25" s="79">
        <v>1187382</v>
      </c>
      <c r="AN25" s="79">
        <v>429916</v>
      </c>
      <c r="AO25" s="78">
        <v>6797048</v>
      </c>
      <c r="AP25" s="78">
        <v>1321232</v>
      </c>
      <c r="AQ25" s="78">
        <v>709216</v>
      </c>
      <c r="AR25" s="78">
        <v>4766328</v>
      </c>
      <c r="AS25" s="79">
        <v>67.718199999999996</v>
      </c>
      <c r="AT25" s="79">
        <v>69.916700000000006</v>
      </c>
      <c r="AU25" s="79">
        <v>29.948399999999999</v>
      </c>
      <c r="AV25" s="79">
        <v>34.679900000000004</v>
      </c>
      <c r="AW25" s="79">
        <v>34.178899999999999</v>
      </c>
      <c r="AX25" s="5"/>
      <c r="AY25" s="5"/>
      <c r="AZ25" s="5"/>
      <c r="BA25" s="5"/>
      <c r="BC25" s="25">
        <f t="shared" si="12"/>
        <v>2097112</v>
      </c>
      <c r="BD25" s="25">
        <f t="shared" si="13"/>
        <v>2030448</v>
      </c>
      <c r="BE25" s="27">
        <f t="shared" si="14"/>
        <v>5.2625755654035489E-3</v>
      </c>
      <c r="BF25" s="27">
        <f t="shared" si="15"/>
        <v>1.1160514595631721E-3</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1.4122928000000001</v>
      </c>
      <c r="J26" s="21">
        <f t="shared" si="1"/>
        <v>5.6425224577973485E-2</v>
      </c>
      <c r="K26" s="21">
        <f t="shared" si="2"/>
        <v>1.0824716932945835E-2</v>
      </c>
      <c r="L26" s="21">
        <f t="shared" si="3"/>
        <v>7.9067472583166029E-3</v>
      </c>
      <c r="M26" s="21">
        <f t="shared" si="4"/>
        <v>4.5599452887877534E-2</v>
      </c>
      <c r="N26" s="21">
        <f t="shared" si="5"/>
        <v>0.37169293454002167</v>
      </c>
      <c r="O26" s="5">
        <v>37996224</v>
      </c>
      <c r="P26" s="5">
        <v>1187382</v>
      </c>
      <c r="Q26" s="5">
        <v>390313.34375</v>
      </c>
      <c r="R26" s="5">
        <v>14122928</v>
      </c>
      <c r="S26" s="5">
        <v>1979016</v>
      </c>
      <c r="T26" s="5">
        <v>730352</v>
      </c>
      <c r="U26" s="5">
        <v>11413296</v>
      </c>
      <c r="V26" s="5">
        <v>69.090146875000002</v>
      </c>
      <c r="W26" s="5">
        <v>71.594106249999996</v>
      </c>
      <c r="X26" s="5">
        <v>32.410762499999997</v>
      </c>
      <c r="Y26" s="5">
        <v>35.969668749999997</v>
      </c>
      <c r="Z26" s="5">
        <v>35.531537499999999</v>
      </c>
      <c r="AA26" s="5"/>
      <c r="AB26" s="5"/>
      <c r="AC26" s="5"/>
      <c r="AD26" s="5"/>
      <c r="AF26" s="55">
        <f t="shared" si="6"/>
        <v>1.3609896000000001</v>
      </c>
      <c r="AG26" s="21">
        <f t="shared" si="7"/>
        <v>5.4375511811917687E-2</v>
      </c>
      <c r="AH26" s="21">
        <f t="shared" si="8"/>
        <v>1.044746545892072E-2</v>
      </c>
      <c r="AI26" s="21">
        <f t="shared" si="9"/>
        <v>7.6139402809765975E-3</v>
      </c>
      <c r="AJ26" s="21">
        <f t="shared" si="10"/>
        <v>4.3926959633508969E-2</v>
      </c>
      <c r="AK26" s="21">
        <f t="shared" si="11"/>
        <v>0.35819075074407392</v>
      </c>
      <c r="AL26" s="5">
        <v>37996224</v>
      </c>
      <c r="AM26" s="79">
        <v>1187382</v>
      </c>
      <c r="AN26" s="79">
        <v>402789</v>
      </c>
      <c r="AO26" s="78">
        <v>13609896</v>
      </c>
      <c r="AP26" s="78">
        <v>1905728</v>
      </c>
      <c r="AQ26" s="78">
        <v>709216</v>
      </c>
      <c r="AR26" s="78">
        <v>10994680</v>
      </c>
      <c r="AS26" s="79">
        <v>69.142200000000003</v>
      </c>
      <c r="AT26" s="79">
        <v>71.658799999999999</v>
      </c>
      <c r="AU26" s="79">
        <v>32.390700000000002</v>
      </c>
      <c r="AV26" s="79">
        <v>35.969000000000001</v>
      </c>
      <c r="AW26" s="79">
        <v>35.529000000000003</v>
      </c>
      <c r="AX26" s="5"/>
      <c r="AY26" s="5"/>
      <c r="AZ26" s="5"/>
      <c r="BA26" s="5"/>
      <c r="BC26" s="18">
        <f t="shared" si="12"/>
        <v>2709368</v>
      </c>
      <c r="BD26" s="18">
        <f t="shared" si="13"/>
        <v>2614944</v>
      </c>
      <c r="BE26" s="20">
        <f t="shared" si="14"/>
        <v>1.050685983954619E-2</v>
      </c>
      <c r="BF26" s="20">
        <f t="shared" si="15"/>
        <v>2.9368225329368114E-4</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2.8342040000000002</v>
      </c>
      <c r="J27" s="28">
        <f t="shared" si="1"/>
        <v>0.1132347323443062</v>
      </c>
      <c r="K27" s="28">
        <f t="shared" si="2"/>
        <v>1.5266235367411988E-2</v>
      </c>
      <c r="L27" s="28">
        <f t="shared" si="3"/>
        <v>1.2348265692782755E-2</v>
      </c>
      <c r="M27" s="28">
        <f t="shared" si="4"/>
        <v>9.79674422197441E-2</v>
      </c>
      <c r="N27" s="28">
        <f t="shared" si="5"/>
        <v>0.7459172785169389</v>
      </c>
      <c r="O27" s="5">
        <v>37996224</v>
      </c>
      <c r="P27" s="5">
        <v>1187382</v>
      </c>
      <c r="Q27" s="5">
        <v>395881.96875</v>
      </c>
      <c r="R27" s="5">
        <v>28342040</v>
      </c>
      <c r="S27" s="5">
        <v>3090704</v>
      </c>
      <c r="T27" s="5">
        <v>730352</v>
      </c>
      <c r="U27" s="5">
        <v>24520720</v>
      </c>
      <c r="V27" s="5">
        <v>70.304653125000002</v>
      </c>
      <c r="W27" s="5">
        <v>73.211762500000006</v>
      </c>
      <c r="X27" s="5">
        <v>34.960953125000003</v>
      </c>
      <c r="Y27" s="5">
        <v>37.621837499999998</v>
      </c>
      <c r="Z27" s="5">
        <v>37.188487500000001</v>
      </c>
      <c r="AA27" s="5"/>
      <c r="AB27" s="5"/>
      <c r="AC27" s="5"/>
      <c r="AD27" s="5"/>
      <c r="AF27" s="56">
        <f t="shared" si="6"/>
        <v>2.7350984</v>
      </c>
      <c r="AG27" s="28">
        <f t="shared" si="7"/>
        <v>0.10927517400276766</v>
      </c>
      <c r="AH27" s="28">
        <f t="shared" si="8"/>
        <v>1.4608130830414859E-2</v>
      </c>
      <c r="AI27" s="28">
        <f t="shared" si="9"/>
        <v>1.1774605652470736E-2</v>
      </c>
      <c r="AJ27" s="28">
        <f t="shared" si="10"/>
        <v>9.4665956452864811E-2</v>
      </c>
      <c r="AK27" s="28">
        <f t="shared" si="11"/>
        <v>0.7198342656365011</v>
      </c>
      <c r="AL27" s="5">
        <v>37996224</v>
      </c>
      <c r="AM27" s="79">
        <v>1187382</v>
      </c>
      <c r="AN27" s="79">
        <v>404340</v>
      </c>
      <c r="AO27" s="78">
        <v>27350984</v>
      </c>
      <c r="AP27" s="78">
        <v>2947120</v>
      </c>
      <c r="AQ27" s="78">
        <v>709216</v>
      </c>
      <c r="AR27" s="78">
        <v>23694376</v>
      </c>
      <c r="AS27" s="79">
        <v>70.359700000000004</v>
      </c>
      <c r="AT27" s="79">
        <v>73.284000000000006</v>
      </c>
      <c r="AU27" s="79">
        <v>34.936799999999998</v>
      </c>
      <c r="AV27" s="79">
        <v>37.618600000000001</v>
      </c>
      <c r="AW27" s="79">
        <v>37.187899999999999</v>
      </c>
      <c r="AX27" s="5"/>
      <c r="AY27" s="5"/>
      <c r="AZ27" s="5"/>
      <c r="BA27" s="5"/>
      <c r="BC27" s="25">
        <f t="shared" si="12"/>
        <v>3821056</v>
      </c>
      <c r="BD27" s="25">
        <f t="shared" si="13"/>
        <v>3656336</v>
      </c>
      <c r="BE27" s="27">
        <f t="shared" si="14"/>
        <v>7.1232604587234682E-3</v>
      </c>
      <c r="BF27" s="27">
        <f t="shared" si="15"/>
        <v>-1.1373065646205216E-3</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5.1802784000000006</v>
      </c>
      <c r="J28" s="42">
        <f t="shared" si="1"/>
        <v>0.2069672606816555</v>
      </c>
      <c r="K28" s="42">
        <f t="shared" si="2"/>
        <v>2.2944771533248771E-2</v>
      </c>
      <c r="L28" s="42">
        <f t="shared" si="3"/>
        <v>2.0026801858619537E-2</v>
      </c>
      <c r="M28" s="42">
        <f t="shared" si="4"/>
        <v>0.18402143439125662</v>
      </c>
      <c r="N28" s="42">
        <f t="shared" si="5"/>
        <v>1.3633666334844221</v>
      </c>
      <c r="O28" s="5">
        <v>37996224</v>
      </c>
      <c r="P28" s="5">
        <v>1187382</v>
      </c>
      <c r="Q28" s="5">
        <v>393211.21875</v>
      </c>
      <c r="R28" s="5">
        <v>51802784</v>
      </c>
      <c r="S28" s="5">
        <v>5012600</v>
      </c>
      <c r="T28" s="5">
        <v>730352</v>
      </c>
      <c r="U28" s="5">
        <v>46059568</v>
      </c>
      <c r="V28" s="5">
        <v>71.339443750000001</v>
      </c>
      <c r="W28" s="5">
        <v>74.554571874999993</v>
      </c>
      <c r="X28" s="5">
        <v>36.81465</v>
      </c>
      <c r="Y28" s="5">
        <v>39.633584374999998</v>
      </c>
      <c r="Z28" s="5">
        <v>39.030349999999999</v>
      </c>
      <c r="AA28" s="5"/>
      <c r="AB28" s="5"/>
      <c r="AC28" s="5"/>
      <c r="AD28" s="5"/>
      <c r="AF28" s="58">
        <f t="shared" si="6"/>
        <v>5.0206735999999994</v>
      </c>
      <c r="AG28" s="42">
        <f t="shared" si="7"/>
        <v>0.20059058250010381</v>
      </c>
      <c r="AH28" s="42">
        <f t="shared" si="8"/>
        <v>2.1785145952540035E-2</v>
      </c>
      <c r="AI28" s="42">
        <f t="shared" si="9"/>
        <v>1.8951620774595911E-2</v>
      </c>
      <c r="AJ28" s="42">
        <f t="shared" si="10"/>
        <v>0.17880434982807578</v>
      </c>
      <c r="AK28" s="42">
        <f t="shared" si="11"/>
        <v>1.32136119631256</v>
      </c>
      <c r="AL28" s="5">
        <v>37996224</v>
      </c>
      <c r="AM28" s="79">
        <v>1187382</v>
      </c>
      <c r="AN28" s="79">
        <v>397206</v>
      </c>
      <c r="AO28" s="78">
        <v>50206736</v>
      </c>
      <c r="AP28" s="78">
        <v>4743488</v>
      </c>
      <c r="AQ28" s="78">
        <v>709216</v>
      </c>
      <c r="AR28" s="78">
        <v>44753760</v>
      </c>
      <c r="AS28" s="79">
        <v>71.395099999999999</v>
      </c>
      <c r="AT28" s="79">
        <v>74.629599999999996</v>
      </c>
      <c r="AU28" s="79">
        <v>36.823900000000002</v>
      </c>
      <c r="AV28" s="79">
        <v>39.634399999999999</v>
      </c>
      <c r="AW28" s="79">
        <v>39.036700000000003</v>
      </c>
      <c r="AX28" s="5"/>
      <c r="AY28" s="5"/>
      <c r="AZ28" s="5"/>
      <c r="BA28" s="5"/>
      <c r="BC28" s="39">
        <f t="shared" si="12"/>
        <v>5742952</v>
      </c>
      <c r="BD28" s="39">
        <f t="shared" si="13"/>
        <v>5452704</v>
      </c>
      <c r="BE28" s="41">
        <f t="shared" si="14"/>
        <v>3.3643606269928572E-3</v>
      </c>
      <c r="BF28" s="41">
        <f t="shared" si="15"/>
        <v>-2.2568123228157294E-3</v>
      </c>
      <c r="BG28" s="41"/>
      <c r="BI28" s="60"/>
      <c r="BJ28" s="60"/>
      <c r="BK28" s="60"/>
      <c r="BL28" s="60"/>
      <c r="BM28" s="60"/>
      <c r="BO28" s="60"/>
      <c r="BP28" s="60"/>
      <c r="BQ28" s="60"/>
      <c r="BR28" s="60"/>
      <c r="BS28" s="60"/>
    </row>
    <row r="29" spans="1:71" x14ac:dyDescent="0.25">
      <c r="B29" s="46" t="s">
        <v>571</v>
      </c>
      <c r="J29" s="47">
        <f>AVERAGE(J4:J23)</f>
        <v>3.9164216725584088E-2</v>
      </c>
      <c r="AG29" s="47">
        <f>AVERAGE(AG4:AG23)</f>
        <v>3.7203231242467043E-2</v>
      </c>
      <c r="BG29" s="6">
        <f>AVERAGE(BG4:BG23)</f>
        <v>-2.0827056240305536E-3</v>
      </c>
      <c r="BI29" s="11">
        <f>AVERAGE(BI4:BI23)</f>
        <v>-4.7635368525685368E-2</v>
      </c>
      <c r="BJ29" s="11">
        <f>AVERAGE(BJ4:BJ23)</f>
        <v>-6.9869075164990052E-2</v>
      </c>
      <c r="BK29" s="11">
        <f>AVERAGE(BK4:BK23)</f>
        <v>-4.5188596594440134E-2</v>
      </c>
      <c r="BL29" s="11">
        <f>AVERAGE(BL4:BL23)</f>
        <v>-5.4983985552479242E-2</v>
      </c>
      <c r="BM29" s="11">
        <f>AVERAGE(BM4:BM23)</f>
        <v>-4.686044200935735E-2</v>
      </c>
      <c r="BO29" s="11">
        <f>AVERAGE(BO4:BO23)</f>
        <v>-5.1882466499374141E-2</v>
      </c>
      <c r="BP29" s="11">
        <f>AVERAGE(BP4:BP23)</f>
        <v>-6.5085985161891735E-2</v>
      </c>
      <c r="BQ29" s="11">
        <f>AVERAGE(BQ4:BQ23)</f>
        <v>-4.1281136214694841E-2</v>
      </c>
      <c r="BR29" s="11">
        <f>AVERAGE(BR4:BR23)</f>
        <v>-5.4352160762876661E-2</v>
      </c>
      <c r="BS29" s="11">
        <f>AVERAGE(BS4:BS23)</f>
        <v>-4.2768111145489895E-2</v>
      </c>
    </row>
    <row r="30" spans="1:71" x14ac:dyDescent="0.25">
      <c r="B30" s="46" t="s">
        <v>572</v>
      </c>
      <c r="J30" s="47">
        <f>AVERAGE(J24:J28)</f>
        <v>8.4139524841971999E-2</v>
      </c>
      <c r="AG30" s="47">
        <f>AVERAGE(AG24:AG28)</f>
        <v>8.137484653982642E-2</v>
      </c>
      <c r="BG30" s="6">
        <f>AVERAGE(BG24:BG28)</f>
        <v>-2.0187860089421195E-4</v>
      </c>
      <c r="BI30" s="11">
        <f>AVERAGE(BI24:BI28)</f>
        <v>-3.6198740517959238E-2</v>
      </c>
      <c r="BJ30" s="11">
        <f>AVERAGE(BJ24:BJ28)</f>
        <v>-5.5092590531276686E-2</v>
      </c>
      <c r="BK30" s="11">
        <f>AVERAGE(BK24:BK28)</f>
        <v>-3.1022177284859009E-2</v>
      </c>
      <c r="BL30" s="11">
        <f>AVERAGE(BL24:BL28)</f>
        <v>-3.2688084397626271E-2</v>
      </c>
      <c r="BM30" s="11">
        <f>AVERAGE(BM24:BM28)</f>
        <v>-3.5508136373907262E-2</v>
      </c>
      <c r="BO30" s="11">
        <f>AVERAGE(BO24:BO28)</f>
        <v>-3.8670128628918166E-2</v>
      </c>
      <c r="BP30" s="11">
        <f>AVERAGE(BP24:BP28)</f>
        <v>-4.6396635665472585E-2</v>
      </c>
      <c r="BQ30" s="11">
        <f>AVERAGE(BQ24:BQ28)</f>
        <v>-3.0802779179339601E-2</v>
      </c>
      <c r="BR30" s="11">
        <f>AVERAGE(BR24:BR28)</f>
        <v>-3.2103310869611712E-2</v>
      </c>
      <c r="BS30" s="11">
        <f>AVERAGE(BS24:BS28)</f>
        <v>-3.566645247924749E-2</v>
      </c>
    </row>
    <row r="31" spans="1:71" collapsed="1" x14ac:dyDescent="0.25">
      <c r="B31" s="46" t="s">
        <v>258</v>
      </c>
      <c r="J31" s="47">
        <f>AVERAGE(J4:J23,J24:J28)</f>
        <v>4.8159278348861675E-2</v>
      </c>
      <c r="AG31" s="47">
        <f>AVERAGE(AG4:AG23,AG24:AG28)</f>
        <v>4.603755430193892E-2</v>
      </c>
      <c r="BG31" s="6">
        <f>AVERAGE(BG4:BG23,BG24:BG28)</f>
        <v>-1.7065402194032854E-3</v>
      </c>
      <c r="BI31" s="11">
        <f>AVERAGE(BI4:BI23,BI24:BI28)</f>
        <v>-4.5348042924140144E-2</v>
      </c>
      <c r="BJ31" s="11">
        <f>AVERAGE(BJ4:BJ23,BJ24:BJ28)</f>
        <v>-6.6913778238247373E-2</v>
      </c>
      <c r="BK31" s="11">
        <f>AVERAGE(BK4:BK23,BK24:BK28)</f>
        <v>-4.2355312732523909E-2</v>
      </c>
      <c r="BL31" s="11">
        <f>AVERAGE(BL4:BL23,BL24:BL28)</f>
        <v>-5.0524805321508645E-2</v>
      </c>
      <c r="BM31" s="11">
        <f>AVERAGE(BM4:BM23,BM24:BM28)</f>
        <v>-4.458998088226733E-2</v>
      </c>
      <c r="BO31" s="11">
        <f>AVERAGE(BO4:BO23,BO24:BO28)</f>
        <v>-4.9239998925282948E-2</v>
      </c>
      <c r="BP31" s="11">
        <f>AVERAGE(BP4:BP23,BP24:BP28)</f>
        <v>-6.1348115262607902E-2</v>
      </c>
      <c r="BQ31" s="11">
        <f>AVERAGE(BQ4:BQ23,BQ24:BQ28)</f>
        <v>-3.918546480762379E-2</v>
      </c>
      <c r="BR31" s="11">
        <f>AVERAGE(BR4:BR23,BR24:BR28)</f>
        <v>-4.990239078422367E-2</v>
      </c>
      <c r="BS31" s="11">
        <f>AVERAGE(BS4:BS23,BS24:BS28)</f>
        <v>-4.1347779412241416E-2</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53" hidden="1" outlineLevel="2" x14ac:dyDescent="0.25">
      <c r="B33" s="46" t="s">
        <v>261</v>
      </c>
      <c r="AX33" s="6" t="e">
        <f>AX32/AA32</f>
        <v>#DIV/0!</v>
      </c>
      <c r="AY33" s="6" t="e">
        <f>AY32/AB32</f>
        <v>#DIV/0!</v>
      </c>
      <c r="AZ33" s="6" t="e">
        <f>AZ32/AC32</f>
        <v>#DIV/0!</v>
      </c>
      <c r="BA33" s="6" t="e">
        <f>BA32/AD32</f>
        <v>#DIV/0!</v>
      </c>
    </row>
    <row r="34" spans="2:53"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row r="37" spans="2:53" x14ac:dyDescent="0.25">
      <c r="B37" s="5"/>
    </row>
    <row r="40" spans="2:53" x14ac:dyDescent="0.25">
      <c r="N40" s="5"/>
      <c r="O40" s="5"/>
      <c r="P40" s="5"/>
      <c r="Q40" s="5"/>
      <c r="R40" s="5"/>
      <c r="S40" s="5"/>
      <c r="T40" s="5"/>
      <c r="U40" s="5"/>
      <c r="V40" s="5"/>
      <c r="W40" s="5"/>
      <c r="X40" s="5"/>
      <c r="Y40" s="5"/>
      <c r="Z40" s="5"/>
      <c r="AA40" s="5"/>
      <c r="AB40" s="5"/>
      <c r="AC40" s="5"/>
      <c r="AD40" s="5"/>
    </row>
    <row r="41" spans="2:53"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53"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53"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53"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53"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53"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53"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53" x14ac:dyDescent="0.25">
      <c r="B48" s="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row r="66" spans="14:53" x14ac:dyDescent="0.25">
      <c r="AK66" s="5"/>
      <c r="AL66" s="5"/>
      <c r="AM66" s="5"/>
      <c r="AN66" s="5"/>
      <c r="AO66" s="5"/>
      <c r="AP66" s="5"/>
      <c r="AQ66" s="5"/>
      <c r="AR66" s="5"/>
      <c r="AS66" s="5"/>
      <c r="AT66" s="5"/>
      <c r="AU66" s="5"/>
      <c r="AV66" s="5"/>
      <c r="AW66" s="5"/>
      <c r="AX66" s="5"/>
      <c r="AY66" s="5"/>
      <c r="AZ66" s="5"/>
      <c r="BA66" s="5"/>
    </row>
    <row r="67" spans="14:53" x14ac:dyDescent="0.25">
      <c r="AK67" s="5"/>
      <c r="AL67" s="5"/>
      <c r="AM67" s="5"/>
      <c r="AN67" s="5"/>
      <c r="AO67" s="5"/>
      <c r="AP67" s="5"/>
      <c r="AQ67" s="5"/>
      <c r="AR67" s="5"/>
      <c r="AS67" s="5"/>
      <c r="AT67" s="5"/>
      <c r="AU67" s="5"/>
      <c r="AV67" s="5"/>
      <c r="AW67" s="5"/>
      <c r="AX67" s="5"/>
      <c r="AY67" s="5"/>
      <c r="AZ67" s="5"/>
      <c r="BA67" s="5"/>
    </row>
    <row r="68" spans="14:53" x14ac:dyDescent="0.25">
      <c r="AK68" s="5"/>
      <c r="AL68" s="5"/>
      <c r="AM68" s="5"/>
      <c r="AN68" s="5"/>
      <c r="AO68" s="5"/>
      <c r="AP68" s="5"/>
      <c r="AQ68" s="5"/>
      <c r="AR68" s="5"/>
      <c r="AS68" s="5"/>
      <c r="AT68" s="5"/>
      <c r="AU68" s="5"/>
      <c r="AV68" s="5"/>
      <c r="AW68" s="5"/>
      <c r="AX68" s="5"/>
      <c r="AY68" s="5"/>
      <c r="AZ68" s="5"/>
      <c r="BA68" s="5"/>
    </row>
    <row r="69" spans="14:53" x14ac:dyDescent="0.25">
      <c r="AK69" s="5"/>
      <c r="AL69" s="5"/>
      <c r="AM69" s="5"/>
      <c r="AN69" s="5"/>
      <c r="AO69" s="5"/>
      <c r="AP69" s="5"/>
      <c r="AQ69" s="5"/>
      <c r="AR69" s="5"/>
      <c r="AS69" s="5"/>
      <c r="AT69" s="5"/>
      <c r="AU69" s="5"/>
      <c r="AV69" s="5"/>
      <c r="AW69" s="5"/>
      <c r="AX69" s="5"/>
      <c r="AY69" s="5"/>
      <c r="AZ69" s="5"/>
      <c r="BA69" s="5"/>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G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4" t="s">
        <v>860</v>
      </c>
      <c r="B1" s="74"/>
      <c r="C1" s="74"/>
      <c r="D1" s="74"/>
      <c r="E1" s="74"/>
      <c r="F1" s="74"/>
      <c r="H1" s="71" t="s">
        <v>1477</v>
      </c>
      <c r="I1" s="71"/>
      <c r="J1" s="71"/>
      <c r="K1" s="71"/>
      <c r="L1" s="71"/>
      <c r="M1" s="71"/>
      <c r="N1" s="71"/>
      <c r="O1" s="71"/>
      <c r="P1" s="71"/>
      <c r="Q1" s="71"/>
      <c r="R1" s="71"/>
      <c r="S1" s="71"/>
      <c r="U1" s="72"/>
      <c r="V1" s="72"/>
      <c r="W1" s="72"/>
      <c r="X1" s="72"/>
      <c r="Y1" s="72"/>
      <c r="Z1" s="72"/>
      <c r="AA1" s="72"/>
      <c r="AB1" s="72"/>
      <c r="AC1" s="72"/>
      <c r="AD1" s="72"/>
      <c r="AE1" s="72"/>
      <c r="AF1" s="72"/>
    </row>
    <row r="2" spans="1:34" ht="30" customHeight="1" x14ac:dyDescent="0.25">
      <c r="A2" s="73" t="s">
        <v>97</v>
      </c>
      <c r="B2" s="76" t="s">
        <v>99</v>
      </c>
      <c r="C2" s="73" t="s">
        <v>101</v>
      </c>
      <c r="D2" s="76" t="s">
        <v>103</v>
      </c>
      <c r="E2" s="73" t="s">
        <v>513</v>
      </c>
      <c r="F2" s="76" t="s">
        <v>515</v>
      </c>
      <c r="H2" s="73" t="s">
        <v>105</v>
      </c>
      <c r="I2" s="76" t="s">
        <v>518</v>
      </c>
      <c r="J2" s="73" t="s">
        <v>520</v>
      </c>
      <c r="K2" s="76" t="s">
        <v>112</v>
      </c>
      <c r="L2" s="73" t="s">
        <v>26</v>
      </c>
      <c r="M2" s="76" t="s">
        <v>524</v>
      </c>
      <c r="N2" s="77" t="s">
        <v>374</v>
      </c>
      <c r="O2" s="77"/>
      <c r="P2" s="75" t="s">
        <v>528</v>
      </c>
      <c r="Q2" s="75"/>
      <c r="R2" s="77" t="s">
        <v>533</v>
      </c>
      <c r="S2" s="77"/>
      <c r="U2" s="76" t="s">
        <v>105</v>
      </c>
      <c r="V2" s="73" t="s">
        <v>518</v>
      </c>
      <c r="W2" s="76" t="s">
        <v>520</v>
      </c>
      <c r="X2" s="73" t="s">
        <v>112</v>
      </c>
      <c r="Y2" s="76" t="s">
        <v>26</v>
      </c>
      <c r="Z2" s="73" t="s">
        <v>524</v>
      </c>
      <c r="AA2" s="75" t="s">
        <v>374</v>
      </c>
      <c r="AB2" s="75"/>
      <c r="AC2" s="77" t="s">
        <v>528</v>
      </c>
      <c r="AD2" s="77"/>
      <c r="AE2" s="75" t="s">
        <v>533</v>
      </c>
      <c r="AF2" s="75"/>
      <c r="AH2" s="73" t="s">
        <v>131</v>
      </c>
    </row>
    <row r="3" spans="1:34" ht="15.75" thickBot="1" x14ac:dyDescent="0.3">
      <c r="A3" s="73"/>
      <c r="B3" s="76"/>
      <c r="C3" s="73"/>
      <c r="D3" s="76"/>
      <c r="E3" s="73"/>
      <c r="F3" s="76"/>
      <c r="H3" s="73"/>
      <c r="I3" s="76"/>
      <c r="J3" s="73"/>
      <c r="K3" s="76"/>
      <c r="L3" s="73"/>
      <c r="M3" s="76"/>
      <c r="N3" s="16" t="s">
        <v>375</v>
      </c>
      <c r="O3" s="16" t="s">
        <v>377</v>
      </c>
      <c r="P3" s="17" t="s">
        <v>529</v>
      </c>
      <c r="Q3" s="17" t="s">
        <v>531</v>
      </c>
      <c r="R3" s="16" t="s">
        <v>529</v>
      </c>
      <c r="S3" s="16" t="s">
        <v>531</v>
      </c>
      <c r="U3" s="76"/>
      <c r="V3" s="73"/>
      <c r="W3" s="76"/>
      <c r="X3" s="73"/>
      <c r="Y3" s="76"/>
      <c r="Z3" s="73"/>
      <c r="AA3" s="17" t="s">
        <v>375</v>
      </c>
      <c r="AB3" s="17" t="s">
        <v>377</v>
      </c>
      <c r="AC3" s="16" t="s">
        <v>529</v>
      </c>
      <c r="AD3" s="16" t="s">
        <v>531</v>
      </c>
      <c r="AE3" s="17" t="s">
        <v>529</v>
      </c>
      <c r="AF3" s="17" t="s">
        <v>531</v>
      </c>
      <c r="AH3" s="73"/>
    </row>
    <row r="4" spans="1:34" collapsed="1" x14ac:dyDescent="0.25">
      <c r="A4" s="18" t="s">
        <v>566</v>
      </c>
      <c r="B4" s="18" t="s">
        <v>554</v>
      </c>
      <c r="C4" s="18">
        <v>238146391</v>
      </c>
      <c r="D4" s="19">
        <v>10</v>
      </c>
      <c r="E4" s="19">
        <v>300</v>
      </c>
      <c r="F4" s="19">
        <v>30</v>
      </c>
      <c r="H4" s="20">
        <f>IF(ISBLANK(M4),"·",M4/(C4*D4*3))</f>
        <v>6.2684222383757784E-3</v>
      </c>
      <c r="I4" s="55">
        <f>IF(OR(ISBLANK(M4),ISBLANK(F4)),"·",M4*F4/E4/1000000)</f>
        <v>4.4784064000000008</v>
      </c>
      <c r="J4" s="21">
        <f>IF(ISBLANK(M4),"·",M4/C4)</f>
        <v>0.18805266715127336</v>
      </c>
      <c r="K4" s="21">
        <f>IF(ISBLANK(M4),"·",M4/L4)</f>
        <v>1.239531819448211</v>
      </c>
      <c r="L4" s="22">
        <v>36129822</v>
      </c>
      <c r="M4" s="23">
        <v>44784064</v>
      </c>
      <c r="N4" s="49" t="s">
        <v>1476</v>
      </c>
      <c r="O4" s="49" t="s">
        <v>1476</v>
      </c>
      <c r="P4" s="24"/>
      <c r="Q4" s="24"/>
      <c r="R4" s="24"/>
      <c r="S4" s="24"/>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300</v>
      </c>
      <c r="F5" s="26">
        <v>30</v>
      </c>
      <c r="H5" s="27">
        <f>IF(ISBLANK(M5),"·",M5/(C5*D5*3))</f>
        <v>7.9640637048392863E-3</v>
      </c>
      <c r="I5" s="56">
        <f>IF(OR(ISBLANK(M5),ISBLANK(F5)),"·",M5*F5/E5/1000000)</f>
        <v>5.2113944000000005</v>
      </c>
      <c r="J5" s="28">
        <f>IF(ISBLANK(M5),"·",M5/C5)</f>
        <v>0.23892191114517861</v>
      </c>
      <c r="K5" s="28">
        <f>IF(ISBLANK(M5),"·",M5/L5)</f>
        <v>1.6296826846732297</v>
      </c>
      <c r="L5" s="29">
        <v>31977970</v>
      </c>
      <c r="M5" s="30">
        <v>52113944</v>
      </c>
      <c r="N5" s="51" t="s">
        <v>1476</v>
      </c>
      <c r="O5" s="51" t="s">
        <v>1476</v>
      </c>
      <c r="P5" s="31"/>
      <c r="Q5" s="31"/>
      <c r="R5" s="31"/>
      <c r="S5" s="31"/>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300</v>
      </c>
      <c r="F6" s="19">
        <v>30</v>
      </c>
      <c r="H6" s="20">
        <f>IF(ISBLANK(M6),"·",M6/(C6*D6*3))</f>
        <v>7.441256711652521E-3</v>
      </c>
      <c r="I6" s="55">
        <f>IF(OR(ISBLANK(M6),ISBLANK(F6)),"·",M6*F6/E6/1000000)</f>
        <v>7.2014184000000006</v>
      </c>
      <c r="J6" s="21">
        <f>IF(ISBLANK(M6),"·",M6/C6)</f>
        <v>0.22323770134957563</v>
      </c>
      <c r="K6" s="21">
        <f>IF(ISBLANK(M6),"·",M6/L6)</f>
        <v>1.5190787825564114</v>
      </c>
      <c r="L6" s="22">
        <v>47406484</v>
      </c>
      <c r="M6" s="23">
        <v>72014184</v>
      </c>
      <c r="N6" s="49" t="s">
        <v>1476</v>
      </c>
      <c r="O6" s="49" t="s">
        <v>1476</v>
      </c>
      <c r="P6" s="24"/>
      <c r="Q6" s="24"/>
      <c r="R6" s="24"/>
      <c r="S6" s="24"/>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250</v>
      </c>
      <c r="F7" s="33">
        <v>50</v>
      </c>
      <c r="H7" s="34">
        <f>IF(ISBLANK(M7),"·",M7/(C7*D7*3))</f>
        <v>6.6359798432386536E-3</v>
      </c>
      <c r="I7" s="57">
        <f>IF(OR(ISBLANK(M7),ISBLANK(F7)),"·",M7*F7/E7/1000000)</f>
        <v>9.9779744000000008</v>
      </c>
      <c r="J7" s="35">
        <f>IF(ISBLANK(M7),"·",M7/C7)</f>
        <v>0.19907939529715959</v>
      </c>
      <c r="K7" s="35">
        <f>IF(ISBLANK(M7),"·",M7/L7)</f>
        <v>1.3058378850847672</v>
      </c>
      <c r="L7" s="36">
        <v>38205257</v>
      </c>
      <c r="M7" s="37">
        <v>49889872</v>
      </c>
      <c r="N7" s="53" t="s">
        <v>1476</v>
      </c>
      <c r="O7" s="53" t="s">
        <v>1476</v>
      </c>
      <c r="P7" s="38"/>
      <c r="Q7" s="38"/>
      <c r="R7" s="38"/>
      <c r="S7" s="38"/>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300</v>
      </c>
      <c r="F8" s="40">
        <v>30</v>
      </c>
      <c r="H8" s="41">
        <f>IF(ISBLANK(M8),"·",M8/(C8*D8*3))</f>
        <v>7.0090636906661712E-3</v>
      </c>
      <c r="I8" s="58">
        <f>IF(OR(ISBLANK(M8),ISBLANK(F8)),"·",M8*F8/E8/1000000)</f>
        <v>5.2629919999999997</v>
      </c>
      <c r="J8" s="42">
        <f>IF(ISBLANK(M8),"·",M8/C8)</f>
        <v>0.21027191071998513</v>
      </c>
      <c r="K8" s="42">
        <f>IF(ISBLANK(M8),"·",M8/L8)</f>
        <v>1.47019130226464</v>
      </c>
      <c r="L8" s="43">
        <v>35798008</v>
      </c>
      <c r="M8" s="44">
        <v>52629920</v>
      </c>
      <c r="N8" s="59" t="s">
        <v>1476</v>
      </c>
      <c r="O8" s="59" t="s">
        <v>1476</v>
      </c>
      <c r="P8" s="45"/>
      <c r="Q8" s="45"/>
      <c r="R8" s="45"/>
      <c r="S8" s="45"/>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0.21232291873579678</v>
      </c>
      <c r="W9" s="47" t="e">
        <f>AVERAGE(W4:W7)</f>
        <v>#DIV/0!</v>
      </c>
      <c r="AH9" s="6" t="e">
        <f t="shared" si="0"/>
        <v>#DIV/0!</v>
      </c>
    </row>
    <row r="10" spans="1:34" x14ac:dyDescent="0.25">
      <c r="B10" s="46" t="s">
        <v>572</v>
      </c>
      <c r="J10" s="47">
        <f>AVERAGE(J8:J8)</f>
        <v>0.21027191071998513</v>
      </c>
      <c r="W10" s="47" t="e">
        <f>AVERAGE(W8:W8)</f>
        <v>#DIV/0!</v>
      </c>
      <c r="AH10" s="6" t="e">
        <f t="shared" si="0"/>
        <v>#DIV/0!</v>
      </c>
    </row>
    <row r="11" spans="1:34" collapsed="1" x14ac:dyDescent="0.25">
      <c r="B11" s="46" t="s">
        <v>258</v>
      </c>
      <c r="J11" s="47">
        <f>AVERAGE(J4:J7,J8:J8)</f>
        <v>0.21191271713263443</v>
      </c>
      <c r="W11" s="47" t="e">
        <f>AVERAGE(W4:W7,W8:W8)</f>
        <v>#DIV/0!</v>
      </c>
      <c r="AH11" s="6" t="e">
        <f t="shared" si="0"/>
        <v>#DIV/0!</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7"/>
  <sheetViews>
    <sheetView zoomScale="85" zoomScaleNormal="85" workbookViewId="0">
      <pane xSplit="2" topLeftCell="AB1" activePane="topRight" state="frozen"/>
      <selection pane="topRight" activeCell="AR19" sqref="AR19"/>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4" t="s">
        <v>933</v>
      </c>
      <c r="B1" s="74"/>
      <c r="C1" s="74"/>
      <c r="D1" s="74"/>
      <c r="E1" s="74"/>
      <c r="F1" s="74"/>
      <c r="H1" s="71" t="s">
        <v>1477</v>
      </c>
      <c r="I1" s="71"/>
      <c r="J1" s="71"/>
      <c r="K1" s="71"/>
      <c r="L1" s="71"/>
      <c r="M1" s="71"/>
      <c r="N1" s="71"/>
      <c r="O1" s="71"/>
      <c r="P1" s="71"/>
      <c r="Q1" s="71"/>
      <c r="R1" s="71"/>
      <c r="S1" s="71"/>
      <c r="T1" s="71"/>
      <c r="U1" s="71"/>
      <c r="V1" s="71"/>
      <c r="W1" s="71"/>
      <c r="X1" s="71"/>
      <c r="Y1" s="71"/>
      <c r="Z1" s="71"/>
      <c r="AA1" s="71"/>
      <c r="AB1" s="71"/>
      <c r="AD1" s="72"/>
      <c r="AE1" s="72"/>
      <c r="AF1" s="72"/>
      <c r="AG1" s="72"/>
      <c r="AH1" s="72"/>
      <c r="AI1" s="72"/>
      <c r="AJ1" s="72"/>
      <c r="AK1" s="72"/>
      <c r="AL1" s="72"/>
      <c r="AM1" s="72"/>
      <c r="AN1" s="72"/>
      <c r="AO1" s="72"/>
      <c r="AP1" s="72"/>
      <c r="AQ1" s="72"/>
      <c r="AR1" s="72"/>
      <c r="AS1" s="72"/>
      <c r="AT1" s="72"/>
      <c r="AU1" s="72"/>
      <c r="AV1" s="72"/>
      <c r="AW1" s="72"/>
      <c r="AX1" s="72"/>
      <c r="AZ1" s="63" t="s">
        <v>2</v>
      </c>
      <c r="BA1" s="62" t="s">
        <v>3</v>
      </c>
    </row>
    <row r="2" spans="1:56" ht="30" customHeight="1" thickBot="1" x14ac:dyDescent="0.3">
      <c r="A2" s="73" t="s">
        <v>97</v>
      </c>
      <c r="B2" s="76" t="s">
        <v>99</v>
      </c>
      <c r="C2" s="73" t="s">
        <v>101</v>
      </c>
      <c r="D2" s="76" t="s">
        <v>103</v>
      </c>
      <c r="E2" s="73" t="s">
        <v>513</v>
      </c>
      <c r="F2" s="76" t="s">
        <v>515</v>
      </c>
      <c r="H2" s="73" t="s">
        <v>105</v>
      </c>
      <c r="I2" s="76" t="s">
        <v>518</v>
      </c>
      <c r="J2" s="77" t="s">
        <v>107</v>
      </c>
      <c r="K2" s="77"/>
      <c r="L2" s="77"/>
      <c r="M2" s="77"/>
      <c r="N2" s="76" t="s">
        <v>112</v>
      </c>
      <c r="O2" s="73" t="s">
        <v>26</v>
      </c>
      <c r="P2" s="75" t="s">
        <v>115</v>
      </c>
      <c r="Q2" s="75"/>
      <c r="R2" s="75"/>
      <c r="S2" s="75"/>
      <c r="T2" s="77" t="s">
        <v>374</v>
      </c>
      <c r="U2" s="77"/>
      <c r="V2" s="75" t="s">
        <v>284</v>
      </c>
      <c r="W2" s="75"/>
      <c r="X2" s="75"/>
      <c r="Y2" s="77" t="s">
        <v>528</v>
      </c>
      <c r="Z2" s="77"/>
      <c r="AA2" s="75" t="s">
        <v>533</v>
      </c>
      <c r="AB2" s="75"/>
      <c r="AD2" s="73" t="s">
        <v>105</v>
      </c>
      <c r="AE2" s="76" t="s">
        <v>518</v>
      </c>
      <c r="AF2" s="77" t="s">
        <v>107</v>
      </c>
      <c r="AG2" s="77"/>
      <c r="AH2" s="77"/>
      <c r="AI2" s="77"/>
      <c r="AJ2" s="76" t="s">
        <v>112</v>
      </c>
      <c r="AK2" s="73" t="s">
        <v>26</v>
      </c>
      <c r="AL2" s="75" t="s">
        <v>115</v>
      </c>
      <c r="AM2" s="75"/>
      <c r="AN2" s="75"/>
      <c r="AO2" s="75"/>
      <c r="AP2" s="77" t="s">
        <v>374</v>
      </c>
      <c r="AQ2" s="77"/>
      <c r="AR2" s="75" t="s">
        <v>284</v>
      </c>
      <c r="AS2" s="75"/>
      <c r="AT2" s="75"/>
      <c r="AU2" s="77" t="s">
        <v>528</v>
      </c>
      <c r="AV2" s="77"/>
      <c r="AW2" s="75" t="s">
        <v>533</v>
      </c>
      <c r="AX2" s="75"/>
      <c r="AZ2" s="76" t="s">
        <v>115</v>
      </c>
      <c r="BA2" s="76"/>
      <c r="BB2" s="73" t="s">
        <v>131</v>
      </c>
      <c r="BC2" s="76" t="s">
        <v>133</v>
      </c>
      <c r="BD2" s="73" t="s">
        <v>133</v>
      </c>
    </row>
    <row r="3" spans="1:56" ht="30" customHeight="1" thickBot="1" x14ac:dyDescent="0.3">
      <c r="A3" s="73"/>
      <c r="B3" s="76"/>
      <c r="C3" s="73"/>
      <c r="D3" s="76"/>
      <c r="E3" s="73"/>
      <c r="F3" s="76"/>
      <c r="H3" s="73"/>
      <c r="I3" s="76"/>
      <c r="J3" s="16" t="s">
        <v>108</v>
      </c>
      <c r="K3" s="16" t="s">
        <v>587</v>
      </c>
      <c r="L3" s="16" t="s">
        <v>110</v>
      </c>
      <c r="M3" s="16" t="s">
        <v>366</v>
      </c>
      <c r="N3" s="76"/>
      <c r="O3" s="73"/>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3"/>
      <c r="AE3" s="76"/>
      <c r="AF3" s="16" t="s">
        <v>108</v>
      </c>
      <c r="AG3" s="16" t="s">
        <v>587</v>
      </c>
      <c r="AH3" s="16" t="s">
        <v>110</v>
      </c>
      <c r="AI3" s="16" t="s">
        <v>366</v>
      </c>
      <c r="AJ3" s="76"/>
      <c r="AK3" s="73"/>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3"/>
      <c r="BC3" s="76"/>
      <c r="BD3" s="73"/>
    </row>
    <row r="4" spans="1:56" collapsed="1" x14ac:dyDescent="0.25">
      <c r="A4" s="18" t="s">
        <v>566</v>
      </c>
      <c r="B4" s="18" t="s">
        <v>554</v>
      </c>
      <c r="C4" s="18">
        <v>238146391</v>
      </c>
      <c r="D4" s="19">
        <v>10</v>
      </c>
      <c r="E4" s="19">
        <v>300</v>
      </c>
      <c r="F4" s="19">
        <v>30</v>
      </c>
      <c r="H4" s="20">
        <f>IF(ISBLANK(P4),"·",P4/(C4*D4*3))</f>
        <v>3.3539891016026356E-2</v>
      </c>
      <c r="I4" s="55">
        <f>IF(OR(ISBLANK(P4),ISBLANK(F4)),"·",P4*F4/E4/1000000)</f>
        <v>23.962212000000001</v>
      </c>
      <c r="J4" s="21">
        <f>IF(ISBLANK(P4),"·",P4/C4)</f>
        <v>1.0061967304807906</v>
      </c>
      <c r="K4" s="21">
        <f>IF(AZ4="","·",AZ4/C4)</f>
        <v>0.18805159218222206</v>
      </c>
      <c r="L4" s="21">
        <f>IF(Q4="","·",Q4/C4)</f>
        <v>0.17836618821571812</v>
      </c>
      <c r="M4" s="21">
        <f>IF(ISBLANK(S4),"·",S4/C4)</f>
        <v>0.81814406332951739</v>
      </c>
      <c r="N4" s="21">
        <f>IF(ISBLANK(P4),"·",P4/O4)</f>
        <v>6.632252990341331</v>
      </c>
      <c r="O4" s="22">
        <v>36129822</v>
      </c>
      <c r="P4" s="23">
        <v>239622120</v>
      </c>
      <c r="Q4" s="23">
        <v>42477264</v>
      </c>
      <c r="R4" s="23">
        <v>2306544</v>
      </c>
      <c r="S4" s="23">
        <v>194838056</v>
      </c>
      <c r="T4" s="49" t="s">
        <v>1476</v>
      </c>
      <c r="U4" s="49" t="s">
        <v>1476</v>
      </c>
      <c r="V4" s="49" t="s">
        <v>1476</v>
      </c>
      <c r="W4" s="49" t="s">
        <v>1476</v>
      </c>
      <c r="X4" s="49" t="s">
        <v>1476</v>
      </c>
      <c r="Y4" s="24"/>
      <c r="Z4" s="24"/>
      <c r="AA4" s="24"/>
      <c r="AB4" s="24"/>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44783808</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300</v>
      </c>
      <c r="F5" s="26">
        <v>30</v>
      </c>
      <c r="H5" s="27">
        <f>IF(ISBLANK(P5),"·",P5/(C5*D5*3))</f>
        <v>4.8477695721171436E-2</v>
      </c>
      <c r="I5" s="56">
        <f>IF(OR(ISBLANK(P5),ISBLANK(F5)),"·",P5*F5/E5/1000000)</f>
        <v>31.722045600000001</v>
      </c>
      <c r="J5" s="28">
        <f>IF(ISBLANK(P5),"·",P5/C5)</f>
        <v>1.4543308716351431</v>
      </c>
      <c r="K5" s="28">
        <f>IF(AZ5="","·",AZ5/C5)</f>
        <v>0.23892073748598955</v>
      </c>
      <c r="L5" s="28">
        <f>IF(Q5="","·",Q5/C5)</f>
        <v>0.22420990982620573</v>
      </c>
      <c r="M5" s="28">
        <f>IF(ISBLANK(S5),"·",S5/C5)</f>
        <v>1.2154089604899645</v>
      </c>
      <c r="N5" s="28">
        <f>IF(ISBLANK(P5),"·",P5/O5)</f>
        <v>9.9199685283337242</v>
      </c>
      <c r="O5" s="29">
        <v>31977970</v>
      </c>
      <c r="P5" s="30">
        <v>317220456</v>
      </c>
      <c r="Q5" s="30">
        <v>48904944</v>
      </c>
      <c r="R5" s="30">
        <v>3208744</v>
      </c>
      <c r="S5" s="30">
        <v>265106512</v>
      </c>
      <c r="T5" s="51" t="s">
        <v>1476</v>
      </c>
      <c r="U5" s="51" t="s">
        <v>1476</v>
      </c>
      <c r="V5" s="51" t="s">
        <v>1476</v>
      </c>
      <c r="W5" s="51" t="s">
        <v>1476</v>
      </c>
      <c r="X5" s="51" t="s">
        <v>1476</v>
      </c>
      <c r="Y5" s="31"/>
      <c r="Z5" s="31"/>
      <c r="AA5" s="31"/>
      <c r="AB5" s="31"/>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52113688</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300</v>
      </c>
      <c r="F6" s="19">
        <v>30</v>
      </c>
      <c r="H6" s="20">
        <f>IF(ISBLANK(P6),"·",P6/(C6*D6*3))</f>
        <v>3.8905873243038576E-2</v>
      </c>
      <c r="I6" s="55">
        <f>IF(OR(ISBLANK(P6),ISBLANK(F6)),"·",P6*F6/E6/1000000)</f>
        <v>37.651902399999997</v>
      </c>
      <c r="J6" s="21">
        <f>IF(ISBLANK(P6),"·",P6/C6)</f>
        <v>1.1671761972911572</v>
      </c>
      <c r="K6" s="21">
        <f>IF(AZ6="","·",AZ6/C6)</f>
        <v>0.2232369077718612</v>
      </c>
      <c r="L6" s="21">
        <f>IF(Q6="","·",Q6/C6)</f>
        <v>0.20995663271385748</v>
      </c>
      <c r="M6" s="21">
        <f>IF(ISBLANK(S6),"·",S6/C6)</f>
        <v>0.94393849594158152</v>
      </c>
      <c r="N6" s="21">
        <f>IF(ISBLANK(P6),"·",P6/O6)</f>
        <v>7.9423528646418919</v>
      </c>
      <c r="O6" s="22">
        <v>47406484</v>
      </c>
      <c r="P6" s="23">
        <v>376519024</v>
      </c>
      <c r="Q6" s="23">
        <v>67729848</v>
      </c>
      <c r="R6" s="23">
        <v>4284080</v>
      </c>
      <c r="S6" s="23">
        <v>304504840</v>
      </c>
      <c r="T6" s="49" t="s">
        <v>1476</v>
      </c>
      <c r="U6" s="49" t="s">
        <v>1476</v>
      </c>
      <c r="V6" s="49" t="s">
        <v>1476</v>
      </c>
      <c r="W6" s="49" t="s">
        <v>1476</v>
      </c>
      <c r="X6" s="49" t="s">
        <v>1476</v>
      </c>
      <c r="Y6" s="24"/>
      <c r="Z6" s="24"/>
      <c r="AA6" s="24"/>
      <c r="AB6" s="24"/>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72013928</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250</v>
      </c>
      <c r="F7" s="33">
        <v>50</v>
      </c>
      <c r="H7" s="34">
        <f>IF(ISBLANK(P7),"·",P7/(C7*D7*3))</f>
        <v>3.6883366999944149E-2</v>
      </c>
      <c r="I7" s="57">
        <f>IF(OR(ISBLANK(P7),ISBLANK(F7)),"·",P7*F7/E7/1000000)</f>
        <v>55.458470399999996</v>
      </c>
      <c r="J7" s="35">
        <f>IF(ISBLANK(P7),"·",P7/C7)</f>
        <v>1.1065010099983243</v>
      </c>
      <c r="K7" s="35">
        <f>IF(AZ7="","·",AZ7/C7)</f>
        <v>0.19907837376066026</v>
      </c>
      <c r="L7" s="35">
        <f>IF(Q7="","·",Q7/C7)</f>
        <v>0.1822413134092695</v>
      </c>
      <c r="M7" s="35">
        <f>IF(ISBLANK(S7),"·",S7/C7)</f>
        <v>0.90742161470116478</v>
      </c>
      <c r="N7" s="35">
        <f>IF(ISBLANK(P7),"·",P7/O7)</f>
        <v>7.2579632692956366</v>
      </c>
      <c r="O7" s="36">
        <v>38205257</v>
      </c>
      <c r="P7" s="37">
        <v>277292352</v>
      </c>
      <c r="Q7" s="37">
        <v>45670200</v>
      </c>
      <c r="R7" s="37">
        <v>4219416</v>
      </c>
      <c r="S7" s="37">
        <v>227402480</v>
      </c>
      <c r="T7" s="53" t="s">
        <v>1476</v>
      </c>
      <c r="U7" s="53" t="s">
        <v>1476</v>
      </c>
      <c r="V7" s="53" t="s">
        <v>1476</v>
      </c>
      <c r="W7" s="53" t="s">
        <v>1476</v>
      </c>
      <c r="X7" s="53" t="s">
        <v>1476</v>
      </c>
      <c r="Y7" s="38"/>
      <c r="Z7" s="38"/>
      <c r="AA7" s="38"/>
      <c r="AB7" s="38"/>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49889616</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300</v>
      </c>
      <c r="F8" s="40">
        <v>30</v>
      </c>
      <c r="H8" s="41">
        <f>IF(ISBLANK(P8),"·",P8/(C8*D8*3))</f>
        <v>5.5716589715606925E-2</v>
      </c>
      <c r="I8" s="58">
        <f>IF(OR(ISBLANK(P8),ISBLANK(F8)),"·",P8*F8/E8/1000000)</f>
        <v>41.836681599999999</v>
      </c>
      <c r="J8" s="42">
        <f>IF(ISBLANK(P8),"·",P8/C8)</f>
        <v>1.6714976914682076</v>
      </c>
      <c r="K8" s="42">
        <f>IF(AZ8="","·",AZ8/C8)</f>
        <v>0.2102708879251729</v>
      </c>
      <c r="L8" s="42">
        <f>IF(Q8="","·",Q8/C8)</f>
        <v>0.19906661822987443</v>
      </c>
      <c r="M8" s="42">
        <f>IF(ISBLANK(S8),"·",S8/C8)</f>
        <v>1.4612257807482225</v>
      </c>
      <c r="N8" s="42">
        <f>IF(ISBLANK(P8),"·",P8/O8)</f>
        <v>11.686874197022359</v>
      </c>
      <c r="O8" s="43">
        <v>35798008</v>
      </c>
      <c r="P8" s="44">
        <v>418366816</v>
      </c>
      <c r="Q8" s="44">
        <v>49825296</v>
      </c>
      <c r="R8" s="44">
        <v>2804368</v>
      </c>
      <c r="S8" s="44">
        <v>365736896</v>
      </c>
      <c r="T8" s="59" t="s">
        <v>1476</v>
      </c>
      <c r="U8" s="59" t="s">
        <v>1476</v>
      </c>
      <c r="V8" s="59" t="s">
        <v>1476</v>
      </c>
      <c r="W8" s="59" t="s">
        <v>1476</v>
      </c>
      <c r="X8" s="59" t="s">
        <v>1476</v>
      </c>
      <c r="Y8" s="45"/>
      <c r="Z8" s="45"/>
      <c r="AA8" s="45"/>
      <c r="AB8" s="45"/>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52629664</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1.1835512023513539</v>
      </c>
      <c r="AF9" s="47" t="e">
        <f>AVERAGE(AF4:AF7)</f>
        <v>#DIV/0!</v>
      </c>
      <c r="BB9" s="6" t="e">
        <f t="shared" si="0"/>
        <v>#DIV/0!</v>
      </c>
      <c r="BD9" s="6" t="e">
        <f>AVERAGE(BD4:BD7)</f>
        <v>#VALUE!</v>
      </c>
    </row>
    <row r="10" spans="1:56" x14ac:dyDescent="0.25">
      <c r="B10" s="46" t="s">
        <v>572</v>
      </c>
      <c r="J10" s="47">
        <f>AVERAGE(J8:J8)</f>
        <v>1.6714976914682076</v>
      </c>
      <c r="AF10" s="47" t="e">
        <f>AVERAGE(AF8:AF8)</f>
        <v>#DIV/0!</v>
      </c>
      <c r="BB10" s="6" t="e">
        <f t="shared" si="0"/>
        <v>#DIV/0!</v>
      </c>
      <c r="BD10" s="6" t="e">
        <f>AVERAGE(BD8:BD8)</f>
        <v>#VALUE!</v>
      </c>
    </row>
    <row r="11" spans="1:56" collapsed="1" x14ac:dyDescent="0.25">
      <c r="B11" s="46" t="s">
        <v>258</v>
      </c>
      <c r="J11" s="47">
        <f>AVERAGE(J4:J7,J8:J8)</f>
        <v>1.2811405001747247</v>
      </c>
      <c r="AF11" s="47" t="e">
        <f>AVERAGE(AF4:AF7,AF8:AF8)</f>
        <v>#DIV/0!</v>
      </c>
      <c r="BB11" s="6" t="e">
        <f t="shared" si="0"/>
        <v>#DIV/0!</v>
      </c>
      <c r="BD11" s="6" t="e">
        <f>AVERAGE(BD4:BD7,BD8:BD8)</f>
        <v>#VALUE!</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2" x14ac:dyDescent="0.25">
      <c r="B17" s="5"/>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4" t="s">
        <v>976</v>
      </c>
      <c r="B1" s="74"/>
      <c r="C1" s="74"/>
      <c r="D1" s="74"/>
      <c r="E1" s="74"/>
      <c r="F1" s="74"/>
      <c r="H1" s="71" t="s">
        <v>2</v>
      </c>
      <c r="I1" s="71"/>
      <c r="J1" s="71"/>
      <c r="K1" s="71"/>
      <c r="L1" s="71"/>
      <c r="M1" s="71"/>
      <c r="N1" s="71"/>
      <c r="O1" s="71"/>
      <c r="Q1" s="72" t="s">
        <v>3</v>
      </c>
      <c r="R1" s="72"/>
      <c r="S1" s="72"/>
      <c r="T1" s="72"/>
      <c r="U1" s="72"/>
      <c r="V1" s="72"/>
      <c r="W1" s="72"/>
      <c r="X1" s="72"/>
    </row>
    <row r="2" spans="1:26" ht="30" customHeight="1" x14ac:dyDescent="0.25">
      <c r="A2" s="73" t="s">
        <v>97</v>
      </c>
      <c r="B2" s="76" t="s">
        <v>99</v>
      </c>
      <c r="C2" s="73" t="s">
        <v>101</v>
      </c>
      <c r="D2" s="76" t="s">
        <v>103</v>
      </c>
      <c r="E2" s="73" t="s">
        <v>513</v>
      </c>
      <c r="F2" s="76" t="s">
        <v>515</v>
      </c>
      <c r="H2" s="73" t="s">
        <v>105</v>
      </c>
      <c r="I2" s="76" t="s">
        <v>518</v>
      </c>
      <c r="J2" s="73" t="s">
        <v>520</v>
      </c>
      <c r="K2" s="76" t="s">
        <v>112</v>
      </c>
      <c r="L2" s="73" t="s">
        <v>26</v>
      </c>
      <c r="M2" s="76" t="s">
        <v>524</v>
      </c>
      <c r="N2" s="73" t="s">
        <v>118</v>
      </c>
      <c r="O2" s="76" t="s">
        <v>120</v>
      </c>
      <c r="Q2" s="73" t="s">
        <v>105</v>
      </c>
      <c r="R2" s="76" t="s">
        <v>518</v>
      </c>
      <c r="S2" s="73" t="s">
        <v>520</v>
      </c>
      <c r="T2" s="76" t="s">
        <v>112</v>
      </c>
      <c r="U2" s="73" t="s">
        <v>26</v>
      </c>
      <c r="V2" s="76" t="s">
        <v>524</v>
      </c>
      <c r="W2" s="73" t="s">
        <v>118</v>
      </c>
      <c r="X2" s="76" t="s">
        <v>120</v>
      </c>
      <c r="Z2" s="73" t="s">
        <v>131</v>
      </c>
    </row>
    <row r="3" spans="1:26" x14ac:dyDescent="0.25">
      <c r="A3" s="73"/>
      <c r="B3" s="76"/>
      <c r="C3" s="73"/>
      <c r="D3" s="76"/>
      <c r="E3" s="73"/>
      <c r="F3" s="76"/>
      <c r="H3" s="73"/>
      <c r="I3" s="76"/>
      <c r="J3" s="73"/>
      <c r="K3" s="76"/>
      <c r="L3" s="73"/>
      <c r="M3" s="76"/>
      <c r="N3" s="73"/>
      <c r="O3" s="76"/>
      <c r="Q3" s="73"/>
      <c r="R3" s="76"/>
      <c r="S3" s="73"/>
      <c r="T3" s="76"/>
      <c r="U3" s="73"/>
      <c r="V3" s="76"/>
      <c r="W3" s="73"/>
      <c r="X3" s="76"/>
      <c r="Z3" s="73"/>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1" width="10.7109375" customWidth="1"/>
    <col min="12" max="12" width="12.7109375" customWidth="1"/>
    <col min="13" max="13" width="10.7109375" customWidth="1"/>
    <col min="14" max="15" width="12.7109375" customWidth="1"/>
    <col min="16" max="18" width="11.7109375" customWidth="1"/>
    <col min="21" max="21" width="1.7109375" customWidth="1"/>
    <col min="23" max="24" width="10.7109375" customWidth="1"/>
    <col min="25" max="25" width="12.7109375" customWidth="1"/>
    <col min="26" max="26" width="10.7109375" customWidth="1"/>
    <col min="27" max="28" width="12.7109375" customWidth="1"/>
    <col min="29" max="31" width="11.7109375" customWidth="1"/>
    <col min="34" max="34" width="1.7109375" customWidth="1"/>
    <col min="35" max="37" width="11.7109375" customWidth="1"/>
    <col min="38" max="38" width="1.7109375" customWidth="1"/>
    <col min="39" max="41" width="11.7109375" customWidth="1"/>
    <col min="42" max="42" width="1.7109375" customWidth="1"/>
  </cols>
  <sheetData>
    <row r="1" spans="1:41" x14ac:dyDescent="0.25">
      <c r="A1" s="74" t="s">
        <v>1045</v>
      </c>
      <c r="B1" s="74"/>
      <c r="C1" s="74"/>
      <c r="D1" s="74"/>
      <c r="E1" s="74"/>
      <c r="F1" s="74"/>
      <c r="G1" s="74"/>
      <c r="I1" s="71" t="s">
        <v>2</v>
      </c>
      <c r="J1" s="71"/>
      <c r="K1" s="71"/>
      <c r="L1" s="71"/>
      <c r="M1" s="71"/>
      <c r="N1" s="71"/>
      <c r="O1" s="71"/>
      <c r="P1" s="71"/>
      <c r="Q1" s="71"/>
      <c r="R1" s="71"/>
      <c r="S1" s="71"/>
      <c r="T1" s="71"/>
      <c r="V1" s="72" t="s">
        <v>3</v>
      </c>
      <c r="W1" s="72"/>
      <c r="X1" s="72"/>
      <c r="Y1" s="72"/>
      <c r="Z1" s="72"/>
      <c r="AA1" s="72"/>
      <c r="AB1" s="72"/>
      <c r="AC1" s="72"/>
      <c r="AD1" s="72"/>
      <c r="AE1" s="72"/>
      <c r="AF1" s="72"/>
      <c r="AG1" s="72"/>
    </row>
    <row r="2" spans="1:41" ht="30" customHeight="1" x14ac:dyDescent="0.25">
      <c r="A2" s="73" t="s">
        <v>97</v>
      </c>
      <c r="B2" s="76" t="s">
        <v>99</v>
      </c>
      <c r="C2" s="73" t="s">
        <v>275</v>
      </c>
      <c r="D2" s="76" t="s">
        <v>101</v>
      </c>
      <c r="E2" s="73" t="s">
        <v>103</v>
      </c>
      <c r="F2" s="76" t="s">
        <v>513</v>
      </c>
      <c r="G2" s="73" t="s">
        <v>515</v>
      </c>
      <c r="I2" s="76" t="s">
        <v>518</v>
      </c>
      <c r="J2" s="77" t="s">
        <v>107</v>
      </c>
      <c r="K2" s="77"/>
      <c r="L2" s="76" t="s">
        <v>112</v>
      </c>
      <c r="M2" s="73" t="s">
        <v>26</v>
      </c>
      <c r="N2" s="75" t="s">
        <v>115</v>
      </c>
      <c r="O2" s="75"/>
      <c r="P2" s="77" t="s">
        <v>284</v>
      </c>
      <c r="Q2" s="77"/>
      <c r="R2" s="77"/>
      <c r="S2" s="76" t="s">
        <v>118</v>
      </c>
      <c r="T2" s="73" t="s">
        <v>120</v>
      </c>
      <c r="V2" s="76" t="s">
        <v>518</v>
      </c>
      <c r="W2" s="77" t="s">
        <v>107</v>
      </c>
      <c r="X2" s="77"/>
      <c r="Y2" s="76" t="s">
        <v>112</v>
      </c>
      <c r="Z2" s="73" t="s">
        <v>26</v>
      </c>
      <c r="AA2" s="75" t="s">
        <v>115</v>
      </c>
      <c r="AB2" s="75"/>
      <c r="AC2" s="77" t="s">
        <v>284</v>
      </c>
      <c r="AD2" s="77"/>
      <c r="AE2" s="77"/>
      <c r="AF2" s="76" t="s">
        <v>118</v>
      </c>
      <c r="AG2" s="73" t="s">
        <v>120</v>
      </c>
      <c r="AI2" s="75" t="s">
        <v>412</v>
      </c>
      <c r="AJ2" s="75"/>
      <c r="AK2" s="75"/>
      <c r="AM2" s="77" t="s">
        <v>301</v>
      </c>
      <c r="AN2" s="77"/>
      <c r="AO2" s="77"/>
    </row>
    <row r="3" spans="1:41" x14ac:dyDescent="0.25">
      <c r="A3" s="73"/>
      <c r="B3" s="76"/>
      <c r="C3" s="73"/>
      <c r="D3" s="76"/>
      <c r="E3" s="73"/>
      <c r="F3" s="76"/>
      <c r="G3" s="73"/>
      <c r="I3" s="76"/>
      <c r="J3" s="16" t="s">
        <v>108</v>
      </c>
      <c r="K3" s="16" t="s">
        <v>366</v>
      </c>
      <c r="L3" s="76"/>
      <c r="M3" s="73"/>
      <c r="N3" s="17" t="s">
        <v>108</v>
      </c>
      <c r="O3" s="17" t="s">
        <v>372</v>
      </c>
      <c r="P3" s="16" t="s">
        <v>285</v>
      </c>
      <c r="Q3" s="16" t="s">
        <v>287</v>
      </c>
      <c r="R3" s="16" t="s">
        <v>289</v>
      </c>
      <c r="S3" s="76"/>
      <c r="T3" s="73"/>
      <c r="V3" s="76"/>
      <c r="W3" s="16" t="s">
        <v>108</v>
      </c>
      <c r="X3" s="16" t="s">
        <v>366</v>
      </c>
      <c r="Y3" s="76"/>
      <c r="Z3" s="73"/>
      <c r="AA3" s="17" t="s">
        <v>108</v>
      </c>
      <c r="AB3" s="17" t="s">
        <v>372</v>
      </c>
      <c r="AC3" s="16" t="s">
        <v>285</v>
      </c>
      <c r="AD3" s="16" t="s">
        <v>287</v>
      </c>
      <c r="AE3" s="16" t="s">
        <v>289</v>
      </c>
      <c r="AF3" s="76"/>
      <c r="AG3" s="73"/>
      <c r="AI3" s="17" t="s">
        <v>285</v>
      </c>
      <c r="AJ3" s="17" t="s">
        <v>287</v>
      </c>
      <c r="AK3" s="17" t="s">
        <v>289</v>
      </c>
      <c r="AM3" s="16" t="s">
        <v>285</v>
      </c>
      <c r="AN3" s="16" t="s">
        <v>287</v>
      </c>
      <c r="AO3" s="16" t="s">
        <v>289</v>
      </c>
    </row>
    <row r="4" spans="1:41" collapsed="1" x14ac:dyDescent="0.25">
      <c r="A4" s="18" t="s">
        <v>990</v>
      </c>
      <c r="B4" s="18" t="s">
        <v>981</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25">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25">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25">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25">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25">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collapsed="1" x14ac:dyDescent="0.25">
      <c r="A10" s="18"/>
      <c r="B10" s="18" t="s">
        <v>984</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25">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25">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25">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25">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25">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collapsed="1" x14ac:dyDescent="0.25">
      <c r="A16" s="18"/>
      <c r="B16" s="18" t="s">
        <v>987</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25">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25">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25">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25">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25">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25">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25">
      <c r="A23" s="46" t="s">
        <v>259</v>
      </c>
      <c r="B23" s="46" t="s">
        <v>260</v>
      </c>
      <c r="S23" s="48">
        <f>SUM(S4:S21)</f>
        <v>0</v>
      </c>
      <c r="T23" s="48">
        <f>SUM(T4:T21)</f>
        <v>0</v>
      </c>
      <c r="AF23" s="48">
        <f>SUM(AF4:AF21)</f>
        <v>0</v>
      </c>
      <c r="AG23" s="48">
        <f>SUM(AG4:AG21)</f>
        <v>0</v>
      </c>
    </row>
    <row r="24" spans="1:41" hidden="1" outlineLevel="2" x14ac:dyDescent="0.25">
      <c r="B24" s="46" t="s">
        <v>261</v>
      </c>
      <c r="AF24" s="6" t="e">
        <f>AF23/S23</f>
        <v>#DIV/0!</v>
      </c>
      <c r="AG24" s="6" t="e">
        <f>AG23/T23</f>
        <v>#DIV/0!</v>
      </c>
    </row>
    <row r="25" spans="1:41" hidden="1" outlineLevel="2" x14ac:dyDescent="0.25">
      <c r="B25" s="46" t="s">
        <v>262</v>
      </c>
      <c r="S25" s="48" t="e">
        <f>GEOMEAN(S4:S21)</f>
        <v>#NUM!</v>
      </c>
      <c r="T25" s="48" t="e">
        <f>GEOMEAN(T4:T21)</f>
        <v>#NUM!</v>
      </c>
      <c r="AF25" s="48" t="e">
        <f>GEOMEAN(AF4:AF21)</f>
        <v>#NUM!</v>
      </c>
      <c r="AG25" s="48" t="e">
        <f>GEOMEAN(AG4:AG21)</f>
        <v>#NUM!</v>
      </c>
    </row>
    <row r="26" spans="1:41" outlineLevel="2" collapsed="1" x14ac:dyDescent="0.25">
      <c r="B26" s="46" t="s">
        <v>263</v>
      </c>
      <c r="AF26" s="6" t="e">
        <f>AF25/S25</f>
        <v>#NUM!</v>
      </c>
      <c r="AG26" s="6" t="e">
        <f>AG25/T25</f>
        <v>#NUM!</v>
      </c>
    </row>
  </sheetData>
  <mergeCells count="28">
    <mergeCell ref="A2:A3"/>
    <mergeCell ref="B2:B3"/>
    <mergeCell ref="C2:C3"/>
    <mergeCell ref="D2:D3"/>
    <mergeCell ref="E2:E3"/>
    <mergeCell ref="AI2:AK2"/>
    <mergeCell ref="AM2:AO2"/>
    <mergeCell ref="V2:V3"/>
    <mergeCell ref="W2:X2"/>
    <mergeCell ref="Y2:Y3"/>
    <mergeCell ref="Z2:Z3"/>
    <mergeCell ref="AA2:AB2"/>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4" width="12.7109375" customWidth="1"/>
    <col min="15" max="15" width="11.7109375" customWidth="1"/>
    <col min="18" max="18" width="1.7109375" customWidth="1"/>
    <col min="20" max="20" width="10.7109375" customWidth="1"/>
    <col min="21" max="21" width="12.7109375" customWidth="1"/>
    <col min="22" max="22" width="10.7109375" customWidth="1"/>
    <col min="23" max="24" width="12.7109375" customWidth="1"/>
    <col min="25"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4" t="s">
        <v>1091</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1" ht="30" customHeight="1" x14ac:dyDescent="0.25">
      <c r="A2" s="73" t="s">
        <v>97</v>
      </c>
      <c r="B2" s="76" t="s">
        <v>99</v>
      </c>
      <c r="C2" s="73" t="s">
        <v>275</v>
      </c>
      <c r="D2" s="76" t="s">
        <v>101</v>
      </c>
      <c r="E2" s="73" t="s">
        <v>103</v>
      </c>
      <c r="F2" s="76" t="s">
        <v>513</v>
      </c>
      <c r="G2" s="73" t="s">
        <v>515</v>
      </c>
      <c r="I2" s="76" t="s">
        <v>518</v>
      </c>
      <c r="J2" s="73" t="s">
        <v>520</v>
      </c>
      <c r="K2" s="76" t="s">
        <v>112</v>
      </c>
      <c r="L2" s="73" t="s">
        <v>26</v>
      </c>
      <c r="M2" s="75" t="s">
        <v>115</v>
      </c>
      <c r="N2" s="75"/>
      <c r="O2" s="73" t="s">
        <v>1074</v>
      </c>
      <c r="P2" s="76" t="s">
        <v>118</v>
      </c>
      <c r="Q2" s="73" t="s">
        <v>120</v>
      </c>
      <c r="S2" s="76" t="s">
        <v>518</v>
      </c>
      <c r="T2" s="73" t="s">
        <v>520</v>
      </c>
      <c r="U2" s="76" t="s">
        <v>112</v>
      </c>
      <c r="V2" s="73" t="s">
        <v>26</v>
      </c>
      <c r="W2" s="75" t="s">
        <v>115</v>
      </c>
      <c r="X2" s="75"/>
      <c r="Y2" s="73" t="s">
        <v>1074</v>
      </c>
      <c r="Z2" s="76" t="s">
        <v>118</v>
      </c>
      <c r="AA2" s="73" t="s">
        <v>120</v>
      </c>
      <c r="AC2" s="76" t="s">
        <v>1087</v>
      </c>
      <c r="AE2" s="73" t="s">
        <v>1089</v>
      </c>
    </row>
    <row r="3" spans="1:31" x14ac:dyDescent="0.25">
      <c r="A3" s="73"/>
      <c r="B3" s="76"/>
      <c r="C3" s="73"/>
      <c r="D3" s="76"/>
      <c r="E3" s="73"/>
      <c r="F3" s="76"/>
      <c r="G3" s="73"/>
      <c r="I3" s="76"/>
      <c r="J3" s="73"/>
      <c r="K3" s="76"/>
      <c r="L3" s="73"/>
      <c r="M3" s="17" t="s">
        <v>108</v>
      </c>
      <c r="N3" s="17" t="s">
        <v>1072</v>
      </c>
      <c r="O3" s="73"/>
      <c r="P3" s="76"/>
      <c r="Q3" s="73"/>
      <c r="S3" s="76"/>
      <c r="T3" s="73"/>
      <c r="U3" s="76"/>
      <c r="V3" s="73"/>
      <c r="W3" s="17" t="s">
        <v>108</v>
      </c>
      <c r="X3" s="17" t="s">
        <v>1072</v>
      </c>
      <c r="Y3" s="73"/>
      <c r="Z3" s="76"/>
      <c r="AA3" s="73"/>
      <c r="AC3" s="76"/>
      <c r="AE3" s="73"/>
    </row>
    <row r="4" spans="1:31" collapsed="1" x14ac:dyDescent="0.25">
      <c r="A4" s="18" t="s">
        <v>990</v>
      </c>
      <c r="B4" s="18" t="s">
        <v>981</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25">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25">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25">
      <c r="B22" s="46" t="s">
        <v>258</v>
      </c>
      <c r="J22" s="47" t="e">
        <f>AVERAGE(J4:J21)</f>
        <v>#DIV/0!</v>
      </c>
      <c r="T22" s="47" t="e">
        <f>AVERAGE(T4:T21)</f>
        <v>#DIV/0!</v>
      </c>
      <c r="AC22" s="11" t="e">
        <f>AVERAGE(AC4:AC21)</f>
        <v>#VALUE!</v>
      </c>
      <c r="AE22" s="11" t="e">
        <f>AVERAGE(AE4:AE21)</f>
        <v>#VALUE!</v>
      </c>
    </row>
    <row r="23" spans="1:31" hidden="1" outlineLevel="2" x14ac:dyDescent="0.25">
      <c r="A23" s="46" t="s">
        <v>259</v>
      </c>
      <c r="B23" s="46" t="s">
        <v>260</v>
      </c>
      <c r="P23" s="48">
        <f>SUM(P4:P21)</f>
        <v>0</v>
      </c>
      <c r="Q23" s="48">
        <f>SUM(Q4:Q21)</f>
        <v>0</v>
      </c>
      <c r="Z23" s="48">
        <f>SUM(Z4:Z21)</f>
        <v>0</v>
      </c>
      <c r="AA23" s="48">
        <f>SUM(AA4:AA21)</f>
        <v>0</v>
      </c>
    </row>
    <row r="24" spans="1:31" hidden="1" outlineLevel="2" x14ac:dyDescent="0.25">
      <c r="B24" s="46" t="s">
        <v>261</v>
      </c>
      <c r="Z24" s="6" t="e">
        <f>Z23/P23</f>
        <v>#DIV/0!</v>
      </c>
      <c r="AA24" s="6" t="e">
        <f>AA23/Q23</f>
        <v>#DIV/0!</v>
      </c>
    </row>
    <row r="25" spans="1:31" hidden="1" outlineLevel="2" x14ac:dyDescent="0.25">
      <c r="B25" s="46" t="s">
        <v>262</v>
      </c>
      <c r="P25" s="48" t="e">
        <f>GEOMEAN(P4:P21)</f>
        <v>#NUM!</v>
      </c>
      <c r="Q25" s="48" t="e">
        <f>GEOMEAN(Q4:Q21)</f>
        <v>#NUM!</v>
      </c>
      <c r="Z25" s="48" t="e">
        <f>GEOMEAN(Z4:Z21)</f>
        <v>#NUM!</v>
      </c>
      <c r="AA25" s="48" t="e">
        <f>GEOMEAN(AA4:AA21)</f>
        <v>#NUM!</v>
      </c>
    </row>
    <row r="26" spans="1:31" outlineLevel="2" collapsed="1" x14ac:dyDescent="0.25">
      <c r="B26" s="46" t="s">
        <v>263</v>
      </c>
      <c r="Z26" s="6" t="e">
        <f>Z25/P25</f>
        <v>#NUM!</v>
      </c>
      <c r="AA26" s="6" t="e">
        <f>AA25/Q25</f>
        <v>#NUM!</v>
      </c>
    </row>
  </sheetData>
  <mergeCells count="28">
    <mergeCell ref="A2:A3"/>
    <mergeCell ref="B2:B3"/>
    <mergeCell ref="C2:C3"/>
    <mergeCell ref="D2:D3"/>
    <mergeCell ref="E2:E3"/>
    <mergeCell ref="AC2:AC3"/>
    <mergeCell ref="AE2:AE3"/>
    <mergeCell ref="S2:S3"/>
    <mergeCell ref="T2:T3"/>
    <mergeCell ref="U2:U3"/>
    <mergeCell ref="V2:V3"/>
    <mergeCell ref="W2:X2"/>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4" t="s">
        <v>1134</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0"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118</v>
      </c>
      <c r="Q2" s="73" t="s">
        <v>120</v>
      </c>
      <c r="S2" s="76" t="s">
        <v>518</v>
      </c>
      <c r="T2" s="73" t="s">
        <v>520</v>
      </c>
      <c r="U2" s="76" t="s">
        <v>112</v>
      </c>
      <c r="V2" s="73" t="s">
        <v>26</v>
      </c>
      <c r="W2" s="76" t="s">
        <v>524</v>
      </c>
      <c r="X2" s="77" t="s">
        <v>374</v>
      </c>
      <c r="Y2" s="77"/>
      <c r="Z2" s="76" t="s">
        <v>118</v>
      </c>
      <c r="AA2" s="73" t="s">
        <v>120</v>
      </c>
      <c r="AC2" s="75" t="s">
        <v>409</v>
      </c>
      <c r="AD2" s="75"/>
    </row>
    <row r="3" spans="1:30" x14ac:dyDescent="0.25">
      <c r="A3" s="73"/>
      <c r="B3" s="76"/>
      <c r="C3" s="73"/>
      <c r="D3" s="76"/>
      <c r="E3" s="73"/>
      <c r="F3" s="76"/>
      <c r="G3" s="73"/>
      <c r="I3" s="76"/>
      <c r="J3" s="73"/>
      <c r="K3" s="76"/>
      <c r="L3" s="73"/>
      <c r="M3" s="76"/>
      <c r="N3" s="16" t="s">
        <v>375</v>
      </c>
      <c r="O3" s="16" t="s">
        <v>377</v>
      </c>
      <c r="P3" s="76"/>
      <c r="Q3" s="73"/>
      <c r="S3" s="76"/>
      <c r="T3" s="73"/>
      <c r="U3" s="76"/>
      <c r="V3" s="73"/>
      <c r="W3" s="76"/>
      <c r="X3" s="16" t="s">
        <v>375</v>
      </c>
      <c r="Y3" s="16" t="s">
        <v>377</v>
      </c>
      <c r="Z3" s="76"/>
      <c r="AA3" s="73"/>
      <c r="AC3" s="17" t="s">
        <v>375</v>
      </c>
      <c r="AD3" s="17" t="s">
        <v>377</v>
      </c>
    </row>
    <row r="4" spans="1:30" collapsed="1" x14ac:dyDescent="0.25">
      <c r="A4" s="18" t="s">
        <v>990</v>
      </c>
      <c r="B4" s="18" t="s">
        <v>981</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25">
      <c r="A22" s="18" t="s">
        <v>1000</v>
      </c>
      <c r="B22" s="18" t="s">
        <v>991</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25">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25">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25">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25">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25">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25">
      <c r="A28" s="18"/>
      <c r="B28" s="18" t="s">
        <v>994</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25">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25">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25">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25">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25">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25">
      <c r="A34" s="18"/>
      <c r="B34" s="18" t="s">
        <v>997</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25">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25">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25">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25">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25">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25">
      <c r="B40" s="46" t="s">
        <v>1001</v>
      </c>
      <c r="J40" s="47" t="e">
        <f>AVERAGE(J4:J21)</f>
        <v>#DIV/0!</v>
      </c>
      <c r="T40" s="47" t="e">
        <f>AVERAGE(T4:T21)</f>
        <v>#DIV/0!</v>
      </c>
      <c r="AC40" s="11" t="e">
        <f>AVERAGE(AC4:AC21)</f>
        <v>#VALUE!</v>
      </c>
      <c r="AD40" s="11" t="e">
        <f>AVERAGE(AD4:AD21)</f>
        <v>#VALUE!</v>
      </c>
    </row>
    <row r="41" spans="1:30" x14ac:dyDescent="0.25">
      <c r="B41" s="46" t="s">
        <v>1002</v>
      </c>
      <c r="J41" s="47" t="e">
        <f>AVERAGE(J22:J39)</f>
        <v>#DIV/0!</v>
      </c>
      <c r="T41" s="47" t="e">
        <f>AVERAGE(T22:T39)</f>
        <v>#DIV/0!</v>
      </c>
      <c r="AC41" s="11" t="e">
        <f>AVERAGE(AC22:AC39)</f>
        <v>#VALUE!</v>
      </c>
      <c r="AD41" s="11" t="e">
        <f>AVERAGE(AD22:AD39)</f>
        <v>#VALUE!</v>
      </c>
    </row>
    <row r="42" spans="1:30" x14ac:dyDescent="0.25">
      <c r="B42" s="46" t="s">
        <v>258</v>
      </c>
      <c r="J42" s="47" t="e">
        <f>AVERAGE(J4:J21,J22:J39)</f>
        <v>#DIV/0!</v>
      </c>
      <c r="T42" s="47" t="e">
        <f>AVERAGE(T4:T21,T22:T39)</f>
        <v>#DIV/0!</v>
      </c>
      <c r="AC42" s="11" t="e">
        <f>AVERAGE(AC4:AC21,AC22:AC39)</f>
        <v>#VALUE!</v>
      </c>
      <c r="AD42" s="11" t="e">
        <f>AVERAGE(AD4:AD21,AD22:AD39)</f>
        <v>#VALUE!</v>
      </c>
    </row>
    <row r="43" spans="1:30" hidden="1" outlineLevel="2" x14ac:dyDescent="0.25">
      <c r="A43" s="46" t="s">
        <v>259</v>
      </c>
      <c r="B43" s="46" t="s">
        <v>260</v>
      </c>
      <c r="P43" s="48">
        <f>SUM(P4:P21,P22:P39)</f>
        <v>0</v>
      </c>
      <c r="Q43" s="48">
        <f>SUM(Q4:Q21,Q22:Q39)</f>
        <v>0</v>
      </c>
      <c r="Z43" s="48">
        <f>SUM(Z4:Z21,Z22:Z39)</f>
        <v>0</v>
      </c>
      <c r="AA43" s="48">
        <f>SUM(AA4:AA21,AA22:AA39)</f>
        <v>0</v>
      </c>
    </row>
    <row r="44" spans="1:30" hidden="1" outlineLevel="2" x14ac:dyDescent="0.25">
      <c r="B44" s="46" t="s">
        <v>261</v>
      </c>
      <c r="Z44" s="6" t="e">
        <f>Z43/P43</f>
        <v>#DIV/0!</v>
      </c>
      <c r="AA44" s="6" t="e">
        <f>AA43/Q43</f>
        <v>#DIV/0!</v>
      </c>
    </row>
    <row r="45" spans="1:30" hidden="1" outlineLevel="2" x14ac:dyDescent="0.25">
      <c r="B45" s="46" t="s">
        <v>262</v>
      </c>
      <c r="P45" s="48" t="e">
        <f>GEOMEAN(P4:P21,P22:P39)</f>
        <v>#NUM!</v>
      </c>
      <c r="Q45" s="48" t="e">
        <f>GEOMEAN(Q4:Q21,Q22:Q39)</f>
        <v>#NUM!</v>
      </c>
      <c r="Z45" s="48" t="e">
        <f>GEOMEAN(Z4:Z21,Z22:Z39)</f>
        <v>#NUM!</v>
      </c>
      <c r="AA45" s="48" t="e">
        <f>GEOMEAN(AA4:AA21,AA22:AA39)</f>
        <v>#NUM!</v>
      </c>
    </row>
    <row r="46" spans="1:30" outlineLevel="2" collapsed="1" x14ac:dyDescent="0.25">
      <c r="B46" s="46" t="s">
        <v>263</v>
      </c>
      <c r="Z46" s="6" t="e">
        <f>Z45/P45</f>
        <v>#NUM!</v>
      </c>
      <c r="AA46" s="6" t="e">
        <f>AA45/Q45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4" t="s">
        <v>1183</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0"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118</v>
      </c>
      <c r="Q2" s="73" t="s">
        <v>120</v>
      </c>
      <c r="S2" s="76" t="s">
        <v>518</v>
      </c>
      <c r="T2" s="73" t="s">
        <v>520</v>
      </c>
      <c r="U2" s="76" t="s">
        <v>112</v>
      </c>
      <c r="V2" s="73" t="s">
        <v>26</v>
      </c>
      <c r="W2" s="76" t="s">
        <v>524</v>
      </c>
      <c r="X2" s="77" t="s">
        <v>374</v>
      </c>
      <c r="Y2" s="77"/>
      <c r="Z2" s="76" t="s">
        <v>118</v>
      </c>
      <c r="AA2" s="73" t="s">
        <v>120</v>
      </c>
      <c r="AC2" s="75" t="s">
        <v>409</v>
      </c>
      <c r="AD2" s="75"/>
    </row>
    <row r="3" spans="1:30" x14ac:dyDescent="0.25">
      <c r="A3" s="73"/>
      <c r="B3" s="76"/>
      <c r="C3" s="73"/>
      <c r="D3" s="76"/>
      <c r="E3" s="73"/>
      <c r="F3" s="76"/>
      <c r="G3" s="73"/>
      <c r="I3" s="76"/>
      <c r="J3" s="73"/>
      <c r="K3" s="76"/>
      <c r="L3" s="73"/>
      <c r="M3" s="76"/>
      <c r="N3" s="16" t="s">
        <v>375</v>
      </c>
      <c r="O3" s="16" t="s">
        <v>377</v>
      </c>
      <c r="P3" s="76"/>
      <c r="Q3" s="73"/>
      <c r="S3" s="76"/>
      <c r="T3" s="73"/>
      <c r="U3" s="76"/>
      <c r="V3" s="73"/>
      <c r="W3" s="76"/>
      <c r="X3" s="16" t="s">
        <v>375</v>
      </c>
      <c r="Y3" s="16" t="s">
        <v>377</v>
      </c>
      <c r="Z3" s="76"/>
      <c r="AA3" s="73"/>
      <c r="AC3" s="17" t="s">
        <v>375</v>
      </c>
      <c r="AD3" s="17" t="s">
        <v>377</v>
      </c>
    </row>
    <row r="4" spans="1:30"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25">
      <c r="B22" s="46" t="s">
        <v>258</v>
      </c>
      <c r="J22" s="47" t="e">
        <f>AVERAGE(J4:J21)</f>
        <v>#DIV/0!</v>
      </c>
      <c r="T22" s="47" t="e">
        <f>AVERAGE(T4:T21)</f>
        <v>#DIV/0!</v>
      </c>
      <c r="AC22" s="11" t="e">
        <f>AVERAGE(AC4:AC21)</f>
        <v>#VALUE!</v>
      </c>
      <c r="AD22" s="11" t="e">
        <f>AVERAGE(AD4:AD21)</f>
        <v>#VALUE!</v>
      </c>
    </row>
    <row r="23" spans="1:30" hidden="1" outlineLevel="2" x14ac:dyDescent="0.25">
      <c r="A23" s="46" t="s">
        <v>259</v>
      </c>
      <c r="B23" s="46" t="s">
        <v>260</v>
      </c>
      <c r="P23" s="48">
        <f>SUM(P4:P21)</f>
        <v>0</v>
      </c>
      <c r="Q23" s="48">
        <f>SUM(Q4:Q21)</f>
        <v>0</v>
      </c>
      <c r="Z23" s="48">
        <f>SUM(Z4:Z21)</f>
        <v>0</v>
      </c>
      <c r="AA23" s="48">
        <f>SUM(AA4:AA21)</f>
        <v>0</v>
      </c>
    </row>
    <row r="24" spans="1:30" hidden="1" outlineLevel="2" x14ac:dyDescent="0.25">
      <c r="B24" s="46" t="s">
        <v>261</v>
      </c>
      <c r="Z24" s="6" t="e">
        <f>Z23/P23</f>
        <v>#DIV/0!</v>
      </c>
      <c r="AA24" s="6" t="e">
        <f>AA23/Q23</f>
        <v>#DIV/0!</v>
      </c>
    </row>
    <row r="25" spans="1:30" hidden="1" outlineLevel="2" x14ac:dyDescent="0.25">
      <c r="B25" s="46" t="s">
        <v>262</v>
      </c>
      <c r="P25" s="48" t="e">
        <f>GEOMEAN(P4:P21)</f>
        <v>#NUM!</v>
      </c>
      <c r="Q25" s="48" t="e">
        <f>GEOMEAN(Q4:Q21)</f>
        <v>#NUM!</v>
      </c>
      <c r="Z25" s="48" t="e">
        <f>GEOMEAN(Z4:Z21)</f>
        <v>#NUM!</v>
      </c>
      <c r="AA25" s="48" t="e">
        <f>GEOMEAN(AA4:AA21)</f>
        <v>#NUM!</v>
      </c>
    </row>
    <row r="26" spans="1:30" outlineLevel="2" collapsed="1" x14ac:dyDescent="0.25">
      <c r="B26" s="46" t="s">
        <v>263</v>
      </c>
      <c r="Z26" s="6" t="e">
        <f>Z25/P25</f>
        <v>#NUM!</v>
      </c>
      <c r="AA26" s="6" t="e">
        <f>AA25/Q25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4" t="s">
        <v>1229</v>
      </c>
      <c r="B1" s="74"/>
      <c r="C1" s="74"/>
      <c r="D1" s="74"/>
      <c r="E1" s="74"/>
      <c r="F1" s="74"/>
      <c r="G1" s="74"/>
      <c r="I1" s="71" t="s">
        <v>2</v>
      </c>
      <c r="J1" s="71"/>
      <c r="K1" s="71"/>
      <c r="L1" s="71"/>
      <c r="M1" s="71"/>
      <c r="N1" s="71"/>
      <c r="O1" s="71"/>
      <c r="P1" s="71"/>
      <c r="Q1" s="71"/>
      <c r="R1" s="71"/>
      <c r="T1" s="72" t="s">
        <v>3</v>
      </c>
      <c r="U1" s="72"/>
      <c r="V1" s="72"/>
      <c r="W1" s="72"/>
      <c r="X1" s="72"/>
      <c r="Y1" s="72"/>
      <c r="Z1" s="72"/>
      <c r="AA1" s="72"/>
      <c r="AB1" s="72"/>
      <c r="AC1" s="72"/>
    </row>
    <row r="2" spans="1:33"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1074</v>
      </c>
      <c r="Q2" s="73" t="s">
        <v>118</v>
      </c>
      <c r="R2" s="76" t="s">
        <v>120</v>
      </c>
      <c r="T2" s="73" t="s">
        <v>518</v>
      </c>
      <c r="U2" s="76" t="s">
        <v>520</v>
      </c>
      <c r="V2" s="73" t="s">
        <v>112</v>
      </c>
      <c r="W2" s="76" t="s">
        <v>26</v>
      </c>
      <c r="X2" s="73" t="s">
        <v>524</v>
      </c>
      <c r="Y2" s="75" t="s">
        <v>374</v>
      </c>
      <c r="Z2" s="75"/>
      <c r="AA2" s="73" t="s">
        <v>1074</v>
      </c>
      <c r="AB2" s="76" t="s">
        <v>118</v>
      </c>
      <c r="AC2" s="73" t="s">
        <v>120</v>
      </c>
      <c r="AE2" s="75" t="s">
        <v>409</v>
      </c>
      <c r="AF2" s="75"/>
      <c r="AG2" s="73" t="s">
        <v>1087</v>
      </c>
    </row>
    <row r="3" spans="1:33" x14ac:dyDescent="0.25">
      <c r="A3" s="73"/>
      <c r="B3" s="76"/>
      <c r="C3" s="73"/>
      <c r="D3" s="76"/>
      <c r="E3" s="73"/>
      <c r="F3" s="76"/>
      <c r="G3" s="73"/>
      <c r="I3" s="76"/>
      <c r="J3" s="73"/>
      <c r="K3" s="76"/>
      <c r="L3" s="73"/>
      <c r="M3" s="76"/>
      <c r="N3" s="16" t="s">
        <v>375</v>
      </c>
      <c r="O3" s="16" t="s">
        <v>377</v>
      </c>
      <c r="P3" s="76"/>
      <c r="Q3" s="73"/>
      <c r="R3" s="76"/>
      <c r="T3" s="73"/>
      <c r="U3" s="76"/>
      <c r="V3" s="73"/>
      <c r="W3" s="76"/>
      <c r="X3" s="73"/>
      <c r="Y3" s="17" t="s">
        <v>375</v>
      </c>
      <c r="Z3" s="17" t="s">
        <v>377</v>
      </c>
      <c r="AA3" s="73"/>
      <c r="AB3" s="76"/>
      <c r="AC3" s="73"/>
      <c r="AE3" s="17" t="s">
        <v>375</v>
      </c>
      <c r="AF3" s="17" t="s">
        <v>377</v>
      </c>
      <c r="AG3" s="73"/>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4" t="s">
        <v>1275</v>
      </c>
      <c r="B1" s="74"/>
      <c r="C1" s="74"/>
      <c r="D1" s="74"/>
      <c r="E1" s="74"/>
      <c r="F1" s="74"/>
      <c r="G1" s="74"/>
      <c r="I1" s="71" t="s">
        <v>2</v>
      </c>
      <c r="J1" s="71"/>
      <c r="K1" s="71"/>
      <c r="L1" s="71"/>
      <c r="M1" s="71"/>
      <c r="N1" s="71"/>
      <c r="O1" s="71"/>
      <c r="P1" s="71"/>
      <c r="Q1" s="71"/>
      <c r="R1" s="71"/>
      <c r="T1" s="72" t="s">
        <v>3</v>
      </c>
      <c r="U1" s="72"/>
      <c r="V1" s="72"/>
      <c r="W1" s="72"/>
      <c r="X1" s="72"/>
      <c r="Y1" s="72"/>
      <c r="Z1" s="72"/>
      <c r="AA1" s="72"/>
      <c r="AB1" s="72"/>
      <c r="AC1" s="72"/>
    </row>
    <row r="2" spans="1:33"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1074</v>
      </c>
      <c r="Q2" s="73" t="s">
        <v>118</v>
      </c>
      <c r="R2" s="76" t="s">
        <v>120</v>
      </c>
      <c r="T2" s="73" t="s">
        <v>518</v>
      </c>
      <c r="U2" s="76" t="s">
        <v>520</v>
      </c>
      <c r="V2" s="73" t="s">
        <v>112</v>
      </c>
      <c r="W2" s="76" t="s">
        <v>26</v>
      </c>
      <c r="X2" s="73" t="s">
        <v>524</v>
      </c>
      <c r="Y2" s="75" t="s">
        <v>374</v>
      </c>
      <c r="Z2" s="75"/>
      <c r="AA2" s="73" t="s">
        <v>1074</v>
      </c>
      <c r="AB2" s="76" t="s">
        <v>118</v>
      </c>
      <c r="AC2" s="73" t="s">
        <v>120</v>
      </c>
      <c r="AE2" s="75" t="s">
        <v>409</v>
      </c>
      <c r="AF2" s="75"/>
      <c r="AG2" s="73" t="s">
        <v>1087</v>
      </c>
    </row>
    <row r="3" spans="1:33" x14ac:dyDescent="0.25">
      <c r="A3" s="73"/>
      <c r="B3" s="76"/>
      <c r="C3" s="73"/>
      <c r="D3" s="76"/>
      <c r="E3" s="73"/>
      <c r="F3" s="76"/>
      <c r="G3" s="73"/>
      <c r="I3" s="76"/>
      <c r="J3" s="73"/>
      <c r="K3" s="76"/>
      <c r="L3" s="73"/>
      <c r="M3" s="76"/>
      <c r="N3" s="16" t="s">
        <v>375</v>
      </c>
      <c r="O3" s="16" t="s">
        <v>377</v>
      </c>
      <c r="P3" s="76"/>
      <c r="Q3" s="73"/>
      <c r="R3" s="76"/>
      <c r="T3" s="73"/>
      <c r="U3" s="76"/>
      <c r="V3" s="73"/>
      <c r="W3" s="76"/>
      <c r="X3" s="73"/>
      <c r="Y3" s="17" t="s">
        <v>375</v>
      </c>
      <c r="Z3" s="17" t="s">
        <v>377</v>
      </c>
      <c r="AA3" s="73"/>
      <c r="AB3" s="76"/>
      <c r="AC3" s="73"/>
      <c r="AE3" s="17" t="s">
        <v>375</v>
      </c>
      <c r="AF3" s="17" t="s">
        <v>377</v>
      </c>
      <c r="AG3" s="73"/>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5" max="5" width="1.7109375" customWidth="1"/>
    <col min="7" max="7" width="10.7109375" customWidth="1"/>
    <col min="8" max="8" width="12.7109375" customWidth="1"/>
    <col min="9" max="9" width="10.7109375" customWidth="1"/>
    <col min="10" max="10" width="12.7109375" customWidth="1"/>
    <col min="13" max="13" width="1.7109375" customWidth="1"/>
    <col min="15" max="15" width="10.7109375" customWidth="1"/>
    <col min="16" max="16" width="12.7109375" customWidth="1"/>
    <col min="17" max="17" width="10.7109375" customWidth="1"/>
    <col min="18" max="18" width="12.7109375" customWidth="1"/>
    <col min="21" max="21" width="1.7109375" customWidth="1"/>
    <col min="23" max="23" width="1.7109375" customWidth="1"/>
  </cols>
  <sheetData>
    <row r="1" spans="1:22" x14ac:dyDescent="0.25">
      <c r="A1" s="74" t="s">
        <v>1310</v>
      </c>
      <c r="B1" s="74"/>
      <c r="C1" s="74"/>
      <c r="D1" s="74"/>
      <c r="F1" s="71" t="s">
        <v>2</v>
      </c>
      <c r="G1" s="71"/>
      <c r="H1" s="71"/>
      <c r="I1" s="71"/>
      <c r="J1" s="71"/>
      <c r="K1" s="71"/>
      <c r="L1" s="71"/>
      <c r="N1" s="72" t="s">
        <v>3</v>
      </c>
      <c r="O1" s="72"/>
      <c r="P1" s="72"/>
      <c r="Q1" s="72"/>
      <c r="R1" s="72"/>
      <c r="S1" s="72"/>
      <c r="T1" s="72"/>
    </row>
    <row r="2" spans="1:22" ht="30" customHeight="1" x14ac:dyDescent="0.25">
      <c r="A2" s="73" t="s">
        <v>97</v>
      </c>
      <c r="B2" s="76" t="s">
        <v>99</v>
      </c>
      <c r="C2" s="73" t="s">
        <v>101</v>
      </c>
      <c r="D2" s="76" t="s">
        <v>103</v>
      </c>
      <c r="F2" s="73" t="s">
        <v>105</v>
      </c>
      <c r="G2" s="76" t="s">
        <v>520</v>
      </c>
      <c r="H2" s="73" t="s">
        <v>112</v>
      </c>
      <c r="I2" s="76" t="s">
        <v>26</v>
      </c>
      <c r="J2" s="73" t="s">
        <v>524</v>
      </c>
      <c r="K2" s="76" t="s">
        <v>118</v>
      </c>
      <c r="L2" s="73" t="s">
        <v>120</v>
      </c>
      <c r="N2" s="76" t="s">
        <v>105</v>
      </c>
      <c r="O2" s="73" t="s">
        <v>520</v>
      </c>
      <c r="P2" s="76" t="s">
        <v>112</v>
      </c>
      <c r="Q2" s="73" t="s">
        <v>26</v>
      </c>
      <c r="R2" s="76" t="s">
        <v>524</v>
      </c>
      <c r="S2" s="73" t="s">
        <v>118</v>
      </c>
      <c r="T2" s="76" t="s">
        <v>120</v>
      </c>
      <c r="V2" s="73" t="s">
        <v>131</v>
      </c>
    </row>
    <row r="3" spans="1:22" x14ac:dyDescent="0.25">
      <c r="A3" s="73"/>
      <c r="B3" s="76"/>
      <c r="C3" s="73"/>
      <c r="D3" s="76"/>
      <c r="F3" s="73"/>
      <c r="G3" s="76"/>
      <c r="H3" s="73"/>
      <c r="I3" s="76"/>
      <c r="J3" s="73"/>
      <c r="K3" s="76"/>
      <c r="L3" s="73"/>
      <c r="N3" s="76"/>
      <c r="O3" s="73"/>
      <c r="P3" s="76"/>
      <c r="Q3" s="73"/>
      <c r="R3" s="76"/>
      <c r="S3" s="73"/>
      <c r="T3" s="76"/>
      <c r="V3" s="73"/>
    </row>
    <row r="4" spans="1:22" collapsed="1" x14ac:dyDescent="0.25">
      <c r="A4" s="18" t="s">
        <v>990</v>
      </c>
      <c r="B4" s="18" t="s">
        <v>981</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25">
      <c r="A5" s="25"/>
      <c r="B5" s="25" t="s">
        <v>984</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25">
      <c r="A6" s="39"/>
      <c r="B6" s="39" t="s">
        <v>987</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25">
      <c r="B7" s="46" t="s">
        <v>258</v>
      </c>
      <c r="G7" s="47" t="e">
        <f>AVERAGE(G4:G6)</f>
        <v>#DIV/0!</v>
      </c>
      <c r="O7" s="47" t="e">
        <f>AVERAGE(O4:O6)</f>
        <v>#DIV/0!</v>
      </c>
      <c r="V7" s="6" t="e">
        <f>O7/G7</f>
        <v>#DIV/0!</v>
      </c>
    </row>
    <row r="8" spans="1:22" hidden="1" outlineLevel="2" x14ac:dyDescent="0.25">
      <c r="A8" s="46" t="s">
        <v>259</v>
      </c>
      <c r="B8" s="46" t="s">
        <v>260</v>
      </c>
      <c r="K8" s="48">
        <f>SUM(K4:K6)</f>
        <v>0</v>
      </c>
      <c r="L8" s="48">
        <f>SUM(L4:L6)</f>
        <v>0</v>
      </c>
      <c r="S8" s="48">
        <f>SUM(S4:S6)</f>
        <v>0</v>
      </c>
      <c r="T8" s="48">
        <f>SUM(T4:T6)</f>
        <v>0</v>
      </c>
    </row>
    <row r="9" spans="1:22" hidden="1" outlineLevel="2" x14ac:dyDescent="0.25">
      <c r="B9" s="46" t="s">
        <v>261</v>
      </c>
      <c r="S9" s="6" t="e">
        <f>S8/K8</f>
        <v>#DIV/0!</v>
      </c>
      <c r="T9" s="6" t="e">
        <f>T8/L8</f>
        <v>#DIV/0!</v>
      </c>
    </row>
    <row r="10" spans="1:22" hidden="1" outlineLevel="2" x14ac:dyDescent="0.25">
      <c r="B10" s="46" t="s">
        <v>262</v>
      </c>
      <c r="K10" s="48" t="e">
        <f>GEOMEAN(K4:K6)</f>
        <v>#NUM!</v>
      </c>
      <c r="L10" s="48" t="e">
        <f>GEOMEAN(L4:L6)</f>
        <v>#NUM!</v>
      </c>
      <c r="S10" s="48" t="e">
        <f>GEOMEAN(S4:S6)</f>
        <v>#NUM!</v>
      </c>
      <c r="T10" s="48" t="e">
        <f>GEOMEAN(T4:T6)</f>
        <v>#NUM!</v>
      </c>
    </row>
    <row r="11" spans="1:22" outlineLevel="2" collapsed="1" x14ac:dyDescent="0.25">
      <c r="B11" s="46" t="s">
        <v>263</v>
      </c>
      <c r="S11" s="6" t="e">
        <f>S10/K10</f>
        <v>#NUM!</v>
      </c>
      <c r="T11" s="6" t="e">
        <f>T10/L10</f>
        <v>#NUM!</v>
      </c>
    </row>
  </sheetData>
  <mergeCells count="22">
    <mergeCell ref="K2:K3"/>
    <mergeCell ref="A2:A3"/>
    <mergeCell ref="B2:B3"/>
    <mergeCell ref="C2:C3"/>
    <mergeCell ref="D2:D3"/>
    <mergeCell ref="F2:F3"/>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4" t="s">
        <v>1349</v>
      </c>
      <c r="B1" s="74"/>
      <c r="C1" s="74"/>
      <c r="D1" s="74"/>
      <c r="E1" s="74"/>
      <c r="F1" s="74"/>
      <c r="H1" s="71" t="s">
        <v>2</v>
      </c>
      <c r="I1" s="71"/>
      <c r="J1" s="71"/>
      <c r="K1" s="71"/>
      <c r="L1" s="71"/>
      <c r="M1" s="71"/>
      <c r="N1" s="71"/>
      <c r="O1" s="71"/>
      <c r="Q1" s="72" t="s">
        <v>3</v>
      </c>
      <c r="R1" s="72"/>
      <c r="S1" s="72"/>
      <c r="T1" s="72"/>
      <c r="U1" s="72"/>
      <c r="V1" s="72"/>
      <c r="W1" s="72"/>
      <c r="X1" s="72"/>
    </row>
    <row r="2" spans="1:26" ht="30" customHeight="1" x14ac:dyDescent="0.25">
      <c r="A2" s="73" t="s">
        <v>97</v>
      </c>
      <c r="B2" s="76" t="s">
        <v>99</v>
      </c>
      <c r="C2" s="73" t="s">
        <v>101</v>
      </c>
      <c r="D2" s="76" t="s">
        <v>103</v>
      </c>
      <c r="E2" s="73" t="s">
        <v>513</v>
      </c>
      <c r="F2" s="76" t="s">
        <v>515</v>
      </c>
      <c r="H2" s="73" t="s">
        <v>105</v>
      </c>
      <c r="I2" s="76" t="s">
        <v>518</v>
      </c>
      <c r="J2" s="73" t="s">
        <v>520</v>
      </c>
      <c r="K2" s="76" t="s">
        <v>112</v>
      </c>
      <c r="L2" s="73" t="s">
        <v>26</v>
      </c>
      <c r="M2" s="76" t="s">
        <v>524</v>
      </c>
      <c r="N2" s="73" t="s">
        <v>118</v>
      </c>
      <c r="O2" s="76" t="s">
        <v>120</v>
      </c>
      <c r="Q2" s="73" t="s">
        <v>105</v>
      </c>
      <c r="R2" s="76" t="s">
        <v>518</v>
      </c>
      <c r="S2" s="73" t="s">
        <v>520</v>
      </c>
      <c r="T2" s="76" t="s">
        <v>112</v>
      </c>
      <c r="U2" s="73" t="s">
        <v>26</v>
      </c>
      <c r="V2" s="76" t="s">
        <v>524</v>
      </c>
      <c r="W2" s="73" t="s">
        <v>118</v>
      </c>
      <c r="X2" s="76" t="s">
        <v>120</v>
      </c>
      <c r="Z2" s="73" t="s">
        <v>131</v>
      </c>
    </row>
    <row r="3" spans="1:26" x14ac:dyDescent="0.25">
      <c r="A3" s="73"/>
      <c r="B3" s="76"/>
      <c r="C3" s="73"/>
      <c r="D3" s="76"/>
      <c r="E3" s="73"/>
      <c r="F3" s="76"/>
      <c r="H3" s="73"/>
      <c r="I3" s="76"/>
      <c r="J3" s="73"/>
      <c r="K3" s="76"/>
      <c r="L3" s="73"/>
      <c r="M3" s="76"/>
      <c r="N3" s="73"/>
      <c r="O3" s="76"/>
      <c r="Q3" s="73"/>
      <c r="R3" s="76"/>
      <c r="S3" s="73"/>
      <c r="T3" s="76"/>
      <c r="U3" s="73"/>
      <c r="V3" s="76"/>
      <c r="W3" s="73"/>
      <c r="X3" s="76"/>
      <c r="Z3" s="73"/>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7" width="10.7109375" customWidth="1"/>
    <col min="8" max="8" width="12.7109375" customWidth="1"/>
    <col min="9" max="9" width="10.7109375" customWidth="1"/>
    <col min="10" max="10" width="12.7109375" customWidth="1"/>
    <col min="11" max="16" width="11.7109375" customWidth="1"/>
    <col min="19" max="19" width="1.7109375" customWidth="1"/>
    <col min="20" max="20" width="10.7109375" customWidth="1"/>
    <col min="21" max="21" width="12.7109375" customWidth="1"/>
    <col min="22" max="22" width="10.7109375" customWidth="1"/>
    <col min="23" max="23" width="12.7109375" customWidth="1"/>
    <col min="24" max="29" width="11.7109375" customWidth="1"/>
    <col min="32" max="32" width="1.7109375" customWidth="1"/>
    <col min="33" max="35" width="11.7109375" customWidth="1"/>
    <col min="36" max="36" width="1.7109375" customWidth="1"/>
    <col min="37" max="39" width="11.7109375" customWidth="1"/>
    <col min="40" max="40" width="1.7109375" customWidth="1"/>
  </cols>
  <sheetData>
    <row r="1" spans="1:39" x14ac:dyDescent="0.25">
      <c r="A1" s="74" t="s">
        <v>1408</v>
      </c>
      <c r="B1" s="74"/>
      <c r="C1" s="74"/>
      <c r="D1" s="74"/>
      <c r="E1" s="74"/>
      <c r="G1" s="71" t="s">
        <v>2</v>
      </c>
      <c r="H1" s="71"/>
      <c r="I1" s="71"/>
      <c r="J1" s="71"/>
      <c r="K1" s="71"/>
      <c r="L1" s="71"/>
      <c r="M1" s="71"/>
      <c r="N1" s="71"/>
      <c r="O1" s="71"/>
      <c r="P1" s="71"/>
      <c r="Q1" s="71"/>
      <c r="R1" s="71"/>
      <c r="T1" s="72" t="s">
        <v>3</v>
      </c>
      <c r="U1" s="72"/>
      <c r="V1" s="72"/>
      <c r="W1" s="72"/>
      <c r="X1" s="72"/>
      <c r="Y1" s="72"/>
      <c r="Z1" s="72"/>
      <c r="AA1" s="72"/>
      <c r="AB1" s="72"/>
      <c r="AC1" s="72"/>
      <c r="AD1" s="72"/>
      <c r="AE1" s="72"/>
    </row>
    <row r="2" spans="1:39" ht="30" customHeight="1" x14ac:dyDescent="0.25">
      <c r="A2" s="73" t="s">
        <v>97</v>
      </c>
      <c r="B2" s="76" t="s">
        <v>99</v>
      </c>
      <c r="C2" s="73" t="s">
        <v>275</v>
      </c>
      <c r="D2" s="76" t="s">
        <v>101</v>
      </c>
      <c r="E2" s="73" t="s">
        <v>103</v>
      </c>
      <c r="G2" s="76" t="s">
        <v>520</v>
      </c>
      <c r="H2" s="73" t="s">
        <v>112</v>
      </c>
      <c r="I2" s="76" t="s">
        <v>26</v>
      </c>
      <c r="J2" s="73" t="s">
        <v>524</v>
      </c>
      <c r="K2" s="75" t="s">
        <v>284</v>
      </c>
      <c r="L2" s="75"/>
      <c r="M2" s="75"/>
      <c r="N2" s="77" t="s">
        <v>1383</v>
      </c>
      <c r="O2" s="77"/>
      <c r="P2" s="77"/>
      <c r="Q2" s="76" t="s">
        <v>118</v>
      </c>
      <c r="R2" s="73" t="s">
        <v>120</v>
      </c>
      <c r="T2" s="76" t="s">
        <v>520</v>
      </c>
      <c r="U2" s="73" t="s">
        <v>112</v>
      </c>
      <c r="V2" s="76" t="s">
        <v>26</v>
      </c>
      <c r="W2" s="73" t="s">
        <v>524</v>
      </c>
      <c r="X2" s="75" t="s">
        <v>284</v>
      </c>
      <c r="Y2" s="75"/>
      <c r="Z2" s="75"/>
      <c r="AA2" s="77" t="s">
        <v>1383</v>
      </c>
      <c r="AB2" s="77"/>
      <c r="AC2" s="77"/>
      <c r="AD2" s="76" t="s">
        <v>118</v>
      </c>
      <c r="AE2" s="73" t="s">
        <v>120</v>
      </c>
      <c r="AG2" s="75" t="s">
        <v>412</v>
      </c>
      <c r="AH2" s="75"/>
      <c r="AI2" s="75"/>
      <c r="AK2" s="77" t="s">
        <v>1404</v>
      </c>
      <c r="AL2" s="77"/>
      <c r="AM2" s="77"/>
    </row>
    <row r="3" spans="1:39" x14ac:dyDescent="0.25">
      <c r="A3" s="73"/>
      <c r="B3" s="76"/>
      <c r="C3" s="73"/>
      <c r="D3" s="76"/>
      <c r="E3" s="73"/>
      <c r="G3" s="76"/>
      <c r="H3" s="73"/>
      <c r="I3" s="76"/>
      <c r="J3" s="73"/>
      <c r="K3" s="17" t="s">
        <v>285</v>
      </c>
      <c r="L3" s="17" t="s">
        <v>287</v>
      </c>
      <c r="M3" s="17" t="s">
        <v>289</v>
      </c>
      <c r="N3" s="16" t="s">
        <v>285</v>
      </c>
      <c r="O3" s="16" t="s">
        <v>287</v>
      </c>
      <c r="P3" s="16" t="s">
        <v>289</v>
      </c>
      <c r="Q3" s="76"/>
      <c r="R3" s="73"/>
      <c r="T3" s="76"/>
      <c r="U3" s="73"/>
      <c r="V3" s="76"/>
      <c r="W3" s="73"/>
      <c r="X3" s="17" t="s">
        <v>285</v>
      </c>
      <c r="Y3" s="17" t="s">
        <v>287</v>
      </c>
      <c r="Z3" s="17" t="s">
        <v>289</v>
      </c>
      <c r="AA3" s="16" t="s">
        <v>285</v>
      </c>
      <c r="AB3" s="16" t="s">
        <v>287</v>
      </c>
      <c r="AC3" s="16" t="s">
        <v>289</v>
      </c>
      <c r="AD3" s="76"/>
      <c r="AE3" s="73"/>
      <c r="AG3" s="17" t="s">
        <v>285</v>
      </c>
      <c r="AH3" s="17" t="s">
        <v>287</v>
      </c>
      <c r="AI3" s="17" t="s">
        <v>289</v>
      </c>
      <c r="AK3" s="16" t="s">
        <v>285</v>
      </c>
      <c r="AL3" s="16" t="s">
        <v>287</v>
      </c>
      <c r="AM3" s="16" t="s">
        <v>289</v>
      </c>
    </row>
    <row r="4" spans="1:39" collapsed="1" x14ac:dyDescent="0.25">
      <c r="A4" s="18" t="s">
        <v>990</v>
      </c>
      <c r="B4" s="18" t="s">
        <v>981</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25">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25">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25">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25">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25">
      <c r="A9" s="25"/>
      <c r="B9" s="25" t="s">
        <v>984</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25">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25">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25">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25">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25">
      <c r="A14" s="18"/>
      <c r="B14" s="18" t="s">
        <v>987</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25">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25">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25">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25">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25">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25">
      <c r="A20" s="46" t="s">
        <v>259</v>
      </c>
      <c r="B20" s="46" t="s">
        <v>260</v>
      </c>
      <c r="Q20" s="48">
        <f>SUM(Q4:Q18)</f>
        <v>0</v>
      </c>
      <c r="R20" s="48">
        <f>SUM(R4:R18)</f>
        <v>0</v>
      </c>
      <c r="AD20" s="48">
        <f>SUM(AD4:AD18)</f>
        <v>0</v>
      </c>
      <c r="AE20" s="48">
        <f>SUM(AE4:AE18)</f>
        <v>0</v>
      </c>
    </row>
    <row r="21" spans="1:39" hidden="1" outlineLevel="2" x14ac:dyDescent="0.25">
      <c r="B21" s="46" t="s">
        <v>261</v>
      </c>
      <c r="AD21" s="6" t="e">
        <f>AD20/Q20</f>
        <v>#DIV/0!</v>
      </c>
      <c r="AE21" s="6" t="e">
        <f>AE20/R20</f>
        <v>#DIV/0!</v>
      </c>
    </row>
    <row r="22" spans="1:39" hidden="1" outlineLevel="2" x14ac:dyDescent="0.25">
      <c r="B22" s="46" t="s">
        <v>262</v>
      </c>
      <c r="Q22" s="48" t="e">
        <f>GEOMEAN(Q4:Q18)</f>
        <v>#NUM!</v>
      </c>
      <c r="R22" s="48" t="e">
        <f>GEOMEAN(R4:R18)</f>
        <v>#NUM!</v>
      </c>
      <c r="AD22" s="48" t="e">
        <f>GEOMEAN(AD4:AD18)</f>
        <v>#NUM!</v>
      </c>
      <c r="AE22" s="48" t="e">
        <f>GEOMEAN(AE4:AE18)</f>
        <v>#NUM!</v>
      </c>
    </row>
    <row r="23" spans="1:39" outlineLevel="2" collapsed="1" x14ac:dyDescent="0.25">
      <c r="B23" s="46" t="s">
        <v>263</v>
      </c>
      <c r="AD23" s="6" t="e">
        <f>AD22/Q22</f>
        <v>#NUM!</v>
      </c>
      <c r="AE23" s="6" t="e">
        <f>AE22/R22</f>
        <v>#NUM!</v>
      </c>
    </row>
  </sheetData>
  <mergeCells count="26">
    <mergeCell ref="A2:A3"/>
    <mergeCell ref="B2:B3"/>
    <mergeCell ref="C2:C3"/>
    <mergeCell ref="D2:D3"/>
    <mergeCell ref="E2:E3"/>
    <mergeCell ref="G2:G3"/>
    <mergeCell ref="H2:H3"/>
    <mergeCell ref="I2:I3"/>
    <mergeCell ref="J2:J3"/>
    <mergeCell ref="K2:M2"/>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4" t="s">
        <v>1453</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1" ht="30" customHeight="1" x14ac:dyDescent="0.25">
      <c r="A2" s="73" t="s">
        <v>97</v>
      </c>
      <c r="B2" s="76" t="s">
        <v>99</v>
      </c>
      <c r="C2" s="73" t="s">
        <v>275</v>
      </c>
      <c r="D2" s="76" t="s">
        <v>101</v>
      </c>
      <c r="E2" s="73" t="s">
        <v>103</v>
      </c>
      <c r="F2" s="76" t="s">
        <v>513</v>
      </c>
      <c r="G2" s="73" t="s">
        <v>515</v>
      </c>
      <c r="I2" s="76" t="s">
        <v>518</v>
      </c>
      <c r="J2" s="73" t="s">
        <v>520</v>
      </c>
      <c r="K2" s="76" t="s">
        <v>112</v>
      </c>
      <c r="L2" s="73" t="s">
        <v>26</v>
      </c>
      <c r="M2" s="76" t="s">
        <v>524</v>
      </c>
      <c r="N2" s="73" t="s">
        <v>1074</v>
      </c>
      <c r="O2" s="76" t="s">
        <v>1437</v>
      </c>
      <c r="P2" s="73" t="s">
        <v>118</v>
      </c>
      <c r="Q2" s="76" t="s">
        <v>120</v>
      </c>
      <c r="S2" s="73" t="s">
        <v>518</v>
      </c>
      <c r="T2" s="76" t="s">
        <v>520</v>
      </c>
      <c r="U2" s="73" t="s">
        <v>112</v>
      </c>
      <c r="V2" s="76" t="s">
        <v>26</v>
      </c>
      <c r="W2" s="73" t="s">
        <v>524</v>
      </c>
      <c r="X2" s="76" t="s">
        <v>1074</v>
      </c>
      <c r="Y2" s="73" t="s">
        <v>1437</v>
      </c>
      <c r="Z2" s="76" t="s">
        <v>118</v>
      </c>
      <c r="AA2" s="73" t="s">
        <v>120</v>
      </c>
      <c r="AC2" s="76" t="s">
        <v>1087</v>
      </c>
      <c r="AE2" s="73" t="s">
        <v>1451</v>
      </c>
    </row>
    <row r="3" spans="1:31" x14ac:dyDescent="0.25">
      <c r="A3" s="73"/>
      <c r="B3" s="76"/>
      <c r="C3" s="73"/>
      <c r="D3" s="76"/>
      <c r="E3" s="73"/>
      <c r="F3" s="76"/>
      <c r="G3" s="73"/>
      <c r="I3" s="76"/>
      <c r="J3" s="73"/>
      <c r="K3" s="76"/>
      <c r="L3" s="73"/>
      <c r="M3" s="76"/>
      <c r="N3" s="73"/>
      <c r="O3" s="76"/>
      <c r="P3" s="73"/>
      <c r="Q3" s="76"/>
      <c r="S3" s="73"/>
      <c r="T3" s="76"/>
      <c r="U3" s="73"/>
      <c r="V3" s="76"/>
      <c r="W3" s="73"/>
      <c r="X3" s="76"/>
      <c r="Y3" s="73"/>
      <c r="Z3" s="76"/>
      <c r="AA3" s="73"/>
      <c r="AC3" s="76"/>
      <c r="AE3" s="73"/>
    </row>
    <row r="4" spans="1:31" collapsed="1" x14ac:dyDescent="0.25">
      <c r="A4" s="18" t="s">
        <v>990</v>
      </c>
      <c r="B4" s="18" t="s">
        <v>981</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25">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25">
      <c r="A9" s="25"/>
      <c r="B9" s="25" t="s">
        <v>984</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25">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25">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25">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25">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25">
      <c r="A14" s="18"/>
      <c r="B14" s="18" t="s">
        <v>987</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25">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25">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25">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25">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25">
      <c r="A19" s="25" t="s">
        <v>1000</v>
      </c>
      <c r="B19" s="25" t="s">
        <v>991</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25">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25">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25">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25">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25">
      <c r="A24" s="18"/>
      <c r="B24" s="18" t="s">
        <v>994</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25">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25">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25">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25">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25">
      <c r="A29" s="25"/>
      <c r="B29" s="25" t="s">
        <v>997</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25">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25">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25">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25">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25">
      <c r="B34" s="46" t="s">
        <v>1001</v>
      </c>
      <c r="J34" s="47" t="e">
        <f>AVERAGE(J4:J18)</f>
        <v>#DIV/0!</v>
      </c>
      <c r="T34" s="47" t="e">
        <f>AVERAGE(T4:T18)</f>
        <v>#DIV/0!</v>
      </c>
      <c r="AC34" s="11" t="e">
        <f>AVERAGE(AC4:AC18)</f>
        <v>#VALUE!</v>
      </c>
      <c r="AE34" s="11" t="e">
        <f>AVERAGE(AE4:AE18)</f>
        <v>#VALUE!</v>
      </c>
    </row>
    <row r="35" spans="1:31" x14ac:dyDescent="0.25">
      <c r="B35" s="46" t="s">
        <v>1002</v>
      </c>
      <c r="J35" s="47" t="e">
        <f>AVERAGE(J19:J33)</f>
        <v>#DIV/0!</v>
      </c>
      <c r="T35" s="47" t="e">
        <f>AVERAGE(T19:T33)</f>
        <v>#DIV/0!</v>
      </c>
      <c r="AC35" s="11" t="e">
        <f>AVERAGE(AC19:AC33)</f>
        <v>#VALUE!</v>
      </c>
      <c r="AE35" s="11" t="e">
        <f>AVERAGE(AE19:AE33)</f>
        <v>#VALUE!</v>
      </c>
    </row>
    <row r="36" spans="1:31" x14ac:dyDescent="0.25">
      <c r="B36" s="46" t="s">
        <v>258</v>
      </c>
      <c r="J36" s="47" t="e">
        <f>AVERAGE(J4:J18,J19:J33)</f>
        <v>#DIV/0!</v>
      </c>
      <c r="T36" s="47" t="e">
        <f>AVERAGE(T4:T18,T19:T33)</f>
        <v>#DIV/0!</v>
      </c>
      <c r="AC36" s="11" t="e">
        <f>AVERAGE(AC4:AC18,AC19:AC33)</f>
        <v>#VALUE!</v>
      </c>
      <c r="AE36" s="11" t="e">
        <f>AVERAGE(AE4:AE18,AE19:AE33)</f>
        <v>#VALUE!</v>
      </c>
    </row>
    <row r="37" spans="1:31" hidden="1" outlineLevel="2" x14ac:dyDescent="0.25">
      <c r="A37" s="46" t="s">
        <v>259</v>
      </c>
      <c r="B37" s="46" t="s">
        <v>260</v>
      </c>
      <c r="P37" s="48">
        <f>SUM(P4:P18,P19:P33)</f>
        <v>0</v>
      </c>
      <c r="Q37" s="48">
        <f>SUM(Q4:Q18,Q19:Q33)</f>
        <v>0</v>
      </c>
      <c r="Z37" s="48">
        <f>SUM(Z4:Z18,Z19:Z33)</f>
        <v>0</v>
      </c>
      <c r="AA37" s="48">
        <f>SUM(AA4:AA18,AA19:AA33)</f>
        <v>0</v>
      </c>
    </row>
    <row r="38" spans="1:31" hidden="1" outlineLevel="2" x14ac:dyDescent="0.25">
      <c r="B38" s="46" t="s">
        <v>261</v>
      </c>
      <c r="Z38" s="6" t="e">
        <f>Z37/P37</f>
        <v>#DIV/0!</v>
      </c>
      <c r="AA38" s="6" t="e">
        <f>AA37/Q37</f>
        <v>#DIV/0!</v>
      </c>
    </row>
    <row r="39" spans="1:31" hidden="1" outlineLevel="2" x14ac:dyDescent="0.25">
      <c r="B39" s="46" t="s">
        <v>262</v>
      </c>
      <c r="P39" s="48" t="e">
        <f>GEOMEAN(P4:P18,P19:P33)</f>
        <v>#NUM!</v>
      </c>
      <c r="Q39" s="48" t="e">
        <f>GEOMEAN(Q4:Q18,Q19:Q33)</f>
        <v>#NUM!</v>
      </c>
      <c r="Z39" s="48" t="e">
        <f>GEOMEAN(Z4:Z18,Z19:Z33)</f>
        <v>#NUM!</v>
      </c>
      <c r="AA39" s="48" t="e">
        <f>GEOMEAN(AA4:AA18,AA19:AA33)</f>
        <v>#NUM!</v>
      </c>
    </row>
    <row r="40" spans="1:31" outlineLevel="2" collapsed="1" x14ac:dyDescent="0.25">
      <c r="B40" s="46" t="s">
        <v>263</v>
      </c>
      <c r="Z40" s="6" t="e">
        <f>Z39/P39</f>
        <v>#NUM!</v>
      </c>
      <c r="AA40" s="6" t="e">
        <f>AA39/Q39</f>
        <v>#NUM!</v>
      </c>
    </row>
  </sheetData>
  <mergeCells count="30">
    <mergeCell ref="A2:A3"/>
    <mergeCell ref="B2:B3"/>
    <mergeCell ref="C2:C3"/>
    <mergeCell ref="D2:D3"/>
    <mergeCell ref="E2:E3"/>
    <mergeCell ref="M2:M3"/>
    <mergeCell ref="N2:N3"/>
    <mergeCell ref="O2:O3"/>
    <mergeCell ref="P2:P3"/>
    <mergeCell ref="F2:F3"/>
    <mergeCell ref="G2:G3"/>
    <mergeCell ref="I2:I3"/>
    <mergeCell ref="J2:J3"/>
    <mergeCell ref="K2:K3"/>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Graziosi, Danillo</dc:creator>
  <cp:lastModifiedBy>Vladyslav Zakharchenko</cp:lastModifiedBy>
  <dcterms:created xsi:type="dcterms:W3CDTF">2018-06-01T10:45:41Z</dcterms:created>
  <dcterms:modified xsi:type="dcterms:W3CDTF">2018-07-31T15:34:31Z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WorkbookGuid">
    <vt:lpwstr>0b57a279-1706-4dce-a38e-ab4917a4f215</vt:lpwstr>
  </property>
  <property fmtid="{D5CDD505-2E9C-101B-9397-08002B2CF9AE}" pid="5" name="_readonly">
    <vt:lpwstr/>
  </property>
  <property fmtid="{D5CDD505-2E9C-101B-9397-08002B2CF9AE}" pid="6" name="_change">
    <vt:lpwstr/>
  </property>
  <property fmtid="{D5CDD505-2E9C-101B-9397-08002B2CF9AE}" pid="7" name="_full-control">
    <vt:lpwstr/>
  </property>
  <property fmtid="{D5CDD505-2E9C-101B-9397-08002B2CF9AE}" pid="8" name="sflag">
    <vt:lpwstr>1533050917</vt:lpwstr>
  </property>
</Properties>
</file>