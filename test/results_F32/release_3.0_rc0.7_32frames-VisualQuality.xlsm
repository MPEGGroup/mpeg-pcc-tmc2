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1" defaultThemeVersion="124226"/>
  <mc:AlternateContent xmlns:mc="http://schemas.openxmlformats.org/markup-compatibility/2006">
    <mc:Choice Requires="x15">
      <x15ac:absPath xmlns:x15ac="http://schemas.microsoft.com/office/spreadsheetml/2010/11/ac" url="C:\PCC\PCC_git\MPEG123\mpeg123-ce-integration\test\results_F32\"/>
    </mc:Choice>
  </mc:AlternateContent>
  <bookViews>
    <workbookView xWindow="0" yWindow="0" windowWidth="28800" windowHeight="12435" tabRatio="916" activeTab="9"/>
  </bookViews>
  <sheets>
    <sheet name="Summary" sheetId="1" r:id="rId1"/>
    <sheet name="Graphs" sheetId="2" r:id="rId2"/>
    <sheet name="C1.1 losslG,noAttr" sheetId="3" r:id="rId3"/>
    <sheet name="names" sheetId="4" state="hidden" r:id="rId4"/>
    <sheet name="C1.2 losslG,lossyC" sheetId="5" r:id="rId5"/>
    <sheet name="C1.3 lossyG,lossyC" sheetId="6" r:id="rId6"/>
    <sheet name="C2.1 losslG,noAttr" sheetId="7" r:id="rId7"/>
    <sheet name="C2.2 losslG,losslAttr" sheetId="8" r:id="rId8"/>
    <sheet name="C2.3 lossyG,lossyAttr" sheetId="9" r:id="rId9"/>
    <sheet name="C2.4 lossyG,lossyAttr,interRA" sheetId="10" r:id="rId10"/>
    <sheet name="C2.5 losslG,noAttr,interRA" sheetId="11" r:id="rId11"/>
    <sheet name="C2.6 losslG,losslAttr,interRA" sheetId="12" r:id="rId12"/>
    <sheet name="C3.1 losslG,noAttr" sheetId="13" r:id="rId13"/>
    <sheet name="C3.2 losslG,lossyC" sheetId="14" r:id="rId14"/>
    <sheet name="C3.3 losslG,lossyR" sheetId="15" r:id="rId15"/>
    <sheet name="C3.4 lossyG,noAttr" sheetId="16" r:id="rId16"/>
    <sheet name="C3.5 lossyG,noAttr,interRA" sheetId="17" r:id="rId17"/>
    <sheet name="C3.6 lossyG,lossyR" sheetId="18" r:id="rId18"/>
    <sheet name="C3.7 lossyG,lossyR,interRA" sheetId="19" r:id="rId19"/>
    <sheet name="C3.W losslG,losslC" sheetId="20" r:id="rId20"/>
    <sheet name="C3.X losslG,losslR" sheetId="21" r:id="rId21"/>
    <sheet name="C3.Y losslG,nearllC" sheetId="22" r:id="rId22"/>
    <sheet name="C3.Z losslG,nearllR" sheetId="23" r:id="rId23"/>
  </sheets>
  <functionGroups builtInGroupCount="18"/>
  <definedNames>
    <definedName name="all_cols" localSheetId="1">Graphs!$I$2:$I$41</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52511"/>
</workbook>
</file>

<file path=xl/calcChain.xml><?xml version="1.0" encoding="utf-8"?>
<calcChain xmlns="http://schemas.openxmlformats.org/spreadsheetml/2006/main">
  <c r="AA39" i="23" l="1"/>
  <c r="Z39" i="23"/>
  <c r="Q39" i="23"/>
  <c r="P39" i="23"/>
  <c r="AA37" i="23"/>
  <c r="Z37" i="23"/>
  <c r="Q37" i="23"/>
  <c r="AA38" i="23" s="1"/>
  <c r="P37" i="23"/>
  <c r="U33" i="23"/>
  <c r="T33" i="23"/>
  <c r="S33" i="23"/>
  <c r="K33" i="23"/>
  <c r="J33" i="23"/>
  <c r="I33" i="23"/>
  <c r="U32" i="23"/>
  <c r="T32" i="23"/>
  <c r="S32" i="23"/>
  <c r="K32" i="23"/>
  <c r="J32" i="23"/>
  <c r="I32" i="23"/>
  <c r="U31" i="23"/>
  <c r="T31" i="23"/>
  <c r="S31" i="23"/>
  <c r="K31" i="23"/>
  <c r="J31" i="23"/>
  <c r="I31" i="23"/>
  <c r="U30" i="23"/>
  <c r="T30" i="23"/>
  <c r="S30" i="23"/>
  <c r="K30" i="23"/>
  <c r="J30" i="23"/>
  <c r="I30" i="23"/>
  <c r="U29" i="23"/>
  <c r="T29" i="23"/>
  <c r="S29" i="23"/>
  <c r="K29" i="23"/>
  <c r="J29" i="23"/>
  <c r="I29" i="23"/>
  <c r="U28" i="23"/>
  <c r="T28" i="23"/>
  <c r="S28" i="23"/>
  <c r="K28" i="23"/>
  <c r="J28" i="23"/>
  <c r="I28" i="23"/>
  <c r="U27" i="23"/>
  <c r="T27" i="23"/>
  <c r="S27" i="23"/>
  <c r="K27" i="23"/>
  <c r="J27" i="23"/>
  <c r="I27" i="23"/>
  <c r="U26" i="23"/>
  <c r="T26" i="23"/>
  <c r="S26" i="23"/>
  <c r="K26" i="23"/>
  <c r="J26" i="23"/>
  <c r="I26" i="23"/>
  <c r="U25" i="23"/>
  <c r="T25" i="23"/>
  <c r="S25" i="23"/>
  <c r="K25" i="23"/>
  <c r="J25" i="23"/>
  <c r="I25" i="23"/>
  <c r="U24" i="23"/>
  <c r="T24" i="23"/>
  <c r="S24" i="23"/>
  <c r="K24" i="23"/>
  <c r="J24" i="23"/>
  <c r="I24" i="23"/>
  <c r="U23" i="23"/>
  <c r="T23" i="23"/>
  <c r="S23" i="23"/>
  <c r="K23" i="23"/>
  <c r="J23" i="23"/>
  <c r="I23" i="23"/>
  <c r="U22" i="23"/>
  <c r="T22" i="23"/>
  <c r="S22" i="23"/>
  <c r="K22" i="23"/>
  <c r="J22" i="23"/>
  <c r="I22" i="23"/>
  <c r="U21" i="23"/>
  <c r="T21" i="23"/>
  <c r="S21" i="23"/>
  <c r="K21" i="23"/>
  <c r="J21" i="23"/>
  <c r="I21" i="23"/>
  <c r="U20" i="23"/>
  <c r="T20" i="23"/>
  <c r="S20" i="23"/>
  <c r="K20" i="23"/>
  <c r="J20" i="23"/>
  <c r="I20" i="23"/>
  <c r="U19" i="23"/>
  <c r="T19" i="23"/>
  <c r="S19" i="23"/>
  <c r="K19" i="23"/>
  <c r="J19" i="23"/>
  <c r="I19" i="23"/>
  <c r="U18" i="23"/>
  <c r="T18" i="23"/>
  <c r="S18" i="23"/>
  <c r="K18" i="23"/>
  <c r="J18" i="23"/>
  <c r="I18" i="23"/>
  <c r="U17" i="23"/>
  <c r="T17" i="23"/>
  <c r="S17" i="23"/>
  <c r="K17" i="23"/>
  <c r="J17" i="23"/>
  <c r="I17" i="23"/>
  <c r="U16" i="23"/>
  <c r="T16" i="23"/>
  <c r="S16" i="23"/>
  <c r="K16" i="23"/>
  <c r="J16" i="23"/>
  <c r="I16" i="23"/>
  <c r="U15" i="23"/>
  <c r="T15" i="23"/>
  <c r="S15" i="23"/>
  <c r="K15" i="23"/>
  <c r="J15" i="23"/>
  <c r="I15" i="23"/>
  <c r="U14" i="23"/>
  <c r="T14" i="23"/>
  <c r="S14" i="23"/>
  <c r="K14" i="23"/>
  <c r="J14" i="23"/>
  <c r="I14" i="23"/>
  <c r="U13" i="23"/>
  <c r="T13" i="23"/>
  <c r="S13" i="23"/>
  <c r="K13" i="23"/>
  <c r="J13" i="23"/>
  <c r="I13" i="23"/>
  <c r="U12" i="23"/>
  <c r="T12" i="23"/>
  <c r="S12" i="23"/>
  <c r="K12" i="23"/>
  <c r="J12" i="23"/>
  <c r="I12" i="23"/>
  <c r="U11" i="23"/>
  <c r="T11" i="23"/>
  <c r="S11" i="23"/>
  <c r="K11" i="23"/>
  <c r="J11" i="23"/>
  <c r="I11" i="23"/>
  <c r="U10" i="23"/>
  <c r="T10" i="23"/>
  <c r="S10" i="23"/>
  <c r="K10" i="23"/>
  <c r="J10" i="23"/>
  <c r="I10" i="23"/>
  <c r="U9" i="23"/>
  <c r="T9" i="23"/>
  <c r="S9" i="23"/>
  <c r="K9" i="23"/>
  <c r="J9" i="23"/>
  <c r="I9" i="23"/>
  <c r="U8" i="23"/>
  <c r="T8" i="23"/>
  <c r="S8" i="23"/>
  <c r="K8" i="23"/>
  <c r="J8" i="23"/>
  <c r="I8" i="23"/>
  <c r="U7" i="23"/>
  <c r="T7" i="23"/>
  <c r="S7" i="23"/>
  <c r="K7" i="23"/>
  <c r="J7" i="23"/>
  <c r="I7" i="23"/>
  <c r="U6" i="23"/>
  <c r="T6" i="23"/>
  <c r="S6" i="23"/>
  <c r="K6" i="23"/>
  <c r="J6" i="23"/>
  <c r="I6" i="23"/>
  <c r="U5" i="23"/>
  <c r="T5" i="23"/>
  <c r="S5" i="23"/>
  <c r="K5" i="23"/>
  <c r="J5" i="23"/>
  <c r="I5" i="23"/>
  <c r="U4" i="23"/>
  <c r="T4" i="23"/>
  <c r="S4" i="23"/>
  <c r="K4" i="23"/>
  <c r="J4" i="23"/>
  <c r="I4" i="23"/>
  <c r="AE22" i="22"/>
  <c r="AD22" i="22"/>
  <c r="R22" i="22"/>
  <c r="Q22" i="22"/>
  <c r="AE20" i="22"/>
  <c r="AD20" i="22"/>
  <c r="R20" i="22"/>
  <c r="AE21" i="22" s="1"/>
  <c r="Q20" i="22"/>
  <c r="U18" i="22"/>
  <c r="T18" i="22"/>
  <c r="H18" i="22"/>
  <c r="G18" i="22"/>
  <c r="U17" i="22"/>
  <c r="T17" i="22"/>
  <c r="H17" i="22"/>
  <c r="G17" i="22"/>
  <c r="U16" i="22"/>
  <c r="T16" i="22"/>
  <c r="H16" i="22"/>
  <c r="G16" i="22"/>
  <c r="U15" i="22"/>
  <c r="T15" i="22"/>
  <c r="H15" i="22"/>
  <c r="G15" i="22"/>
  <c r="U14" i="22"/>
  <c r="T14" i="22"/>
  <c r="H14" i="22"/>
  <c r="G14" i="22"/>
  <c r="U13" i="22"/>
  <c r="T13" i="22"/>
  <c r="H13" i="22"/>
  <c r="G13" i="22"/>
  <c r="U12" i="22"/>
  <c r="T12" i="22"/>
  <c r="H12" i="22"/>
  <c r="G12" i="22"/>
  <c r="U11" i="22"/>
  <c r="T11" i="22"/>
  <c r="H11" i="22"/>
  <c r="G11" i="22"/>
  <c r="U10" i="22"/>
  <c r="T10" i="22"/>
  <c r="H10" i="22"/>
  <c r="G10" i="22"/>
  <c r="U9" i="22"/>
  <c r="T9" i="22"/>
  <c r="H9" i="22"/>
  <c r="G9" i="22"/>
  <c r="U8" i="22"/>
  <c r="T8" i="22"/>
  <c r="H8" i="22"/>
  <c r="G8" i="22"/>
  <c r="U7" i="22"/>
  <c r="T7" i="22"/>
  <c r="H7" i="22"/>
  <c r="G7" i="22"/>
  <c r="U6" i="22"/>
  <c r="T6" i="22"/>
  <c r="H6" i="22"/>
  <c r="G6" i="22"/>
  <c r="U5" i="22"/>
  <c r="T5" i="22"/>
  <c r="H5" i="22"/>
  <c r="G5" i="22"/>
  <c r="U4" i="22"/>
  <c r="T4" i="22"/>
  <c r="H4" i="22"/>
  <c r="G4" i="22"/>
  <c r="X15" i="21"/>
  <c r="W15" i="21"/>
  <c r="O15" i="21"/>
  <c r="X16" i="21" s="1"/>
  <c r="C160" i="1" s="1"/>
  <c r="N15" i="21"/>
  <c r="X13" i="21"/>
  <c r="W13" i="21"/>
  <c r="O13" i="21"/>
  <c r="N13" i="21"/>
  <c r="T9" i="21"/>
  <c r="S9" i="21"/>
  <c r="R9" i="21"/>
  <c r="Q9" i="21"/>
  <c r="K9" i="21"/>
  <c r="J9" i="21"/>
  <c r="I9" i="21"/>
  <c r="H9" i="21"/>
  <c r="T8" i="21"/>
  <c r="S8" i="21"/>
  <c r="R8" i="21"/>
  <c r="Q8" i="21"/>
  <c r="K8" i="21"/>
  <c r="J8" i="21"/>
  <c r="I8" i="21"/>
  <c r="H8" i="21"/>
  <c r="T7" i="21"/>
  <c r="S7" i="21"/>
  <c r="R7" i="21"/>
  <c r="Q7" i="21"/>
  <c r="K7" i="21"/>
  <c r="J7" i="21"/>
  <c r="J11" i="21" s="1"/>
  <c r="I7" i="21"/>
  <c r="H7" i="21"/>
  <c r="T6" i="21"/>
  <c r="S6" i="21"/>
  <c r="R6" i="21"/>
  <c r="Q6" i="21"/>
  <c r="K6" i="21"/>
  <c r="J6" i="21"/>
  <c r="I6" i="21"/>
  <c r="H6" i="21"/>
  <c r="T5" i="21"/>
  <c r="S5" i="21"/>
  <c r="R5" i="21"/>
  <c r="Q5" i="21"/>
  <c r="K5" i="21"/>
  <c r="J5" i="21"/>
  <c r="I5" i="21"/>
  <c r="H5" i="21"/>
  <c r="T4" i="21"/>
  <c r="S4" i="21"/>
  <c r="R4" i="21"/>
  <c r="Q4" i="21"/>
  <c r="K4" i="21"/>
  <c r="J4" i="21"/>
  <c r="J10" i="21" s="1"/>
  <c r="I4" i="21"/>
  <c r="H4" i="21"/>
  <c r="T10" i="20"/>
  <c r="S10" i="20"/>
  <c r="L10" i="20"/>
  <c r="T11" i="20" s="1"/>
  <c r="C151" i="1" s="1"/>
  <c r="K10" i="20"/>
  <c r="T8" i="20"/>
  <c r="S8" i="20"/>
  <c r="L8" i="20"/>
  <c r="K8" i="20"/>
  <c r="P6" i="20"/>
  <c r="O6" i="20"/>
  <c r="N6" i="20"/>
  <c r="H6" i="20"/>
  <c r="G6" i="20"/>
  <c r="F6" i="20"/>
  <c r="P5" i="20"/>
  <c r="O5" i="20"/>
  <c r="N5" i="20"/>
  <c r="H5" i="20"/>
  <c r="G5" i="20"/>
  <c r="F5" i="20"/>
  <c r="P4" i="20"/>
  <c r="O4" i="20"/>
  <c r="V4" i="20" s="1"/>
  <c r="N4" i="20"/>
  <c r="H4" i="20"/>
  <c r="G4" i="20"/>
  <c r="F4" i="20"/>
  <c r="AC25" i="19"/>
  <c r="AB25" i="19"/>
  <c r="R25" i="19"/>
  <c r="Q25" i="19"/>
  <c r="AC23" i="19"/>
  <c r="AB23" i="19"/>
  <c r="R23" i="19"/>
  <c r="Q23" i="19"/>
  <c r="V21" i="19"/>
  <c r="U21" i="19"/>
  <c r="T21" i="19"/>
  <c r="K21" i="19"/>
  <c r="J21" i="19"/>
  <c r="I21" i="19"/>
  <c r="V20" i="19"/>
  <c r="U20" i="19"/>
  <c r="T20" i="19"/>
  <c r="K20" i="19"/>
  <c r="J20" i="19"/>
  <c r="I20" i="19"/>
  <c r="V19" i="19"/>
  <c r="U19" i="19"/>
  <c r="T19" i="19"/>
  <c r="K19" i="19"/>
  <c r="J19" i="19"/>
  <c r="I19" i="19"/>
  <c r="V18" i="19"/>
  <c r="U18" i="19"/>
  <c r="T18" i="19"/>
  <c r="K18" i="19"/>
  <c r="J18" i="19"/>
  <c r="I18" i="19"/>
  <c r="V17" i="19"/>
  <c r="U17" i="19"/>
  <c r="T17" i="19"/>
  <c r="K17" i="19"/>
  <c r="J17" i="19"/>
  <c r="I17" i="19"/>
  <c r="V16" i="19"/>
  <c r="U16" i="19"/>
  <c r="T16" i="19"/>
  <c r="K16" i="19"/>
  <c r="J16" i="19"/>
  <c r="I16" i="19"/>
  <c r="V15" i="19"/>
  <c r="U15" i="19"/>
  <c r="T15" i="19"/>
  <c r="K15" i="19"/>
  <c r="J15" i="19"/>
  <c r="I15" i="19"/>
  <c r="V14" i="19"/>
  <c r="U14" i="19"/>
  <c r="T14" i="19"/>
  <c r="K14" i="19"/>
  <c r="J14" i="19"/>
  <c r="I14" i="19"/>
  <c r="V13" i="19"/>
  <c r="U13" i="19"/>
  <c r="T13" i="19"/>
  <c r="K13" i="19"/>
  <c r="J13" i="19"/>
  <c r="I13" i="19"/>
  <c r="V12" i="19"/>
  <c r="U12" i="19"/>
  <c r="T12" i="19"/>
  <c r="K12" i="19"/>
  <c r="J12" i="19"/>
  <c r="I12" i="19"/>
  <c r="V11" i="19"/>
  <c r="U11" i="19"/>
  <c r="T11" i="19"/>
  <c r="K11" i="19"/>
  <c r="J11" i="19"/>
  <c r="I11" i="19"/>
  <c r="V10" i="19"/>
  <c r="U10" i="19"/>
  <c r="T10" i="19"/>
  <c r="K10" i="19"/>
  <c r="J10" i="19"/>
  <c r="I10" i="19"/>
  <c r="V9" i="19"/>
  <c r="U9" i="19"/>
  <c r="T9" i="19"/>
  <c r="K9" i="19"/>
  <c r="J9" i="19"/>
  <c r="I9" i="19"/>
  <c r="V8" i="19"/>
  <c r="U8" i="19"/>
  <c r="T8" i="19"/>
  <c r="K8" i="19"/>
  <c r="J8" i="19"/>
  <c r="I8" i="19"/>
  <c r="V7" i="19"/>
  <c r="U7" i="19"/>
  <c r="T7" i="19"/>
  <c r="K7" i="19"/>
  <c r="J7" i="19"/>
  <c r="I7" i="19"/>
  <c r="V6" i="19"/>
  <c r="U6" i="19"/>
  <c r="T6" i="19"/>
  <c r="K6" i="19"/>
  <c r="J6" i="19"/>
  <c r="I6" i="19"/>
  <c r="V5" i="19"/>
  <c r="U5" i="19"/>
  <c r="T5" i="19"/>
  <c r="K5" i="19"/>
  <c r="J5" i="19"/>
  <c r="I5" i="19"/>
  <c r="V4" i="19"/>
  <c r="U4" i="19"/>
  <c r="T4" i="19"/>
  <c r="K4" i="19"/>
  <c r="J4" i="19"/>
  <c r="I4" i="19"/>
  <c r="AC25" i="18"/>
  <c r="AB25" i="18"/>
  <c r="R25" i="18"/>
  <c r="Q25" i="18"/>
  <c r="AC23" i="18"/>
  <c r="AB23" i="18"/>
  <c r="R23" i="18"/>
  <c r="Q23" i="18"/>
  <c r="V21" i="18"/>
  <c r="U21" i="18"/>
  <c r="T21" i="18"/>
  <c r="K21" i="18"/>
  <c r="J21" i="18"/>
  <c r="I21" i="18"/>
  <c r="V20" i="18"/>
  <c r="U20" i="18"/>
  <c r="T20" i="18"/>
  <c r="K20" i="18"/>
  <c r="J20" i="18"/>
  <c r="I20" i="18"/>
  <c r="V19" i="18"/>
  <c r="U19" i="18"/>
  <c r="T19" i="18"/>
  <c r="K19" i="18"/>
  <c r="J19" i="18"/>
  <c r="I19" i="18"/>
  <c r="V18" i="18"/>
  <c r="U18" i="18"/>
  <c r="T18" i="18"/>
  <c r="K18" i="18"/>
  <c r="J18" i="18"/>
  <c r="I18" i="18"/>
  <c r="V17" i="18"/>
  <c r="U17" i="18"/>
  <c r="T17" i="18"/>
  <c r="K17" i="18"/>
  <c r="J17" i="18"/>
  <c r="I17" i="18"/>
  <c r="V16" i="18"/>
  <c r="U16" i="18"/>
  <c r="T16" i="18"/>
  <c r="K16" i="18"/>
  <c r="J16" i="18"/>
  <c r="I16" i="18"/>
  <c r="V15" i="18"/>
  <c r="U15" i="18"/>
  <c r="T15" i="18"/>
  <c r="K15" i="18"/>
  <c r="J15" i="18"/>
  <c r="I15" i="18"/>
  <c r="V14" i="18"/>
  <c r="U14" i="18"/>
  <c r="T14" i="18"/>
  <c r="K14" i="18"/>
  <c r="J14" i="18"/>
  <c r="I14" i="18"/>
  <c r="V13" i="18"/>
  <c r="U13" i="18"/>
  <c r="T13" i="18"/>
  <c r="K13" i="18"/>
  <c r="J13" i="18"/>
  <c r="I13" i="18"/>
  <c r="V12" i="18"/>
  <c r="U12" i="18"/>
  <c r="T12" i="18"/>
  <c r="K12" i="18"/>
  <c r="J12" i="18"/>
  <c r="I12" i="18"/>
  <c r="V11" i="18"/>
  <c r="U11" i="18"/>
  <c r="T11" i="18"/>
  <c r="K11" i="18"/>
  <c r="J11" i="18"/>
  <c r="I11" i="18"/>
  <c r="V10" i="18"/>
  <c r="U10" i="18"/>
  <c r="T10" i="18"/>
  <c r="K10" i="18"/>
  <c r="J10" i="18"/>
  <c r="I10" i="18"/>
  <c r="V9" i="18"/>
  <c r="U9" i="18"/>
  <c r="T9" i="18"/>
  <c r="K9" i="18"/>
  <c r="J9" i="18"/>
  <c r="I9" i="18"/>
  <c r="V8" i="18"/>
  <c r="U8" i="18"/>
  <c r="T8" i="18"/>
  <c r="K8" i="18"/>
  <c r="J8" i="18"/>
  <c r="I8" i="18"/>
  <c r="V7" i="18"/>
  <c r="U7" i="18"/>
  <c r="T7" i="18"/>
  <c r="K7" i="18"/>
  <c r="J7" i="18"/>
  <c r="I7" i="18"/>
  <c r="V6" i="18"/>
  <c r="U6" i="18"/>
  <c r="T6" i="18"/>
  <c r="K6" i="18"/>
  <c r="J6" i="18"/>
  <c r="I6" i="18"/>
  <c r="V5" i="18"/>
  <c r="U5" i="18"/>
  <c r="T5" i="18"/>
  <c r="K5" i="18"/>
  <c r="J5" i="18"/>
  <c r="I5" i="18"/>
  <c r="V4" i="18"/>
  <c r="U4" i="18"/>
  <c r="T4" i="18"/>
  <c r="K4" i="18"/>
  <c r="J4" i="18"/>
  <c r="I4" i="18"/>
  <c r="AA25" i="17"/>
  <c r="AA26" i="17" s="1"/>
  <c r="C130" i="1" s="1"/>
  <c r="Z25" i="17"/>
  <c r="Q25" i="17"/>
  <c r="P25" i="17"/>
  <c r="AA23" i="17"/>
  <c r="AA24" i="17" s="1"/>
  <c r="Z23" i="17"/>
  <c r="Q23" i="17"/>
  <c r="P23" i="17"/>
  <c r="U21" i="17"/>
  <c r="T21" i="17"/>
  <c r="S21" i="17"/>
  <c r="K21" i="17"/>
  <c r="J21" i="17"/>
  <c r="I21" i="17"/>
  <c r="U20" i="17"/>
  <c r="T20" i="17"/>
  <c r="S20" i="17"/>
  <c r="K20" i="17"/>
  <c r="J20" i="17"/>
  <c r="I20" i="17"/>
  <c r="U19" i="17"/>
  <c r="T19" i="17"/>
  <c r="S19" i="17"/>
  <c r="K19" i="17"/>
  <c r="J19" i="17"/>
  <c r="I19" i="17"/>
  <c r="U18" i="17"/>
  <c r="T18" i="17"/>
  <c r="S18" i="17"/>
  <c r="K18" i="17"/>
  <c r="J18" i="17"/>
  <c r="I18" i="17"/>
  <c r="U17" i="17"/>
  <c r="T17" i="17"/>
  <c r="S17" i="17"/>
  <c r="K17" i="17"/>
  <c r="J17" i="17"/>
  <c r="I17" i="17"/>
  <c r="U16" i="17"/>
  <c r="T16" i="17"/>
  <c r="S16" i="17"/>
  <c r="K16" i="17"/>
  <c r="J16" i="17"/>
  <c r="I16" i="17"/>
  <c r="U15" i="17"/>
  <c r="T15" i="17"/>
  <c r="S15" i="17"/>
  <c r="K15" i="17"/>
  <c r="J15" i="17"/>
  <c r="I15" i="17"/>
  <c r="U14" i="17"/>
  <c r="T14" i="17"/>
  <c r="S14" i="17"/>
  <c r="K14" i="17"/>
  <c r="J14" i="17"/>
  <c r="I14" i="17"/>
  <c r="U13" i="17"/>
  <c r="T13" i="17"/>
  <c r="S13" i="17"/>
  <c r="K13" i="17"/>
  <c r="J13" i="17"/>
  <c r="I13" i="17"/>
  <c r="U12" i="17"/>
  <c r="T12" i="17"/>
  <c r="S12" i="17"/>
  <c r="K12" i="17"/>
  <c r="J12" i="17"/>
  <c r="I12" i="17"/>
  <c r="U11" i="17"/>
  <c r="T11" i="17"/>
  <c r="S11" i="17"/>
  <c r="K11" i="17"/>
  <c r="J11" i="17"/>
  <c r="I11" i="17"/>
  <c r="U10" i="17"/>
  <c r="T10" i="17"/>
  <c r="S10" i="17"/>
  <c r="K10" i="17"/>
  <c r="J10" i="17"/>
  <c r="I10" i="17"/>
  <c r="U9" i="17"/>
  <c r="T9" i="17"/>
  <c r="S9" i="17"/>
  <c r="K9" i="17"/>
  <c r="J9" i="17"/>
  <c r="I9" i="17"/>
  <c r="U8" i="17"/>
  <c r="T8" i="17"/>
  <c r="S8" i="17"/>
  <c r="K8" i="17"/>
  <c r="J8" i="17"/>
  <c r="I8" i="17"/>
  <c r="U7" i="17"/>
  <c r="T7" i="17"/>
  <c r="S7" i="17"/>
  <c r="K7" i="17"/>
  <c r="J7" i="17"/>
  <c r="I7" i="17"/>
  <c r="U6" i="17"/>
  <c r="T6" i="17"/>
  <c r="S6" i="17"/>
  <c r="K6" i="17"/>
  <c r="J6" i="17"/>
  <c r="I6" i="17"/>
  <c r="U5" i="17"/>
  <c r="T5" i="17"/>
  <c r="S5" i="17"/>
  <c r="K5" i="17"/>
  <c r="J5" i="17"/>
  <c r="I5" i="17"/>
  <c r="U4" i="17"/>
  <c r="T4" i="17"/>
  <c r="S4" i="17"/>
  <c r="K4" i="17"/>
  <c r="J4" i="17"/>
  <c r="I4" i="17"/>
  <c r="AA45" i="16"/>
  <c r="Z45" i="16"/>
  <c r="Q45" i="16"/>
  <c r="P45" i="16"/>
  <c r="AA43" i="16"/>
  <c r="Z43" i="16"/>
  <c r="Q43" i="16"/>
  <c r="P43" i="16"/>
  <c r="Z44" i="16" s="1"/>
  <c r="U39" i="16"/>
  <c r="T39" i="16"/>
  <c r="S39" i="16"/>
  <c r="K39" i="16"/>
  <c r="J39" i="16"/>
  <c r="I39" i="16"/>
  <c r="U38" i="16"/>
  <c r="T38" i="16"/>
  <c r="S38" i="16"/>
  <c r="K38" i="16"/>
  <c r="J38" i="16"/>
  <c r="I38" i="16"/>
  <c r="U37" i="16"/>
  <c r="T37" i="16"/>
  <c r="S37" i="16"/>
  <c r="K37" i="16"/>
  <c r="J37" i="16"/>
  <c r="I37" i="16"/>
  <c r="U36" i="16"/>
  <c r="T36" i="16"/>
  <c r="S36" i="16"/>
  <c r="K36" i="16"/>
  <c r="J36" i="16"/>
  <c r="I36" i="16"/>
  <c r="U35" i="16"/>
  <c r="T35" i="16"/>
  <c r="S35" i="16"/>
  <c r="K35" i="16"/>
  <c r="J35" i="16"/>
  <c r="I35" i="16"/>
  <c r="U34" i="16"/>
  <c r="T34" i="16"/>
  <c r="S34" i="16"/>
  <c r="K34" i="16"/>
  <c r="J34" i="16"/>
  <c r="I34" i="16"/>
  <c r="U33" i="16"/>
  <c r="T33" i="16"/>
  <c r="S33" i="16"/>
  <c r="K33" i="16"/>
  <c r="J33" i="16"/>
  <c r="I33" i="16"/>
  <c r="U32" i="16"/>
  <c r="T32" i="16"/>
  <c r="S32" i="16"/>
  <c r="K32" i="16"/>
  <c r="J32" i="16"/>
  <c r="I32" i="16"/>
  <c r="U31" i="16"/>
  <c r="T31" i="16"/>
  <c r="S31" i="16"/>
  <c r="K31" i="16"/>
  <c r="J31" i="16"/>
  <c r="I31" i="16"/>
  <c r="U30" i="16"/>
  <c r="T30" i="16"/>
  <c r="S30" i="16"/>
  <c r="K30" i="16"/>
  <c r="J30" i="16"/>
  <c r="I30" i="16"/>
  <c r="U29" i="16"/>
  <c r="T29" i="16"/>
  <c r="S29" i="16"/>
  <c r="K29" i="16"/>
  <c r="J29" i="16"/>
  <c r="I29" i="16"/>
  <c r="U28" i="16"/>
  <c r="T28" i="16"/>
  <c r="S28" i="16"/>
  <c r="K28" i="16"/>
  <c r="J28" i="16"/>
  <c r="I28" i="16"/>
  <c r="U27" i="16"/>
  <c r="T27" i="16"/>
  <c r="S27" i="16"/>
  <c r="K27" i="16"/>
  <c r="J27" i="16"/>
  <c r="I27" i="16"/>
  <c r="U26" i="16"/>
  <c r="T26" i="16"/>
  <c r="S26" i="16"/>
  <c r="K26" i="16"/>
  <c r="J26" i="16"/>
  <c r="I26" i="16"/>
  <c r="U25" i="16"/>
  <c r="T25" i="16"/>
  <c r="S25" i="16"/>
  <c r="K25" i="16"/>
  <c r="J25" i="16"/>
  <c r="I25" i="16"/>
  <c r="U24" i="16"/>
  <c r="T24" i="16"/>
  <c r="S24" i="16"/>
  <c r="K24" i="16"/>
  <c r="J24" i="16"/>
  <c r="I24" i="16"/>
  <c r="U23" i="16"/>
  <c r="T23" i="16"/>
  <c r="S23" i="16"/>
  <c r="K23" i="16"/>
  <c r="J23" i="16"/>
  <c r="I23" i="16"/>
  <c r="U22" i="16"/>
  <c r="T22" i="16"/>
  <c r="S22" i="16"/>
  <c r="K22" i="16"/>
  <c r="J22" i="16"/>
  <c r="I22" i="16"/>
  <c r="U21" i="16"/>
  <c r="T21" i="16"/>
  <c r="S21" i="16"/>
  <c r="K21" i="16"/>
  <c r="J21" i="16"/>
  <c r="I21" i="16"/>
  <c r="U20" i="16"/>
  <c r="T20" i="16"/>
  <c r="S20" i="16"/>
  <c r="K20" i="16"/>
  <c r="J20" i="16"/>
  <c r="I20" i="16"/>
  <c r="U19" i="16"/>
  <c r="T19" i="16"/>
  <c r="S19" i="16"/>
  <c r="K19" i="16"/>
  <c r="J19" i="16"/>
  <c r="I19" i="16"/>
  <c r="U18" i="16"/>
  <c r="T18" i="16"/>
  <c r="S18" i="16"/>
  <c r="K18" i="16"/>
  <c r="J18" i="16"/>
  <c r="I18" i="16"/>
  <c r="U17" i="16"/>
  <c r="T17" i="16"/>
  <c r="S17" i="16"/>
  <c r="K17" i="16"/>
  <c r="J17" i="16"/>
  <c r="I17" i="16"/>
  <c r="U16" i="16"/>
  <c r="T16" i="16"/>
  <c r="S16" i="16"/>
  <c r="K16" i="16"/>
  <c r="J16" i="16"/>
  <c r="I16" i="16"/>
  <c r="U15" i="16"/>
  <c r="T15" i="16"/>
  <c r="S15" i="16"/>
  <c r="K15" i="16"/>
  <c r="J15" i="16"/>
  <c r="I15" i="16"/>
  <c r="U14" i="16"/>
  <c r="T14" i="16"/>
  <c r="S14" i="16"/>
  <c r="K14" i="16"/>
  <c r="J14" i="16"/>
  <c r="I14" i="16"/>
  <c r="U13" i="16"/>
  <c r="T13" i="16"/>
  <c r="S13" i="16"/>
  <c r="K13" i="16"/>
  <c r="J13" i="16"/>
  <c r="I13" i="16"/>
  <c r="U12" i="16"/>
  <c r="T12" i="16"/>
  <c r="S12" i="16"/>
  <c r="K12" i="16"/>
  <c r="J12" i="16"/>
  <c r="I12" i="16"/>
  <c r="U11" i="16"/>
  <c r="T11" i="16"/>
  <c r="S11" i="16"/>
  <c r="K11" i="16"/>
  <c r="J11" i="16"/>
  <c r="I11" i="16"/>
  <c r="U10" i="16"/>
  <c r="T10" i="16"/>
  <c r="S10" i="16"/>
  <c r="K10" i="16"/>
  <c r="J10" i="16"/>
  <c r="I10" i="16"/>
  <c r="U9" i="16"/>
  <c r="T9" i="16"/>
  <c r="S9" i="16"/>
  <c r="K9" i="16"/>
  <c r="J9" i="16"/>
  <c r="I9" i="16"/>
  <c r="U8" i="16"/>
  <c r="T8" i="16"/>
  <c r="S8" i="16"/>
  <c r="K8" i="16"/>
  <c r="J8" i="16"/>
  <c r="I8" i="16"/>
  <c r="U7" i="16"/>
  <c r="T7" i="16"/>
  <c r="S7" i="16"/>
  <c r="K7" i="16"/>
  <c r="J7" i="16"/>
  <c r="I7" i="16"/>
  <c r="U6" i="16"/>
  <c r="T6" i="16"/>
  <c r="S6" i="16"/>
  <c r="K6" i="16"/>
  <c r="J6" i="16"/>
  <c r="I6" i="16"/>
  <c r="U5" i="16"/>
  <c r="T5" i="16"/>
  <c r="S5" i="16"/>
  <c r="K5" i="16"/>
  <c r="J5" i="16"/>
  <c r="I5" i="16"/>
  <c r="U4" i="16"/>
  <c r="T4" i="16"/>
  <c r="S4" i="16"/>
  <c r="K4" i="16"/>
  <c r="J4" i="16"/>
  <c r="I4" i="16"/>
  <c r="AA25" i="15"/>
  <c r="Z25" i="15"/>
  <c r="Q25" i="15"/>
  <c r="P25" i="15"/>
  <c r="AA23" i="15"/>
  <c r="Z23" i="15"/>
  <c r="Q23" i="15"/>
  <c r="P23" i="15"/>
  <c r="Z24" i="15" s="1"/>
  <c r="U21" i="15"/>
  <c r="T21" i="15"/>
  <c r="S21" i="15"/>
  <c r="K21" i="15"/>
  <c r="J21" i="15"/>
  <c r="I21" i="15"/>
  <c r="U20" i="15"/>
  <c r="T20" i="15"/>
  <c r="S20" i="15"/>
  <c r="K20" i="15"/>
  <c r="J20" i="15"/>
  <c r="I20" i="15"/>
  <c r="U19" i="15"/>
  <c r="T19" i="15"/>
  <c r="S19" i="15"/>
  <c r="K19" i="15"/>
  <c r="J19" i="15"/>
  <c r="I19" i="15"/>
  <c r="U18" i="15"/>
  <c r="T18" i="15"/>
  <c r="S18" i="15"/>
  <c r="K18" i="15"/>
  <c r="J18" i="15"/>
  <c r="I18" i="15"/>
  <c r="U17" i="15"/>
  <c r="T17" i="15"/>
  <c r="S17" i="15"/>
  <c r="K17" i="15"/>
  <c r="J17" i="15"/>
  <c r="I17" i="15"/>
  <c r="U16" i="15"/>
  <c r="T16" i="15"/>
  <c r="S16" i="15"/>
  <c r="K16" i="15"/>
  <c r="J16" i="15"/>
  <c r="I16" i="15"/>
  <c r="U15" i="15"/>
  <c r="T15" i="15"/>
  <c r="S15" i="15"/>
  <c r="K15" i="15"/>
  <c r="J15" i="15"/>
  <c r="I15" i="15"/>
  <c r="U14" i="15"/>
  <c r="T14" i="15"/>
  <c r="S14" i="15"/>
  <c r="K14" i="15"/>
  <c r="J14" i="15"/>
  <c r="I14" i="15"/>
  <c r="U13" i="15"/>
  <c r="T13" i="15"/>
  <c r="S13" i="15"/>
  <c r="K13" i="15"/>
  <c r="J13" i="15"/>
  <c r="I13" i="15"/>
  <c r="U12" i="15"/>
  <c r="T12" i="15"/>
  <c r="S12" i="15"/>
  <c r="K12" i="15"/>
  <c r="J12" i="15"/>
  <c r="I12" i="15"/>
  <c r="U11" i="15"/>
  <c r="T11" i="15"/>
  <c r="S11" i="15"/>
  <c r="K11" i="15"/>
  <c r="J11" i="15"/>
  <c r="I11" i="15"/>
  <c r="U10" i="15"/>
  <c r="T10" i="15"/>
  <c r="S10" i="15"/>
  <c r="K10" i="15"/>
  <c r="J10" i="15"/>
  <c r="I10" i="15"/>
  <c r="U9" i="15"/>
  <c r="T9" i="15"/>
  <c r="S9" i="15"/>
  <c r="K9" i="15"/>
  <c r="J9" i="15"/>
  <c r="I9" i="15"/>
  <c r="U8" i="15"/>
  <c r="T8" i="15"/>
  <c r="S8" i="15"/>
  <c r="K8" i="15"/>
  <c r="J8" i="15"/>
  <c r="I8" i="15"/>
  <c r="U7" i="15"/>
  <c r="T7" i="15"/>
  <c r="S7" i="15"/>
  <c r="K7" i="15"/>
  <c r="J7" i="15"/>
  <c r="I7" i="15"/>
  <c r="U6" i="15"/>
  <c r="T6" i="15"/>
  <c r="S6" i="15"/>
  <c r="K6" i="15"/>
  <c r="J6" i="15"/>
  <c r="I6" i="15"/>
  <c r="U5" i="15"/>
  <c r="T5" i="15"/>
  <c r="S5" i="15"/>
  <c r="K5" i="15"/>
  <c r="J5" i="15"/>
  <c r="I5" i="15"/>
  <c r="U4" i="15"/>
  <c r="T4" i="15"/>
  <c r="S4" i="15"/>
  <c r="K4" i="15"/>
  <c r="J4" i="15"/>
  <c r="I4" i="15"/>
  <c r="AG25" i="14"/>
  <c r="AF25" i="14"/>
  <c r="T25" i="14"/>
  <c r="S25" i="14"/>
  <c r="AF26" i="14" s="1"/>
  <c r="C106" i="1" s="1"/>
  <c r="AG23" i="14"/>
  <c r="AF23" i="14"/>
  <c r="T23" i="14"/>
  <c r="S23" i="14"/>
  <c r="Y21" i="14"/>
  <c r="X21" i="14"/>
  <c r="W21" i="14"/>
  <c r="V21" i="14"/>
  <c r="L21" i="14"/>
  <c r="K21" i="14"/>
  <c r="J21" i="14"/>
  <c r="I21" i="14"/>
  <c r="Y20" i="14"/>
  <c r="X20" i="14"/>
  <c r="W20" i="14"/>
  <c r="V20" i="14"/>
  <c r="L20" i="14"/>
  <c r="K20" i="14"/>
  <c r="J20" i="14"/>
  <c r="I20" i="14"/>
  <c r="Y19" i="14"/>
  <c r="X19" i="14"/>
  <c r="W19" i="14"/>
  <c r="V19" i="14"/>
  <c r="L19" i="14"/>
  <c r="K19" i="14"/>
  <c r="J19" i="14"/>
  <c r="I19" i="14"/>
  <c r="Y18" i="14"/>
  <c r="X18" i="14"/>
  <c r="W18" i="14"/>
  <c r="V18" i="14"/>
  <c r="L18" i="14"/>
  <c r="K18" i="14"/>
  <c r="J18" i="14"/>
  <c r="I18" i="14"/>
  <c r="Y17" i="14"/>
  <c r="X17" i="14"/>
  <c r="W17" i="14"/>
  <c r="V17" i="14"/>
  <c r="L17" i="14"/>
  <c r="K17" i="14"/>
  <c r="J17" i="14"/>
  <c r="I17" i="14"/>
  <c r="Y16" i="14"/>
  <c r="X16" i="14"/>
  <c r="W16" i="14"/>
  <c r="V16" i="14"/>
  <c r="L16" i="14"/>
  <c r="K16" i="14"/>
  <c r="J16" i="14"/>
  <c r="I16" i="14"/>
  <c r="Y15" i="14"/>
  <c r="X15" i="14"/>
  <c r="W15" i="14"/>
  <c r="V15" i="14"/>
  <c r="L15" i="14"/>
  <c r="K15" i="14"/>
  <c r="J15" i="14"/>
  <c r="I15" i="14"/>
  <c r="Y14" i="14"/>
  <c r="X14" i="14"/>
  <c r="W14" i="14"/>
  <c r="V14" i="14"/>
  <c r="L14" i="14"/>
  <c r="K14" i="14"/>
  <c r="J14" i="14"/>
  <c r="I14" i="14"/>
  <c r="Y13" i="14"/>
  <c r="X13" i="14"/>
  <c r="W13" i="14"/>
  <c r="V13" i="14"/>
  <c r="L13" i="14"/>
  <c r="K13" i="14"/>
  <c r="J13" i="14"/>
  <c r="I13" i="14"/>
  <c r="Y12" i="14"/>
  <c r="X12" i="14"/>
  <c r="W12" i="14"/>
  <c r="V12" i="14"/>
  <c r="L12" i="14"/>
  <c r="K12" i="14"/>
  <c r="J12" i="14"/>
  <c r="I12" i="14"/>
  <c r="Y11" i="14"/>
  <c r="X11" i="14"/>
  <c r="W11" i="14"/>
  <c r="V11" i="14"/>
  <c r="L11" i="14"/>
  <c r="K11" i="14"/>
  <c r="J11" i="14"/>
  <c r="I11" i="14"/>
  <c r="Y10" i="14"/>
  <c r="X10" i="14"/>
  <c r="W10" i="14"/>
  <c r="V10" i="14"/>
  <c r="L10" i="14"/>
  <c r="K10" i="14"/>
  <c r="J10" i="14"/>
  <c r="I10" i="14"/>
  <c r="Y9" i="14"/>
  <c r="X9" i="14"/>
  <c r="W9" i="14"/>
  <c r="V9" i="14"/>
  <c r="L9" i="14"/>
  <c r="K9" i="14"/>
  <c r="J9" i="14"/>
  <c r="I9" i="14"/>
  <c r="Y8" i="14"/>
  <c r="X8" i="14"/>
  <c r="W8" i="14"/>
  <c r="V8" i="14"/>
  <c r="L8" i="14"/>
  <c r="K8" i="14"/>
  <c r="J8" i="14"/>
  <c r="I8" i="14"/>
  <c r="Y7" i="14"/>
  <c r="X7" i="14"/>
  <c r="W7" i="14"/>
  <c r="V7" i="14"/>
  <c r="L7" i="14"/>
  <c r="K7" i="14"/>
  <c r="J7" i="14"/>
  <c r="I7" i="14"/>
  <c r="Y6" i="14"/>
  <c r="X6" i="14"/>
  <c r="W6" i="14"/>
  <c r="V6" i="14"/>
  <c r="L6" i="14"/>
  <c r="K6" i="14"/>
  <c r="J6" i="14"/>
  <c r="I6" i="14"/>
  <c r="Y5" i="14"/>
  <c r="X5" i="14"/>
  <c r="W5" i="14"/>
  <c r="V5" i="14"/>
  <c r="L5" i="14"/>
  <c r="K5" i="14"/>
  <c r="J5" i="14"/>
  <c r="I5" i="14"/>
  <c r="Y4" i="14"/>
  <c r="X4" i="14"/>
  <c r="W4" i="14"/>
  <c r="W22" i="14" s="1"/>
  <c r="V4" i="14"/>
  <c r="L4" i="14"/>
  <c r="K4" i="14"/>
  <c r="J4" i="14"/>
  <c r="J22" i="14" s="1"/>
  <c r="I4" i="14"/>
  <c r="X15" i="13"/>
  <c r="W15" i="13"/>
  <c r="O15" i="13"/>
  <c r="N15" i="13"/>
  <c r="X13" i="13"/>
  <c r="W13" i="13"/>
  <c r="O13" i="13"/>
  <c r="N13" i="13"/>
  <c r="W14" i="13" s="1"/>
  <c r="T9" i="13"/>
  <c r="S9" i="13"/>
  <c r="R9" i="13"/>
  <c r="Q9" i="13"/>
  <c r="K9" i="13"/>
  <c r="J9" i="13"/>
  <c r="I9" i="13"/>
  <c r="H9" i="13"/>
  <c r="T8" i="13"/>
  <c r="S8" i="13"/>
  <c r="R8" i="13"/>
  <c r="Q8" i="13"/>
  <c r="K8" i="13"/>
  <c r="J8" i="13"/>
  <c r="I8" i="13"/>
  <c r="H8" i="13"/>
  <c r="T7" i="13"/>
  <c r="S7" i="13"/>
  <c r="R7" i="13"/>
  <c r="Q7" i="13"/>
  <c r="K7" i="13"/>
  <c r="J7" i="13"/>
  <c r="I7" i="13"/>
  <c r="H7" i="13"/>
  <c r="T6" i="13"/>
  <c r="S6" i="13"/>
  <c r="R6" i="13"/>
  <c r="Q6" i="13"/>
  <c r="K6" i="13"/>
  <c r="J6" i="13"/>
  <c r="I6" i="13"/>
  <c r="H6" i="13"/>
  <c r="T5" i="13"/>
  <c r="S5" i="13"/>
  <c r="R5" i="13"/>
  <c r="Q5" i="13"/>
  <c r="K5" i="13"/>
  <c r="J5" i="13"/>
  <c r="I5" i="13"/>
  <c r="H5" i="13"/>
  <c r="T4" i="13"/>
  <c r="S4" i="13"/>
  <c r="R4" i="13"/>
  <c r="Q4" i="13"/>
  <c r="K4" i="13"/>
  <c r="J4" i="13"/>
  <c r="I4" i="13"/>
  <c r="H4" i="13"/>
  <c r="AX14" i="12"/>
  <c r="AW14" i="12"/>
  <c r="AV14" i="12"/>
  <c r="AU14" i="12"/>
  <c r="AB14" i="12"/>
  <c r="AA14" i="12"/>
  <c r="Z14" i="12"/>
  <c r="Y14" i="12"/>
  <c r="AX12" i="12"/>
  <c r="AW12" i="12"/>
  <c r="AV12" i="12"/>
  <c r="AU12" i="12"/>
  <c r="AB12" i="12"/>
  <c r="AA12" i="12"/>
  <c r="Z12" i="12"/>
  <c r="Y12" i="12"/>
  <c r="BA8" i="12"/>
  <c r="AG8" i="12" s="1"/>
  <c r="AJ8" i="12"/>
  <c r="AI8" i="12"/>
  <c r="AH8" i="12"/>
  <c r="AF8" i="12"/>
  <c r="AF10" i="12" s="1"/>
  <c r="AE8" i="12"/>
  <c r="AD8" i="12"/>
  <c r="AZ8" i="12"/>
  <c r="K8" i="12" s="1"/>
  <c r="N8" i="12"/>
  <c r="M8" i="12"/>
  <c r="L8" i="12"/>
  <c r="J8" i="12"/>
  <c r="J10" i="12" s="1"/>
  <c r="I8" i="12"/>
  <c r="H8" i="12"/>
  <c r="BA7" i="12"/>
  <c r="AG7" i="12" s="1"/>
  <c r="AJ7" i="12"/>
  <c r="AI7" i="12"/>
  <c r="AH7" i="12"/>
  <c r="AF7" i="12"/>
  <c r="AE7" i="12"/>
  <c r="AD7" i="12"/>
  <c r="AZ7" i="12"/>
  <c r="K7" i="12" s="1"/>
  <c r="N7" i="12"/>
  <c r="M7" i="12"/>
  <c r="L7" i="12"/>
  <c r="J7" i="12"/>
  <c r="I7" i="12"/>
  <c r="H7" i="12"/>
  <c r="BA6" i="12"/>
  <c r="AG6" i="12" s="1"/>
  <c r="AJ6" i="12"/>
  <c r="AI6" i="12"/>
  <c r="AH6" i="12"/>
  <c r="AF6" i="12"/>
  <c r="AE6" i="12"/>
  <c r="AD6" i="12"/>
  <c r="AZ6" i="12"/>
  <c r="K6" i="12" s="1"/>
  <c r="N6" i="12"/>
  <c r="M6" i="12"/>
  <c r="L6" i="12"/>
  <c r="J6" i="12"/>
  <c r="I6" i="12"/>
  <c r="H6" i="12"/>
  <c r="BA5" i="12"/>
  <c r="AG5" i="12" s="1"/>
  <c r="AJ5" i="12"/>
  <c r="AI5" i="12"/>
  <c r="AH5" i="12"/>
  <c r="AF5" i="12"/>
  <c r="AE5" i="12"/>
  <c r="AD5" i="12"/>
  <c r="AZ5" i="12"/>
  <c r="K5" i="12" s="1"/>
  <c r="N5" i="12"/>
  <c r="M5" i="12"/>
  <c r="L5" i="12"/>
  <c r="J5" i="12"/>
  <c r="I5" i="12"/>
  <c r="H5" i="12"/>
  <c r="BA4" i="12"/>
  <c r="AJ4" i="12"/>
  <c r="AI4" i="12"/>
  <c r="AH4" i="12"/>
  <c r="AF4" i="12"/>
  <c r="AE4" i="12"/>
  <c r="AD4" i="12"/>
  <c r="AZ4" i="12"/>
  <c r="K4" i="12" s="1"/>
  <c r="N4" i="12"/>
  <c r="M4" i="12"/>
  <c r="L4" i="12"/>
  <c r="J4" i="12"/>
  <c r="I4" i="12"/>
  <c r="H4" i="12"/>
  <c r="AF14" i="11"/>
  <c r="AE14" i="11"/>
  <c r="AD14" i="11"/>
  <c r="AC14" i="11"/>
  <c r="S14" i="11"/>
  <c r="R14" i="11"/>
  <c r="Q14" i="11"/>
  <c r="P14" i="11"/>
  <c r="AF12" i="11"/>
  <c r="AE12" i="11"/>
  <c r="AD12" i="11"/>
  <c r="AC12" i="11"/>
  <c r="S12" i="11"/>
  <c r="AF13" i="11" s="1"/>
  <c r="R12" i="11"/>
  <c r="Q12" i="11"/>
  <c r="P12" i="11"/>
  <c r="X8" i="11"/>
  <c r="W8" i="11"/>
  <c r="V8" i="11"/>
  <c r="U8" i="11"/>
  <c r="K8" i="11"/>
  <c r="J8" i="11"/>
  <c r="J10" i="11" s="1"/>
  <c r="I8" i="11"/>
  <c r="H8" i="11"/>
  <c r="X7" i="11"/>
  <c r="W7" i="11"/>
  <c r="V7" i="11"/>
  <c r="U7" i="11"/>
  <c r="K7" i="11"/>
  <c r="J7" i="11"/>
  <c r="I7" i="11"/>
  <c r="H7" i="11"/>
  <c r="X6" i="11"/>
  <c r="W6" i="11"/>
  <c r="V6" i="11"/>
  <c r="U6" i="11"/>
  <c r="K6" i="11"/>
  <c r="J6" i="11"/>
  <c r="I6" i="11"/>
  <c r="H6" i="11"/>
  <c r="X5" i="11"/>
  <c r="W5" i="11"/>
  <c r="V5" i="11"/>
  <c r="U5" i="11"/>
  <c r="K5" i="11"/>
  <c r="J5" i="11"/>
  <c r="I5" i="11"/>
  <c r="H5" i="11"/>
  <c r="X4" i="11"/>
  <c r="W4" i="11"/>
  <c r="V4" i="11"/>
  <c r="U4" i="11"/>
  <c r="K4" i="11"/>
  <c r="J4" i="11"/>
  <c r="I4" i="11"/>
  <c r="H4" i="11"/>
  <c r="BA34" i="10"/>
  <c r="AZ34" i="10"/>
  <c r="AY34" i="10"/>
  <c r="AX34" i="10"/>
  <c r="AD34" i="10"/>
  <c r="AC34" i="10"/>
  <c r="AB34" i="10"/>
  <c r="AA34" i="10"/>
  <c r="BA32" i="10"/>
  <c r="AZ32" i="10"/>
  <c r="AY32" i="10"/>
  <c r="AX32" i="10"/>
  <c r="AD32" i="10"/>
  <c r="AC32" i="10"/>
  <c r="AB32" i="10"/>
  <c r="AA32" i="10"/>
  <c r="BE28" i="10"/>
  <c r="BD28" i="10"/>
  <c r="AH28" i="10" s="1"/>
  <c r="AK28" i="10"/>
  <c r="AJ28" i="10"/>
  <c r="AI28" i="10"/>
  <c r="AG28" i="10"/>
  <c r="AF28" i="10"/>
  <c r="BC28" i="10"/>
  <c r="K28" i="10" s="1"/>
  <c r="N28" i="10"/>
  <c r="M28" i="10"/>
  <c r="L28" i="10"/>
  <c r="J28" i="10"/>
  <c r="I28" i="10"/>
  <c r="BE27" i="10"/>
  <c r="BD27" i="10"/>
  <c r="AH27" i="10" s="1"/>
  <c r="AK27" i="10"/>
  <c r="AJ27" i="10"/>
  <c r="AI27" i="10"/>
  <c r="AG27" i="10"/>
  <c r="AF27" i="10"/>
  <c r="BC27" i="10"/>
  <c r="K27" i="10" s="1"/>
  <c r="N27" i="10"/>
  <c r="M27" i="10"/>
  <c r="L27" i="10"/>
  <c r="J27" i="10"/>
  <c r="I27" i="10"/>
  <c r="BE26" i="10"/>
  <c r="BD26" i="10"/>
  <c r="AH26" i="10" s="1"/>
  <c r="AK26" i="10"/>
  <c r="AJ26" i="10"/>
  <c r="AI26" i="10"/>
  <c r="AG26" i="10"/>
  <c r="AF26" i="10"/>
  <c r="BC26" i="10"/>
  <c r="K26" i="10" s="1"/>
  <c r="N26" i="10"/>
  <c r="M26" i="10"/>
  <c r="L26" i="10"/>
  <c r="J26" i="10"/>
  <c r="I26" i="10"/>
  <c r="BE25" i="10"/>
  <c r="BD25" i="10"/>
  <c r="AK25" i="10"/>
  <c r="AJ25" i="10"/>
  <c r="AI25" i="10"/>
  <c r="AG25" i="10"/>
  <c r="AF25" i="10"/>
  <c r="BC25" i="10"/>
  <c r="K25" i="10" s="1"/>
  <c r="N25" i="10"/>
  <c r="M25" i="10"/>
  <c r="L25" i="10"/>
  <c r="J25" i="10"/>
  <c r="I25" i="10"/>
  <c r="BE24" i="10"/>
  <c r="BD24" i="10"/>
  <c r="AK24" i="10"/>
  <c r="AJ24" i="10"/>
  <c r="AI24" i="10"/>
  <c r="AG24" i="10"/>
  <c r="AF24" i="10"/>
  <c r="BC24" i="10"/>
  <c r="K24" i="10" s="1"/>
  <c r="N24" i="10"/>
  <c r="M24" i="10"/>
  <c r="L24" i="10"/>
  <c r="J24" i="10"/>
  <c r="I24" i="10"/>
  <c r="BE23" i="10"/>
  <c r="BD23" i="10"/>
  <c r="AH23" i="10" s="1"/>
  <c r="AK23" i="10"/>
  <c r="AJ23" i="10"/>
  <c r="AI23" i="10"/>
  <c r="AG23" i="10"/>
  <c r="AF23" i="10"/>
  <c r="BC23" i="10"/>
  <c r="K23" i="10" s="1"/>
  <c r="N23" i="10"/>
  <c r="M23" i="10"/>
  <c r="L23" i="10"/>
  <c r="J23" i="10"/>
  <c r="I23" i="10"/>
  <c r="BE22" i="10"/>
  <c r="BD22" i="10"/>
  <c r="AK22" i="10"/>
  <c r="AJ22" i="10"/>
  <c r="AI22" i="10"/>
  <c r="AG22" i="10"/>
  <c r="AF22" i="10"/>
  <c r="BC22" i="10"/>
  <c r="K22" i="10" s="1"/>
  <c r="N22" i="10"/>
  <c r="M22" i="10"/>
  <c r="L22" i="10"/>
  <c r="J22" i="10"/>
  <c r="I22" i="10"/>
  <c r="BE21" i="10"/>
  <c r="BD21" i="10"/>
  <c r="AK21" i="10"/>
  <c r="AJ21" i="10"/>
  <c r="AI21" i="10"/>
  <c r="AG21" i="10"/>
  <c r="AF21" i="10"/>
  <c r="BC21" i="10"/>
  <c r="K21" i="10" s="1"/>
  <c r="N21" i="10"/>
  <c r="M21" i="10"/>
  <c r="L21" i="10"/>
  <c r="J21" i="10"/>
  <c r="I21" i="10"/>
  <c r="BE20" i="10"/>
  <c r="BD20" i="10"/>
  <c r="AH20" i="10" s="1"/>
  <c r="AK20" i="10"/>
  <c r="AJ20" i="10"/>
  <c r="AI20" i="10"/>
  <c r="AG20" i="10"/>
  <c r="AF20" i="10"/>
  <c r="BC20" i="10"/>
  <c r="K20" i="10" s="1"/>
  <c r="N20" i="10"/>
  <c r="M20" i="10"/>
  <c r="L20" i="10"/>
  <c r="J20" i="10"/>
  <c r="I20" i="10"/>
  <c r="BE19" i="10"/>
  <c r="BD19" i="10"/>
  <c r="AK19" i="10"/>
  <c r="AJ19" i="10"/>
  <c r="AI19" i="10"/>
  <c r="AG19" i="10"/>
  <c r="AF19" i="10"/>
  <c r="BC19" i="10"/>
  <c r="K19" i="10" s="1"/>
  <c r="N19" i="10"/>
  <c r="M19" i="10"/>
  <c r="L19" i="10"/>
  <c r="J19" i="10"/>
  <c r="I19" i="10"/>
  <c r="BE18" i="10"/>
  <c r="BD18" i="10"/>
  <c r="AH18" i="10" s="1"/>
  <c r="AK18" i="10"/>
  <c r="AJ18" i="10"/>
  <c r="AI18" i="10"/>
  <c r="AG18" i="10"/>
  <c r="AF18" i="10"/>
  <c r="BC18" i="10"/>
  <c r="K18" i="10" s="1"/>
  <c r="N18" i="10"/>
  <c r="M18" i="10"/>
  <c r="L18" i="10"/>
  <c r="J18" i="10"/>
  <c r="I18" i="10"/>
  <c r="BE17" i="10"/>
  <c r="BD17" i="10"/>
  <c r="AH17" i="10" s="1"/>
  <c r="AK17" i="10"/>
  <c r="AJ17" i="10"/>
  <c r="AI17" i="10"/>
  <c r="AG17" i="10"/>
  <c r="AF17" i="10"/>
  <c r="BC17" i="10"/>
  <c r="K17" i="10" s="1"/>
  <c r="N17" i="10"/>
  <c r="M17" i="10"/>
  <c r="L17" i="10"/>
  <c r="J17" i="10"/>
  <c r="I17" i="10"/>
  <c r="BE16" i="10"/>
  <c r="BD16" i="10"/>
  <c r="AH16" i="10" s="1"/>
  <c r="AK16" i="10"/>
  <c r="AJ16" i="10"/>
  <c r="AI16" i="10"/>
  <c r="AG16" i="10"/>
  <c r="AF16" i="10"/>
  <c r="BC16" i="10"/>
  <c r="K16" i="10" s="1"/>
  <c r="N16" i="10"/>
  <c r="M16" i="10"/>
  <c r="L16" i="10"/>
  <c r="J16" i="10"/>
  <c r="I16" i="10"/>
  <c r="BE15" i="10"/>
  <c r="BD15" i="10"/>
  <c r="AH15" i="10" s="1"/>
  <c r="AK15" i="10"/>
  <c r="AJ15" i="10"/>
  <c r="AI15" i="10"/>
  <c r="AG15" i="10"/>
  <c r="AF15" i="10"/>
  <c r="BC15" i="10"/>
  <c r="K15" i="10" s="1"/>
  <c r="N15" i="10"/>
  <c r="M15" i="10"/>
  <c r="L15" i="10"/>
  <c r="J15" i="10"/>
  <c r="I15" i="10"/>
  <c r="BE14" i="10"/>
  <c r="BD14" i="10"/>
  <c r="AH14" i="10" s="1"/>
  <c r="AK14" i="10"/>
  <c r="AJ14" i="10"/>
  <c r="AI14" i="10"/>
  <c r="AG14" i="10"/>
  <c r="AF14" i="10"/>
  <c r="BC14" i="10"/>
  <c r="K14" i="10" s="1"/>
  <c r="N14" i="10"/>
  <c r="M14" i="10"/>
  <c r="L14" i="10"/>
  <c r="J14" i="10"/>
  <c r="I14" i="10"/>
  <c r="BE13" i="10"/>
  <c r="BD13" i="10"/>
  <c r="AK13" i="10"/>
  <c r="AJ13" i="10"/>
  <c r="AI13" i="10"/>
  <c r="AG13" i="10"/>
  <c r="AF13" i="10"/>
  <c r="BC13" i="10"/>
  <c r="K13" i="10" s="1"/>
  <c r="N13" i="10"/>
  <c r="M13" i="10"/>
  <c r="L13" i="10"/>
  <c r="J13" i="10"/>
  <c r="I13" i="10"/>
  <c r="BE12" i="10"/>
  <c r="BD12" i="10"/>
  <c r="AK12" i="10"/>
  <c r="AJ12" i="10"/>
  <c r="AI12" i="10"/>
  <c r="AG12" i="10"/>
  <c r="AF12" i="10"/>
  <c r="BC12" i="10"/>
  <c r="K12" i="10" s="1"/>
  <c r="N12" i="10"/>
  <c r="M12" i="10"/>
  <c r="L12" i="10"/>
  <c r="J12" i="10"/>
  <c r="I12" i="10"/>
  <c r="BE11" i="10"/>
  <c r="BD11" i="10"/>
  <c r="AH11" i="10" s="1"/>
  <c r="AK11" i="10"/>
  <c r="AJ11" i="10"/>
  <c r="AI11" i="10"/>
  <c r="AG11" i="10"/>
  <c r="AF11" i="10"/>
  <c r="BC11" i="10"/>
  <c r="K11" i="10" s="1"/>
  <c r="N11" i="10"/>
  <c r="M11" i="10"/>
  <c r="L11" i="10"/>
  <c r="J11" i="10"/>
  <c r="I11" i="10"/>
  <c r="BE10" i="10"/>
  <c r="BD10" i="10"/>
  <c r="AH10" i="10" s="1"/>
  <c r="AK10" i="10"/>
  <c r="AJ10" i="10"/>
  <c r="AI10" i="10"/>
  <c r="AG10" i="10"/>
  <c r="AF10" i="10"/>
  <c r="BC10" i="10"/>
  <c r="K10" i="10" s="1"/>
  <c r="N10" i="10"/>
  <c r="M10" i="10"/>
  <c r="L10" i="10"/>
  <c r="J10" i="10"/>
  <c r="I10" i="10"/>
  <c r="BE9" i="10"/>
  <c r="BD9" i="10"/>
  <c r="AH9" i="10" s="1"/>
  <c r="AK9" i="10"/>
  <c r="AJ9" i="10"/>
  <c r="AI9" i="10"/>
  <c r="AG9" i="10"/>
  <c r="AF9" i="10"/>
  <c r="BC9" i="10"/>
  <c r="K9" i="10" s="1"/>
  <c r="N9" i="10"/>
  <c r="M9" i="10"/>
  <c r="L9" i="10"/>
  <c r="J9" i="10"/>
  <c r="I9" i="10"/>
  <c r="BE8" i="10"/>
  <c r="BD8" i="10"/>
  <c r="AH8" i="10" s="1"/>
  <c r="AK8" i="10"/>
  <c r="AJ8" i="10"/>
  <c r="AI8" i="10"/>
  <c r="AG8" i="10"/>
  <c r="AF8" i="10"/>
  <c r="BC8" i="10"/>
  <c r="N8" i="10"/>
  <c r="M8" i="10"/>
  <c r="L8" i="10"/>
  <c r="J8" i="10"/>
  <c r="I8" i="10"/>
  <c r="BE7" i="10"/>
  <c r="BD7" i="10"/>
  <c r="AH7" i="10" s="1"/>
  <c r="AK7" i="10"/>
  <c r="AJ7" i="10"/>
  <c r="AI7" i="10"/>
  <c r="AG7" i="10"/>
  <c r="AF7" i="10"/>
  <c r="BC7" i="10"/>
  <c r="N7" i="10"/>
  <c r="M7" i="10"/>
  <c r="L7" i="10"/>
  <c r="J7" i="10"/>
  <c r="I7" i="10"/>
  <c r="BE6" i="10"/>
  <c r="BD6" i="10"/>
  <c r="AH6" i="10" s="1"/>
  <c r="AK6" i="10"/>
  <c r="AJ6" i="10"/>
  <c r="AI6" i="10"/>
  <c r="AG6" i="10"/>
  <c r="AF6" i="10"/>
  <c r="BC6" i="10"/>
  <c r="N6" i="10"/>
  <c r="M6" i="10"/>
  <c r="L6" i="10"/>
  <c r="J6" i="10"/>
  <c r="I6" i="10"/>
  <c r="BE5" i="10"/>
  <c r="BD5" i="10"/>
  <c r="AH5" i="10" s="1"/>
  <c r="AK5" i="10"/>
  <c r="AJ5" i="10"/>
  <c r="AI5" i="10"/>
  <c r="AG5" i="10"/>
  <c r="AF5" i="10"/>
  <c r="BC5" i="10"/>
  <c r="N5" i="10"/>
  <c r="M5" i="10"/>
  <c r="L5" i="10"/>
  <c r="J5" i="10"/>
  <c r="I5" i="10"/>
  <c r="BE4" i="10"/>
  <c r="BD4" i="10"/>
  <c r="AH4" i="10" s="1"/>
  <c r="AK4" i="10"/>
  <c r="AJ4" i="10"/>
  <c r="AI4" i="10"/>
  <c r="AG4" i="10"/>
  <c r="AF4" i="10"/>
  <c r="BC4" i="10"/>
  <c r="K4" i="10" s="1"/>
  <c r="N4" i="10"/>
  <c r="M4" i="10"/>
  <c r="L4" i="10"/>
  <c r="J4" i="10"/>
  <c r="I4" i="10"/>
  <c r="BA34" i="9"/>
  <c r="AZ34" i="9"/>
  <c r="AY34" i="9"/>
  <c r="AX34" i="9"/>
  <c r="AD34" i="9"/>
  <c r="AC34" i="9"/>
  <c r="AB34" i="9"/>
  <c r="AA34" i="9"/>
  <c r="BA32" i="9"/>
  <c r="AZ32" i="9"/>
  <c r="AY32" i="9"/>
  <c r="AX32" i="9"/>
  <c r="AD32" i="9"/>
  <c r="AC32" i="9"/>
  <c r="AB32" i="9"/>
  <c r="AA32" i="9"/>
  <c r="BE28" i="9"/>
  <c r="BD28" i="9"/>
  <c r="AK28" i="9"/>
  <c r="AJ28" i="9"/>
  <c r="AI28" i="9"/>
  <c r="AG28" i="9"/>
  <c r="AF28" i="9"/>
  <c r="BC28" i="9"/>
  <c r="K28" i="9" s="1"/>
  <c r="N28" i="9"/>
  <c r="M28" i="9"/>
  <c r="L28" i="9"/>
  <c r="J28" i="9"/>
  <c r="I28" i="9"/>
  <c r="BE27" i="9"/>
  <c r="BD27" i="9"/>
  <c r="AH27" i="9" s="1"/>
  <c r="AK27" i="9"/>
  <c r="AJ27" i="9"/>
  <c r="AI27" i="9"/>
  <c r="AG27" i="9"/>
  <c r="AF27" i="9"/>
  <c r="BC27" i="9"/>
  <c r="K27" i="9" s="1"/>
  <c r="N27" i="9"/>
  <c r="M27" i="9"/>
  <c r="L27" i="9"/>
  <c r="J27" i="9"/>
  <c r="I27" i="9"/>
  <c r="BE26" i="9"/>
  <c r="BD26" i="9"/>
  <c r="AH26" i="9" s="1"/>
  <c r="AK26" i="9"/>
  <c r="AJ26" i="9"/>
  <c r="AI26" i="9"/>
  <c r="AG26" i="9"/>
  <c r="AF26" i="9"/>
  <c r="BC26" i="9"/>
  <c r="K26" i="9" s="1"/>
  <c r="N26" i="9"/>
  <c r="M26" i="9"/>
  <c r="L26" i="9"/>
  <c r="J26" i="9"/>
  <c r="I26" i="9"/>
  <c r="BE25" i="9"/>
  <c r="BD25" i="9"/>
  <c r="AH25" i="9" s="1"/>
  <c r="AK25" i="9"/>
  <c r="AJ25" i="9"/>
  <c r="AI25" i="9"/>
  <c r="AG25" i="9"/>
  <c r="AF25" i="9"/>
  <c r="BC25" i="9"/>
  <c r="K25" i="9" s="1"/>
  <c r="N25" i="9"/>
  <c r="M25" i="9"/>
  <c r="L25" i="9"/>
  <c r="J25" i="9"/>
  <c r="I25" i="9"/>
  <c r="BE24" i="9"/>
  <c r="BD24" i="9"/>
  <c r="AH24" i="9" s="1"/>
  <c r="AK24" i="9"/>
  <c r="AJ24" i="9"/>
  <c r="AI24" i="9"/>
  <c r="AG24" i="9"/>
  <c r="AF24" i="9"/>
  <c r="BC24" i="9"/>
  <c r="K24" i="9" s="1"/>
  <c r="N24" i="9"/>
  <c r="M24" i="9"/>
  <c r="L24" i="9"/>
  <c r="J24" i="9"/>
  <c r="I24" i="9"/>
  <c r="BE23" i="9"/>
  <c r="BD23" i="9"/>
  <c r="AK23" i="9"/>
  <c r="AJ23" i="9"/>
  <c r="AI23" i="9"/>
  <c r="AG23" i="9"/>
  <c r="AF23" i="9"/>
  <c r="BC23" i="9"/>
  <c r="K23" i="9" s="1"/>
  <c r="N23" i="9"/>
  <c r="M23" i="9"/>
  <c r="L23" i="9"/>
  <c r="J23" i="9"/>
  <c r="I23" i="9"/>
  <c r="BE22" i="9"/>
  <c r="BD22" i="9"/>
  <c r="AH22" i="9" s="1"/>
  <c r="AK22" i="9"/>
  <c r="AJ22" i="9"/>
  <c r="AI22" i="9"/>
  <c r="AG22" i="9"/>
  <c r="AF22" i="9"/>
  <c r="BC22" i="9"/>
  <c r="K22" i="9" s="1"/>
  <c r="N22" i="9"/>
  <c r="M22" i="9"/>
  <c r="L22" i="9"/>
  <c r="J22" i="9"/>
  <c r="I22" i="9"/>
  <c r="BE21" i="9"/>
  <c r="BD21" i="9"/>
  <c r="AH21" i="9" s="1"/>
  <c r="AK21" i="9"/>
  <c r="AJ21" i="9"/>
  <c r="AI21" i="9"/>
  <c r="AG21" i="9"/>
  <c r="AF21" i="9"/>
  <c r="BC21" i="9"/>
  <c r="K21" i="9" s="1"/>
  <c r="N21" i="9"/>
  <c r="M21" i="9"/>
  <c r="L21" i="9"/>
  <c r="J21" i="9"/>
  <c r="I21" i="9"/>
  <c r="BE20" i="9"/>
  <c r="BD20" i="9"/>
  <c r="AH20" i="9" s="1"/>
  <c r="AK20" i="9"/>
  <c r="AJ20" i="9"/>
  <c r="AI20" i="9"/>
  <c r="AG20" i="9"/>
  <c r="AF20" i="9"/>
  <c r="BC20" i="9"/>
  <c r="K20" i="9" s="1"/>
  <c r="N20" i="9"/>
  <c r="M20" i="9"/>
  <c r="L20" i="9"/>
  <c r="J20" i="9"/>
  <c r="I20" i="9"/>
  <c r="BE19" i="9"/>
  <c r="BD19" i="9"/>
  <c r="AH19" i="9" s="1"/>
  <c r="AK19" i="9"/>
  <c r="AJ19" i="9"/>
  <c r="AI19" i="9"/>
  <c r="AG19" i="9"/>
  <c r="AF19" i="9"/>
  <c r="BC19" i="9"/>
  <c r="K19" i="9" s="1"/>
  <c r="N19" i="9"/>
  <c r="M19" i="9"/>
  <c r="L19" i="9"/>
  <c r="J19" i="9"/>
  <c r="I19" i="9"/>
  <c r="BE18" i="9"/>
  <c r="BD18" i="9"/>
  <c r="AK18" i="9"/>
  <c r="AJ18" i="9"/>
  <c r="AI18" i="9"/>
  <c r="AG18" i="9"/>
  <c r="AF18" i="9"/>
  <c r="BC18" i="9"/>
  <c r="K18" i="9" s="1"/>
  <c r="N18" i="9"/>
  <c r="M18" i="9"/>
  <c r="L18" i="9"/>
  <c r="J18" i="9"/>
  <c r="I18" i="9"/>
  <c r="BE17" i="9"/>
  <c r="BD17" i="9"/>
  <c r="AH17" i="9" s="1"/>
  <c r="AK17" i="9"/>
  <c r="AJ17" i="9"/>
  <c r="AI17" i="9"/>
  <c r="AG17" i="9"/>
  <c r="AF17" i="9"/>
  <c r="BC17" i="9"/>
  <c r="K17" i="9" s="1"/>
  <c r="N17" i="9"/>
  <c r="M17" i="9"/>
  <c r="L17" i="9"/>
  <c r="J17" i="9"/>
  <c r="I17" i="9"/>
  <c r="BE16" i="9"/>
  <c r="BD16" i="9"/>
  <c r="AH16" i="9" s="1"/>
  <c r="AK16" i="9"/>
  <c r="AJ16" i="9"/>
  <c r="AI16" i="9"/>
  <c r="AG16" i="9"/>
  <c r="AF16" i="9"/>
  <c r="BC16" i="9"/>
  <c r="K16" i="9" s="1"/>
  <c r="N16" i="9"/>
  <c r="M16" i="9"/>
  <c r="L16" i="9"/>
  <c r="J16" i="9"/>
  <c r="I16" i="9"/>
  <c r="BE15" i="9"/>
  <c r="BD15" i="9"/>
  <c r="AK15" i="9"/>
  <c r="AJ15" i="9"/>
  <c r="AI15" i="9"/>
  <c r="AG15" i="9"/>
  <c r="AF15" i="9"/>
  <c r="BC15" i="9"/>
  <c r="K15" i="9" s="1"/>
  <c r="N15" i="9"/>
  <c r="M15" i="9"/>
  <c r="L15" i="9"/>
  <c r="J15" i="9"/>
  <c r="I15" i="9"/>
  <c r="BE14" i="9"/>
  <c r="BD14" i="9"/>
  <c r="AH14" i="9" s="1"/>
  <c r="AK14" i="9"/>
  <c r="AJ14" i="9"/>
  <c r="AI14" i="9"/>
  <c r="AG14" i="9"/>
  <c r="AF14" i="9"/>
  <c r="BC14" i="9"/>
  <c r="K14" i="9" s="1"/>
  <c r="N14" i="9"/>
  <c r="M14" i="9"/>
  <c r="L14" i="9"/>
  <c r="J14" i="9"/>
  <c r="I14" i="9"/>
  <c r="BE13" i="9"/>
  <c r="BD13" i="9"/>
  <c r="AH13" i="9" s="1"/>
  <c r="AK13" i="9"/>
  <c r="AJ13" i="9"/>
  <c r="AI13" i="9"/>
  <c r="AG13" i="9"/>
  <c r="AF13" i="9"/>
  <c r="BC13" i="9"/>
  <c r="K13" i="9" s="1"/>
  <c r="N13" i="9"/>
  <c r="M13" i="9"/>
  <c r="L13" i="9"/>
  <c r="J13" i="9"/>
  <c r="I13" i="9"/>
  <c r="BE12" i="9"/>
  <c r="BD12" i="9"/>
  <c r="AH12" i="9" s="1"/>
  <c r="AK12" i="9"/>
  <c r="AJ12" i="9"/>
  <c r="AI12" i="9"/>
  <c r="AG12" i="9"/>
  <c r="AF12" i="9"/>
  <c r="BC12" i="9"/>
  <c r="K12" i="9" s="1"/>
  <c r="N12" i="9"/>
  <c r="M12" i="9"/>
  <c r="L12" i="9"/>
  <c r="J12" i="9"/>
  <c r="I12" i="9"/>
  <c r="BE11" i="9"/>
  <c r="BD11" i="9"/>
  <c r="AH11" i="9" s="1"/>
  <c r="AK11" i="9"/>
  <c r="AJ11" i="9"/>
  <c r="AI11" i="9"/>
  <c r="AG11" i="9"/>
  <c r="AF11" i="9"/>
  <c r="BC11" i="9"/>
  <c r="K11" i="9" s="1"/>
  <c r="N11" i="9"/>
  <c r="M11" i="9"/>
  <c r="L11" i="9"/>
  <c r="J11" i="9"/>
  <c r="I11" i="9"/>
  <c r="BE10" i="9"/>
  <c r="BD10" i="9"/>
  <c r="AH10" i="9" s="1"/>
  <c r="AK10" i="9"/>
  <c r="AJ10" i="9"/>
  <c r="AI10" i="9"/>
  <c r="AG10" i="9"/>
  <c r="AF10" i="9"/>
  <c r="BC10" i="9"/>
  <c r="K10" i="9" s="1"/>
  <c r="N10" i="9"/>
  <c r="M10" i="9"/>
  <c r="L10" i="9"/>
  <c r="J10" i="9"/>
  <c r="I10" i="9"/>
  <c r="BE9" i="9"/>
  <c r="BD9" i="9"/>
  <c r="AH9" i="9" s="1"/>
  <c r="AK9" i="9"/>
  <c r="AJ9" i="9"/>
  <c r="AI9" i="9"/>
  <c r="AG9" i="9"/>
  <c r="AF9" i="9"/>
  <c r="BC9" i="9"/>
  <c r="K9" i="9" s="1"/>
  <c r="N9" i="9"/>
  <c r="M9" i="9"/>
  <c r="L9" i="9"/>
  <c r="J9" i="9"/>
  <c r="I9" i="9"/>
  <c r="BE8" i="9"/>
  <c r="BD8" i="9"/>
  <c r="AH8" i="9" s="1"/>
  <c r="AK8" i="9"/>
  <c r="AJ8" i="9"/>
  <c r="AI8" i="9"/>
  <c r="AG8" i="9"/>
  <c r="AF8" i="9"/>
  <c r="BC8" i="9"/>
  <c r="K8" i="9" s="1"/>
  <c r="N8" i="9"/>
  <c r="M8" i="9"/>
  <c r="L8" i="9"/>
  <c r="J8" i="9"/>
  <c r="I8" i="9"/>
  <c r="BE7" i="9"/>
  <c r="BD7" i="9"/>
  <c r="AK7" i="9"/>
  <c r="AJ7" i="9"/>
  <c r="AI7" i="9"/>
  <c r="AG7" i="9"/>
  <c r="AF7" i="9"/>
  <c r="BC7" i="9"/>
  <c r="K7" i="9" s="1"/>
  <c r="N7" i="9"/>
  <c r="M7" i="9"/>
  <c r="L7" i="9"/>
  <c r="J7" i="9"/>
  <c r="I7" i="9"/>
  <c r="BE6" i="9"/>
  <c r="BD6" i="9"/>
  <c r="AK6" i="9"/>
  <c r="AJ6" i="9"/>
  <c r="AI6" i="9"/>
  <c r="AG6" i="9"/>
  <c r="AF6" i="9"/>
  <c r="BC6" i="9"/>
  <c r="K6" i="9" s="1"/>
  <c r="N6" i="9"/>
  <c r="M6" i="9"/>
  <c r="L6" i="9"/>
  <c r="J6" i="9"/>
  <c r="I6" i="9"/>
  <c r="BE5" i="9"/>
  <c r="BD5" i="9"/>
  <c r="AK5" i="9"/>
  <c r="AJ5" i="9"/>
  <c r="AI5" i="9"/>
  <c r="AG5" i="9"/>
  <c r="AF5" i="9"/>
  <c r="BC5" i="9"/>
  <c r="K5" i="9" s="1"/>
  <c r="N5" i="9"/>
  <c r="M5" i="9"/>
  <c r="L5" i="9"/>
  <c r="J5" i="9"/>
  <c r="I5" i="9"/>
  <c r="BE4" i="9"/>
  <c r="BD4" i="9"/>
  <c r="AH4" i="9" s="1"/>
  <c r="AK4" i="9"/>
  <c r="AJ4" i="9"/>
  <c r="AI4" i="9"/>
  <c r="AG4" i="9"/>
  <c r="AF4" i="9"/>
  <c r="BC4" i="9"/>
  <c r="K4" i="9" s="1"/>
  <c r="N4" i="9"/>
  <c r="M4" i="9"/>
  <c r="L4" i="9"/>
  <c r="J4" i="9"/>
  <c r="I4" i="9"/>
  <c r="AX14" i="8"/>
  <c r="AW14" i="8"/>
  <c r="AV14" i="8"/>
  <c r="AU14" i="8"/>
  <c r="AB14" i="8"/>
  <c r="AA14" i="8"/>
  <c r="Z14" i="8"/>
  <c r="Y14" i="8"/>
  <c r="AX12" i="8"/>
  <c r="AW12" i="8"/>
  <c r="AV12" i="8"/>
  <c r="AU12" i="8"/>
  <c r="AB12" i="8"/>
  <c r="AA12" i="8"/>
  <c r="Z12" i="8"/>
  <c r="Y12" i="8"/>
  <c r="BA8" i="8"/>
  <c r="AJ8" i="8"/>
  <c r="AI8" i="8"/>
  <c r="AH8" i="8"/>
  <c r="AF8" i="8"/>
  <c r="AE8" i="8"/>
  <c r="AD8" i="8"/>
  <c r="AZ8" i="8"/>
  <c r="K8" i="8" s="1"/>
  <c r="N8" i="8"/>
  <c r="M8" i="8"/>
  <c r="L8" i="8"/>
  <c r="J8" i="8"/>
  <c r="J10" i="8" s="1"/>
  <c r="I8" i="8"/>
  <c r="H8" i="8"/>
  <c r="BA7" i="8"/>
  <c r="AG7" i="8" s="1"/>
  <c r="AJ7" i="8"/>
  <c r="AI7" i="8"/>
  <c r="AH7" i="8"/>
  <c r="AF7" i="8"/>
  <c r="AE7" i="8"/>
  <c r="AD7" i="8"/>
  <c r="AZ7" i="8"/>
  <c r="K7" i="8" s="1"/>
  <c r="N7" i="8"/>
  <c r="M7" i="8"/>
  <c r="L7" i="8"/>
  <c r="J7" i="8"/>
  <c r="I7" i="8"/>
  <c r="H7" i="8"/>
  <c r="BA6" i="8"/>
  <c r="AJ6" i="8"/>
  <c r="AI6" i="8"/>
  <c r="AH6" i="8"/>
  <c r="AF6" i="8"/>
  <c r="AE6" i="8"/>
  <c r="AD6" i="8"/>
  <c r="AZ6" i="8"/>
  <c r="K6" i="8" s="1"/>
  <c r="N6" i="8"/>
  <c r="M6" i="8"/>
  <c r="L6" i="8"/>
  <c r="J6" i="8"/>
  <c r="I6" i="8"/>
  <c r="H6" i="8"/>
  <c r="BA5" i="8"/>
  <c r="AG5" i="8" s="1"/>
  <c r="AJ5" i="8"/>
  <c r="AI5" i="8"/>
  <c r="AH5" i="8"/>
  <c r="AF5" i="8"/>
  <c r="AE5" i="8"/>
  <c r="AD5" i="8"/>
  <c r="AZ5" i="8"/>
  <c r="K5" i="8" s="1"/>
  <c r="N5" i="8"/>
  <c r="M5" i="8"/>
  <c r="L5" i="8"/>
  <c r="J5" i="8"/>
  <c r="I5" i="8"/>
  <c r="H5" i="8"/>
  <c r="BA4" i="8"/>
  <c r="AG4" i="8" s="1"/>
  <c r="AJ4" i="8"/>
  <c r="AI4" i="8"/>
  <c r="AH4" i="8"/>
  <c r="AF4" i="8"/>
  <c r="AE4" i="8"/>
  <c r="AD4" i="8"/>
  <c r="AZ4" i="8"/>
  <c r="K4" i="8" s="1"/>
  <c r="N4" i="8"/>
  <c r="M4" i="8"/>
  <c r="L4" i="8"/>
  <c r="J4" i="8"/>
  <c r="I4" i="8"/>
  <c r="H4" i="8"/>
  <c r="AF14" i="7"/>
  <c r="AE14" i="7"/>
  <c r="AD14" i="7"/>
  <c r="AC14" i="7"/>
  <c r="S14" i="7"/>
  <c r="R14" i="7"/>
  <c r="Q14" i="7"/>
  <c r="P14" i="7"/>
  <c r="AF12" i="7"/>
  <c r="AE12" i="7"/>
  <c r="AD12" i="7"/>
  <c r="AC12" i="7"/>
  <c r="S12" i="7"/>
  <c r="R12" i="7"/>
  <c r="Q12" i="7"/>
  <c r="P12" i="7"/>
  <c r="X8" i="7"/>
  <c r="W8" i="7"/>
  <c r="V8" i="7"/>
  <c r="U8" i="7"/>
  <c r="K8" i="7"/>
  <c r="J8" i="7"/>
  <c r="J10" i="7" s="1"/>
  <c r="I8" i="7"/>
  <c r="H8" i="7"/>
  <c r="X7" i="7"/>
  <c r="W7" i="7"/>
  <c r="V7" i="7"/>
  <c r="U7" i="7"/>
  <c r="K7" i="7"/>
  <c r="J7" i="7"/>
  <c r="I7" i="7"/>
  <c r="H7" i="7"/>
  <c r="X6" i="7"/>
  <c r="W6" i="7"/>
  <c r="V6" i="7"/>
  <c r="U6" i="7"/>
  <c r="K6" i="7"/>
  <c r="J6" i="7"/>
  <c r="I6" i="7"/>
  <c r="H6" i="7"/>
  <c r="X5" i="7"/>
  <c r="W5" i="7"/>
  <c r="V5" i="7"/>
  <c r="U5" i="7"/>
  <c r="K5" i="7"/>
  <c r="J5" i="7"/>
  <c r="I5" i="7"/>
  <c r="H5" i="7"/>
  <c r="X4" i="7"/>
  <c r="W4" i="7"/>
  <c r="V4" i="7"/>
  <c r="U4" i="7"/>
  <c r="K4" i="7"/>
  <c r="J4" i="7"/>
  <c r="I4" i="7"/>
  <c r="H4" i="7"/>
  <c r="AS232" i="6"/>
  <c r="AR232" i="6"/>
  <c r="Y232" i="6"/>
  <c r="X232" i="6"/>
  <c r="AS230" i="6"/>
  <c r="AR230" i="6"/>
  <c r="Y230" i="6"/>
  <c r="X230" i="6"/>
  <c r="AU225" i="6"/>
  <c r="AE225" i="6"/>
  <c r="AD225" i="6"/>
  <c r="AC225" i="6"/>
  <c r="AB225" i="6"/>
  <c r="AA225" i="6"/>
  <c r="K225" i="6"/>
  <c r="J225" i="6"/>
  <c r="I225" i="6"/>
  <c r="H225" i="6"/>
  <c r="G225" i="6"/>
  <c r="AU224" i="6"/>
  <c r="AE224" i="6"/>
  <c r="AD224" i="6"/>
  <c r="AC224" i="6"/>
  <c r="AB224" i="6"/>
  <c r="AA224" i="6"/>
  <c r="K224" i="6"/>
  <c r="J224" i="6"/>
  <c r="I224" i="6"/>
  <c r="H224" i="6"/>
  <c r="G224" i="6"/>
  <c r="AU223" i="6"/>
  <c r="AE223" i="6"/>
  <c r="AD223" i="6"/>
  <c r="AC223" i="6"/>
  <c r="AB223" i="6"/>
  <c r="AA223" i="6"/>
  <c r="K223" i="6"/>
  <c r="J223" i="6"/>
  <c r="I223" i="6"/>
  <c r="H223" i="6"/>
  <c r="G223" i="6"/>
  <c r="AU222" i="6"/>
  <c r="AE222" i="6"/>
  <c r="AD222" i="6"/>
  <c r="AC222" i="6"/>
  <c r="AB222" i="6"/>
  <c r="AA222" i="6"/>
  <c r="K222" i="6"/>
  <c r="J222" i="6"/>
  <c r="I222" i="6"/>
  <c r="H222" i="6"/>
  <c r="G222" i="6"/>
  <c r="AU221" i="6"/>
  <c r="AE221" i="6"/>
  <c r="AD221" i="6"/>
  <c r="AC221" i="6"/>
  <c r="AB221" i="6"/>
  <c r="AA221" i="6"/>
  <c r="K221" i="6"/>
  <c r="J221" i="6"/>
  <c r="I221" i="6"/>
  <c r="H221" i="6"/>
  <c r="G221" i="6"/>
  <c r="AV220" i="6" a="1"/>
  <c r="AV220" i="6" s="1"/>
  <c r="AU220" i="6"/>
  <c r="AE220" i="6"/>
  <c r="AD220" i="6"/>
  <c r="AC220" i="6"/>
  <c r="AB220" i="6"/>
  <c r="AA220" i="6"/>
  <c r="K220" i="6"/>
  <c r="J220" i="6"/>
  <c r="I220" i="6"/>
  <c r="H220" i="6"/>
  <c r="G220" i="6"/>
  <c r="AU219" i="6"/>
  <c r="AE219" i="6"/>
  <c r="AD219" i="6"/>
  <c r="AC219" i="6"/>
  <c r="AB219" i="6"/>
  <c r="AA219" i="6"/>
  <c r="K219" i="6"/>
  <c r="J219" i="6"/>
  <c r="I219" i="6"/>
  <c r="H219" i="6"/>
  <c r="G219" i="6"/>
  <c r="AU218" i="6"/>
  <c r="AE218" i="6"/>
  <c r="AD218" i="6"/>
  <c r="AC218" i="6"/>
  <c r="AB218" i="6"/>
  <c r="AA218" i="6"/>
  <c r="K218" i="6"/>
  <c r="J218" i="6"/>
  <c r="I218" i="6"/>
  <c r="H218" i="6"/>
  <c r="G218" i="6"/>
  <c r="AU217" i="6"/>
  <c r="AE217" i="6"/>
  <c r="AD217" i="6"/>
  <c r="AC217" i="6"/>
  <c r="AB217" i="6"/>
  <c r="AA217" i="6"/>
  <c r="K217" i="6"/>
  <c r="J217" i="6"/>
  <c r="I217" i="6"/>
  <c r="H217" i="6"/>
  <c r="G217" i="6"/>
  <c r="AU216" i="6"/>
  <c r="AE216" i="6"/>
  <c r="AD216" i="6"/>
  <c r="AC216" i="6"/>
  <c r="AB216" i="6"/>
  <c r="AA216" i="6"/>
  <c r="K216" i="6"/>
  <c r="J216" i="6"/>
  <c r="I216" i="6"/>
  <c r="H216" i="6"/>
  <c r="G216" i="6"/>
  <c r="AU215" i="6"/>
  <c r="AE215" i="6"/>
  <c r="AD215" i="6"/>
  <c r="AC215" i="6"/>
  <c r="AB215" i="6"/>
  <c r="AA215" i="6"/>
  <c r="K215" i="6"/>
  <c r="J215" i="6"/>
  <c r="I215" i="6"/>
  <c r="H215" i="6"/>
  <c r="G215" i="6"/>
  <c r="AV214" i="6" a="1"/>
  <c r="AV214" i="6" s="1"/>
  <c r="AU214" i="6"/>
  <c r="AE214" i="6"/>
  <c r="AD214" i="6"/>
  <c r="AC214" i="6"/>
  <c r="AB214" i="6"/>
  <c r="AA214" i="6"/>
  <c r="K214" i="6"/>
  <c r="J214" i="6"/>
  <c r="I214" i="6"/>
  <c r="H214" i="6"/>
  <c r="G214" i="6"/>
  <c r="AU213" i="6"/>
  <c r="AE213" i="6"/>
  <c r="AD213" i="6"/>
  <c r="AC213" i="6"/>
  <c r="AB213" i="6"/>
  <c r="AA213" i="6"/>
  <c r="K213" i="6"/>
  <c r="J213" i="6"/>
  <c r="I213" i="6"/>
  <c r="H213" i="6"/>
  <c r="G213" i="6"/>
  <c r="AU212" i="6"/>
  <c r="AE212" i="6"/>
  <c r="AD212" i="6"/>
  <c r="AC212" i="6"/>
  <c r="AB212" i="6"/>
  <c r="AA212" i="6"/>
  <c r="K212" i="6"/>
  <c r="J212" i="6"/>
  <c r="I212" i="6"/>
  <c r="H212" i="6"/>
  <c r="G212" i="6"/>
  <c r="AU211" i="6"/>
  <c r="AE211" i="6"/>
  <c r="AD211" i="6"/>
  <c r="AC211" i="6"/>
  <c r="AB211" i="6"/>
  <c r="AA211" i="6"/>
  <c r="K211" i="6"/>
  <c r="J211" i="6"/>
  <c r="I211" i="6"/>
  <c r="H211" i="6"/>
  <c r="G211" i="6"/>
  <c r="AU210" i="6"/>
  <c r="AE210" i="6"/>
  <c r="AD210" i="6"/>
  <c r="AC210" i="6"/>
  <c r="AB210" i="6"/>
  <c r="AA210" i="6"/>
  <c r="K210" i="6"/>
  <c r="J210" i="6"/>
  <c r="I210" i="6"/>
  <c r="H210" i="6"/>
  <c r="G210" i="6"/>
  <c r="AU209" i="6"/>
  <c r="AE209" i="6"/>
  <c r="AD209" i="6"/>
  <c r="AC209" i="6"/>
  <c r="AB209" i="6"/>
  <c r="AA209" i="6"/>
  <c r="K209" i="6"/>
  <c r="J209" i="6"/>
  <c r="I209" i="6"/>
  <c r="H209" i="6"/>
  <c r="G209" i="6"/>
  <c r="AV208" i="6" a="1"/>
  <c r="AV208" i="6" s="1"/>
  <c r="AU208" i="6"/>
  <c r="AE208" i="6"/>
  <c r="AD208" i="6"/>
  <c r="AC208" i="6"/>
  <c r="AB208" i="6"/>
  <c r="AA208" i="6"/>
  <c r="K208" i="6"/>
  <c r="J208" i="6"/>
  <c r="I208" i="6"/>
  <c r="H208" i="6"/>
  <c r="G208" i="6"/>
  <c r="AU207" i="6"/>
  <c r="AE207" i="6"/>
  <c r="AD207" i="6"/>
  <c r="AC207" i="6"/>
  <c r="AB207" i="6"/>
  <c r="AA207" i="6"/>
  <c r="K207" i="6"/>
  <c r="J207" i="6"/>
  <c r="I207" i="6"/>
  <c r="H207" i="6"/>
  <c r="G207" i="6"/>
  <c r="AU206" i="6"/>
  <c r="AE206" i="6"/>
  <c r="AD206" i="6"/>
  <c r="AC206" i="6"/>
  <c r="AB206" i="6"/>
  <c r="AA206" i="6"/>
  <c r="K206" i="6"/>
  <c r="J206" i="6"/>
  <c r="I206" i="6"/>
  <c r="H206" i="6"/>
  <c r="G206" i="6"/>
  <c r="AU205" i="6"/>
  <c r="AE205" i="6"/>
  <c r="AD205" i="6"/>
  <c r="AC205" i="6"/>
  <c r="AB205" i="6"/>
  <c r="AA205" i="6"/>
  <c r="K205" i="6"/>
  <c r="J205" i="6"/>
  <c r="I205" i="6"/>
  <c r="H205" i="6"/>
  <c r="G205" i="6"/>
  <c r="AU204" i="6"/>
  <c r="AE204" i="6"/>
  <c r="AD204" i="6"/>
  <c r="AC204" i="6"/>
  <c r="AB204" i="6"/>
  <c r="AA204" i="6"/>
  <c r="K204" i="6"/>
  <c r="J204" i="6"/>
  <c r="I204" i="6"/>
  <c r="H204" i="6"/>
  <c r="G204" i="6"/>
  <c r="AU203" i="6"/>
  <c r="AE203" i="6"/>
  <c r="AD203" i="6"/>
  <c r="AC203" i="6"/>
  <c r="AB203" i="6"/>
  <c r="AA203" i="6"/>
  <c r="K203" i="6"/>
  <c r="J203" i="6"/>
  <c r="I203" i="6"/>
  <c r="H203" i="6"/>
  <c r="G203" i="6"/>
  <c r="AV202" i="6" a="1"/>
  <c r="AV202" i="6" s="1"/>
  <c r="AU202" i="6"/>
  <c r="AE202" i="6"/>
  <c r="AD202" i="6"/>
  <c r="AC202" i="6"/>
  <c r="AB202" i="6"/>
  <c r="AA202" i="6"/>
  <c r="K202" i="6"/>
  <c r="J202" i="6"/>
  <c r="I202" i="6"/>
  <c r="H202" i="6"/>
  <c r="G202" i="6"/>
  <c r="AU201" i="6"/>
  <c r="AE201" i="6"/>
  <c r="AD201" i="6"/>
  <c r="AC201" i="6"/>
  <c r="AB201" i="6"/>
  <c r="AA201" i="6"/>
  <c r="K201" i="6"/>
  <c r="J201" i="6"/>
  <c r="I201" i="6"/>
  <c r="H201" i="6"/>
  <c r="G201" i="6"/>
  <c r="AU200" i="6"/>
  <c r="AE200" i="6"/>
  <c r="AD200" i="6"/>
  <c r="AC200" i="6"/>
  <c r="AB200" i="6"/>
  <c r="AA200" i="6"/>
  <c r="K200" i="6"/>
  <c r="J200" i="6"/>
  <c r="I200" i="6"/>
  <c r="H200" i="6"/>
  <c r="G200" i="6"/>
  <c r="AU199" i="6"/>
  <c r="AE199" i="6"/>
  <c r="AD199" i="6"/>
  <c r="AC199" i="6"/>
  <c r="AB199" i="6"/>
  <c r="AA199" i="6"/>
  <c r="K199" i="6"/>
  <c r="J199" i="6"/>
  <c r="I199" i="6"/>
  <c r="H199" i="6"/>
  <c r="G199" i="6"/>
  <c r="AU198" i="6"/>
  <c r="AE198" i="6"/>
  <c r="AD198" i="6"/>
  <c r="AC198" i="6"/>
  <c r="AB198" i="6"/>
  <c r="AA198" i="6"/>
  <c r="K198" i="6"/>
  <c r="J198" i="6"/>
  <c r="I198" i="6"/>
  <c r="H198" i="6"/>
  <c r="G198" i="6"/>
  <c r="AU197" i="6"/>
  <c r="AE197" i="6"/>
  <c r="AD197" i="6"/>
  <c r="AC197" i="6"/>
  <c r="AB197" i="6"/>
  <c r="AA197" i="6"/>
  <c r="K197" i="6"/>
  <c r="J197" i="6"/>
  <c r="I197" i="6"/>
  <c r="H197" i="6"/>
  <c r="G197" i="6"/>
  <c r="AV196" i="6" a="1"/>
  <c r="AV196" i="6" s="1"/>
  <c r="AU196" i="6"/>
  <c r="AE196" i="6"/>
  <c r="AD196" i="6"/>
  <c r="AC196" i="6"/>
  <c r="AB196" i="6"/>
  <c r="AA196" i="6"/>
  <c r="K196" i="6"/>
  <c r="J196" i="6"/>
  <c r="I196" i="6"/>
  <c r="H196" i="6"/>
  <c r="G196" i="6"/>
  <c r="AU195" i="6"/>
  <c r="AE195" i="6"/>
  <c r="AD195" i="6"/>
  <c r="AC195" i="6"/>
  <c r="AB195" i="6"/>
  <c r="AA195" i="6"/>
  <c r="K195" i="6"/>
  <c r="J195" i="6"/>
  <c r="I195" i="6"/>
  <c r="H195" i="6"/>
  <c r="G195" i="6"/>
  <c r="AU194" i="6"/>
  <c r="AE194" i="6"/>
  <c r="AD194" i="6"/>
  <c r="AC194" i="6"/>
  <c r="AB194" i="6"/>
  <c r="AA194" i="6"/>
  <c r="K194" i="6"/>
  <c r="J194" i="6"/>
  <c r="I194" i="6"/>
  <c r="H194" i="6"/>
  <c r="G194" i="6"/>
  <c r="AU193" i="6"/>
  <c r="AE193" i="6"/>
  <c r="AD193" i="6"/>
  <c r="AC193" i="6"/>
  <c r="AB193" i="6"/>
  <c r="AA193" i="6"/>
  <c r="K193" i="6"/>
  <c r="J193" i="6"/>
  <c r="I193" i="6"/>
  <c r="H193" i="6"/>
  <c r="G193" i="6"/>
  <c r="AU192" i="6"/>
  <c r="AE192" i="6"/>
  <c r="AD192" i="6"/>
  <c r="AC192" i="6"/>
  <c r="AB192" i="6"/>
  <c r="AA192" i="6"/>
  <c r="K192" i="6"/>
  <c r="J192" i="6"/>
  <c r="I192" i="6"/>
  <c r="H192" i="6"/>
  <c r="G192" i="6"/>
  <c r="AU191" i="6"/>
  <c r="AE191" i="6"/>
  <c r="AD191" i="6"/>
  <c r="AC191" i="6"/>
  <c r="AB191" i="6"/>
  <c r="AA191" i="6"/>
  <c r="K191" i="6"/>
  <c r="J191" i="6"/>
  <c r="I191" i="6"/>
  <c r="H191" i="6"/>
  <c r="G191" i="6"/>
  <c r="AV190" i="6" a="1"/>
  <c r="AV190" i="6" s="1"/>
  <c r="AU190" i="6"/>
  <c r="AE190" i="6"/>
  <c r="AD190" i="6"/>
  <c r="AC190" i="6"/>
  <c r="AB190" i="6"/>
  <c r="AA190" i="6"/>
  <c r="K190" i="6"/>
  <c r="J190" i="6"/>
  <c r="I190" i="6"/>
  <c r="H190" i="6"/>
  <c r="G190" i="6"/>
  <c r="AU189" i="6"/>
  <c r="AE189" i="6"/>
  <c r="AD189" i="6"/>
  <c r="AC189" i="6"/>
  <c r="AB189" i="6"/>
  <c r="AA189" i="6"/>
  <c r="K189" i="6"/>
  <c r="J189" i="6"/>
  <c r="I189" i="6"/>
  <c r="H189" i="6"/>
  <c r="G189" i="6"/>
  <c r="AU188" i="6"/>
  <c r="AE188" i="6"/>
  <c r="AD188" i="6"/>
  <c r="AC188" i="6"/>
  <c r="AB188" i="6"/>
  <c r="AA188" i="6"/>
  <c r="K188" i="6"/>
  <c r="J188" i="6"/>
  <c r="I188" i="6"/>
  <c r="H188" i="6"/>
  <c r="G188" i="6"/>
  <c r="AU187" i="6"/>
  <c r="AE187" i="6"/>
  <c r="AD187" i="6"/>
  <c r="AC187" i="6"/>
  <c r="AB187" i="6"/>
  <c r="AA187" i="6"/>
  <c r="K187" i="6"/>
  <c r="J187" i="6"/>
  <c r="I187" i="6"/>
  <c r="H187" i="6"/>
  <c r="G187" i="6"/>
  <c r="AU186" i="6"/>
  <c r="AE186" i="6"/>
  <c r="AD186" i="6"/>
  <c r="AC186" i="6"/>
  <c r="AB186" i="6"/>
  <c r="AA186" i="6"/>
  <c r="K186" i="6"/>
  <c r="J186" i="6"/>
  <c r="I186" i="6"/>
  <c r="H186" i="6"/>
  <c r="G186" i="6"/>
  <c r="AU185" i="6"/>
  <c r="AE185" i="6"/>
  <c r="AD185" i="6"/>
  <c r="AC185" i="6"/>
  <c r="AB185" i="6"/>
  <c r="AA185" i="6"/>
  <c r="K185" i="6"/>
  <c r="J185" i="6"/>
  <c r="I185" i="6"/>
  <c r="H185" i="6"/>
  <c r="G185" i="6"/>
  <c r="AV184" i="6" a="1"/>
  <c r="AV184" i="6" s="1"/>
  <c r="AU184" i="6"/>
  <c r="AE184" i="6"/>
  <c r="AD184" i="6"/>
  <c r="AC184" i="6"/>
  <c r="AB184" i="6"/>
  <c r="AA184" i="6"/>
  <c r="K184" i="6"/>
  <c r="J184" i="6"/>
  <c r="I184" i="6"/>
  <c r="H184" i="6"/>
  <c r="G184" i="6"/>
  <c r="AU183" i="6"/>
  <c r="AE183" i="6"/>
  <c r="AD183" i="6"/>
  <c r="AC183" i="6"/>
  <c r="AB183" i="6"/>
  <c r="AA183" i="6"/>
  <c r="K183" i="6"/>
  <c r="J183" i="6"/>
  <c r="I183" i="6"/>
  <c r="H183" i="6"/>
  <c r="G183" i="6"/>
  <c r="AU182" i="6"/>
  <c r="AE182" i="6"/>
  <c r="AD182" i="6"/>
  <c r="AC182" i="6"/>
  <c r="AB182" i="6"/>
  <c r="AA182" i="6"/>
  <c r="K182" i="6"/>
  <c r="J182" i="6"/>
  <c r="I182" i="6"/>
  <c r="H182" i="6"/>
  <c r="G182" i="6"/>
  <c r="AU181" i="6"/>
  <c r="AE181" i="6"/>
  <c r="AD181" i="6"/>
  <c r="AC181" i="6"/>
  <c r="AB181" i="6"/>
  <c r="AA181" i="6"/>
  <c r="K181" i="6"/>
  <c r="J181" i="6"/>
  <c r="I181" i="6"/>
  <c r="H181" i="6"/>
  <c r="G181" i="6"/>
  <c r="AU180" i="6"/>
  <c r="AE180" i="6"/>
  <c r="AD180" i="6"/>
  <c r="AC180" i="6"/>
  <c r="AB180" i="6"/>
  <c r="AA180" i="6"/>
  <c r="K180" i="6"/>
  <c r="J180" i="6"/>
  <c r="I180" i="6"/>
  <c r="H180" i="6"/>
  <c r="G180" i="6"/>
  <c r="AU179" i="6"/>
  <c r="AE179" i="6"/>
  <c r="AD179" i="6"/>
  <c r="AC179" i="6"/>
  <c r="AB179" i="6"/>
  <c r="AA179" i="6"/>
  <c r="K179" i="6"/>
  <c r="J179" i="6"/>
  <c r="I179" i="6"/>
  <c r="H179" i="6"/>
  <c r="G179" i="6"/>
  <c r="AV178" i="6" a="1"/>
  <c r="AV178" i="6" s="1"/>
  <c r="AV228" i="6" s="1"/>
  <c r="AU178" i="6"/>
  <c r="AE178" i="6"/>
  <c r="AD178" i="6"/>
  <c r="AC178" i="6"/>
  <c r="AB178" i="6"/>
  <c r="AA178" i="6"/>
  <c r="K178" i="6"/>
  <c r="J178" i="6"/>
  <c r="I178" i="6"/>
  <c r="H178" i="6"/>
  <c r="G178" i="6"/>
  <c r="AU177" i="6"/>
  <c r="AE177" i="6"/>
  <c r="AD177" i="6"/>
  <c r="AC177" i="6"/>
  <c r="AB177" i="6"/>
  <c r="AA177" i="6"/>
  <c r="K177" i="6"/>
  <c r="J177" i="6"/>
  <c r="I177" i="6"/>
  <c r="H177" i="6"/>
  <c r="G177" i="6"/>
  <c r="AU176" i="6"/>
  <c r="AE176" i="6"/>
  <c r="AD176" i="6"/>
  <c r="AC176" i="6"/>
  <c r="AB176" i="6"/>
  <c r="AA176" i="6"/>
  <c r="K176" i="6"/>
  <c r="J176" i="6"/>
  <c r="I176" i="6"/>
  <c r="H176" i="6"/>
  <c r="G176" i="6"/>
  <c r="AU175" i="6"/>
  <c r="AE175" i="6"/>
  <c r="AD175" i="6"/>
  <c r="AC175" i="6"/>
  <c r="AB175" i="6"/>
  <c r="AA175" i="6"/>
  <c r="K175" i="6"/>
  <c r="J175" i="6"/>
  <c r="I175" i="6"/>
  <c r="H175" i="6"/>
  <c r="G175" i="6"/>
  <c r="AU174" i="6"/>
  <c r="AE174" i="6"/>
  <c r="AD174" i="6"/>
  <c r="AC174" i="6"/>
  <c r="AB174" i="6"/>
  <c r="AA174" i="6"/>
  <c r="K174" i="6"/>
  <c r="J174" i="6"/>
  <c r="I174" i="6"/>
  <c r="H174" i="6"/>
  <c r="G174" i="6"/>
  <c r="AU173" i="6"/>
  <c r="AE173" i="6"/>
  <c r="AD173" i="6"/>
  <c r="AC173" i="6"/>
  <c r="AB173" i="6"/>
  <c r="AA173" i="6"/>
  <c r="K173" i="6"/>
  <c r="J173" i="6"/>
  <c r="I173" i="6"/>
  <c r="H173" i="6"/>
  <c r="G173" i="6"/>
  <c r="AV172" i="6" a="1"/>
  <c r="AV172" i="6" s="1"/>
  <c r="AU172" i="6"/>
  <c r="AE172" i="6"/>
  <c r="AD172" i="6"/>
  <c r="AC172" i="6"/>
  <c r="AB172" i="6"/>
  <c r="AA172" i="6"/>
  <c r="K172" i="6"/>
  <c r="J172" i="6"/>
  <c r="I172" i="6"/>
  <c r="H172" i="6"/>
  <c r="G172" i="6"/>
  <c r="AU171" i="6"/>
  <c r="AE171" i="6"/>
  <c r="AD171" i="6"/>
  <c r="AC171" i="6"/>
  <c r="AB171" i="6"/>
  <c r="AA171" i="6"/>
  <c r="K171" i="6"/>
  <c r="J171" i="6"/>
  <c r="I171" i="6"/>
  <c r="H171" i="6"/>
  <c r="G171" i="6"/>
  <c r="AU170" i="6"/>
  <c r="AE170" i="6"/>
  <c r="AD170" i="6"/>
  <c r="AC170" i="6"/>
  <c r="AB170" i="6"/>
  <c r="AA170" i="6"/>
  <c r="K170" i="6"/>
  <c r="J170" i="6"/>
  <c r="I170" i="6"/>
  <c r="H170" i="6"/>
  <c r="G170" i="6"/>
  <c r="AU169" i="6"/>
  <c r="AE169" i="6"/>
  <c r="AD169" i="6"/>
  <c r="AC169" i="6"/>
  <c r="AB169" i="6"/>
  <c r="AA169" i="6"/>
  <c r="K169" i="6"/>
  <c r="J169" i="6"/>
  <c r="I169" i="6"/>
  <c r="H169" i="6"/>
  <c r="G169" i="6"/>
  <c r="AU168" i="6"/>
  <c r="AE168" i="6"/>
  <c r="AD168" i="6"/>
  <c r="AC168" i="6"/>
  <c r="AB168" i="6"/>
  <c r="AA168" i="6"/>
  <c r="K168" i="6"/>
  <c r="J168" i="6"/>
  <c r="I168" i="6"/>
  <c r="H168" i="6"/>
  <c r="G168" i="6"/>
  <c r="AU167" i="6"/>
  <c r="AE167" i="6"/>
  <c r="AD167" i="6"/>
  <c r="AC167" i="6"/>
  <c r="AB167" i="6"/>
  <c r="AA167" i="6"/>
  <c r="K167" i="6"/>
  <c r="J167" i="6"/>
  <c r="I167" i="6"/>
  <c r="H167" i="6"/>
  <c r="G167" i="6"/>
  <c r="AV166" i="6" a="1"/>
  <c r="AV166" i="6" s="1"/>
  <c r="AU166" i="6"/>
  <c r="AE166" i="6"/>
  <c r="AD166" i="6"/>
  <c r="AC166" i="6"/>
  <c r="AB166" i="6"/>
  <c r="AA166" i="6"/>
  <c r="K166" i="6"/>
  <c r="J166" i="6"/>
  <c r="I166" i="6"/>
  <c r="H166" i="6"/>
  <c r="G166" i="6"/>
  <c r="AU165" i="6"/>
  <c r="AE165" i="6"/>
  <c r="AD165" i="6"/>
  <c r="AC165" i="6"/>
  <c r="AB165" i="6"/>
  <c r="AA165" i="6"/>
  <c r="K165" i="6"/>
  <c r="J165" i="6"/>
  <c r="I165" i="6"/>
  <c r="H165" i="6"/>
  <c r="G165" i="6"/>
  <c r="AU164" i="6"/>
  <c r="AE164" i="6"/>
  <c r="AD164" i="6"/>
  <c r="AC164" i="6"/>
  <c r="AB164" i="6"/>
  <c r="AA164" i="6"/>
  <c r="K164" i="6"/>
  <c r="J164" i="6"/>
  <c r="I164" i="6"/>
  <c r="H164" i="6"/>
  <c r="G164" i="6"/>
  <c r="AU163" i="6"/>
  <c r="AE163" i="6"/>
  <c r="AD163" i="6"/>
  <c r="AC163" i="6"/>
  <c r="AB163" i="6"/>
  <c r="AA163" i="6"/>
  <c r="K163" i="6"/>
  <c r="J163" i="6"/>
  <c r="I163" i="6"/>
  <c r="H163" i="6"/>
  <c r="G163" i="6"/>
  <c r="AU162" i="6"/>
  <c r="AE162" i="6"/>
  <c r="AD162" i="6"/>
  <c r="AC162" i="6"/>
  <c r="AB162" i="6"/>
  <c r="AA162" i="6"/>
  <c r="K162" i="6"/>
  <c r="J162" i="6"/>
  <c r="I162" i="6"/>
  <c r="H162" i="6"/>
  <c r="G162" i="6"/>
  <c r="AU161" i="6"/>
  <c r="AE161" i="6"/>
  <c r="AD161" i="6"/>
  <c r="AC161" i="6"/>
  <c r="AB161" i="6"/>
  <c r="AA161" i="6"/>
  <c r="K161" i="6"/>
  <c r="J161" i="6"/>
  <c r="I161" i="6"/>
  <c r="H161" i="6"/>
  <c r="G161" i="6"/>
  <c r="AV160" i="6" a="1"/>
  <c r="AV160" i="6" s="1"/>
  <c r="AU160" i="6"/>
  <c r="AE160" i="6"/>
  <c r="AD160" i="6"/>
  <c r="AC160" i="6"/>
  <c r="AB160" i="6"/>
  <c r="AA160" i="6"/>
  <c r="K160" i="6"/>
  <c r="J160" i="6"/>
  <c r="I160" i="6"/>
  <c r="H160" i="6"/>
  <c r="G160" i="6"/>
  <c r="AU159" i="6"/>
  <c r="AE159" i="6"/>
  <c r="AD159" i="6"/>
  <c r="AC159" i="6"/>
  <c r="AB159" i="6"/>
  <c r="AA159" i="6"/>
  <c r="K159" i="6"/>
  <c r="J159" i="6"/>
  <c r="I159" i="6"/>
  <c r="H159" i="6"/>
  <c r="G159" i="6"/>
  <c r="AU158" i="6"/>
  <c r="AE158" i="6"/>
  <c r="AD158" i="6"/>
  <c r="AC158" i="6"/>
  <c r="AB158" i="6"/>
  <c r="AA158" i="6"/>
  <c r="K158" i="6"/>
  <c r="J158" i="6"/>
  <c r="I158" i="6"/>
  <c r="H158" i="6"/>
  <c r="G158" i="6"/>
  <c r="AU157" i="6"/>
  <c r="AE157" i="6"/>
  <c r="AD157" i="6"/>
  <c r="AC157" i="6"/>
  <c r="AB157" i="6"/>
  <c r="AA157" i="6"/>
  <c r="K157" i="6"/>
  <c r="J157" i="6"/>
  <c r="I157" i="6"/>
  <c r="H157" i="6"/>
  <c r="G157" i="6"/>
  <c r="AU156" i="6"/>
  <c r="AE156" i="6"/>
  <c r="AD156" i="6"/>
  <c r="AC156" i="6"/>
  <c r="AB156" i="6"/>
  <c r="AA156" i="6"/>
  <c r="K156" i="6"/>
  <c r="J156" i="6"/>
  <c r="I156" i="6"/>
  <c r="H156" i="6"/>
  <c r="G156" i="6"/>
  <c r="AU155" i="6"/>
  <c r="AE155" i="6"/>
  <c r="AD155" i="6"/>
  <c r="AC155" i="6"/>
  <c r="AB155" i="6"/>
  <c r="AA155" i="6"/>
  <c r="K155" i="6"/>
  <c r="J155" i="6"/>
  <c r="I155" i="6"/>
  <c r="H155" i="6"/>
  <c r="G155" i="6"/>
  <c r="AV154" i="6" a="1"/>
  <c r="AV154" i="6" s="1"/>
  <c r="AU154" i="6"/>
  <c r="AE154" i="6"/>
  <c r="AD154" i="6"/>
  <c r="AC154" i="6"/>
  <c r="AB154" i="6"/>
  <c r="AA154" i="6"/>
  <c r="K154" i="6"/>
  <c r="J154" i="6"/>
  <c r="I154" i="6"/>
  <c r="H154" i="6"/>
  <c r="G154" i="6"/>
  <c r="AU153" i="6"/>
  <c r="AE153" i="6"/>
  <c r="AD153" i="6"/>
  <c r="AC153" i="6"/>
  <c r="AB153" i="6"/>
  <c r="AA153" i="6"/>
  <c r="K153" i="6"/>
  <c r="J153" i="6"/>
  <c r="I153" i="6"/>
  <c r="H153" i="6"/>
  <c r="G153" i="6"/>
  <c r="AU152" i="6"/>
  <c r="AE152" i="6"/>
  <c r="AD152" i="6"/>
  <c r="AC152" i="6"/>
  <c r="AB152" i="6"/>
  <c r="AA152" i="6"/>
  <c r="K152" i="6"/>
  <c r="J152" i="6"/>
  <c r="I152" i="6"/>
  <c r="H152" i="6"/>
  <c r="G152" i="6"/>
  <c r="AU151" i="6"/>
  <c r="AE151" i="6"/>
  <c r="AD151" i="6"/>
  <c r="AC151" i="6"/>
  <c r="AB151" i="6"/>
  <c r="AA151" i="6"/>
  <c r="K151" i="6"/>
  <c r="J151" i="6"/>
  <c r="I151" i="6"/>
  <c r="H151" i="6"/>
  <c r="G151" i="6"/>
  <c r="AU150" i="6"/>
  <c r="AE150" i="6"/>
  <c r="AD150" i="6"/>
  <c r="AC150" i="6"/>
  <c r="AB150" i="6"/>
  <c r="AA150" i="6"/>
  <c r="K150" i="6"/>
  <c r="J150" i="6"/>
  <c r="I150" i="6"/>
  <c r="H150" i="6"/>
  <c r="G150" i="6"/>
  <c r="AU149" i="6"/>
  <c r="AE149" i="6"/>
  <c r="AD149" i="6"/>
  <c r="AC149" i="6"/>
  <c r="AB149" i="6"/>
  <c r="AA149" i="6"/>
  <c r="K149" i="6"/>
  <c r="J149" i="6"/>
  <c r="I149" i="6"/>
  <c r="H149" i="6"/>
  <c r="G149" i="6"/>
  <c r="AV148" i="6" a="1"/>
  <c r="AV148" i="6" s="1"/>
  <c r="AU148" i="6"/>
  <c r="AE148" i="6"/>
  <c r="AD148" i="6"/>
  <c r="AC148" i="6"/>
  <c r="AB148" i="6"/>
  <c r="AA148" i="6"/>
  <c r="K148" i="6"/>
  <c r="J148" i="6"/>
  <c r="I148" i="6"/>
  <c r="H148" i="6"/>
  <c r="G148" i="6"/>
  <c r="AU147" i="6"/>
  <c r="AE147" i="6"/>
  <c r="AD147" i="6"/>
  <c r="AC147" i="6"/>
  <c r="AB147" i="6"/>
  <c r="AA147" i="6"/>
  <c r="K147" i="6"/>
  <c r="J147" i="6"/>
  <c r="I147" i="6"/>
  <c r="H147" i="6"/>
  <c r="G147" i="6"/>
  <c r="AU146" i="6"/>
  <c r="AE146" i="6"/>
  <c r="AD146" i="6"/>
  <c r="AC146" i="6"/>
  <c r="AB146" i="6"/>
  <c r="AA146" i="6"/>
  <c r="K146" i="6"/>
  <c r="J146" i="6"/>
  <c r="I146" i="6"/>
  <c r="H146" i="6"/>
  <c r="G146" i="6"/>
  <c r="AU145" i="6"/>
  <c r="AE145" i="6"/>
  <c r="AD145" i="6"/>
  <c r="AC145" i="6"/>
  <c r="AB145" i="6"/>
  <c r="AA145" i="6"/>
  <c r="K145" i="6"/>
  <c r="J145" i="6"/>
  <c r="I145" i="6"/>
  <c r="H145" i="6"/>
  <c r="G145" i="6"/>
  <c r="AU144" i="6"/>
  <c r="AE144" i="6"/>
  <c r="AD144" i="6"/>
  <c r="AC144" i="6"/>
  <c r="AB144" i="6"/>
  <c r="AA144" i="6"/>
  <c r="K144" i="6"/>
  <c r="J144" i="6"/>
  <c r="I144" i="6"/>
  <c r="H144" i="6"/>
  <c r="G144" i="6"/>
  <c r="AU143" i="6"/>
  <c r="AE143" i="6"/>
  <c r="AD143" i="6"/>
  <c r="AC143" i="6"/>
  <c r="AB143" i="6"/>
  <c r="AA143" i="6"/>
  <c r="K143" i="6"/>
  <c r="J143" i="6"/>
  <c r="I143" i="6"/>
  <c r="H143" i="6"/>
  <c r="G143" i="6"/>
  <c r="AV142" i="6" a="1"/>
  <c r="AV142" i="6" s="1"/>
  <c r="AU142" i="6"/>
  <c r="AE142" i="6"/>
  <c r="AD142" i="6"/>
  <c r="AC142" i="6"/>
  <c r="AB142" i="6"/>
  <c r="AA142" i="6"/>
  <c r="K142" i="6"/>
  <c r="J142" i="6"/>
  <c r="I142" i="6"/>
  <c r="H142" i="6"/>
  <c r="G142" i="6"/>
  <c r="AU141" i="6"/>
  <c r="AE141" i="6"/>
  <c r="AD141" i="6"/>
  <c r="AC141" i="6"/>
  <c r="AB141" i="6"/>
  <c r="AA141" i="6"/>
  <c r="K141" i="6"/>
  <c r="J141" i="6"/>
  <c r="I141" i="6"/>
  <c r="H141" i="6"/>
  <c r="G141" i="6"/>
  <c r="AU140" i="6"/>
  <c r="AE140" i="6"/>
  <c r="AD140" i="6"/>
  <c r="AC140" i="6"/>
  <c r="AB140" i="6"/>
  <c r="AA140" i="6"/>
  <c r="K140" i="6"/>
  <c r="J140" i="6"/>
  <c r="I140" i="6"/>
  <c r="H140" i="6"/>
  <c r="G140" i="6"/>
  <c r="AU139" i="6"/>
  <c r="AE139" i="6"/>
  <c r="AD139" i="6"/>
  <c r="AC139" i="6"/>
  <c r="AB139" i="6"/>
  <c r="AA139" i="6"/>
  <c r="K139" i="6"/>
  <c r="J139" i="6"/>
  <c r="I139" i="6"/>
  <c r="H139" i="6"/>
  <c r="G139" i="6"/>
  <c r="AU138" i="6"/>
  <c r="AE138" i="6"/>
  <c r="AD138" i="6"/>
  <c r="AC138" i="6"/>
  <c r="AB138" i="6"/>
  <c r="AA138" i="6"/>
  <c r="K138" i="6"/>
  <c r="J138" i="6"/>
  <c r="I138" i="6"/>
  <c r="H138" i="6"/>
  <c r="G138" i="6"/>
  <c r="AU137" i="6"/>
  <c r="AE137" i="6"/>
  <c r="AD137" i="6"/>
  <c r="AC137" i="6"/>
  <c r="AB137" i="6"/>
  <c r="AA137" i="6"/>
  <c r="K137" i="6"/>
  <c r="J137" i="6"/>
  <c r="I137" i="6"/>
  <c r="H137" i="6"/>
  <c r="G137" i="6"/>
  <c r="AV136" i="6" a="1"/>
  <c r="AV136" i="6" s="1"/>
  <c r="AU136" i="6"/>
  <c r="AE136" i="6"/>
  <c r="AD136" i="6"/>
  <c r="AC136" i="6"/>
  <c r="AB136" i="6"/>
  <c r="AA136" i="6"/>
  <c r="K136" i="6"/>
  <c r="J136" i="6"/>
  <c r="I136" i="6"/>
  <c r="H136" i="6"/>
  <c r="G136" i="6"/>
  <c r="AU135" i="6"/>
  <c r="AE135" i="6"/>
  <c r="AD135" i="6"/>
  <c r="AC135" i="6"/>
  <c r="AB135" i="6"/>
  <c r="AA135" i="6"/>
  <c r="K135" i="6"/>
  <c r="J135" i="6"/>
  <c r="I135" i="6"/>
  <c r="H135" i="6"/>
  <c r="G135" i="6"/>
  <c r="AU134" i="6"/>
  <c r="AE134" i="6"/>
  <c r="AD134" i="6"/>
  <c r="AC134" i="6"/>
  <c r="AB134" i="6"/>
  <c r="AA134" i="6"/>
  <c r="K134" i="6"/>
  <c r="J134" i="6"/>
  <c r="I134" i="6"/>
  <c r="H134" i="6"/>
  <c r="G134" i="6"/>
  <c r="AU133" i="6"/>
  <c r="AE133" i="6"/>
  <c r="AD133" i="6"/>
  <c r="AC133" i="6"/>
  <c r="AB133" i="6"/>
  <c r="AA133" i="6"/>
  <c r="K133" i="6"/>
  <c r="J133" i="6"/>
  <c r="I133" i="6"/>
  <c r="H133" i="6"/>
  <c r="G133" i="6"/>
  <c r="AU132" i="6"/>
  <c r="AE132" i="6"/>
  <c r="AD132" i="6"/>
  <c r="AC132" i="6"/>
  <c r="AB132" i="6"/>
  <c r="AA132" i="6"/>
  <c r="K132" i="6"/>
  <c r="J132" i="6"/>
  <c r="I132" i="6"/>
  <c r="H132" i="6"/>
  <c r="G132" i="6"/>
  <c r="AU131" i="6"/>
  <c r="AE131" i="6"/>
  <c r="AD131" i="6"/>
  <c r="AC131" i="6"/>
  <c r="AB131" i="6"/>
  <c r="AA131" i="6"/>
  <c r="K131" i="6"/>
  <c r="J131" i="6"/>
  <c r="I131" i="6"/>
  <c r="H131" i="6"/>
  <c r="G131" i="6"/>
  <c r="AV130" i="6" a="1"/>
  <c r="AV130" i="6" s="1"/>
  <c r="AU130" i="6"/>
  <c r="AE130" i="6"/>
  <c r="AD130" i="6"/>
  <c r="AC130" i="6"/>
  <c r="AB130" i="6"/>
  <c r="AA130" i="6"/>
  <c r="K130" i="6"/>
  <c r="J130" i="6"/>
  <c r="I130" i="6"/>
  <c r="H130" i="6"/>
  <c r="G130" i="6"/>
  <c r="AU129" i="6"/>
  <c r="AE129" i="6"/>
  <c r="AD129" i="6"/>
  <c r="AC129" i="6"/>
  <c r="AB129" i="6"/>
  <c r="AA129" i="6"/>
  <c r="K129" i="6"/>
  <c r="J129" i="6"/>
  <c r="I129" i="6"/>
  <c r="H129" i="6"/>
  <c r="G129" i="6"/>
  <c r="AU128" i="6"/>
  <c r="AE128" i="6"/>
  <c r="AD128" i="6"/>
  <c r="AC128" i="6"/>
  <c r="AB128" i="6"/>
  <c r="AA128" i="6"/>
  <c r="K128" i="6"/>
  <c r="J128" i="6"/>
  <c r="I128" i="6"/>
  <c r="H128" i="6"/>
  <c r="G128" i="6"/>
  <c r="AU127" i="6"/>
  <c r="AE127" i="6"/>
  <c r="AD127" i="6"/>
  <c r="AC127" i="6"/>
  <c r="AB127" i="6"/>
  <c r="AA127" i="6"/>
  <c r="K127" i="6"/>
  <c r="J127" i="6"/>
  <c r="I127" i="6"/>
  <c r="H127" i="6"/>
  <c r="G127" i="6"/>
  <c r="AU126" i="6"/>
  <c r="AE126" i="6"/>
  <c r="AD126" i="6"/>
  <c r="AC126" i="6"/>
  <c r="AB126" i="6"/>
  <c r="AA126" i="6"/>
  <c r="K126" i="6"/>
  <c r="J126" i="6"/>
  <c r="I126" i="6"/>
  <c r="H126" i="6"/>
  <c r="G126" i="6"/>
  <c r="AU125" i="6"/>
  <c r="AE125" i="6"/>
  <c r="AD125" i="6"/>
  <c r="AC125" i="6"/>
  <c r="AB125" i="6"/>
  <c r="AA125" i="6"/>
  <c r="K125" i="6"/>
  <c r="J125" i="6"/>
  <c r="I125" i="6"/>
  <c r="H125" i="6"/>
  <c r="G125" i="6"/>
  <c r="AV124" i="6" a="1"/>
  <c r="AV124" i="6" s="1"/>
  <c r="AV227" i="6" s="1"/>
  <c r="AU124" i="6"/>
  <c r="AE124" i="6"/>
  <c r="AD124" i="6"/>
  <c r="AC124" i="6"/>
  <c r="AB124" i="6"/>
  <c r="AA124" i="6"/>
  <c r="K124" i="6"/>
  <c r="J124" i="6"/>
  <c r="I124" i="6"/>
  <c r="H124" i="6"/>
  <c r="G124" i="6"/>
  <c r="AU123" i="6"/>
  <c r="AE123" i="6"/>
  <c r="AD123" i="6"/>
  <c r="AC123" i="6"/>
  <c r="AB123" i="6"/>
  <c r="AA123" i="6"/>
  <c r="K123" i="6"/>
  <c r="J123" i="6"/>
  <c r="I123" i="6"/>
  <c r="H123" i="6"/>
  <c r="G123" i="6"/>
  <c r="AU122" i="6"/>
  <c r="AE122" i="6"/>
  <c r="AD122" i="6"/>
  <c r="AC122" i="6"/>
  <c r="AB122" i="6"/>
  <c r="AA122" i="6"/>
  <c r="K122" i="6"/>
  <c r="J122" i="6"/>
  <c r="I122" i="6"/>
  <c r="H122" i="6"/>
  <c r="G122" i="6"/>
  <c r="AU121" i="6"/>
  <c r="AE121" i="6"/>
  <c r="AD121" i="6"/>
  <c r="AC121" i="6"/>
  <c r="AB121" i="6"/>
  <c r="AA121" i="6"/>
  <c r="K121" i="6"/>
  <c r="J121" i="6"/>
  <c r="I121" i="6"/>
  <c r="H121" i="6"/>
  <c r="G121" i="6"/>
  <c r="AU120" i="6"/>
  <c r="AE120" i="6"/>
  <c r="AD120" i="6"/>
  <c r="AC120" i="6"/>
  <c r="AB120" i="6"/>
  <c r="AA120" i="6"/>
  <c r="K120" i="6"/>
  <c r="J120" i="6"/>
  <c r="I120" i="6"/>
  <c r="H120" i="6"/>
  <c r="G120" i="6"/>
  <c r="AU119" i="6"/>
  <c r="AE119" i="6"/>
  <c r="AD119" i="6"/>
  <c r="AC119" i="6"/>
  <c r="AB119" i="6"/>
  <c r="AA119" i="6"/>
  <c r="K119" i="6"/>
  <c r="J119" i="6"/>
  <c r="I119" i="6"/>
  <c r="H119" i="6"/>
  <c r="G119" i="6"/>
  <c r="AV118" i="6" a="1"/>
  <c r="AV118" i="6" s="1"/>
  <c r="AU118" i="6"/>
  <c r="AE118" i="6"/>
  <c r="AD118" i="6"/>
  <c r="AC118" i="6"/>
  <c r="AB118" i="6"/>
  <c r="AA118" i="6"/>
  <c r="K118" i="6"/>
  <c r="J118" i="6"/>
  <c r="I118" i="6"/>
  <c r="H118" i="6"/>
  <c r="G118" i="6"/>
  <c r="AU117" i="6"/>
  <c r="AE117" i="6"/>
  <c r="AD117" i="6"/>
  <c r="AC117" i="6"/>
  <c r="AB117" i="6"/>
  <c r="AA117" i="6"/>
  <c r="K117" i="6"/>
  <c r="J117" i="6"/>
  <c r="I117" i="6"/>
  <c r="H117" i="6"/>
  <c r="G117" i="6"/>
  <c r="AU116" i="6"/>
  <c r="AE116" i="6"/>
  <c r="AD116" i="6"/>
  <c r="AC116" i="6"/>
  <c r="AB116" i="6"/>
  <c r="AA116" i="6"/>
  <c r="K116" i="6"/>
  <c r="J116" i="6"/>
  <c r="I116" i="6"/>
  <c r="H116" i="6"/>
  <c r="G116" i="6"/>
  <c r="AU115" i="6"/>
  <c r="AE115" i="6"/>
  <c r="AD115" i="6"/>
  <c r="AC115" i="6"/>
  <c r="AB115" i="6"/>
  <c r="AA115" i="6"/>
  <c r="K115" i="6"/>
  <c r="J115" i="6"/>
  <c r="I115" i="6"/>
  <c r="H115" i="6"/>
  <c r="G115" i="6"/>
  <c r="AU114" i="6"/>
  <c r="AE114" i="6"/>
  <c r="AD114" i="6"/>
  <c r="AC114" i="6"/>
  <c r="AB114" i="6"/>
  <c r="AA114" i="6"/>
  <c r="K114" i="6"/>
  <c r="J114" i="6"/>
  <c r="I114" i="6"/>
  <c r="H114" i="6"/>
  <c r="G114" i="6"/>
  <c r="AU113" i="6"/>
  <c r="AE113" i="6"/>
  <c r="AD113" i="6"/>
  <c r="AC113" i="6"/>
  <c r="AB113" i="6"/>
  <c r="AA113" i="6"/>
  <c r="K113" i="6"/>
  <c r="J113" i="6"/>
  <c r="I113" i="6"/>
  <c r="H113" i="6"/>
  <c r="G113" i="6"/>
  <c r="AV112" i="6" a="1"/>
  <c r="AV112" i="6" s="1"/>
  <c r="AU112" i="6"/>
  <c r="AE112" i="6"/>
  <c r="AD112" i="6"/>
  <c r="AC112" i="6"/>
  <c r="AB112" i="6"/>
  <c r="AA112" i="6"/>
  <c r="K112" i="6"/>
  <c r="J112" i="6"/>
  <c r="I112" i="6"/>
  <c r="H112" i="6"/>
  <c r="G112" i="6"/>
  <c r="AU111" i="6"/>
  <c r="AE111" i="6"/>
  <c r="AD111" i="6"/>
  <c r="AC111" i="6"/>
  <c r="AB111" i="6"/>
  <c r="AA111" i="6"/>
  <c r="K111" i="6"/>
  <c r="J111" i="6"/>
  <c r="I111" i="6"/>
  <c r="H111" i="6"/>
  <c r="G111" i="6"/>
  <c r="AU110" i="6"/>
  <c r="AE110" i="6"/>
  <c r="AD110" i="6"/>
  <c r="AC110" i="6"/>
  <c r="AB110" i="6"/>
  <c r="AA110" i="6"/>
  <c r="K110" i="6"/>
  <c r="J110" i="6"/>
  <c r="I110" i="6"/>
  <c r="H110" i="6"/>
  <c r="G110" i="6"/>
  <c r="AU109" i="6"/>
  <c r="AE109" i="6"/>
  <c r="AD109" i="6"/>
  <c r="AC109" i="6"/>
  <c r="AB109" i="6"/>
  <c r="AA109" i="6"/>
  <c r="K109" i="6"/>
  <c r="J109" i="6"/>
  <c r="I109" i="6"/>
  <c r="H109" i="6"/>
  <c r="G109" i="6"/>
  <c r="AU108" i="6"/>
  <c r="AE108" i="6"/>
  <c r="AD108" i="6"/>
  <c r="AC108" i="6"/>
  <c r="AB108" i="6"/>
  <c r="AA108" i="6"/>
  <c r="K108" i="6"/>
  <c r="J108" i="6"/>
  <c r="I108" i="6"/>
  <c r="H108" i="6"/>
  <c r="G108" i="6"/>
  <c r="AU107" i="6"/>
  <c r="AE107" i="6"/>
  <c r="AD107" i="6"/>
  <c r="AC107" i="6"/>
  <c r="AB107" i="6"/>
  <c r="AA107" i="6"/>
  <c r="K107" i="6"/>
  <c r="J107" i="6"/>
  <c r="I107" i="6"/>
  <c r="H107" i="6"/>
  <c r="G107" i="6"/>
  <c r="AV106" i="6" a="1"/>
  <c r="AV106" i="6" s="1"/>
  <c r="AU106" i="6"/>
  <c r="AE106" i="6"/>
  <c r="AD106" i="6"/>
  <c r="AC106" i="6"/>
  <c r="AB106" i="6"/>
  <c r="AA106" i="6"/>
  <c r="K106" i="6"/>
  <c r="J106" i="6"/>
  <c r="I106" i="6"/>
  <c r="H106" i="6"/>
  <c r="G106" i="6"/>
  <c r="AU105" i="6"/>
  <c r="AE105" i="6"/>
  <c r="AD105" i="6"/>
  <c r="AC105" i="6"/>
  <c r="AB105" i="6"/>
  <c r="AA105" i="6"/>
  <c r="K105" i="6"/>
  <c r="J105" i="6"/>
  <c r="I105" i="6"/>
  <c r="H105" i="6"/>
  <c r="G105" i="6"/>
  <c r="AU104" i="6"/>
  <c r="AE104" i="6"/>
  <c r="AD104" i="6"/>
  <c r="AC104" i="6"/>
  <c r="AB104" i="6"/>
  <c r="AA104" i="6"/>
  <c r="K104" i="6"/>
  <c r="J104" i="6"/>
  <c r="I104" i="6"/>
  <c r="H104" i="6"/>
  <c r="G104" i="6"/>
  <c r="AU103" i="6"/>
  <c r="AE103" i="6"/>
  <c r="AD103" i="6"/>
  <c r="AC103" i="6"/>
  <c r="AB103" i="6"/>
  <c r="AA103" i="6"/>
  <c r="K103" i="6"/>
  <c r="J103" i="6"/>
  <c r="I103" i="6"/>
  <c r="H103" i="6"/>
  <c r="G103" i="6"/>
  <c r="AU102" i="6"/>
  <c r="AE102" i="6"/>
  <c r="AD102" i="6"/>
  <c r="AC102" i="6"/>
  <c r="AB102" i="6"/>
  <c r="AA102" i="6"/>
  <c r="K102" i="6"/>
  <c r="J102" i="6"/>
  <c r="I102" i="6"/>
  <c r="H102" i="6"/>
  <c r="G102" i="6"/>
  <c r="AU101" i="6"/>
  <c r="AE101" i="6"/>
  <c r="AD101" i="6"/>
  <c r="AC101" i="6"/>
  <c r="AB101" i="6"/>
  <c r="AA101" i="6"/>
  <c r="K101" i="6"/>
  <c r="J101" i="6"/>
  <c r="I101" i="6"/>
  <c r="H101" i="6"/>
  <c r="G101" i="6"/>
  <c r="AV100" i="6" a="1"/>
  <c r="AV100" i="6" s="1"/>
  <c r="AU100" i="6"/>
  <c r="AE100" i="6"/>
  <c r="AD100" i="6"/>
  <c r="AC100" i="6"/>
  <c r="AB100" i="6"/>
  <c r="AA100" i="6"/>
  <c r="K100" i="6"/>
  <c r="J100" i="6"/>
  <c r="I100" i="6"/>
  <c r="H100" i="6"/>
  <c r="G100" i="6"/>
  <c r="AU99" i="6"/>
  <c r="AE99" i="6"/>
  <c r="AD99" i="6"/>
  <c r="AC99" i="6"/>
  <c r="AB99" i="6"/>
  <c r="AA99" i="6"/>
  <c r="K99" i="6"/>
  <c r="J99" i="6"/>
  <c r="I99" i="6"/>
  <c r="H99" i="6"/>
  <c r="G99" i="6"/>
  <c r="AU98" i="6"/>
  <c r="AE98" i="6"/>
  <c r="AD98" i="6"/>
  <c r="AC98" i="6"/>
  <c r="AB98" i="6"/>
  <c r="AA98" i="6"/>
  <c r="K98" i="6"/>
  <c r="J98" i="6"/>
  <c r="I98" i="6"/>
  <c r="H98" i="6"/>
  <c r="G98" i="6"/>
  <c r="AU97" i="6"/>
  <c r="AE97" i="6"/>
  <c r="AD97" i="6"/>
  <c r="AC97" i="6"/>
  <c r="AB97" i="6"/>
  <c r="AA97" i="6"/>
  <c r="K97" i="6"/>
  <c r="J97" i="6"/>
  <c r="I97" i="6"/>
  <c r="H97" i="6"/>
  <c r="G97" i="6"/>
  <c r="AU96" i="6"/>
  <c r="AE96" i="6"/>
  <c r="AD96" i="6"/>
  <c r="AC96" i="6"/>
  <c r="AB96" i="6"/>
  <c r="AA96" i="6"/>
  <c r="K96" i="6"/>
  <c r="J96" i="6"/>
  <c r="I96" i="6"/>
  <c r="H96" i="6"/>
  <c r="G96" i="6"/>
  <c r="AU95" i="6"/>
  <c r="AE95" i="6"/>
  <c r="AD95" i="6"/>
  <c r="AC95" i="6"/>
  <c r="AB95" i="6"/>
  <c r="AA95" i="6"/>
  <c r="K95" i="6"/>
  <c r="J95" i="6"/>
  <c r="I95" i="6"/>
  <c r="H95" i="6"/>
  <c r="G95" i="6"/>
  <c r="AV94" i="6" a="1"/>
  <c r="AV94" i="6" s="1"/>
  <c r="AU94" i="6"/>
  <c r="AE94" i="6"/>
  <c r="AD94" i="6"/>
  <c r="AC94" i="6"/>
  <c r="AB94" i="6"/>
  <c r="AA94" i="6"/>
  <c r="K94" i="6"/>
  <c r="J94" i="6"/>
  <c r="I94" i="6"/>
  <c r="H94" i="6"/>
  <c r="G94" i="6"/>
  <c r="AU93" i="6"/>
  <c r="AE93" i="6"/>
  <c r="AD93" i="6"/>
  <c r="AC93" i="6"/>
  <c r="AB93" i="6"/>
  <c r="AA93" i="6"/>
  <c r="K93" i="6"/>
  <c r="J93" i="6"/>
  <c r="I93" i="6"/>
  <c r="H93" i="6"/>
  <c r="G93" i="6"/>
  <c r="AU92" i="6"/>
  <c r="AE92" i="6"/>
  <c r="AD92" i="6"/>
  <c r="AC92" i="6"/>
  <c r="AB92" i="6"/>
  <c r="AA92" i="6"/>
  <c r="K92" i="6"/>
  <c r="J92" i="6"/>
  <c r="I92" i="6"/>
  <c r="H92" i="6"/>
  <c r="G92" i="6"/>
  <c r="AU91" i="6"/>
  <c r="AE91" i="6"/>
  <c r="AD91" i="6"/>
  <c r="AC91" i="6"/>
  <c r="AB91" i="6"/>
  <c r="AA91" i="6"/>
  <c r="K91" i="6"/>
  <c r="J91" i="6"/>
  <c r="I91" i="6"/>
  <c r="H91" i="6"/>
  <c r="G91" i="6"/>
  <c r="AU90" i="6"/>
  <c r="AE90" i="6"/>
  <c r="AD90" i="6"/>
  <c r="AC90" i="6"/>
  <c r="AB90" i="6"/>
  <c r="AA90" i="6"/>
  <c r="K90" i="6"/>
  <c r="J90" i="6"/>
  <c r="I90" i="6"/>
  <c r="H90" i="6"/>
  <c r="G90" i="6"/>
  <c r="AU89" i="6"/>
  <c r="AE89" i="6"/>
  <c r="AD89" i="6"/>
  <c r="AC89" i="6"/>
  <c r="AB89" i="6"/>
  <c r="AA89" i="6"/>
  <c r="K89" i="6"/>
  <c r="J89" i="6"/>
  <c r="I89" i="6"/>
  <c r="H89" i="6"/>
  <c r="G89" i="6"/>
  <c r="AV88" i="6" a="1"/>
  <c r="AV88" i="6" s="1"/>
  <c r="AU88" i="6"/>
  <c r="AE88" i="6"/>
  <c r="AD88" i="6"/>
  <c r="AC88" i="6"/>
  <c r="AB88" i="6"/>
  <c r="AA88" i="6"/>
  <c r="K88" i="6"/>
  <c r="J88" i="6"/>
  <c r="I88" i="6"/>
  <c r="H88" i="6"/>
  <c r="G88" i="6"/>
  <c r="AU87" i="6"/>
  <c r="AE87" i="6"/>
  <c r="AD87" i="6"/>
  <c r="AC87" i="6"/>
  <c r="AB87" i="6"/>
  <c r="AA87" i="6"/>
  <c r="K87" i="6"/>
  <c r="J87" i="6"/>
  <c r="I87" i="6"/>
  <c r="H87" i="6"/>
  <c r="G87" i="6"/>
  <c r="AU86" i="6"/>
  <c r="AE86" i="6"/>
  <c r="AD86" i="6"/>
  <c r="AC86" i="6"/>
  <c r="AB86" i="6"/>
  <c r="AA86" i="6"/>
  <c r="K86" i="6"/>
  <c r="J86" i="6"/>
  <c r="I86" i="6"/>
  <c r="H86" i="6"/>
  <c r="G86" i="6"/>
  <c r="AU85" i="6"/>
  <c r="AE85" i="6"/>
  <c r="AD85" i="6"/>
  <c r="AC85" i="6"/>
  <c r="AB85" i="6"/>
  <c r="AA85" i="6"/>
  <c r="K85" i="6"/>
  <c r="J85" i="6"/>
  <c r="I85" i="6"/>
  <c r="H85" i="6"/>
  <c r="G85" i="6"/>
  <c r="AU84" i="6"/>
  <c r="AE84" i="6"/>
  <c r="AD84" i="6"/>
  <c r="AC84" i="6"/>
  <c r="AB84" i="6"/>
  <c r="AA84" i="6"/>
  <c r="K84" i="6"/>
  <c r="J84" i="6"/>
  <c r="I84" i="6"/>
  <c r="H84" i="6"/>
  <c r="G84" i="6"/>
  <c r="AU83" i="6"/>
  <c r="AE83" i="6"/>
  <c r="AD83" i="6"/>
  <c r="AC83" i="6"/>
  <c r="AB83" i="6"/>
  <c r="AA83" i="6"/>
  <c r="K83" i="6"/>
  <c r="J83" i="6"/>
  <c r="I83" i="6"/>
  <c r="H83" i="6"/>
  <c r="G83" i="6"/>
  <c r="AV82" i="6" a="1"/>
  <c r="AV82" i="6" s="1"/>
  <c r="AU82" i="6"/>
  <c r="AE82" i="6"/>
  <c r="AD82" i="6"/>
  <c r="AC82" i="6"/>
  <c r="AB82" i="6"/>
  <c r="AA82" i="6"/>
  <c r="K82" i="6"/>
  <c r="J82" i="6"/>
  <c r="I82" i="6"/>
  <c r="H82" i="6"/>
  <c r="G82" i="6"/>
  <c r="AU81" i="6"/>
  <c r="AE81" i="6"/>
  <c r="AD81" i="6"/>
  <c r="AC81" i="6"/>
  <c r="AB81" i="6"/>
  <c r="AA81" i="6"/>
  <c r="K81" i="6"/>
  <c r="J81" i="6"/>
  <c r="I81" i="6"/>
  <c r="H81" i="6"/>
  <c r="G81" i="6"/>
  <c r="AU80" i="6"/>
  <c r="AE80" i="6"/>
  <c r="AD80" i="6"/>
  <c r="AC80" i="6"/>
  <c r="AB80" i="6"/>
  <c r="AA80" i="6"/>
  <c r="K80" i="6"/>
  <c r="J80" i="6"/>
  <c r="I80" i="6"/>
  <c r="H80" i="6"/>
  <c r="G80" i="6"/>
  <c r="AU79" i="6"/>
  <c r="AE79" i="6"/>
  <c r="AD79" i="6"/>
  <c r="AC79" i="6"/>
  <c r="AB79" i="6"/>
  <c r="AA79" i="6"/>
  <c r="K79" i="6"/>
  <c r="J79" i="6"/>
  <c r="I79" i="6"/>
  <c r="H79" i="6"/>
  <c r="G79" i="6"/>
  <c r="AU78" i="6"/>
  <c r="AE78" i="6"/>
  <c r="AD78" i="6"/>
  <c r="AC78" i="6"/>
  <c r="AB78" i="6"/>
  <c r="AA78" i="6"/>
  <c r="K78" i="6"/>
  <c r="J78" i="6"/>
  <c r="I78" i="6"/>
  <c r="H78" i="6"/>
  <c r="G78" i="6"/>
  <c r="AU77" i="6"/>
  <c r="AE77" i="6"/>
  <c r="AD77" i="6"/>
  <c r="AC77" i="6"/>
  <c r="AB77" i="6"/>
  <c r="AA77" i="6"/>
  <c r="K77" i="6"/>
  <c r="J77" i="6"/>
  <c r="I77" i="6"/>
  <c r="H77" i="6"/>
  <c r="G77" i="6"/>
  <c r="AV76" i="6" a="1"/>
  <c r="AV76" i="6" s="1"/>
  <c r="AU76" i="6"/>
  <c r="AE76" i="6"/>
  <c r="AD76" i="6"/>
  <c r="AC76" i="6"/>
  <c r="AB76" i="6"/>
  <c r="AA76" i="6"/>
  <c r="K76" i="6"/>
  <c r="J76" i="6"/>
  <c r="I76" i="6"/>
  <c r="H76" i="6"/>
  <c r="G76" i="6"/>
  <c r="AU75" i="6"/>
  <c r="AE75" i="6"/>
  <c r="AD75" i="6"/>
  <c r="AC75" i="6"/>
  <c r="AB75" i="6"/>
  <c r="AA75" i="6"/>
  <c r="K75" i="6"/>
  <c r="J75" i="6"/>
  <c r="I75" i="6"/>
  <c r="H75" i="6"/>
  <c r="G75" i="6"/>
  <c r="AU74" i="6"/>
  <c r="AE74" i="6"/>
  <c r="AD74" i="6"/>
  <c r="AC74" i="6"/>
  <c r="AB74" i="6"/>
  <c r="AA74" i="6"/>
  <c r="K74" i="6"/>
  <c r="J74" i="6"/>
  <c r="I74" i="6"/>
  <c r="H74" i="6"/>
  <c r="G74" i="6"/>
  <c r="AU73" i="6"/>
  <c r="AE73" i="6"/>
  <c r="AD73" i="6"/>
  <c r="AC73" i="6"/>
  <c r="AB73" i="6"/>
  <c r="AA73" i="6"/>
  <c r="K73" i="6"/>
  <c r="J73" i="6"/>
  <c r="I73" i="6"/>
  <c r="H73" i="6"/>
  <c r="G73" i="6"/>
  <c r="AU72" i="6"/>
  <c r="AE72" i="6"/>
  <c r="AD72" i="6"/>
  <c r="AC72" i="6"/>
  <c r="AB72" i="6"/>
  <c r="AA72" i="6"/>
  <c r="K72" i="6"/>
  <c r="J72" i="6"/>
  <c r="I72" i="6"/>
  <c r="H72" i="6"/>
  <c r="G72" i="6"/>
  <c r="AU71" i="6"/>
  <c r="AE71" i="6"/>
  <c r="AD71" i="6"/>
  <c r="AC71" i="6"/>
  <c r="AB71" i="6"/>
  <c r="AA71" i="6"/>
  <c r="K71" i="6"/>
  <c r="J71" i="6"/>
  <c r="I71" i="6"/>
  <c r="H71" i="6"/>
  <c r="G71" i="6"/>
  <c r="AV70" i="6" a="1"/>
  <c r="AV70" i="6" s="1"/>
  <c r="AU70" i="6"/>
  <c r="AE70" i="6"/>
  <c r="AD70" i="6"/>
  <c r="AC70" i="6"/>
  <c r="AB70" i="6"/>
  <c r="AA70" i="6"/>
  <c r="K70" i="6"/>
  <c r="J70" i="6"/>
  <c r="I70" i="6"/>
  <c r="H70" i="6"/>
  <c r="G70" i="6"/>
  <c r="AU69" i="6"/>
  <c r="AE69" i="6"/>
  <c r="AD69" i="6"/>
  <c r="AC69" i="6"/>
  <c r="AB69" i="6"/>
  <c r="AA69" i="6"/>
  <c r="K69" i="6"/>
  <c r="J69" i="6"/>
  <c r="I69" i="6"/>
  <c r="H69" i="6"/>
  <c r="G69" i="6"/>
  <c r="AU68" i="6"/>
  <c r="AE68" i="6"/>
  <c r="AD68" i="6"/>
  <c r="AC68" i="6"/>
  <c r="AB68" i="6"/>
  <c r="AA68" i="6"/>
  <c r="K68" i="6"/>
  <c r="J68" i="6"/>
  <c r="I68" i="6"/>
  <c r="H68" i="6"/>
  <c r="G68" i="6"/>
  <c r="AU67" i="6"/>
  <c r="AE67" i="6"/>
  <c r="AD67" i="6"/>
  <c r="AC67" i="6"/>
  <c r="AB67" i="6"/>
  <c r="AA67" i="6"/>
  <c r="K67" i="6"/>
  <c r="J67" i="6"/>
  <c r="I67" i="6"/>
  <c r="H67" i="6"/>
  <c r="G67" i="6"/>
  <c r="AU66" i="6"/>
  <c r="AE66" i="6"/>
  <c r="AD66" i="6"/>
  <c r="AC66" i="6"/>
  <c r="AB66" i="6"/>
  <c r="AA66" i="6"/>
  <c r="K66" i="6"/>
  <c r="J66" i="6"/>
  <c r="I66" i="6"/>
  <c r="H66" i="6"/>
  <c r="G66" i="6"/>
  <c r="AU65" i="6"/>
  <c r="AE65" i="6"/>
  <c r="AD65" i="6"/>
  <c r="AC65" i="6"/>
  <c r="AB65" i="6"/>
  <c r="AA65" i="6"/>
  <c r="K65" i="6"/>
  <c r="J65" i="6"/>
  <c r="I65" i="6"/>
  <c r="H65" i="6"/>
  <c r="G65" i="6"/>
  <c r="AV64" i="6" a="1"/>
  <c r="AV64" i="6" s="1"/>
  <c r="AU64" i="6"/>
  <c r="AE64" i="6"/>
  <c r="AD64" i="6"/>
  <c r="AC64" i="6"/>
  <c r="AB64" i="6"/>
  <c r="AA64" i="6"/>
  <c r="K64" i="6"/>
  <c r="J64" i="6"/>
  <c r="I64" i="6"/>
  <c r="H64" i="6"/>
  <c r="G64" i="6"/>
  <c r="AU63" i="6"/>
  <c r="AE63" i="6"/>
  <c r="AD63" i="6"/>
  <c r="AC63" i="6"/>
  <c r="AB63" i="6"/>
  <c r="AA63" i="6"/>
  <c r="K63" i="6"/>
  <c r="J63" i="6"/>
  <c r="I63" i="6"/>
  <c r="H63" i="6"/>
  <c r="G63" i="6"/>
  <c r="AU62" i="6"/>
  <c r="AE62" i="6"/>
  <c r="AD62" i="6"/>
  <c r="AC62" i="6"/>
  <c r="AB62" i="6"/>
  <c r="AA62" i="6"/>
  <c r="K62" i="6"/>
  <c r="J62" i="6"/>
  <c r="I62" i="6"/>
  <c r="H62" i="6"/>
  <c r="G62" i="6"/>
  <c r="AU61" i="6"/>
  <c r="AE61" i="6"/>
  <c r="AD61" i="6"/>
  <c r="AC61" i="6"/>
  <c r="AB61" i="6"/>
  <c r="AA61" i="6"/>
  <c r="K61" i="6"/>
  <c r="J61" i="6"/>
  <c r="I61" i="6"/>
  <c r="H61" i="6"/>
  <c r="G61" i="6"/>
  <c r="AU60" i="6"/>
  <c r="AE60" i="6"/>
  <c r="AD60" i="6"/>
  <c r="AC60" i="6"/>
  <c r="AB60" i="6"/>
  <c r="AA60" i="6"/>
  <c r="K60" i="6"/>
  <c r="J60" i="6"/>
  <c r="I60" i="6"/>
  <c r="H60" i="6"/>
  <c r="G60" i="6"/>
  <c r="AU59" i="6"/>
  <c r="AE59" i="6"/>
  <c r="AD59" i="6"/>
  <c r="AC59" i="6"/>
  <c r="AB59" i="6"/>
  <c r="AA59" i="6"/>
  <c r="K59" i="6"/>
  <c r="J59" i="6"/>
  <c r="I59" i="6"/>
  <c r="H59" i="6"/>
  <c r="G59" i="6"/>
  <c r="AV58" i="6" a="1"/>
  <c r="AV58" i="6" s="1"/>
  <c r="AU58" i="6"/>
  <c r="AE58" i="6"/>
  <c r="AD58" i="6"/>
  <c r="AC58" i="6"/>
  <c r="AB58" i="6"/>
  <c r="AA58" i="6"/>
  <c r="K58" i="6"/>
  <c r="J58" i="6"/>
  <c r="I58" i="6"/>
  <c r="H58" i="6"/>
  <c r="G58" i="6"/>
  <c r="AU57" i="6"/>
  <c r="AE57" i="6"/>
  <c r="AD57" i="6"/>
  <c r="AC57" i="6"/>
  <c r="AB57" i="6"/>
  <c r="AA57" i="6"/>
  <c r="K57" i="6"/>
  <c r="J57" i="6"/>
  <c r="I57" i="6"/>
  <c r="H57" i="6"/>
  <c r="G57" i="6"/>
  <c r="AU56" i="6"/>
  <c r="AE56" i="6"/>
  <c r="AD56" i="6"/>
  <c r="AC56" i="6"/>
  <c r="AB56" i="6"/>
  <c r="AA56" i="6"/>
  <c r="K56" i="6"/>
  <c r="J56" i="6"/>
  <c r="I56" i="6"/>
  <c r="H56" i="6"/>
  <c r="G56" i="6"/>
  <c r="AU55" i="6"/>
  <c r="AE55" i="6"/>
  <c r="AD55" i="6"/>
  <c r="AC55" i="6"/>
  <c r="AB55" i="6"/>
  <c r="AA55" i="6"/>
  <c r="K55" i="6"/>
  <c r="J55" i="6"/>
  <c r="I55" i="6"/>
  <c r="H55" i="6"/>
  <c r="G55" i="6"/>
  <c r="AU54" i="6"/>
  <c r="AE54" i="6"/>
  <c r="AD54" i="6"/>
  <c r="AC54" i="6"/>
  <c r="AB54" i="6"/>
  <c r="AA54" i="6"/>
  <c r="K54" i="6"/>
  <c r="J54" i="6"/>
  <c r="I54" i="6"/>
  <c r="H54" i="6"/>
  <c r="G54" i="6"/>
  <c r="AU53" i="6"/>
  <c r="AE53" i="6"/>
  <c r="AD53" i="6"/>
  <c r="AC53" i="6"/>
  <c r="AB53" i="6"/>
  <c r="AA53" i="6"/>
  <c r="K53" i="6"/>
  <c r="J53" i="6"/>
  <c r="I53" i="6"/>
  <c r="H53" i="6"/>
  <c r="G53" i="6"/>
  <c r="AV52" i="6" a="1"/>
  <c r="AV52" i="6" s="1"/>
  <c r="AU52" i="6"/>
  <c r="AE52" i="6"/>
  <c r="AD52" i="6"/>
  <c r="AC52" i="6"/>
  <c r="AB52" i="6"/>
  <c r="AA52" i="6"/>
  <c r="K52" i="6"/>
  <c r="J52" i="6"/>
  <c r="I52" i="6"/>
  <c r="H52" i="6"/>
  <c r="G52" i="6"/>
  <c r="AU51" i="6"/>
  <c r="AE51" i="6"/>
  <c r="AD51" i="6"/>
  <c r="AC51" i="6"/>
  <c r="AB51" i="6"/>
  <c r="AA51" i="6"/>
  <c r="K51" i="6"/>
  <c r="J51" i="6"/>
  <c r="I51" i="6"/>
  <c r="H51" i="6"/>
  <c r="G51" i="6"/>
  <c r="AU50" i="6"/>
  <c r="AE50" i="6"/>
  <c r="AD50" i="6"/>
  <c r="AC50" i="6"/>
  <c r="AB50" i="6"/>
  <c r="AA50" i="6"/>
  <c r="K50" i="6"/>
  <c r="J50" i="6"/>
  <c r="I50" i="6"/>
  <c r="H50" i="6"/>
  <c r="G50" i="6"/>
  <c r="AU49" i="6"/>
  <c r="AE49" i="6"/>
  <c r="AD49" i="6"/>
  <c r="AC49" i="6"/>
  <c r="AB49" i="6"/>
  <c r="AA49" i="6"/>
  <c r="K49" i="6"/>
  <c r="J49" i="6"/>
  <c r="I49" i="6"/>
  <c r="H49" i="6"/>
  <c r="G49" i="6"/>
  <c r="AU48" i="6"/>
  <c r="AE48" i="6"/>
  <c r="AD48" i="6"/>
  <c r="AC48" i="6"/>
  <c r="AB48" i="6"/>
  <c r="AA48" i="6"/>
  <c r="K48" i="6"/>
  <c r="J48" i="6"/>
  <c r="I48" i="6"/>
  <c r="H48" i="6"/>
  <c r="G48" i="6"/>
  <c r="AU47" i="6"/>
  <c r="AE47" i="6"/>
  <c r="AD47" i="6"/>
  <c r="AC47" i="6"/>
  <c r="AB47" i="6"/>
  <c r="AA47" i="6"/>
  <c r="K47" i="6"/>
  <c r="J47" i="6"/>
  <c r="I47" i="6"/>
  <c r="H47" i="6"/>
  <c r="G47" i="6"/>
  <c r="AV46" i="6" a="1"/>
  <c r="AV46" i="6"/>
  <c r="AU46" i="6"/>
  <c r="AE46" i="6"/>
  <c r="AD46" i="6"/>
  <c r="AC46" i="6"/>
  <c r="AB46" i="6"/>
  <c r="AA46" i="6"/>
  <c r="K46" i="6"/>
  <c r="J46" i="6"/>
  <c r="I46" i="6"/>
  <c r="H46" i="6"/>
  <c r="G46" i="6"/>
  <c r="AU45" i="6"/>
  <c r="AE45" i="6"/>
  <c r="AD45" i="6"/>
  <c r="AC45" i="6"/>
  <c r="AB45" i="6"/>
  <c r="AA45" i="6"/>
  <c r="K45" i="6"/>
  <c r="J45" i="6"/>
  <c r="I45" i="6"/>
  <c r="H45" i="6"/>
  <c r="G45" i="6"/>
  <c r="AU44" i="6"/>
  <c r="AE44" i="6"/>
  <c r="AD44" i="6"/>
  <c r="AC44" i="6"/>
  <c r="AB44" i="6"/>
  <c r="AA44" i="6"/>
  <c r="K44" i="6"/>
  <c r="J44" i="6"/>
  <c r="I44" i="6"/>
  <c r="H44" i="6"/>
  <c r="G44" i="6"/>
  <c r="AU43" i="6"/>
  <c r="AE43" i="6"/>
  <c r="AD43" i="6"/>
  <c r="AC43" i="6"/>
  <c r="AB43" i="6"/>
  <c r="AA43" i="6"/>
  <c r="K43" i="6"/>
  <c r="J43" i="6"/>
  <c r="I43" i="6"/>
  <c r="H43" i="6"/>
  <c r="G43" i="6"/>
  <c r="AU42" i="6"/>
  <c r="AE42" i="6"/>
  <c r="AD42" i="6"/>
  <c r="AC42" i="6"/>
  <c r="AB42" i="6"/>
  <c r="AA42" i="6"/>
  <c r="K42" i="6"/>
  <c r="J42" i="6"/>
  <c r="I42" i="6"/>
  <c r="H42" i="6"/>
  <c r="G42" i="6"/>
  <c r="AU41" i="6"/>
  <c r="AE41" i="6"/>
  <c r="AD41" i="6"/>
  <c r="AC41" i="6"/>
  <c r="AB41" i="6"/>
  <c r="AA41" i="6"/>
  <c r="K41" i="6"/>
  <c r="J41" i="6"/>
  <c r="I41" i="6"/>
  <c r="H41" i="6"/>
  <c r="G41" i="6"/>
  <c r="AV40" i="6" a="1"/>
  <c r="AV40" i="6" s="1"/>
  <c r="AU40" i="6"/>
  <c r="AE40" i="6"/>
  <c r="AD40" i="6"/>
  <c r="AC40" i="6"/>
  <c r="AB40" i="6"/>
  <c r="AA40" i="6"/>
  <c r="K40" i="6"/>
  <c r="J40" i="6"/>
  <c r="I40" i="6"/>
  <c r="H40" i="6"/>
  <c r="G40" i="6"/>
  <c r="AU39" i="6"/>
  <c r="AE39" i="6"/>
  <c r="AD39" i="6"/>
  <c r="AC39" i="6"/>
  <c r="AB39" i="6"/>
  <c r="AA39" i="6"/>
  <c r="K39" i="6"/>
  <c r="J39" i="6"/>
  <c r="I39" i="6"/>
  <c r="H39" i="6"/>
  <c r="G39" i="6"/>
  <c r="AU38" i="6"/>
  <c r="AE38" i="6"/>
  <c r="AD38" i="6"/>
  <c r="AC38" i="6"/>
  <c r="AB38" i="6"/>
  <c r="AA38" i="6"/>
  <c r="K38" i="6"/>
  <c r="J38" i="6"/>
  <c r="I38" i="6"/>
  <c r="H38" i="6"/>
  <c r="G38" i="6"/>
  <c r="AU37" i="6"/>
  <c r="AE37" i="6"/>
  <c r="AD37" i="6"/>
  <c r="AC37" i="6"/>
  <c r="AB37" i="6"/>
  <c r="AA37" i="6"/>
  <c r="K37" i="6"/>
  <c r="J37" i="6"/>
  <c r="I37" i="6"/>
  <c r="H37" i="6"/>
  <c r="G37" i="6"/>
  <c r="AU36" i="6"/>
  <c r="AE36" i="6"/>
  <c r="AD36" i="6"/>
  <c r="AC36" i="6"/>
  <c r="AB36" i="6"/>
  <c r="AA36" i="6"/>
  <c r="K36" i="6"/>
  <c r="J36" i="6"/>
  <c r="I36" i="6"/>
  <c r="H36" i="6"/>
  <c r="G36" i="6"/>
  <c r="AU35" i="6"/>
  <c r="AE35" i="6"/>
  <c r="AD35" i="6"/>
  <c r="AC35" i="6"/>
  <c r="AB35" i="6"/>
  <c r="AA35" i="6"/>
  <c r="K35" i="6"/>
  <c r="J35" i="6"/>
  <c r="I35" i="6"/>
  <c r="H35" i="6"/>
  <c r="G35" i="6"/>
  <c r="AV34" i="6" a="1"/>
  <c r="AV34" i="6" s="1"/>
  <c r="AU34" i="6"/>
  <c r="AE34" i="6"/>
  <c r="AD34" i="6"/>
  <c r="AC34" i="6"/>
  <c r="AB34" i="6"/>
  <c r="AA34" i="6"/>
  <c r="K34" i="6"/>
  <c r="J34" i="6"/>
  <c r="I34" i="6"/>
  <c r="H34" i="6"/>
  <c r="G34" i="6"/>
  <c r="AU33" i="6"/>
  <c r="AE33" i="6"/>
  <c r="AD33" i="6"/>
  <c r="AC33" i="6"/>
  <c r="AB33" i="6"/>
  <c r="AA33" i="6"/>
  <c r="K33" i="6"/>
  <c r="J33" i="6"/>
  <c r="I33" i="6"/>
  <c r="H33" i="6"/>
  <c r="G33" i="6"/>
  <c r="AU32" i="6"/>
  <c r="AE32" i="6"/>
  <c r="AD32" i="6"/>
  <c r="AC32" i="6"/>
  <c r="AB32" i="6"/>
  <c r="AA32" i="6"/>
  <c r="K32" i="6"/>
  <c r="J32" i="6"/>
  <c r="I32" i="6"/>
  <c r="H32" i="6"/>
  <c r="G32" i="6"/>
  <c r="AU31" i="6"/>
  <c r="AE31" i="6"/>
  <c r="AD31" i="6"/>
  <c r="AC31" i="6"/>
  <c r="AB31" i="6"/>
  <c r="AA31" i="6"/>
  <c r="K31" i="6"/>
  <c r="J31" i="6"/>
  <c r="I31" i="6"/>
  <c r="H31" i="6"/>
  <c r="G31" i="6"/>
  <c r="AU30" i="6"/>
  <c r="AE30" i="6"/>
  <c r="AD30" i="6"/>
  <c r="AC30" i="6"/>
  <c r="AB30" i="6"/>
  <c r="AA30" i="6"/>
  <c r="K30" i="6"/>
  <c r="J30" i="6"/>
  <c r="I30" i="6"/>
  <c r="H30" i="6"/>
  <c r="G30" i="6"/>
  <c r="AU29" i="6"/>
  <c r="AE29" i="6"/>
  <c r="AD29" i="6"/>
  <c r="AC29" i="6"/>
  <c r="AB29" i="6"/>
  <c r="AA29" i="6"/>
  <c r="K29" i="6"/>
  <c r="J29" i="6"/>
  <c r="I29" i="6"/>
  <c r="H29" i="6"/>
  <c r="G29" i="6"/>
  <c r="AV28" i="6" a="1"/>
  <c r="AV28" i="6" s="1"/>
  <c r="AU28" i="6"/>
  <c r="AE28" i="6"/>
  <c r="AD28" i="6"/>
  <c r="AC28" i="6"/>
  <c r="AB28" i="6"/>
  <c r="AA28" i="6"/>
  <c r="K28" i="6"/>
  <c r="J28" i="6"/>
  <c r="I28" i="6"/>
  <c r="H28" i="6"/>
  <c r="G28" i="6"/>
  <c r="AU27" i="6"/>
  <c r="AE27" i="6"/>
  <c r="AD27" i="6"/>
  <c r="AC27" i="6"/>
  <c r="AB27" i="6"/>
  <c r="AA27" i="6"/>
  <c r="K27" i="6"/>
  <c r="J27" i="6"/>
  <c r="I27" i="6"/>
  <c r="H27" i="6"/>
  <c r="G27" i="6"/>
  <c r="AU26" i="6"/>
  <c r="AE26" i="6"/>
  <c r="AD26" i="6"/>
  <c r="AC26" i="6"/>
  <c r="AB26" i="6"/>
  <c r="AA26" i="6"/>
  <c r="K26" i="6"/>
  <c r="J26" i="6"/>
  <c r="I26" i="6"/>
  <c r="H26" i="6"/>
  <c r="G26" i="6"/>
  <c r="AU25" i="6"/>
  <c r="AE25" i="6"/>
  <c r="AD25" i="6"/>
  <c r="AC25" i="6"/>
  <c r="AB25" i="6"/>
  <c r="AA25" i="6"/>
  <c r="K25" i="6"/>
  <c r="J25" i="6"/>
  <c r="I25" i="6"/>
  <c r="H25" i="6"/>
  <c r="G25" i="6"/>
  <c r="AU24" i="6"/>
  <c r="AE24" i="6"/>
  <c r="AD24" i="6"/>
  <c r="AC24" i="6"/>
  <c r="AB24" i="6"/>
  <c r="AA24" i="6"/>
  <c r="K24" i="6"/>
  <c r="J24" i="6"/>
  <c r="I24" i="6"/>
  <c r="H24" i="6"/>
  <c r="G24" i="6"/>
  <c r="AU23" i="6"/>
  <c r="AE23" i="6"/>
  <c r="AD23" i="6"/>
  <c r="AC23" i="6"/>
  <c r="AB23" i="6"/>
  <c r="AA23" i="6"/>
  <c r="K23" i="6"/>
  <c r="J23" i="6"/>
  <c r="I23" i="6"/>
  <c r="H23" i="6"/>
  <c r="G23" i="6"/>
  <c r="AV22" i="6" a="1"/>
  <c r="AV22" i="6" s="1"/>
  <c r="AU22" i="6"/>
  <c r="AE22" i="6"/>
  <c r="AD22" i="6"/>
  <c r="AC22" i="6"/>
  <c r="AB22" i="6"/>
  <c r="AA22" i="6"/>
  <c r="K22" i="6"/>
  <c r="J22" i="6"/>
  <c r="I22" i="6"/>
  <c r="H22" i="6"/>
  <c r="G22" i="6"/>
  <c r="AU21" i="6"/>
  <c r="AE21" i="6"/>
  <c r="AD21" i="6"/>
  <c r="AC21" i="6"/>
  <c r="AB21" i="6"/>
  <c r="AA21" i="6"/>
  <c r="K21" i="6"/>
  <c r="J21" i="6"/>
  <c r="I21" i="6"/>
  <c r="H21" i="6"/>
  <c r="G21" i="6"/>
  <c r="AU20" i="6"/>
  <c r="AE20" i="6"/>
  <c r="AD20" i="6"/>
  <c r="AC20" i="6"/>
  <c r="AB20" i="6"/>
  <c r="AA20" i="6"/>
  <c r="K20" i="6"/>
  <c r="J20" i="6"/>
  <c r="I20" i="6"/>
  <c r="H20" i="6"/>
  <c r="G20" i="6"/>
  <c r="AU19" i="6"/>
  <c r="AE19" i="6"/>
  <c r="AD19" i="6"/>
  <c r="AC19" i="6"/>
  <c r="AB19" i="6"/>
  <c r="AA19" i="6"/>
  <c r="K19" i="6"/>
  <c r="J19" i="6"/>
  <c r="I19" i="6"/>
  <c r="H19" i="6"/>
  <c r="G19" i="6"/>
  <c r="AU18" i="6"/>
  <c r="AE18" i="6"/>
  <c r="AD18" i="6"/>
  <c r="AC18" i="6"/>
  <c r="AB18" i="6"/>
  <c r="AA18" i="6"/>
  <c r="K18" i="6"/>
  <c r="J18" i="6"/>
  <c r="I18" i="6"/>
  <c r="H18" i="6"/>
  <c r="G18" i="6"/>
  <c r="AU17" i="6"/>
  <c r="AE17" i="6"/>
  <c r="AD17" i="6"/>
  <c r="AC17" i="6"/>
  <c r="AB17" i="6"/>
  <c r="AA17" i="6"/>
  <c r="K17" i="6"/>
  <c r="J17" i="6"/>
  <c r="I17" i="6"/>
  <c r="H17" i="6"/>
  <c r="G17" i="6"/>
  <c r="AV16" i="6" a="1"/>
  <c r="AV16" i="6" s="1"/>
  <c r="AU16" i="6"/>
  <c r="AE16" i="6"/>
  <c r="AD16" i="6"/>
  <c r="AC16" i="6"/>
  <c r="AB16" i="6"/>
  <c r="AA16" i="6"/>
  <c r="K16" i="6"/>
  <c r="J16" i="6"/>
  <c r="I16" i="6"/>
  <c r="H16" i="6"/>
  <c r="G16" i="6"/>
  <c r="AU15" i="6"/>
  <c r="AE15" i="6"/>
  <c r="AD15" i="6"/>
  <c r="AC15" i="6"/>
  <c r="AB15" i="6"/>
  <c r="AA15" i="6"/>
  <c r="K15" i="6"/>
  <c r="J15" i="6"/>
  <c r="I15" i="6"/>
  <c r="H15" i="6"/>
  <c r="G15" i="6"/>
  <c r="AU14" i="6"/>
  <c r="AE14" i="6"/>
  <c r="AD14" i="6"/>
  <c r="AC14" i="6"/>
  <c r="AB14" i="6"/>
  <c r="AA14" i="6"/>
  <c r="K14" i="6"/>
  <c r="J14" i="6"/>
  <c r="I14" i="6"/>
  <c r="H14" i="6"/>
  <c r="G14" i="6"/>
  <c r="AU13" i="6"/>
  <c r="AE13" i="6"/>
  <c r="AD13" i="6"/>
  <c r="AC13" i="6"/>
  <c r="AB13" i="6"/>
  <c r="AA13" i="6"/>
  <c r="K13" i="6"/>
  <c r="J13" i="6"/>
  <c r="I13" i="6"/>
  <c r="H13" i="6"/>
  <c r="G13" i="6"/>
  <c r="AU12" i="6"/>
  <c r="AE12" i="6"/>
  <c r="AD12" i="6"/>
  <c r="AC12" i="6"/>
  <c r="AB12" i="6"/>
  <c r="AA12" i="6"/>
  <c r="K12" i="6"/>
  <c r="J12" i="6"/>
  <c r="I12" i="6"/>
  <c r="H12" i="6"/>
  <c r="G12" i="6"/>
  <c r="AU11" i="6"/>
  <c r="AE11" i="6"/>
  <c r="AD11" i="6"/>
  <c r="AC11" i="6"/>
  <c r="AB11" i="6"/>
  <c r="AA11" i="6"/>
  <c r="K11" i="6"/>
  <c r="J11" i="6"/>
  <c r="I11" i="6"/>
  <c r="H11" i="6"/>
  <c r="G11" i="6"/>
  <c r="AV10" i="6" a="1"/>
  <c r="AV10" i="6" s="1"/>
  <c r="AU10" i="6"/>
  <c r="AE10" i="6"/>
  <c r="AD10" i="6"/>
  <c r="AC10" i="6"/>
  <c r="AB10" i="6"/>
  <c r="AA10" i="6"/>
  <c r="K10" i="6"/>
  <c r="J10" i="6"/>
  <c r="I10" i="6"/>
  <c r="H10" i="6"/>
  <c r="G10" i="6"/>
  <c r="AU9" i="6"/>
  <c r="AE9" i="6"/>
  <c r="AD9" i="6"/>
  <c r="AC9" i="6"/>
  <c r="AB9" i="6"/>
  <c r="AA9" i="6"/>
  <c r="K9" i="6"/>
  <c r="J9" i="6"/>
  <c r="I9" i="6"/>
  <c r="H9" i="6"/>
  <c r="G9" i="6"/>
  <c r="AU8" i="6"/>
  <c r="AE8" i="6"/>
  <c r="AD8" i="6"/>
  <c r="AC8" i="6"/>
  <c r="AB8" i="6"/>
  <c r="AA8" i="6"/>
  <c r="K8" i="6"/>
  <c r="J8" i="6"/>
  <c r="I8" i="6"/>
  <c r="H8" i="6"/>
  <c r="G8" i="6"/>
  <c r="AU7" i="6"/>
  <c r="AE7" i="6"/>
  <c r="AD7" i="6"/>
  <c r="AC7" i="6"/>
  <c r="AB7" i="6"/>
  <c r="AA7" i="6"/>
  <c r="K7" i="6"/>
  <c r="J7" i="6"/>
  <c r="I7" i="6"/>
  <c r="H7" i="6"/>
  <c r="G7" i="6"/>
  <c r="AU6" i="6"/>
  <c r="AE6" i="6"/>
  <c r="AD6" i="6"/>
  <c r="AC6" i="6"/>
  <c r="AB6" i="6"/>
  <c r="AA6" i="6"/>
  <c r="K6" i="6"/>
  <c r="J6" i="6"/>
  <c r="I6" i="6"/>
  <c r="H6" i="6"/>
  <c r="G6" i="6"/>
  <c r="AU5" i="6"/>
  <c r="AE5" i="6"/>
  <c r="AD5" i="6"/>
  <c r="AC5" i="6"/>
  <c r="AB5" i="6"/>
  <c r="AA5" i="6"/>
  <c r="K5" i="6"/>
  <c r="J5" i="6"/>
  <c r="I5" i="6"/>
  <c r="H5" i="6"/>
  <c r="G5" i="6"/>
  <c r="AV4" i="6" a="1"/>
  <c r="AV4" i="6" s="1"/>
  <c r="AU4" i="6"/>
  <c r="AE4" i="6"/>
  <c r="AD4" i="6"/>
  <c r="AC4" i="6"/>
  <c r="AB4" i="6"/>
  <c r="AA4" i="6"/>
  <c r="K4" i="6"/>
  <c r="J4" i="6"/>
  <c r="I4" i="6"/>
  <c r="H4" i="6"/>
  <c r="G4" i="6"/>
  <c r="W73" i="5"/>
  <c r="V73" i="5"/>
  <c r="N73" i="5"/>
  <c r="M73" i="5"/>
  <c r="W71" i="5"/>
  <c r="V71" i="5"/>
  <c r="V72" i="5" s="1"/>
  <c r="N71" i="5"/>
  <c r="M71" i="5"/>
  <c r="P67" i="5"/>
  <c r="G67" i="5"/>
  <c r="P66" i="5"/>
  <c r="G66" i="5"/>
  <c r="P65" i="5"/>
  <c r="G65" i="5"/>
  <c r="P64" i="5"/>
  <c r="G64" i="5"/>
  <c r="P63" i="5"/>
  <c r="G63" i="5"/>
  <c r="P62" i="5"/>
  <c r="G62" i="5"/>
  <c r="P61" i="5"/>
  <c r="G61" i="5"/>
  <c r="P60" i="5"/>
  <c r="G60" i="5"/>
  <c r="P59" i="5"/>
  <c r="G59" i="5"/>
  <c r="P58" i="5"/>
  <c r="G58" i="5"/>
  <c r="P57" i="5"/>
  <c r="G57" i="5"/>
  <c r="P56" i="5"/>
  <c r="G56" i="5"/>
  <c r="P55" i="5"/>
  <c r="G55" i="5"/>
  <c r="P54" i="5"/>
  <c r="G54" i="5"/>
  <c r="P53" i="5"/>
  <c r="G53" i="5"/>
  <c r="P52" i="5"/>
  <c r="G52" i="5"/>
  <c r="P51" i="5"/>
  <c r="G51" i="5"/>
  <c r="P50" i="5"/>
  <c r="G50" i="5"/>
  <c r="P49" i="5"/>
  <c r="G49" i="5"/>
  <c r="P48" i="5"/>
  <c r="G48" i="5"/>
  <c r="P47" i="5"/>
  <c r="G47" i="5"/>
  <c r="P46" i="5"/>
  <c r="G46" i="5"/>
  <c r="P45" i="5"/>
  <c r="G45" i="5"/>
  <c r="P44" i="5"/>
  <c r="G44" i="5"/>
  <c r="P43" i="5"/>
  <c r="G43" i="5"/>
  <c r="P42" i="5"/>
  <c r="G42" i="5"/>
  <c r="P41" i="5"/>
  <c r="G41" i="5"/>
  <c r="P40" i="5"/>
  <c r="G40" i="5"/>
  <c r="P39" i="5"/>
  <c r="G39" i="5"/>
  <c r="P38" i="5"/>
  <c r="G38" i="5"/>
  <c r="P37" i="5"/>
  <c r="G37" i="5"/>
  <c r="P36" i="5"/>
  <c r="G36" i="5"/>
  <c r="P35" i="5"/>
  <c r="G35" i="5"/>
  <c r="P34" i="5"/>
  <c r="G34" i="5"/>
  <c r="P33" i="5"/>
  <c r="G33" i="5"/>
  <c r="P32" i="5"/>
  <c r="G32" i="5"/>
  <c r="P31" i="5"/>
  <c r="G31" i="5"/>
  <c r="P30" i="5"/>
  <c r="G30" i="5"/>
  <c r="P29" i="5"/>
  <c r="G29" i="5"/>
  <c r="P28" i="5"/>
  <c r="G28" i="5"/>
  <c r="P27" i="5"/>
  <c r="G27" i="5"/>
  <c r="P26" i="5"/>
  <c r="G26" i="5"/>
  <c r="P25" i="5"/>
  <c r="G25" i="5"/>
  <c r="P24" i="5"/>
  <c r="G24" i="5"/>
  <c r="P23" i="5"/>
  <c r="G23" i="5"/>
  <c r="P22" i="5"/>
  <c r="G22" i="5"/>
  <c r="P21" i="5"/>
  <c r="G21" i="5"/>
  <c r="P20" i="5"/>
  <c r="G20" i="5"/>
  <c r="P19" i="5"/>
  <c r="G19" i="5"/>
  <c r="P18" i="5"/>
  <c r="G18" i="5"/>
  <c r="P17" i="5"/>
  <c r="G17" i="5"/>
  <c r="P16" i="5"/>
  <c r="G16" i="5"/>
  <c r="P15" i="5"/>
  <c r="G15" i="5"/>
  <c r="P14" i="5"/>
  <c r="G14" i="5"/>
  <c r="P13" i="5"/>
  <c r="G13" i="5"/>
  <c r="P12" i="5"/>
  <c r="G12" i="5"/>
  <c r="P11" i="5"/>
  <c r="G11" i="5"/>
  <c r="P10" i="5"/>
  <c r="G10" i="5"/>
  <c r="P9" i="5"/>
  <c r="G9" i="5"/>
  <c r="P8" i="5"/>
  <c r="G8" i="5"/>
  <c r="P7" i="5"/>
  <c r="G7" i="5"/>
  <c r="P6" i="5"/>
  <c r="G6" i="5"/>
  <c r="P5" i="5"/>
  <c r="G5" i="5"/>
  <c r="P4" i="5"/>
  <c r="G4" i="5"/>
  <c r="X47" i="3"/>
  <c r="W47" i="3"/>
  <c r="N47" i="3"/>
  <c r="M47" i="3"/>
  <c r="X45" i="3"/>
  <c r="W45" i="3"/>
  <c r="N45" i="3"/>
  <c r="M45" i="3"/>
  <c r="AB40" i="3" a="1"/>
  <c r="AB40" i="3" s="1"/>
  <c r="AA40" i="3"/>
  <c r="S40" i="3"/>
  <c r="R40" i="3"/>
  <c r="Q40" i="3"/>
  <c r="P40" i="3"/>
  <c r="I40" i="3"/>
  <c r="H40" i="3"/>
  <c r="G40" i="3"/>
  <c r="F40" i="3"/>
  <c r="AB39" i="3" a="1"/>
  <c r="AB39" i="3" s="1"/>
  <c r="AA39" i="3"/>
  <c r="S39" i="3"/>
  <c r="R39" i="3"/>
  <c r="Q39" i="3"/>
  <c r="P39" i="3"/>
  <c r="I39" i="3"/>
  <c r="H39" i="3"/>
  <c r="G39" i="3"/>
  <c r="F39" i="3"/>
  <c r="AB38" i="3" a="1"/>
  <c r="AB38" i="3" s="1"/>
  <c r="AA38" i="3"/>
  <c r="S38" i="3"/>
  <c r="R38" i="3"/>
  <c r="Q38" i="3"/>
  <c r="P38" i="3"/>
  <c r="I38" i="3"/>
  <c r="H38" i="3"/>
  <c r="G38" i="3"/>
  <c r="F38" i="3"/>
  <c r="AB37" i="3" a="1"/>
  <c r="AB37" i="3" s="1"/>
  <c r="AA37" i="3"/>
  <c r="S37" i="3"/>
  <c r="R37" i="3"/>
  <c r="Q37" i="3"/>
  <c r="P37" i="3"/>
  <c r="I37" i="3"/>
  <c r="H37" i="3"/>
  <c r="G37" i="3"/>
  <c r="F37" i="3"/>
  <c r="AB36" i="3" a="1"/>
  <c r="AB36" i="3" s="1"/>
  <c r="AA36" i="3"/>
  <c r="S36" i="3"/>
  <c r="R36" i="3"/>
  <c r="Q36" i="3"/>
  <c r="P36" i="3"/>
  <c r="I36" i="3"/>
  <c r="H36" i="3"/>
  <c r="G36" i="3"/>
  <c r="F36" i="3"/>
  <c r="AB35" i="3" a="1"/>
  <c r="AB35" i="3" s="1"/>
  <c r="AA35" i="3"/>
  <c r="S35" i="3"/>
  <c r="R35" i="3"/>
  <c r="Q35" i="3"/>
  <c r="P35" i="3"/>
  <c r="I35" i="3"/>
  <c r="H35" i="3"/>
  <c r="G35" i="3"/>
  <c r="F35" i="3"/>
  <c r="AB34" i="3" a="1"/>
  <c r="AB34" i="3" s="1"/>
  <c r="AA34" i="3"/>
  <c r="S34" i="3"/>
  <c r="R34" i="3"/>
  <c r="Q34" i="3"/>
  <c r="P34" i="3"/>
  <c r="I34" i="3"/>
  <c r="H34" i="3"/>
  <c r="G34" i="3"/>
  <c r="F34" i="3"/>
  <c r="AB33" i="3" a="1"/>
  <c r="AB33" i="3" s="1"/>
  <c r="AB43" i="3" s="1"/>
  <c r="AA33" i="3"/>
  <c r="S33" i="3"/>
  <c r="R33" i="3"/>
  <c r="Q33" i="3"/>
  <c r="P33" i="3"/>
  <c r="I33" i="3"/>
  <c r="H33" i="3"/>
  <c r="G33" i="3"/>
  <c r="F33" i="3"/>
  <c r="AB32" i="3" a="1"/>
  <c r="AB32" i="3" s="1"/>
  <c r="AA32" i="3"/>
  <c r="S32" i="3"/>
  <c r="R32" i="3"/>
  <c r="Q32" i="3"/>
  <c r="P32" i="3"/>
  <c r="I32" i="3"/>
  <c r="H32" i="3"/>
  <c r="G32" i="3"/>
  <c r="F32" i="3"/>
  <c r="AB31" i="3" a="1"/>
  <c r="AB31" i="3" s="1"/>
  <c r="AA31" i="3"/>
  <c r="S31" i="3"/>
  <c r="R31" i="3"/>
  <c r="Q31" i="3"/>
  <c r="P31" i="3"/>
  <c r="I31" i="3"/>
  <c r="H31" i="3"/>
  <c r="G31" i="3"/>
  <c r="F31" i="3"/>
  <c r="AB30" i="3" a="1"/>
  <c r="AB30" i="3" s="1"/>
  <c r="AA30" i="3"/>
  <c r="S30" i="3"/>
  <c r="R30" i="3"/>
  <c r="Q30" i="3"/>
  <c r="P30" i="3"/>
  <c r="I30" i="3"/>
  <c r="H30" i="3"/>
  <c r="G30" i="3"/>
  <c r="F30" i="3"/>
  <c r="AB29" i="3" a="1"/>
  <c r="AB29" i="3" s="1"/>
  <c r="AA29" i="3"/>
  <c r="S29" i="3"/>
  <c r="R29" i="3"/>
  <c r="Q29" i="3"/>
  <c r="P29" i="3"/>
  <c r="I29" i="3"/>
  <c r="H29" i="3"/>
  <c r="G29" i="3"/>
  <c r="F29" i="3"/>
  <c r="AB28" i="3" a="1"/>
  <c r="AB28" i="3" s="1"/>
  <c r="AA28" i="3"/>
  <c r="S28" i="3"/>
  <c r="R28" i="3"/>
  <c r="Q28" i="3"/>
  <c r="P28" i="3"/>
  <c r="I28" i="3"/>
  <c r="H28" i="3"/>
  <c r="G28" i="3"/>
  <c r="F28" i="3"/>
  <c r="AB27" i="3" a="1"/>
  <c r="AB27" i="3" s="1"/>
  <c r="AA27" i="3"/>
  <c r="S27" i="3"/>
  <c r="R27" i="3"/>
  <c r="Q27" i="3"/>
  <c r="P27" i="3"/>
  <c r="I27" i="3"/>
  <c r="H27" i="3"/>
  <c r="G27" i="3"/>
  <c r="F27" i="3"/>
  <c r="AB26" i="3" a="1"/>
  <c r="AB26" i="3"/>
  <c r="AA26" i="3"/>
  <c r="S26" i="3"/>
  <c r="R26" i="3"/>
  <c r="Q26" i="3"/>
  <c r="P26" i="3"/>
  <c r="I26" i="3"/>
  <c r="H26" i="3"/>
  <c r="G26" i="3"/>
  <c r="F26" i="3"/>
  <c r="AB25" i="3" a="1"/>
  <c r="AB25" i="3" s="1"/>
  <c r="AA25" i="3"/>
  <c r="S25" i="3"/>
  <c r="R25" i="3"/>
  <c r="Q25" i="3"/>
  <c r="P25" i="3"/>
  <c r="I25" i="3"/>
  <c r="H25" i="3"/>
  <c r="G25" i="3"/>
  <c r="F25" i="3"/>
  <c r="AB24" i="3" a="1"/>
  <c r="AB24" i="3" s="1"/>
  <c r="AB42" i="3" s="1"/>
  <c r="AA24" i="3"/>
  <c r="S24" i="3"/>
  <c r="R24" i="3"/>
  <c r="Q24" i="3"/>
  <c r="P24" i="3"/>
  <c r="I24" i="3"/>
  <c r="H24" i="3"/>
  <c r="G24" i="3"/>
  <c r="F24" i="3"/>
  <c r="AB23" i="3" a="1"/>
  <c r="AB23" i="3" s="1"/>
  <c r="AA23" i="3"/>
  <c r="S23" i="3"/>
  <c r="R23" i="3"/>
  <c r="Q23" i="3"/>
  <c r="P23" i="3"/>
  <c r="I23" i="3"/>
  <c r="H23" i="3"/>
  <c r="G23" i="3"/>
  <c r="F23" i="3"/>
  <c r="AB22" i="3" a="1"/>
  <c r="AB22" i="3" s="1"/>
  <c r="AA22" i="3"/>
  <c r="S22" i="3"/>
  <c r="R22" i="3"/>
  <c r="Q22" i="3"/>
  <c r="P22" i="3"/>
  <c r="I22" i="3"/>
  <c r="H22" i="3"/>
  <c r="G22" i="3"/>
  <c r="F22" i="3"/>
  <c r="AB21" i="3" a="1"/>
  <c r="AB21" i="3" s="1"/>
  <c r="AA21" i="3"/>
  <c r="S21" i="3"/>
  <c r="R21" i="3"/>
  <c r="Q21" i="3"/>
  <c r="P21" i="3"/>
  <c r="I21" i="3"/>
  <c r="H21" i="3"/>
  <c r="G21" i="3"/>
  <c r="F21" i="3"/>
  <c r="AB20" i="3" a="1"/>
  <c r="AB20" i="3" s="1"/>
  <c r="AA20" i="3"/>
  <c r="S20" i="3"/>
  <c r="R20" i="3"/>
  <c r="Q20" i="3"/>
  <c r="P20" i="3"/>
  <c r="I20" i="3"/>
  <c r="H20" i="3"/>
  <c r="G20" i="3"/>
  <c r="F20" i="3"/>
  <c r="AB19" i="3" a="1"/>
  <c r="AB19" i="3" s="1"/>
  <c r="AA19" i="3"/>
  <c r="S19" i="3"/>
  <c r="R19" i="3"/>
  <c r="Q19" i="3"/>
  <c r="P19" i="3"/>
  <c r="I19" i="3"/>
  <c r="H19" i="3"/>
  <c r="G19" i="3"/>
  <c r="F19" i="3"/>
  <c r="AB18" i="3" a="1"/>
  <c r="AB18" i="3" s="1"/>
  <c r="AA18" i="3"/>
  <c r="S18" i="3"/>
  <c r="R18" i="3"/>
  <c r="Q18" i="3"/>
  <c r="P18" i="3"/>
  <c r="I18" i="3"/>
  <c r="H18" i="3"/>
  <c r="G18" i="3"/>
  <c r="F18" i="3"/>
  <c r="AB17" i="3" a="1"/>
  <c r="AB17" i="3" s="1"/>
  <c r="AA17" i="3"/>
  <c r="S17" i="3"/>
  <c r="R17" i="3"/>
  <c r="Q17" i="3"/>
  <c r="P17" i="3"/>
  <c r="I17" i="3"/>
  <c r="H17" i="3"/>
  <c r="G17" i="3"/>
  <c r="F17" i="3"/>
  <c r="AB16" i="3" a="1"/>
  <c r="AB16" i="3" s="1"/>
  <c r="AA16" i="3"/>
  <c r="S16" i="3"/>
  <c r="R16" i="3"/>
  <c r="Q16" i="3"/>
  <c r="P16" i="3"/>
  <c r="I16" i="3"/>
  <c r="H16" i="3"/>
  <c r="G16" i="3"/>
  <c r="F16" i="3"/>
  <c r="AB15" i="3" a="1"/>
  <c r="AB15" i="3" s="1"/>
  <c r="AA15" i="3"/>
  <c r="S15" i="3"/>
  <c r="R15" i="3"/>
  <c r="Q15" i="3"/>
  <c r="P15" i="3"/>
  <c r="I15" i="3"/>
  <c r="H15" i="3"/>
  <c r="G15" i="3"/>
  <c r="F15" i="3"/>
  <c r="AB14" i="3" a="1"/>
  <c r="AB14" i="3" s="1"/>
  <c r="AA14" i="3"/>
  <c r="S14" i="3"/>
  <c r="R14" i="3"/>
  <c r="Q14" i="3"/>
  <c r="P14" i="3"/>
  <c r="I14" i="3"/>
  <c r="H14" i="3"/>
  <c r="G14" i="3"/>
  <c r="F14" i="3"/>
  <c r="AB13" i="3" a="1"/>
  <c r="AB13" i="3" s="1"/>
  <c r="AA13" i="3"/>
  <c r="S13" i="3"/>
  <c r="R13" i="3"/>
  <c r="Q13" i="3"/>
  <c r="P13" i="3"/>
  <c r="I13" i="3"/>
  <c r="H13" i="3"/>
  <c r="G13" i="3"/>
  <c r="F13" i="3"/>
  <c r="AB12" i="3" a="1"/>
  <c r="AB12" i="3" s="1"/>
  <c r="AA12" i="3"/>
  <c r="S12" i="3"/>
  <c r="R12" i="3"/>
  <c r="Q12" i="3"/>
  <c r="P12" i="3"/>
  <c r="I12" i="3"/>
  <c r="H12" i="3"/>
  <c r="G12" i="3"/>
  <c r="F12" i="3"/>
  <c r="AB11" i="3" a="1"/>
  <c r="AB11" i="3" s="1"/>
  <c r="AA11" i="3"/>
  <c r="S11" i="3"/>
  <c r="R11" i="3"/>
  <c r="Q11" i="3"/>
  <c r="P11" i="3"/>
  <c r="I11" i="3"/>
  <c r="H11" i="3"/>
  <c r="G11" i="3"/>
  <c r="F11" i="3"/>
  <c r="AB10" i="3" a="1"/>
  <c r="AB10" i="3" s="1"/>
  <c r="AA10" i="3"/>
  <c r="S10" i="3"/>
  <c r="R10" i="3"/>
  <c r="Q10" i="3"/>
  <c r="P10" i="3"/>
  <c r="I10" i="3"/>
  <c r="H10" i="3"/>
  <c r="G10" i="3"/>
  <c r="F10" i="3"/>
  <c r="AB9" i="3" a="1"/>
  <c r="AB9" i="3" s="1"/>
  <c r="AA9" i="3"/>
  <c r="S9" i="3"/>
  <c r="R9" i="3"/>
  <c r="Q9" i="3"/>
  <c r="P9" i="3"/>
  <c r="I9" i="3"/>
  <c r="H9" i="3"/>
  <c r="G9" i="3"/>
  <c r="F9" i="3"/>
  <c r="AB8" i="3" a="1"/>
  <c r="AB8" i="3" s="1"/>
  <c r="AA8" i="3"/>
  <c r="S8" i="3"/>
  <c r="R8" i="3"/>
  <c r="Q8" i="3"/>
  <c r="P8" i="3"/>
  <c r="I8" i="3"/>
  <c r="H8" i="3"/>
  <c r="G8" i="3"/>
  <c r="F8" i="3"/>
  <c r="AB7" i="3" a="1"/>
  <c r="AB7" i="3"/>
  <c r="AA7" i="3"/>
  <c r="S7" i="3"/>
  <c r="R7" i="3"/>
  <c r="Q7" i="3"/>
  <c r="P7" i="3"/>
  <c r="I7" i="3"/>
  <c r="H7" i="3"/>
  <c r="G7" i="3"/>
  <c r="F7" i="3"/>
  <c r="AB6" i="3" a="1"/>
  <c r="AB6" i="3" s="1"/>
  <c r="AA6" i="3"/>
  <c r="S6" i="3"/>
  <c r="R6" i="3"/>
  <c r="Q6" i="3"/>
  <c r="P6" i="3"/>
  <c r="I6" i="3"/>
  <c r="H6" i="3"/>
  <c r="G6" i="3"/>
  <c r="F6" i="3"/>
  <c r="AB5" i="3" a="1"/>
  <c r="AB5" i="3" s="1"/>
  <c r="AA5" i="3"/>
  <c r="S5" i="3"/>
  <c r="R5" i="3"/>
  <c r="Q5" i="3"/>
  <c r="P5" i="3"/>
  <c r="I5" i="3"/>
  <c r="H5" i="3"/>
  <c r="G5" i="3"/>
  <c r="F5" i="3"/>
  <c r="AB4" i="3" a="1"/>
  <c r="AB4" i="3" s="1"/>
  <c r="AA4" i="3"/>
  <c r="S4" i="3"/>
  <c r="R4" i="3"/>
  <c r="Q4" i="3"/>
  <c r="P4" i="3"/>
  <c r="I4" i="3"/>
  <c r="H4" i="3"/>
  <c r="G4" i="3"/>
  <c r="F4" i="3"/>
  <c r="BK19" i="10"/>
  <c r="BS19" i="10"/>
  <c r="BQ19" i="10"/>
  <c r="BO19" i="10"/>
  <c r="BR19" i="10"/>
  <c r="BI19" i="10"/>
  <c r="BM19" i="10"/>
  <c r="BJ19" i="10"/>
  <c r="BP19" i="10"/>
  <c r="BL19" i="10"/>
  <c r="BP19" i="9"/>
  <c r="BQ19" i="9"/>
  <c r="BI19" i="9"/>
  <c r="BK19" i="9"/>
  <c r="BJ19" i="9"/>
  <c r="BS19" i="9"/>
  <c r="BL19" i="9"/>
  <c r="BM19" i="9"/>
  <c r="BR19" i="9"/>
  <c r="BO19" i="9"/>
  <c r="V5" i="20" l="1"/>
  <c r="AD23" i="22"/>
  <c r="C166" i="1" s="1"/>
  <c r="Z38" i="23"/>
  <c r="Z8" i="13"/>
  <c r="W74" i="5"/>
  <c r="C23" i="1" s="1"/>
  <c r="AA24" i="15"/>
  <c r="AS233" i="6"/>
  <c r="C33" i="1" s="1"/>
  <c r="BB6" i="12"/>
  <c r="AH5" i="11"/>
  <c r="AD13" i="7"/>
  <c r="AC26" i="18"/>
  <c r="C137" i="1" s="1"/>
  <c r="X46" i="3"/>
  <c r="S9" i="20"/>
  <c r="AF13" i="7"/>
  <c r="AG30" i="9"/>
  <c r="AW15" i="12"/>
  <c r="C89" i="1" s="1"/>
  <c r="J12" i="13"/>
  <c r="BD6" i="8" a="1"/>
  <c r="BD6" i="8" s="1"/>
  <c r="AV13" i="8"/>
  <c r="BB8" i="12"/>
  <c r="AX13" i="12"/>
  <c r="BF18" i="9"/>
  <c r="AH18" i="9"/>
  <c r="BF6" i="9"/>
  <c r="BF16" i="10"/>
  <c r="BF7" i="9"/>
  <c r="AH7" i="9"/>
  <c r="BF23" i="10"/>
  <c r="BD8" i="12" a="1"/>
  <c r="BD8" i="12" s="1"/>
  <c r="BD10" i="12" s="1"/>
  <c r="BF15" i="10"/>
  <c r="AH22" i="10"/>
  <c r="BF22" i="10"/>
  <c r="BF24" i="10"/>
  <c r="W48" i="3"/>
  <c r="C13" i="1" s="1"/>
  <c r="AG8" i="8"/>
  <c r="BC8" i="8"/>
  <c r="AH21" i="10"/>
  <c r="BF21" i="10"/>
  <c r="BF6" i="10"/>
  <c r="K6" i="10"/>
  <c r="BF7" i="10"/>
  <c r="K7" i="10"/>
  <c r="BF17" i="10"/>
  <c r="AG4" i="12"/>
  <c r="BD4" i="12" a="1"/>
  <c r="BD4" i="12" s="1"/>
  <c r="BF15" i="9"/>
  <c r="AH15" i="9"/>
  <c r="BF5" i="10"/>
  <c r="K5" i="10"/>
  <c r="BF13" i="10"/>
  <c r="AH13" i="10"/>
  <c r="BG19" i="10" a="1"/>
  <c r="BG19" i="10" s="1"/>
  <c r="AH19" i="10"/>
  <c r="T42" i="16"/>
  <c r="BF23" i="9"/>
  <c r="AH23" i="9"/>
  <c r="BF8" i="10"/>
  <c r="K8" i="10"/>
  <c r="BF20" i="10"/>
  <c r="J11" i="13"/>
  <c r="BF28" i="9"/>
  <c r="AH28" i="9"/>
  <c r="BF19" i="10"/>
  <c r="BF25" i="10"/>
  <c r="AH25" i="10"/>
  <c r="G7" i="20"/>
  <c r="Z6" i="21"/>
  <c r="Z9" i="21"/>
  <c r="BC6" i="8"/>
  <c r="AG6" i="8"/>
  <c r="BF5" i="9"/>
  <c r="AH5" i="9"/>
  <c r="AH4" i="7"/>
  <c r="W10" i="7"/>
  <c r="AH10" i="7" s="1"/>
  <c r="C41" i="1" s="1"/>
  <c r="AH8" i="7"/>
  <c r="AH6" i="9"/>
  <c r="BF12" i="10"/>
  <c r="AH12" i="10"/>
  <c r="BF18" i="10"/>
  <c r="BG24" i="10" a="1"/>
  <c r="BG24" i="10" s="1"/>
  <c r="BG30" i="10" s="1"/>
  <c r="AH24" i="10"/>
  <c r="AR233" i="6"/>
  <c r="C32" i="1" s="1"/>
  <c r="BF12" i="9"/>
  <c r="BF27" i="9"/>
  <c r="BF11" i="10"/>
  <c r="X14" i="13"/>
  <c r="AA26" i="15"/>
  <c r="C114" i="1" s="1"/>
  <c r="AA46" i="16"/>
  <c r="C123" i="1" s="1"/>
  <c r="AB26" i="18"/>
  <c r="C136" i="1" s="1"/>
  <c r="AB24" i="19"/>
  <c r="V6" i="20"/>
  <c r="BF17" i="9"/>
  <c r="BF27" i="10"/>
  <c r="W16" i="21"/>
  <c r="C159" i="1" s="1"/>
  <c r="AD21" i="22"/>
  <c r="AS231" i="6"/>
  <c r="BF8" i="9"/>
  <c r="BF9" i="10"/>
  <c r="BF26" i="10"/>
  <c r="Z10" i="3"/>
  <c r="G42" i="3"/>
  <c r="Q44" i="3"/>
  <c r="AB44" i="3"/>
  <c r="AB41" i="3"/>
  <c r="Z7" i="3"/>
  <c r="Z8" i="3"/>
  <c r="Z11" i="3"/>
  <c r="BD7" i="8" a="1"/>
  <c r="BD7" i="8" s="1"/>
  <c r="BF4" i="9"/>
  <c r="BG4" i="9" a="1"/>
  <c r="BG4" i="9" s="1"/>
  <c r="AC13" i="11"/>
  <c r="Z5" i="21"/>
  <c r="AC13" i="7"/>
  <c r="AE15" i="7"/>
  <c r="C44" i="1" s="1"/>
  <c r="AX13" i="8"/>
  <c r="AW15" i="8"/>
  <c r="C53" i="1" s="1"/>
  <c r="BG19" i="9" a="1"/>
  <c r="BG19" i="9" s="1"/>
  <c r="BF19" i="9"/>
  <c r="BA33" i="10"/>
  <c r="BA35" i="10"/>
  <c r="AH6" i="11"/>
  <c r="AH8" i="11"/>
  <c r="BD6" i="12" a="1"/>
  <c r="BD6" i="12" s="1"/>
  <c r="BB7" i="12"/>
  <c r="T22" i="15"/>
  <c r="T41" i="16"/>
  <c r="J36" i="23"/>
  <c r="Z6" i="3"/>
  <c r="Z23" i="3"/>
  <c r="AF15" i="7"/>
  <c r="AU13" i="8"/>
  <c r="BF11" i="9"/>
  <c r="AZ33" i="9"/>
  <c r="AZ35" i="9"/>
  <c r="C62" i="1" s="1"/>
  <c r="BF4" i="10"/>
  <c r="J30" i="10"/>
  <c r="AX33" i="10"/>
  <c r="AX35" i="10"/>
  <c r="C70" i="1" s="1"/>
  <c r="AU13" i="12"/>
  <c r="AX15" i="12"/>
  <c r="Z7" i="13"/>
  <c r="AB226" i="6"/>
  <c r="AG29" i="9"/>
  <c r="BG9" i="9" a="1"/>
  <c r="BG9" i="9" s="1"/>
  <c r="BF9" i="9"/>
  <c r="BF21" i="9"/>
  <c r="BF25" i="9"/>
  <c r="AG31" i="9"/>
  <c r="BA35" i="9"/>
  <c r="W10" i="11"/>
  <c r="AH10" i="11" s="1"/>
  <c r="C77" i="1" s="1"/>
  <c r="AE15" i="11"/>
  <c r="C80" i="1" s="1"/>
  <c r="AV13" i="12"/>
  <c r="AU15" i="12"/>
  <c r="C88" i="1" s="1"/>
  <c r="V74" i="5"/>
  <c r="C22" i="1" s="1"/>
  <c r="H226" i="6"/>
  <c r="AC15" i="7"/>
  <c r="C43" i="1" s="1"/>
  <c r="BF10" i="9"/>
  <c r="BF14" i="9"/>
  <c r="J30" i="9"/>
  <c r="AX33" i="9"/>
  <c r="AX35" i="9"/>
  <c r="C61" i="1" s="1"/>
  <c r="AY33" i="10"/>
  <c r="AY35" i="10"/>
  <c r="AD13" i="11"/>
  <c r="AC15" i="11"/>
  <c r="C79" i="1" s="1"/>
  <c r="AW13" i="12"/>
  <c r="AV15" i="12"/>
  <c r="AG24" i="14"/>
  <c r="AG26" i="14"/>
  <c r="C107" i="1" s="1"/>
  <c r="J22" i="15"/>
  <c r="J42" i="16"/>
  <c r="AA44" i="16"/>
  <c r="J22" i="17"/>
  <c r="Z26" i="17"/>
  <c r="C129" i="1" s="1"/>
  <c r="AB24" i="18"/>
  <c r="AC24" i="19"/>
  <c r="AC26" i="19"/>
  <c r="C144" i="1" s="1"/>
  <c r="T9" i="20"/>
  <c r="X14" i="21"/>
  <c r="Z40" i="23"/>
  <c r="C175" i="1" s="1"/>
  <c r="Z5" i="3"/>
  <c r="Z9" i="3"/>
  <c r="W46" i="3"/>
  <c r="X48" i="3"/>
  <c r="C14" i="1" s="1"/>
  <c r="W72" i="5"/>
  <c r="AB228" i="6"/>
  <c r="AR231" i="6"/>
  <c r="J11" i="7"/>
  <c r="W11" i="7"/>
  <c r="BD8" i="8" a="1"/>
  <c r="BD8" i="8" s="1"/>
  <c r="BD10" i="8" s="1"/>
  <c r="AU15" i="8"/>
  <c r="C52" i="1" s="1"/>
  <c r="BF13" i="9"/>
  <c r="BF16" i="9"/>
  <c r="BF26" i="9"/>
  <c r="AY33" i="9"/>
  <c r="AY35" i="9"/>
  <c r="AG31" i="10"/>
  <c r="BG9" i="10" a="1"/>
  <c r="BG9" i="10" s="1"/>
  <c r="J29" i="10"/>
  <c r="BF10" i="10"/>
  <c r="BF28" i="10"/>
  <c r="AZ33" i="10"/>
  <c r="AZ35" i="10"/>
  <c r="C71" i="1" s="1"/>
  <c r="AD15" i="11"/>
  <c r="W16" i="13"/>
  <c r="C99" i="1" s="1"/>
  <c r="AF24" i="14"/>
  <c r="Z26" i="15"/>
  <c r="C113" i="1" s="1"/>
  <c r="T40" i="16"/>
  <c r="Z46" i="16"/>
  <c r="C122" i="1" s="1"/>
  <c r="Z24" i="17"/>
  <c r="AC24" i="18"/>
  <c r="AB26" i="19"/>
  <c r="C143" i="1" s="1"/>
  <c r="S11" i="20"/>
  <c r="C150" i="1" s="1"/>
  <c r="W14" i="21"/>
  <c r="G19" i="22"/>
  <c r="AE23" i="22"/>
  <c r="C167" i="1" s="1"/>
  <c r="J34" i="23"/>
  <c r="AA40" i="23"/>
  <c r="C176" i="1" s="1"/>
  <c r="G44" i="3"/>
  <c r="G41" i="3"/>
  <c r="Z16" i="3"/>
  <c r="Z20" i="3"/>
  <c r="Z36" i="3"/>
  <c r="Q43" i="3"/>
  <c r="BB8" i="8"/>
  <c r="AF10" i="8"/>
  <c r="BB10" i="8" s="1"/>
  <c r="C50" i="1" s="1"/>
  <c r="AX15" i="8"/>
  <c r="Z12" i="3"/>
  <c r="Z24" i="3"/>
  <c r="Z28" i="3"/>
  <c r="Z32" i="3"/>
  <c r="Z40" i="3"/>
  <c r="J9" i="7"/>
  <c r="Z15" i="3"/>
  <c r="Z19" i="3"/>
  <c r="Z27" i="3"/>
  <c r="Z14" i="3"/>
  <c r="Z18" i="3"/>
  <c r="Z22" i="3"/>
  <c r="Z26" i="3"/>
  <c r="Z30" i="3"/>
  <c r="Z34" i="3"/>
  <c r="Z38" i="3"/>
  <c r="Q41" i="3"/>
  <c r="AB229" i="6"/>
  <c r="AH5" i="7"/>
  <c r="AE13" i="7"/>
  <c r="BC4" i="8"/>
  <c r="BB7" i="8"/>
  <c r="AV15" i="8"/>
  <c r="BF14" i="10"/>
  <c r="BG14" i="10" a="1"/>
  <c r="BG14" i="10" s="1"/>
  <c r="J11" i="11"/>
  <c r="J9" i="11"/>
  <c r="AH4" i="11"/>
  <c r="W9" i="11"/>
  <c r="J9" i="12"/>
  <c r="J11" i="12"/>
  <c r="AF11" i="12"/>
  <c r="AF9" i="12"/>
  <c r="BB4" i="12"/>
  <c r="Z4" i="3"/>
  <c r="Z13" i="3"/>
  <c r="Z17" i="3"/>
  <c r="Z21" i="3"/>
  <c r="Z25" i="3"/>
  <c r="Z29" i="3"/>
  <c r="G43" i="3"/>
  <c r="Z33" i="3"/>
  <c r="Z37" i="3"/>
  <c r="H229" i="6"/>
  <c r="H228" i="6"/>
  <c r="AD15" i="7"/>
  <c r="BD4" i="8" a="1"/>
  <c r="BD4" i="8" s="1"/>
  <c r="BD5" i="8" a="1"/>
  <c r="BD5" i="8" s="1"/>
  <c r="BC5" i="8"/>
  <c r="AF9" i="8"/>
  <c r="J29" i="9"/>
  <c r="J31" i="9"/>
  <c r="BG14" i="9" a="1"/>
  <c r="BG14" i="9" s="1"/>
  <c r="BA33" i="9"/>
  <c r="AG29" i="10"/>
  <c r="J41" i="16"/>
  <c r="O7" i="20"/>
  <c r="T36" i="23"/>
  <c r="T35" i="23"/>
  <c r="W11" i="11"/>
  <c r="BB5" i="12"/>
  <c r="U22" i="18"/>
  <c r="S11" i="21"/>
  <c r="Z11" i="21" s="1"/>
  <c r="C157" i="1" s="1"/>
  <c r="Z7" i="21"/>
  <c r="T34" i="23"/>
  <c r="Z31" i="3"/>
  <c r="Z35" i="3"/>
  <c r="Z39" i="3"/>
  <c r="Q42" i="3"/>
  <c r="AV226" i="6"/>
  <c r="AV229" i="6"/>
  <c r="AB227" i="6"/>
  <c r="H227" i="6"/>
  <c r="AH6" i="7"/>
  <c r="AH7" i="7"/>
  <c r="J11" i="8"/>
  <c r="J9" i="8"/>
  <c r="BB4" i="8"/>
  <c r="AF11" i="8"/>
  <c r="BB6" i="8"/>
  <c r="BC7" i="8"/>
  <c r="BF22" i="9"/>
  <c r="BG4" i="10" a="1"/>
  <c r="BG4" i="10" s="1"/>
  <c r="AE13" i="11"/>
  <c r="BC7" i="12"/>
  <c r="BD7" i="12" a="1"/>
  <c r="BD7" i="12" s="1"/>
  <c r="J40" i="16"/>
  <c r="J22" i="19"/>
  <c r="J35" i="23"/>
  <c r="AW13" i="8"/>
  <c r="BF20" i="9"/>
  <c r="BG24" i="9" a="1"/>
  <c r="BG24" i="9" s="1"/>
  <c r="BG30" i="9" s="1"/>
  <c r="BF24" i="9"/>
  <c r="AF15" i="11"/>
  <c r="BC5" i="12"/>
  <c r="BD5" i="12" a="1"/>
  <c r="BD5" i="12" s="1"/>
  <c r="S12" i="13"/>
  <c r="Z12" i="13" s="1"/>
  <c r="C98" i="1" s="1"/>
  <c r="S10" i="13"/>
  <c r="Z4" i="13"/>
  <c r="Z5" i="13"/>
  <c r="Z6" i="13"/>
  <c r="J10" i="13"/>
  <c r="J22" i="18"/>
  <c r="T19" i="22"/>
  <c r="W9" i="7"/>
  <c r="BB5" i="8"/>
  <c r="BB10" i="12"/>
  <c r="C86" i="1" s="1"/>
  <c r="J12" i="21"/>
  <c r="Z4" i="21"/>
  <c r="S12" i="21"/>
  <c r="S10" i="21"/>
  <c r="Z10" i="21" s="1"/>
  <c r="C156" i="1" s="1"/>
  <c r="AH7" i="11"/>
  <c r="BC6" i="12"/>
  <c r="Z9" i="13"/>
  <c r="S11" i="13"/>
  <c r="X16" i="13"/>
  <c r="C100" i="1" s="1"/>
  <c r="T22" i="17"/>
  <c r="J31" i="10"/>
  <c r="AG30" i="10"/>
  <c r="BC4" i="12"/>
  <c r="BC8" i="12"/>
  <c r="U22" i="19"/>
  <c r="Z8" i="21"/>
  <c r="V7" i="20" l="1"/>
  <c r="C149" i="1" s="1"/>
  <c r="Z44" i="3"/>
  <c r="C12" i="1" s="1"/>
  <c r="BD11" i="12"/>
  <c r="Z42" i="3"/>
  <c r="C10" i="1" s="1"/>
  <c r="AH11" i="7"/>
  <c r="C42" i="1" s="1"/>
  <c r="BG31" i="9"/>
  <c r="Z11" i="13"/>
  <c r="C97" i="1" s="1"/>
  <c r="AH9" i="11"/>
  <c r="C76" i="1" s="1"/>
  <c r="AH11" i="11"/>
  <c r="C78" i="1" s="1"/>
  <c r="BB11" i="12"/>
  <c r="C87" i="1" s="1"/>
  <c r="BD9" i="12"/>
  <c r="BG29" i="9"/>
  <c r="AH9" i="7"/>
  <c r="C40" i="1" s="1"/>
  <c r="BB9" i="8"/>
  <c r="C49" i="1" s="1"/>
  <c r="Z12" i="21"/>
  <c r="C158" i="1" s="1"/>
  <c r="BB11" i="8"/>
  <c r="C51" i="1" s="1"/>
  <c r="Z41" i="3"/>
  <c r="C9" i="1" s="1"/>
  <c r="BB9" i="12"/>
  <c r="C85" i="1" s="1"/>
  <c r="Z10" i="13"/>
  <c r="C96" i="1" s="1"/>
  <c r="BG29" i="10"/>
  <c r="BG31" i="10"/>
  <c r="Z43" i="3"/>
  <c r="C11" i="1" s="1"/>
  <c r="BD9" i="8"/>
  <c r="BD11" i="8"/>
  <c r="AG14" i="22"/>
  <c r="AY106" i="6"/>
  <c r="BD70" i="6"/>
  <c r="AE19" i="23"/>
  <c r="AZ166" i="6"/>
  <c r="BH10" i="6"/>
  <c r="Z52" i="5"/>
  <c r="AA12" i="5"/>
  <c r="BA130" i="6"/>
  <c r="BF40" i="6"/>
  <c r="AD16" i="17"/>
  <c r="BB16" i="6"/>
  <c r="BJ136" i="6"/>
  <c r="BF34" i="6"/>
  <c r="BF22" i="6"/>
  <c r="AA60" i="5"/>
  <c r="AG16" i="18"/>
  <c r="BF142" i="6"/>
  <c r="AY166" i="6"/>
  <c r="AF4" i="18"/>
  <c r="BO14" i="9"/>
  <c r="BA40" i="6"/>
  <c r="AY154" i="6"/>
  <c r="BJ190" i="6"/>
  <c r="BE34" i="6"/>
  <c r="Z4" i="5"/>
  <c r="AZ10" i="6"/>
  <c r="BS24" i="9"/>
  <c r="BH40" i="6"/>
  <c r="AY64" i="6"/>
  <c r="AA28" i="5"/>
  <c r="BB202" i="6"/>
  <c r="BS9" i="10"/>
  <c r="AY148" i="6"/>
  <c r="BQ9" i="10"/>
  <c r="BA88" i="6"/>
  <c r="BA4" i="6"/>
  <c r="AA64" i="5"/>
  <c r="BA16" i="6"/>
  <c r="AZ76" i="6"/>
  <c r="AZ154" i="6"/>
  <c r="AX76" i="6"/>
  <c r="AF16" i="19"/>
  <c r="AO16" i="14"/>
  <c r="BH124" i="6"/>
  <c r="BK14" i="10"/>
  <c r="AD10" i="16"/>
  <c r="BJ124" i="6"/>
  <c r="BD184" i="6"/>
  <c r="BF64" i="6"/>
  <c r="BJ118" i="6"/>
  <c r="BH190" i="6"/>
  <c r="BD46" i="6"/>
  <c r="AC4" i="17"/>
  <c r="AZ34" i="6"/>
  <c r="AD34" i="16"/>
  <c r="AC16" i="15"/>
  <c r="BH112" i="6"/>
  <c r="BE28" i="6"/>
  <c r="AZ124" i="6"/>
  <c r="AC14" i="23"/>
  <c r="AY58" i="6"/>
  <c r="BL9" i="10"/>
  <c r="BF100" i="6"/>
  <c r="BK9" i="10"/>
  <c r="BI136" i="6"/>
  <c r="AX106" i="6"/>
  <c r="BJ9" i="10"/>
  <c r="BE172" i="6"/>
  <c r="AX160" i="6"/>
  <c r="AZ196" i="6"/>
  <c r="AC10" i="17"/>
  <c r="BD160" i="6"/>
  <c r="Z20" i="5"/>
  <c r="AM9" i="22"/>
  <c r="BA160" i="6"/>
  <c r="BJ112" i="6"/>
  <c r="AO10" i="14"/>
  <c r="Z48" i="5"/>
  <c r="BE196" i="6"/>
  <c r="AY196" i="6"/>
  <c r="BA136" i="6"/>
  <c r="AA4" i="5"/>
  <c r="BD136" i="6"/>
  <c r="Z60" i="5"/>
  <c r="Y20" i="5"/>
  <c r="AD28" i="16"/>
  <c r="AI4" i="14"/>
  <c r="AA24" i="5"/>
  <c r="BD10" i="6"/>
  <c r="BI22" i="6"/>
  <c r="BI82" i="6"/>
  <c r="BH76" i="6"/>
  <c r="BO9" i="10"/>
  <c r="AC34" i="16"/>
  <c r="BD40" i="6"/>
  <c r="BM9" i="10"/>
  <c r="BF52" i="6"/>
  <c r="BD202" i="6"/>
  <c r="BH202" i="6"/>
  <c r="BH34" i="6"/>
  <c r="AG10" i="19"/>
  <c r="AZ112" i="6"/>
  <c r="BB172" i="6"/>
  <c r="Y52" i="5"/>
  <c r="BH214" i="6"/>
  <c r="BD148" i="6"/>
  <c r="AK4" i="22"/>
  <c r="BB160" i="6"/>
  <c r="AA44" i="5"/>
  <c r="BH208" i="6"/>
  <c r="BE142" i="6"/>
  <c r="AJ10" i="14"/>
  <c r="AY4" i="6"/>
  <c r="BF70" i="6"/>
  <c r="AZ4" i="6"/>
  <c r="AF10" i="19"/>
  <c r="AC29" i="23"/>
  <c r="BA10" i="6"/>
  <c r="BH172" i="6"/>
  <c r="AE16" i="19"/>
  <c r="BJ14" i="9"/>
  <c r="BF172" i="6"/>
  <c r="BQ24" i="9"/>
  <c r="Y64" i="5"/>
  <c r="AZ118" i="6"/>
  <c r="BD112" i="6"/>
  <c r="AY190" i="6"/>
  <c r="AY94" i="6"/>
  <c r="AZ64" i="6"/>
  <c r="AN16" i="14"/>
  <c r="AG4" i="18"/>
  <c r="BD124" i="6"/>
  <c r="BH22" i="6"/>
  <c r="AC4" i="16"/>
  <c r="AZ184" i="6"/>
  <c r="Y8" i="5"/>
  <c r="AZ88" i="6"/>
  <c r="BJ76" i="6"/>
  <c r="AZ106" i="6"/>
  <c r="AX178" i="6"/>
  <c r="BE22" i="6"/>
  <c r="Y36" i="5"/>
  <c r="BF94" i="6"/>
  <c r="BL14" i="9"/>
  <c r="BF202" i="6"/>
  <c r="BD22" i="6"/>
  <c r="AD4" i="16"/>
  <c r="AY178" i="6"/>
  <c r="BE118" i="6"/>
  <c r="BH178" i="6"/>
  <c r="AZ214" i="6"/>
  <c r="BH52" i="6"/>
  <c r="BJ82" i="6"/>
  <c r="Z64" i="5"/>
  <c r="AJ4" i="14"/>
  <c r="BA22" i="6"/>
  <c r="AY118" i="6"/>
  <c r="BB208" i="6"/>
  <c r="AK4" i="14"/>
  <c r="BD166" i="6"/>
  <c r="BR24" i="9"/>
  <c r="BA52" i="6"/>
  <c r="AZ220" i="6"/>
  <c r="AX64" i="6"/>
  <c r="BB22" i="6"/>
  <c r="BJ34" i="6"/>
  <c r="AX34" i="6"/>
  <c r="AH14" i="22"/>
  <c r="AA16" i="5"/>
  <c r="BF106" i="6"/>
  <c r="BH118" i="6"/>
  <c r="BH142" i="6"/>
  <c r="AC4" i="23"/>
  <c r="AY46" i="6"/>
  <c r="Y56" i="5"/>
  <c r="BR9" i="10"/>
  <c r="AK10" i="14"/>
  <c r="AI14" i="22"/>
  <c r="AY34" i="6"/>
  <c r="AX82" i="6"/>
  <c r="BE214" i="6"/>
  <c r="AX40" i="6"/>
  <c r="BI76" i="6"/>
  <c r="BD58" i="6"/>
  <c r="BF184" i="6"/>
  <c r="AE10" i="19"/>
  <c r="AE10" i="15"/>
  <c r="AK14" i="22"/>
  <c r="BD64" i="6"/>
  <c r="BJ154" i="6"/>
  <c r="BI94" i="6"/>
  <c r="BE82" i="6"/>
  <c r="BP24" i="9"/>
  <c r="Z56" i="5"/>
  <c r="BI202" i="6"/>
  <c r="Y60" i="5"/>
  <c r="BE208" i="6"/>
  <c r="BF58" i="6"/>
  <c r="AZ70" i="6"/>
  <c r="BO24" i="9"/>
  <c r="BJ4" i="6"/>
  <c r="BE202" i="6"/>
  <c r="BM14" i="10"/>
  <c r="AX190" i="6"/>
  <c r="BA148" i="6"/>
  <c r="AH9" i="22"/>
  <c r="BI160" i="6"/>
  <c r="BP14" i="10"/>
  <c r="BH136" i="6"/>
  <c r="AJ16" i="14"/>
  <c r="AY16" i="6"/>
  <c r="BQ14" i="10"/>
  <c r="AY136" i="6"/>
  <c r="AX202" i="6"/>
  <c r="AO4" i="14"/>
  <c r="BI178" i="6"/>
  <c r="AC16" i="17"/>
  <c r="AX214" i="6"/>
  <c r="BA106" i="6"/>
  <c r="BI88" i="6"/>
  <c r="BF130" i="6"/>
  <c r="BF160" i="6"/>
  <c r="BE160" i="6"/>
  <c r="BH16" i="6"/>
  <c r="AZ58" i="6"/>
  <c r="AX172" i="6"/>
  <c r="BR14" i="10"/>
  <c r="BF112" i="6"/>
  <c r="AC10" i="15"/>
  <c r="AD10" i="17"/>
  <c r="AX154" i="6"/>
  <c r="BJ196" i="6"/>
  <c r="AE16" i="18"/>
  <c r="BJ142" i="6"/>
  <c r="BS14" i="9"/>
  <c r="AZ16" i="6"/>
  <c r="BH64" i="6"/>
  <c r="AY112" i="6"/>
  <c r="BI100" i="6"/>
  <c r="AX118" i="6"/>
  <c r="Z36" i="5"/>
  <c r="BB214" i="6"/>
  <c r="BI40" i="6"/>
  <c r="AZ160" i="6"/>
  <c r="BA166" i="6"/>
  <c r="BH58" i="6"/>
  <c r="BH82" i="6"/>
  <c r="BJ10" i="6"/>
  <c r="BB58" i="6"/>
  <c r="BF178" i="6"/>
  <c r="AE4" i="18"/>
  <c r="AI10" i="14"/>
  <c r="BF196" i="6"/>
  <c r="BB136" i="6"/>
  <c r="AF10" i="18"/>
  <c r="BE124" i="6"/>
  <c r="BS14" i="10"/>
  <c r="BH46" i="6"/>
  <c r="AA40" i="5"/>
  <c r="AM14" i="22"/>
  <c r="BI14" i="10"/>
  <c r="BD220" i="6"/>
  <c r="Y44" i="5"/>
  <c r="AN10" i="14"/>
  <c r="AA8" i="5"/>
  <c r="BE4" i="6"/>
  <c r="BJ70" i="6"/>
  <c r="Z44" i="5"/>
  <c r="BE166" i="6"/>
  <c r="BB196" i="6"/>
  <c r="BF10" i="6"/>
  <c r="AE14" i="23"/>
  <c r="BD208" i="6"/>
  <c r="BE100" i="6"/>
  <c r="BA196" i="6"/>
  <c r="BB190" i="6"/>
  <c r="BA82" i="6"/>
  <c r="BF16" i="6"/>
  <c r="BE70" i="6"/>
  <c r="AX166" i="6"/>
  <c r="AA36" i="5"/>
  <c r="BI220" i="6"/>
  <c r="AC10" i="16"/>
  <c r="BI28" i="6"/>
  <c r="AZ52" i="6"/>
  <c r="BH94" i="6"/>
  <c r="AE4" i="19"/>
  <c r="BF88" i="6"/>
  <c r="BD118" i="6"/>
  <c r="AZ28" i="6"/>
  <c r="AY76" i="6"/>
  <c r="AY208" i="6"/>
  <c r="BD196" i="6"/>
  <c r="AX70" i="6"/>
  <c r="BI148" i="6"/>
  <c r="AY124" i="6"/>
  <c r="BJ202" i="6"/>
  <c r="BA46" i="6"/>
  <c r="BF136" i="6"/>
  <c r="BM24" i="9"/>
  <c r="AX148" i="6"/>
  <c r="AX4" i="6"/>
  <c r="AA52" i="5"/>
  <c r="BB220" i="6"/>
  <c r="AZ46" i="6"/>
  <c r="BI14" i="9"/>
  <c r="BI34" i="6"/>
  <c r="BB118" i="6"/>
  <c r="AL14" i="22"/>
  <c r="AX220" i="6"/>
  <c r="BJ166" i="6"/>
  <c r="BI190" i="6"/>
  <c r="AX130" i="6"/>
  <c r="AZ82" i="6"/>
  <c r="BA178" i="6"/>
  <c r="BI24" i="9"/>
  <c r="AY202" i="6"/>
  <c r="BI124" i="6"/>
  <c r="BE46" i="6"/>
  <c r="BD190" i="6"/>
  <c r="AY172" i="6"/>
  <c r="BJ58" i="6"/>
  <c r="BJ28" i="6"/>
  <c r="AY10" i="6"/>
  <c r="BB40" i="6"/>
  <c r="AL4" i="22"/>
  <c r="AX16" i="6"/>
  <c r="AE9" i="23"/>
  <c r="AE4" i="23"/>
  <c r="BJ100" i="6"/>
  <c r="BH88" i="6"/>
  <c r="BJ16" i="6"/>
  <c r="BE184" i="6"/>
  <c r="BI166" i="6"/>
  <c r="BJ106" i="6"/>
  <c r="BD130" i="6"/>
  <c r="BE112" i="6"/>
  <c r="BD76" i="6"/>
  <c r="AX52" i="6"/>
  <c r="BA112" i="6"/>
  <c r="AK9" i="22"/>
  <c r="BA172" i="6"/>
  <c r="BJ208" i="6"/>
  <c r="BA190" i="6"/>
  <c r="BE154" i="6"/>
  <c r="BR14" i="9"/>
  <c r="BD154" i="6"/>
  <c r="BB28" i="6"/>
  <c r="BD4" i="6"/>
  <c r="AY184" i="6"/>
  <c r="BI106" i="6"/>
  <c r="BB106" i="6"/>
  <c r="BJ94" i="6"/>
  <c r="AX112" i="6"/>
  <c r="Y24" i="5"/>
  <c r="BD172" i="6"/>
  <c r="BI52" i="6"/>
  <c r="Y16" i="5"/>
  <c r="BJ130" i="6"/>
  <c r="BH4" i="6"/>
  <c r="BA124" i="6"/>
  <c r="BA208" i="6"/>
  <c r="BA64" i="6"/>
  <c r="BE40" i="6"/>
  <c r="BA100" i="6"/>
  <c r="AX100" i="6"/>
  <c r="AY214" i="6"/>
  <c r="BE148" i="6"/>
  <c r="BJ172" i="6"/>
  <c r="BK24" i="9"/>
  <c r="BH154" i="6"/>
  <c r="BI16" i="6"/>
  <c r="BB64" i="6"/>
  <c r="AY82" i="6"/>
  <c r="AN4" i="14"/>
  <c r="Z40" i="5"/>
  <c r="BJ184" i="6"/>
  <c r="BI46" i="6"/>
  <c r="BF148" i="6"/>
  <c r="AZ40" i="6"/>
  <c r="AI4" i="22"/>
  <c r="AC16" i="16"/>
  <c r="BI196" i="6"/>
  <c r="BP9" i="10"/>
  <c r="BD100" i="6"/>
  <c r="AM4" i="14"/>
  <c r="BE88" i="6"/>
  <c r="BB184" i="6"/>
  <c r="BA34" i="6"/>
  <c r="AM4" i="22"/>
  <c r="BF190" i="6"/>
  <c r="AC24" i="23"/>
  <c r="BE64" i="6"/>
  <c r="BB112" i="6"/>
  <c r="AZ172" i="6"/>
  <c r="AX46" i="6"/>
  <c r="AZ190" i="6"/>
  <c r="BF76" i="6"/>
  <c r="BB154" i="6"/>
  <c r="BL24" i="9"/>
  <c r="BE76" i="6"/>
  <c r="Z32" i="5"/>
  <c r="AC22" i="16"/>
  <c r="Y4" i="5"/>
  <c r="BD88" i="6"/>
  <c r="BH148" i="6"/>
  <c r="AY22" i="6"/>
  <c r="AE4" i="15"/>
  <c r="AY88" i="6"/>
  <c r="AG9" i="22"/>
  <c r="BF166" i="6"/>
  <c r="BB4" i="6"/>
  <c r="BF82" i="6"/>
  <c r="BE136" i="6"/>
  <c r="BA28" i="6"/>
  <c r="BB148" i="6"/>
  <c r="BI70" i="6"/>
  <c r="BA220" i="6"/>
  <c r="BD214" i="6"/>
  <c r="BJ46" i="6"/>
  <c r="BJ148" i="6"/>
  <c r="BF28" i="6"/>
  <c r="BH70" i="6"/>
  <c r="AZ208" i="6"/>
  <c r="BH196" i="6"/>
  <c r="BE10" i="6"/>
  <c r="AX124" i="6"/>
  <c r="BI184" i="6"/>
  <c r="AZ202" i="6"/>
  <c r="BH220" i="6"/>
  <c r="BI112" i="6"/>
  <c r="BP14" i="9"/>
  <c r="Y28" i="5"/>
  <c r="AZ178" i="6"/>
  <c r="Z28" i="5"/>
  <c r="BI58" i="6"/>
  <c r="BE130" i="6"/>
  <c r="BJ52" i="6"/>
  <c r="BF46" i="6"/>
  <c r="AX28" i="6"/>
  <c r="AI9" i="22"/>
  <c r="AA48" i="5"/>
  <c r="AE29" i="23"/>
  <c r="BL14" i="10"/>
  <c r="AX196" i="6"/>
  <c r="BB52" i="6"/>
  <c r="Z16" i="5"/>
  <c r="BJ220" i="6"/>
  <c r="BI10" i="6"/>
  <c r="BA142" i="6"/>
  <c r="BD178" i="6"/>
  <c r="AZ142" i="6"/>
  <c r="BA154" i="6"/>
  <c r="BJ160" i="6"/>
  <c r="BB178" i="6"/>
  <c r="Y48" i="5"/>
  <c r="AI16" i="14"/>
  <c r="BE94" i="6"/>
  <c r="BF154" i="6"/>
  <c r="Z12" i="5"/>
  <c r="BB100" i="6"/>
  <c r="BF220" i="6"/>
  <c r="BB166" i="6"/>
  <c r="AZ130" i="6"/>
  <c r="BA76" i="6"/>
  <c r="BB46" i="6"/>
  <c r="BI64" i="6"/>
  <c r="BA202" i="6"/>
  <c r="BB130" i="6"/>
  <c r="AY160" i="6"/>
  <c r="AY130" i="6"/>
  <c r="AA32" i="5"/>
  <c r="AY142" i="6"/>
  <c r="AE10" i="18"/>
  <c r="BA214" i="6"/>
  <c r="BM14" i="9"/>
  <c r="BH160" i="6"/>
  <c r="AX136" i="6"/>
  <c r="AF4" i="19"/>
  <c r="BI130" i="6"/>
  <c r="BF214" i="6"/>
  <c r="AE24" i="23"/>
  <c r="AE16" i="15"/>
  <c r="AZ22" i="6"/>
  <c r="Y40" i="5"/>
  <c r="BB34" i="6"/>
  <c r="BF118" i="6"/>
  <c r="BB142" i="6"/>
  <c r="AM10" i="14"/>
  <c r="AZ148" i="6"/>
  <c r="BJ64" i="6"/>
  <c r="BJ214" i="6"/>
  <c r="BB88" i="6"/>
  <c r="AY28" i="6"/>
  <c r="BB94" i="6"/>
  <c r="BK14" i="9"/>
  <c r="BI172" i="6"/>
  <c r="BD16" i="6"/>
  <c r="BJ24" i="9"/>
  <c r="AM16" i="14"/>
  <c r="BE220" i="6"/>
  <c r="AA56" i="5"/>
  <c r="BI214" i="6"/>
  <c r="BE178" i="6"/>
  <c r="AH4" i="22"/>
  <c r="BA70" i="6"/>
  <c r="Z24" i="5"/>
  <c r="BE52" i="6"/>
  <c r="Z8" i="5"/>
  <c r="BE58" i="6"/>
  <c r="BI208" i="6"/>
  <c r="BD94" i="6"/>
  <c r="BH166" i="6"/>
  <c r="AA20" i="5"/>
  <c r="BA184" i="6"/>
  <c r="BD28" i="6"/>
  <c r="BI9" i="10"/>
  <c r="AX94" i="6"/>
  <c r="AX22" i="6"/>
  <c r="BH130" i="6"/>
  <c r="BE16" i="6"/>
  <c r="BB76" i="6"/>
  <c r="BD34" i="6"/>
  <c r="AZ136" i="6"/>
  <c r="AG10" i="18"/>
  <c r="AC19" i="23"/>
  <c r="BI4" i="6"/>
  <c r="AX142" i="6"/>
  <c r="AY52" i="6"/>
  <c r="BD142" i="6"/>
  <c r="BE190" i="6"/>
  <c r="BI142" i="6"/>
  <c r="BA58" i="6"/>
  <c r="AX208" i="6"/>
  <c r="AD4" i="17"/>
  <c r="BJ14" i="10"/>
  <c r="AY220" i="6"/>
  <c r="AY70" i="6"/>
  <c r="AF16" i="18"/>
  <c r="BF4" i="6"/>
  <c r="BB10" i="6"/>
  <c r="Y12" i="5"/>
  <c r="BB124" i="6"/>
  <c r="BB82" i="6"/>
  <c r="AY40" i="6"/>
  <c r="AG4" i="22"/>
  <c r="BA94" i="6"/>
  <c r="BD82" i="6"/>
  <c r="BH184" i="6"/>
  <c r="AG16" i="19"/>
  <c r="BH28" i="6"/>
  <c r="BH106" i="6"/>
  <c r="AY100" i="6"/>
  <c r="BJ88" i="6"/>
  <c r="AL9" i="22"/>
  <c r="BJ22" i="6"/>
  <c r="AK16" i="14"/>
  <c r="AZ94" i="6"/>
  <c r="Y32" i="5"/>
  <c r="AZ100" i="6"/>
  <c r="BJ40" i="6"/>
  <c r="BH100" i="6"/>
  <c r="BD106" i="6"/>
  <c r="BE106" i="6"/>
  <c r="BI154" i="6"/>
  <c r="BF208" i="6"/>
  <c r="AX58" i="6"/>
  <c r="AX10" i="6"/>
  <c r="AC28" i="16"/>
  <c r="BF124" i="6"/>
  <c r="BI118" i="6"/>
  <c r="BJ178" i="6"/>
  <c r="BD52" i="6"/>
  <c r="AD22" i="16"/>
  <c r="AG4" i="19"/>
  <c r="BB70" i="6"/>
  <c r="AC4" i="15"/>
  <c r="AD16" i="16"/>
  <c r="BA118" i="6"/>
  <c r="AX88" i="6"/>
  <c r="AX184" i="6"/>
  <c r="BQ14" i="9"/>
  <c r="BO14" i="10"/>
  <c r="AC9" i="23"/>
  <c r="BJ24" i="10"/>
  <c r="BR24" i="10"/>
  <c r="BL24" i="10"/>
  <c r="BM24" i="10"/>
  <c r="BK24" i="10"/>
  <c r="BS24" i="10"/>
  <c r="BP24" i="10"/>
  <c r="BQ24" i="10"/>
  <c r="BO24" i="10"/>
  <c r="BI24" i="10"/>
  <c r="BR4" i="10"/>
  <c r="BS4" i="10"/>
  <c r="BQ4" i="10"/>
  <c r="BI4" i="10"/>
  <c r="BK4" i="10"/>
  <c r="BJ4" i="10"/>
  <c r="BP4" i="10"/>
  <c r="BO4" i="10"/>
  <c r="BM4" i="10"/>
  <c r="BL4" i="10"/>
  <c r="BP9" i="9"/>
  <c r="BI9" i="9"/>
  <c r="BJ9" i="9"/>
  <c r="BL9" i="9"/>
  <c r="BO9" i="9"/>
  <c r="BK9" i="9"/>
  <c r="BS9" i="9"/>
  <c r="BQ9" i="9"/>
  <c r="BM9" i="9"/>
  <c r="BR9" i="9"/>
  <c r="BP4" i="9"/>
  <c r="BQ4" i="9"/>
  <c r="BS4" i="9"/>
  <c r="BJ4" i="9"/>
  <c r="BI4" i="9"/>
  <c r="BR4" i="9"/>
  <c r="BK4" i="9"/>
  <c r="BL4" i="9"/>
  <c r="BO4" i="9"/>
  <c r="BM4" i="9"/>
  <c r="BK29" i="9" l="1"/>
  <c r="E58" i="1" s="1"/>
  <c r="BK31" i="9"/>
  <c r="E60" i="1" s="1"/>
  <c r="BQ29" i="10"/>
  <c r="BQ31" i="10"/>
  <c r="AC22" i="15"/>
  <c r="C112" i="1" s="1"/>
  <c r="BI30" i="10"/>
  <c r="C68" i="1" s="1"/>
  <c r="AG22" i="19"/>
  <c r="E142" i="1" s="1"/>
  <c r="AD41" i="16"/>
  <c r="D120" i="1" s="1"/>
  <c r="BJ228" i="6"/>
  <c r="BF227" i="6"/>
  <c r="E29" i="1" s="1"/>
  <c r="AG19" i="22"/>
  <c r="BB227" i="6"/>
  <c r="BQ29" i="9"/>
  <c r="BQ31" i="9"/>
  <c r="BF229" i="6"/>
  <c r="E31" i="1" s="1"/>
  <c r="BF226" i="6"/>
  <c r="E28" i="1" s="1"/>
  <c r="AD22" i="17"/>
  <c r="D128" i="1" s="1"/>
  <c r="BI229" i="6"/>
  <c r="BI226" i="6"/>
  <c r="AC35" i="23"/>
  <c r="BL30" i="10"/>
  <c r="F68" i="1" s="1"/>
  <c r="BR30" i="10"/>
  <c r="AH19" i="22"/>
  <c r="BE228" i="6"/>
  <c r="D30" i="1" s="1"/>
  <c r="BJ30" i="9"/>
  <c r="D59" i="1" s="1"/>
  <c r="BI29" i="9"/>
  <c r="C58" i="1" s="1"/>
  <c r="BI31" i="9"/>
  <c r="C60" i="1" s="1"/>
  <c r="BL31" i="10"/>
  <c r="F69" i="1" s="1"/>
  <c r="BL29" i="10"/>
  <c r="F67" i="1" s="1"/>
  <c r="BO31" i="10"/>
  <c r="BO29" i="10"/>
  <c r="AF22" i="19"/>
  <c r="D142" i="1" s="1"/>
  <c r="BJ29" i="9"/>
  <c r="D58" i="1" s="1"/>
  <c r="BJ31" i="9"/>
  <c r="D60" i="1" s="1"/>
  <c r="BS29" i="9"/>
  <c r="BS31" i="9"/>
  <c r="Y69" i="5"/>
  <c r="C20" i="1" s="1"/>
  <c r="BB228" i="6"/>
  <c r="BM31" i="9"/>
  <c r="G60" i="1" s="1"/>
  <c r="BM29" i="9"/>
  <c r="G58" i="1" s="1"/>
  <c r="BD228" i="6"/>
  <c r="C30" i="1" s="1"/>
  <c r="BJ31" i="10"/>
  <c r="D69" i="1" s="1"/>
  <c r="BJ29" i="10"/>
  <c r="D67" i="1" s="1"/>
  <c r="AA69" i="5"/>
  <c r="E20" i="1" s="1"/>
  <c r="AZ228" i="6"/>
  <c r="BJ30" i="10"/>
  <c r="D68" i="1" s="1"/>
  <c r="BP31" i="9"/>
  <c r="BP29" i="9"/>
  <c r="BK30" i="10"/>
  <c r="E68" i="1" s="1"/>
  <c r="AX227" i="6"/>
  <c r="BB226" i="6"/>
  <c r="BB229" i="6"/>
  <c r="AE22" i="15"/>
  <c r="Y70" i="5"/>
  <c r="C21" i="1" s="1"/>
  <c r="Y68" i="5"/>
  <c r="C19" i="1" s="1"/>
  <c r="AC41" i="16"/>
  <c r="C120" i="1" s="1"/>
  <c r="BL30" i="9"/>
  <c r="F59" i="1" s="1"/>
  <c r="AM19" i="22"/>
  <c r="E165" i="1" s="1"/>
  <c r="AM22" i="14"/>
  <c r="BQ30" i="10"/>
  <c r="AI19" i="22"/>
  <c r="AN22" i="14"/>
  <c r="BK30" i="9"/>
  <c r="E59" i="1" s="1"/>
  <c r="BA227" i="6"/>
  <c r="BH229" i="6"/>
  <c r="BH226" i="6"/>
  <c r="BP31" i="10"/>
  <c r="BP29" i="10"/>
  <c r="BO30" i="10"/>
  <c r="BD226" i="6"/>
  <c r="C28" i="1" s="1"/>
  <c r="BD229" i="6"/>
  <c r="C31" i="1" s="1"/>
  <c r="AE34" i="23"/>
  <c r="C172" i="1" s="1"/>
  <c r="AE36" i="23"/>
  <c r="C174" i="1" s="1"/>
  <c r="AL19" i="22"/>
  <c r="D165" i="1" s="1"/>
  <c r="BM31" i="10"/>
  <c r="G69" i="1" s="1"/>
  <c r="BM29" i="10"/>
  <c r="G67" i="1" s="1"/>
  <c r="BI227" i="6"/>
  <c r="BI30" i="9"/>
  <c r="C59" i="1" s="1"/>
  <c r="BA228" i="6"/>
  <c r="AX226" i="6"/>
  <c r="AX229" i="6"/>
  <c r="BM30" i="9"/>
  <c r="G59" i="1" s="1"/>
  <c r="AY227" i="6"/>
  <c r="AE22" i="19"/>
  <c r="C142" i="1" s="1"/>
  <c r="BE229" i="6"/>
  <c r="D31" i="1" s="1"/>
  <c r="BE226" i="6"/>
  <c r="D28" i="1" s="1"/>
  <c r="BE227" i="6"/>
  <c r="D29" i="1" s="1"/>
  <c r="BO29" i="9"/>
  <c r="BO31" i="9"/>
  <c r="AE22" i="18"/>
  <c r="C135" i="1" s="1"/>
  <c r="BF228" i="6"/>
  <c r="E30" i="1" s="1"/>
  <c r="BK31" i="10"/>
  <c r="E69" i="1" s="1"/>
  <c r="BK29" i="10"/>
  <c r="E67" i="1" s="1"/>
  <c r="BI228" i="6"/>
  <c r="AO22" i="14"/>
  <c r="BJ229" i="6"/>
  <c r="BJ226" i="6"/>
  <c r="BO30" i="9"/>
  <c r="BP30" i="9"/>
  <c r="AC34" i="23"/>
  <c r="AC36" i="23"/>
  <c r="BR30" i="9"/>
  <c r="AK22" i="14"/>
  <c r="E105" i="1" s="1"/>
  <c r="AJ22" i="14"/>
  <c r="D105" i="1" s="1"/>
  <c r="BH228" i="6"/>
  <c r="AY228" i="6"/>
  <c r="AD40" i="16"/>
  <c r="D119" i="1" s="1"/>
  <c r="AD42" i="16"/>
  <c r="D121" i="1" s="1"/>
  <c r="AX228" i="6"/>
  <c r="AC40" i="16"/>
  <c r="C119" i="1" s="1"/>
  <c r="AC42" i="16"/>
  <c r="C121" i="1" s="1"/>
  <c r="BD227" i="6"/>
  <c r="C29" i="1" s="1"/>
  <c r="AG22" i="18"/>
  <c r="E135" i="1" s="1"/>
  <c r="BP30" i="10"/>
  <c r="BS29" i="10"/>
  <c r="BS31" i="10"/>
  <c r="BI29" i="10"/>
  <c r="C67" i="1" s="1"/>
  <c r="BI31" i="10"/>
  <c r="C69" i="1" s="1"/>
  <c r="BQ30" i="9"/>
  <c r="AZ226" i="6"/>
  <c r="AZ229" i="6"/>
  <c r="AY226" i="6"/>
  <c r="AY229" i="6"/>
  <c r="BR29" i="10"/>
  <c r="BR31" i="10"/>
  <c r="AK19" i="22"/>
  <c r="C165" i="1" s="1"/>
  <c r="AI22" i="14"/>
  <c r="C105" i="1" s="1"/>
  <c r="AA70" i="5"/>
  <c r="E21" i="1" s="1"/>
  <c r="AA68" i="5"/>
  <c r="E19" i="1" s="1"/>
  <c r="Z69" i="5"/>
  <c r="D20" i="1" s="1"/>
  <c r="BM30" i="10"/>
  <c r="G68" i="1" s="1"/>
  <c r="BL29" i="9"/>
  <c r="F58" i="1" s="1"/>
  <c r="BL31" i="9"/>
  <c r="F60" i="1" s="1"/>
  <c r="AZ227" i="6"/>
  <c r="BS30" i="10"/>
  <c r="BR29" i="9"/>
  <c r="BR31" i="9"/>
  <c r="AC22" i="17"/>
  <c r="C128" i="1" s="1"/>
  <c r="BJ227" i="6"/>
  <c r="BH227" i="6"/>
  <c r="BA226" i="6"/>
  <c r="BA229" i="6"/>
  <c r="BS30" i="9"/>
  <c r="Z68" i="5"/>
  <c r="D19" i="1" s="1"/>
  <c r="Z70" i="5"/>
  <c r="D21" i="1" s="1"/>
  <c r="AF22" i="18"/>
  <c r="D135" i="1" s="1"/>
  <c r="AE35" i="23"/>
  <c r="C173" i="1" s="1"/>
</calcChain>
</file>

<file path=xl/sharedStrings.xml><?xml version="1.0" encoding="utf-8"?>
<sst xmlns="http://schemas.openxmlformats.org/spreadsheetml/2006/main" count="3724" uniqueCount="1480">
  <si>
    <t>Reference:</t>
  </si>
  <si>
    <t>Tested:</t>
  </si>
  <si>
    <t>reference</t>
  </si>
  <si>
    <t>tested</t>
  </si>
  <si>
    <t>Columns</t>
  </si>
  <si>
    <t>dec.cb-hpsnr</t>
  </si>
  <si>
    <t>Chroma Cb EtE Hausdorff PSNR</t>
  </si>
  <si>
    <t>dec.cb-psnr</t>
  </si>
  <si>
    <t>Chroma Cb End-to-end PSNR</t>
  </si>
  <si>
    <t>dec.cr-hpsnr</t>
  </si>
  <si>
    <t>Chroma Cr EtE Hausdorff PSNR</t>
  </si>
  <si>
    <t>dec.cr-psnr</t>
  </si>
  <si>
    <t>Chroma Cr End-to-end PSNR</t>
  </si>
  <si>
    <t>dec.d1-mse</t>
  </si>
  <si>
    <t>D1 Geometry MSE</t>
  </si>
  <si>
    <t>dec.d1-psnr</t>
  </si>
  <si>
    <t>D1 Geometry PSNR</t>
  </si>
  <si>
    <t>dec.d2-mse</t>
  </si>
  <si>
    <t>D2 Geometry MSE</t>
  </si>
  <si>
    <t>dec.d2-psnr</t>
  </si>
  <si>
    <t>D2 Geometry PSNR</t>
  </si>
  <si>
    <t>dec.ext.maxrssk</t>
  </si>
  <si>
    <t>Decoder max RSS</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</si>
  <si>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</si>
  <si>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</si>
  <si>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</si>
  <si>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</si>
  <si>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</si>
  <si>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</si>
  <si>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</si>
  <si>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</si>
  <si>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</si>
  <si>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</si>
  <si>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</si>
  <si>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</si>
  <si>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</si>
  <si>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</si>
  <si>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dec.reflectance-psnr</t>
  </si>
  <si>
    <t>Reflectance End-to-end PSNR</t>
  </si>
  <si>
    <t>dec.utime</t>
  </si>
  <si>
    <t>User Decoder runtime</t>
  </si>
  <si>
    <t>dec.utime.children</t>
  </si>
  <si>
    <t>Child Decoder runtime</t>
  </si>
  <si>
    <t>dec.utime.self</t>
  </si>
  <si>
    <t>Self Decoder runtime</t>
  </si>
  <si>
    <t>dec.y-hpsnr</t>
  </si>
  <si>
    <t>Luma EtE Hausdorff PSNR</t>
  </si>
  <si>
    <t>dec.y-psnr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</si>
  <si>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</si>
  <si>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</si>
  <si>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</si>
  <si>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</si>
  <si>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</si>
  <si>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</si>
  <si>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</si>
  <si>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</si>
  <si>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</si>
  <si>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</si>
  <si>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</si>
  <si>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enc.ext.maxrssk</t>
  </si>
  <si>
    <t>Encoder max RSS</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</si>
  <si>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</si>
  <si>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</si>
  <si>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</si>
  <si>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</si>
  <si>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</si>
  <si>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</si>
  <si>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</si>
  <si>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</si>
  <si>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</si>
  <si>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</si>
  <si>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</si>
  <si>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</si>
  <si>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</si>
  <si>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</si>
  <si>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eqn.bpp.colour</t>
  </si>
  <si>
    <t>Colour  Bits per input point</t>
  </si>
  <si>
    <t>eqn.bpp.geometry</t>
  </si>
  <si>
    <t>Geometry Bits per input point</t>
  </si>
  <si>
    <t>eqn.bpp.geometry+occ+patch</t>
  </si>
  <si>
    <t>Tot.Geom Bits per input point</t>
  </si>
  <si>
    <t>eqn.bpp.reflectance</t>
  </si>
  <si>
    <t>Reflectance Bits per input point</t>
  </si>
  <si>
    <t>eqn.compratio</t>
  </si>
  <si>
    <t>Comp. ratio</t>
  </si>
  <si>
    <t>Condition:</t>
  </si>
  <si>
    <t>← Select this …</t>
  </si>
  <si>
    <t>Sequence:</t>
  </si>
  <si>
    <t>← … then this</t>
  </si>
  <si>
    <t>X:</t>
  </si>
  <si>
    <t>Y:</t>
  </si>
  <si>
    <t>← settings for graph a</t>
  </si>
  <si>
    <t>← settings for graph b</t>
  </si>
  <si>
    <t>← settings for graph c</t>
  </si>
  <si>
    <t>← settings for graph d</t>
  </si>
  <si>
    <t>← settings for graph e</t>
  </si>
  <si>
    <t>← settings for graph f</t>
  </si>
  <si>
    <t>Class</t>
  </si>
  <si>
    <t>col.C1.1 losslG,noAttr.class</t>
  </si>
  <si>
    <t>Sequence</t>
  </si>
  <si>
    <t>col.C1.1 losslG,noAttr.sequence</t>
  </si>
  <si>
    <t>№ input points</t>
  </si>
  <si>
    <t>col.C1.1 losslG,noAttr.src.numpoints</t>
  </si>
  <si>
    <t>Geometry precision [bits]</t>
  </si>
  <si>
    <t>col.C1.1 losslG,noAttr.src.geometry-precision</t>
  </si>
  <si>
    <t>Comp. ratio [%]</t>
  </si>
  <si>
    <t>col.C1.1 losslG,noAttr.A.eqn.compratio</t>
  </si>
  <si>
    <t>Bits per input point [bpip]</t>
  </si>
  <si>
    <t>Total</t>
  </si>
  <si>
    <t>col.C1.1 losslG,noAttr.A.eqn.bpp</t>
  </si>
  <si>
    <t>Geometry</t>
  </si>
  <si>
    <t>col.C1.1 losslG,noAttr.A.eqn.bpp.geometry</t>
  </si>
  <si>
    <t>Total Bits per output point [bpop]</t>
  </si>
  <si>
    <t>col.C1.1 losslG,noAttr.A.eqn.bpop</t>
  </si>
  <si>
    <t>col.C1.1 losslG,noAttr.A.dec.numpoints</t>
  </si>
  <si>
    <t>Bitstream [bits]</t>
  </si>
  <si>
    <t>col.C1.1 losslG,noAttr.A.enc.ext.bits</t>
  </si>
  <si>
    <t>col.C1.1 losslG,noAttr.A.enc.bits.geometry</t>
  </si>
  <si>
    <t>User Encoder runtime [s]</t>
  </si>
  <si>
    <t>col.C1.1 losslG,noAttr.A.enc.utime</t>
  </si>
  <si>
    <t>User Decoder runtime [s]</t>
  </si>
  <si>
    <t>col.C1.1 losslG,noAttr.A.dec.utime</t>
  </si>
  <si>
    <t>col.C1.1 losslG,noAttr.B.eqn.compratio</t>
  </si>
  <si>
    <t>col.C1.1 losslG,noAttr.B.eqn.bpp</t>
  </si>
  <si>
    <t>col.C1.1 losslG,noAttr.B.eqn.bpp.geometry</t>
  </si>
  <si>
    <t>col.C1.1 losslG,noAttr.B.eqn.bpop</t>
  </si>
  <si>
    <t>col.C1.1 losslG,noAttr.B.dec.numpoints</t>
  </si>
  <si>
    <t>col.C1.1 losslG,noAttr.B.enc.ext.bits</t>
  </si>
  <si>
    <t>col.C1.1 losslG,noAttr.B.enc.bits.geometry</t>
  </si>
  <si>
    <t>col.C1.1 losslG,noAttr.B.enc.utime</t>
  </si>
  <si>
    <t>col.C1.1 losslG,noAttr.B.dec.utime</t>
  </si>
  <si>
    <t>bpp ratio [%]</t>
  </si>
  <si>
    <t>col.C1.1 losslG,noAttr.eqn.ab.ratio-bpp</t>
  </si>
  <si>
    <t>Shift in G:T bits ratio [pp]</t>
  </si>
  <si>
    <t>col.C1.1 losslG,noAttr.eqn.ab.delta-geom_texture_bits_ratio</t>
  </si>
  <si>
    <t>col.C1.1 losslG,noAttr.eqn.ab.summary-delta-geom_texture_bits_ratio</t>
  </si>
  <si>
    <t>1.1 — lossless geometry, no attributes [all intra]</t>
  </si>
  <si>
    <t>name.A.C1.1 losslG,noAttr</t>
  </si>
  <si>
    <t>'C1.1 losslG,noAttr'!$F$1</t>
  </si>
  <si>
    <t>name.B.C1.1 losslG,noAttr</t>
  </si>
  <si>
    <t>'C1.1 losslG,noAttr'!$P$1</t>
  </si>
  <si>
    <t>arco_valentino_dense_vox12</t>
  </si>
  <si>
    <t>range.C1.1 losslG,noAttr.arco_valentino_dense_vox12</t>
  </si>
  <si>
    <t>'C1.1 losslG,noAttr'!$A$4:$AB$4</t>
  </si>
  <si>
    <t>arco_valentino_dense_vox20</t>
  </si>
  <si>
    <t>range.C1.1 losslG,noAttr.arco_valentino_dense_vox20</t>
  </si>
  <si>
    <t>'C1.1 losslG,noAttr'!$A$5:$AB$5</t>
  </si>
  <si>
    <t>egyptian_mask_vox12</t>
  </si>
  <si>
    <t>range.C1.1 losslG,noAttr.egyptian_mask_vox12</t>
  </si>
  <si>
    <t>'C1.1 losslG,noAttr'!$A$6:$AB$6</t>
  </si>
  <si>
    <t>egyptian_mask_vox20</t>
  </si>
  <si>
    <t>range.C1.1 losslG,noAttr.egyptian_mask_vox20</t>
  </si>
  <si>
    <t>'C1.1 losslG,noAttr'!$A$7:$AB$7</t>
  </si>
  <si>
    <t>facade_00009_vox12</t>
  </si>
  <si>
    <t>range.C1.1 losslG,noAttr.facade_00009_vox12</t>
  </si>
  <si>
    <t>'C1.1 losslG,noAttr'!$A$8:$AB$8</t>
  </si>
  <si>
    <t>facade_00009_vox20</t>
  </si>
  <si>
    <t>range.C1.1 losslG,noAttr.facade_00009_vox20</t>
  </si>
  <si>
    <t>'C1.1 losslG,noAttr'!$A$9:$AB$9</t>
  </si>
  <si>
    <t>facade_00015_vox14</t>
  </si>
  <si>
    <t>range.C1.1 losslG,noAttr.facade_00015_vox14</t>
  </si>
  <si>
    <t>'C1.1 losslG,noAttr'!$A$10:$AB$10</t>
  </si>
  <si>
    <t>facade_00015_vox20</t>
  </si>
  <si>
    <t>range.C1.1 losslG,noAttr.facade_00015_vox20</t>
  </si>
  <si>
    <t>'C1.1 losslG,noAttr'!$A$11:$AB$11</t>
  </si>
  <si>
    <t>facade_00064_vox14</t>
  </si>
  <si>
    <t>range.C1.1 losslG,noAttr.facade_00064_vox14</t>
  </si>
  <si>
    <t>'C1.1 losslG,noAttr'!$A$12:$AB$12</t>
  </si>
  <si>
    <t>facade_00064_vox20</t>
  </si>
  <si>
    <t>range.C1.1 losslG,noAttr.facade_00064_vox20</t>
  </si>
  <si>
    <t>'C1.1 losslG,noAttr'!$A$13:$AB$13</t>
  </si>
  <si>
    <t>frog_00067_vox12</t>
  </si>
  <si>
    <t>range.C1.1 losslG,noAttr.frog_00067_vox12</t>
  </si>
  <si>
    <t>'C1.1 losslG,noAttr'!$A$14:$AB$14</t>
  </si>
  <si>
    <t>frog_00067_vox20</t>
  </si>
  <si>
    <t>range.C1.1 losslG,noAttr.frog_00067_vox20</t>
  </si>
  <si>
    <t>'C1.1 losslG,noAttr'!$A$15:$AB$15</t>
  </si>
  <si>
    <t>loot_vox10_1200</t>
  </si>
  <si>
    <t>range.C1.1 losslG,noAttr.loot_vox10_1200</t>
  </si>
  <si>
    <t>'C1.1 losslG,noAttr'!$A$16:$AB$16</t>
  </si>
  <si>
    <t>queen_0200</t>
  </si>
  <si>
    <t>range.C1.1 losslG,noAttr.queen_0200</t>
  </si>
  <si>
    <t>'C1.1 losslG,noAttr'!$A$17:$AB$17</t>
  </si>
  <si>
    <t>redandblack_vox10_1550</t>
  </si>
  <si>
    <t>range.C1.1 losslG,noAttr.redandblack_vox10_1550</t>
  </si>
  <si>
    <t>'C1.1 losslG,noAttr'!$A$18:$AB$18</t>
  </si>
  <si>
    <t>soldier_vox10_0690</t>
  </si>
  <si>
    <t>range.C1.1 losslG,noAttr.soldier_vox10_0690</t>
  </si>
  <si>
    <t>'C1.1 losslG,noAttr'!$A$19:$AB$19</t>
  </si>
  <si>
    <t>staue_klimt_vox12</t>
  </si>
  <si>
    <t>range.C1.1 losslG,noAttr.staue_klimt_vox12</t>
  </si>
  <si>
    <t>'C1.1 losslG,noAttr'!$A$20:$AB$20</t>
  </si>
  <si>
    <t>staue_klimt_vox20</t>
  </si>
  <si>
    <t>range.C1.1 losslG,noAttr.staue_klimt_vox20</t>
  </si>
  <si>
    <t>'C1.1 losslG,noAttr'!$A$21:$AB$21</t>
  </si>
  <si>
    <t>ulb_unicorn_vox13</t>
  </si>
  <si>
    <t>range.C1.1 losslG,noAttr.ulb_unicorn_vox13</t>
  </si>
  <si>
    <t>'C1.1 losslG,noAttr'!$A$22:$AB$22</t>
  </si>
  <si>
    <t>ulb_unicorn_vox20</t>
  </si>
  <si>
    <t>range.C1.1 losslG,noAttr.ulb_unicorn_vox20</t>
  </si>
  <si>
    <t>'C1.1 losslG,noAttr'!$A$23:$AB$23</t>
  </si>
  <si>
    <t>cat1-A</t>
  </si>
  <si>
    <t>head_00039_vox12</t>
  </si>
  <si>
    <t>range.C1.1 losslG,noAttr.head_00039_vox12</t>
  </si>
  <si>
    <t>'C1.1 losslG,noAttr'!$A$24:$AB$24</t>
  </si>
  <si>
    <t>head_00039_vox20</t>
  </si>
  <si>
    <t>range.C1.1 losslG,noAttr.head_00039_vox20</t>
  </si>
  <si>
    <t>'C1.1 losslG,noAttr'!$A$25:$AB$25</t>
  </si>
  <si>
    <t>house_without_roof_00057_vox12</t>
  </si>
  <si>
    <t>range.C1.1 losslG,noAttr.house_without_roof_00057_vox12</t>
  </si>
  <si>
    <t>'C1.1 losslG,noAttr'!$A$26:$AB$26</t>
  </si>
  <si>
    <t>house_without_roof_00057_vox20</t>
  </si>
  <si>
    <t>range.C1.1 losslG,noAttr.house_without_roof_00057_vox20</t>
  </si>
  <si>
    <t>'C1.1 losslG,noAttr'!$A$27:$AB$27</t>
  </si>
  <si>
    <t>longdress_vox10_1300</t>
  </si>
  <si>
    <t>range.C1.1 losslG,noAttr.longdress_vox10_1300</t>
  </si>
  <si>
    <t>'C1.1 losslG,noAttr'!$A$28:$AB$28</t>
  </si>
  <si>
    <t>palazzo_carignano_dense_vox14</t>
  </si>
  <si>
    <t>range.C1.1 losslG,noAttr.palazzo_carignano_dense_vox14</t>
  </si>
  <si>
    <t>'C1.1 losslG,noAttr'!$A$29:$AB$29</t>
  </si>
  <si>
    <t>palazzo_carignano_dense_vox20</t>
  </si>
  <si>
    <t>range.C1.1 losslG,noAttr.palazzo_carignano_dense_vox20</t>
  </si>
  <si>
    <t>'C1.1 losslG,noAttr'!$A$30:$AB$30</t>
  </si>
  <si>
    <t>shiva_00035_vox12</t>
  </si>
  <si>
    <t>range.C1.1 losslG,noAttr.shiva_00035_vox12</t>
  </si>
  <si>
    <t>'C1.1 losslG,noAttr'!$A$31:$AB$31</t>
  </si>
  <si>
    <t>shiva_00035_vox20</t>
  </si>
  <si>
    <t>range.C1.1 losslG,noAttr.shiva_00035_vox20</t>
  </si>
  <si>
    <t>'C1.1 losslG,noAttr'!$A$32:$AB$32</t>
  </si>
  <si>
    <t>cat1-B</t>
  </si>
  <si>
    <t>landscape_00014_vox14</t>
  </si>
  <si>
    <t>range.C1.1 losslG,noAttr.landscape_00014_vox14</t>
  </si>
  <si>
    <t>'C1.1 losslG,noAttr'!$A$33:$AB$33</t>
  </si>
  <si>
    <t>landscape_00014_vox20</t>
  </si>
  <si>
    <t>range.C1.1 losslG,noAttr.landscape_00014_vox20</t>
  </si>
  <si>
    <t>'C1.1 losslG,noAttr'!$A$34:$AB$34</t>
  </si>
  <si>
    <t>stanford_area_2_vox16</t>
  </si>
  <si>
    <t>range.C1.1 losslG,noAttr.stanford_area_2_vox16</t>
  </si>
  <si>
    <t>'C1.1 losslG,noAttr'!$A$35:$AB$35</t>
  </si>
  <si>
    <t>stanford_area_2_vox20</t>
  </si>
  <si>
    <t>range.C1.1 losslG,noAttr.stanford_area_2_vox20</t>
  </si>
  <si>
    <t>'C1.1 losslG,noAttr'!$A$36:$AB$36</t>
  </si>
  <si>
    <t>stanford_area_4_vox16</t>
  </si>
  <si>
    <t>range.C1.1 losslG,noAttr.stanford_area_4_vox16</t>
  </si>
  <si>
    <t>'C1.1 losslG,noAttr'!$A$37:$AB$37</t>
  </si>
  <si>
    <t>stanford_area_4_vox20</t>
  </si>
  <si>
    <t>range.C1.1 losslG,noAttr.stanford_area_4_vox20</t>
  </si>
  <si>
    <t>'C1.1 losslG,noAttr'!$A$38:$AB$38</t>
  </si>
  <si>
    <t>ulb_unicorn_hires_vox15</t>
  </si>
  <si>
    <t>range.C1.1 losslG,noAttr.ulb_unicorn_hires_vox15</t>
  </si>
  <si>
    <t>'C1.1 losslG,noAttr'!$A$39:$AB$39</t>
  </si>
  <si>
    <t>ulb_unicorn_hires_vox20</t>
  </si>
  <si>
    <t>range.C1.1 losslG,noAttr.ulb_unicorn_hires_vox20</t>
  </si>
  <si>
    <t>'C1.1 losslG,noAttr'!$A$40:$AB$40</t>
  </si>
  <si>
    <t>cat1-C</t>
  </si>
  <si>
    <t>Cat1-A average</t>
  </si>
  <si>
    <t>Cat1-B average</t>
  </si>
  <si>
    <t>Cat1-C average</t>
  </si>
  <si>
    <t>Overall average</t>
  </si>
  <si>
    <t>Overall</t>
  </si>
  <si>
    <t>Total time [s]</t>
  </si>
  <si>
    <t>Total time [%]</t>
  </si>
  <si>
    <t>Avg (geometric) time [s]</t>
  </si>
  <si>
    <t>Avg (geometric) time [%]</t>
  </si>
  <si>
    <t>Cat1</t>
  </si>
  <si>
    <t>1.1</t>
  </si>
  <si>
    <t>lossless geometry, no attributes [all intra]</t>
  </si>
  <si>
    <t>bpp ratio</t>
  </si>
  <si>
    <t>Avg. Enc Time [%]</t>
  </si>
  <si>
    <t>Avg. Dec Time [%]</t>
  </si>
  <si>
    <t>C1.1 losslG,noAttr</t>
  </si>
  <si>
    <t>cols.C1.1 losslG,noAttr</t>
  </si>
  <si>
    <t>names!$B$65:$J$65</t>
  </si>
  <si>
    <t>col.C1.2 losslG,lossyC.class</t>
  </si>
  <si>
    <t>col.C1.2 losslG,lossyC.sequence</t>
  </si>
  <si>
    <t>Variant</t>
  </si>
  <si>
    <t>col.C1.2 losslG,lossyC.variant</t>
  </si>
  <si>
    <t>col.C1.2 losslG,lossyC.src.numpoints</t>
  </si>
  <si>
    <t>col.C1.2 losslG,lossyC.src.geometry-precision</t>
  </si>
  <si>
    <t>Colour  Bits per input point [bpip]</t>
  </si>
  <si>
    <t>col.C1.2 losslG,lossyC.A.eqn.bpp.colour</t>
  </si>
  <si>
    <t>col.C1.2 losslG,lossyC.A.dec.numpoints</t>
  </si>
  <si>
    <t>Colour Bitstream [bits]</t>
  </si>
  <si>
    <t>col.C1.2 losslG,lossyC.A.enc.bits.colour</t>
  </si>
  <si>
    <t>End-to-end PSNR [dB]</t>
  </si>
  <si>
    <t>Luma</t>
  </si>
  <si>
    <t>col.C1.2 losslG,lossyC.A.dec.y-psnr</t>
  </si>
  <si>
    <t>Chroma Cb</t>
  </si>
  <si>
    <t>col.C1.2 losslG,lossyC.A.dec.cb-psnr</t>
  </si>
  <si>
    <t>Chroma Cr</t>
  </si>
  <si>
    <t>col.C1.2 losslG,lossyC.A.dec.cr-psnr</t>
  </si>
  <si>
    <t>col.C1.2 losslG,lossyC.A.enc.utime</t>
  </si>
  <si>
    <t>col.C1.2 losslG,lossyC.A.dec.utime</t>
  </si>
  <si>
    <t>col.C1.2 losslG,lossyC.B.eqn.bpp.colour</t>
  </si>
  <si>
    <t>col.C1.2 losslG,lossyC.B.dec.numpoints</t>
  </si>
  <si>
    <t>col.C1.2 losslG,lossyC.B.enc.bits.colour</t>
  </si>
  <si>
    <t>col.C1.2 losslG,lossyC.B.dec.y-psnr</t>
  </si>
  <si>
    <t>col.C1.2 losslG,lossyC.B.dec.cb-psnr</t>
  </si>
  <si>
    <t>col.C1.2 losslG,lossyC.B.dec.cr-psnr</t>
  </si>
  <si>
    <t>col.C1.2 losslG,lossyC.B.enc.utime</t>
  </si>
  <si>
    <t>col.C1.2 losslG,lossyC.B.dec.utime</t>
  </si>
  <si>
    <t>End-to-End BD‑AttrRate [%]</t>
  </si>
  <si>
    <t>col.C1.2 losslG,lossyC.eqn.ab.bdrate-y-attrrate</t>
  </si>
  <si>
    <t>col.C1.2 losslG,lossyC.eqn.ab.bdrate-cb-attrrate</t>
  </si>
  <si>
    <t>col.C1.2 losslG,lossyC.eqn.ab.bdrate-cr-attrrate</t>
  </si>
  <si>
    <t>1.2 — lossless geometry, lossy colour [all intra]</t>
  </si>
  <si>
    <t>name.A.C1.2 losslG,lossyC</t>
  </si>
  <si>
    <t>'C1.2 losslG,lossyC'!$G$1</t>
  </si>
  <si>
    <t>name.B.C1.2 losslG,lossyC</t>
  </si>
  <si>
    <t>'C1.2 losslG,lossyC'!$P$1</t>
  </si>
  <si>
    <t>r01</t>
  </si>
  <si>
    <t>r02</t>
  </si>
  <si>
    <t>r03</t>
  </si>
  <si>
    <t>r04</t>
  </si>
  <si>
    <t>range.C1.2 losslG,lossyC.egyptian_mask_vox12</t>
  </si>
  <si>
    <t>'C1.2 losslG,lossyC'!$A$4:$AA$7</t>
  </si>
  <si>
    <t>range.C1.2 losslG,lossyC.facade_00009_vox12</t>
  </si>
  <si>
    <t>'C1.2 losslG,lossyC'!$A$8:$AA$11</t>
  </si>
  <si>
    <t>range.C1.2 losslG,lossyC.facade_00015_vox14</t>
  </si>
  <si>
    <t>'C1.2 losslG,lossyC'!$A$12:$AA$15</t>
  </si>
  <si>
    <t>range.C1.2 losslG,lossyC.facade_00015_vox20</t>
  </si>
  <si>
    <t>'C1.2 losslG,lossyC'!$A$16:$AA$19</t>
  </si>
  <si>
    <t>facade_00064_vox11</t>
  </si>
  <si>
    <t>range.C1.2 losslG,lossyC.facade_00064_vox11</t>
  </si>
  <si>
    <t>'C1.2 losslG,lossyC'!$A$20:$AA$23</t>
  </si>
  <si>
    <t>range.C1.2 losslG,lossyC.frog_00067_vox12</t>
  </si>
  <si>
    <t>'C1.2 losslG,lossyC'!$A$24:$AA$27</t>
  </si>
  <si>
    <t>range.C1.2 losslG,lossyC.loot_vox10_1200</t>
  </si>
  <si>
    <t>'C1.2 losslG,lossyC'!$A$28:$AA$31</t>
  </si>
  <si>
    <t>range.C1.2 losslG,lossyC.queen_0200</t>
  </si>
  <si>
    <t>'C1.2 losslG,lossyC'!$A$32:$AA$35</t>
  </si>
  <si>
    <t>range.C1.2 losslG,lossyC.redandblack_vox10_1550</t>
  </si>
  <si>
    <t>'C1.2 losslG,lossyC'!$A$36:$AA$39</t>
  </si>
  <si>
    <t>range.C1.2 losslG,lossyC.soldier_vox10_0690</t>
  </si>
  <si>
    <t>'C1.2 losslG,lossyC'!$A$40:$AA$43</t>
  </si>
  <si>
    <t>range.C1.2 losslG,lossyC.ulb_unicorn_vox13</t>
  </si>
  <si>
    <t>'C1.2 losslG,lossyC'!$A$44:$AA$47</t>
  </si>
  <si>
    <t>cat1-A2</t>
  </si>
  <si>
    <t>range.C1.2 losslG,lossyC.head_00039_vox12</t>
  </si>
  <si>
    <t>'C1.2 losslG,lossyC'!$A$48:$AA$51</t>
  </si>
  <si>
    <t>range.C1.2 losslG,lossyC.house_without_roof_00057_vox12</t>
  </si>
  <si>
    <t>'C1.2 losslG,lossyC'!$A$52:$AA$55</t>
  </si>
  <si>
    <t>range.C1.2 losslG,lossyC.longdress_vox10_1300</t>
  </si>
  <si>
    <t>'C1.2 losslG,lossyC'!$A$56:$AA$59</t>
  </si>
  <si>
    <t>range.C1.2 losslG,lossyC.shiva_00035_vox12</t>
  </si>
  <si>
    <t>'C1.2 losslG,lossyC'!$A$60:$AA$63</t>
  </si>
  <si>
    <t>range.C1.2 losslG,lossyC.shiva_00035_vox20</t>
  </si>
  <si>
    <t>'C1.2 losslG,lossyC'!$A$64:$AA$67</t>
  </si>
  <si>
    <t>cat1-B2</t>
  </si>
  <si>
    <t>Cat1-A2 average</t>
  </si>
  <si>
    <t>Cat1-B2 average</t>
  </si>
  <si>
    <t>1.2</t>
  </si>
  <si>
    <t>lossless geometry, lossy colour [all intra]</t>
  </si>
  <si>
    <t>Chroma Cb [%]</t>
  </si>
  <si>
    <t>Chroma Cr [%]</t>
  </si>
  <si>
    <t>C1.2 losslG,lossyC</t>
  </si>
  <si>
    <t>cols.C1.2 losslG,lossyC</t>
  </si>
  <si>
    <t>names!$B$108:$I$108</t>
  </si>
  <si>
    <t>col.C1.3 lossyG,lossyC.class</t>
  </si>
  <si>
    <t>col.C1.3 lossyG,lossyC.sequence</t>
  </si>
  <si>
    <t>col.C1.3 lossyG,lossyC.variant</t>
  </si>
  <si>
    <t>col.C1.3 lossyG,lossyC.src.numpoints</t>
  </si>
  <si>
    <t>col.C1.3 lossyG,lossyC.src.geometry-precision</t>
  </si>
  <si>
    <t>col.C1.3 lossyG,lossyC.A.eqn.compratio</t>
  </si>
  <si>
    <t>col.C1.3 lossyG,lossyC.A.eqn.bpp</t>
  </si>
  <si>
    <t>col.C1.3 lossyG,lossyC.A.eqn.bpp.geometry</t>
  </si>
  <si>
    <t xml:space="preserve">Colour </t>
  </si>
  <si>
    <t>col.C1.3 lossyG,lossyC.A.eqn.bpp.colour</t>
  </si>
  <si>
    <t>col.C1.3 lossyG,lossyC.A.eqn.bpop</t>
  </si>
  <si>
    <t>col.C1.3 lossyG,lossyC.A.dec.numpoints</t>
  </si>
  <si>
    <t>col.C1.3 lossyG,lossyC.A.enc.ext.bits</t>
  </si>
  <si>
    <t>col.C1.3 lossyG,lossyC.A.enc.bits.geometry</t>
  </si>
  <si>
    <t>Colour</t>
  </si>
  <si>
    <t>col.C1.3 lossyG,lossyC.A.enc.bits.colour</t>
  </si>
  <si>
    <t>Geometry PSNR [dB]</t>
  </si>
  <si>
    <t>D1</t>
  </si>
  <si>
    <t>col.C1.3 lossyG,lossyC.A.dec.d1-psnr</t>
  </si>
  <si>
    <t>D2</t>
  </si>
  <si>
    <t>col.C1.3 lossyG,lossyC.A.dec.d2-psnr</t>
  </si>
  <si>
    <t>col.C1.3 lossyG,lossyC.A.dec.y-psnr</t>
  </si>
  <si>
    <t>col.C1.3 lossyG,lossyC.A.dec.cb-psnr</t>
  </si>
  <si>
    <t>col.C1.3 lossyG,lossyC.A.dec.cr-psnr</t>
  </si>
  <si>
    <t>Post recolour PSNR [dB]</t>
  </si>
  <si>
    <t>col.C1.3 lossyG,lossyC.A.dec.post-recolour.y-psnr</t>
  </si>
  <si>
    <t>col.C1.3 lossyG,lossyC.A.dec.post-recolour.cb-psnr</t>
  </si>
  <si>
    <t>col.C1.3 lossyG,lossyC.A.dec.post-recolour.cr-psnr</t>
  </si>
  <si>
    <t>col.C1.3 lossyG,lossyC.A.enc.utime</t>
  </si>
  <si>
    <t>col.C1.3 lossyG,lossyC.A.dec.utime</t>
  </si>
  <si>
    <t>col.C1.3 lossyG,lossyC.B.eqn.compratio</t>
  </si>
  <si>
    <t>col.C1.3 lossyG,lossyC.B.eqn.bpp</t>
  </si>
  <si>
    <t>col.C1.3 lossyG,lossyC.B.eqn.bpp.geometry</t>
  </si>
  <si>
    <t>col.C1.3 lossyG,lossyC.B.eqn.bpp.colour</t>
  </si>
  <si>
    <t>col.C1.3 lossyG,lossyC.B.eqn.bpop</t>
  </si>
  <si>
    <t>col.C1.3 lossyG,lossyC.B.dec.numpoints</t>
  </si>
  <si>
    <t>col.C1.3 lossyG,lossyC.B.enc.ext.bits</t>
  </si>
  <si>
    <t>col.C1.3 lossyG,lossyC.B.enc.bits.geometry</t>
  </si>
  <si>
    <t>col.C1.3 lossyG,lossyC.B.enc.bits.colour</t>
  </si>
  <si>
    <t>col.C1.3 lossyG,lossyC.B.dec.d1-psnr</t>
  </si>
  <si>
    <t>col.C1.3 lossyG,lossyC.B.dec.d2-psnr</t>
  </si>
  <si>
    <t>col.C1.3 lossyG,lossyC.B.dec.y-psnr</t>
  </si>
  <si>
    <t>col.C1.3 lossyG,lossyC.B.dec.cb-psnr</t>
  </si>
  <si>
    <t>col.C1.3 lossyG,lossyC.B.dec.cr-psnr</t>
  </si>
  <si>
    <t>col.C1.3 lossyG,lossyC.B.dec.post-recolour.y-psnr</t>
  </si>
  <si>
    <t>col.C1.3 lossyG,lossyC.B.dec.post-recolour.cb-psnr</t>
  </si>
  <si>
    <t>col.C1.3 lossyG,lossyC.B.dec.post-recolour.cr-psnr</t>
  </si>
  <si>
    <t>col.C1.3 lossyG,lossyC.B.enc.utime</t>
  </si>
  <si>
    <t>col.C1.3 lossyG,lossyC.B.dec.utime</t>
  </si>
  <si>
    <t>col.C1.3 lossyG,lossyC.eqn.ab.delta-geom_texture_bits_ratio</t>
  </si>
  <si>
    <t>col.C1.3 lossyG,lossyC.eqn.ab.summary-delta-geom_texture_bits_ratio</t>
  </si>
  <si>
    <t>Geom. BD‑TotalRate [%]</t>
  </si>
  <si>
    <t>col.C1.3 lossyG,lossyC.eqn.ab.bdrate-d1</t>
  </si>
  <si>
    <t>col.C1.3 lossyG,lossyC.eqn.ab.bdrate-d2</t>
  </si>
  <si>
    <t>End-to-End BD‑TotalRate [%]</t>
  </si>
  <si>
    <t>col.C1.3 lossyG,lossyC.eqn.ab.bdrate-y</t>
  </si>
  <si>
    <t>col.C1.3 lossyG,lossyC.eqn.ab.bdrate-cb</t>
  </si>
  <si>
    <t>col.C1.3 lossyG,lossyC.eqn.ab.bdrate-cr</t>
  </si>
  <si>
    <t>col.C1.3 lossyG,lossyC.eqn.ab.bdrate-y-attrrate</t>
  </si>
  <si>
    <t>col.C1.3 lossyG,lossyC.eqn.ab.bdrate-cb-attrrate</t>
  </si>
  <si>
    <t>col.C1.3 lossyG,lossyC.eqn.ab.bdrate-cr-attrrate</t>
  </si>
  <si>
    <t>Post recolour BD‑AttrRate [%]</t>
  </si>
  <si>
    <t>col.C1.3 lossyG,lossyC.eqn.ab.post-recolour.bdrate-y-attrrate</t>
  </si>
  <si>
    <t>col.C1.3 lossyG,lossyC.eqn.ab.post-recolour.bdrate-cb-attrrate</t>
  </si>
  <si>
    <t>col.C1.3 lossyG,lossyC.eqn.ab.post-recolour.bdrate-cr-attrrate</t>
  </si>
  <si>
    <t>1.3 — lossy geometry, lossy colour [all intra]</t>
  </si>
  <si>
    <t>name.A.C1.3 lossyG,lossyC</t>
  </si>
  <si>
    <t>'C1.3 lossyG,lossyC'!$G$1</t>
  </si>
  <si>
    <t>name.B.C1.3 lossyG,lossyC</t>
  </si>
  <si>
    <t>'C1.3 lossyG,lossyC'!$AA$1</t>
  </si>
  <si>
    <t>r05</t>
  </si>
  <si>
    <t>r06</t>
  </si>
  <si>
    <t>range.C1.3 lossyG,lossyC.arco_valentino_dense_vox12</t>
  </si>
  <si>
    <t>'C1.3 lossyG,lossyC'!$A$4:$BJ$9</t>
  </si>
  <si>
    <t>range.C1.3 lossyG,lossyC.arco_valentino_dense_vox20</t>
  </si>
  <si>
    <t>'C1.3 lossyG,lossyC'!$A$10:$BJ$15</t>
  </si>
  <si>
    <t>range.C1.3 lossyG,lossyC.egyptian_mask_vox12</t>
  </si>
  <si>
    <t>'C1.3 lossyG,lossyC'!$A$16:$BJ$21</t>
  </si>
  <si>
    <t>range.C1.3 lossyG,lossyC.egyptian_mask_vox20</t>
  </si>
  <si>
    <t>'C1.3 lossyG,lossyC'!$A$22:$BJ$27</t>
  </si>
  <si>
    <t>range.C1.3 lossyG,lossyC.facade_00009_vox12</t>
  </si>
  <si>
    <t>'C1.3 lossyG,lossyC'!$A$28:$BJ$33</t>
  </si>
  <si>
    <t>range.C1.3 lossyG,lossyC.facade_00009_vox20</t>
  </si>
  <si>
    <t>'C1.3 lossyG,lossyC'!$A$34:$BJ$39</t>
  </si>
  <si>
    <t>range.C1.3 lossyG,lossyC.facade_00015_vox14</t>
  </si>
  <si>
    <t>'C1.3 lossyG,lossyC'!$A$40:$BJ$45</t>
  </si>
  <si>
    <t>range.C1.3 lossyG,lossyC.facade_00015_vox20</t>
  </si>
  <si>
    <t>'C1.3 lossyG,lossyC'!$A$46:$BJ$51</t>
  </si>
  <si>
    <t>range.C1.3 lossyG,lossyC.facade_00064_vox14</t>
  </si>
  <si>
    <t>'C1.3 lossyG,lossyC'!$A$52:$BJ$57</t>
  </si>
  <si>
    <t>range.C1.3 lossyG,lossyC.facade_00064_vox20</t>
  </si>
  <si>
    <t>'C1.3 lossyG,lossyC'!$A$58:$BJ$63</t>
  </si>
  <si>
    <t>range.C1.3 lossyG,lossyC.frog_00067_vox12</t>
  </si>
  <si>
    <t>'C1.3 lossyG,lossyC'!$A$64:$BJ$69</t>
  </si>
  <si>
    <t>range.C1.3 lossyG,lossyC.frog_00067_vox20</t>
  </si>
  <si>
    <t>'C1.3 lossyG,lossyC'!$A$70:$BJ$75</t>
  </si>
  <si>
    <t>range.C1.3 lossyG,lossyC.loot_vox10_1200</t>
  </si>
  <si>
    <t>'C1.3 lossyG,lossyC'!$A$76:$BJ$81</t>
  </si>
  <si>
    <t>range.C1.3 lossyG,lossyC.queen_0200</t>
  </si>
  <si>
    <t>'C1.3 lossyG,lossyC'!$A$82:$BJ$87</t>
  </si>
  <si>
    <t>range.C1.3 lossyG,lossyC.redandblack_vox10_1550</t>
  </si>
  <si>
    <t>'C1.3 lossyG,lossyC'!$A$88:$BJ$93</t>
  </si>
  <si>
    <t>range.C1.3 lossyG,lossyC.soldier_vox10_0690</t>
  </si>
  <si>
    <t>'C1.3 lossyG,lossyC'!$A$94:$BJ$99</t>
  </si>
  <si>
    <t>range.C1.3 lossyG,lossyC.staue_klimt_vox12</t>
  </si>
  <si>
    <t>'C1.3 lossyG,lossyC'!$A$100:$BJ$105</t>
  </si>
  <si>
    <t>range.C1.3 lossyG,lossyC.staue_klimt_vox20</t>
  </si>
  <si>
    <t>'C1.3 lossyG,lossyC'!$A$106:$BJ$111</t>
  </si>
  <si>
    <t>range.C1.3 lossyG,lossyC.ulb_unicorn_vox13</t>
  </si>
  <si>
    <t>'C1.3 lossyG,lossyC'!$A$112:$BJ$117</t>
  </si>
  <si>
    <t>range.C1.3 lossyG,lossyC.ulb_unicorn_vox20</t>
  </si>
  <si>
    <t>'C1.3 lossyG,lossyC'!$A$118:$BJ$123</t>
  </si>
  <si>
    <t>range.C1.3 lossyG,lossyC.head_00039_vox12</t>
  </si>
  <si>
    <t>'C1.3 lossyG,lossyC'!$A$124:$BJ$129</t>
  </si>
  <si>
    <t>range.C1.3 lossyG,lossyC.head_00039_vox20</t>
  </si>
  <si>
    <t>'C1.3 lossyG,lossyC'!$A$130:$BJ$135</t>
  </si>
  <si>
    <t>range.C1.3 lossyG,lossyC.house_without_roof_00057_vox12</t>
  </si>
  <si>
    <t>'C1.3 lossyG,lossyC'!$A$136:$BJ$141</t>
  </si>
  <si>
    <t>range.C1.3 lossyG,lossyC.house_without_roof_00057_vox20</t>
  </si>
  <si>
    <t>'C1.3 lossyG,lossyC'!$A$142:$BJ$147</t>
  </si>
  <si>
    <t>range.C1.3 lossyG,lossyC.longdress_vox10_1300</t>
  </si>
  <si>
    <t>'C1.3 lossyG,lossyC'!$A$148:$BJ$153</t>
  </si>
  <si>
    <t>range.C1.3 lossyG,lossyC.palazzo_carignano_dense_vox14</t>
  </si>
  <si>
    <t>'C1.3 lossyG,lossyC'!$A$154:$BJ$159</t>
  </si>
  <si>
    <t>range.C1.3 lossyG,lossyC.palazzo_carignano_dense_vox20</t>
  </si>
  <si>
    <t>'C1.3 lossyG,lossyC'!$A$160:$BJ$165</t>
  </si>
  <si>
    <t>range.C1.3 lossyG,lossyC.shiva_00035_vox12</t>
  </si>
  <si>
    <t>'C1.3 lossyG,lossyC'!$A$166:$BJ$171</t>
  </si>
  <si>
    <t>range.C1.3 lossyG,lossyC.shiva_00035_vox20</t>
  </si>
  <si>
    <t>'C1.3 lossyG,lossyC'!$A$172:$BJ$177</t>
  </si>
  <si>
    <t>range.C1.3 lossyG,lossyC.landscape_00014_vox14</t>
  </si>
  <si>
    <t>'C1.3 lossyG,lossyC'!$A$178:$BJ$183</t>
  </si>
  <si>
    <t>range.C1.3 lossyG,lossyC.landscape_00014_vox20</t>
  </si>
  <si>
    <t>'C1.3 lossyG,lossyC'!$A$184:$BJ$189</t>
  </si>
  <si>
    <t>range.C1.3 lossyG,lossyC.stanford_area_2_vox16</t>
  </si>
  <si>
    <t>'C1.3 lossyG,lossyC'!$A$190:$BJ$195</t>
  </si>
  <si>
    <t>range.C1.3 lossyG,lossyC.stanford_area_2_vox20</t>
  </si>
  <si>
    <t>'C1.3 lossyG,lossyC'!$A$196:$BJ$201</t>
  </si>
  <si>
    <t>range.C1.3 lossyG,lossyC.stanford_area_4_vox16</t>
  </si>
  <si>
    <t>'C1.3 lossyG,lossyC'!$A$202:$BJ$207</t>
  </si>
  <si>
    <t>range.C1.3 lossyG,lossyC.stanford_area_4_vox20</t>
  </si>
  <si>
    <t>'C1.3 lossyG,lossyC'!$A$208:$BJ$213</t>
  </si>
  <si>
    <t>range.C1.3 lossyG,lossyC.ulb_unicorn_hires_vox15</t>
  </si>
  <si>
    <t>'C1.3 lossyG,lossyC'!$A$214:$BJ$219</t>
  </si>
  <si>
    <t>range.C1.3 lossyG,lossyC.ulb_unicorn_hires_vox20</t>
  </si>
  <si>
    <t>'C1.3 lossyG,lossyC'!$A$220:$BJ$225</t>
  </si>
  <si>
    <t>1.3</t>
  </si>
  <si>
    <t>lossy geometry, lossy colour [all intra]</t>
  </si>
  <si>
    <t>C1.3 lossyG,lossyC</t>
  </si>
  <si>
    <t>cols.C1.3 lossyG,lossyC</t>
  </si>
  <si>
    <t>names!$B$204:$T$204</t>
  </si>
  <si>
    <t>col.C2.1 losslG,noAttr.class</t>
  </si>
  <si>
    <t>col.C2.1 losslG,noAttr.sequence</t>
  </si>
  <si>
    <t>col.C2.1 losslG,noAttr.src.numpoints</t>
  </si>
  <si>
    <t>col.C2.1 losslG,noAttr.src.geometry-precision</t>
  </si>
  <si>
    <t>№ frames</t>
  </si>
  <si>
    <t>col.C2.1 losslG,noAttr.src.framecount</t>
  </si>
  <si>
    <t>Frame rate [fps]</t>
  </si>
  <si>
    <t>col.C2.1 losslG,noAttr.src.framerate</t>
  </si>
  <si>
    <t>col.C2.1 losslG,noAttr.A.eqn.compratio</t>
  </si>
  <si>
    <t>Rate [Mbps]</t>
  </si>
  <si>
    <t>col.C2.1 losslG,noAttr.A.eqn.bitrate</t>
  </si>
  <si>
    <t>Total Bits per input point [bpip]</t>
  </si>
  <si>
    <t>col.C2.1 losslG,noAttr.A.eqn.bpp</t>
  </si>
  <si>
    <t>col.C2.1 losslG,noAttr.A.eqn.bpop</t>
  </si>
  <si>
    <t>col.C2.1 losslG,noAttr.A.dec.numpoints</t>
  </si>
  <si>
    <t>Total Bitstream [bits]</t>
  </si>
  <si>
    <t>col.C2.1 losslG,noAttr.A.enc.ext.bits</t>
  </si>
  <si>
    <t>col.C2.1 losslG,noAttr.A.dec.d1-psnr</t>
  </si>
  <si>
    <t>col.C2.1 losslG,noAttr.A.dec.d2-psnr</t>
  </si>
  <si>
    <t>Encoder runtime [s]</t>
  </si>
  <si>
    <t>Self</t>
  </si>
  <si>
    <t>col.C2.1 losslG,noAttr.A.enc.utime.self</t>
  </si>
  <si>
    <t>Child</t>
  </si>
  <si>
    <t>col.C2.1 losslG,noAttr.A.enc.utime.children</t>
  </si>
  <si>
    <t>Decoder runtime [s]</t>
  </si>
  <si>
    <t>col.C2.1 losslG,noAttr.A.dec.utime.self</t>
  </si>
  <si>
    <t>col.C2.1 losslG,noAttr.A.dec.utime.children</t>
  </si>
  <si>
    <t>col.C2.1 losslG,noAttr.B.eqn.compratio</t>
  </si>
  <si>
    <t>col.C2.1 losslG,noAttr.B.eqn.bitrate</t>
  </si>
  <si>
    <t>col.C2.1 losslG,noAttr.B.eqn.bpp</t>
  </si>
  <si>
    <t>col.C2.1 losslG,noAttr.B.eqn.bpop</t>
  </si>
  <si>
    <t>col.C2.1 losslG,noAttr.B.dec.numpoints</t>
  </si>
  <si>
    <t>col.C2.1 losslG,noAttr.B.enc.ext.bits</t>
  </si>
  <si>
    <t>col.C2.1 losslG,noAttr.B.dec.d1-psnr</t>
  </si>
  <si>
    <t>col.C2.1 losslG,noAttr.B.dec.d2-psnr</t>
  </si>
  <si>
    <t>col.C2.1 losslG,noAttr.B.enc.utime.self</t>
  </si>
  <si>
    <t>col.C2.1 losslG,noAttr.B.enc.utime.children</t>
  </si>
  <si>
    <t>col.C2.1 losslG,noAttr.B.dec.utime.self</t>
  </si>
  <si>
    <t>col.C2.1 losslG,noAttr.B.dec.utime.children</t>
  </si>
  <si>
    <t>col.C2.1 losslG,noAttr.eqn.ab.ratio-bpp</t>
  </si>
  <si>
    <t>2.1 — lossless geometry, no attributes [all intra]</t>
  </si>
  <si>
    <t>name.A.C2.1 losslG,noAttr</t>
  </si>
  <si>
    <t>'C2.1 losslG,noAttr'!$H$1</t>
  </si>
  <si>
    <t>name.B.C2.1 losslG,noAttr</t>
  </si>
  <si>
    <t>'C2.1 losslG,noAttr'!$U$1</t>
  </si>
  <si>
    <t>8ivfbv2_loot_vox10</t>
  </si>
  <si>
    <t>range.C2.1 losslG,noAttr.8ivfbv2_loot_vox10</t>
  </si>
  <si>
    <t>'C2.1 losslG,noAttr'!$A$4:$AH$4</t>
  </si>
  <si>
    <t>8ivfbv2_redandblack_vox10</t>
  </si>
  <si>
    <t>range.C2.1 losslG,noAttr.8ivfbv2_redandblack_vox10</t>
  </si>
  <si>
    <t>'C2.1 losslG,noAttr'!$A$5:$AH$5</t>
  </si>
  <si>
    <t>8ivfbv2_soldier_vox10</t>
  </si>
  <si>
    <t>range.C2.1 losslG,noAttr.8ivfbv2_soldier_vox10</t>
  </si>
  <si>
    <t>'C2.1 losslG,noAttr'!$A$6:$AH$6</t>
  </si>
  <si>
    <t>queen</t>
  </si>
  <si>
    <t>range.C2.1 losslG,noAttr.queen</t>
  </si>
  <si>
    <t>'C2.1 losslG,noAttr'!$A$7:$AH$7</t>
  </si>
  <si>
    <t>cat2-A</t>
  </si>
  <si>
    <t>8ivfbv2_longdress_vox10</t>
  </si>
  <si>
    <t>range.C2.1 losslG,noAttr.8ivfbv2_longdress_vox10</t>
  </si>
  <si>
    <t>'C2.1 losslG,noAttr'!$A$8:$AH$8</t>
  </si>
  <si>
    <t>cat2-B</t>
  </si>
  <si>
    <t>Cat2-A average</t>
  </si>
  <si>
    <t>Cat2-B average</t>
  </si>
  <si>
    <t>Cat2</t>
  </si>
  <si>
    <t>2.1</t>
  </si>
  <si>
    <t>C2.1 losslG,noAttr</t>
  </si>
  <si>
    <t>cols.C2.1 losslG,noAttr</t>
  </si>
  <si>
    <t>names!$B$243:$M$243</t>
  </si>
  <si>
    <t>col.C2.2 losslG,losslAttr.class</t>
  </si>
  <si>
    <t>col.C2.2 losslG,losslAttr.sequence</t>
  </si>
  <si>
    <t>col.C2.2 losslG,losslAttr.src.numpoints</t>
  </si>
  <si>
    <t>col.C2.2 losslG,losslAttr.src.geometry-precision</t>
  </si>
  <si>
    <t>col.C2.2 losslG,losslAttr.src.framecount</t>
  </si>
  <si>
    <t>col.C2.2 losslG,losslAttr.src.framerate</t>
  </si>
  <si>
    <t>col.C2.2 losslG,losslAttr.A.eqn.compratio</t>
  </si>
  <si>
    <t>col.C2.2 losslG,losslAttr.A.eqn.bitrate</t>
  </si>
  <si>
    <t>col.C2.2 losslG,losslAttr.A.eqn.bpp</t>
  </si>
  <si>
    <t>Tot.Geom</t>
  </si>
  <si>
    <t>col.C2.2 losslG,losslAttr.A.eqn.bpp.geometry+occ+patch</t>
  </si>
  <si>
    <t>col.C2.2 losslG,losslAttr.A.eqn.bpp.geometry</t>
  </si>
  <si>
    <t>col.C2.2 losslG,losslAttr.A.eqn.bpp.colour</t>
  </si>
  <si>
    <t>col.C2.2 losslG,losslAttr.A.eqn.bpop</t>
  </si>
  <si>
    <t>col.C2.2 losslG,losslAttr.A.dec.numpoints</t>
  </si>
  <si>
    <t>col.C2.2 losslG,losslAttr.A.enc.ext.bits</t>
  </si>
  <si>
    <t>col.C2.2 losslG,losslAttr.A.enc.bits.geometry</t>
  </si>
  <si>
    <t>A.eqn.bits.totalgeometry</t>
  </si>
  <si>
    <t>col.C2.2 losslG,losslAttr.A.eqn.bits.totalgeometry</t>
  </si>
  <si>
    <t>Occ+Patch</t>
  </si>
  <si>
    <t>col.C2.2 losslG,losslAttr.A.enc.bits.occ+patch</t>
  </si>
  <si>
    <t>col.C2.2 losslG,losslAttr.A.enc.bits.colour</t>
  </si>
  <si>
    <t>col.C2.2 losslG,losslAttr.A.dec.d1-psnr</t>
  </si>
  <si>
    <t>col.C2.2 losslG,losslAttr.A.dec.d2-psnr</t>
  </si>
  <si>
    <t>col.C2.2 losslG,losslAttr.A.dec.y-psnr</t>
  </si>
  <si>
    <t>col.C2.2 losslG,losslAttr.A.dec.cb-psnr</t>
  </si>
  <si>
    <t>col.C2.2 losslG,losslAttr.A.dec.cr-psnr</t>
  </si>
  <si>
    <t>col.C2.2 losslG,losslAttr.A.enc.utime.self</t>
  </si>
  <si>
    <t>col.C2.2 losslG,losslAttr.A.enc.utime.children</t>
  </si>
  <si>
    <t>col.C2.2 losslG,losslAttr.A.dec.utime.self</t>
  </si>
  <si>
    <t>col.C2.2 losslG,losslAttr.A.dec.utime.children</t>
  </si>
  <si>
    <t>col.C2.2 losslG,losslAttr.B.eqn.compratio</t>
  </si>
  <si>
    <t>col.C2.2 losslG,losslAttr.B.eqn.bitrate</t>
  </si>
  <si>
    <t>col.C2.2 losslG,losslAttr.B.eqn.bpp</t>
  </si>
  <si>
    <t>col.C2.2 losslG,losslAttr.B.eqn.bpp.geometry+occ+patch</t>
  </si>
  <si>
    <t>col.C2.2 losslG,losslAttr.B.eqn.bpp.geometry</t>
  </si>
  <si>
    <t>col.C2.2 losslG,losslAttr.B.eqn.bpp.colour</t>
  </si>
  <si>
    <t>col.C2.2 losslG,losslAttr.B.eqn.bpop</t>
  </si>
  <si>
    <t>col.C2.2 losslG,losslAttr.B.dec.numpoints</t>
  </si>
  <si>
    <t>col.C2.2 losslG,losslAttr.B.enc.ext.bits</t>
  </si>
  <si>
    <t>col.C2.2 losslG,losslAttr.B.enc.bits.geometry</t>
  </si>
  <si>
    <t>B.eqn.bits.totalgeometry</t>
  </si>
  <si>
    <t>col.C2.2 losslG,losslAttr.B.eqn.bits.totalgeometry</t>
  </si>
  <si>
    <t>col.C2.2 losslG,losslAttr.B.enc.bits.occ+patch</t>
  </si>
  <si>
    <t>col.C2.2 losslG,losslAttr.B.enc.bits.colour</t>
  </si>
  <si>
    <t>col.C2.2 losslG,losslAttr.B.dec.d1-psnr</t>
  </si>
  <si>
    <t>col.C2.2 losslG,losslAttr.B.dec.d2-psnr</t>
  </si>
  <si>
    <t>col.C2.2 losslG,losslAttr.B.dec.y-psnr</t>
  </si>
  <si>
    <t>col.C2.2 losslG,losslAttr.B.dec.cb-psnr</t>
  </si>
  <si>
    <t>col.C2.2 losslG,losslAttr.B.dec.cr-psnr</t>
  </si>
  <si>
    <t>col.C2.2 losslG,losslAttr.B.enc.utime.self</t>
  </si>
  <si>
    <t>col.C2.2 losslG,losslAttr.B.enc.utime.children</t>
  </si>
  <si>
    <t>col.C2.2 losslG,losslAttr.B.dec.utime.self</t>
  </si>
  <si>
    <t>col.C2.2 losslG,losslAttr.B.dec.utime.children</t>
  </si>
  <si>
    <t>col.C2.2 losslG,losslAttr.eqn.ab.ratio-bpp</t>
  </si>
  <si>
    <t>col.C2.2 losslG,losslAttr.eqn.ab.delta-geom_texture_bits_ratio</t>
  </si>
  <si>
    <t>col.C2.2 losslG,losslAttr.eqn.ab.summary-delta-geom_texture_bits_ratio</t>
  </si>
  <si>
    <t>2.2 — lossless geometry, lossless attributes [all intra]</t>
  </si>
  <si>
    <t>name.A.C2.2 losslG,losslAttr</t>
  </si>
  <si>
    <t>'C2.2 losslG,losslAttr'!$H$1</t>
  </si>
  <si>
    <t>name.B.C2.2 losslG,losslAttr</t>
  </si>
  <si>
    <t>'C2.2 losslG,losslAttr'!$AE$1</t>
  </si>
  <si>
    <t>range.C2.2 losslG,losslAttr.8ivfbv2_loot_vox10</t>
  </si>
  <si>
    <t>'C2.2 losslG,losslAttr'!$A$4:$BD$4</t>
  </si>
  <si>
    <t>range.C2.2 losslG,losslAttr.8ivfbv2_redandblack_vox10</t>
  </si>
  <si>
    <t>'C2.2 losslG,losslAttr'!$A$5:$BD$5</t>
  </si>
  <si>
    <t>range.C2.2 losslG,losslAttr.8ivfbv2_soldier_vox10</t>
  </si>
  <si>
    <t>'C2.2 losslG,losslAttr'!$A$6:$BD$6</t>
  </si>
  <si>
    <t>range.C2.2 losslG,losslAttr.queen</t>
  </si>
  <si>
    <t>'C2.2 losslG,losslAttr'!$A$7:$BD$7</t>
  </si>
  <si>
    <t>range.C2.2 losslG,losslAttr.8ivfbv2_longdress_vox10</t>
  </si>
  <si>
    <t>'C2.2 losslG,losslAttr'!$A$8:$BD$8</t>
  </si>
  <si>
    <t>2.2</t>
  </si>
  <si>
    <t>lossless geometry, lossless attributes [all intra]</t>
  </si>
  <si>
    <t>C2.2 losslG,losslAttr</t>
  </si>
  <si>
    <t>cols.C2.2 losslG,losslAttr</t>
  </si>
  <si>
    <t>names!$B$304:$W$304</t>
  </si>
  <si>
    <t>col.C2.3 lossyG,lossyAttr.class</t>
  </si>
  <si>
    <t>col.C2.3 lossyG,lossyAttr.sequence</t>
  </si>
  <si>
    <t>col.C2.3 lossyG,lossyAttr.variant</t>
  </si>
  <si>
    <t>col.C2.3 lossyG,lossyAttr.src.numpoints</t>
  </si>
  <si>
    <t>col.C2.3 lossyG,lossyAttr.src.geometry-precision</t>
  </si>
  <si>
    <t>col.C2.3 lossyG,lossyAttr.src.framecount</t>
  </si>
  <si>
    <t>col.C2.3 lossyG,lossyAttr.src.framerate</t>
  </si>
  <si>
    <t>col.C2.3 lossyG,lossyAttr.A.eqn.bitrate</t>
  </si>
  <si>
    <t>col.C2.3 lossyG,lossyAttr.A.eqn.bpp</t>
  </si>
  <si>
    <t>col.C2.3 lossyG,lossyAttr.A.eqn.bpp.geometry+occ+patch</t>
  </si>
  <si>
    <t>col.C2.3 lossyG,lossyAttr.A.eqn.bpp.geometry</t>
  </si>
  <si>
    <t>col.C2.3 lossyG,lossyAttr.A.eqn.bpp.colour</t>
  </si>
  <si>
    <t>col.C2.3 lossyG,lossyAttr.A.eqn.bpop</t>
  </si>
  <si>
    <t>col.C2.3 lossyG,lossyAttr.A.dec.numpoints</t>
  </si>
  <si>
    <t>col.C2.3 lossyG,lossyAttr.A.dec.numpoints.mean</t>
  </si>
  <si>
    <t>col.C2.3 lossyG,lossyAttr.A.dec.numduppoints.mean</t>
  </si>
  <si>
    <t>col.C2.3 lossyG,lossyAttr.A.enc.ext.bits</t>
  </si>
  <si>
    <t>col.C2.3 lossyG,lossyAttr.A.enc.bits.geometry</t>
  </si>
  <si>
    <t>col.C2.3 lossyG,lossyAttr.A.eqn.bits.totalgeometry</t>
  </si>
  <si>
    <t>col.C2.3 lossyG,lossyAttr.A.enc.bits.occ+patch</t>
  </si>
  <si>
    <t>col.C2.3 lossyG,lossyAttr.A.enc.bits.colour</t>
  </si>
  <si>
    <t>col.C2.3 lossyG,lossyAttr.A.dec.d1-psnr</t>
  </si>
  <si>
    <t>col.C2.3 lossyG,lossyAttr.A.dec.d2-psnr</t>
  </si>
  <si>
    <t>col.C2.3 lossyG,lossyAttr.A.dec.y-psnr</t>
  </si>
  <si>
    <t>col.C2.3 lossyG,lossyAttr.A.dec.cb-psnr</t>
  </si>
  <si>
    <t>col.C2.3 lossyG,lossyAttr.A.dec.cr-psnr</t>
  </si>
  <si>
    <t>col.C2.3 lossyG,lossyAttr.A.enc.utime.self</t>
  </si>
  <si>
    <t>col.C2.3 lossyG,lossyAttr.A.enc.utime.children</t>
  </si>
  <si>
    <t>col.C2.3 lossyG,lossyAttr.A.dec.utime.self</t>
  </si>
  <si>
    <t>col.C2.3 lossyG,lossyAttr.A.dec.utime.children</t>
  </si>
  <si>
    <t>col.C2.3 lossyG,lossyAttr.B.eqn.bitrate</t>
  </si>
  <si>
    <t>col.C2.3 lossyG,lossyAttr.B.eqn.bpp</t>
  </si>
  <si>
    <t>col.C2.3 lossyG,lossyAttr.B.eqn.bpp.geometry+occ+patch</t>
  </si>
  <si>
    <t>col.C2.3 lossyG,lossyAttr.B.eqn.bpp.geometry</t>
  </si>
  <si>
    <t>col.C2.3 lossyG,lossyAttr.B.eqn.bpp.colour</t>
  </si>
  <si>
    <t>col.C2.3 lossyG,lossyAttr.B.eqn.bpop</t>
  </si>
  <si>
    <t>col.C2.3 lossyG,lossyAttr.B.dec.numpoints</t>
  </si>
  <si>
    <t>col.C2.3 lossyG,lossyAttr.B.dec.numpoints.mean</t>
  </si>
  <si>
    <t>col.C2.3 lossyG,lossyAttr.B.dec.numduppoints.mean</t>
  </si>
  <si>
    <t>col.C2.3 lossyG,lossyAttr.B.enc.ext.bits</t>
  </si>
  <si>
    <t>col.C2.3 lossyG,lossyAttr.B.enc.bits.geometry</t>
  </si>
  <si>
    <t>col.C2.3 lossyG,lossyAttr.B.eqn.bits.totalgeometry</t>
  </si>
  <si>
    <t>col.C2.3 lossyG,lossyAttr.B.enc.bits.occ+patch</t>
  </si>
  <si>
    <t>col.C2.3 lossyG,lossyAttr.B.enc.bits.colour</t>
  </si>
  <si>
    <t>col.C2.3 lossyG,lossyAttr.B.dec.d1-psnr</t>
  </si>
  <si>
    <t>col.C2.3 lossyG,lossyAttr.B.dec.d2-psnr</t>
  </si>
  <si>
    <t>col.C2.3 lossyG,lossyAttr.B.dec.y-psnr</t>
  </si>
  <si>
    <t>col.C2.3 lossyG,lossyAttr.B.dec.cb-psnr</t>
  </si>
  <si>
    <t>col.C2.3 lossyG,lossyAttr.B.dec.cr-psnr</t>
  </si>
  <si>
    <t>col.C2.3 lossyG,lossyAttr.B.enc.utime.self</t>
  </si>
  <si>
    <t>col.C2.3 lossyG,lossyAttr.B.enc.utime.children</t>
  </si>
  <si>
    <t>col.C2.3 lossyG,lossyAttr.B.dec.utime.self</t>
  </si>
  <si>
    <t>col.C2.3 lossyG,lossyAttr.B.dec.utime.children</t>
  </si>
  <si>
    <t>Shift in duppoint ratio [pp]</t>
  </si>
  <si>
    <t>col.C2.3 lossyG,lossyAttr.eqn.ab.delta-duppoints_ratio</t>
  </si>
  <si>
    <t>col.C2.3 lossyG,lossyAttr.eqn.ab.delta-geom_texture_bits_ratio</t>
  </si>
  <si>
    <t>col.C2.3 lossyG,lossyAttr.eqn.ab.summary-delta-geom_texture_bits_ratio</t>
  </si>
  <si>
    <t>col.C2.3 lossyG,lossyAttr.eqn.ab.bdrate-d1</t>
  </si>
  <si>
    <t>col.C2.3 lossyG,lossyAttr.eqn.ab.bdrate-d2</t>
  </si>
  <si>
    <t>col.C2.3 lossyG,lossyAttr.eqn.ab.bdrate-y</t>
  </si>
  <si>
    <t>col.C2.3 lossyG,lossyAttr.eqn.ab.bdrate-cb</t>
  </si>
  <si>
    <t>col.C2.3 lossyG,lossyAttr.eqn.ab.bdrate-cr</t>
  </si>
  <si>
    <t>Geom. BD‑TotGeomRate [%]</t>
  </si>
  <si>
    <t>col.C2.3 lossyG,lossyAttr.eqn.ab.bdrate-d1-geomrate</t>
  </si>
  <si>
    <t>col.C2.3 lossyG,lossyAttr.eqn.ab.bdrate-d2-geomrate</t>
  </si>
  <si>
    <t>col.C2.3 lossyG,lossyAttr.eqn.ab.bdrate-y-attrrate</t>
  </si>
  <si>
    <t>col.C2.3 lossyG,lossyAttr.eqn.ab.bdrate-cb-attrrate</t>
  </si>
  <si>
    <t>col.C2.3 lossyG,lossyAttr.eqn.ab.bdrate-cr-attrrate</t>
  </si>
  <si>
    <t>2.3 — lossy geometry, lossy attributes [all intra]</t>
  </si>
  <si>
    <t>name.A.C2.3 lossyG,lossyAttr</t>
  </si>
  <si>
    <t>'C2.3 lossyG,lossyAttr'!$I$1</t>
  </si>
  <si>
    <t>name.B.C2.3 lossyG,lossyAttr</t>
  </si>
  <si>
    <t>'C2.3 lossyG,lossyAttr'!$AG$1</t>
  </si>
  <si>
    <t>range.C2.3 lossyG,lossyAttr.8ivfbv2_loot_vox10</t>
  </si>
  <si>
    <t>'C2.3 lossyG,lossyAttr'!$A$4:$BS$8</t>
  </si>
  <si>
    <t>range.C2.3 lossyG,lossyAttr.8ivfbv2_redandblack_vox10</t>
  </si>
  <si>
    <t>'C2.3 lossyG,lossyAttr'!$A$9:$BS$13</t>
  </si>
  <si>
    <t>range.C2.3 lossyG,lossyAttr.8ivfbv2_soldier_vox10</t>
  </si>
  <si>
    <t>'C2.3 lossyG,lossyAttr'!$A$14:$BS$18</t>
  </si>
  <si>
    <t>range.C2.3 lossyG,lossyAttr.queen</t>
  </si>
  <si>
    <t>'C2.3 lossyG,lossyAttr'!$A$19:$BS$23</t>
  </si>
  <si>
    <t>range.C2.3 lossyG,lossyAttr.8ivfbv2_longdress_vox10</t>
  </si>
  <si>
    <t>2.3</t>
  </si>
  <si>
    <t>lossy geometry, lossy attributes [all intra]</t>
  </si>
  <si>
    <t>D2 [%]</t>
  </si>
  <si>
    <t>C2.3 lossyG,lossyAttr</t>
  </si>
  <si>
    <t>cols.C2.3 lossyG,lossyAttr</t>
  </si>
  <si>
    <t>names!$B$378:$X$378</t>
  </si>
  <si>
    <t>col.C2.4 lossyG,lossyAttr,interRA.class</t>
  </si>
  <si>
    <t>col.C2.4 lossyG,lossyAttr,interRA.sequence</t>
  </si>
  <si>
    <t>col.C2.4 lossyG,lossyAttr,interRA.variant</t>
  </si>
  <si>
    <t>col.C2.4 lossyG,lossyAttr,interRA.src.numpoints</t>
  </si>
  <si>
    <t>col.C2.4 lossyG,lossyAttr,interRA.src.geometry-precision</t>
  </si>
  <si>
    <t>col.C2.4 lossyG,lossyAttr,interRA.src.framecount</t>
  </si>
  <si>
    <t>col.C2.4 lossyG,lossyAttr,interRA.src.framerate</t>
  </si>
  <si>
    <t>col.C2.4 lossyG,lossyAttr,interRA.A.eqn.bitrate</t>
  </si>
  <si>
    <t>col.C2.4 lossyG,lossyAttr,interRA.A.eqn.bpp</t>
  </si>
  <si>
    <t>col.C2.4 lossyG,lossyAttr,interRA.A.eqn.bpp.geometry+occ+patch</t>
  </si>
  <si>
    <t>col.C2.4 lossyG,lossyAttr,interRA.A.eqn.bpp.geometry</t>
  </si>
  <si>
    <t>col.C2.4 lossyG,lossyAttr,interRA.A.eqn.bpp.colour</t>
  </si>
  <si>
    <t>col.C2.4 lossyG,lossyAttr,interRA.A.eqn.bpop</t>
  </si>
  <si>
    <t>col.C2.4 lossyG,lossyAttr,interRA.A.dec.numpoints</t>
  </si>
  <si>
    <t>col.C2.4 lossyG,lossyAttr,interRA.A.dec.numpoints.mean</t>
  </si>
  <si>
    <t>col.C2.4 lossyG,lossyAttr,interRA.A.dec.numduppoints.mean</t>
  </si>
  <si>
    <t>col.C2.4 lossyG,lossyAttr,interRA.A.enc.ext.bits</t>
  </si>
  <si>
    <t>col.C2.4 lossyG,lossyAttr,interRA.A.enc.bits.geometry</t>
  </si>
  <si>
    <t>col.C2.4 lossyG,lossyAttr,interRA.A.eqn.bits.totalgeometry</t>
  </si>
  <si>
    <t>col.C2.4 lossyG,lossyAttr,interRA.A.enc.bits.occ+patch</t>
  </si>
  <si>
    <t>col.C2.4 lossyG,lossyAttr,interRA.A.enc.bits.colour</t>
  </si>
  <si>
    <t>col.C2.4 lossyG,lossyAttr,interRA.A.dec.d1-psnr</t>
  </si>
  <si>
    <t>col.C2.4 lossyG,lossyAttr,interRA.A.dec.d2-psnr</t>
  </si>
  <si>
    <t>col.C2.4 lossyG,lossyAttr,interRA.A.dec.y-psnr</t>
  </si>
  <si>
    <t>col.C2.4 lossyG,lossyAttr,interRA.A.dec.cb-psnr</t>
  </si>
  <si>
    <t>col.C2.4 lossyG,lossyAttr,interRA.A.dec.cr-psnr</t>
  </si>
  <si>
    <t>col.C2.4 lossyG,lossyAttr,interRA.A.enc.utime.self</t>
  </si>
  <si>
    <t>col.C2.4 lossyG,lossyAttr,interRA.A.enc.utime.children</t>
  </si>
  <si>
    <t>col.C2.4 lossyG,lossyAttr,interRA.A.dec.utime.self</t>
  </si>
  <si>
    <t>col.C2.4 lossyG,lossyAttr,interRA.A.dec.utime.children</t>
  </si>
  <si>
    <t>col.C2.4 lossyG,lossyAttr,interRA.B.eqn.bitrate</t>
  </si>
  <si>
    <t>col.C2.4 lossyG,lossyAttr,interRA.B.eqn.bpp</t>
  </si>
  <si>
    <t>col.C2.4 lossyG,lossyAttr,interRA.B.eqn.bpp.geometry+occ+patch</t>
  </si>
  <si>
    <t>col.C2.4 lossyG,lossyAttr,interRA.B.eqn.bpp.geometry</t>
  </si>
  <si>
    <t>col.C2.4 lossyG,lossyAttr,interRA.B.eqn.bpp.colour</t>
  </si>
  <si>
    <t>col.C2.4 lossyG,lossyAttr,interRA.B.eqn.bpop</t>
  </si>
  <si>
    <t>col.C2.4 lossyG,lossyAttr,interRA.B.dec.numpoints</t>
  </si>
  <si>
    <t>col.C2.4 lossyG,lossyAttr,interRA.B.dec.numpoints.mean</t>
  </si>
  <si>
    <t>col.C2.4 lossyG,lossyAttr,interRA.B.dec.numduppoints.mean</t>
  </si>
  <si>
    <t>col.C2.4 lossyG,lossyAttr,interRA.B.enc.ext.bits</t>
  </si>
  <si>
    <t>col.C2.4 lossyG,lossyAttr,interRA.B.enc.bits.geometry</t>
  </si>
  <si>
    <t>col.C2.4 lossyG,lossyAttr,interRA.B.eqn.bits.totalgeometry</t>
  </si>
  <si>
    <t>col.C2.4 lossyG,lossyAttr,interRA.B.enc.bits.occ+patch</t>
  </si>
  <si>
    <t>col.C2.4 lossyG,lossyAttr,interRA.B.enc.bits.colour</t>
  </si>
  <si>
    <t>col.C2.4 lossyG,lossyAttr,interRA.B.dec.d1-psnr</t>
  </si>
  <si>
    <t>col.C2.4 lossyG,lossyAttr,interRA.B.dec.d2-psnr</t>
  </si>
  <si>
    <t>col.C2.4 lossyG,lossyAttr,interRA.B.dec.y-psnr</t>
  </si>
  <si>
    <t>col.C2.4 lossyG,lossyAttr,interRA.B.dec.cb-psnr</t>
  </si>
  <si>
    <t>col.C2.4 lossyG,lossyAttr,interRA.B.dec.cr-psnr</t>
  </si>
  <si>
    <t>col.C2.4 lossyG,lossyAttr,interRA.B.enc.utime.self</t>
  </si>
  <si>
    <t>col.C2.4 lossyG,lossyAttr,interRA.B.enc.utime.children</t>
  </si>
  <si>
    <t>col.C2.4 lossyG,lossyAttr,interRA.B.dec.utime.self</t>
  </si>
  <si>
    <t>col.C2.4 lossyG,lossyAttr,interRA.B.dec.utime.children</t>
  </si>
  <si>
    <t>col.C2.4 lossyG,lossyAttr,interRA.eqn.ab.delta-duppoints_ratio</t>
  </si>
  <si>
    <t>col.C2.4 lossyG,lossyAttr,interRA.eqn.ab.delta-geom_texture_bits_ratio</t>
  </si>
  <si>
    <t>col.C2.4 lossyG,lossyAttr,interRA.eqn.ab.summary-delta-geom_texture_bits_ratio</t>
  </si>
  <si>
    <t>col.C2.4 lossyG,lossyAttr,interRA.eqn.ab.bdrate-d1</t>
  </si>
  <si>
    <t>col.C2.4 lossyG,lossyAttr,interRA.eqn.ab.bdrate-d2</t>
  </si>
  <si>
    <t>col.C2.4 lossyG,lossyAttr,interRA.eqn.ab.bdrate-y</t>
  </si>
  <si>
    <t>col.C2.4 lossyG,lossyAttr,interRA.eqn.ab.bdrate-cb</t>
  </si>
  <si>
    <t>col.C2.4 lossyG,lossyAttr,interRA.eqn.ab.bdrate-cr</t>
  </si>
  <si>
    <t>col.C2.4 lossyG,lossyAttr,interRA.eqn.ab.bdrate-d1-geomrate</t>
  </si>
  <si>
    <t>col.C2.4 lossyG,lossyAttr,interRA.eqn.ab.bdrate-d2-geomrate</t>
  </si>
  <si>
    <t>col.C2.4 lossyG,lossyAttr,interRA.eqn.ab.bdrate-y-attrrate</t>
  </si>
  <si>
    <t>col.C2.4 lossyG,lossyAttr,interRA.eqn.ab.bdrate-cb-attrrate</t>
  </si>
  <si>
    <t>col.C2.4 lossyG,lossyAttr,interRA.eqn.ab.bdrate-cr-attrrate</t>
  </si>
  <si>
    <t>2.4 — lossy geometry, lossy attributes [inter, random access]</t>
  </si>
  <si>
    <t>name.A.C2.4 lossyG,lossyAttr,interRA</t>
  </si>
  <si>
    <t>'C2.4 lossyG,lossyAttr,interRA'!$I$1</t>
  </si>
  <si>
    <t>name.B.C2.4 lossyG,lossyAttr,interRA</t>
  </si>
  <si>
    <t>'C2.4 lossyG,lossyAttr,interRA'!$AG$1</t>
  </si>
  <si>
    <t>range.C2.4 lossyG,lossyAttr,interRA.8ivfbv2_loot_vox10</t>
  </si>
  <si>
    <t>'C2.4 lossyG,lossyAttr,interRA'!$A$4:$BS$8</t>
  </si>
  <si>
    <t>range.C2.4 lossyG,lossyAttr,interRA.8ivfbv2_redandblack_vox10</t>
  </si>
  <si>
    <t>'C2.4 lossyG,lossyAttr,interRA'!$A$9:$BS$13</t>
  </si>
  <si>
    <t>range.C2.4 lossyG,lossyAttr,interRA.8ivfbv2_soldier_vox10</t>
  </si>
  <si>
    <t>'C2.4 lossyG,lossyAttr,interRA'!$A$14:$BS$18</t>
  </si>
  <si>
    <t>range.C2.4 lossyG,lossyAttr,interRA.queen</t>
  </si>
  <si>
    <t>'C2.4 lossyG,lossyAttr,interRA'!$A$19:$BS$23</t>
  </si>
  <si>
    <t>range.C2.4 lossyG,lossyAttr,interRA.8ivfbv2_longdress_vox10</t>
  </si>
  <si>
    <t>'C2.4 lossyG,lossyAttr,interRA'!$A$24:$BS$28</t>
  </si>
  <si>
    <t>2.4</t>
  </si>
  <si>
    <t>lossy geometry, lossy attributes [inter, random access]</t>
  </si>
  <si>
    <t>C2.4 lossyG,lossyAttr,interRA</t>
  </si>
  <si>
    <t>cols.C2.4 lossyG,lossyAttr,interRA</t>
  </si>
  <si>
    <t>names!$B$452:$X$452</t>
  </si>
  <si>
    <t>col.C2.5 losslG,noAttr,interRA.class</t>
  </si>
  <si>
    <t>col.C2.5 losslG,noAttr,interRA.sequence</t>
  </si>
  <si>
    <t>col.C2.5 losslG,noAttr,interRA.src.numpoints</t>
  </si>
  <si>
    <t>col.C2.5 losslG,noAttr,interRA.src.geometry-precision</t>
  </si>
  <si>
    <t>col.C2.5 losslG,noAttr,interRA.src.framecount</t>
  </si>
  <si>
    <t>col.C2.5 losslG,noAttr,interRA.src.framerate</t>
  </si>
  <si>
    <t>col.C2.5 losslG,noAttr,interRA.A.eqn.compratio</t>
  </si>
  <si>
    <t>col.C2.5 losslG,noAttr,interRA.A.eqn.bitrate</t>
  </si>
  <si>
    <t>col.C2.5 losslG,noAttr,interRA.A.eqn.bpp</t>
  </si>
  <si>
    <t>col.C2.5 losslG,noAttr,interRA.A.eqn.bpop</t>
  </si>
  <si>
    <t>col.C2.5 losslG,noAttr,interRA.A.dec.numpoints</t>
  </si>
  <si>
    <t>col.C2.5 losslG,noAttr,interRA.A.enc.ext.bits</t>
  </si>
  <si>
    <t>col.C2.5 losslG,noAttr,interRA.A.dec.d1-psnr</t>
  </si>
  <si>
    <t>col.C2.5 losslG,noAttr,interRA.A.dec.d2-psnr</t>
  </si>
  <si>
    <t>col.C2.5 losslG,noAttr,interRA.A.enc.utime.self</t>
  </si>
  <si>
    <t>col.C2.5 losslG,noAttr,interRA.A.enc.utime.children</t>
  </si>
  <si>
    <t>col.C2.5 losslG,noAttr,interRA.A.dec.utime.self</t>
  </si>
  <si>
    <t>col.C2.5 losslG,noAttr,interRA.A.dec.utime.children</t>
  </si>
  <si>
    <t>col.C2.5 losslG,noAttr,interRA.B.eqn.compratio</t>
  </si>
  <si>
    <t>col.C2.5 losslG,noAttr,interRA.B.eqn.bitrate</t>
  </si>
  <si>
    <t>col.C2.5 losslG,noAttr,interRA.B.eqn.bpp</t>
  </si>
  <si>
    <t>col.C2.5 losslG,noAttr,interRA.B.eqn.bpop</t>
  </si>
  <si>
    <t>col.C2.5 losslG,noAttr,interRA.B.dec.numpoints</t>
  </si>
  <si>
    <t>col.C2.5 losslG,noAttr,interRA.B.enc.ext.bits</t>
  </si>
  <si>
    <t>col.C2.5 losslG,noAttr,interRA.B.dec.d1-psnr</t>
  </si>
  <si>
    <t>col.C2.5 losslG,noAttr,interRA.B.dec.d2-psnr</t>
  </si>
  <si>
    <t>col.C2.5 losslG,noAttr,interRA.B.enc.utime.self</t>
  </si>
  <si>
    <t>col.C2.5 losslG,noAttr,interRA.B.enc.utime.children</t>
  </si>
  <si>
    <t>col.C2.5 losslG,noAttr,interRA.B.dec.utime.self</t>
  </si>
  <si>
    <t>col.C2.5 losslG,noAttr,interRA.B.dec.utime.children</t>
  </si>
  <si>
    <t>col.C2.5 losslG,noAttr,interRA.eqn.ab.ratio-bpp</t>
  </si>
  <si>
    <t>2.5 — lossless geometry, no attributes [inter, random access]</t>
  </si>
  <si>
    <t>name.A.C2.5 losslG,noAttr,interRA</t>
  </si>
  <si>
    <t>'C2.5 losslG,noAttr,interRA'!$H$1</t>
  </si>
  <si>
    <t>name.B.C2.5 losslG,noAttr,interRA</t>
  </si>
  <si>
    <t>'C2.5 losslG,noAttr,interRA'!$U$1</t>
  </si>
  <si>
    <t>range.C2.5 losslG,noAttr,interRA.8ivfbv2_loot_vox10</t>
  </si>
  <si>
    <t>'C2.5 losslG,noAttr,interRA'!$A$4:$AH$4</t>
  </si>
  <si>
    <t>range.C2.5 losslG,noAttr,interRA.8ivfbv2_redandblack_vox10</t>
  </si>
  <si>
    <t>'C2.5 losslG,noAttr,interRA'!$A$5:$AH$5</t>
  </si>
  <si>
    <t>range.C2.5 losslG,noAttr,interRA.8ivfbv2_soldier_vox10</t>
  </si>
  <si>
    <t>'C2.5 losslG,noAttr,interRA'!$A$6:$AH$6</t>
  </si>
  <si>
    <t>range.C2.5 losslG,noAttr,interRA.queen</t>
  </si>
  <si>
    <t>'C2.5 losslG,noAttr,interRA'!$A$7:$AH$7</t>
  </si>
  <si>
    <t>range.C2.5 losslG,noAttr,interRA.8ivfbv2_longdress_vox10</t>
  </si>
  <si>
    <t>'C2.5 losslG,noAttr,interRA'!$A$8:$AH$8</t>
  </si>
  <si>
    <t>2.5</t>
  </si>
  <si>
    <t>lossless geometry, no attributes [inter, random access]</t>
  </si>
  <si>
    <t>C2.5 losslG,noAttr,interRA</t>
  </si>
  <si>
    <t>cols.C2.5 losslG,noAttr,interRA</t>
  </si>
  <si>
    <t>names!$B$491:$M$491</t>
  </si>
  <si>
    <t>col.C2.6 losslG,losslAttr,interRA.class</t>
  </si>
  <si>
    <t>col.C2.6 losslG,losslAttr,interRA.sequence</t>
  </si>
  <si>
    <t>col.C2.6 losslG,losslAttr,interRA.src.numpoints</t>
  </si>
  <si>
    <t>col.C2.6 losslG,losslAttr,interRA.src.geometry-precision</t>
  </si>
  <si>
    <t>col.C2.6 losslG,losslAttr,interRA.src.framecount</t>
  </si>
  <si>
    <t>col.C2.6 losslG,losslAttr,interRA.src.framerate</t>
  </si>
  <si>
    <t>col.C2.6 losslG,losslAttr,interRA.A.eqn.compratio</t>
  </si>
  <si>
    <t>col.C2.6 losslG,losslAttr,interRA.A.eqn.bitrate</t>
  </si>
  <si>
    <t>col.C2.6 losslG,losslAttr,interRA.A.eqn.bpp</t>
  </si>
  <si>
    <t>col.C2.6 losslG,losslAttr,interRA.A.eqn.bpp.geometry+occ+patch</t>
  </si>
  <si>
    <t>col.C2.6 losslG,losslAttr,interRA.A.eqn.bpp.geometry</t>
  </si>
  <si>
    <t>col.C2.6 losslG,losslAttr,interRA.A.eqn.bpp.colour</t>
  </si>
  <si>
    <t>col.C2.6 losslG,losslAttr,interRA.A.eqn.bpop</t>
  </si>
  <si>
    <t>col.C2.6 losslG,losslAttr,interRA.A.dec.numpoints</t>
  </si>
  <si>
    <t>col.C2.6 losslG,losslAttr,interRA.A.enc.ext.bits</t>
  </si>
  <si>
    <t>col.C2.6 losslG,losslAttr,interRA.A.enc.bits.geometry</t>
  </si>
  <si>
    <t>col.C2.6 losslG,losslAttr,interRA.A.eqn.bits.totalgeometry</t>
  </si>
  <si>
    <t>col.C2.6 losslG,losslAttr,interRA.A.enc.bits.occ+patch</t>
  </si>
  <si>
    <t>col.C2.6 losslG,losslAttr,interRA.A.enc.bits.colour</t>
  </si>
  <si>
    <t>col.C2.6 losslG,losslAttr,interRA.A.dec.d1-psnr</t>
  </si>
  <si>
    <t>col.C2.6 losslG,losslAttr,interRA.A.dec.d2-psnr</t>
  </si>
  <si>
    <t>col.C2.6 losslG,losslAttr,interRA.A.dec.y-psnr</t>
  </si>
  <si>
    <t>col.C2.6 losslG,losslAttr,interRA.A.dec.cb-psnr</t>
  </si>
  <si>
    <t>col.C2.6 losslG,losslAttr,interRA.A.dec.cr-psnr</t>
  </si>
  <si>
    <t>col.C2.6 losslG,losslAttr,interRA.A.enc.utime.self</t>
  </si>
  <si>
    <t>col.C2.6 losslG,losslAttr,interRA.A.enc.utime.children</t>
  </si>
  <si>
    <t>col.C2.6 losslG,losslAttr,interRA.A.dec.utime.self</t>
  </si>
  <si>
    <t>col.C2.6 losslG,losslAttr,interRA.A.dec.utime.children</t>
  </si>
  <si>
    <t>col.C2.6 losslG,losslAttr,interRA.B.eqn.compratio</t>
  </si>
  <si>
    <t>col.C2.6 losslG,losslAttr,interRA.B.eqn.bitrate</t>
  </si>
  <si>
    <t>col.C2.6 losslG,losslAttr,interRA.B.eqn.bpp</t>
  </si>
  <si>
    <t>col.C2.6 losslG,losslAttr,interRA.B.eqn.bpp.geometry+occ+patch</t>
  </si>
  <si>
    <t>col.C2.6 losslG,losslAttr,interRA.B.eqn.bpp.geometry</t>
  </si>
  <si>
    <t>col.C2.6 losslG,losslAttr,interRA.B.eqn.bpp.colour</t>
  </si>
  <si>
    <t>col.C2.6 losslG,losslAttr,interRA.B.eqn.bpop</t>
  </si>
  <si>
    <t>col.C2.6 losslG,losslAttr,interRA.B.dec.numpoints</t>
  </si>
  <si>
    <t>col.C2.6 losslG,losslAttr,interRA.B.enc.ext.bits</t>
  </si>
  <si>
    <t>col.C2.6 losslG,losslAttr,interRA.B.enc.bits.geometry</t>
  </si>
  <si>
    <t>col.C2.6 losslG,losslAttr,interRA.B.eqn.bits.totalgeometry</t>
  </si>
  <si>
    <t>col.C2.6 losslG,losslAttr,interRA.B.enc.bits.occ+patch</t>
  </si>
  <si>
    <t>col.C2.6 losslG,losslAttr,interRA.B.enc.bits.colour</t>
  </si>
  <si>
    <t>col.C2.6 losslG,losslAttr,interRA.B.dec.d1-psnr</t>
  </si>
  <si>
    <t>col.C2.6 losslG,losslAttr,interRA.B.dec.d2-psnr</t>
  </si>
  <si>
    <t>col.C2.6 losslG,losslAttr,interRA.B.dec.y-psnr</t>
  </si>
  <si>
    <t>col.C2.6 losslG,losslAttr,interRA.B.dec.cb-psnr</t>
  </si>
  <si>
    <t>col.C2.6 losslG,losslAttr,interRA.B.dec.cr-psnr</t>
  </si>
  <si>
    <t>col.C2.6 losslG,losslAttr,interRA.B.enc.utime.self</t>
  </si>
  <si>
    <t>col.C2.6 losslG,losslAttr,interRA.B.enc.utime.children</t>
  </si>
  <si>
    <t>col.C2.6 losslG,losslAttr,interRA.B.dec.utime.self</t>
  </si>
  <si>
    <t>col.C2.6 losslG,losslAttr,interRA.B.dec.utime.children</t>
  </si>
  <si>
    <t>col.C2.6 losslG,losslAttr,interRA.eqn.ab.ratio-bpp</t>
  </si>
  <si>
    <t>col.C2.6 losslG,losslAttr,interRA.eqn.ab.delta-geom_texture_bits_ratio</t>
  </si>
  <si>
    <t>col.C2.6 losslG,losslAttr,interRA.eqn.ab.summary-delta-geom_texture_bits_ratio</t>
  </si>
  <si>
    <t>2.6 — lossless geometry, lossless attributes [inter, random access]</t>
  </si>
  <si>
    <t>name.A.C2.6 losslG,losslAttr,interRA</t>
  </si>
  <si>
    <t>'C2.6 losslG,losslAttr,interRA'!$H$1</t>
  </si>
  <si>
    <t>name.B.C2.6 losslG,losslAttr,interRA</t>
  </si>
  <si>
    <t>'C2.6 losslG,losslAttr,interRA'!$AE$1</t>
  </si>
  <si>
    <t>range.C2.6 losslG,losslAttr,interRA.8ivfbv2_loot_vox10</t>
  </si>
  <si>
    <t>'C2.6 losslG,losslAttr,interRA'!$A$4:$BD$4</t>
  </si>
  <si>
    <t>range.C2.6 losslG,losslAttr,interRA.8ivfbv2_redandblack_vox10</t>
  </si>
  <si>
    <t>'C2.6 losslG,losslAttr,interRA'!$A$5:$BD$5</t>
  </si>
  <si>
    <t>range.C2.6 losslG,losslAttr,interRA.8ivfbv2_soldier_vox10</t>
  </si>
  <si>
    <t>'C2.6 losslG,losslAttr,interRA'!$A$6:$BD$6</t>
  </si>
  <si>
    <t>range.C2.6 losslG,losslAttr,interRA.queen</t>
  </si>
  <si>
    <t>'C2.6 losslG,losslAttr,interRA'!$A$7:$BD$7</t>
  </si>
  <si>
    <t>range.C2.6 losslG,losslAttr,interRA.8ivfbv2_longdress_vox10</t>
  </si>
  <si>
    <t>'C2.6 losslG,losslAttr,interRA'!$A$8:$BD$8</t>
  </si>
  <si>
    <t>2.6</t>
  </si>
  <si>
    <t>lossless geometry, lossless attributes [inter, random access]</t>
  </si>
  <si>
    <t>C2.6 losslG,losslAttr,interRA</t>
  </si>
  <si>
    <t>cols.C2.6 losslG,losslAttr,interRA</t>
  </si>
  <si>
    <t>names!$B$552:$W$552</t>
  </si>
  <si>
    <t>col.C3.1 losslG,noAttr.class</t>
  </si>
  <si>
    <t>col.C3.1 losslG,noAttr.sequence</t>
  </si>
  <si>
    <t>col.C3.1 losslG,noAttr.src.numpoints</t>
  </si>
  <si>
    <t>col.C3.1 losslG,noAttr.src.geometry-precision</t>
  </si>
  <si>
    <t>col.C3.1 losslG,noAttr.src.framecount</t>
  </si>
  <si>
    <t>col.C3.1 losslG,noAttr.src.framerate</t>
  </si>
  <si>
    <t>col.C3.1 losslG,noAttr.A.eqn.compratio</t>
  </si>
  <si>
    <t>col.C3.1 losslG,noAttr.A.eqn.bitrate</t>
  </si>
  <si>
    <t>col.C3.1 losslG,noAttr.A.eqn.bpp</t>
  </si>
  <si>
    <t>col.C3.1 losslG,noAttr.A.eqn.bpop</t>
  </si>
  <si>
    <t>col.C3.1 losslG,noAttr.A.dec.numpoints</t>
  </si>
  <si>
    <t>col.C3.1 losslG,noAttr.A.enc.ext.bits</t>
  </si>
  <si>
    <t>col.C3.1 losslG,noAttr.A.enc.utime</t>
  </si>
  <si>
    <t>col.C3.1 losslG,noAttr.A.dec.utime</t>
  </si>
  <si>
    <t>col.C3.1 losslG,noAttr.B.eqn.compratio</t>
  </si>
  <si>
    <t>col.C3.1 losslG,noAttr.B.eqn.bitrate</t>
  </si>
  <si>
    <t>col.C3.1 losslG,noAttr.B.eqn.bpp</t>
  </si>
  <si>
    <t>col.C3.1 losslG,noAttr.B.eqn.bpop</t>
  </si>
  <si>
    <t>col.C3.1 losslG,noAttr.B.dec.numpoints</t>
  </si>
  <si>
    <t>col.C3.1 losslG,noAttr.B.enc.ext.bits</t>
  </si>
  <si>
    <t>col.C3.1 losslG,noAttr.B.enc.utime</t>
  </si>
  <si>
    <t>col.C3.1 losslG,noAttr.B.dec.utime</t>
  </si>
  <si>
    <t>col.C3.1 losslG,noAttr.eqn.ab.ratio-bpp</t>
  </si>
  <si>
    <t>3.1 — lossless geometry, no attributes [all intra]</t>
  </si>
  <si>
    <t>name.A.C3.1 losslG,noAttr</t>
  </si>
  <si>
    <t>'C3.1 losslG,noAttr'!$H$1</t>
  </si>
  <si>
    <t>name.B.C3.1 losslG,noAttr</t>
  </si>
  <si>
    <t>'C3.1 losslG,noAttr'!$Q$1</t>
  </si>
  <si>
    <t>citytunnel_q1mm</t>
  </si>
  <si>
    <t>range.C3.1 losslG,noAttr.citytunnel_q1mm</t>
  </si>
  <si>
    <t>'C3.1 losslG,noAttr'!$A$4:$Z$4</t>
  </si>
  <si>
    <t>overpass_q1mm</t>
  </si>
  <si>
    <t>range.C3.1 losslG,noAttr.overpass_q1mm</t>
  </si>
  <si>
    <t>'C3.1 losslG,noAttr'!$A$5:$Z$5</t>
  </si>
  <si>
    <t>tollbooth_q1mm</t>
  </si>
  <si>
    <t>range.C3.1 losslG,noAttr.tollbooth_q1mm</t>
  </si>
  <si>
    <t>'C3.1 losslG,noAttr'!$A$6:$Z$6</t>
  </si>
  <si>
    <t>cat3-fused</t>
  </si>
  <si>
    <t>ford_01_q1mm</t>
  </si>
  <si>
    <t>range.C3.1 losslG,noAttr.ford_01_q1mm</t>
  </si>
  <si>
    <t>'C3.1 losslG,noAttr'!$A$7:$Z$7</t>
  </si>
  <si>
    <t>ford_02_q1mm</t>
  </si>
  <si>
    <t>range.C3.1 losslG,noAttr.ford_02_q1mm</t>
  </si>
  <si>
    <t>'C3.1 losslG,noAttr'!$A$8:$Z$8</t>
  </si>
  <si>
    <t>ford_03_q1mm</t>
  </si>
  <si>
    <t>range.C3.1 losslG,noAttr.ford_03_q1mm</t>
  </si>
  <si>
    <t>'C3.1 losslG,noAttr'!$A$9:$Z$9</t>
  </si>
  <si>
    <t>cat3-frame</t>
  </si>
  <si>
    <t>Cat3-fused average</t>
  </si>
  <si>
    <t>Cat3-frame average</t>
  </si>
  <si>
    <t>Cat3</t>
  </si>
  <si>
    <t>3.1</t>
  </si>
  <si>
    <t>C3.1 losslG,noAttr</t>
  </si>
  <si>
    <t>cols.C3.1 losslG,noAttr</t>
  </si>
  <si>
    <t>names!$B$584:$I$584</t>
  </si>
  <si>
    <t>col.C3.2 losslG,lossyC.class</t>
  </si>
  <si>
    <t>col.C3.2 losslG,lossyC.sequence</t>
  </si>
  <si>
    <t>col.C3.2 losslG,lossyC.variant</t>
  </si>
  <si>
    <t>col.C3.2 losslG,lossyC.src.numpoints</t>
  </si>
  <si>
    <t>col.C3.2 losslG,lossyC.src.geometry-precision</t>
  </si>
  <si>
    <t>col.C3.2 losslG,lossyC.src.framecount</t>
  </si>
  <si>
    <t>col.C3.2 losslG,lossyC.src.framerate</t>
  </si>
  <si>
    <t>col.C3.2 losslG,lossyC.A.eqn.bitrate</t>
  </si>
  <si>
    <t>col.C3.2 losslG,lossyC.A.eqn.bpp</t>
  </si>
  <si>
    <t>col.C3.2 losslG,lossyC.A.eqn.bpp.colour</t>
  </si>
  <si>
    <t>col.C3.2 losslG,lossyC.A.eqn.bpop</t>
  </si>
  <si>
    <t>col.C3.2 losslG,lossyC.A.dec.numpoints</t>
  </si>
  <si>
    <t>col.C3.2 losslG,lossyC.A.enc.ext.bits</t>
  </si>
  <si>
    <t>col.C3.2 losslG,lossyC.A.enc.bits.colour</t>
  </si>
  <si>
    <t>col.C3.2 losslG,lossyC.A.dec.y-psnr</t>
  </si>
  <si>
    <t>col.C3.2 losslG,lossyC.A.dec.cb-psnr</t>
  </si>
  <si>
    <t>col.C3.2 losslG,lossyC.A.dec.cr-psnr</t>
  </si>
  <si>
    <t>col.C3.2 losslG,lossyC.A.enc.utime</t>
  </si>
  <si>
    <t>col.C3.2 losslG,lossyC.A.dec.utime</t>
  </si>
  <si>
    <t>col.C3.2 losslG,lossyC.B.eqn.bitrate</t>
  </si>
  <si>
    <t>col.C3.2 losslG,lossyC.B.eqn.bpp</t>
  </si>
  <si>
    <t>col.C3.2 losslG,lossyC.B.eqn.bpp.colour</t>
  </si>
  <si>
    <t>col.C3.2 losslG,lossyC.B.eqn.bpop</t>
  </si>
  <si>
    <t>col.C3.2 losslG,lossyC.B.dec.numpoints</t>
  </si>
  <si>
    <t>col.C3.2 losslG,lossyC.B.enc.ext.bits</t>
  </si>
  <si>
    <t>col.C3.2 losslG,lossyC.B.enc.bits.colour</t>
  </si>
  <si>
    <t>col.C3.2 losslG,lossyC.B.dec.y-psnr</t>
  </si>
  <si>
    <t>col.C3.2 losslG,lossyC.B.dec.cb-psnr</t>
  </si>
  <si>
    <t>col.C3.2 losslG,lossyC.B.dec.cr-psnr</t>
  </si>
  <si>
    <t>col.C3.2 losslG,lossyC.B.enc.utime</t>
  </si>
  <si>
    <t>col.C3.2 losslG,lossyC.B.dec.utime</t>
  </si>
  <si>
    <t>col.C3.2 losslG,lossyC.eqn.ab.bdrate-y</t>
  </si>
  <si>
    <t>col.C3.2 losslG,lossyC.eqn.ab.bdrate-cb</t>
  </si>
  <si>
    <t>col.C3.2 losslG,lossyC.eqn.ab.bdrate-cr</t>
  </si>
  <si>
    <t>col.C3.2 losslG,lossyC.eqn.ab.bdrate-y-attrrate</t>
  </si>
  <si>
    <t>col.C3.2 losslG,lossyC.eqn.ab.bdrate-cb-attrrate</t>
  </si>
  <si>
    <t>col.C3.2 losslG,lossyC.eqn.ab.bdrate-cr-attrrate</t>
  </si>
  <si>
    <t>3.2 — lossless geometry, lossy colour [all intra]</t>
  </si>
  <si>
    <t>name.A.C3.2 losslG,lossyC</t>
  </si>
  <si>
    <t>'C3.2 losslG,lossyC'!$I$1</t>
  </si>
  <si>
    <t>name.B.C3.2 losslG,lossyC</t>
  </si>
  <si>
    <t>'C3.2 losslG,lossyC'!$V$1</t>
  </si>
  <si>
    <t>range.C3.2 losslG,lossyC.citytunnel_q1mm</t>
  </si>
  <si>
    <t>'C3.2 losslG,lossyC'!$A$4:$AO$9</t>
  </si>
  <si>
    <t>range.C3.2 losslG,lossyC.overpass_q1mm</t>
  </si>
  <si>
    <t>'C3.2 losslG,lossyC'!$A$10:$AO$15</t>
  </si>
  <si>
    <t>range.C3.2 losslG,lossyC.tollbooth_q1mm</t>
  </si>
  <si>
    <t>'C3.2 losslG,lossyC'!$A$16:$AO$21</t>
  </si>
  <si>
    <t>3.2</t>
  </si>
  <si>
    <t>C3.2 losslG,lossyC</t>
  </si>
  <si>
    <t>cols.C3.2 losslG,lossyC</t>
  </si>
  <si>
    <t>names!$B$627:$M$627</t>
  </si>
  <si>
    <t>col.C3.3 losslG,lossyR.class</t>
  </si>
  <si>
    <t>col.C3.3 losslG,lossyR.sequence</t>
  </si>
  <si>
    <t>col.C3.3 losslG,lossyR.variant</t>
  </si>
  <si>
    <t>col.C3.3 losslG,lossyR.src.numpoints</t>
  </si>
  <si>
    <t>col.C3.3 losslG,lossyR.src.geometry-precision</t>
  </si>
  <si>
    <t>col.C3.3 losslG,lossyR.src.framecount</t>
  </si>
  <si>
    <t>col.C3.3 losslG,lossyR.src.framerate</t>
  </si>
  <si>
    <t>col.C3.3 losslG,lossyR.A.eqn.bitrate</t>
  </si>
  <si>
    <t>col.C3.3 losslG,lossyR.A.eqn.bpp</t>
  </si>
  <si>
    <t>col.C3.3 losslG,lossyR.A.eqn.bpop</t>
  </si>
  <si>
    <t>col.C3.3 losslG,lossyR.A.dec.numpoints</t>
  </si>
  <si>
    <t>col.C3.3 losslG,lossyR.A.enc.ext.bits</t>
  </si>
  <si>
    <t>Reflectance</t>
  </si>
  <si>
    <t>col.C3.3 losslG,lossyR.A.enc.bits.reflectance</t>
  </si>
  <si>
    <t>Reflectance End-to-end PSNR [dB]</t>
  </si>
  <si>
    <t>col.C3.3 losslG,lossyR.A.dec.reflectance-psnr</t>
  </si>
  <si>
    <t>col.C3.3 losslG,lossyR.A.enc.utime</t>
  </si>
  <si>
    <t>col.C3.3 losslG,lossyR.A.dec.utime</t>
  </si>
  <si>
    <t>col.C3.3 losslG,lossyR.B.eqn.bitrate</t>
  </si>
  <si>
    <t>col.C3.3 losslG,lossyR.B.eqn.bpp</t>
  </si>
  <si>
    <t>col.C3.3 losslG,lossyR.B.eqn.bpop</t>
  </si>
  <si>
    <t>col.C3.3 losslG,lossyR.B.dec.numpoints</t>
  </si>
  <si>
    <t>col.C3.3 losslG,lossyR.B.enc.ext.bits</t>
  </si>
  <si>
    <t>col.C3.3 losslG,lossyR.B.enc.bits.reflectance</t>
  </si>
  <si>
    <t>col.C3.3 losslG,lossyR.B.dec.reflectance-psnr</t>
  </si>
  <si>
    <t>col.C3.3 losslG,lossyR.B.enc.utime</t>
  </si>
  <si>
    <t>col.C3.3 losslG,lossyR.B.dec.utime</t>
  </si>
  <si>
    <t>Reflectance End-to-End BD‑TotalRate [%]</t>
  </si>
  <si>
    <t>col.C3.3 losslG,lossyR.eqn.ab.bdrate-reflectance</t>
  </si>
  <si>
    <t>Reflectance End-to-End BD‑AttrRate [%]</t>
  </si>
  <si>
    <t>col.C3.3 losslG,lossyR.eqn.ab.bdrate-reflectance-attrrate</t>
  </si>
  <si>
    <t>3.3 — lossless geometry, lossy reflectance [all intra]</t>
  </si>
  <si>
    <t>name.A.C3.3 losslG,lossyR</t>
  </si>
  <si>
    <t>'C3.3 losslG,lossyR'!$I$1</t>
  </si>
  <si>
    <t>name.B.C3.3 losslG,lossyR</t>
  </si>
  <si>
    <t>'C3.3 losslG,lossyR'!$S$1</t>
  </si>
  <si>
    <t>range.C3.3 losslG,lossyR.citytunnel_q1mm</t>
  </si>
  <si>
    <t>'C3.3 losslG,lossyR'!$A$4:$AE$9</t>
  </si>
  <si>
    <t>range.C3.3 losslG,lossyR.overpass_q1mm</t>
  </si>
  <si>
    <t>'C3.3 losslG,lossyR'!$A$10:$AE$15</t>
  </si>
  <si>
    <t>range.C3.3 losslG,lossyR.tollbooth_q1mm</t>
  </si>
  <si>
    <t>'C3.3 losslG,lossyR'!$A$16:$AE$21</t>
  </si>
  <si>
    <t>3.3</t>
  </si>
  <si>
    <t>lossless geometry, lossy reflectance [all intra]</t>
  </si>
  <si>
    <t>C3.3 losslG,lossyR</t>
  </si>
  <si>
    <t>cols.C3.3 losslG,lossyR</t>
  </si>
  <si>
    <t>names!$B$660:$J$660</t>
  </si>
  <si>
    <t>col.C3.4 lossyG,noAttr.class</t>
  </si>
  <si>
    <t>col.C3.4 lossyG,noAttr.sequence</t>
  </si>
  <si>
    <t>col.C3.4 lossyG,noAttr.variant</t>
  </si>
  <si>
    <t>col.C3.4 lossyG,noAttr.src.numpoints</t>
  </si>
  <si>
    <t>col.C3.4 lossyG,noAttr.src.geometry-precision</t>
  </si>
  <si>
    <t>col.C3.4 lossyG,noAttr.src.framecount</t>
  </si>
  <si>
    <t>col.C3.4 lossyG,noAttr.src.framerate</t>
  </si>
  <si>
    <t>col.C3.4 lossyG,noAttr.A.eqn.bitrate</t>
  </si>
  <si>
    <t>col.C3.4 lossyG,noAttr.A.eqn.bpp</t>
  </si>
  <si>
    <t>col.C3.4 lossyG,noAttr.A.eqn.bpop</t>
  </si>
  <si>
    <t>col.C3.4 lossyG,noAttr.A.dec.numpoints</t>
  </si>
  <si>
    <t>col.C3.4 lossyG,noAttr.A.enc.ext.bits</t>
  </si>
  <si>
    <t>col.C3.4 lossyG,noAttr.A.dec.d1-psnr</t>
  </si>
  <si>
    <t>col.C3.4 lossyG,noAttr.A.dec.d2-psnr</t>
  </si>
  <si>
    <t>col.C3.4 lossyG,noAttr.A.enc.utime</t>
  </si>
  <si>
    <t>col.C3.4 lossyG,noAttr.A.dec.utime</t>
  </si>
  <si>
    <t>col.C3.4 lossyG,noAttr.B.eqn.bitrate</t>
  </si>
  <si>
    <t>col.C3.4 lossyG,noAttr.B.eqn.bpp</t>
  </si>
  <si>
    <t>col.C3.4 lossyG,noAttr.B.eqn.bpop</t>
  </si>
  <si>
    <t>col.C3.4 lossyG,noAttr.B.dec.numpoints</t>
  </si>
  <si>
    <t>col.C3.4 lossyG,noAttr.B.enc.ext.bits</t>
  </si>
  <si>
    <t>col.C3.4 lossyG,noAttr.B.dec.d1-psnr</t>
  </si>
  <si>
    <t>col.C3.4 lossyG,noAttr.B.dec.d2-psnr</t>
  </si>
  <si>
    <t>col.C3.4 lossyG,noAttr.B.enc.utime</t>
  </si>
  <si>
    <t>col.C3.4 lossyG,noAttr.B.dec.utime</t>
  </si>
  <si>
    <t>col.C3.4 lossyG,noAttr.eqn.ab.bdrate-d1</t>
  </si>
  <si>
    <t>col.C3.4 lossyG,noAttr.eqn.ab.bdrate-d2</t>
  </si>
  <si>
    <t>3.4 — lossy geometry, no attributes [all intra]</t>
  </si>
  <si>
    <t>name.A.C3.4 lossyG,noAttr</t>
  </si>
  <si>
    <t>'C3.4 lossyG,noAttr'!$I$1</t>
  </si>
  <si>
    <t>name.B.C3.4 lossyG,noAttr</t>
  </si>
  <si>
    <t>'C3.4 lossyG,noAttr'!$S$1</t>
  </si>
  <si>
    <t>range.C3.4 lossyG,noAttr.citytunnel_q1mm</t>
  </si>
  <si>
    <t>'C3.4 lossyG,noAttr'!$A$4:$AD$9</t>
  </si>
  <si>
    <t>range.C3.4 lossyG,noAttr.overpass_q1mm</t>
  </si>
  <si>
    <t>'C3.4 lossyG,noAttr'!$A$10:$AD$15</t>
  </si>
  <si>
    <t>range.C3.4 lossyG,noAttr.tollbooth_q1mm</t>
  </si>
  <si>
    <t>'C3.4 lossyG,noAttr'!$A$16:$AD$21</t>
  </si>
  <si>
    <t>range.C3.4 lossyG,noAttr.ford_01_q1mm</t>
  </si>
  <si>
    <t>'C3.4 lossyG,noAttr'!$A$22:$AD$27</t>
  </si>
  <si>
    <t>range.C3.4 lossyG,noAttr.ford_02_q1mm</t>
  </si>
  <si>
    <t>'C3.4 lossyG,noAttr'!$A$28:$AD$33</t>
  </si>
  <si>
    <t>range.C3.4 lossyG,noAttr.ford_03_q1mm</t>
  </si>
  <si>
    <t>'C3.4 lossyG,noAttr'!$A$34:$AD$39</t>
  </si>
  <si>
    <t>3.4</t>
  </si>
  <si>
    <t>lossy geometry, no attributes [all intra]</t>
  </si>
  <si>
    <t>C3.4 lossyG,noAttr</t>
  </si>
  <si>
    <t>cols.C3.4 lossyG,noAttr</t>
  </si>
  <si>
    <t>names!$B$696:$J$696</t>
  </si>
  <si>
    <t>col.C3.5 lossyG,noAttr,interRA.class</t>
  </si>
  <si>
    <t>col.C3.5 lossyG,noAttr,interRA.sequence</t>
  </si>
  <si>
    <t>col.C3.5 lossyG,noAttr,interRA.variant</t>
  </si>
  <si>
    <t>col.C3.5 lossyG,noAttr,interRA.src.numpoints</t>
  </si>
  <si>
    <t>col.C3.5 lossyG,noAttr,interRA.src.geometry-precision</t>
  </si>
  <si>
    <t>col.C3.5 lossyG,noAttr,interRA.src.framecount</t>
  </si>
  <si>
    <t>col.C3.5 lossyG,noAttr,interRA.src.framerate</t>
  </si>
  <si>
    <t>col.C3.5 lossyG,noAttr,interRA.A.eqn.bitrate</t>
  </si>
  <si>
    <t>col.C3.5 lossyG,noAttr,interRA.A.eqn.bpp</t>
  </si>
  <si>
    <t>col.C3.5 lossyG,noAttr,interRA.A.eqn.bpop</t>
  </si>
  <si>
    <t>col.C3.5 lossyG,noAttr,interRA.A.dec.numpoints</t>
  </si>
  <si>
    <t>col.C3.5 lossyG,noAttr,interRA.A.enc.ext.bits</t>
  </si>
  <si>
    <t>col.C3.5 lossyG,noAttr,interRA.A.dec.d1-psnr</t>
  </si>
  <si>
    <t>col.C3.5 lossyG,noAttr,interRA.A.dec.d2-psnr</t>
  </si>
  <si>
    <t>col.C3.5 lossyG,noAttr,interRA.A.enc.utime</t>
  </si>
  <si>
    <t>col.C3.5 lossyG,noAttr,interRA.A.dec.utime</t>
  </si>
  <si>
    <t>col.C3.5 lossyG,noAttr,interRA.B.eqn.bitrate</t>
  </si>
  <si>
    <t>col.C3.5 lossyG,noAttr,interRA.B.eqn.bpp</t>
  </si>
  <si>
    <t>col.C3.5 lossyG,noAttr,interRA.B.eqn.bpop</t>
  </si>
  <si>
    <t>col.C3.5 lossyG,noAttr,interRA.B.dec.numpoints</t>
  </si>
  <si>
    <t>col.C3.5 lossyG,noAttr,interRA.B.enc.ext.bits</t>
  </si>
  <si>
    <t>col.C3.5 lossyG,noAttr,interRA.B.dec.d1-psnr</t>
  </si>
  <si>
    <t>col.C3.5 lossyG,noAttr,interRA.B.dec.d2-psnr</t>
  </si>
  <si>
    <t>col.C3.5 lossyG,noAttr,interRA.B.enc.utime</t>
  </si>
  <si>
    <t>col.C3.5 lossyG,noAttr,interRA.B.dec.utime</t>
  </si>
  <si>
    <t>col.C3.5 lossyG,noAttr,interRA.eqn.ab.bdrate-d1</t>
  </si>
  <si>
    <t>col.C3.5 lossyG,noAttr,interRA.eqn.ab.bdrate-d2</t>
  </si>
  <si>
    <t>3.5 — lossy geometry, no attributes [random access]</t>
  </si>
  <si>
    <t>name.A.C3.5 lossyG,noAttr,interRA</t>
  </si>
  <si>
    <t>'C3.5 lossyG,noAttr,interRA'!$I$1</t>
  </si>
  <si>
    <t>name.B.C3.5 lossyG,noAttr,interRA</t>
  </si>
  <si>
    <t>'C3.5 lossyG,noAttr,interRA'!$S$1</t>
  </si>
  <si>
    <t>range.C3.5 lossyG,noAttr,interRA.ford_01_q1mm</t>
  </si>
  <si>
    <t>'C3.5 lossyG,noAttr,interRA'!$A$4:$AD$9</t>
  </si>
  <si>
    <t>range.C3.5 lossyG,noAttr,interRA.ford_02_q1mm</t>
  </si>
  <si>
    <t>'C3.5 lossyG,noAttr,interRA'!$A$10:$AD$15</t>
  </si>
  <si>
    <t>range.C3.5 lossyG,noAttr,interRA.ford_03_q1mm</t>
  </si>
  <si>
    <t>'C3.5 lossyG,noAttr,interRA'!$A$16:$AD$21</t>
  </si>
  <si>
    <t>3.5</t>
  </si>
  <si>
    <t>lossy geometry, no attributes [random access]</t>
  </si>
  <si>
    <t>C3.5 lossyG,noAttr,interRA</t>
  </si>
  <si>
    <t>cols.C3.5 lossyG,noAttr,interRA</t>
  </si>
  <si>
    <t>names!$B$729:$J$729</t>
  </si>
  <si>
    <t>col.C3.6 lossyG,lossyR.class</t>
  </si>
  <si>
    <t>col.C3.6 lossyG,lossyR.sequence</t>
  </si>
  <si>
    <t>col.C3.6 lossyG,lossyR.variant</t>
  </si>
  <si>
    <t>col.C3.6 lossyG,lossyR.src.numpoints</t>
  </si>
  <si>
    <t>col.C3.6 lossyG,lossyR.src.geometry-precision</t>
  </si>
  <si>
    <t>col.C3.6 lossyG,lossyR.src.framecount</t>
  </si>
  <si>
    <t>col.C3.6 lossyG,lossyR.src.framerate</t>
  </si>
  <si>
    <t>col.C3.6 lossyG,lossyR.A.eqn.bitrate</t>
  </si>
  <si>
    <t>col.C3.6 lossyG,lossyR.A.eqn.bpp</t>
  </si>
  <si>
    <t>col.C3.6 lossyG,lossyR.A.eqn.bpop</t>
  </si>
  <si>
    <t>col.C3.6 lossyG,lossyR.A.dec.numpoints</t>
  </si>
  <si>
    <t>col.C3.6 lossyG,lossyR.A.enc.ext.bits</t>
  </si>
  <si>
    <t>col.C3.6 lossyG,lossyR.A.dec.d1-psnr</t>
  </si>
  <si>
    <t>col.C3.6 lossyG,lossyR.A.dec.d2-psnr</t>
  </si>
  <si>
    <t>col.C3.6 lossyG,lossyR.A.dec.reflectance-psnr</t>
  </si>
  <si>
    <t>col.C3.6 lossyG,lossyR.A.enc.utime</t>
  </si>
  <si>
    <t>col.C3.6 lossyG,lossyR.A.dec.utime</t>
  </si>
  <si>
    <t>col.C3.6 lossyG,lossyR.B.eqn.bitrate</t>
  </si>
  <si>
    <t>col.C3.6 lossyG,lossyR.B.eqn.bpp</t>
  </si>
  <si>
    <t>col.C3.6 lossyG,lossyR.B.eqn.bpop</t>
  </si>
  <si>
    <t>col.C3.6 lossyG,lossyR.B.dec.numpoints</t>
  </si>
  <si>
    <t>col.C3.6 lossyG,lossyR.B.enc.ext.bits</t>
  </si>
  <si>
    <t>col.C3.6 lossyG,lossyR.B.dec.d1-psnr</t>
  </si>
  <si>
    <t>col.C3.6 lossyG,lossyR.B.dec.d2-psnr</t>
  </si>
  <si>
    <t>col.C3.6 lossyG,lossyR.B.dec.reflectance-psnr</t>
  </si>
  <si>
    <t>col.C3.6 lossyG,lossyR.B.enc.utime</t>
  </si>
  <si>
    <t>col.C3.6 lossyG,lossyR.B.dec.utime</t>
  </si>
  <si>
    <t>col.C3.6 lossyG,lossyR.eqn.ab.bdrate-d1</t>
  </si>
  <si>
    <t>col.C3.6 lossyG,lossyR.eqn.ab.bdrate-d2</t>
  </si>
  <si>
    <t>col.C3.6 lossyG,lossyR.eqn.ab.bdrate-reflectance</t>
  </si>
  <si>
    <t>3.6 — lossy geometry and reflectance [all intra]</t>
  </si>
  <si>
    <t>name.A.C3.6 lossyG,lossyR</t>
  </si>
  <si>
    <t>'C3.6 lossyG,lossyR'!$I$1</t>
  </si>
  <si>
    <t>name.B.C3.6 lossyG,lossyR</t>
  </si>
  <si>
    <t>'C3.6 lossyG,lossyR'!$T$1</t>
  </si>
  <si>
    <t>range.C3.6 lossyG,lossyR.ford_01_q1mm</t>
  </si>
  <si>
    <t>'C3.6 lossyG,lossyR'!$A$4:$AG$9</t>
  </si>
  <si>
    <t>range.C3.6 lossyG,lossyR.ford_02_q1mm</t>
  </si>
  <si>
    <t>'C3.6 lossyG,lossyR'!$A$10:$AG$15</t>
  </si>
  <si>
    <t>range.C3.6 lossyG,lossyR.ford_03_q1mm</t>
  </si>
  <si>
    <t>'C3.6 lossyG,lossyR'!$A$16:$AG$21</t>
  </si>
  <si>
    <t>3.6</t>
  </si>
  <si>
    <t>lossy geometry and reflectance [all intra]</t>
  </si>
  <si>
    <t>C3.6 lossyG,lossyR</t>
  </si>
  <si>
    <t>cols.C3.6 lossyG,lossyR</t>
  </si>
  <si>
    <t>names!$B$765:$K$765</t>
  </si>
  <si>
    <t>col.C3.7 lossyG,lossyR,interRA.class</t>
  </si>
  <si>
    <t>col.C3.7 lossyG,lossyR,interRA.sequence</t>
  </si>
  <si>
    <t>col.C3.7 lossyG,lossyR,interRA.variant</t>
  </si>
  <si>
    <t>col.C3.7 lossyG,lossyR,interRA.src.numpoints</t>
  </si>
  <si>
    <t>col.C3.7 lossyG,lossyR,interRA.src.geometry-precision</t>
  </si>
  <si>
    <t>col.C3.7 lossyG,lossyR,interRA.src.framecount</t>
  </si>
  <si>
    <t>col.C3.7 lossyG,lossyR,interRA.src.framerate</t>
  </si>
  <si>
    <t>col.C3.7 lossyG,lossyR,interRA.A.eqn.bitrate</t>
  </si>
  <si>
    <t>col.C3.7 lossyG,lossyR,interRA.A.eqn.bpp</t>
  </si>
  <si>
    <t>col.C3.7 lossyG,lossyR,interRA.A.eqn.bpop</t>
  </si>
  <si>
    <t>col.C3.7 lossyG,lossyR,interRA.A.dec.numpoints</t>
  </si>
  <si>
    <t>col.C3.7 lossyG,lossyR,interRA.A.enc.ext.bits</t>
  </si>
  <si>
    <t>col.C3.7 lossyG,lossyR,interRA.A.dec.d1-psnr</t>
  </si>
  <si>
    <t>col.C3.7 lossyG,lossyR,interRA.A.dec.d2-psnr</t>
  </si>
  <si>
    <t>col.C3.7 lossyG,lossyR,interRA.A.dec.reflectance-psnr</t>
  </si>
  <si>
    <t>col.C3.7 lossyG,lossyR,interRA.A.enc.utime</t>
  </si>
  <si>
    <t>col.C3.7 lossyG,lossyR,interRA.A.dec.utime</t>
  </si>
  <si>
    <t>col.C3.7 lossyG,lossyR,interRA.B.eqn.bitrate</t>
  </si>
  <si>
    <t>col.C3.7 lossyG,lossyR,interRA.B.eqn.bpp</t>
  </si>
  <si>
    <t>col.C3.7 lossyG,lossyR,interRA.B.eqn.bpop</t>
  </si>
  <si>
    <t>col.C3.7 lossyG,lossyR,interRA.B.dec.numpoints</t>
  </si>
  <si>
    <t>col.C3.7 lossyG,lossyR,interRA.B.enc.ext.bits</t>
  </si>
  <si>
    <t>col.C3.7 lossyG,lossyR,interRA.B.dec.d1-psnr</t>
  </si>
  <si>
    <t>col.C3.7 lossyG,lossyR,interRA.B.dec.d2-psnr</t>
  </si>
  <si>
    <t>col.C3.7 lossyG,lossyR,interRA.B.dec.reflectance-psnr</t>
  </si>
  <si>
    <t>col.C3.7 lossyG,lossyR,interRA.B.enc.utime</t>
  </si>
  <si>
    <t>col.C3.7 lossyG,lossyR,interRA.B.dec.utime</t>
  </si>
  <si>
    <t>col.C3.7 lossyG,lossyR,interRA.eqn.ab.bdrate-d1</t>
  </si>
  <si>
    <t>col.C3.7 lossyG,lossyR,interRA.eqn.ab.bdrate-d2</t>
  </si>
  <si>
    <t>col.C3.7 lossyG,lossyR,interRA.eqn.ab.bdrate-reflectance</t>
  </si>
  <si>
    <t>3.7 — lossy geometry and reflectance [random access]</t>
  </si>
  <si>
    <t>name.A.C3.7 lossyG,lossyR,interRA</t>
  </si>
  <si>
    <t>'C3.7 lossyG,lossyR,interRA'!$I$1</t>
  </si>
  <si>
    <t>name.B.C3.7 lossyG,lossyR,interRA</t>
  </si>
  <si>
    <t>'C3.7 lossyG,lossyR,interRA'!$T$1</t>
  </si>
  <si>
    <t>range.C3.7 lossyG,lossyR,interRA.ford_01_q1mm</t>
  </si>
  <si>
    <t>'C3.7 lossyG,lossyR,interRA'!$A$4:$AG$9</t>
  </si>
  <si>
    <t>range.C3.7 lossyG,lossyR,interRA.ford_02_q1mm</t>
  </si>
  <si>
    <t>'C3.7 lossyG,lossyR,interRA'!$A$10:$AG$15</t>
  </si>
  <si>
    <t>range.C3.7 lossyG,lossyR,interRA.ford_03_q1mm</t>
  </si>
  <si>
    <t>'C3.7 lossyG,lossyR,interRA'!$A$16:$AG$21</t>
  </si>
  <si>
    <t>3.7</t>
  </si>
  <si>
    <t>lossy geometry and reflectance [random access]</t>
  </si>
  <si>
    <t>C3.7 lossyG,lossyR,interRA</t>
  </si>
  <si>
    <t>cols.C3.7 lossyG,lossyR,interRA</t>
  </si>
  <si>
    <t>names!$B$801:$K$801</t>
  </si>
  <si>
    <t>col.C3.W losslG,losslC.class</t>
  </si>
  <si>
    <t>col.C3.W losslG,losslC.sequence</t>
  </si>
  <si>
    <t>col.C3.W losslG,losslC.src.numpoints</t>
  </si>
  <si>
    <t>col.C3.W losslG,losslC.src.geometry-precision</t>
  </si>
  <si>
    <t>col.C3.W losslG,losslC.A.eqn.compratio</t>
  </si>
  <si>
    <t>col.C3.W losslG,losslC.A.eqn.bpp</t>
  </si>
  <si>
    <t>col.C3.W losslG,losslC.A.eqn.bpop</t>
  </si>
  <si>
    <t>col.C3.W losslG,losslC.A.dec.numpoints</t>
  </si>
  <si>
    <t>col.C3.W losslG,losslC.A.enc.ext.bits</t>
  </si>
  <si>
    <t>col.C3.W losslG,losslC.A.enc.utime</t>
  </si>
  <si>
    <t>col.C3.W losslG,losslC.A.dec.utime</t>
  </si>
  <si>
    <t>col.C3.W losslG,losslC.B.eqn.compratio</t>
  </si>
  <si>
    <t>col.C3.W losslG,losslC.B.eqn.bpp</t>
  </si>
  <si>
    <t>col.C3.W losslG,losslC.B.eqn.bpop</t>
  </si>
  <si>
    <t>col.C3.W losslG,losslC.B.dec.numpoints</t>
  </si>
  <si>
    <t>col.C3.W losslG,losslC.B.enc.ext.bits</t>
  </si>
  <si>
    <t>col.C3.W losslG,losslC.B.enc.utime</t>
  </si>
  <si>
    <t>col.C3.W losslG,losslC.B.dec.utime</t>
  </si>
  <si>
    <t>col.C3.W losslG,losslC.eqn.ab.ratio-bpp</t>
  </si>
  <si>
    <t>3.W — lossless geometry and lossless colour [all intra]</t>
  </si>
  <si>
    <t>name.A.C3.W losslG,losslC</t>
  </si>
  <si>
    <t>'C3.W losslG,losslC'!$F$1</t>
  </si>
  <si>
    <t>name.B.C3.W losslG,losslC</t>
  </si>
  <si>
    <t>'C3.W losslG,losslC'!$N$1</t>
  </si>
  <si>
    <t>range.C3.W losslG,losslC.citytunnel_q1mm</t>
  </si>
  <si>
    <t>'C3.W losslG,losslC'!$A$4:$V$4</t>
  </si>
  <si>
    <t>range.C3.W losslG,losslC.overpass_q1mm</t>
  </si>
  <si>
    <t>'C3.W losslG,losslC'!$A$5:$V$5</t>
  </si>
  <si>
    <t>range.C3.W losslG,losslC.tollbooth_q1mm</t>
  </si>
  <si>
    <t>'C3.W losslG,losslC'!$A$6:$V$6</t>
  </si>
  <si>
    <t>3.W</t>
  </si>
  <si>
    <t>lossless geometry and lossless colour [all intra]</t>
  </si>
  <si>
    <t>C3.W losslG,losslC</t>
  </si>
  <si>
    <t>cols.C3.W losslG,losslC</t>
  </si>
  <si>
    <t>names!$B$826:$H$826</t>
  </si>
  <si>
    <t>col.C3.X losslG,losslR.class</t>
  </si>
  <si>
    <t>col.C3.X losslG,losslR.sequence</t>
  </si>
  <si>
    <t>col.C3.X losslG,losslR.src.numpoints</t>
  </si>
  <si>
    <t>col.C3.X losslG,losslR.src.geometry-precision</t>
  </si>
  <si>
    <t>col.C3.X losslG,losslR.src.framecount</t>
  </si>
  <si>
    <t>col.C3.X losslG,losslR.src.framerate</t>
  </si>
  <si>
    <t>col.C3.X losslG,losslR.A.eqn.compratio</t>
  </si>
  <si>
    <t>col.C3.X losslG,losslR.A.eqn.bitrate</t>
  </si>
  <si>
    <t>col.C3.X losslG,losslR.A.eqn.bpp</t>
  </si>
  <si>
    <t>col.C3.X losslG,losslR.A.eqn.bpop</t>
  </si>
  <si>
    <t>col.C3.X losslG,losslR.A.dec.numpoints</t>
  </si>
  <si>
    <t>col.C3.X losslG,losslR.A.enc.ext.bits</t>
  </si>
  <si>
    <t>col.C3.X losslG,losslR.A.enc.utime</t>
  </si>
  <si>
    <t>col.C3.X losslG,losslR.A.dec.utime</t>
  </si>
  <si>
    <t>col.C3.X losslG,losslR.B.eqn.compratio</t>
  </si>
  <si>
    <t>col.C3.X losslG,losslR.B.eqn.bitrate</t>
  </si>
  <si>
    <t>col.C3.X losslG,losslR.B.eqn.bpp</t>
  </si>
  <si>
    <t>col.C3.X losslG,losslR.B.eqn.bpop</t>
  </si>
  <si>
    <t>col.C3.X losslG,losslR.B.dec.numpoints</t>
  </si>
  <si>
    <t>col.C3.X losslG,losslR.B.enc.ext.bits</t>
  </si>
  <si>
    <t>col.C3.X losslG,losslR.B.enc.utime</t>
  </si>
  <si>
    <t>col.C3.X losslG,losslR.B.dec.utime</t>
  </si>
  <si>
    <t>col.C3.X losslG,losslR.eqn.ab.ratio-bpp</t>
  </si>
  <si>
    <t>3.X — lossless geometry and lossless reflectance [all intra]</t>
  </si>
  <si>
    <t>name.A.C3.X losslG,losslR</t>
  </si>
  <si>
    <t>'C3.X losslG,losslR'!$H$1</t>
  </si>
  <si>
    <t>name.B.C3.X losslG,losslR</t>
  </si>
  <si>
    <t>'C3.X losslG,losslR'!$Q$1</t>
  </si>
  <si>
    <t>range.C3.X losslG,losslR.citytunnel_q1mm</t>
  </si>
  <si>
    <t>'C3.X losslG,losslR'!$A$4:$Z$4</t>
  </si>
  <si>
    <t>range.C3.X losslG,losslR.overpass_q1mm</t>
  </si>
  <si>
    <t>'C3.X losslG,losslR'!$A$5:$Z$5</t>
  </si>
  <si>
    <t>range.C3.X losslG,losslR.tollbooth_q1mm</t>
  </si>
  <si>
    <t>'C3.X losslG,losslR'!$A$6:$Z$6</t>
  </si>
  <si>
    <t>range.C3.X losslG,losslR.ford_01_q1mm</t>
  </si>
  <si>
    <t>'C3.X losslG,losslR'!$A$7:$Z$7</t>
  </si>
  <si>
    <t>range.C3.X losslG,losslR.ford_02_q1mm</t>
  </si>
  <si>
    <t>'C3.X losslG,losslR'!$A$8:$Z$8</t>
  </si>
  <si>
    <t>range.C3.X losslG,losslR.ford_03_q1mm</t>
  </si>
  <si>
    <t>'C3.X losslG,losslR'!$A$9:$Z$9</t>
  </si>
  <si>
    <t>3.X</t>
  </si>
  <si>
    <t>lossless geometry and lossless reflectance [all intra]</t>
  </si>
  <si>
    <t>C3.X losslG,losslR</t>
  </si>
  <si>
    <t>cols.C3.X losslG,losslR</t>
  </si>
  <si>
    <t>names!$B$858:$I$858</t>
  </si>
  <si>
    <t>col.C3.Y losslG,nearllC.class</t>
  </si>
  <si>
    <t>col.C3.Y losslG,nearllC.sequence</t>
  </si>
  <si>
    <t>col.C3.Y losslG,nearllC.variant</t>
  </si>
  <si>
    <t>col.C3.Y losslG,nearllC.src.numpoints</t>
  </si>
  <si>
    <t>col.C3.Y losslG,nearllC.src.geometry-precision</t>
  </si>
  <si>
    <t>col.C3.Y losslG,nearllC.A.eqn.bpp</t>
  </si>
  <si>
    <t>col.C3.Y losslG,nearllC.A.eqn.bpop</t>
  </si>
  <si>
    <t>col.C3.Y losslG,nearllC.A.dec.numpoints</t>
  </si>
  <si>
    <t>col.C3.Y losslG,nearllC.A.enc.ext.bits</t>
  </si>
  <si>
    <t>col.C3.Y losslG,nearllC.A.dec.y-psnr</t>
  </si>
  <si>
    <t>col.C3.Y losslG,nearllC.A.dec.cb-psnr</t>
  </si>
  <si>
    <t>col.C3.Y losslG,nearllC.A.dec.cr-psnr</t>
  </si>
  <si>
    <t>EtE Hausdorff PSNR [dB]</t>
  </si>
  <si>
    <t>col.C3.Y losslG,nearllC.A.dec.y-hpsnr</t>
  </si>
  <si>
    <t>col.C3.Y losslG,nearllC.A.dec.cb-hpsnr</t>
  </si>
  <si>
    <t>col.C3.Y losslG,nearllC.A.dec.cr-hpsnr</t>
  </si>
  <si>
    <t>col.C3.Y losslG,nearllC.A.enc.utime</t>
  </si>
  <si>
    <t>col.C3.Y losslG,nearllC.A.dec.utime</t>
  </si>
  <si>
    <t>col.C3.Y losslG,nearllC.B.eqn.bpp</t>
  </si>
  <si>
    <t>col.C3.Y losslG,nearllC.B.eqn.bpop</t>
  </si>
  <si>
    <t>col.C3.Y losslG,nearllC.B.dec.numpoints</t>
  </si>
  <si>
    <t>col.C3.Y losslG,nearllC.B.enc.ext.bits</t>
  </si>
  <si>
    <t>col.C3.Y losslG,nearllC.B.dec.y-psnr</t>
  </si>
  <si>
    <t>col.C3.Y losslG,nearllC.B.dec.cb-psnr</t>
  </si>
  <si>
    <t>col.C3.Y losslG,nearllC.B.dec.cr-psnr</t>
  </si>
  <si>
    <t>col.C3.Y losslG,nearllC.B.dec.y-hpsnr</t>
  </si>
  <si>
    <t>col.C3.Y losslG,nearllC.B.dec.cb-hpsnr</t>
  </si>
  <si>
    <t>col.C3.Y losslG,nearllC.B.dec.cr-hpsnr</t>
  </si>
  <si>
    <t>col.C3.Y losslG,nearllC.B.enc.utime</t>
  </si>
  <si>
    <t>col.C3.Y losslG,nearllC.B.dec.utime</t>
  </si>
  <si>
    <t>col.C3.Y losslG,nearllC.eqn.ab.bdrate-y</t>
  </si>
  <si>
    <t>col.C3.Y losslG,nearllC.eqn.ab.bdrate-cb</t>
  </si>
  <si>
    <t>col.C3.Y losslG,nearllC.eqn.ab.bdrate-cr</t>
  </si>
  <si>
    <t>EtE Hausdorff BD‑TotalRate [%]</t>
  </si>
  <si>
    <t>col.C3.Y losslG,nearllC.eqn.ab.bdrate-hy</t>
  </si>
  <si>
    <t>col.C3.Y losslG,nearllC.eqn.ab.bdrate-hcb</t>
  </si>
  <si>
    <t>col.C3.Y losslG,nearllC.eqn.ab.bdrate-hcr</t>
  </si>
  <si>
    <t>3.Y — lossless geometry and near lossless colour [all intra]</t>
  </si>
  <si>
    <t>name.A.C3.Y losslG,nearllC</t>
  </si>
  <si>
    <t>'C3.Y losslG,nearllC'!$G$1</t>
  </si>
  <si>
    <t>name.B.C3.Y losslG,nearllC</t>
  </si>
  <si>
    <t>'C3.Y losslG,nearllC'!$T$1</t>
  </si>
  <si>
    <t>range.C3.Y losslG,nearllC.citytunnel_q1mm</t>
  </si>
  <si>
    <t>'C3.Y losslG,nearllC'!$A$4:$AM$8</t>
  </si>
  <si>
    <t>range.C3.Y losslG,nearllC.overpass_q1mm</t>
  </si>
  <si>
    <t>'C3.Y losslG,nearllC'!$A$9:$AM$13</t>
  </si>
  <si>
    <t>range.C3.Y losslG,nearllC.tollbooth_q1mm</t>
  </si>
  <si>
    <t>'C3.Y losslG,nearllC'!$A$14:$AM$18</t>
  </si>
  <si>
    <t>3.Y</t>
  </si>
  <si>
    <t>lossless geometry and near lossless colour [all intra]</t>
  </si>
  <si>
    <t>C3.Y losslG,nearllC</t>
  </si>
  <si>
    <t>cols.C3.Y losslG,nearllC</t>
  </si>
  <si>
    <t>names!$B$899:$M$899</t>
  </si>
  <si>
    <t>col.C3.Z losslG,nearllR.class</t>
  </si>
  <si>
    <t>col.C3.Z losslG,nearllR.sequence</t>
  </si>
  <si>
    <t>col.C3.Z losslG,nearllR.variant</t>
  </si>
  <si>
    <t>col.C3.Z losslG,nearllR.src.numpoints</t>
  </si>
  <si>
    <t>col.C3.Z losslG,nearllR.src.geometry-precision</t>
  </si>
  <si>
    <t>col.C3.Z losslG,nearllR.src.framecount</t>
  </si>
  <si>
    <t>col.C3.Z losslG,nearllR.src.framerate</t>
  </si>
  <si>
    <t>col.C3.Z losslG,nearllR.A.eqn.bitrate</t>
  </si>
  <si>
    <t>col.C3.Z losslG,nearllR.A.eqn.bpp</t>
  </si>
  <si>
    <t>col.C3.Z losslG,nearllR.A.eqn.bpop</t>
  </si>
  <si>
    <t>col.C3.Z losslG,nearllR.A.dec.numpoints</t>
  </si>
  <si>
    <t>col.C3.Z losslG,nearllR.A.enc.ext.bits</t>
  </si>
  <si>
    <t>col.C3.Z losslG,nearllR.A.dec.reflectance-psnr</t>
  </si>
  <si>
    <t>Reflectance EtE Hausdorff PSNR [dB]</t>
  </si>
  <si>
    <t>col.C3.Z losslG,nearllR.A.dec.reflectance-hpsnr</t>
  </si>
  <si>
    <t>col.C3.Z losslG,nearllR.A.enc.utime</t>
  </si>
  <si>
    <t>col.C3.Z losslG,nearllR.A.dec.utime</t>
  </si>
  <si>
    <t>col.C3.Z losslG,nearllR.B.eqn.bitrate</t>
  </si>
  <si>
    <t>col.C3.Z losslG,nearllR.B.eqn.bpp</t>
  </si>
  <si>
    <t>col.C3.Z losslG,nearllR.B.eqn.bpop</t>
  </si>
  <si>
    <t>col.C3.Z losslG,nearllR.B.dec.numpoints</t>
  </si>
  <si>
    <t>col.C3.Z losslG,nearllR.B.enc.ext.bits</t>
  </si>
  <si>
    <t>col.C3.Z losslG,nearllR.B.dec.reflectance-psnr</t>
  </si>
  <si>
    <t>col.C3.Z losslG,nearllR.B.dec.reflectance-hpsnr</t>
  </si>
  <si>
    <t>col.C3.Z losslG,nearllR.B.enc.utime</t>
  </si>
  <si>
    <t>col.C3.Z losslG,nearllR.B.dec.utime</t>
  </si>
  <si>
    <t>col.C3.Z losslG,nearllR.eqn.ab.bdrate-reflectance</t>
  </si>
  <si>
    <t>Reflectance EtE Hausdorff BD‑TotalRate [%]</t>
  </si>
  <si>
    <t>col.C3.Z losslG,nearllR.eqn.ab.bdrate-hreflectance</t>
  </si>
  <si>
    <t>3.Z — lossless geometry and near lossless reflectance [all intra]</t>
  </si>
  <si>
    <t>name.A.C3.Z losslG,nearllR</t>
  </si>
  <si>
    <t>'C3.Z losslG,nearllR'!$I$1</t>
  </si>
  <si>
    <t>name.B.C3.Z losslG,nearllR</t>
  </si>
  <si>
    <t>'C3.Z losslG,nearllR'!$S$1</t>
  </si>
  <si>
    <t>range.C3.Z losslG,nearllR.citytunnel_q1mm</t>
  </si>
  <si>
    <t>'C3.Z losslG,nearllR'!$A$4:$AE$8</t>
  </si>
  <si>
    <t>range.C3.Z losslG,nearllR.overpass_q1mm</t>
  </si>
  <si>
    <t>'C3.Z losslG,nearllR'!$A$9:$AE$13</t>
  </si>
  <si>
    <t>range.C3.Z losslG,nearllR.tollbooth_q1mm</t>
  </si>
  <si>
    <t>'C3.Z losslG,nearllR'!$A$14:$AE$18</t>
  </si>
  <si>
    <t>range.C3.Z losslG,nearllR.ford_01_q1mm</t>
  </si>
  <si>
    <t>'C3.Z losslG,nearllR'!$A$19:$AE$23</t>
  </si>
  <si>
    <t>range.C3.Z losslG,nearllR.ford_02_q1mm</t>
  </si>
  <si>
    <t>'C3.Z losslG,nearllR'!$A$24:$AE$28</t>
  </si>
  <si>
    <t>range.C3.Z losslG,nearllR.ford_03_q1mm</t>
  </si>
  <si>
    <t>'C3.Z losslG,nearllR'!$A$29:$AE$33</t>
  </si>
  <si>
    <t>3.Z</t>
  </si>
  <si>
    <t>lossless geometry and near lossless reflectance [all intra]</t>
  </si>
  <si>
    <t>C3.Z losslG,nearllR</t>
  </si>
  <si>
    <t>cols.C3.Z losslG,nearllR</t>
  </si>
  <si>
    <t>names!$B$935:$J$935</t>
  </si>
  <si>
    <t>C2.3 lossyG,lossyAttr'!$A$24:$BS$28</t>
  </si>
  <si>
    <t>inf</t>
  </si>
  <si>
    <t>TMC2-v2.1-CTC-32frames</t>
  </si>
  <si>
    <t>Samsung-textureDilateOffLossless-and-groupDilation</t>
  </si>
  <si>
    <t>tested(3.0_rc0.7_32frames-VisualQuality)</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</si>
</sst>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gt;1000]0;[&gt;100]0.0;0.00"/>
    <numFmt numFmtId="166" formatCode="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indexed="64"/>
      </patternFill>
    </fill>
    <fill>
      <patternFill patternType="solid">
        <fgColor rgb="FFC4D796"/>
        <bgColor indexed="64"/>
      </patternFill>
    </fill>
    <fill>
      <patternFill patternType="solid">
        <fgColor rgb="FFBFBFBF"/>
        <bgColor indexed="64"/>
      </patternFill>
    </fill>
    <fill>
      <patternFill patternType="solid">
        <fgColor rgb="FFA6A6A6"/>
        <bgColor indexed="64"/>
      </patternFill>
    </fill>
    <fill>
      <patternFill patternType="solid">
        <fgColor rgb="FFFFFF00"/>
        <bgColor indexed="64"/>
      </patternFill>
    </fill>
    <fill>
      <patternFill patternType="solid">
        <fgColor rgb="FFC4BF97"/>
        <bgColor indexed="64"/>
      </patternFill>
    </fill>
    <fill>
      <patternFill patternType="solid">
        <fgColor rgb="FFD9D9D9"/>
        <bgColor indexed="64"/>
      </patternFill>
    </fill>
    <fill>
      <patternFill patternType="solid">
        <fgColor rgb="FFB8CCE4"/>
        <bgColor indexed="64"/>
      </patternFill>
    </fill>
    <fill>
      <patternFill patternType="solid">
        <fgColor rgb="FFF2F2F2"/>
        <bgColor indexed="64"/>
      </patternFill>
    </fill>
    <fill>
      <patternFill patternType="solid">
        <fgColor rgb="FFDCE6F1"/>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8">
    <xf numFmtId="0" fontId="0" fillId="0" borderId="0" xfId="0"/>
    <xf numFmtId="0" fontId="1" fillId="4" borderId="0" xfId="0" applyFont="1" applyFill="1"/>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4" borderId="3" xfId="0" applyFont="1" applyFill="1" applyBorder="1" applyAlignment="1">
      <alignment horizontal="center" vertical="center" wrapText="1"/>
    </xf>
    <xf numFmtId="0" fontId="0" fillId="0" borderId="0" xfId="0"/>
    <xf numFmtId="9" fontId="0" fillId="0" borderId="0" xfId="0" applyNumberFormat="1" applyAlignment="1">
      <alignment horizontal="center"/>
    </xf>
    <xf numFmtId="0" fontId="1" fillId="0" borderId="4" xfId="0" applyFont="1" applyBorder="1"/>
    <xf numFmtId="9" fontId="0" fillId="0" borderId="4" xfId="0" applyNumberFormat="1" applyBorder="1" applyAlignment="1">
      <alignment horizontal="center"/>
    </xf>
    <xf numFmtId="0" fontId="0" fillId="0" borderId="3" xfId="0" applyBorder="1"/>
    <xf numFmtId="9" fontId="0" fillId="0" borderId="3" xfId="0" applyNumberFormat="1" applyBorder="1" applyAlignment="1">
      <alignment horizontal="center"/>
    </xf>
    <xf numFmtId="164" fontId="0" fillId="0" borderId="0" xfId="0" applyNumberFormat="1" applyAlignment="1">
      <alignment horizontal="center"/>
    </xf>
    <xf numFmtId="164" fontId="0" fillId="0" borderId="4" xfId="0" applyNumberFormat="1" applyBorder="1" applyAlignment="1">
      <alignment horizontal="center"/>
    </xf>
    <xf numFmtId="0" fontId="1" fillId="5" borderId="0" xfId="0" applyFont="1" applyFill="1" applyAlignment="1">
      <alignment horizontal="center" vertical="center" wrapText="1"/>
    </xf>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8" borderId="0" xfId="0" applyFill="1"/>
    <xf numFmtId="0" fontId="0" fillId="8" borderId="0" xfId="0" applyFill="1" applyAlignment="1">
      <alignment horizontal="center"/>
    </xf>
    <xf numFmtId="9"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165" fontId="0" fillId="9" borderId="0" xfId="0" applyNumberFormat="1" applyFill="1" applyAlignment="1">
      <alignment horizontal="center"/>
    </xf>
    <xf numFmtId="0" fontId="0" fillId="10" borderId="0" xfId="0" applyFill="1"/>
    <xf numFmtId="0" fontId="0" fillId="10" borderId="0" xfId="0" applyFill="1" applyAlignment="1">
      <alignment horizontal="center"/>
    </xf>
    <xf numFmtId="9"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165" fontId="0" fillId="11" borderId="0" xfId="0" applyNumberFormat="1" applyFill="1" applyAlignment="1">
      <alignment horizontal="center"/>
    </xf>
    <xf numFmtId="0" fontId="0" fillId="10" borderId="3" xfId="0" applyFill="1" applyBorder="1"/>
    <xf numFmtId="0" fontId="0" fillId="10" borderId="3" xfId="0" applyFill="1" applyBorder="1" applyAlignment="1">
      <alignment horizontal="center"/>
    </xf>
    <xf numFmtId="9"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165" fontId="0" fillId="11" borderId="3" xfId="0" applyNumberFormat="1" applyFill="1" applyBorder="1" applyAlignment="1">
      <alignment horizontal="center"/>
    </xf>
    <xf numFmtId="0" fontId="0" fillId="8" borderId="3" xfId="0" applyFill="1" applyBorder="1"/>
    <xf numFmtId="0" fontId="0" fillId="8" borderId="3" xfId="0" applyFill="1" applyBorder="1" applyAlignment="1">
      <alignment horizontal="center"/>
    </xf>
    <xf numFmtId="9"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165" fontId="0" fillId="9"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5" fontId="0" fillId="0" borderId="0" xfId="0" applyNumberFormat="1" applyAlignment="1">
      <alignment horizontal="center"/>
    </xf>
    <xf numFmtId="2" fontId="0" fillId="9" borderId="0" xfId="0" applyNumberFormat="1" applyFill="1" applyAlignment="1">
      <alignment horizontal="center"/>
    </xf>
    <xf numFmtId="164" fontId="0" fillId="8" borderId="0" xfId="0" applyNumberFormat="1" applyFill="1" applyAlignment="1">
      <alignment horizontal="center"/>
    </xf>
    <xf numFmtId="2" fontId="0" fillId="11" borderId="0" xfId="0" applyNumberFormat="1" applyFill="1" applyAlignment="1">
      <alignment horizontal="center"/>
    </xf>
    <xf numFmtId="164" fontId="0" fillId="10" borderId="0" xfId="0" applyNumberFormat="1" applyFill="1" applyAlignment="1">
      <alignment horizontal="center"/>
    </xf>
    <xf numFmtId="2" fontId="0" fillId="11" borderId="3" xfId="0" applyNumberFormat="1" applyFill="1" applyBorder="1" applyAlignment="1">
      <alignment horizontal="center"/>
    </xf>
    <xf numFmtId="164" fontId="0" fillId="10" borderId="3" xfId="0" applyNumberFormat="1" applyFill="1" applyBorder="1" applyAlignment="1">
      <alignment horizontal="center"/>
    </xf>
    <xf numFmtId="166" fontId="0" fillId="8" borderId="0" xfId="0" applyNumberFormat="1" applyFill="1" applyAlignment="1">
      <alignment horizontal="center"/>
    </xf>
    <xf numFmtId="166" fontId="0" fillId="10" borderId="0" xfId="0" applyNumberFormat="1" applyFill="1" applyAlignment="1">
      <alignment horizontal="center"/>
    </xf>
    <xf numFmtId="166" fontId="0" fillId="10" borderId="3" xfId="0" applyNumberFormat="1" applyFill="1" applyBorder="1" applyAlignment="1">
      <alignment horizontal="center"/>
    </xf>
    <xf numFmtId="166" fontId="0" fillId="8" borderId="3" xfId="0" applyNumberFormat="1" applyFill="1" applyBorder="1" applyAlignment="1">
      <alignment horizontal="center"/>
    </xf>
    <xf numFmtId="2" fontId="0" fillId="9" borderId="3" xfId="0" applyNumberFormat="1" applyFill="1" applyBorder="1" applyAlignment="1">
      <alignment horizontal="center"/>
    </xf>
    <xf numFmtId="164" fontId="0" fillId="8" borderId="3" xfId="0" applyNumberFormat="1" applyFill="1" applyBorder="1" applyAlignment="1">
      <alignment horizontal="center"/>
    </xf>
    <xf numFmtId="0" fontId="1" fillId="4" borderId="3" xfId="0" applyFont="1" applyFill="1" applyBorder="1" applyAlignment="1">
      <alignment horizontal="center" wrapText="1"/>
    </xf>
    <xf numFmtId="0" fontId="0" fillId="3" borderId="0" xfId="0" applyFill="1"/>
    <xf numFmtId="0" fontId="0" fillId="2" borderId="0" xfId="0" applyFill="1"/>
    <xf numFmtId="0" fontId="0" fillId="0" borderId="0" xfId="0" quotePrefix="1"/>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0" xfId="0" applyFont="1" applyFill="1" applyAlignment="1">
      <alignment horizontal="center" vertic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4" borderId="0" xfId="0" applyFont="1" applyFill="1" applyAlignment="1">
      <alignment horizontal="center" wrapText="1"/>
    </xf>
  </cellXfs>
  <cellStyles count="1">
    <cellStyle name="Normal" xfId="0" builtinId="0"/>
  </cellStyles>
  <dxfs count="22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223"/>
      <tableStyleElement type="headerRow" dxfId="222"/>
    </tableStyle>
  </tableStyles>
  <colors>
    <mruColors>
      <color rgb="FFDA9694"/>
      <color rgb="FFC4D7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reference</c:v>
                </c:pt>
              </c:strCache>
            </c:strRef>
          </c:tx>
          <c:xVal>
            <c:strRef>
              <c:f>Graphs!graph_a_x_range_A</c:f>
              <c:strCache>
                <c:ptCount val="1"/>
                <c:pt idx="0">
                  <c:v>·</c:v>
                </c:pt>
              </c:strCache>
            </c:strRef>
          </c:xVal>
          <c:yVal>
            <c:numRef>
              <c:f>Graphs!graph_a_y_range_A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2942-44C9-842C-2BD9B80099BC}"/>
            </c:ext>
          </c:extLst>
        </c:ser>
        <c:ser>
          <c:idx val="1"/>
          <c:order val="1"/>
          <c:tx>
            <c:strRef>
              <c:f>Graphs!graph_a_B_title</c:f>
              <c:strCache>
                <c:ptCount val="1"/>
                <c:pt idx="0">
                  <c:v>tested</c:v>
                </c:pt>
              </c:strCache>
            </c:strRef>
          </c:tx>
          <c:xVal>
            <c:strRef>
              <c:f>Graphs!graph_a_x_range_B</c:f>
              <c:strCache>
                <c:ptCount val="1"/>
                <c:pt idx="0">
                  <c:v>·</c:v>
                </c:pt>
              </c:strCache>
            </c:strRef>
          </c:xVal>
          <c:yVal>
            <c:numRef>
              <c:f>Graphs!graph_a_y_range_B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2942-44C9-842C-2BD9B80099BC}"/>
            </c:ext>
          </c:extLst>
        </c:ser>
        <c:dLbls>
          <c:showLegendKey val="0"/>
          <c:showVal val="0"/>
          <c:showCatName val="0"/>
          <c:showSerName val="0"/>
          <c:showPercent val="0"/>
          <c:showBubbleSize val="0"/>
        </c:dLbls>
        <c:axId val="306388928"/>
        <c:axId val="306390496"/>
      </c:scatterChart>
      <c:valAx>
        <c:axId val="306388928"/>
        <c:scaling>
          <c:orientation val="minMax"/>
        </c:scaling>
        <c:delete val="0"/>
        <c:axPos val="b"/>
        <c:title>
          <c:tx>
            <c:strRef>
              <c:f>Graphs!graph_a_x_title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306390496"/>
        <c:crosses val="autoZero"/>
        <c:crossBetween val="midCat"/>
      </c:valAx>
      <c:valAx>
        <c:axId val="306390496"/>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General" sourceLinked="1"/>
        <c:majorTickMark val="out"/>
        <c:minorTickMark val="none"/>
        <c:tickLblPos val="nextTo"/>
        <c:crossAx val="306388928"/>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reference</c:v>
                </c:pt>
              </c:strCache>
            </c:strRef>
          </c:tx>
          <c:xVal>
            <c:strRef>
              <c:f>Graphs!graph_b_x_range_A</c:f>
              <c:strCache>
                <c:ptCount val="1"/>
                <c:pt idx="0">
                  <c:v>·</c:v>
                </c:pt>
              </c:strCache>
            </c:strRef>
          </c:xVal>
          <c:yVal>
            <c:numRef>
              <c:f>Graphs!graph_b_y_range_A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54A8-48CF-99F2-791A307AF57D}"/>
            </c:ext>
          </c:extLst>
        </c:ser>
        <c:ser>
          <c:idx val="1"/>
          <c:order val="1"/>
          <c:tx>
            <c:strRef>
              <c:f>Graphs!graph_b_B_title</c:f>
              <c:strCache>
                <c:ptCount val="1"/>
                <c:pt idx="0">
                  <c:v>tested</c:v>
                </c:pt>
              </c:strCache>
            </c:strRef>
          </c:tx>
          <c:xVal>
            <c:strRef>
              <c:f>Graphs!graph_b_x_range_B</c:f>
              <c:strCache>
                <c:ptCount val="1"/>
                <c:pt idx="0">
                  <c:v>·</c:v>
                </c:pt>
              </c:strCache>
            </c:strRef>
          </c:xVal>
          <c:yVal>
            <c:numRef>
              <c:f>Graphs!graph_b_y_range_B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54A8-48CF-99F2-791A307AF57D}"/>
            </c:ext>
          </c:extLst>
        </c:ser>
        <c:dLbls>
          <c:showLegendKey val="0"/>
          <c:showVal val="0"/>
          <c:showCatName val="0"/>
          <c:showSerName val="0"/>
          <c:showPercent val="0"/>
          <c:showBubbleSize val="0"/>
        </c:dLbls>
        <c:axId val="306387752"/>
        <c:axId val="306389320"/>
      </c:scatterChart>
      <c:valAx>
        <c:axId val="306387752"/>
        <c:scaling>
          <c:orientation val="minMax"/>
        </c:scaling>
        <c:delete val="0"/>
        <c:axPos val="b"/>
        <c:title>
          <c:tx>
            <c:strRef>
              <c:f>Graphs!graph_b_x_title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306389320"/>
        <c:crosses val="autoZero"/>
        <c:crossBetween val="midCat"/>
      </c:valAx>
      <c:valAx>
        <c:axId val="306389320"/>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General" sourceLinked="1"/>
        <c:majorTickMark val="out"/>
        <c:minorTickMark val="none"/>
        <c:tickLblPos val="nextTo"/>
        <c:crossAx val="306387752"/>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reference</c:v>
                </c:pt>
              </c:strCache>
            </c:strRef>
          </c:tx>
          <c:xVal>
            <c:strRef>
              <c:f>Graphs!graph_c_x_range_A</c:f>
              <c:strCache>
                <c:ptCount val="1"/>
                <c:pt idx="0">
                  <c:v>·</c:v>
                </c:pt>
              </c:strCache>
            </c:strRef>
          </c:xVal>
          <c:yVal>
            <c:numRef>
              <c:f>Graphs!graph_c_y_range_A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8922-4B3F-AA51-208DC1D7CE72}"/>
            </c:ext>
          </c:extLst>
        </c:ser>
        <c:ser>
          <c:idx val="1"/>
          <c:order val="1"/>
          <c:tx>
            <c:strRef>
              <c:f>Graphs!graph_c_B_title</c:f>
              <c:strCache>
                <c:ptCount val="1"/>
                <c:pt idx="0">
                  <c:v>tested</c:v>
                </c:pt>
              </c:strCache>
            </c:strRef>
          </c:tx>
          <c:xVal>
            <c:strRef>
              <c:f>Graphs!graph_c_x_range_B</c:f>
              <c:strCache>
                <c:ptCount val="1"/>
                <c:pt idx="0">
                  <c:v>·</c:v>
                </c:pt>
              </c:strCache>
            </c:strRef>
          </c:xVal>
          <c:yVal>
            <c:numRef>
              <c:f>Graphs!graph_c_y_range_B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8922-4B3F-AA51-208DC1D7CE72}"/>
            </c:ext>
          </c:extLst>
        </c:ser>
        <c:dLbls>
          <c:showLegendKey val="0"/>
          <c:showVal val="0"/>
          <c:showCatName val="0"/>
          <c:showSerName val="0"/>
          <c:showPercent val="0"/>
          <c:showBubbleSize val="0"/>
        </c:dLbls>
        <c:axId val="306389712"/>
        <c:axId val="340867968"/>
      </c:scatterChart>
      <c:valAx>
        <c:axId val="306389712"/>
        <c:scaling>
          <c:orientation val="minMax"/>
        </c:scaling>
        <c:delete val="0"/>
        <c:axPos val="b"/>
        <c:title>
          <c:tx>
            <c:strRef>
              <c:f>Graphs!graph_c_x_title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340867968"/>
        <c:crosses val="autoZero"/>
        <c:crossBetween val="midCat"/>
      </c:valAx>
      <c:valAx>
        <c:axId val="340867968"/>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General" sourceLinked="1"/>
        <c:majorTickMark val="out"/>
        <c:minorTickMark val="none"/>
        <c:tickLblPos val="nextTo"/>
        <c:crossAx val="306389712"/>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reference</c:v>
                </c:pt>
              </c:strCache>
            </c:strRef>
          </c:tx>
          <c:xVal>
            <c:strRef>
              <c:f>Graphs!graph_d_x_range_A</c:f>
              <c:strCache>
                <c:ptCount val="1"/>
                <c:pt idx="0">
                  <c:v>·</c:v>
                </c:pt>
              </c:strCache>
            </c:strRef>
          </c:xVal>
          <c:yVal>
            <c:numRef>
              <c:f>Graphs!graph_d_y_range_A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F181-4672-AC0C-94CBADC82A7E}"/>
            </c:ext>
          </c:extLst>
        </c:ser>
        <c:ser>
          <c:idx val="1"/>
          <c:order val="1"/>
          <c:tx>
            <c:strRef>
              <c:f>Graphs!graph_d_B_title</c:f>
              <c:strCache>
                <c:ptCount val="1"/>
                <c:pt idx="0">
                  <c:v>tested</c:v>
                </c:pt>
              </c:strCache>
            </c:strRef>
          </c:tx>
          <c:xVal>
            <c:strRef>
              <c:f>Graphs!graph_d_x_range_B</c:f>
              <c:strCache>
                <c:ptCount val="1"/>
                <c:pt idx="0">
                  <c:v>·</c:v>
                </c:pt>
              </c:strCache>
            </c:strRef>
          </c:xVal>
          <c:yVal>
            <c:numRef>
              <c:f>Graphs!graph_d_y_range_B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F181-4672-AC0C-94CBADC82A7E}"/>
            </c:ext>
          </c:extLst>
        </c:ser>
        <c:dLbls>
          <c:showLegendKey val="0"/>
          <c:showVal val="0"/>
          <c:showCatName val="0"/>
          <c:showSerName val="0"/>
          <c:showPercent val="0"/>
          <c:showBubbleSize val="0"/>
        </c:dLbls>
        <c:axId val="340872280"/>
        <c:axId val="340872672"/>
      </c:scatterChart>
      <c:valAx>
        <c:axId val="340872280"/>
        <c:scaling>
          <c:orientation val="minMax"/>
        </c:scaling>
        <c:delete val="0"/>
        <c:axPos val="b"/>
        <c:title>
          <c:tx>
            <c:strRef>
              <c:f>Graphs!graph_d_x_title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340872672"/>
        <c:crosses val="autoZero"/>
        <c:crossBetween val="midCat"/>
      </c:valAx>
      <c:valAx>
        <c:axId val="34087267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General" sourceLinked="1"/>
        <c:majorTickMark val="out"/>
        <c:minorTickMark val="none"/>
        <c:tickLblPos val="nextTo"/>
        <c:crossAx val="340872280"/>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reference</c:v>
                </c:pt>
              </c:strCache>
            </c:strRef>
          </c:tx>
          <c:xVal>
            <c:strRef>
              <c:f>Graphs!graph_e_x_range_A</c:f>
              <c:strCache>
                <c:ptCount val="1"/>
                <c:pt idx="0">
                  <c:v>·</c:v>
                </c:pt>
              </c:strCache>
            </c:strRef>
          </c:xVal>
          <c:yVal>
            <c:numRef>
              <c:f>Graphs!graph_e_y_range_A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B7AF-4934-9C06-9D341D2427D5}"/>
            </c:ext>
          </c:extLst>
        </c:ser>
        <c:ser>
          <c:idx val="1"/>
          <c:order val="1"/>
          <c:tx>
            <c:strRef>
              <c:f>Graphs!graph_e_B_title</c:f>
              <c:strCache>
                <c:ptCount val="1"/>
                <c:pt idx="0">
                  <c:v>tested</c:v>
                </c:pt>
              </c:strCache>
            </c:strRef>
          </c:tx>
          <c:xVal>
            <c:strRef>
              <c:f>Graphs!graph_e_x_range_B</c:f>
              <c:strCache>
                <c:ptCount val="1"/>
                <c:pt idx="0">
                  <c:v>·</c:v>
                </c:pt>
              </c:strCache>
            </c:strRef>
          </c:xVal>
          <c:yVal>
            <c:numRef>
              <c:f>Graphs!graph_e_y_range_B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B7AF-4934-9C06-9D341D2427D5}"/>
            </c:ext>
          </c:extLst>
        </c:ser>
        <c:dLbls>
          <c:showLegendKey val="0"/>
          <c:showVal val="0"/>
          <c:showCatName val="0"/>
          <c:showSerName val="0"/>
          <c:showPercent val="0"/>
          <c:showBubbleSize val="0"/>
        </c:dLbls>
        <c:axId val="340876200"/>
        <c:axId val="340873064"/>
      </c:scatterChart>
      <c:valAx>
        <c:axId val="340876200"/>
        <c:scaling>
          <c:orientation val="minMax"/>
        </c:scaling>
        <c:delete val="0"/>
        <c:axPos val="b"/>
        <c:title>
          <c:tx>
            <c:strRef>
              <c:f>Graphs!graph_e_x_title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340873064"/>
        <c:crosses val="autoZero"/>
        <c:crossBetween val="midCat"/>
      </c:valAx>
      <c:valAx>
        <c:axId val="340873064"/>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General" sourceLinked="1"/>
        <c:majorTickMark val="out"/>
        <c:minorTickMark val="none"/>
        <c:tickLblPos val="nextTo"/>
        <c:crossAx val="340876200"/>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reference</c:v>
                </c:pt>
              </c:strCache>
            </c:strRef>
          </c:tx>
          <c:xVal>
            <c:strRef>
              <c:f>Graphs!graph_f_x_range_A</c:f>
              <c:strCache>
                <c:ptCount val="1"/>
                <c:pt idx="0">
                  <c:v>·</c:v>
                </c:pt>
              </c:strCache>
            </c:strRef>
          </c:xVal>
          <c:yVal>
            <c:numRef>
              <c:f>Graphs!graph_f_y_range_A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B604-4DF3-992C-4C1C8AF6E94D}"/>
            </c:ext>
          </c:extLst>
        </c:ser>
        <c:ser>
          <c:idx val="1"/>
          <c:order val="1"/>
          <c:tx>
            <c:strRef>
              <c:f>Graphs!graph_f_B_title</c:f>
              <c:strCache>
                <c:ptCount val="1"/>
                <c:pt idx="0">
                  <c:v>tested</c:v>
                </c:pt>
              </c:strCache>
            </c:strRef>
          </c:tx>
          <c:xVal>
            <c:strRef>
              <c:f>Graphs!graph_f_x_range_B</c:f>
              <c:strCache>
                <c:ptCount val="1"/>
                <c:pt idx="0">
                  <c:v>·</c:v>
                </c:pt>
              </c:strCache>
            </c:strRef>
          </c:xVal>
          <c:yVal>
            <c:numRef>
              <c:f>Graphs!graph_f_y_range_B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B604-4DF3-992C-4C1C8AF6E94D}"/>
            </c:ext>
          </c:extLst>
        </c:ser>
        <c:dLbls>
          <c:showLegendKey val="0"/>
          <c:showVal val="0"/>
          <c:showCatName val="0"/>
          <c:showSerName val="0"/>
          <c:showPercent val="0"/>
          <c:showBubbleSize val="0"/>
        </c:dLbls>
        <c:axId val="340874240"/>
        <c:axId val="340876592"/>
      </c:scatterChart>
      <c:valAx>
        <c:axId val="340874240"/>
        <c:scaling>
          <c:orientation val="minMax"/>
        </c:scaling>
        <c:delete val="0"/>
        <c:axPos val="b"/>
        <c:title>
          <c:tx>
            <c:strRef>
              <c:f>Graphs!graph_f_x_title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340876592"/>
        <c:crosses val="autoZero"/>
        <c:crossBetween val="midCat"/>
      </c:valAx>
      <c:valAx>
        <c:axId val="34087659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340874240"/>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xmlns=""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xmlns=""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xmlns=""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xmlns=""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xmlns=""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xmlns=""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G176"/>
  <sheetViews>
    <sheetView workbookViewId="0">
      <selection activeCell="C1" sqref="C1:E1"/>
    </sheetView>
  </sheetViews>
  <sheetFormatPr defaultRowHeight="15" x14ac:dyDescent="0.25"/>
  <cols>
    <col min="2" max="2" width="16.7109375" customWidth="1"/>
    <col min="3" max="7" width="24.7109375" customWidth="1"/>
  </cols>
  <sheetData>
    <row r="1" spans="2:5" x14ac:dyDescent="0.25">
      <c r="B1" t="s">
        <v>0</v>
      </c>
      <c r="C1" s="65" t="s">
        <v>1477</v>
      </c>
      <c r="D1" s="65"/>
      <c r="E1" s="65"/>
    </row>
    <row r="2" spans="2:5" x14ac:dyDescent="0.25">
      <c r="B2" t="s">
        <v>1</v>
      </c>
      <c r="C2" s="66" t="s">
        <v>1478</v>
      </c>
      <c r="D2" s="66"/>
      <c r="E2" s="66"/>
    </row>
    <row r="4" spans="2:5" s="1" customFormat="1" x14ac:dyDescent="0.25">
      <c r="B4" s="1" t="s">
        <v>264</v>
      </c>
    </row>
    <row r="6" spans="2:5" ht="30" x14ac:dyDescent="0.25">
      <c r="B6" s="67" t="s">
        <v>265</v>
      </c>
      <c r="C6" s="2" t="s">
        <v>266</v>
      </c>
    </row>
    <row r="7" spans="2:5" x14ac:dyDescent="0.25">
      <c r="B7" s="67"/>
      <c r="C7" s="3"/>
    </row>
    <row r="8" spans="2:5" x14ac:dyDescent="0.25">
      <c r="B8" s="67"/>
      <c r="C8" s="4" t="s">
        <v>267</v>
      </c>
    </row>
    <row r="9" spans="2:5" x14ac:dyDescent="0.25">
      <c r="B9" s="5" t="s">
        <v>255</v>
      </c>
      <c r="C9" s="6" t="e">
        <f>'C1.1 losslG,noAttr'!Z41</f>
        <v>#DIV/0!</v>
      </c>
    </row>
    <row r="10" spans="2:5" x14ac:dyDescent="0.25">
      <c r="B10" s="5" t="s">
        <v>256</v>
      </c>
      <c r="C10" s="6" t="e">
        <f>'C1.1 losslG,noAttr'!Z42</f>
        <v>#DIV/0!</v>
      </c>
    </row>
    <row r="11" spans="2:5" x14ac:dyDescent="0.25">
      <c r="B11" s="5" t="s">
        <v>257</v>
      </c>
      <c r="C11" s="6" t="e">
        <f>'C1.1 losslG,noAttr'!Z43</f>
        <v>#DIV/0!</v>
      </c>
    </row>
    <row r="12" spans="2:5" x14ac:dyDescent="0.25">
      <c r="B12" s="7" t="s">
        <v>258</v>
      </c>
      <c r="C12" s="8" t="e">
        <f>'C1.1 losslG,noAttr'!Z44</f>
        <v>#DIV/0!</v>
      </c>
    </row>
    <row r="13" spans="2:5" x14ac:dyDescent="0.25">
      <c r="B13" t="s">
        <v>268</v>
      </c>
      <c r="C13" s="6" t="e">
        <f>'C1.1 losslG,noAttr'!W48</f>
        <v>#NUM!</v>
      </c>
    </row>
    <row r="14" spans="2:5" x14ac:dyDescent="0.25">
      <c r="B14" s="9" t="s">
        <v>269</v>
      </c>
      <c r="C14" s="10" t="e">
        <f>'C1.1 losslG,noAttr'!X48</f>
        <v>#NUM!</v>
      </c>
    </row>
    <row r="16" spans="2:5" x14ac:dyDescent="0.25">
      <c r="B16" s="67" t="s">
        <v>351</v>
      </c>
      <c r="C16" s="68" t="s">
        <v>352</v>
      </c>
      <c r="D16" s="68"/>
      <c r="E16" s="68"/>
    </row>
    <row r="17" spans="2:5" x14ac:dyDescent="0.25">
      <c r="B17" s="67"/>
      <c r="C17" s="69" t="s">
        <v>301</v>
      </c>
      <c r="D17" s="69"/>
      <c r="E17" s="69"/>
    </row>
    <row r="18" spans="2:5" x14ac:dyDescent="0.25">
      <c r="B18" s="67"/>
      <c r="C18" s="4" t="s">
        <v>285</v>
      </c>
      <c r="D18" s="4" t="s">
        <v>353</v>
      </c>
      <c r="E18" s="4" t="s">
        <v>354</v>
      </c>
    </row>
    <row r="19" spans="2:5" x14ac:dyDescent="0.25">
      <c r="B19" s="5" t="s">
        <v>349</v>
      </c>
      <c r="C19" s="11" t="e">
        <f>'C1.2 losslG,lossyC'!$Y$68:$Y$68</f>
        <v>#VALUE!</v>
      </c>
      <c r="D19" s="11" t="e">
        <f>'C1.2 losslG,lossyC'!$Z$68:$Z$68</f>
        <v>#VALUE!</v>
      </c>
      <c r="E19" s="11" t="e">
        <f>'C1.2 losslG,lossyC'!$AA$68:$AA$68</f>
        <v>#VALUE!</v>
      </c>
    </row>
    <row r="20" spans="2:5" x14ac:dyDescent="0.25">
      <c r="B20" s="5" t="s">
        <v>350</v>
      </c>
      <c r="C20" s="11" t="e">
        <f>'C1.2 losslG,lossyC'!$Y$69:$Y$69</f>
        <v>#VALUE!</v>
      </c>
      <c r="D20" s="11" t="e">
        <f>'C1.2 losslG,lossyC'!$Z$69:$Z$69</f>
        <v>#VALUE!</v>
      </c>
      <c r="E20" s="11" t="e">
        <f>'C1.2 losslG,lossyC'!$AA$69:$AA$69</f>
        <v>#VALUE!</v>
      </c>
    </row>
    <row r="21" spans="2:5" x14ac:dyDescent="0.25">
      <c r="B21" s="7" t="s">
        <v>258</v>
      </c>
      <c r="C21" s="12" t="e">
        <f>'C1.2 losslG,lossyC'!$Y$70:$Y$70</f>
        <v>#VALUE!</v>
      </c>
      <c r="D21" s="12" t="e">
        <f>'C1.2 losslG,lossyC'!$Z$70:$Z$70</f>
        <v>#VALUE!</v>
      </c>
      <c r="E21" s="12" t="e">
        <f>'C1.2 losslG,lossyC'!$AA$70:$AA$70</f>
        <v>#VALUE!</v>
      </c>
    </row>
    <row r="22" spans="2:5" x14ac:dyDescent="0.25">
      <c r="B22" t="s">
        <v>268</v>
      </c>
      <c r="C22" s="70" t="e">
        <f>'C1.2 losslG,lossyC'!V74</f>
        <v>#NUM!</v>
      </c>
      <c r="D22" s="70"/>
      <c r="E22" s="70"/>
    </row>
    <row r="23" spans="2:5" x14ac:dyDescent="0.25">
      <c r="B23" s="9" t="s">
        <v>269</v>
      </c>
      <c r="C23" s="71" t="e">
        <f>'C1.2 losslG,lossyC'!W74</f>
        <v>#NUM!</v>
      </c>
      <c r="D23" s="71"/>
      <c r="E23" s="71"/>
    </row>
    <row r="25" spans="2:5" x14ac:dyDescent="0.25">
      <c r="B25" s="67" t="s">
        <v>504</v>
      </c>
      <c r="C25" s="68" t="s">
        <v>505</v>
      </c>
      <c r="D25" s="68"/>
      <c r="E25" s="68"/>
    </row>
    <row r="26" spans="2:5" x14ac:dyDescent="0.25">
      <c r="B26" s="67"/>
      <c r="C26" s="69" t="s">
        <v>301</v>
      </c>
      <c r="D26" s="69"/>
      <c r="E26" s="69"/>
    </row>
    <row r="27" spans="2:5" x14ac:dyDescent="0.25">
      <c r="B27" s="67"/>
      <c r="C27" s="4" t="s">
        <v>285</v>
      </c>
      <c r="D27" s="4" t="s">
        <v>353</v>
      </c>
      <c r="E27" s="4" t="s">
        <v>354</v>
      </c>
    </row>
    <row r="28" spans="2:5" x14ac:dyDescent="0.25">
      <c r="B28" s="5" t="s">
        <v>255</v>
      </c>
      <c r="C28" s="11" t="e">
        <f>'C1.3 lossyG,lossyC'!$BD$226:$BD$226</f>
        <v>#VALUE!</v>
      </c>
      <c r="D28" s="11" t="e">
        <f>'C1.3 lossyG,lossyC'!$BE$226:$BE$226</f>
        <v>#VALUE!</v>
      </c>
      <c r="E28" s="11" t="e">
        <f>'C1.3 lossyG,lossyC'!$BF$226:$BF$226</f>
        <v>#VALUE!</v>
      </c>
    </row>
    <row r="29" spans="2:5" x14ac:dyDescent="0.25">
      <c r="B29" s="5" t="s">
        <v>256</v>
      </c>
      <c r="C29" s="11" t="e">
        <f>'C1.3 lossyG,lossyC'!$BD$227:$BD$227</f>
        <v>#VALUE!</v>
      </c>
      <c r="D29" s="11" t="e">
        <f>'C1.3 lossyG,lossyC'!$BE$227:$BE$227</f>
        <v>#VALUE!</v>
      </c>
      <c r="E29" s="11" t="e">
        <f>'C1.3 lossyG,lossyC'!$BF$227:$BF$227</f>
        <v>#VALUE!</v>
      </c>
    </row>
    <row r="30" spans="2:5" x14ac:dyDescent="0.25">
      <c r="B30" s="5" t="s">
        <v>257</v>
      </c>
      <c r="C30" s="11" t="e">
        <f>'C1.3 lossyG,lossyC'!$BD$228:$BD$228</f>
        <v>#VALUE!</v>
      </c>
      <c r="D30" s="11" t="e">
        <f>'C1.3 lossyG,lossyC'!$BE$228:$BE$228</f>
        <v>#VALUE!</v>
      </c>
      <c r="E30" s="11" t="e">
        <f>'C1.3 lossyG,lossyC'!$BF$228:$BF$228</f>
        <v>#VALUE!</v>
      </c>
    </row>
    <row r="31" spans="2:5" x14ac:dyDescent="0.25">
      <c r="B31" s="7" t="s">
        <v>258</v>
      </c>
      <c r="C31" s="12" t="e">
        <f>'C1.3 lossyG,lossyC'!$BD$229:$BD$229</f>
        <v>#VALUE!</v>
      </c>
      <c r="D31" s="12" t="e">
        <f>'C1.3 lossyG,lossyC'!$BE$229:$BE$229</f>
        <v>#VALUE!</v>
      </c>
      <c r="E31" s="12" t="e">
        <f>'C1.3 lossyG,lossyC'!$BF$229:$BF$229</f>
        <v>#VALUE!</v>
      </c>
    </row>
    <row r="32" spans="2:5" x14ac:dyDescent="0.25">
      <c r="B32" t="s">
        <v>268</v>
      </c>
      <c r="C32" s="70" t="e">
        <f>'C1.3 lossyG,lossyC'!AR233</f>
        <v>#NUM!</v>
      </c>
      <c r="D32" s="70"/>
      <c r="E32" s="70"/>
    </row>
    <row r="33" spans="2:5" x14ac:dyDescent="0.25">
      <c r="B33" s="9" t="s">
        <v>269</v>
      </c>
      <c r="C33" s="71" t="e">
        <f>'C1.3 lossyG,lossyC'!AS233</f>
        <v>#NUM!</v>
      </c>
      <c r="D33" s="71"/>
      <c r="E33" s="71"/>
    </row>
    <row r="35" spans="2:5" s="1" customFormat="1" x14ac:dyDescent="0.25">
      <c r="B35" s="1" t="s">
        <v>573</v>
      </c>
    </row>
    <row r="37" spans="2:5" ht="30" x14ac:dyDescent="0.25">
      <c r="B37" s="67" t="s">
        <v>574</v>
      </c>
      <c r="C37" s="2" t="s">
        <v>266</v>
      </c>
    </row>
    <row r="38" spans="2:5" x14ac:dyDescent="0.25">
      <c r="B38" s="67"/>
      <c r="C38" s="3"/>
    </row>
    <row r="39" spans="2:5" x14ac:dyDescent="0.25">
      <c r="B39" s="67"/>
      <c r="C39" s="4" t="s">
        <v>267</v>
      </c>
    </row>
    <row r="40" spans="2:5" x14ac:dyDescent="0.25">
      <c r="B40" s="5" t="s">
        <v>571</v>
      </c>
      <c r="C40" s="6" t="e">
        <f>'C2.1 losslG,noAttr'!AH9</f>
        <v>#DIV/0!</v>
      </c>
    </row>
    <row r="41" spans="2:5" x14ac:dyDescent="0.25">
      <c r="B41" s="5" t="s">
        <v>572</v>
      </c>
      <c r="C41" s="6" t="e">
        <f>'C2.1 losslG,noAttr'!AH10</f>
        <v>#DIV/0!</v>
      </c>
    </row>
    <row r="42" spans="2:5" x14ac:dyDescent="0.25">
      <c r="B42" s="7" t="s">
        <v>258</v>
      </c>
      <c r="C42" s="8" t="e">
        <f>'C2.1 losslG,noAttr'!AH11</f>
        <v>#DIV/0!</v>
      </c>
    </row>
    <row r="43" spans="2:5" x14ac:dyDescent="0.25">
      <c r="B43" t="s">
        <v>268</v>
      </c>
      <c r="C43" s="6" t="e">
        <f>'C2.1 losslG,noAttr'!AC15</f>
        <v>#NUM!</v>
      </c>
    </row>
    <row r="44" spans="2:5" x14ac:dyDescent="0.25">
      <c r="B44" s="9" t="s">
        <v>269</v>
      </c>
      <c r="C44" s="10" t="e">
        <f>'C2.1 losslG,noAttr'!AE15</f>
        <v>#NUM!</v>
      </c>
    </row>
    <row r="46" spans="2:5" ht="45" x14ac:dyDescent="0.25">
      <c r="B46" s="67" t="s">
        <v>650</v>
      </c>
      <c r="C46" s="2" t="s">
        <v>651</v>
      </c>
    </row>
    <row r="47" spans="2:5" x14ac:dyDescent="0.25">
      <c r="B47" s="67"/>
      <c r="C47" s="3"/>
    </row>
    <row r="48" spans="2:5" x14ac:dyDescent="0.25">
      <c r="B48" s="67"/>
      <c r="C48" s="4" t="s">
        <v>267</v>
      </c>
    </row>
    <row r="49" spans="2:7" x14ac:dyDescent="0.25">
      <c r="B49" s="5" t="s">
        <v>571</v>
      </c>
      <c r="C49" s="6" t="e">
        <f>'C2.2 losslG,losslAttr'!BB9</f>
        <v>#DIV/0!</v>
      </c>
    </row>
    <row r="50" spans="2:7" x14ac:dyDescent="0.25">
      <c r="B50" s="5" t="s">
        <v>572</v>
      </c>
      <c r="C50" s="6" t="e">
        <f>'C2.2 losslG,losslAttr'!BB10</f>
        <v>#DIV/0!</v>
      </c>
    </row>
    <row r="51" spans="2:7" x14ac:dyDescent="0.25">
      <c r="B51" s="7" t="s">
        <v>258</v>
      </c>
      <c r="C51" s="8" t="e">
        <f>'C2.2 losslG,losslAttr'!BB11</f>
        <v>#DIV/0!</v>
      </c>
    </row>
    <row r="52" spans="2:7" x14ac:dyDescent="0.25">
      <c r="B52" t="s">
        <v>268</v>
      </c>
      <c r="C52" s="6" t="e">
        <f>'C2.2 losslG,losslAttr'!AU15</f>
        <v>#NUM!</v>
      </c>
    </row>
    <row r="53" spans="2:7" x14ac:dyDescent="0.25">
      <c r="B53" s="9" t="s">
        <v>269</v>
      </c>
      <c r="C53" s="10" t="e">
        <f>'C2.2 losslG,losslAttr'!AW15</f>
        <v>#NUM!</v>
      </c>
    </row>
    <row r="55" spans="2:7" x14ac:dyDescent="0.25">
      <c r="B55" s="67" t="s">
        <v>737</v>
      </c>
      <c r="C55" s="68" t="s">
        <v>738</v>
      </c>
      <c r="D55" s="68"/>
      <c r="E55" s="68"/>
      <c r="F55" s="68"/>
      <c r="G55" s="68"/>
    </row>
    <row r="56" spans="2:7" x14ac:dyDescent="0.25">
      <c r="B56" s="67"/>
      <c r="C56" s="69" t="s">
        <v>409</v>
      </c>
      <c r="D56" s="69"/>
      <c r="E56" s="72" t="s">
        <v>412</v>
      </c>
      <c r="F56" s="72"/>
      <c r="G56" s="72"/>
    </row>
    <row r="57" spans="2:7" x14ac:dyDescent="0.25">
      <c r="B57" s="67"/>
      <c r="C57" s="4" t="s">
        <v>375</v>
      </c>
      <c r="D57" s="4" t="s">
        <v>739</v>
      </c>
      <c r="E57" s="14" t="s">
        <v>285</v>
      </c>
      <c r="F57" s="14" t="s">
        <v>353</v>
      </c>
      <c r="G57" s="14" t="s">
        <v>354</v>
      </c>
    </row>
    <row r="58" spans="2:7" x14ac:dyDescent="0.25">
      <c r="B58" s="5" t="s">
        <v>571</v>
      </c>
      <c r="C58" s="11">
        <f>'C2.3 lossyG,lossyAttr'!$BI$29:$BI$29</f>
        <v>0.2372681380528622</v>
      </c>
      <c r="D58" s="11">
        <f>'C2.3 lossyG,lossyAttr'!$BJ$29:$BJ$29</f>
        <v>0.20931844534559826</v>
      </c>
      <c r="E58" s="11">
        <f>'C2.3 lossyG,lossyAttr'!$BK$29:$BK$29</f>
        <v>0.23002323079489975</v>
      </c>
      <c r="F58" s="11">
        <f>'C2.3 lossyG,lossyAttr'!$BL$29:$BL$29</f>
        <v>0.21634584786021793</v>
      </c>
      <c r="G58" s="11">
        <f>'C2.3 lossyG,lossyAttr'!$BM$29:$BM$29</f>
        <v>0.21376025638696641</v>
      </c>
    </row>
    <row r="59" spans="2:7" x14ac:dyDescent="0.25">
      <c r="B59" s="5" t="s">
        <v>572</v>
      </c>
      <c r="C59" s="11">
        <f>'C2.3 lossyG,lossyAttr'!$BI$30:$BI$30</f>
        <v>1</v>
      </c>
      <c r="D59" s="11">
        <f>'C2.3 lossyG,lossyAttr'!$BJ$30:$BJ$30</f>
        <v>1</v>
      </c>
      <c r="E59" s="11">
        <f>'C2.3 lossyG,lossyAttr'!$BK$30:$BK$30</f>
        <v>1</v>
      </c>
      <c r="F59" s="11">
        <f>'C2.3 lossyG,lossyAttr'!$BL$30:$BL$30</f>
        <v>1</v>
      </c>
      <c r="G59" s="11">
        <f>'C2.3 lossyG,lossyAttr'!$BM$30:$BM$30</f>
        <v>1</v>
      </c>
    </row>
    <row r="60" spans="2:7" x14ac:dyDescent="0.25">
      <c r="B60" s="7" t="s">
        <v>258</v>
      </c>
      <c r="C60" s="12">
        <f>'C2.3 lossyG,lossyAttr'!$BI$31:$BI$31</f>
        <v>0.38981451044228976</v>
      </c>
      <c r="D60" s="12">
        <f>'C2.3 lossyG,lossyAttr'!$BJ$31:$BJ$31</f>
        <v>0.36745475627647861</v>
      </c>
      <c r="E60" s="12">
        <f>'C2.3 lossyG,lossyAttr'!$BK$31:$BK$31</f>
        <v>0.38401858463591976</v>
      </c>
      <c r="F60" s="12">
        <f>'C2.3 lossyG,lossyAttr'!$BL$31:$BL$31</f>
        <v>0.37307667828817437</v>
      </c>
      <c r="G60" s="12">
        <f>'C2.3 lossyG,lossyAttr'!$BM$31:$BM$31</f>
        <v>0.37100820510957311</v>
      </c>
    </row>
    <row r="61" spans="2:7" x14ac:dyDescent="0.25">
      <c r="B61" t="s">
        <v>268</v>
      </c>
      <c r="C61" s="70" t="e">
        <f>'C2.3 lossyG,lossyAttr'!AX35</f>
        <v>#NUM!</v>
      </c>
      <c r="D61" s="70"/>
      <c r="E61" s="70"/>
      <c r="F61" s="70"/>
      <c r="G61" s="70"/>
    </row>
    <row r="62" spans="2:7" x14ac:dyDescent="0.25">
      <c r="B62" s="9" t="s">
        <v>269</v>
      </c>
      <c r="C62" s="71" t="e">
        <f>'C2.3 lossyG,lossyAttr'!AZ35</f>
        <v>#NUM!</v>
      </c>
      <c r="D62" s="71"/>
      <c r="E62" s="71"/>
      <c r="F62" s="71"/>
      <c r="G62" s="71"/>
    </row>
    <row r="64" spans="2:7" x14ac:dyDescent="0.25">
      <c r="B64" s="67" t="s">
        <v>824</v>
      </c>
      <c r="C64" s="68" t="s">
        <v>825</v>
      </c>
      <c r="D64" s="68"/>
      <c r="E64" s="68"/>
      <c r="F64" s="68"/>
      <c r="G64" s="68"/>
    </row>
    <row r="65" spans="2:7" x14ac:dyDescent="0.25">
      <c r="B65" s="67"/>
      <c r="C65" s="69" t="s">
        <v>409</v>
      </c>
      <c r="D65" s="69"/>
      <c r="E65" s="72" t="s">
        <v>412</v>
      </c>
      <c r="F65" s="72"/>
      <c r="G65" s="72"/>
    </row>
    <row r="66" spans="2:7" x14ac:dyDescent="0.25">
      <c r="B66" s="67"/>
      <c r="C66" s="4" t="s">
        <v>375</v>
      </c>
      <c r="D66" s="4" t="s">
        <v>739</v>
      </c>
      <c r="E66" s="14" t="s">
        <v>285</v>
      </c>
      <c r="F66" s="14" t="s">
        <v>353</v>
      </c>
      <c r="G66" s="14" t="s">
        <v>354</v>
      </c>
    </row>
    <row r="67" spans="2:7" x14ac:dyDescent="0.25">
      <c r="B67" s="5" t="s">
        <v>571</v>
      </c>
      <c r="C67" s="11">
        <f>'C2.4 lossyG,lossyAttr,interRA'!$BI$29:$BI$29</f>
        <v>0.73673503214584379</v>
      </c>
      <c r="D67" s="11">
        <f>'C2.4 lossyG,lossyAttr,interRA'!$BJ$29:$BJ$29</f>
        <v>0.73449610074456106</v>
      </c>
      <c r="E67" s="11">
        <f>'C2.4 lossyG,lossyAttr,interRA'!$BK$29:$BK$29</f>
        <v>0.73815052335081099</v>
      </c>
      <c r="F67" s="11">
        <f>'C2.4 lossyG,lossyAttr,interRA'!$BL$29:$BL$29</f>
        <v>0.73118980676833578</v>
      </c>
      <c r="G67" s="11">
        <f>'C2.4 lossyG,lossyAttr,interRA'!$BM$29:$BM$29</f>
        <v>0.72911896549676114</v>
      </c>
    </row>
    <row r="68" spans="2:7" x14ac:dyDescent="0.25">
      <c r="B68" s="5" t="s">
        <v>572</v>
      </c>
      <c r="C68" s="11">
        <f>'C2.4 lossyG,lossyAttr,interRA'!$BI$30:$BI$30</f>
        <v>-3.4940814139537646E-2</v>
      </c>
      <c r="D68" s="11">
        <f>'C2.4 lossyG,lossyAttr,interRA'!$BJ$30:$BJ$30</f>
        <v>-5.388821670453714E-2</v>
      </c>
      <c r="E68" s="11">
        <f>'C2.4 lossyG,lossyAttr,interRA'!$BK$30:$BK$30</f>
        <v>-2.9641037136045489E-2</v>
      </c>
      <c r="F68" s="11">
        <f>'C2.4 lossyG,lossyAttr,interRA'!$BL$30:$BL$30</f>
        <v>-4.1142896629868586E-2</v>
      </c>
      <c r="G68" s="11">
        <f>'C2.4 lossyG,lossyAttr,interRA'!$BM$30:$BM$30</f>
        <v>-4.1160383047893156E-2</v>
      </c>
    </row>
    <row r="69" spans="2:7" x14ac:dyDescent="0.25">
      <c r="B69" s="7" t="s">
        <v>258</v>
      </c>
      <c r="C69" s="12">
        <f>'C2.4 lossyG,lossyAttr,interRA'!$BI$31:$BI$31</f>
        <v>0.58239986288876744</v>
      </c>
      <c r="D69" s="12">
        <f>'C2.4 lossyG,lossyAttr,interRA'!$BJ$31:$BJ$31</f>
        <v>0.57681923725474138</v>
      </c>
      <c r="E69" s="12">
        <f>'C2.4 lossyG,lossyAttr,interRA'!$BK$31:$BK$31</f>
        <v>0.58459221125343963</v>
      </c>
      <c r="F69" s="12">
        <f>'C2.4 lossyG,lossyAttr,interRA'!$BL$31:$BL$31</f>
        <v>0.57672326608869484</v>
      </c>
      <c r="G69" s="12">
        <f>'C2.4 lossyG,lossyAttr,interRA'!$BM$31:$BM$31</f>
        <v>0.57506309578783033</v>
      </c>
    </row>
    <row r="70" spans="2:7" x14ac:dyDescent="0.25">
      <c r="B70" t="s">
        <v>268</v>
      </c>
      <c r="C70" s="70" t="e">
        <f>'C2.4 lossyG,lossyAttr,interRA'!AX35</f>
        <v>#NUM!</v>
      </c>
      <c r="D70" s="70"/>
      <c r="E70" s="70"/>
      <c r="F70" s="70"/>
      <c r="G70" s="70"/>
    </row>
    <row r="71" spans="2:7" x14ac:dyDescent="0.25">
      <c r="B71" s="9" t="s">
        <v>269</v>
      </c>
      <c r="C71" s="71" t="e">
        <f>'C2.4 lossyG,lossyAttr,interRA'!AZ35</f>
        <v>#NUM!</v>
      </c>
      <c r="D71" s="71"/>
      <c r="E71" s="71"/>
      <c r="F71" s="71"/>
      <c r="G71" s="71"/>
    </row>
    <row r="73" spans="2:7" ht="45" x14ac:dyDescent="0.25">
      <c r="B73" s="67" t="s">
        <v>875</v>
      </c>
      <c r="C73" s="2" t="s">
        <v>876</v>
      </c>
    </row>
    <row r="74" spans="2:7" x14ac:dyDescent="0.25">
      <c r="B74" s="67"/>
      <c r="C74" s="3"/>
    </row>
    <row r="75" spans="2:7" x14ac:dyDescent="0.25">
      <c r="B75" s="67"/>
      <c r="C75" s="4" t="s">
        <v>267</v>
      </c>
    </row>
    <row r="76" spans="2:7" x14ac:dyDescent="0.25">
      <c r="B76" s="5" t="s">
        <v>571</v>
      </c>
      <c r="C76" s="6" t="e">
        <f>'C2.5 losslG,noAttr,interRA'!AH9</f>
        <v>#DIV/0!</v>
      </c>
    </row>
    <row r="77" spans="2:7" x14ac:dyDescent="0.25">
      <c r="B77" s="5" t="s">
        <v>572</v>
      </c>
      <c r="C77" s="6" t="e">
        <f>'C2.5 losslG,noAttr,interRA'!AH10</f>
        <v>#DIV/0!</v>
      </c>
    </row>
    <row r="78" spans="2:7" x14ac:dyDescent="0.25">
      <c r="B78" s="7" t="s">
        <v>258</v>
      </c>
      <c r="C78" s="8" t="e">
        <f>'C2.5 losslG,noAttr,interRA'!AH11</f>
        <v>#DIV/0!</v>
      </c>
    </row>
    <row r="79" spans="2:7" x14ac:dyDescent="0.25">
      <c r="B79" t="s">
        <v>268</v>
      </c>
      <c r="C79" s="6" t="e">
        <f>'C2.5 losslG,noAttr,interRA'!AC15</f>
        <v>#NUM!</v>
      </c>
    </row>
    <row r="80" spans="2:7" x14ac:dyDescent="0.25">
      <c r="B80" s="9" t="s">
        <v>269</v>
      </c>
      <c r="C80" s="10" t="e">
        <f>'C2.5 losslG,noAttr,interRA'!AE15</f>
        <v>#NUM!</v>
      </c>
    </row>
    <row r="82" spans="2:3" ht="45" x14ac:dyDescent="0.25">
      <c r="B82" s="67" t="s">
        <v>948</v>
      </c>
      <c r="C82" s="2" t="s">
        <v>949</v>
      </c>
    </row>
    <row r="83" spans="2:3" x14ac:dyDescent="0.25">
      <c r="B83" s="67"/>
      <c r="C83" s="3"/>
    </row>
    <row r="84" spans="2:3" x14ac:dyDescent="0.25">
      <c r="B84" s="67"/>
      <c r="C84" s="4" t="s">
        <v>267</v>
      </c>
    </row>
    <row r="85" spans="2:3" x14ac:dyDescent="0.25">
      <c r="B85" s="5" t="s">
        <v>571</v>
      </c>
      <c r="C85" s="6" t="e">
        <f>'C2.6 losslG,losslAttr,interRA'!BB9</f>
        <v>#DIV/0!</v>
      </c>
    </row>
    <row r="86" spans="2:3" x14ac:dyDescent="0.25">
      <c r="B86" s="5" t="s">
        <v>572</v>
      </c>
      <c r="C86" s="6" t="e">
        <f>'C2.6 losslG,losslAttr,interRA'!BB10</f>
        <v>#DIV/0!</v>
      </c>
    </row>
    <row r="87" spans="2:3" x14ac:dyDescent="0.25">
      <c r="B87" s="7" t="s">
        <v>258</v>
      </c>
      <c r="C87" s="8" t="e">
        <f>'C2.6 losslG,losslAttr,interRA'!BB11</f>
        <v>#DIV/0!</v>
      </c>
    </row>
    <row r="88" spans="2:3" x14ac:dyDescent="0.25">
      <c r="B88" t="s">
        <v>268</v>
      </c>
      <c r="C88" s="6" t="e">
        <f>'C2.6 losslG,losslAttr,interRA'!AU15</f>
        <v>#NUM!</v>
      </c>
    </row>
    <row r="89" spans="2:3" x14ac:dyDescent="0.25">
      <c r="B89" s="9" t="s">
        <v>269</v>
      </c>
      <c r="C89" s="10" t="e">
        <f>'C2.6 losslG,losslAttr,interRA'!AW15</f>
        <v>#NUM!</v>
      </c>
    </row>
    <row r="91" spans="2:3" s="1" customFormat="1" x14ac:dyDescent="0.25">
      <c r="B91" s="1" t="s">
        <v>1003</v>
      </c>
    </row>
    <row r="93" spans="2:3" ht="30" x14ac:dyDescent="0.25">
      <c r="B93" s="67" t="s">
        <v>1004</v>
      </c>
      <c r="C93" s="2" t="s">
        <v>266</v>
      </c>
    </row>
    <row r="94" spans="2:3" x14ac:dyDescent="0.25">
      <c r="B94" s="67"/>
      <c r="C94" s="3"/>
    </row>
    <row r="95" spans="2:3" x14ac:dyDescent="0.25">
      <c r="B95" s="67"/>
      <c r="C95" s="4" t="s">
        <v>267</v>
      </c>
    </row>
    <row r="96" spans="2:3" x14ac:dyDescent="0.25">
      <c r="B96" s="5" t="s">
        <v>1001</v>
      </c>
      <c r="C96" s="6" t="e">
        <f>'C3.1 losslG,noAttr'!Z10</f>
        <v>#DIV/0!</v>
      </c>
    </row>
    <row r="97" spans="2:5" x14ac:dyDescent="0.25">
      <c r="B97" s="5" t="s">
        <v>1002</v>
      </c>
      <c r="C97" s="6" t="e">
        <f>'C3.1 losslG,noAttr'!Z11</f>
        <v>#DIV/0!</v>
      </c>
    </row>
    <row r="98" spans="2:5" x14ac:dyDescent="0.25">
      <c r="B98" s="7" t="s">
        <v>258</v>
      </c>
      <c r="C98" s="8" t="e">
        <f>'C3.1 losslG,noAttr'!Z12</f>
        <v>#DIV/0!</v>
      </c>
    </row>
    <row r="99" spans="2:5" x14ac:dyDescent="0.25">
      <c r="B99" t="s">
        <v>268</v>
      </c>
      <c r="C99" s="6" t="e">
        <f>'C3.1 losslG,noAttr'!W16</f>
        <v>#NUM!</v>
      </c>
    </row>
    <row r="100" spans="2:5" x14ac:dyDescent="0.25">
      <c r="B100" s="9" t="s">
        <v>269</v>
      </c>
      <c r="C100" s="10" t="e">
        <f>'C3.1 losslG,noAttr'!X16</f>
        <v>#NUM!</v>
      </c>
    </row>
    <row r="102" spans="2:5" x14ac:dyDescent="0.25">
      <c r="B102" s="67" t="s">
        <v>1056</v>
      </c>
      <c r="C102" s="68" t="s">
        <v>352</v>
      </c>
      <c r="D102" s="68"/>
      <c r="E102" s="68"/>
    </row>
    <row r="103" spans="2:5" x14ac:dyDescent="0.25">
      <c r="B103" s="67"/>
      <c r="C103" s="69" t="s">
        <v>412</v>
      </c>
      <c r="D103" s="69"/>
      <c r="E103" s="69"/>
    </row>
    <row r="104" spans="2:5" x14ac:dyDescent="0.25">
      <c r="B104" s="67"/>
      <c r="C104" s="4" t="s">
        <v>285</v>
      </c>
      <c r="D104" s="4" t="s">
        <v>353</v>
      </c>
      <c r="E104" s="4" t="s">
        <v>354</v>
      </c>
    </row>
    <row r="105" spans="2:5" x14ac:dyDescent="0.25">
      <c r="B105" s="7" t="s">
        <v>258</v>
      </c>
      <c r="C105" s="12" t="e">
        <f>'C3.2 losslG,lossyC'!$AI$22:$AI$22</f>
        <v>#VALUE!</v>
      </c>
      <c r="D105" s="12" t="e">
        <f>'C3.2 losslG,lossyC'!$AJ$22:$AJ$22</f>
        <v>#VALUE!</v>
      </c>
      <c r="E105" s="12" t="e">
        <f>'C3.2 losslG,lossyC'!$AK$22:$AK$22</f>
        <v>#VALUE!</v>
      </c>
    </row>
    <row r="106" spans="2:5" x14ac:dyDescent="0.25">
      <c r="B106" t="s">
        <v>268</v>
      </c>
      <c r="C106" s="70" t="e">
        <f>'C3.2 losslG,lossyC'!AF26</f>
        <v>#NUM!</v>
      </c>
      <c r="D106" s="70"/>
      <c r="E106" s="70"/>
    </row>
    <row r="107" spans="2:5" x14ac:dyDescent="0.25">
      <c r="B107" s="9" t="s">
        <v>269</v>
      </c>
      <c r="C107" s="71" t="e">
        <f>'C3.2 losslG,lossyC'!AG26</f>
        <v>#NUM!</v>
      </c>
      <c r="D107" s="71"/>
      <c r="E107" s="71"/>
    </row>
    <row r="109" spans="2:5" ht="30" x14ac:dyDescent="0.25">
      <c r="B109" s="67" t="s">
        <v>1102</v>
      </c>
      <c r="C109" s="2" t="s">
        <v>1103</v>
      </c>
    </row>
    <row r="110" spans="2:5" ht="30" x14ac:dyDescent="0.25">
      <c r="B110" s="67"/>
      <c r="C110" s="3" t="s">
        <v>412</v>
      </c>
    </row>
    <row r="111" spans="2:5" x14ac:dyDescent="0.25">
      <c r="B111" s="67"/>
      <c r="C111" s="4" t="s">
        <v>1072</v>
      </c>
    </row>
    <row r="112" spans="2:5" x14ac:dyDescent="0.25">
      <c r="B112" s="7" t="s">
        <v>258</v>
      </c>
      <c r="C112" s="12" t="e">
        <f>'C3.3 losslG,lossyR'!$AC$22:$AC$22</f>
        <v>#VALUE!</v>
      </c>
    </row>
    <row r="113" spans="2:4" x14ac:dyDescent="0.25">
      <c r="B113" t="s">
        <v>268</v>
      </c>
      <c r="C113" s="6" t="e">
        <f>'C3.3 losslG,lossyR'!Z26</f>
        <v>#NUM!</v>
      </c>
    </row>
    <row r="114" spans="2:4" x14ac:dyDescent="0.25">
      <c r="B114" s="9" t="s">
        <v>269</v>
      </c>
      <c r="C114" s="10" t="e">
        <f>'C3.3 losslG,lossyR'!AA26</f>
        <v>#NUM!</v>
      </c>
    </row>
    <row r="116" spans="2:4" x14ac:dyDescent="0.25">
      <c r="B116" s="67" t="s">
        <v>1151</v>
      </c>
      <c r="C116" s="68" t="s">
        <v>1152</v>
      </c>
      <c r="D116" s="68"/>
    </row>
    <row r="117" spans="2:4" x14ac:dyDescent="0.25">
      <c r="B117" s="67"/>
      <c r="C117" s="69" t="s">
        <v>409</v>
      </c>
      <c r="D117" s="69"/>
    </row>
    <row r="118" spans="2:4" x14ac:dyDescent="0.25">
      <c r="B118" s="67"/>
      <c r="C118" s="4" t="s">
        <v>375</v>
      </c>
      <c r="D118" s="4" t="s">
        <v>739</v>
      </c>
    </row>
    <row r="119" spans="2:4" x14ac:dyDescent="0.25">
      <c r="B119" s="5" t="s">
        <v>1001</v>
      </c>
      <c r="C119" s="11" t="e">
        <f>'C3.4 lossyG,noAttr'!$AC$40:$AC$40</f>
        <v>#VALUE!</v>
      </c>
      <c r="D119" s="11" t="e">
        <f>'C3.4 lossyG,noAttr'!$AD$40:$AD$40</f>
        <v>#VALUE!</v>
      </c>
    </row>
    <row r="120" spans="2:4" x14ac:dyDescent="0.25">
      <c r="B120" s="5" t="s">
        <v>1002</v>
      </c>
      <c r="C120" s="11" t="e">
        <f>'C3.4 lossyG,noAttr'!$AC$41:$AC$41</f>
        <v>#VALUE!</v>
      </c>
      <c r="D120" s="11" t="e">
        <f>'C3.4 lossyG,noAttr'!$AD$41:$AD$41</f>
        <v>#VALUE!</v>
      </c>
    </row>
    <row r="121" spans="2:4" x14ac:dyDescent="0.25">
      <c r="B121" s="7" t="s">
        <v>258</v>
      </c>
      <c r="C121" s="12" t="e">
        <f>'C3.4 lossyG,noAttr'!$AC$42:$AC$42</f>
        <v>#VALUE!</v>
      </c>
      <c r="D121" s="12" t="e">
        <f>'C3.4 lossyG,noAttr'!$AD$42:$AD$42</f>
        <v>#VALUE!</v>
      </c>
    </row>
    <row r="122" spans="2:4" x14ac:dyDescent="0.25">
      <c r="B122" t="s">
        <v>268</v>
      </c>
      <c r="C122" s="70" t="e">
        <f>'C3.4 lossyG,noAttr'!Z46</f>
        <v>#NUM!</v>
      </c>
      <c r="D122" s="70"/>
    </row>
    <row r="123" spans="2:4" x14ac:dyDescent="0.25">
      <c r="B123" s="9" t="s">
        <v>269</v>
      </c>
      <c r="C123" s="71" t="e">
        <f>'C3.4 lossyG,noAttr'!AA46</f>
        <v>#NUM!</v>
      </c>
      <c r="D123" s="71"/>
    </row>
    <row r="125" spans="2:4" x14ac:dyDescent="0.25">
      <c r="B125" s="67" t="s">
        <v>1194</v>
      </c>
      <c r="C125" s="68" t="s">
        <v>1195</v>
      </c>
      <c r="D125" s="68"/>
    </row>
    <row r="126" spans="2:4" x14ac:dyDescent="0.25">
      <c r="B126" s="67"/>
      <c r="C126" s="69" t="s">
        <v>409</v>
      </c>
      <c r="D126" s="69"/>
    </row>
    <row r="127" spans="2:4" x14ac:dyDescent="0.25">
      <c r="B127" s="67"/>
      <c r="C127" s="4" t="s">
        <v>375</v>
      </c>
      <c r="D127" s="4" t="s">
        <v>739</v>
      </c>
    </row>
    <row r="128" spans="2:4" x14ac:dyDescent="0.25">
      <c r="B128" s="7" t="s">
        <v>258</v>
      </c>
      <c r="C128" s="12" t="e">
        <f>'C3.5 lossyG,noAttr,interRA'!$AC$22:$AC$22</f>
        <v>#VALUE!</v>
      </c>
      <c r="D128" s="12" t="e">
        <f>'C3.5 lossyG,noAttr,interRA'!$AD$22:$AD$22</f>
        <v>#VALUE!</v>
      </c>
    </row>
    <row r="129" spans="2:5" x14ac:dyDescent="0.25">
      <c r="B129" t="s">
        <v>268</v>
      </c>
      <c r="C129" s="70" t="e">
        <f>'C3.5 lossyG,noAttr,interRA'!Z26</f>
        <v>#NUM!</v>
      </c>
      <c r="D129" s="70"/>
    </row>
    <row r="130" spans="2:5" x14ac:dyDescent="0.25">
      <c r="B130" s="9" t="s">
        <v>269</v>
      </c>
      <c r="C130" s="71" t="e">
        <f>'C3.5 lossyG,noAttr,interRA'!AA26</f>
        <v>#NUM!</v>
      </c>
      <c r="D130" s="71"/>
    </row>
    <row r="132" spans="2:5" x14ac:dyDescent="0.25">
      <c r="B132" s="67" t="s">
        <v>1240</v>
      </c>
      <c r="C132" s="68" t="s">
        <v>1241</v>
      </c>
      <c r="D132" s="68"/>
      <c r="E132" s="68"/>
    </row>
    <row r="133" spans="2:5" ht="30" x14ac:dyDescent="0.25">
      <c r="B133" s="67"/>
      <c r="C133" s="69" t="s">
        <v>409</v>
      </c>
      <c r="D133" s="69"/>
      <c r="E133" s="13" t="s">
        <v>412</v>
      </c>
    </row>
    <row r="134" spans="2:5" x14ac:dyDescent="0.25">
      <c r="B134" s="67"/>
      <c r="C134" s="4" t="s">
        <v>375</v>
      </c>
      <c r="D134" s="4" t="s">
        <v>739</v>
      </c>
      <c r="E134" s="14" t="s">
        <v>1072</v>
      </c>
    </row>
    <row r="135" spans="2:5" x14ac:dyDescent="0.25">
      <c r="B135" s="7" t="s">
        <v>258</v>
      </c>
      <c r="C135" s="12" t="e">
        <f>'C3.6 lossyG,lossyR'!$AE$22:$AE$22</f>
        <v>#VALUE!</v>
      </c>
      <c r="D135" s="12" t="e">
        <f>'C3.6 lossyG,lossyR'!$AF$22:$AF$22</f>
        <v>#VALUE!</v>
      </c>
      <c r="E135" s="12" t="e">
        <f>'C3.6 lossyG,lossyR'!$AG$22:$AG$22</f>
        <v>#VALUE!</v>
      </c>
    </row>
    <row r="136" spans="2:5" x14ac:dyDescent="0.25">
      <c r="B136" t="s">
        <v>268</v>
      </c>
      <c r="C136" s="70" t="e">
        <f>'C3.6 lossyG,lossyR'!AB26</f>
        <v>#NUM!</v>
      </c>
      <c r="D136" s="70"/>
      <c r="E136" s="70"/>
    </row>
    <row r="137" spans="2:5" x14ac:dyDescent="0.25">
      <c r="B137" s="9" t="s">
        <v>269</v>
      </c>
      <c r="C137" s="71" t="e">
        <f>'C3.6 lossyG,lossyR'!AC26</f>
        <v>#NUM!</v>
      </c>
      <c r="D137" s="71"/>
      <c r="E137" s="71"/>
    </row>
    <row r="139" spans="2:5" x14ac:dyDescent="0.25">
      <c r="B139" s="67" t="s">
        <v>1286</v>
      </c>
      <c r="C139" s="68" t="s">
        <v>1287</v>
      </c>
      <c r="D139" s="68"/>
      <c r="E139" s="68"/>
    </row>
    <row r="140" spans="2:5" ht="30" x14ac:dyDescent="0.25">
      <c r="B140" s="67"/>
      <c r="C140" s="69" t="s">
        <v>409</v>
      </c>
      <c r="D140" s="69"/>
      <c r="E140" s="13" t="s">
        <v>412</v>
      </c>
    </row>
    <row r="141" spans="2:5" x14ac:dyDescent="0.25">
      <c r="B141" s="67"/>
      <c r="C141" s="4" t="s">
        <v>375</v>
      </c>
      <c r="D141" s="4" t="s">
        <v>739</v>
      </c>
      <c r="E141" s="14" t="s">
        <v>1072</v>
      </c>
    </row>
    <row r="142" spans="2:5" x14ac:dyDescent="0.25">
      <c r="B142" s="7" t="s">
        <v>258</v>
      </c>
      <c r="C142" s="12" t="e">
        <f>'C3.7 lossyG,lossyR,interRA'!$AE$22:$AE$22</f>
        <v>#VALUE!</v>
      </c>
      <c r="D142" s="12" t="e">
        <f>'C3.7 lossyG,lossyR,interRA'!$AF$22:$AF$22</f>
        <v>#VALUE!</v>
      </c>
      <c r="E142" s="12" t="e">
        <f>'C3.7 lossyG,lossyR,interRA'!$AG$22:$AG$22</f>
        <v>#VALUE!</v>
      </c>
    </row>
    <row r="143" spans="2:5" x14ac:dyDescent="0.25">
      <c r="B143" t="s">
        <v>268</v>
      </c>
      <c r="C143" s="70" t="e">
        <f>'C3.7 lossyG,lossyR,interRA'!AB26</f>
        <v>#NUM!</v>
      </c>
      <c r="D143" s="70"/>
      <c r="E143" s="70"/>
    </row>
    <row r="144" spans="2:5" x14ac:dyDescent="0.25">
      <c r="B144" s="9" t="s">
        <v>269</v>
      </c>
      <c r="C144" s="71" t="e">
        <f>'C3.7 lossyG,lossyR,interRA'!AC26</f>
        <v>#NUM!</v>
      </c>
      <c r="D144" s="71"/>
      <c r="E144" s="71"/>
    </row>
    <row r="146" spans="2:3" ht="30" x14ac:dyDescent="0.25">
      <c r="B146" s="67" t="s">
        <v>1321</v>
      </c>
      <c r="C146" s="2" t="s">
        <v>1322</v>
      </c>
    </row>
    <row r="147" spans="2:3" x14ac:dyDescent="0.25">
      <c r="B147" s="67"/>
      <c r="C147" s="3"/>
    </row>
    <row r="148" spans="2:3" x14ac:dyDescent="0.25">
      <c r="B148" s="67"/>
      <c r="C148" s="4" t="s">
        <v>267</v>
      </c>
    </row>
    <row r="149" spans="2:3" x14ac:dyDescent="0.25">
      <c r="B149" s="7" t="s">
        <v>258</v>
      </c>
      <c r="C149" s="8" t="e">
        <f>'C3.W losslG,losslC'!V7</f>
        <v>#DIV/0!</v>
      </c>
    </row>
    <row r="150" spans="2:3" x14ac:dyDescent="0.25">
      <c r="B150" t="s">
        <v>268</v>
      </c>
      <c r="C150" s="6" t="e">
        <f>'C3.W losslG,losslC'!S11</f>
        <v>#NUM!</v>
      </c>
    </row>
    <row r="151" spans="2:3" x14ac:dyDescent="0.25">
      <c r="B151" s="9" t="s">
        <v>269</v>
      </c>
      <c r="C151" s="10" t="e">
        <f>'C3.W losslG,losslC'!T11</f>
        <v>#NUM!</v>
      </c>
    </row>
    <row r="153" spans="2:3" ht="45" x14ac:dyDescent="0.25">
      <c r="B153" s="67" t="s">
        <v>1366</v>
      </c>
      <c r="C153" s="2" t="s">
        <v>1367</v>
      </c>
    </row>
    <row r="154" spans="2:3" x14ac:dyDescent="0.25">
      <c r="B154" s="67"/>
      <c r="C154" s="3"/>
    </row>
    <row r="155" spans="2:3" x14ac:dyDescent="0.25">
      <c r="B155" s="67"/>
      <c r="C155" s="4" t="s">
        <v>267</v>
      </c>
    </row>
    <row r="156" spans="2:3" x14ac:dyDescent="0.25">
      <c r="B156" s="5" t="s">
        <v>1001</v>
      </c>
      <c r="C156" s="6" t="e">
        <f>'C3.X losslG,losslR'!Z10</f>
        <v>#DIV/0!</v>
      </c>
    </row>
    <row r="157" spans="2:3" x14ac:dyDescent="0.25">
      <c r="B157" s="5" t="s">
        <v>1002</v>
      </c>
      <c r="C157" s="6" t="e">
        <f>'C3.X losslG,losslR'!Z11</f>
        <v>#DIV/0!</v>
      </c>
    </row>
    <row r="158" spans="2:3" x14ac:dyDescent="0.25">
      <c r="B158" s="7" t="s">
        <v>258</v>
      </c>
      <c r="C158" s="8" t="e">
        <f>'C3.X losslG,losslR'!Z12</f>
        <v>#DIV/0!</v>
      </c>
    </row>
    <row r="159" spans="2:3" x14ac:dyDescent="0.25">
      <c r="B159" t="s">
        <v>268</v>
      </c>
      <c r="C159" s="6" t="e">
        <f>'C3.X losslG,losslR'!W16</f>
        <v>#NUM!</v>
      </c>
    </row>
    <row r="160" spans="2:3" x14ac:dyDescent="0.25">
      <c r="B160" s="9" t="s">
        <v>269</v>
      </c>
      <c r="C160" s="10" t="e">
        <f>'C3.X losslG,losslR'!X16</f>
        <v>#NUM!</v>
      </c>
    </row>
    <row r="162" spans="2:5" x14ac:dyDescent="0.25">
      <c r="B162" s="67" t="s">
        <v>1419</v>
      </c>
      <c r="C162" s="68" t="s">
        <v>1420</v>
      </c>
      <c r="D162" s="68"/>
      <c r="E162" s="68"/>
    </row>
    <row r="163" spans="2:5" x14ac:dyDescent="0.25">
      <c r="B163" s="67"/>
      <c r="C163" s="69" t="s">
        <v>1404</v>
      </c>
      <c r="D163" s="69"/>
      <c r="E163" s="69"/>
    </row>
    <row r="164" spans="2:5" x14ac:dyDescent="0.25">
      <c r="B164" s="67"/>
      <c r="C164" s="4" t="s">
        <v>285</v>
      </c>
      <c r="D164" s="4" t="s">
        <v>353</v>
      </c>
      <c r="E164" s="4" t="s">
        <v>354</v>
      </c>
    </row>
    <row r="165" spans="2:5" x14ac:dyDescent="0.25">
      <c r="B165" s="7" t="s">
        <v>258</v>
      </c>
      <c r="C165" s="12" t="e">
        <f>'C3.Y losslG,nearllC'!$AK$19:$AK$19</f>
        <v>#VALUE!</v>
      </c>
      <c r="D165" s="12" t="e">
        <f>'C3.Y losslG,nearllC'!$AL$19:$AL$19</f>
        <v>#VALUE!</v>
      </c>
      <c r="E165" s="12" t="e">
        <f>'C3.Y losslG,nearllC'!$AM$19:$AM$19</f>
        <v>#VALUE!</v>
      </c>
    </row>
    <row r="166" spans="2:5" x14ac:dyDescent="0.25">
      <c r="B166" t="s">
        <v>268</v>
      </c>
      <c r="C166" s="70" t="e">
        <f>'C3.Y losslG,nearllC'!AD23</f>
        <v>#NUM!</v>
      </c>
      <c r="D166" s="70"/>
      <c r="E166" s="70"/>
    </row>
    <row r="167" spans="2:5" x14ac:dyDescent="0.25">
      <c r="B167" s="9" t="s">
        <v>269</v>
      </c>
      <c r="C167" s="71" t="e">
        <f>'C3.Y losslG,nearllC'!AE23</f>
        <v>#NUM!</v>
      </c>
      <c r="D167" s="71"/>
      <c r="E167" s="71"/>
    </row>
    <row r="169" spans="2:5" ht="45" x14ac:dyDescent="0.25">
      <c r="B169" s="67" t="s">
        <v>1470</v>
      </c>
      <c r="C169" s="2" t="s">
        <v>1471</v>
      </c>
    </row>
    <row r="170" spans="2:5" ht="30" x14ac:dyDescent="0.25">
      <c r="B170" s="67"/>
      <c r="C170" s="3" t="s">
        <v>1404</v>
      </c>
    </row>
    <row r="171" spans="2:5" x14ac:dyDescent="0.25">
      <c r="B171" s="67"/>
      <c r="C171" s="4" t="s">
        <v>1072</v>
      </c>
    </row>
    <row r="172" spans="2:5" x14ac:dyDescent="0.25">
      <c r="B172" s="5" t="s">
        <v>1001</v>
      </c>
      <c r="C172" s="11" t="e">
        <f>'C3.Z losslG,nearllR'!$AE$34:$AE$34</f>
        <v>#VALUE!</v>
      </c>
    </row>
    <row r="173" spans="2:5" x14ac:dyDescent="0.25">
      <c r="B173" s="5" t="s">
        <v>1002</v>
      </c>
      <c r="C173" s="11" t="e">
        <f>'C3.Z losslG,nearllR'!$AE$35:$AE$35</f>
        <v>#VALUE!</v>
      </c>
    </row>
    <row r="174" spans="2:5" x14ac:dyDescent="0.25">
      <c r="B174" s="7" t="s">
        <v>258</v>
      </c>
      <c r="C174" s="12" t="e">
        <f>'C3.Z losslG,nearllR'!$AE$36:$AE$36</f>
        <v>#VALUE!</v>
      </c>
    </row>
    <row r="175" spans="2:5" x14ac:dyDescent="0.25">
      <c r="B175" t="s">
        <v>268</v>
      </c>
      <c r="C175" s="6" t="e">
        <f>'C3.Z losslG,nearllR'!Z40</f>
        <v>#NUM!</v>
      </c>
    </row>
    <row r="176" spans="2:5" x14ac:dyDescent="0.25">
      <c r="B176" s="9" t="s">
        <v>269</v>
      </c>
      <c r="C176" s="10" t="e">
        <f>'C3.Z losslG,nearllR'!AA40</f>
        <v>#NUM!</v>
      </c>
    </row>
  </sheetData>
  <mergeCells count="64">
    <mergeCell ref="C166:E166"/>
    <mergeCell ref="C167:E167"/>
    <mergeCell ref="B169:B171"/>
    <mergeCell ref="C144:E144"/>
    <mergeCell ref="B146:B148"/>
    <mergeCell ref="B153:B155"/>
    <mergeCell ref="B162:B164"/>
    <mergeCell ref="C162:E162"/>
    <mergeCell ref="C163:E163"/>
    <mergeCell ref="C137:E137"/>
    <mergeCell ref="B139:B141"/>
    <mergeCell ref="C139:E139"/>
    <mergeCell ref="C140:D140"/>
    <mergeCell ref="C143:E143"/>
    <mergeCell ref="C130:D130"/>
    <mergeCell ref="B132:B134"/>
    <mergeCell ref="C132:E132"/>
    <mergeCell ref="C133:D133"/>
    <mergeCell ref="C136:E136"/>
    <mergeCell ref="C123:D123"/>
    <mergeCell ref="B125:B127"/>
    <mergeCell ref="C125:D125"/>
    <mergeCell ref="C126:D126"/>
    <mergeCell ref="C129:D129"/>
    <mergeCell ref="B109:B111"/>
    <mergeCell ref="B116:B118"/>
    <mergeCell ref="C116:D116"/>
    <mergeCell ref="C117:D117"/>
    <mergeCell ref="C122:D122"/>
    <mergeCell ref="B102:B104"/>
    <mergeCell ref="C102:E102"/>
    <mergeCell ref="C103:E103"/>
    <mergeCell ref="C106:E106"/>
    <mergeCell ref="C107:E107"/>
    <mergeCell ref="C70:G70"/>
    <mergeCell ref="C71:G71"/>
    <mergeCell ref="B73:B75"/>
    <mergeCell ref="B82:B84"/>
    <mergeCell ref="B93:B95"/>
    <mergeCell ref="C61:G61"/>
    <mergeCell ref="C62:G62"/>
    <mergeCell ref="B64:B66"/>
    <mergeCell ref="C64:G64"/>
    <mergeCell ref="C65:D65"/>
    <mergeCell ref="E65:G65"/>
    <mergeCell ref="C32:E32"/>
    <mergeCell ref="C33:E33"/>
    <mergeCell ref="B37:B39"/>
    <mergeCell ref="B46:B48"/>
    <mergeCell ref="B55:B57"/>
    <mergeCell ref="C55:G55"/>
    <mergeCell ref="C56:D56"/>
    <mergeCell ref="E56:G56"/>
    <mergeCell ref="C22:E22"/>
    <mergeCell ref="C23:E23"/>
    <mergeCell ref="B25:B27"/>
    <mergeCell ref="C25:E25"/>
    <mergeCell ref="C26:E26"/>
    <mergeCell ref="C1:E1"/>
    <mergeCell ref="C2:E2"/>
    <mergeCell ref="B6:B8"/>
    <mergeCell ref="B16:B18"/>
    <mergeCell ref="C16:E16"/>
    <mergeCell ref="C17:E17"/>
  </mergeCells>
  <conditionalFormatting sqref="C105">
    <cfRule type="cellIs" dxfId="221" priority="49" operator="greaterThanOrEqual">
      <formula>0.03</formula>
    </cfRule>
    <cfRule type="cellIs" dxfId="220" priority="50" operator="lessThanOrEqual">
      <formula>-0.03</formula>
    </cfRule>
  </conditionalFormatting>
  <conditionalFormatting sqref="C112">
    <cfRule type="cellIs" dxfId="219" priority="51" operator="greaterThanOrEqual">
      <formula>0.03</formula>
    </cfRule>
    <cfRule type="cellIs" dxfId="218" priority="52" operator="lessThanOrEqual">
      <formula>-0.03</formula>
    </cfRule>
  </conditionalFormatting>
  <conditionalFormatting sqref="C119 C120 C121">
    <cfRule type="cellIs" dxfId="217" priority="55" operator="greaterThanOrEqual">
      <formula>0.03</formula>
    </cfRule>
    <cfRule type="cellIs" dxfId="216" priority="56" operator="lessThanOrEqual">
      <formula>-0.03</formula>
    </cfRule>
  </conditionalFormatting>
  <conditionalFormatting sqref="C128">
    <cfRule type="cellIs" dxfId="215" priority="59" operator="greaterThanOrEqual">
      <formula>0.03</formula>
    </cfRule>
    <cfRule type="cellIs" dxfId="214" priority="60" operator="lessThanOrEqual">
      <formula>-0.03</formula>
    </cfRule>
  </conditionalFormatting>
  <conditionalFormatting sqref="C135">
    <cfRule type="cellIs" dxfId="213" priority="61" operator="greaterThanOrEqual">
      <formula>0.03</formula>
    </cfRule>
    <cfRule type="cellIs" dxfId="212" priority="62" operator="lessThanOrEqual">
      <formula>-0.03</formula>
    </cfRule>
  </conditionalFormatting>
  <conditionalFormatting sqref="C142">
    <cfRule type="cellIs" dxfId="211" priority="67" operator="greaterThanOrEqual">
      <formula>0.03</formula>
    </cfRule>
    <cfRule type="cellIs" dxfId="210" priority="68" operator="lessThanOrEqual">
      <formula>-0.03</formula>
    </cfRule>
  </conditionalFormatting>
  <conditionalFormatting sqref="C149">
    <cfRule type="cellIs" dxfId="209" priority="73" operator="greaterThanOrEqual">
      <formula>1.03</formula>
    </cfRule>
    <cfRule type="cellIs" dxfId="208" priority="74" operator="lessThanOrEqual">
      <formula>0.97</formula>
    </cfRule>
  </conditionalFormatting>
  <conditionalFormatting sqref="C156 C157 C158">
    <cfRule type="cellIs" dxfId="207" priority="75" operator="greaterThanOrEqual">
      <formula>1.03</formula>
    </cfRule>
    <cfRule type="cellIs" dxfId="206" priority="76" operator="lessThanOrEqual">
      <formula>0.97</formula>
    </cfRule>
  </conditionalFormatting>
  <conditionalFormatting sqref="C165">
    <cfRule type="cellIs" dxfId="205" priority="77" operator="greaterThanOrEqual">
      <formula>0.03</formula>
    </cfRule>
    <cfRule type="cellIs" dxfId="204" priority="78" operator="lessThanOrEqual">
      <formula>-0.03</formula>
    </cfRule>
  </conditionalFormatting>
  <conditionalFormatting sqref="C172 C173 C174">
    <cfRule type="cellIs" dxfId="203" priority="83" operator="greaterThanOrEqual">
      <formula>0.03</formula>
    </cfRule>
    <cfRule type="cellIs" dxfId="202" priority="84" operator="lessThanOrEqual">
      <formula>-0.03</formula>
    </cfRule>
  </conditionalFormatting>
  <conditionalFormatting sqref="C19 C20 C21">
    <cfRule type="cellIs" dxfId="201" priority="7" operator="greaterThanOrEqual">
      <formula>0.03</formula>
    </cfRule>
    <cfRule type="cellIs" dxfId="200" priority="8" operator="lessThanOrEqual">
      <formula>-0.03</formula>
    </cfRule>
  </conditionalFormatting>
  <conditionalFormatting sqref="C28 C29 C30 C31">
    <cfRule type="cellIs" dxfId="199" priority="13" operator="greaterThanOrEqual">
      <formula>0.03</formula>
    </cfRule>
    <cfRule type="cellIs" dxfId="198" priority="14" operator="lessThanOrEqual">
      <formula>-0.03</formula>
    </cfRule>
  </conditionalFormatting>
  <conditionalFormatting sqref="C40 C41 C42">
    <cfRule type="cellIs" dxfId="197" priority="15" operator="greaterThanOrEqual">
      <formula>1.03</formula>
    </cfRule>
    <cfRule type="cellIs" dxfId="196" priority="16" operator="lessThanOrEqual">
      <formula>0.97</formula>
    </cfRule>
  </conditionalFormatting>
  <conditionalFormatting sqref="C49 C50 C51">
    <cfRule type="cellIs" dxfId="195" priority="17" operator="greaterThanOrEqual">
      <formula>1.03</formula>
    </cfRule>
    <cfRule type="cellIs" dxfId="194" priority="18" operator="lessThanOrEqual">
      <formula>0.97</formula>
    </cfRule>
  </conditionalFormatting>
  <conditionalFormatting sqref="C58 C59 C60">
    <cfRule type="cellIs" dxfId="193" priority="25" operator="greaterThanOrEqual">
      <formula>0.03</formula>
    </cfRule>
    <cfRule type="cellIs" dxfId="192" priority="26" operator="lessThanOrEqual">
      <formula>-0.03</formula>
    </cfRule>
  </conditionalFormatting>
  <conditionalFormatting sqref="C67 C68 C69">
    <cfRule type="cellIs" dxfId="191" priority="31" operator="greaterThanOrEqual">
      <formula>0.03</formula>
    </cfRule>
    <cfRule type="cellIs" dxfId="190" priority="32" operator="lessThanOrEqual">
      <formula>-0.03</formula>
    </cfRule>
  </conditionalFormatting>
  <conditionalFormatting sqref="C76 C77 C78">
    <cfRule type="cellIs" dxfId="189" priority="39" operator="greaterThanOrEqual">
      <formula>1.03</formula>
    </cfRule>
    <cfRule type="cellIs" dxfId="188" priority="40" operator="lessThanOrEqual">
      <formula>0.97</formula>
    </cfRule>
  </conditionalFormatting>
  <conditionalFormatting sqref="C85 C86 C87">
    <cfRule type="cellIs" dxfId="187" priority="41" operator="greaterThanOrEqual">
      <formula>1.03</formula>
    </cfRule>
    <cfRule type="cellIs" dxfId="186" priority="42" operator="lessThanOrEqual">
      <formula>0.97</formula>
    </cfRule>
  </conditionalFormatting>
  <conditionalFormatting sqref="C9 C10 C11 C12">
    <cfRule type="cellIs" dxfId="185" priority="1" operator="greaterThanOrEqual">
      <formula>1.03</formula>
    </cfRule>
    <cfRule type="cellIs" dxfId="184" priority="2" operator="lessThanOrEqual">
      <formula>0.97</formula>
    </cfRule>
  </conditionalFormatting>
  <conditionalFormatting sqref="C96 C97 C98">
    <cfRule type="cellIs" dxfId="183" priority="43" operator="greaterThanOrEqual">
      <formula>1.03</formula>
    </cfRule>
    <cfRule type="cellIs" dxfId="182" priority="44" operator="lessThanOrEqual">
      <formula>0.97</formula>
    </cfRule>
  </conditionalFormatting>
  <conditionalFormatting sqref="D105">
    <cfRule type="cellIs" dxfId="181" priority="47" operator="greaterThanOrEqual">
      <formula>0.03</formula>
    </cfRule>
    <cfRule type="cellIs" dxfId="180" priority="48" operator="lessThanOrEqual">
      <formula>-0.03</formula>
    </cfRule>
  </conditionalFormatting>
  <conditionalFormatting sqref="D119 D120 D121">
    <cfRule type="cellIs" dxfId="179" priority="53" operator="greaterThanOrEqual">
      <formula>0.03</formula>
    </cfRule>
    <cfRule type="cellIs" dxfId="178" priority="54" operator="lessThanOrEqual">
      <formula>-0.03</formula>
    </cfRule>
  </conditionalFormatting>
  <conditionalFormatting sqref="D128">
    <cfRule type="cellIs" dxfId="177" priority="57" operator="greaterThanOrEqual">
      <formula>0.03</formula>
    </cfRule>
    <cfRule type="cellIs" dxfId="176" priority="58" operator="lessThanOrEqual">
      <formula>-0.03</formula>
    </cfRule>
  </conditionalFormatting>
  <conditionalFormatting sqref="D135">
    <cfRule type="cellIs" dxfId="175" priority="65" operator="greaterThanOrEqual">
      <formula>0.03</formula>
    </cfRule>
    <cfRule type="cellIs" dxfId="174" priority="66" operator="lessThanOrEqual">
      <formula>-0.03</formula>
    </cfRule>
  </conditionalFormatting>
  <conditionalFormatting sqref="D142">
    <cfRule type="cellIs" dxfId="173" priority="71" operator="greaterThanOrEqual">
      <formula>0.03</formula>
    </cfRule>
    <cfRule type="cellIs" dxfId="172" priority="72" operator="lessThanOrEqual">
      <formula>-0.03</formula>
    </cfRule>
  </conditionalFormatting>
  <conditionalFormatting sqref="D165">
    <cfRule type="cellIs" dxfId="171" priority="79" operator="greaterThanOrEqual">
      <formula>0.03</formula>
    </cfRule>
    <cfRule type="cellIs" dxfId="170" priority="80" operator="lessThanOrEqual">
      <formula>-0.03</formula>
    </cfRule>
  </conditionalFormatting>
  <conditionalFormatting sqref="D19 D20 D21">
    <cfRule type="cellIs" dxfId="169" priority="3" operator="greaterThanOrEqual">
      <formula>0.03</formula>
    </cfRule>
    <cfRule type="cellIs" dxfId="168" priority="4" operator="lessThanOrEqual">
      <formula>-0.03</formula>
    </cfRule>
  </conditionalFormatting>
  <conditionalFormatting sqref="D28 D29 D30 D31">
    <cfRule type="cellIs" dxfId="167" priority="9" operator="greaterThanOrEqual">
      <formula>0.03</formula>
    </cfRule>
    <cfRule type="cellIs" dxfId="166" priority="10" operator="lessThanOrEqual">
      <formula>-0.03</formula>
    </cfRule>
  </conditionalFormatting>
  <conditionalFormatting sqref="D58 D59 D60">
    <cfRule type="cellIs" dxfId="165" priority="23" operator="greaterThanOrEqual">
      <formula>0.03</formula>
    </cfRule>
    <cfRule type="cellIs" dxfId="164" priority="24" operator="lessThanOrEqual">
      <formula>-0.03</formula>
    </cfRule>
  </conditionalFormatting>
  <conditionalFormatting sqref="D67 D68 D69">
    <cfRule type="cellIs" dxfId="163" priority="37" operator="greaterThanOrEqual">
      <formula>0.03</formula>
    </cfRule>
    <cfRule type="cellIs" dxfId="162" priority="38" operator="lessThanOrEqual">
      <formula>-0.03</formula>
    </cfRule>
  </conditionalFormatting>
  <conditionalFormatting sqref="E105">
    <cfRule type="cellIs" dxfId="161" priority="45" operator="greaterThanOrEqual">
      <formula>0.03</formula>
    </cfRule>
    <cfRule type="cellIs" dxfId="160" priority="46" operator="lessThanOrEqual">
      <formula>-0.03</formula>
    </cfRule>
  </conditionalFormatting>
  <conditionalFormatting sqref="E135">
    <cfRule type="cellIs" dxfId="159" priority="63" operator="greaterThanOrEqual">
      <formula>0.03</formula>
    </cfRule>
    <cfRule type="cellIs" dxfId="158" priority="64" operator="lessThanOrEqual">
      <formula>-0.03</formula>
    </cfRule>
  </conditionalFormatting>
  <conditionalFormatting sqref="E142">
    <cfRule type="cellIs" dxfId="157" priority="69" operator="greaterThanOrEqual">
      <formula>0.03</formula>
    </cfRule>
    <cfRule type="cellIs" dxfId="156" priority="70" operator="lessThanOrEqual">
      <formula>-0.03</formula>
    </cfRule>
  </conditionalFormatting>
  <conditionalFormatting sqref="E165">
    <cfRule type="cellIs" dxfId="155" priority="81" operator="greaterThanOrEqual">
      <formula>0.03</formula>
    </cfRule>
    <cfRule type="cellIs" dxfId="154" priority="82" operator="lessThanOrEqual">
      <formula>-0.03</formula>
    </cfRule>
  </conditionalFormatting>
  <conditionalFormatting sqref="E19 E20 E21">
    <cfRule type="cellIs" dxfId="153" priority="5" operator="greaterThanOrEqual">
      <formula>0.03</formula>
    </cfRule>
    <cfRule type="cellIs" dxfId="152" priority="6" operator="lessThanOrEqual">
      <formula>-0.03</formula>
    </cfRule>
  </conditionalFormatting>
  <conditionalFormatting sqref="E28 E29 E30 E31">
    <cfRule type="cellIs" dxfId="151" priority="11" operator="greaterThanOrEqual">
      <formula>0.03</formula>
    </cfRule>
    <cfRule type="cellIs" dxfId="150" priority="12" operator="lessThanOrEqual">
      <formula>-0.03</formula>
    </cfRule>
  </conditionalFormatting>
  <conditionalFormatting sqref="E58 E59 E60">
    <cfRule type="cellIs" dxfId="149" priority="21" operator="greaterThanOrEqual">
      <formula>0.03</formula>
    </cfRule>
    <cfRule type="cellIs" dxfId="148" priority="22" operator="lessThanOrEqual">
      <formula>-0.03</formula>
    </cfRule>
  </conditionalFormatting>
  <conditionalFormatting sqref="E67 E68 E69">
    <cfRule type="cellIs" dxfId="147" priority="35" operator="greaterThanOrEqual">
      <formula>0.03</formula>
    </cfRule>
    <cfRule type="cellIs" dxfId="146" priority="36" operator="lessThanOrEqual">
      <formula>-0.03</formula>
    </cfRule>
  </conditionalFormatting>
  <conditionalFormatting sqref="F58 F59 F60">
    <cfRule type="cellIs" dxfId="145" priority="27" operator="greaterThanOrEqual">
      <formula>0.03</formula>
    </cfRule>
    <cfRule type="cellIs" dxfId="144" priority="28" operator="lessThanOrEqual">
      <formula>-0.03</formula>
    </cfRule>
  </conditionalFormatting>
  <conditionalFormatting sqref="F67 F68 F69">
    <cfRule type="cellIs" dxfId="143" priority="33" operator="greaterThanOrEqual">
      <formula>0.03</formula>
    </cfRule>
    <cfRule type="cellIs" dxfId="142" priority="34" operator="lessThanOrEqual">
      <formula>-0.03</formula>
    </cfRule>
  </conditionalFormatting>
  <conditionalFormatting sqref="G58 G59 G60">
    <cfRule type="cellIs" dxfId="141" priority="19" operator="greaterThanOrEqual">
      <formula>0.03</formula>
    </cfRule>
    <cfRule type="cellIs" dxfId="140" priority="20" operator="lessThanOrEqual">
      <formula>-0.03</formula>
    </cfRule>
  </conditionalFormatting>
  <conditionalFormatting sqref="G67 G68 G69">
    <cfRule type="cellIs" dxfId="139" priority="29" operator="greaterThanOrEqual">
      <formula>0.03</formula>
    </cfRule>
    <cfRule type="cellIs" dxfId="138" priority="30"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election activeCell="B2" sqref="B2"/>
    </sheetView>
  </sheetViews>
  <sheetFormatPr defaultRowHeight="15" x14ac:dyDescent="0.25"/>
  <cols>
    <col min="1" max="1" width="12.7109375" customWidth="1"/>
    <col min="2" max="2" width="24.7109375" customWidth="1"/>
    <col min="4" max="4" width="24.7109375" customWidth="1"/>
    <col min="9" max="9" width="16.7109375" customWidth="1"/>
  </cols>
  <sheetData>
    <row r="1" spans="1:32" x14ac:dyDescent="0.25">
      <c r="A1" t="s">
        <v>85</v>
      </c>
      <c r="B1" s="15" t="s">
        <v>270</v>
      </c>
      <c r="C1" t="s">
        <v>86</v>
      </c>
      <c r="I1" t="s">
        <v>4</v>
      </c>
      <c r="M1" t="s">
        <v>270</v>
      </c>
      <c r="N1" t="s">
        <v>355</v>
      </c>
      <c r="O1" t="s">
        <v>506</v>
      </c>
      <c r="P1" t="s">
        <v>575</v>
      </c>
      <c r="Q1" t="s">
        <v>652</v>
      </c>
      <c r="R1" t="s">
        <v>740</v>
      </c>
      <c r="S1" t="s">
        <v>826</v>
      </c>
      <c r="T1" t="s">
        <v>877</v>
      </c>
      <c r="U1" t="s">
        <v>950</v>
      </c>
      <c r="V1" t="s">
        <v>1005</v>
      </c>
      <c r="W1" t="s">
        <v>1057</v>
      </c>
      <c r="X1" t="s">
        <v>1104</v>
      </c>
      <c r="Y1" t="s">
        <v>1153</v>
      </c>
      <c r="Z1" t="s">
        <v>1196</v>
      </c>
      <c r="AA1" t="s">
        <v>1242</v>
      </c>
      <c r="AB1" t="s">
        <v>1288</v>
      </c>
      <c r="AC1" t="s">
        <v>1323</v>
      </c>
      <c r="AD1" t="s">
        <v>1368</v>
      </c>
      <c r="AE1" t="s">
        <v>1421</v>
      </c>
      <c r="AF1" t="s">
        <v>1472</v>
      </c>
    </row>
    <row r="2" spans="1:32" x14ac:dyDescent="0.25">
      <c r="A2" t="s">
        <v>87</v>
      </c>
      <c r="B2" s="15" t="s">
        <v>141</v>
      </c>
      <c r="C2" t="s">
        <v>88</v>
      </c>
      <c r="I2" t="s">
        <v>5</v>
      </c>
      <c r="J2" t="s">
        <v>6</v>
      </c>
      <c r="M2" t="s">
        <v>272</v>
      </c>
      <c r="N2" t="s">
        <v>357</v>
      </c>
      <c r="O2" t="s">
        <v>508</v>
      </c>
      <c r="P2" t="s">
        <v>577</v>
      </c>
      <c r="Q2" t="s">
        <v>654</v>
      </c>
      <c r="R2" t="s">
        <v>742</v>
      </c>
      <c r="S2" t="s">
        <v>828</v>
      </c>
      <c r="T2" t="s">
        <v>879</v>
      </c>
      <c r="U2" t="s">
        <v>952</v>
      </c>
      <c r="V2" t="s">
        <v>1007</v>
      </c>
      <c r="W2" t="s">
        <v>1059</v>
      </c>
      <c r="X2" t="s">
        <v>1106</v>
      </c>
      <c r="Y2" t="s">
        <v>1155</v>
      </c>
      <c r="Z2" t="s">
        <v>1198</v>
      </c>
      <c r="AA2" t="s">
        <v>1244</v>
      </c>
      <c r="AB2" t="s">
        <v>1290</v>
      </c>
      <c r="AC2" t="s">
        <v>1325</v>
      </c>
      <c r="AD2" t="s">
        <v>1370</v>
      </c>
      <c r="AE2" t="s">
        <v>1423</v>
      </c>
      <c r="AF2" t="s">
        <v>1474</v>
      </c>
    </row>
    <row r="3" spans="1:32" x14ac:dyDescent="0.25">
      <c r="I3" t="s">
        <v>7</v>
      </c>
      <c r="J3" t="s">
        <v>8</v>
      </c>
      <c r="M3" t="s">
        <v>141</v>
      </c>
      <c r="N3" t="s">
        <v>147</v>
      </c>
      <c r="O3" t="s">
        <v>141</v>
      </c>
      <c r="P3" t="s">
        <v>554</v>
      </c>
      <c r="Q3" t="s">
        <v>554</v>
      </c>
      <c r="R3" t="s">
        <v>554</v>
      </c>
      <c r="S3" t="s">
        <v>554</v>
      </c>
      <c r="T3" t="s">
        <v>554</v>
      </c>
      <c r="U3" t="s">
        <v>554</v>
      </c>
      <c r="V3" t="s">
        <v>981</v>
      </c>
      <c r="W3" t="s">
        <v>981</v>
      </c>
      <c r="X3" t="s">
        <v>981</v>
      </c>
      <c r="Y3" t="s">
        <v>981</v>
      </c>
      <c r="Z3" t="s">
        <v>991</v>
      </c>
      <c r="AA3" t="s">
        <v>991</v>
      </c>
      <c r="AB3" t="s">
        <v>991</v>
      </c>
      <c r="AC3" t="s">
        <v>981</v>
      </c>
      <c r="AD3" t="s">
        <v>981</v>
      </c>
      <c r="AE3" t="s">
        <v>981</v>
      </c>
      <c r="AF3" t="s">
        <v>981</v>
      </c>
    </row>
    <row r="4" spans="1:32" x14ac:dyDescent="0.25">
      <c r="A4" t="s">
        <v>89</v>
      </c>
      <c r="B4" s="15" t="s">
        <v>73</v>
      </c>
      <c r="C4" t="s">
        <v>90</v>
      </c>
      <c r="D4" s="15" t="s">
        <v>15</v>
      </c>
      <c r="E4" t="s">
        <v>91</v>
      </c>
      <c r="I4" t="s">
        <v>9</v>
      </c>
      <c r="J4" t="s">
        <v>10</v>
      </c>
      <c r="M4" t="s">
        <v>144</v>
      </c>
      <c r="N4" t="s">
        <v>153</v>
      </c>
      <c r="O4" t="s">
        <v>144</v>
      </c>
      <c r="P4" t="s">
        <v>557</v>
      </c>
      <c r="Q4" t="s">
        <v>557</v>
      </c>
      <c r="R4" t="s">
        <v>557</v>
      </c>
      <c r="S4" t="s">
        <v>557</v>
      </c>
      <c r="T4" t="s">
        <v>557</v>
      </c>
      <c r="U4" t="s">
        <v>557</v>
      </c>
      <c r="V4" t="s">
        <v>984</v>
      </c>
      <c r="W4" t="s">
        <v>984</v>
      </c>
      <c r="X4" t="s">
        <v>984</v>
      </c>
      <c r="Y4" t="s">
        <v>984</v>
      </c>
      <c r="Z4" t="s">
        <v>994</v>
      </c>
      <c r="AA4" t="s">
        <v>994</v>
      </c>
      <c r="AB4" t="s">
        <v>994</v>
      </c>
      <c r="AC4" t="s">
        <v>984</v>
      </c>
      <c r="AD4" t="s">
        <v>984</v>
      </c>
      <c r="AE4" t="s">
        <v>984</v>
      </c>
      <c r="AF4" t="s">
        <v>984</v>
      </c>
    </row>
    <row r="5" spans="1:32" x14ac:dyDescent="0.25">
      <c r="A5" t="s">
        <v>89</v>
      </c>
      <c r="B5" s="15" t="s">
        <v>73</v>
      </c>
      <c r="C5" t="s">
        <v>90</v>
      </c>
      <c r="D5" s="15" t="s">
        <v>19</v>
      </c>
      <c r="E5" t="s">
        <v>92</v>
      </c>
      <c r="I5" t="s">
        <v>11</v>
      </c>
      <c r="J5" t="s">
        <v>12</v>
      </c>
      <c r="M5" t="s">
        <v>147</v>
      </c>
      <c r="N5" t="s">
        <v>159</v>
      </c>
      <c r="O5" t="s">
        <v>147</v>
      </c>
      <c r="P5" t="s">
        <v>560</v>
      </c>
      <c r="Q5" t="s">
        <v>560</v>
      </c>
      <c r="R5" t="s">
        <v>560</v>
      </c>
      <c r="S5" t="s">
        <v>560</v>
      </c>
      <c r="T5" t="s">
        <v>560</v>
      </c>
      <c r="U5" t="s">
        <v>560</v>
      </c>
      <c r="V5" t="s">
        <v>987</v>
      </c>
      <c r="W5" t="s">
        <v>987</v>
      </c>
      <c r="X5" t="s">
        <v>987</v>
      </c>
      <c r="Y5" t="s">
        <v>987</v>
      </c>
      <c r="Z5" t="s">
        <v>997</v>
      </c>
      <c r="AA5" t="s">
        <v>997</v>
      </c>
      <c r="AB5" t="s">
        <v>997</v>
      </c>
      <c r="AC5" t="s">
        <v>987</v>
      </c>
      <c r="AD5" t="s">
        <v>987</v>
      </c>
      <c r="AE5" t="s">
        <v>987</v>
      </c>
      <c r="AF5" t="s">
        <v>987</v>
      </c>
    </row>
    <row r="6" spans="1:32" x14ac:dyDescent="0.25">
      <c r="A6" t="s">
        <v>89</v>
      </c>
      <c r="B6" s="15" t="s">
        <v>73</v>
      </c>
      <c r="C6" t="s">
        <v>90</v>
      </c>
      <c r="D6" s="15" t="s">
        <v>47</v>
      </c>
      <c r="E6" t="s">
        <v>93</v>
      </c>
      <c r="I6" t="s">
        <v>13</v>
      </c>
      <c r="J6" t="s">
        <v>14</v>
      </c>
      <c r="M6" t="s">
        <v>150</v>
      </c>
      <c r="N6" t="s">
        <v>162</v>
      </c>
      <c r="O6" t="s">
        <v>150</v>
      </c>
      <c r="P6" t="s">
        <v>563</v>
      </c>
      <c r="Q6" t="s">
        <v>563</v>
      </c>
      <c r="R6" t="s">
        <v>563</v>
      </c>
      <c r="S6" t="s">
        <v>563</v>
      </c>
      <c r="T6" t="s">
        <v>563</v>
      </c>
      <c r="U6" t="s">
        <v>563</v>
      </c>
      <c r="V6" t="s">
        <v>991</v>
      </c>
      <c r="Y6" t="s">
        <v>991</v>
      </c>
      <c r="AD6" t="s">
        <v>991</v>
      </c>
      <c r="AF6" t="s">
        <v>991</v>
      </c>
    </row>
    <row r="7" spans="1:32" x14ac:dyDescent="0.25">
      <c r="A7" t="s">
        <v>89</v>
      </c>
      <c r="B7" s="15" t="s">
        <v>73</v>
      </c>
      <c r="C7" t="s">
        <v>90</v>
      </c>
      <c r="D7" s="15" t="s">
        <v>7</v>
      </c>
      <c r="E7" t="s">
        <v>94</v>
      </c>
      <c r="I7" t="s">
        <v>15</v>
      </c>
      <c r="J7" t="s">
        <v>16</v>
      </c>
      <c r="M7" t="s">
        <v>153</v>
      </c>
      <c r="N7" t="s">
        <v>322</v>
      </c>
      <c r="O7" t="s">
        <v>153</v>
      </c>
      <c r="P7" t="s">
        <v>567</v>
      </c>
      <c r="Q7" t="s">
        <v>567</v>
      </c>
      <c r="R7" t="s">
        <v>567</v>
      </c>
      <c r="S7" t="s">
        <v>567</v>
      </c>
      <c r="T7" t="s">
        <v>567</v>
      </c>
      <c r="U7" t="s">
        <v>567</v>
      </c>
      <c r="V7" t="s">
        <v>994</v>
      </c>
      <c r="Y7" t="s">
        <v>994</v>
      </c>
      <c r="AD7" t="s">
        <v>994</v>
      </c>
      <c r="AF7" t="s">
        <v>994</v>
      </c>
    </row>
    <row r="8" spans="1:32" x14ac:dyDescent="0.25">
      <c r="A8" t="s">
        <v>89</v>
      </c>
      <c r="B8" s="15" t="s">
        <v>73</v>
      </c>
      <c r="C8" t="s">
        <v>90</v>
      </c>
      <c r="D8" s="15" t="s">
        <v>11</v>
      </c>
      <c r="E8" t="s">
        <v>95</v>
      </c>
      <c r="I8" t="s">
        <v>17</v>
      </c>
      <c r="J8" t="s">
        <v>18</v>
      </c>
      <c r="M8" t="s">
        <v>156</v>
      </c>
      <c r="N8" t="s">
        <v>171</v>
      </c>
      <c r="O8" t="s">
        <v>156</v>
      </c>
      <c r="V8" t="s">
        <v>997</v>
      </c>
      <c r="Y8" t="s">
        <v>997</v>
      </c>
      <c r="AD8" t="s">
        <v>997</v>
      </c>
      <c r="AF8" t="s">
        <v>997</v>
      </c>
    </row>
    <row r="9" spans="1:32" x14ac:dyDescent="0.25">
      <c r="A9" t="s">
        <v>89</v>
      </c>
      <c r="B9" s="15" t="s">
        <v>73</v>
      </c>
      <c r="C9" t="s">
        <v>90</v>
      </c>
      <c r="D9" s="15" t="s">
        <v>37</v>
      </c>
      <c r="E9" t="s">
        <v>96</v>
      </c>
      <c r="I9" t="s">
        <v>19</v>
      </c>
      <c r="J9" t="s">
        <v>20</v>
      </c>
      <c r="M9" t="s">
        <v>159</v>
      </c>
      <c r="N9" t="s">
        <v>177</v>
      </c>
      <c r="O9" t="s">
        <v>159</v>
      </c>
    </row>
    <row r="10" spans="1:32" x14ac:dyDescent="0.25">
      <c r="I10" t="s">
        <v>21</v>
      </c>
      <c r="J10" t="s">
        <v>22</v>
      </c>
      <c r="M10" t="s">
        <v>162</v>
      </c>
      <c r="N10" t="s">
        <v>180</v>
      </c>
      <c r="O10" t="s">
        <v>162</v>
      </c>
    </row>
    <row r="11" spans="1:32" x14ac:dyDescent="0.25">
      <c r="I11" t="s">
        <v>23</v>
      </c>
      <c r="J11" t="s">
        <v>24</v>
      </c>
      <c r="M11" t="s">
        <v>165</v>
      </c>
      <c r="N11" t="s">
        <v>183</v>
      </c>
      <c r="O11" t="s">
        <v>165</v>
      </c>
    </row>
    <row r="12" spans="1:32" x14ac:dyDescent="0.25">
      <c r="I12" t="s">
        <v>25</v>
      </c>
      <c r="J12" t="s">
        <v>26</v>
      </c>
      <c r="M12" t="s">
        <v>168</v>
      </c>
      <c r="N12" t="s">
        <v>186</v>
      </c>
      <c r="O12" t="s">
        <v>168</v>
      </c>
    </row>
    <row r="13" spans="1:32" x14ac:dyDescent="0.25">
      <c r="I13" t="s">
        <v>27</v>
      </c>
      <c r="J13" t="s">
        <v>28</v>
      </c>
      <c r="M13" t="s">
        <v>171</v>
      </c>
      <c r="N13" t="s">
        <v>195</v>
      </c>
      <c r="O13" t="s">
        <v>171</v>
      </c>
    </row>
    <row r="14" spans="1:32" x14ac:dyDescent="0.25">
      <c r="I14" t="s">
        <v>29</v>
      </c>
      <c r="J14" t="s">
        <v>30</v>
      </c>
      <c r="M14" t="s">
        <v>174</v>
      </c>
      <c r="N14" t="s">
        <v>202</v>
      </c>
      <c r="O14" t="s">
        <v>174</v>
      </c>
    </row>
    <row r="15" spans="1:32" x14ac:dyDescent="0.25">
      <c r="I15" t="s">
        <v>31</v>
      </c>
      <c r="J15" t="s">
        <v>32</v>
      </c>
      <c r="M15" t="s">
        <v>177</v>
      </c>
      <c r="N15" t="s">
        <v>208</v>
      </c>
      <c r="O15" t="s">
        <v>177</v>
      </c>
    </row>
    <row r="16" spans="1:32" x14ac:dyDescent="0.25">
      <c r="I16" t="s">
        <v>33</v>
      </c>
      <c r="J16" t="s">
        <v>34</v>
      </c>
      <c r="M16" t="s">
        <v>180</v>
      </c>
      <c r="N16" t="s">
        <v>214</v>
      </c>
      <c r="O16" t="s">
        <v>180</v>
      </c>
    </row>
    <row r="17" spans="9:15" x14ac:dyDescent="0.25">
      <c r="I17" t="s">
        <v>35</v>
      </c>
      <c r="J17" t="s">
        <v>36</v>
      </c>
      <c r="M17" t="s">
        <v>183</v>
      </c>
      <c r="N17" t="s">
        <v>223</v>
      </c>
      <c r="O17" t="s">
        <v>183</v>
      </c>
    </row>
    <row r="18" spans="9:15" x14ac:dyDescent="0.25">
      <c r="I18" t="s">
        <v>37</v>
      </c>
      <c r="J18" t="s">
        <v>38</v>
      </c>
      <c r="M18" t="s">
        <v>186</v>
      </c>
      <c r="N18" t="s">
        <v>226</v>
      </c>
      <c r="O18" t="s">
        <v>186</v>
      </c>
    </row>
    <row r="19" spans="9:15" x14ac:dyDescent="0.25">
      <c r="I19" t="s">
        <v>39</v>
      </c>
      <c r="J19" t="s">
        <v>40</v>
      </c>
      <c r="M19" t="s">
        <v>189</v>
      </c>
      <c r="O19" t="s">
        <v>189</v>
      </c>
    </row>
    <row r="20" spans="9:15" x14ac:dyDescent="0.25">
      <c r="I20" t="s">
        <v>41</v>
      </c>
      <c r="J20" t="s">
        <v>42</v>
      </c>
      <c r="M20" t="s">
        <v>192</v>
      </c>
      <c r="O20" t="s">
        <v>192</v>
      </c>
    </row>
    <row r="21" spans="9:15" x14ac:dyDescent="0.25">
      <c r="I21" t="s">
        <v>43</v>
      </c>
      <c r="J21" t="s">
        <v>44</v>
      </c>
      <c r="M21" t="s">
        <v>195</v>
      </c>
      <c r="O21" t="s">
        <v>195</v>
      </c>
    </row>
    <row r="22" spans="9:15" x14ac:dyDescent="0.25">
      <c r="I22" t="s">
        <v>45</v>
      </c>
      <c r="J22" t="s">
        <v>46</v>
      </c>
      <c r="M22" t="s">
        <v>198</v>
      </c>
      <c r="O22" t="s">
        <v>198</v>
      </c>
    </row>
    <row r="23" spans="9:15" x14ac:dyDescent="0.25">
      <c r="I23" t="s">
        <v>47</v>
      </c>
      <c r="J23" t="s">
        <v>48</v>
      </c>
      <c r="M23" t="s">
        <v>202</v>
      </c>
      <c r="O23" t="s">
        <v>202</v>
      </c>
    </row>
    <row r="24" spans="9:15" x14ac:dyDescent="0.25">
      <c r="I24" t="s">
        <v>49</v>
      </c>
      <c r="J24" t="s">
        <v>50</v>
      </c>
      <c r="M24" t="s">
        <v>205</v>
      </c>
      <c r="O24" t="s">
        <v>205</v>
      </c>
    </row>
    <row r="25" spans="9:15" x14ac:dyDescent="0.25">
      <c r="I25" t="s">
        <v>51</v>
      </c>
      <c r="J25" t="s">
        <v>52</v>
      </c>
      <c r="M25" t="s">
        <v>208</v>
      </c>
      <c r="O25" t="s">
        <v>208</v>
      </c>
    </row>
    <row r="26" spans="9:15" x14ac:dyDescent="0.25">
      <c r="I26" t="s">
        <v>53</v>
      </c>
      <c r="J26" t="s">
        <v>54</v>
      </c>
      <c r="M26" t="s">
        <v>211</v>
      </c>
      <c r="O26" t="s">
        <v>211</v>
      </c>
    </row>
    <row r="27" spans="9:15" x14ac:dyDescent="0.25">
      <c r="I27" t="s">
        <v>55</v>
      </c>
      <c r="J27" t="s">
        <v>56</v>
      </c>
      <c r="M27" t="s">
        <v>214</v>
      </c>
      <c r="O27" t="s">
        <v>214</v>
      </c>
    </row>
    <row r="28" spans="9:15" x14ac:dyDescent="0.25">
      <c r="I28" t="s">
        <v>57</v>
      </c>
      <c r="J28" t="s">
        <v>58</v>
      </c>
      <c r="M28" t="s">
        <v>217</v>
      </c>
      <c r="O28" t="s">
        <v>217</v>
      </c>
    </row>
    <row r="29" spans="9:15" x14ac:dyDescent="0.25">
      <c r="I29" t="s">
        <v>59</v>
      </c>
      <c r="J29" t="s">
        <v>60</v>
      </c>
      <c r="M29" t="s">
        <v>220</v>
      </c>
      <c r="O29" t="s">
        <v>220</v>
      </c>
    </row>
    <row r="30" spans="9:15" x14ac:dyDescent="0.25">
      <c r="I30" t="s">
        <v>61</v>
      </c>
      <c r="J30" t="s">
        <v>62</v>
      </c>
      <c r="M30" t="s">
        <v>223</v>
      </c>
      <c r="O30" t="s">
        <v>223</v>
      </c>
    </row>
    <row r="31" spans="9:15" x14ac:dyDescent="0.25">
      <c r="I31" t="s">
        <v>63</v>
      </c>
      <c r="J31" t="s">
        <v>64</v>
      </c>
      <c r="M31" t="s">
        <v>226</v>
      </c>
      <c r="O31" t="s">
        <v>226</v>
      </c>
    </row>
    <row r="32" spans="9:15" x14ac:dyDescent="0.25">
      <c r="I32" t="s">
        <v>65</v>
      </c>
      <c r="J32" t="s">
        <v>66</v>
      </c>
      <c r="M32" t="s">
        <v>230</v>
      </c>
      <c r="O32" t="s">
        <v>230</v>
      </c>
    </row>
    <row r="33" spans="9:15" x14ac:dyDescent="0.25">
      <c r="I33" t="s">
        <v>67</v>
      </c>
      <c r="J33" t="s">
        <v>68</v>
      </c>
      <c r="M33" t="s">
        <v>233</v>
      </c>
      <c r="O33" t="s">
        <v>233</v>
      </c>
    </row>
    <row r="34" spans="9:15" x14ac:dyDescent="0.25">
      <c r="I34" t="s">
        <v>69</v>
      </c>
      <c r="J34" t="s">
        <v>70</v>
      </c>
      <c r="M34" t="s">
        <v>236</v>
      </c>
      <c r="O34" t="s">
        <v>236</v>
      </c>
    </row>
    <row r="35" spans="9:15" x14ac:dyDescent="0.25">
      <c r="I35" t="s">
        <v>71</v>
      </c>
      <c r="J35" t="s">
        <v>72</v>
      </c>
      <c r="M35" t="s">
        <v>239</v>
      </c>
      <c r="O35" t="s">
        <v>239</v>
      </c>
    </row>
    <row r="36" spans="9:15" x14ac:dyDescent="0.25">
      <c r="I36" t="s">
        <v>73</v>
      </c>
      <c r="J36" t="s">
        <v>74</v>
      </c>
      <c r="M36" t="s">
        <v>242</v>
      </c>
      <c r="O36" t="s">
        <v>242</v>
      </c>
    </row>
    <row r="37" spans="9:15" x14ac:dyDescent="0.25">
      <c r="I37" t="s">
        <v>75</v>
      </c>
      <c r="J37" t="s">
        <v>76</v>
      </c>
      <c r="M37" t="s">
        <v>245</v>
      </c>
      <c r="O37" t="s">
        <v>245</v>
      </c>
    </row>
    <row r="38" spans="9:15" x14ac:dyDescent="0.25">
      <c r="I38" t="s">
        <v>77</v>
      </c>
      <c r="J38" t="s">
        <v>78</v>
      </c>
      <c r="M38" t="s">
        <v>248</v>
      </c>
      <c r="O38" t="s">
        <v>248</v>
      </c>
    </row>
    <row r="39" spans="9:15" x14ac:dyDescent="0.25">
      <c r="I39" t="s">
        <v>79</v>
      </c>
      <c r="J39" t="s">
        <v>80</v>
      </c>
      <c r="M39" t="s">
        <v>251</v>
      </c>
      <c r="O39" t="s">
        <v>251</v>
      </c>
    </row>
    <row r="40" spans="9:15" x14ac:dyDescent="0.25">
      <c r="I40" t="s">
        <v>81</v>
      </c>
      <c r="J40" t="s">
        <v>82</v>
      </c>
    </row>
    <row r="41" spans="9:15" x14ac:dyDescent="0.25">
      <c r="I41" t="s">
        <v>83</v>
      </c>
      <c r="J41" t="s">
        <v>84</v>
      </c>
    </row>
  </sheetData>
  <conditionalFormatting sqref="B2">
    <cfRule type="expression" dxfId="137" priority="1">
      <formula>ISNA(MATCH(B2,OFFSET(M:M,2,MATCH(B1,M1:ZZ1,0)-1,COUNTA(INDEX(M:ZZ,,MATCH(B1,M1:ZZ1,0)))-2),0))</formula>
    </cfRule>
  </conditionalFormatting>
  <conditionalFormatting sqref="B4 D4 B5 D5 B6 D6 B7 D7 B8 D8 B9 D9">
    <cfRule type="expression" dxfId="136" priority="2">
      <formula>ISNA(MATCH(B4,filter_cols,0))</formula>
    </cfRule>
  </conditionalFormatting>
  <dataValidations count="3">
    <dataValidation type="list" allowBlank="1" showInputMessage="1" showErrorMessage="1" sqref="B1">
      <formula1>OFFSET(1:1,0,COLUMN(M1)-1,1,COUNTA(M1:ZZ1))</formula1>
    </dataValidation>
    <dataValidation type="list" allowBlank="1" showInputMessage="1" showErrorMessage="1" sqref="B2">
      <formula1>OFFSET(M:M,2,MATCH(B1,M1:ZZ1,0)-1,COUNTA(INDEX(M:ZZ,,MATCH(B1,M1:ZZ1,0)))-2)</formula1>
    </dataValidation>
    <dataValidation type="list" allowBlank="1" showInputMessage="1" showErrorMessage="1" sqref="B4:B9 D4:D9">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B48"/>
  <sheetViews>
    <sheetView zoomScale="85" zoomScaleNormal="85" workbookViewId="0">
      <pane xSplit="2" topLeftCell="C1" activePane="topRight" state="frozen"/>
      <selection pane="topRight" sqref="A1:D1"/>
    </sheetView>
  </sheetViews>
  <sheetFormatPr defaultRowHeight="15" outlineLevelRow="2" x14ac:dyDescent="0.25"/>
  <cols>
    <col min="2" max="2" width="24.7109375" customWidth="1"/>
    <col min="3" max="4" width="10.7109375" customWidth="1"/>
    <col min="5" max="5" width="1.7109375" customWidth="1"/>
    <col min="7" max="8" width="10.7109375" customWidth="1"/>
    <col min="9" max="9" width="12.7109375" customWidth="1"/>
    <col min="10" max="10" width="10.7109375" customWidth="1"/>
    <col min="11" max="12" width="12.7109375" customWidth="1"/>
    <col min="15" max="15" width="1.7109375" customWidth="1"/>
    <col min="17" max="18" width="10.7109375" customWidth="1"/>
    <col min="19" max="19" width="12.7109375" customWidth="1"/>
    <col min="20" max="20" width="10.7109375" customWidth="1"/>
    <col min="21" max="22" width="12.7109375" customWidth="1"/>
    <col min="25" max="25" width="1.7109375" customWidth="1"/>
    <col min="29" max="29" width="1.7109375" customWidth="1"/>
  </cols>
  <sheetData>
    <row r="1" spans="1:28" x14ac:dyDescent="0.25">
      <c r="A1" s="76" t="s">
        <v>136</v>
      </c>
      <c r="B1" s="76"/>
      <c r="C1" s="76"/>
      <c r="D1" s="76"/>
      <c r="F1" s="65" t="s">
        <v>2</v>
      </c>
      <c r="G1" s="65"/>
      <c r="H1" s="65"/>
      <c r="I1" s="65"/>
      <c r="J1" s="65"/>
      <c r="K1" s="65"/>
      <c r="L1" s="65"/>
      <c r="M1" s="65"/>
      <c r="N1" s="65"/>
      <c r="P1" s="66" t="s">
        <v>3</v>
      </c>
      <c r="Q1" s="66"/>
      <c r="R1" s="66"/>
      <c r="S1" s="66"/>
      <c r="T1" s="66"/>
      <c r="U1" s="66"/>
      <c r="V1" s="66"/>
      <c r="W1" s="66"/>
      <c r="X1" s="66"/>
    </row>
    <row r="2" spans="1:28" ht="30" customHeight="1" x14ac:dyDescent="0.25">
      <c r="A2" s="75" t="s">
        <v>97</v>
      </c>
      <c r="B2" s="73" t="s">
        <v>99</v>
      </c>
      <c r="C2" s="75" t="s">
        <v>101</v>
      </c>
      <c r="D2" s="73" t="s">
        <v>103</v>
      </c>
      <c r="F2" s="75" t="s">
        <v>105</v>
      </c>
      <c r="G2" s="77" t="s">
        <v>107</v>
      </c>
      <c r="H2" s="77"/>
      <c r="I2" s="75" t="s">
        <v>112</v>
      </c>
      <c r="J2" s="73" t="s">
        <v>26</v>
      </c>
      <c r="K2" s="74" t="s">
        <v>115</v>
      </c>
      <c r="L2" s="74"/>
      <c r="M2" s="73" t="s">
        <v>118</v>
      </c>
      <c r="N2" s="75" t="s">
        <v>120</v>
      </c>
      <c r="P2" s="73" t="s">
        <v>105</v>
      </c>
      <c r="Q2" s="74" t="s">
        <v>107</v>
      </c>
      <c r="R2" s="74"/>
      <c r="S2" s="73" t="s">
        <v>112</v>
      </c>
      <c r="T2" s="75" t="s">
        <v>26</v>
      </c>
      <c r="U2" s="77" t="s">
        <v>115</v>
      </c>
      <c r="V2" s="77"/>
      <c r="W2" s="75" t="s">
        <v>118</v>
      </c>
      <c r="X2" s="73" t="s">
        <v>120</v>
      </c>
      <c r="Z2" s="75" t="s">
        <v>131</v>
      </c>
      <c r="AA2" s="73" t="s">
        <v>133</v>
      </c>
      <c r="AB2" s="75" t="s">
        <v>133</v>
      </c>
    </row>
    <row r="3" spans="1:28" x14ac:dyDescent="0.25">
      <c r="A3" s="75"/>
      <c r="B3" s="73"/>
      <c r="C3" s="75"/>
      <c r="D3" s="73"/>
      <c r="F3" s="75"/>
      <c r="G3" s="17" t="s">
        <v>108</v>
      </c>
      <c r="H3" s="17" t="s">
        <v>110</v>
      </c>
      <c r="I3" s="75"/>
      <c r="J3" s="73"/>
      <c r="K3" s="16" t="s">
        <v>108</v>
      </c>
      <c r="L3" s="16" t="s">
        <v>110</v>
      </c>
      <c r="M3" s="73"/>
      <c r="N3" s="75"/>
      <c r="P3" s="73"/>
      <c r="Q3" s="16" t="s">
        <v>108</v>
      </c>
      <c r="R3" s="16" t="s">
        <v>110</v>
      </c>
      <c r="S3" s="73"/>
      <c r="T3" s="75"/>
      <c r="U3" s="17" t="s">
        <v>108</v>
      </c>
      <c r="V3" s="17" t="s">
        <v>110</v>
      </c>
      <c r="W3" s="75"/>
      <c r="X3" s="73"/>
      <c r="Z3" s="75"/>
      <c r="AA3" s="73"/>
      <c r="AB3" s="75"/>
    </row>
    <row r="4" spans="1:28" collapsed="1" x14ac:dyDescent="0.25">
      <c r="A4" s="18" t="s">
        <v>201</v>
      </c>
      <c r="B4" s="18" t="s">
        <v>141</v>
      </c>
      <c r="C4" s="18">
        <v>1481746</v>
      </c>
      <c r="D4" s="19">
        <v>12</v>
      </c>
      <c r="F4" s="20" t="str">
        <f t="shared" ref="F4:F40" si="0">IF(ISBLANK(K4),"·",K4/(C4*D4*3))</f>
        <v>·</v>
      </c>
      <c r="G4" s="21" t="str">
        <f t="shared" ref="G4:G40" si="1">IF(ISBLANK(K4),"·",K4/C4)</f>
        <v>·</v>
      </c>
      <c r="H4" s="21" t="str">
        <f t="shared" ref="H4:H40" si="2">IF(L4="","·",L4/C4)</f>
        <v>·</v>
      </c>
      <c r="I4" s="21" t="str">
        <f t="shared" ref="I4:I40" si="3">IF(ISBLANK(K4),"·",K4/J4)</f>
        <v>·</v>
      </c>
      <c r="J4" s="22"/>
      <c r="K4" s="23"/>
      <c r="L4" s="23"/>
      <c r="M4" s="24"/>
      <c r="N4" s="24"/>
      <c r="P4" s="20" t="str">
        <f t="shared" ref="P4:P40" si="4">IF(ISBLANK(U4),"·",U4/(C4*D4*3))</f>
        <v>·</v>
      </c>
      <c r="Q4" s="21" t="str">
        <f t="shared" ref="Q4:Q40" si="5">IF(ISBLANK(U4),"·",U4/C4)</f>
        <v>·</v>
      </c>
      <c r="R4" s="21" t="str">
        <f t="shared" ref="R4:R40" si="6">IF(V4="","·",V4/C4)</f>
        <v>·</v>
      </c>
      <c r="S4" s="21" t="str">
        <f t="shared" ref="S4:S40" si="7">IF(ISBLANK(U4),"·",U4/T4)</f>
        <v>·</v>
      </c>
      <c r="T4" s="22"/>
      <c r="U4" s="23"/>
      <c r="V4" s="23"/>
      <c r="W4" s="24"/>
      <c r="X4" s="24"/>
      <c r="Z4" s="20" t="e">
        <f t="shared" ref="Z4:Z44" si="8">Q4/G4</f>
        <v>#VALUE!</v>
      </c>
      <c r="AA4" s="20" t="e">
        <f t="shared" ref="AA4:AA40" si="9">(V4/U4) - (L4/K4)</f>
        <v>#DIV/0!</v>
      </c>
      <c r="AB4" s="20" t="e">
        <f t="array" ref="AB4">AVERAGE(V4:V4/U4:U4) - AVERAGE(L4:L4/K4:K4)</f>
        <v>#DIV/0!</v>
      </c>
    </row>
    <row r="5" spans="1:28" collapsed="1" x14ac:dyDescent="0.25">
      <c r="A5" s="25"/>
      <c r="B5" s="25" t="s">
        <v>144</v>
      </c>
      <c r="C5" s="25">
        <v>1530552</v>
      </c>
      <c r="D5" s="26">
        <v>20</v>
      </c>
      <c r="F5" s="27" t="str">
        <f t="shared" si="0"/>
        <v>·</v>
      </c>
      <c r="G5" s="28" t="str">
        <f t="shared" si="1"/>
        <v>·</v>
      </c>
      <c r="H5" s="28" t="str">
        <f t="shared" si="2"/>
        <v>·</v>
      </c>
      <c r="I5" s="28" t="str">
        <f t="shared" si="3"/>
        <v>·</v>
      </c>
      <c r="J5" s="29"/>
      <c r="K5" s="30"/>
      <c r="L5" s="30"/>
      <c r="M5" s="31"/>
      <c r="N5" s="31"/>
      <c r="P5" s="27" t="str">
        <f t="shared" si="4"/>
        <v>·</v>
      </c>
      <c r="Q5" s="28" t="str">
        <f t="shared" si="5"/>
        <v>·</v>
      </c>
      <c r="R5" s="28" t="str">
        <f t="shared" si="6"/>
        <v>·</v>
      </c>
      <c r="S5" s="28" t="str">
        <f t="shared" si="7"/>
        <v>·</v>
      </c>
      <c r="T5" s="29"/>
      <c r="U5" s="30"/>
      <c r="V5" s="30"/>
      <c r="W5" s="31"/>
      <c r="X5" s="31"/>
      <c r="Z5" s="27" t="e">
        <f t="shared" si="8"/>
        <v>#VALUE!</v>
      </c>
      <c r="AA5" s="27" t="e">
        <f t="shared" si="9"/>
        <v>#DIV/0!</v>
      </c>
      <c r="AB5" s="27" t="e">
        <f t="array" ref="AB5">AVERAGE(V5:V5/U5:U5) - AVERAGE(L5:L5/K5:K5)</f>
        <v>#DIV/0!</v>
      </c>
    </row>
    <row r="6" spans="1:28" collapsed="1" x14ac:dyDescent="0.25">
      <c r="A6" s="18"/>
      <c r="B6" s="18" t="s">
        <v>147</v>
      </c>
      <c r="C6" s="18">
        <v>272684</v>
      </c>
      <c r="D6" s="19">
        <v>12</v>
      </c>
      <c r="F6" s="20" t="str">
        <f t="shared" si="0"/>
        <v>·</v>
      </c>
      <c r="G6" s="21" t="str">
        <f t="shared" si="1"/>
        <v>·</v>
      </c>
      <c r="H6" s="21" t="str">
        <f t="shared" si="2"/>
        <v>·</v>
      </c>
      <c r="I6" s="21" t="str">
        <f t="shared" si="3"/>
        <v>·</v>
      </c>
      <c r="J6" s="22"/>
      <c r="K6" s="23"/>
      <c r="L6" s="23"/>
      <c r="M6" s="24"/>
      <c r="N6" s="24"/>
      <c r="P6" s="20" t="str">
        <f t="shared" si="4"/>
        <v>·</v>
      </c>
      <c r="Q6" s="21" t="str">
        <f t="shared" si="5"/>
        <v>·</v>
      </c>
      <c r="R6" s="21" t="str">
        <f t="shared" si="6"/>
        <v>·</v>
      </c>
      <c r="S6" s="21" t="str">
        <f t="shared" si="7"/>
        <v>·</v>
      </c>
      <c r="T6" s="22"/>
      <c r="U6" s="23"/>
      <c r="V6" s="23"/>
      <c r="W6" s="24"/>
      <c r="X6" s="24"/>
      <c r="Z6" s="20" t="e">
        <f t="shared" si="8"/>
        <v>#VALUE!</v>
      </c>
      <c r="AA6" s="20" t="e">
        <f t="shared" si="9"/>
        <v>#DIV/0!</v>
      </c>
      <c r="AB6" s="20" t="e">
        <f t="array" ref="AB6">AVERAGE(V6:V6/U6:U6) - AVERAGE(L6:L6/K6:K6)</f>
        <v>#DIV/0!</v>
      </c>
    </row>
    <row r="7" spans="1:28" collapsed="1" x14ac:dyDescent="0.25">
      <c r="A7" s="25"/>
      <c r="B7" s="25" t="s">
        <v>150</v>
      </c>
      <c r="C7" s="25">
        <v>272689</v>
      </c>
      <c r="D7" s="26">
        <v>20</v>
      </c>
      <c r="F7" s="27" t="str">
        <f t="shared" si="0"/>
        <v>·</v>
      </c>
      <c r="G7" s="28" t="str">
        <f t="shared" si="1"/>
        <v>·</v>
      </c>
      <c r="H7" s="28" t="str">
        <f t="shared" si="2"/>
        <v>·</v>
      </c>
      <c r="I7" s="28" t="str">
        <f t="shared" si="3"/>
        <v>·</v>
      </c>
      <c r="J7" s="29"/>
      <c r="K7" s="30"/>
      <c r="L7" s="30"/>
      <c r="M7" s="31"/>
      <c r="N7" s="31"/>
      <c r="P7" s="27" t="str">
        <f t="shared" si="4"/>
        <v>·</v>
      </c>
      <c r="Q7" s="28" t="str">
        <f t="shared" si="5"/>
        <v>·</v>
      </c>
      <c r="R7" s="28" t="str">
        <f t="shared" si="6"/>
        <v>·</v>
      </c>
      <c r="S7" s="28" t="str">
        <f t="shared" si="7"/>
        <v>·</v>
      </c>
      <c r="T7" s="29"/>
      <c r="U7" s="30"/>
      <c r="V7" s="30"/>
      <c r="W7" s="31"/>
      <c r="X7" s="31"/>
      <c r="Z7" s="27" t="e">
        <f t="shared" si="8"/>
        <v>#VALUE!</v>
      </c>
      <c r="AA7" s="27" t="e">
        <f t="shared" si="9"/>
        <v>#DIV/0!</v>
      </c>
      <c r="AB7" s="27" t="e">
        <f t="array" ref="AB7">AVERAGE(V7:V7/U7:U7) - AVERAGE(L7:L7/K7:K7)</f>
        <v>#DIV/0!</v>
      </c>
    </row>
    <row r="8" spans="1:28" collapsed="1" x14ac:dyDescent="0.25">
      <c r="A8" s="18"/>
      <c r="B8" s="18" t="s">
        <v>153</v>
      </c>
      <c r="C8" s="18">
        <v>1596085</v>
      </c>
      <c r="D8" s="19">
        <v>12</v>
      </c>
      <c r="F8" s="20" t="str">
        <f t="shared" si="0"/>
        <v>·</v>
      </c>
      <c r="G8" s="21" t="str">
        <f t="shared" si="1"/>
        <v>·</v>
      </c>
      <c r="H8" s="21" t="str">
        <f t="shared" si="2"/>
        <v>·</v>
      </c>
      <c r="I8" s="21" t="str">
        <f t="shared" si="3"/>
        <v>·</v>
      </c>
      <c r="J8" s="22"/>
      <c r="K8" s="23"/>
      <c r="L8" s="23"/>
      <c r="M8" s="24"/>
      <c r="N8" s="24"/>
      <c r="P8" s="20" t="str">
        <f t="shared" si="4"/>
        <v>·</v>
      </c>
      <c r="Q8" s="21" t="str">
        <f t="shared" si="5"/>
        <v>·</v>
      </c>
      <c r="R8" s="21" t="str">
        <f t="shared" si="6"/>
        <v>·</v>
      </c>
      <c r="S8" s="21" t="str">
        <f t="shared" si="7"/>
        <v>·</v>
      </c>
      <c r="T8" s="22"/>
      <c r="U8" s="23"/>
      <c r="V8" s="23"/>
      <c r="W8" s="24"/>
      <c r="X8" s="24"/>
      <c r="Z8" s="20" t="e">
        <f t="shared" si="8"/>
        <v>#VALUE!</v>
      </c>
      <c r="AA8" s="20" t="e">
        <f t="shared" si="9"/>
        <v>#DIV/0!</v>
      </c>
      <c r="AB8" s="20" t="e">
        <f t="array" ref="AB8">AVERAGE(V8:V8/U8:U8) - AVERAGE(L8:L8/K8:K8)</f>
        <v>#DIV/0!</v>
      </c>
    </row>
    <row r="9" spans="1:28" collapsed="1" x14ac:dyDescent="0.25">
      <c r="A9" s="25"/>
      <c r="B9" s="25" t="s">
        <v>156</v>
      </c>
      <c r="C9" s="25">
        <v>1602990</v>
      </c>
      <c r="D9" s="26">
        <v>20</v>
      </c>
      <c r="F9" s="27" t="str">
        <f t="shared" si="0"/>
        <v>·</v>
      </c>
      <c r="G9" s="28" t="str">
        <f t="shared" si="1"/>
        <v>·</v>
      </c>
      <c r="H9" s="28" t="str">
        <f t="shared" si="2"/>
        <v>·</v>
      </c>
      <c r="I9" s="28" t="str">
        <f t="shared" si="3"/>
        <v>·</v>
      </c>
      <c r="J9" s="29"/>
      <c r="K9" s="30"/>
      <c r="L9" s="30"/>
      <c r="M9" s="31"/>
      <c r="N9" s="31"/>
      <c r="P9" s="27" t="str">
        <f t="shared" si="4"/>
        <v>·</v>
      </c>
      <c r="Q9" s="28" t="str">
        <f t="shared" si="5"/>
        <v>·</v>
      </c>
      <c r="R9" s="28" t="str">
        <f t="shared" si="6"/>
        <v>·</v>
      </c>
      <c r="S9" s="28" t="str">
        <f t="shared" si="7"/>
        <v>·</v>
      </c>
      <c r="T9" s="29"/>
      <c r="U9" s="30"/>
      <c r="V9" s="30"/>
      <c r="W9" s="31"/>
      <c r="X9" s="31"/>
      <c r="Z9" s="27" t="e">
        <f t="shared" si="8"/>
        <v>#VALUE!</v>
      </c>
      <c r="AA9" s="27" t="e">
        <f t="shared" si="9"/>
        <v>#DIV/0!</v>
      </c>
      <c r="AB9" s="27" t="e">
        <f t="array" ref="AB9">AVERAGE(V9:V9/U9:U9) - AVERAGE(L9:L9/K9:K9)</f>
        <v>#DIV/0!</v>
      </c>
    </row>
    <row r="10" spans="1:28" collapsed="1" x14ac:dyDescent="0.25">
      <c r="A10" s="18"/>
      <c r="B10" s="18" t="s">
        <v>159</v>
      </c>
      <c r="C10" s="18">
        <v>8907880</v>
      </c>
      <c r="D10" s="19">
        <v>14</v>
      </c>
      <c r="F10" s="20" t="str">
        <f t="shared" si="0"/>
        <v>·</v>
      </c>
      <c r="G10" s="21" t="str">
        <f t="shared" si="1"/>
        <v>·</v>
      </c>
      <c r="H10" s="21" t="str">
        <f t="shared" si="2"/>
        <v>·</v>
      </c>
      <c r="I10" s="21" t="str">
        <f t="shared" si="3"/>
        <v>·</v>
      </c>
      <c r="J10" s="22"/>
      <c r="K10" s="23"/>
      <c r="L10" s="23"/>
      <c r="M10" s="24"/>
      <c r="N10" s="24"/>
      <c r="P10" s="20" t="str">
        <f t="shared" si="4"/>
        <v>·</v>
      </c>
      <c r="Q10" s="21" t="str">
        <f t="shared" si="5"/>
        <v>·</v>
      </c>
      <c r="R10" s="21" t="str">
        <f t="shared" si="6"/>
        <v>·</v>
      </c>
      <c r="S10" s="21" t="str">
        <f t="shared" si="7"/>
        <v>·</v>
      </c>
      <c r="T10" s="22"/>
      <c r="U10" s="23"/>
      <c r="V10" s="23"/>
      <c r="W10" s="24"/>
      <c r="X10" s="24"/>
      <c r="Z10" s="20" t="e">
        <f t="shared" si="8"/>
        <v>#VALUE!</v>
      </c>
      <c r="AA10" s="20" t="e">
        <f t="shared" si="9"/>
        <v>#DIV/0!</v>
      </c>
      <c r="AB10" s="20" t="e">
        <f t="array" ref="AB10">AVERAGE(V10:V10/U10:U10) - AVERAGE(L10:L10/K10:K10)</f>
        <v>#DIV/0!</v>
      </c>
    </row>
    <row r="11" spans="1:28" collapsed="1" x14ac:dyDescent="0.25">
      <c r="A11" s="25"/>
      <c r="B11" s="25" t="s">
        <v>162</v>
      </c>
      <c r="C11" s="25">
        <v>8929532</v>
      </c>
      <c r="D11" s="26">
        <v>20</v>
      </c>
      <c r="F11" s="27" t="str">
        <f t="shared" si="0"/>
        <v>·</v>
      </c>
      <c r="G11" s="28" t="str">
        <f t="shared" si="1"/>
        <v>·</v>
      </c>
      <c r="H11" s="28" t="str">
        <f t="shared" si="2"/>
        <v>·</v>
      </c>
      <c r="I11" s="28" t="str">
        <f t="shared" si="3"/>
        <v>·</v>
      </c>
      <c r="J11" s="29"/>
      <c r="K11" s="30"/>
      <c r="L11" s="30"/>
      <c r="M11" s="31"/>
      <c r="N11" s="31"/>
      <c r="P11" s="27" t="str">
        <f t="shared" si="4"/>
        <v>·</v>
      </c>
      <c r="Q11" s="28" t="str">
        <f t="shared" si="5"/>
        <v>·</v>
      </c>
      <c r="R11" s="28" t="str">
        <f t="shared" si="6"/>
        <v>·</v>
      </c>
      <c r="S11" s="28" t="str">
        <f t="shared" si="7"/>
        <v>·</v>
      </c>
      <c r="T11" s="29"/>
      <c r="U11" s="30"/>
      <c r="V11" s="30"/>
      <c r="W11" s="31"/>
      <c r="X11" s="31"/>
      <c r="Z11" s="27" t="e">
        <f t="shared" si="8"/>
        <v>#VALUE!</v>
      </c>
      <c r="AA11" s="27" t="e">
        <f t="shared" si="9"/>
        <v>#DIV/0!</v>
      </c>
      <c r="AB11" s="27" t="e">
        <f t="array" ref="AB11">AVERAGE(V11:V11/U11:U11) - AVERAGE(L11:L11/K11:K11)</f>
        <v>#DIV/0!</v>
      </c>
    </row>
    <row r="12" spans="1:28" collapsed="1" x14ac:dyDescent="0.25">
      <c r="A12" s="18"/>
      <c r="B12" s="18" t="s">
        <v>165</v>
      </c>
      <c r="C12" s="18">
        <v>19702134</v>
      </c>
      <c r="D12" s="19">
        <v>14</v>
      </c>
      <c r="F12" s="20" t="str">
        <f t="shared" si="0"/>
        <v>·</v>
      </c>
      <c r="G12" s="21" t="str">
        <f t="shared" si="1"/>
        <v>·</v>
      </c>
      <c r="H12" s="21" t="str">
        <f t="shared" si="2"/>
        <v>·</v>
      </c>
      <c r="I12" s="21" t="str">
        <f t="shared" si="3"/>
        <v>·</v>
      </c>
      <c r="J12" s="22"/>
      <c r="K12" s="23"/>
      <c r="L12" s="23"/>
      <c r="M12" s="24"/>
      <c r="N12" s="24"/>
      <c r="P12" s="20" t="str">
        <f t="shared" si="4"/>
        <v>·</v>
      </c>
      <c r="Q12" s="21" t="str">
        <f t="shared" si="5"/>
        <v>·</v>
      </c>
      <c r="R12" s="21" t="str">
        <f t="shared" si="6"/>
        <v>·</v>
      </c>
      <c r="S12" s="21" t="str">
        <f t="shared" si="7"/>
        <v>·</v>
      </c>
      <c r="T12" s="22"/>
      <c r="U12" s="23"/>
      <c r="V12" s="23"/>
      <c r="W12" s="24"/>
      <c r="X12" s="24"/>
      <c r="Z12" s="20" t="e">
        <f t="shared" si="8"/>
        <v>#VALUE!</v>
      </c>
      <c r="AA12" s="20" t="e">
        <f t="shared" si="9"/>
        <v>#DIV/0!</v>
      </c>
      <c r="AB12" s="20" t="e">
        <f t="array" ref="AB12">AVERAGE(V12:V12/U12:U12) - AVERAGE(L12:L12/K12:K12)</f>
        <v>#DIV/0!</v>
      </c>
    </row>
    <row r="13" spans="1:28" collapsed="1" x14ac:dyDescent="0.25">
      <c r="A13" s="25"/>
      <c r="B13" s="25" t="s">
        <v>168</v>
      </c>
      <c r="C13" s="25">
        <v>19714629</v>
      </c>
      <c r="D13" s="26">
        <v>20</v>
      </c>
      <c r="F13" s="27" t="str">
        <f t="shared" si="0"/>
        <v>·</v>
      </c>
      <c r="G13" s="28" t="str">
        <f t="shared" si="1"/>
        <v>·</v>
      </c>
      <c r="H13" s="28" t="str">
        <f t="shared" si="2"/>
        <v>·</v>
      </c>
      <c r="I13" s="28" t="str">
        <f t="shared" si="3"/>
        <v>·</v>
      </c>
      <c r="J13" s="29"/>
      <c r="K13" s="30"/>
      <c r="L13" s="30"/>
      <c r="M13" s="31"/>
      <c r="N13" s="31"/>
      <c r="P13" s="27" t="str">
        <f t="shared" si="4"/>
        <v>·</v>
      </c>
      <c r="Q13" s="28" t="str">
        <f t="shared" si="5"/>
        <v>·</v>
      </c>
      <c r="R13" s="28" t="str">
        <f t="shared" si="6"/>
        <v>·</v>
      </c>
      <c r="S13" s="28" t="str">
        <f t="shared" si="7"/>
        <v>·</v>
      </c>
      <c r="T13" s="29"/>
      <c r="U13" s="30"/>
      <c r="V13" s="30"/>
      <c r="W13" s="31"/>
      <c r="X13" s="31"/>
      <c r="Z13" s="27" t="e">
        <f t="shared" si="8"/>
        <v>#VALUE!</v>
      </c>
      <c r="AA13" s="27" t="e">
        <f t="shared" si="9"/>
        <v>#DIV/0!</v>
      </c>
      <c r="AB13" s="27" t="e">
        <f t="array" ref="AB13">AVERAGE(V13:V13/U13:U13) - AVERAGE(L13:L13/K13:K13)</f>
        <v>#DIV/0!</v>
      </c>
    </row>
    <row r="14" spans="1:28" collapsed="1" x14ac:dyDescent="0.25">
      <c r="A14" s="18"/>
      <c r="B14" s="18" t="s">
        <v>171</v>
      </c>
      <c r="C14" s="18">
        <v>3614251</v>
      </c>
      <c r="D14" s="19">
        <v>12</v>
      </c>
      <c r="F14" s="20" t="str">
        <f t="shared" si="0"/>
        <v>·</v>
      </c>
      <c r="G14" s="21" t="str">
        <f t="shared" si="1"/>
        <v>·</v>
      </c>
      <c r="H14" s="21" t="str">
        <f t="shared" si="2"/>
        <v>·</v>
      </c>
      <c r="I14" s="21" t="str">
        <f t="shared" si="3"/>
        <v>·</v>
      </c>
      <c r="J14" s="22"/>
      <c r="K14" s="23"/>
      <c r="L14" s="23"/>
      <c r="M14" s="24"/>
      <c r="N14" s="24"/>
      <c r="P14" s="20" t="str">
        <f t="shared" si="4"/>
        <v>·</v>
      </c>
      <c r="Q14" s="21" t="str">
        <f t="shared" si="5"/>
        <v>·</v>
      </c>
      <c r="R14" s="21" t="str">
        <f t="shared" si="6"/>
        <v>·</v>
      </c>
      <c r="S14" s="21" t="str">
        <f t="shared" si="7"/>
        <v>·</v>
      </c>
      <c r="T14" s="22"/>
      <c r="U14" s="23"/>
      <c r="V14" s="23"/>
      <c r="W14" s="24"/>
      <c r="X14" s="24"/>
      <c r="Z14" s="20" t="e">
        <f t="shared" si="8"/>
        <v>#VALUE!</v>
      </c>
      <c r="AA14" s="20" t="e">
        <f t="shared" si="9"/>
        <v>#DIV/0!</v>
      </c>
      <c r="AB14" s="20" t="e">
        <f t="array" ref="AB14">AVERAGE(V14:V14/U14:U14) - AVERAGE(L14:L14/K14:K14)</f>
        <v>#DIV/0!</v>
      </c>
    </row>
    <row r="15" spans="1:28" collapsed="1" x14ac:dyDescent="0.25">
      <c r="A15" s="25"/>
      <c r="B15" s="25" t="s">
        <v>174</v>
      </c>
      <c r="C15" s="25">
        <v>3630907</v>
      </c>
      <c r="D15" s="26">
        <v>20</v>
      </c>
      <c r="F15" s="27" t="str">
        <f t="shared" si="0"/>
        <v>·</v>
      </c>
      <c r="G15" s="28" t="str">
        <f t="shared" si="1"/>
        <v>·</v>
      </c>
      <c r="H15" s="28" t="str">
        <f t="shared" si="2"/>
        <v>·</v>
      </c>
      <c r="I15" s="28" t="str">
        <f t="shared" si="3"/>
        <v>·</v>
      </c>
      <c r="J15" s="29"/>
      <c r="K15" s="30"/>
      <c r="L15" s="30"/>
      <c r="M15" s="31"/>
      <c r="N15" s="31"/>
      <c r="P15" s="27" t="str">
        <f t="shared" si="4"/>
        <v>·</v>
      </c>
      <c r="Q15" s="28" t="str">
        <f t="shared" si="5"/>
        <v>·</v>
      </c>
      <c r="R15" s="28" t="str">
        <f t="shared" si="6"/>
        <v>·</v>
      </c>
      <c r="S15" s="28" t="str">
        <f t="shared" si="7"/>
        <v>·</v>
      </c>
      <c r="T15" s="29"/>
      <c r="U15" s="30"/>
      <c r="V15" s="30"/>
      <c r="W15" s="31"/>
      <c r="X15" s="31"/>
      <c r="Z15" s="27" t="e">
        <f t="shared" si="8"/>
        <v>#VALUE!</v>
      </c>
      <c r="AA15" s="27" t="e">
        <f t="shared" si="9"/>
        <v>#DIV/0!</v>
      </c>
      <c r="AB15" s="27" t="e">
        <f t="array" ref="AB15">AVERAGE(V15:V15/U15:U15) - AVERAGE(L15:L15/K15:K15)</f>
        <v>#DIV/0!</v>
      </c>
    </row>
    <row r="16" spans="1:28" collapsed="1" x14ac:dyDescent="0.25">
      <c r="A16" s="18"/>
      <c r="B16" s="18" t="s">
        <v>177</v>
      </c>
      <c r="C16" s="18">
        <v>805285</v>
      </c>
      <c r="D16" s="19">
        <v>10</v>
      </c>
      <c r="F16" s="20" t="str">
        <f t="shared" si="0"/>
        <v>·</v>
      </c>
      <c r="G16" s="21" t="str">
        <f t="shared" si="1"/>
        <v>·</v>
      </c>
      <c r="H16" s="21" t="str">
        <f t="shared" si="2"/>
        <v>·</v>
      </c>
      <c r="I16" s="21" t="str">
        <f t="shared" si="3"/>
        <v>·</v>
      </c>
      <c r="J16" s="22"/>
      <c r="K16" s="23"/>
      <c r="L16" s="23"/>
      <c r="M16" s="24"/>
      <c r="N16" s="24"/>
      <c r="P16" s="20" t="str">
        <f t="shared" si="4"/>
        <v>·</v>
      </c>
      <c r="Q16" s="21" t="str">
        <f t="shared" si="5"/>
        <v>·</v>
      </c>
      <c r="R16" s="21" t="str">
        <f t="shared" si="6"/>
        <v>·</v>
      </c>
      <c r="S16" s="21" t="str">
        <f t="shared" si="7"/>
        <v>·</v>
      </c>
      <c r="T16" s="22"/>
      <c r="U16" s="23"/>
      <c r="V16" s="23"/>
      <c r="W16" s="24"/>
      <c r="X16" s="24"/>
      <c r="Z16" s="20" t="e">
        <f t="shared" si="8"/>
        <v>#VALUE!</v>
      </c>
      <c r="AA16" s="20" t="e">
        <f t="shared" si="9"/>
        <v>#DIV/0!</v>
      </c>
      <c r="AB16" s="20" t="e">
        <f t="array" ref="AB16">AVERAGE(V16:V16/U16:U16) - AVERAGE(L16:L16/K16:K16)</f>
        <v>#DIV/0!</v>
      </c>
    </row>
    <row r="17" spans="1:28" collapsed="1" x14ac:dyDescent="0.25">
      <c r="A17" s="25"/>
      <c r="B17" s="25" t="s">
        <v>180</v>
      </c>
      <c r="C17" s="25">
        <v>1000993</v>
      </c>
      <c r="D17" s="26">
        <v>10</v>
      </c>
      <c r="F17" s="27" t="str">
        <f t="shared" si="0"/>
        <v>·</v>
      </c>
      <c r="G17" s="28" t="str">
        <f t="shared" si="1"/>
        <v>·</v>
      </c>
      <c r="H17" s="28" t="str">
        <f t="shared" si="2"/>
        <v>·</v>
      </c>
      <c r="I17" s="28" t="str">
        <f t="shared" si="3"/>
        <v>·</v>
      </c>
      <c r="J17" s="29"/>
      <c r="K17" s="30"/>
      <c r="L17" s="30"/>
      <c r="M17" s="31"/>
      <c r="N17" s="31"/>
      <c r="P17" s="27" t="str">
        <f t="shared" si="4"/>
        <v>·</v>
      </c>
      <c r="Q17" s="28" t="str">
        <f t="shared" si="5"/>
        <v>·</v>
      </c>
      <c r="R17" s="28" t="str">
        <f t="shared" si="6"/>
        <v>·</v>
      </c>
      <c r="S17" s="28" t="str">
        <f t="shared" si="7"/>
        <v>·</v>
      </c>
      <c r="T17" s="29"/>
      <c r="U17" s="30"/>
      <c r="V17" s="30"/>
      <c r="W17" s="31"/>
      <c r="X17" s="31"/>
      <c r="Z17" s="27" t="e">
        <f t="shared" si="8"/>
        <v>#VALUE!</v>
      </c>
      <c r="AA17" s="27" t="e">
        <f t="shared" si="9"/>
        <v>#DIV/0!</v>
      </c>
      <c r="AB17" s="27" t="e">
        <f t="array" ref="AB17">AVERAGE(V17:V17/U17:U17) - AVERAGE(L17:L17/K17:K17)</f>
        <v>#DIV/0!</v>
      </c>
    </row>
    <row r="18" spans="1:28" collapsed="1" x14ac:dyDescent="0.25">
      <c r="A18" s="18"/>
      <c r="B18" s="18" t="s">
        <v>183</v>
      </c>
      <c r="C18" s="18">
        <v>757691</v>
      </c>
      <c r="D18" s="19">
        <v>10</v>
      </c>
      <c r="F18" s="20" t="str">
        <f t="shared" si="0"/>
        <v>·</v>
      </c>
      <c r="G18" s="21" t="str">
        <f t="shared" si="1"/>
        <v>·</v>
      </c>
      <c r="H18" s="21" t="str">
        <f t="shared" si="2"/>
        <v>·</v>
      </c>
      <c r="I18" s="21" t="str">
        <f t="shared" si="3"/>
        <v>·</v>
      </c>
      <c r="J18" s="22"/>
      <c r="K18" s="23"/>
      <c r="L18" s="23"/>
      <c r="M18" s="24"/>
      <c r="N18" s="24"/>
      <c r="P18" s="20" t="str">
        <f t="shared" si="4"/>
        <v>·</v>
      </c>
      <c r="Q18" s="21" t="str">
        <f t="shared" si="5"/>
        <v>·</v>
      </c>
      <c r="R18" s="21" t="str">
        <f t="shared" si="6"/>
        <v>·</v>
      </c>
      <c r="S18" s="21" t="str">
        <f t="shared" si="7"/>
        <v>·</v>
      </c>
      <c r="T18" s="22"/>
      <c r="U18" s="23"/>
      <c r="V18" s="23"/>
      <c r="W18" s="24"/>
      <c r="X18" s="24"/>
      <c r="Z18" s="20" t="e">
        <f t="shared" si="8"/>
        <v>#VALUE!</v>
      </c>
      <c r="AA18" s="20" t="e">
        <f t="shared" si="9"/>
        <v>#DIV/0!</v>
      </c>
      <c r="AB18" s="20" t="e">
        <f t="array" ref="AB18">AVERAGE(V18:V18/U18:U18) - AVERAGE(L18:L18/K18:K18)</f>
        <v>#DIV/0!</v>
      </c>
    </row>
    <row r="19" spans="1:28" collapsed="1" x14ac:dyDescent="0.25">
      <c r="A19" s="25"/>
      <c r="B19" s="25" t="s">
        <v>186</v>
      </c>
      <c r="C19" s="25">
        <v>1089091</v>
      </c>
      <c r="D19" s="26">
        <v>10</v>
      </c>
      <c r="F19" s="27" t="str">
        <f t="shared" si="0"/>
        <v>·</v>
      </c>
      <c r="G19" s="28" t="str">
        <f t="shared" si="1"/>
        <v>·</v>
      </c>
      <c r="H19" s="28" t="str">
        <f t="shared" si="2"/>
        <v>·</v>
      </c>
      <c r="I19" s="28" t="str">
        <f t="shared" si="3"/>
        <v>·</v>
      </c>
      <c r="J19" s="29"/>
      <c r="K19" s="30"/>
      <c r="L19" s="30"/>
      <c r="M19" s="31"/>
      <c r="N19" s="31"/>
      <c r="P19" s="27" t="str">
        <f t="shared" si="4"/>
        <v>·</v>
      </c>
      <c r="Q19" s="28" t="str">
        <f t="shared" si="5"/>
        <v>·</v>
      </c>
      <c r="R19" s="28" t="str">
        <f t="shared" si="6"/>
        <v>·</v>
      </c>
      <c r="S19" s="28" t="str">
        <f t="shared" si="7"/>
        <v>·</v>
      </c>
      <c r="T19" s="29"/>
      <c r="U19" s="30"/>
      <c r="V19" s="30"/>
      <c r="W19" s="31"/>
      <c r="X19" s="31"/>
      <c r="Z19" s="27" t="e">
        <f t="shared" si="8"/>
        <v>#VALUE!</v>
      </c>
      <c r="AA19" s="27" t="e">
        <f t="shared" si="9"/>
        <v>#DIV/0!</v>
      </c>
      <c r="AB19" s="27" t="e">
        <f t="array" ref="AB19">AVERAGE(V19:V19/U19:U19) - AVERAGE(L19:L19/K19:K19)</f>
        <v>#DIV/0!</v>
      </c>
    </row>
    <row r="20" spans="1:28" collapsed="1" x14ac:dyDescent="0.25">
      <c r="A20" s="18"/>
      <c r="B20" s="18" t="s">
        <v>189</v>
      </c>
      <c r="C20" s="18">
        <v>499660</v>
      </c>
      <c r="D20" s="19">
        <v>12</v>
      </c>
      <c r="F20" s="20" t="str">
        <f t="shared" si="0"/>
        <v>·</v>
      </c>
      <c r="G20" s="21" t="str">
        <f t="shared" si="1"/>
        <v>·</v>
      </c>
      <c r="H20" s="21" t="str">
        <f t="shared" si="2"/>
        <v>·</v>
      </c>
      <c r="I20" s="21" t="str">
        <f t="shared" si="3"/>
        <v>·</v>
      </c>
      <c r="J20" s="22"/>
      <c r="K20" s="23"/>
      <c r="L20" s="23"/>
      <c r="M20" s="24"/>
      <c r="N20" s="24"/>
      <c r="P20" s="20" t="str">
        <f t="shared" si="4"/>
        <v>·</v>
      </c>
      <c r="Q20" s="21" t="str">
        <f t="shared" si="5"/>
        <v>·</v>
      </c>
      <c r="R20" s="21" t="str">
        <f t="shared" si="6"/>
        <v>·</v>
      </c>
      <c r="S20" s="21" t="str">
        <f t="shared" si="7"/>
        <v>·</v>
      </c>
      <c r="T20" s="22"/>
      <c r="U20" s="23"/>
      <c r="V20" s="23"/>
      <c r="W20" s="24"/>
      <c r="X20" s="24"/>
      <c r="Z20" s="20" t="e">
        <f t="shared" si="8"/>
        <v>#VALUE!</v>
      </c>
      <c r="AA20" s="20" t="e">
        <f t="shared" si="9"/>
        <v>#DIV/0!</v>
      </c>
      <c r="AB20" s="20" t="e">
        <f t="array" ref="AB20">AVERAGE(V20:V20/U20:U20) - AVERAGE(L20:L20/K20:K20)</f>
        <v>#DIV/0!</v>
      </c>
    </row>
    <row r="21" spans="1:28" collapsed="1" x14ac:dyDescent="0.25">
      <c r="A21" s="25"/>
      <c r="B21" s="25" t="s">
        <v>192</v>
      </c>
      <c r="C21" s="25">
        <v>499886</v>
      </c>
      <c r="D21" s="26">
        <v>20</v>
      </c>
      <c r="F21" s="27" t="str">
        <f t="shared" si="0"/>
        <v>·</v>
      </c>
      <c r="G21" s="28" t="str">
        <f t="shared" si="1"/>
        <v>·</v>
      </c>
      <c r="H21" s="28" t="str">
        <f t="shared" si="2"/>
        <v>·</v>
      </c>
      <c r="I21" s="28" t="str">
        <f t="shared" si="3"/>
        <v>·</v>
      </c>
      <c r="J21" s="29"/>
      <c r="K21" s="30"/>
      <c r="L21" s="30"/>
      <c r="M21" s="31"/>
      <c r="N21" s="31"/>
      <c r="P21" s="27" t="str">
        <f t="shared" si="4"/>
        <v>·</v>
      </c>
      <c r="Q21" s="28" t="str">
        <f t="shared" si="5"/>
        <v>·</v>
      </c>
      <c r="R21" s="28" t="str">
        <f t="shared" si="6"/>
        <v>·</v>
      </c>
      <c r="S21" s="28" t="str">
        <f t="shared" si="7"/>
        <v>·</v>
      </c>
      <c r="T21" s="29"/>
      <c r="U21" s="30"/>
      <c r="V21" s="30"/>
      <c r="W21" s="31"/>
      <c r="X21" s="31"/>
      <c r="Z21" s="27" t="e">
        <f t="shared" si="8"/>
        <v>#VALUE!</v>
      </c>
      <c r="AA21" s="27" t="e">
        <f t="shared" si="9"/>
        <v>#DIV/0!</v>
      </c>
      <c r="AB21" s="27" t="e">
        <f t="array" ref="AB21">AVERAGE(V21:V21/U21:U21) - AVERAGE(L21:L21/K21:K21)</f>
        <v>#DIV/0!</v>
      </c>
    </row>
    <row r="22" spans="1:28" collapsed="1" x14ac:dyDescent="0.25">
      <c r="A22" s="18"/>
      <c r="B22" s="18" t="s">
        <v>195</v>
      </c>
      <c r="C22" s="18">
        <v>1995189</v>
      </c>
      <c r="D22" s="19">
        <v>13</v>
      </c>
      <c r="F22" s="20" t="str">
        <f t="shared" si="0"/>
        <v>·</v>
      </c>
      <c r="G22" s="21" t="str">
        <f t="shared" si="1"/>
        <v>·</v>
      </c>
      <c r="H22" s="21" t="str">
        <f t="shared" si="2"/>
        <v>·</v>
      </c>
      <c r="I22" s="21" t="str">
        <f t="shared" si="3"/>
        <v>·</v>
      </c>
      <c r="J22" s="22"/>
      <c r="K22" s="23"/>
      <c r="L22" s="23"/>
      <c r="M22" s="24"/>
      <c r="N22" s="24"/>
      <c r="P22" s="20" t="str">
        <f t="shared" si="4"/>
        <v>·</v>
      </c>
      <c r="Q22" s="21" t="str">
        <f t="shared" si="5"/>
        <v>·</v>
      </c>
      <c r="R22" s="21" t="str">
        <f t="shared" si="6"/>
        <v>·</v>
      </c>
      <c r="S22" s="21" t="str">
        <f t="shared" si="7"/>
        <v>·</v>
      </c>
      <c r="T22" s="22"/>
      <c r="U22" s="23"/>
      <c r="V22" s="23"/>
      <c r="W22" s="24"/>
      <c r="X22" s="24"/>
      <c r="Z22" s="20" t="e">
        <f t="shared" si="8"/>
        <v>#VALUE!</v>
      </c>
      <c r="AA22" s="20" t="e">
        <f t="shared" si="9"/>
        <v>#DIV/0!</v>
      </c>
      <c r="AB22" s="20" t="e">
        <f t="array" ref="AB22">AVERAGE(V22:V22/U22:U22) - AVERAGE(L22:L22/K22:K22)</f>
        <v>#DIV/0!</v>
      </c>
    </row>
    <row r="23" spans="1:28" collapsed="1" x14ac:dyDescent="0.25">
      <c r="A23" s="32"/>
      <c r="B23" s="32" t="s">
        <v>198</v>
      </c>
      <c r="C23" s="32">
        <v>2000297</v>
      </c>
      <c r="D23" s="33">
        <v>20</v>
      </c>
      <c r="F23" s="34" t="str">
        <f t="shared" si="0"/>
        <v>·</v>
      </c>
      <c r="G23" s="35" t="str">
        <f t="shared" si="1"/>
        <v>·</v>
      </c>
      <c r="H23" s="35" t="str">
        <f t="shared" si="2"/>
        <v>·</v>
      </c>
      <c r="I23" s="35" t="str">
        <f t="shared" si="3"/>
        <v>·</v>
      </c>
      <c r="J23" s="36"/>
      <c r="K23" s="37"/>
      <c r="L23" s="37"/>
      <c r="M23" s="38"/>
      <c r="N23" s="38"/>
      <c r="P23" s="34" t="str">
        <f t="shared" si="4"/>
        <v>·</v>
      </c>
      <c r="Q23" s="35" t="str">
        <f t="shared" si="5"/>
        <v>·</v>
      </c>
      <c r="R23" s="35" t="str">
        <f t="shared" si="6"/>
        <v>·</v>
      </c>
      <c r="S23" s="35" t="str">
        <f t="shared" si="7"/>
        <v>·</v>
      </c>
      <c r="T23" s="36"/>
      <c r="U23" s="37"/>
      <c r="V23" s="37"/>
      <c r="W23" s="38"/>
      <c r="X23" s="38"/>
      <c r="Z23" s="34" t="e">
        <f t="shared" si="8"/>
        <v>#VALUE!</v>
      </c>
      <c r="AA23" s="34" t="e">
        <f t="shared" si="9"/>
        <v>#DIV/0!</v>
      </c>
      <c r="AB23" s="34" t="e">
        <f t="array" ref="AB23">AVERAGE(V23:V23/U23:U23) - AVERAGE(L23:L23/K23:K23)</f>
        <v>#DIV/0!</v>
      </c>
    </row>
    <row r="24" spans="1:28" collapsed="1" x14ac:dyDescent="0.25">
      <c r="A24" s="18" t="s">
        <v>229</v>
      </c>
      <c r="B24" s="18" t="s">
        <v>202</v>
      </c>
      <c r="C24" s="18">
        <v>13903516</v>
      </c>
      <c r="D24" s="19">
        <v>12</v>
      </c>
      <c r="F24" s="20" t="str">
        <f t="shared" si="0"/>
        <v>·</v>
      </c>
      <c r="G24" s="21" t="str">
        <f t="shared" si="1"/>
        <v>·</v>
      </c>
      <c r="H24" s="21" t="str">
        <f t="shared" si="2"/>
        <v>·</v>
      </c>
      <c r="I24" s="21" t="str">
        <f t="shared" si="3"/>
        <v>·</v>
      </c>
      <c r="J24" s="22"/>
      <c r="K24" s="23"/>
      <c r="L24" s="23"/>
      <c r="M24" s="24"/>
      <c r="N24" s="24"/>
      <c r="P24" s="20" t="str">
        <f t="shared" si="4"/>
        <v>·</v>
      </c>
      <c r="Q24" s="21" t="str">
        <f t="shared" si="5"/>
        <v>·</v>
      </c>
      <c r="R24" s="21" t="str">
        <f t="shared" si="6"/>
        <v>·</v>
      </c>
      <c r="S24" s="21" t="str">
        <f t="shared" si="7"/>
        <v>·</v>
      </c>
      <c r="T24" s="22"/>
      <c r="U24" s="23"/>
      <c r="V24" s="23"/>
      <c r="W24" s="24"/>
      <c r="X24" s="24"/>
      <c r="Z24" s="20" t="e">
        <f t="shared" si="8"/>
        <v>#VALUE!</v>
      </c>
      <c r="AA24" s="20" t="e">
        <f t="shared" si="9"/>
        <v>#DIV/0!</v>
      </c>
      <c r="AB24" s="20" t="e">
        <f t="array" ref="AB24">AVERAGE(V24:V24/U24:U24) - AVERAGE(L24:L24/K24:K24)</f>
        <v>#DIV/0!</v>
      </c>
    </row>
    <row r="25" spans="1:28" collapsed="1" x14ac:dyDescent="0.25">
      <c r="A25" s="25"/>
      <c r="B25" s="25" t="s">
        <v>205</v>
      </c>
      <c r="C25" s="25">
        <v>14025709</v>
      </c>
      <c r="D25" s="26">
        <v>20</v>
      </c>
      <c r="F25" s="27" t="str">
        <f t="shared" si="0"/>
        <v>·</v>
      </c>
      <c r="G25" s="28" t="str">
        <f t="shared" si="1"/>
        <v>·</v>
      </c>
      <c r="H25" s="28" t="str">
        <f t="shared" si="2"/>
        <v>·</v>
      </c>
      <c r="I25" s="28" t="str">
        <f t="shared" si="3"/>
        <v>·</v>
      </c>
      <c r="J25" s="29"/>
      <c r="K25" s="30"/>
      <c r="L25" s="30"/>
      <c r="M25" s="31"/>
      <c r="N25" s="31"/>
      <c r="P25" s="27" t="str">
        <f t="shared" si="4"/>
        <v>·</v>
      </c>
      <c r="Q25" s="28" t="str">
        <f t="shared" si="5"/>
        <v>·</v>
      </c>
      <c r="R25" s="28" t="str">
        <f t="shared" si="6"/>
        <v>·</v>
      </c>
      <c r="S25" s="28" t="str">
        <f t="shared" si="7"/>
        <v>·</v>
      </c>
      <c r="T25" s="29"/>
      <c r="U25" s="30"/>
      <c r="V25" s="30"/>
      <c r="W25" s="31"/>
      <c r="X25" s="31"/>
      <c r="Z25" s="27" t="e">
        <f t="shared" si="8"/>
        <v>#VALUE!</v>
      </c>
      <c r="AA25" s="27" t="e">
        <f t="shared" si="9"/>
        <v>#DIV/0!</v>
      </c>
      <c r="AB25" s="27" t="e">
        <f t="array" ref="AB25">AVERAGE(V25:V25/U25:U25) - AVERAGE(L25:L25/K25:K25)</f>
        <v>#DIV/0!</v>
      </c>
    </row>
    <row r="26" spans="1:28" collapsed="1" x14ac:dyDescent="0.25">
      <c r="A26" s="18"/>
      <c r="B26" s="18" t="s">
        <v>208</v>
      </c>
      <c r="C26" s="18">
        <v>4848745</v>
      </c>
      <c r="D26" s="19">
        <v>12</v>
      </c>
      <c r="F26" s="20" t="str">
        <f t="shared" si="0"/>
        <v>·</v>
      </c>
      <c r="G26" s="21" t="str">
        <f t="shared" si="1"/>
        <v>·</v>
      </c>
      <c r="H26" s="21" t="str">
        <f t="shared" si="2"/>
        <v>·</v>
      </c>
      <c r="I26" s="21" t="str">
        <f t="shared" si="3"/>
        <v>·</v>
      </c>
      <c r="J26" s="22"/>
      <c r="K26" s="23"/>
      <c r="L26" s="23"/>
      <c r="M26" s="24"/>
      <c r="N26" s="24"/>
      <c r="P26" s="20" t="str">
        <f t="shared" si="4"/>
        <v>·</v>
      </c>
      <c r="Q26" s="21" t="str">
        <f t="shared" si="5"/>
        <v>·</v>
      </c>
      <c r="R26" s="21" t="str">
        <f t="shared" si="6"/>
        <v>·</v>
      </c>
      <c r="S26" s="21" t="str">
        <f t="shared" si="7"/>
        <v>·</v>
      </c>
      <c r="T26" s="22"/>
      <c r="U26" s="23"/>
      <c r="V26" s="23"/>
      <c r="W26" s="24"/>
      <c r="X26" s="24"/>
      <c r="Z26" s="20" t="e">
        <f t="shared" si="8"/>
        <v>#VALUE!</v>
      </c>
      <c r="AA26" s="20" t="e">
        <f t="shared" si="9"/>
        <v>#DIV/0!</v>
      </c>
      <c r="AB26" s="20" t="e">
        <f t="array" ref="AB26">AVERAGE(V26:V26/U26:U26) - AVERAGE(L26:L26/K26:K26)</f>
        <v>#DIV/0!</v>
      </c>
    </row>
    <row r="27" spans="1:28" collapsed="1" x14ac:dyDescent="0.25">
      <c r="A27" s="25"/>
      <c r="B27" s="25" t="s">
        <v>211</v>
      </c>
      <c r="C27" s="25">
        <v>5001077</v>
      </c>
      <c r="D27" s="26">
        <v>20</v>
      </c>
      <c r="F27" s="27" t="str">
        <f t="shared" si="0"/>
        <v>·</v>
      </c>
      <c r="G27" s="28" t="str">
        <f t="shared" si="1"/>
        <v>·</v>
      </c>
      <c r="H27" s="28" t="str">
        <f t="shared" si="2"/>
        <v>·</v>
      </c>
      <c r="I27" s="28" t="str">
        <f t="shared" si="3"/>
        <v>·</v>
      </c>
      <c r="J27" s="29"/>
      <c r="K27" s="30"/>
      <c r="L27" s="30"/>
      <c r="M27" s="31"/>
      <c r="N27" s="31"/>
      <c r="P27" s="27" t="str">
        <f t="shared" si="4"/>
        <v>·</v>
      </c>
      <c r="Q27" s="28" t="str">
        <f t="shared" si="5"/>
        <v>·</v>
      </c>
      <c r="R27" s="28" t="str">
        <f t="shared" si="6"/>
        <v>·</v>
      </c>
      <c r="S27" s="28" t="str">
        <f t="shared" si="7"/>
        <v>·</v>
      </c>
      <c r="T27" s="29"/>
      <c r="U27" s="30"/>
      <c r="V27" s="30"/>
      <c r="W27" s="31"/>
      <c r="X27" s="31"/>
      <c r="Z27" s="27" t="e">
        <f t="shared" si="8"/>
        <v>#VALUE!</v>
      </c>
      <c r="AA27" s="27" t="e">
        <f t="shared" si="9"/>
        <v>#DIV/0!</v>
      </c>
      <c r="AB27" s="27" t="e">
        <f t="array" ref="AB27">AVERAGE(V27:V27/U27:U27) - AVERAGE(L27:L27/K27:K27)</f>
        <v>#DIV/0!</v>
      </c>
    </row>
    <row r="28" spans="1:28" collapsed="1" x14ac:dyDescent="0.25">
      <c r="A28" s="18"/>
      <c r="B28" s="18" t="s">
        <v>214</v>
      </c>
      <c r="C28" s="18">
        <v>857966</v>
      </c>
      <c r="D28" s="19">
        <v>10</v>
      </c>
      <c r="F28" s="20" t="str">
        <f t="shared" si="0"/>
        <v>·</v>
      </c>
      <c r="G28" s="21" t="str">
        <f t="shared" si="1"/>
        <v>·</v>
      </c>
      <c r="H28" s="21" t="str">
        <f t="shared" si="2"/>
        <v>·</v>
      </c>
      <c r="I28" s="21" t="str">
        <f t="shared" si="3"/>
        <v>·</v>
      </c>
      <c r="J28" s="22"/>
      <c r="K28" s="23"/>
      <c r="L28" s="23"/>
      <c r="M28" s="24"/>
      <c r="N28" s="24"/>
      <c r="P28" s="20" t="str">
        <f t="shared" si="4"/>
        <v>·</v>
      </c>
      <c r="Q28" s="21" t="str">
        <f t="shared" si="5"/>
        <v>·</v>
      </c>
      <c r="R28" s="21" t="str">
        <f t="shared" si="6"/>
        <v>·</v>
      </c>
      <c r="S28" s="21" t="str">
        <f t="shared" si="7"/>
        <v>·</v>
      </c>
      <c r="T28" s="22"/>
      <c r="U28" s="23"/>
      <c r="V28" s="23"/>
      <c r="W28" s="24"/>
      <c r="X28" s="24"/>
      <c r="Z28" s="20" t="e">
        <f t="shared" si="8"/>
        <v>#VALUE!</v>
      </c>
      <c r="AA28" s="20" t="e">
        <f t="shared" si="9"/>
        <v>#DIV/0!</v>
      </c>
      <c r="AB28" s="20" t="e">
        <f t="array" ref="AB28">AVERAGE(V28:V28/U28:U28) - AVERAGE(L28:L28/K28:K28)</f>
        <v>#DIV/0!</v>
      </c>
    </row>
    <row r="29" spans="1:28" collapsed="1" x14ac:dyDescent="0.25">
      <c r="A29" s="25"/>
      <c r="B29" s="25" t="s">
        <v>217</v>
      </c>
      <c r="C29" s="25">
        <v>4187594</v>
      </c>
      <c r="D29" s="26">
        <v>14</v>
      </c>
      <c r="F29" s="27" t="str">
        <f t="shared" si="0"/>
        <v>·</v>
      </c>
      <c r="G29" s="28" t="str">
        <f t="shared" si="1"/>
        <v>·</v>
      </c>
      <c r="H29" s="28" t="str">
        <f t="shared" si="2"/>
        <v>·</v>
      </c>
      <c r="I29" s="28" t="str">
        <f t="shared" si="3"/>
        <v>·</v>
      </c>
      <c r="J29" s="29"/>
      <c r="K29" s="30"/>
      <c r="L29" s="30"/>
      <c r="M29" s="31"/>
      <c r="N29" s="31"/>
      <c r="P29" s="27" t="str">
        <f t="shared" si="4"/>
        <v>·</v>
      </c>
      <c r="Q29" s="28" t="str">
        <f t="shared" si="5"/>
        <v>·</v>
      </c>
      <c r="R29" s="28" t="str">
        <f t="shared" si="6"/>
        <v>·</v>
      </c>
      <c r="S29" s="28" t="str">
        <f t="shared" si="7"/>
        <v>·</v>
      </c>
      <c r="T29" s="29"/>
      <c r="U29" s="30"/>
      <c r="V29" s="30"/>
      <c r="W29" s="31"/>
      <c r="X29" s="31"/>
      <c r="Z29" s="27" t="e">
        <f t="shared" si="8"/>
        <v>#VALUE!</v>
      </c>
      <c r="AA29" s="27" t="e">
        <f t="shared" si="9"/>
        <v>#DIV/0!</v>
      </c>
      <c r="AB29" s="27" t="e">
        <f t="array" ref="AB29">AVERAGE(V29:V29/U29:U29) - AVERAGE(L29:L29/K29:K29)</f>
        <v>#DIV/0!</v>
      </c>
    </row>
    <row r="30" spans="1:28" collapsed="1" x14ac:dyDescent="0.25">
      <c r="A30" s="18"/>
      <c r="B30" s="18" t="s">
        <v>220</v>
      </c>
      <c r="C30" s="18">
        <v>4203962</v>
      </c>
      <c r="D30" s="19">
        <v>20</v>
      </c>
      <c r="F30" s="20" t="str">
        <f t="shared" si="0"/>
        <v>·</v>
      </c>
      <c r="G30" s="21" t="str">
        <f t="shared" si="1"/>
        <v>·</v>
      </c>
      <c r="H30" s="21" t="str">
        <f t="shared" si="2"/>
        <v>·</v>
      </c>
      <c r="I30" s="21" t="str">
        <f t="shared" si="3"/>
        <v>·</v>
      </c>
      <c r="J30" s="22"/>
      <c r="K30" s="23"/>
      <c r="L30" s="23"/>
      <c r="M30" s="24"/>
      <c r="N30" s="24"/>
      <c r="P30" s="20" t="str">
        <f t="shared" si="4"/>
        <v>·</v>
      </c>
      <c r="Q30" s="21" t="str">
        <f t="shared" si="5"/>
        <v>·</v>
      </c>
      <c r="R30" s="21" t="str">
        <f t="shared" si="6"/>
        <v>·</v>
      </c>
      <c r="S30" s="21" t="str">
        <f t="shared" si="7"/>
        <v>·</v>
      </c>
      <c r="T30" s="22"/>
      <c r="U30" s="23"/>
      <c r="V30" s="23"/>
      <c r="W30" s="24"/>
      <c r="X30" s="24"/>
      <c r="Z30" s="20" t="e">
        <f t="shared" si="8"/>
        <v>#VALUE!</v>
      </c>
      <c r="AA30" s="20" t="e">
        <f t="shared" si="9"/>
        <v>#DIV/0!</v>
      </c>
      <c r="AB30" s="20" t="e">
        <f t="array" ref="AB30">AVERAGE(V30:V30/U30:U30) - AVERAGE(L30:L30/K30:K30)</f>
        <v>#DIV/0!</v>
      </c>
    </row>
    <row r="31" spans="1:28" collapsed="1" x14ac:dyDescent="0.25">
      <c r="A31" s="25"/>
      <c r="B31" s="25" t="s">
        <v>223</v>
      </c>
      <c r="C31" s="25">
        <v>1009132</v>
      </c>
      <c r="D31" s="26">
        <v>12</v>
      </c>
      <c r="F31" s="27" t="str">
        <f t="shared" si="0"/>
        <v>·</v>
      </c>
      <c r="G31" s="28" t="str">
        <f t="shared" si="1"/>
        <v>·</v>
      </c>
      <c r="H31" s="28" t="str">
        <f t="shared" si="2"/>
        <v>·</v>
      </c>
      <c r="I31" s="28" t="str">
        <f t="shared" si="3"/>
        <v>·</v>
      </c>
      <c r="J31" s="29"/>
      <c r="K31" s="30"/>
      <c r="L31" s="30"/>
      <c r="M31" s="31"/>
      <c r="N31" s="31"/>
      <c r="P31" s="27" t="str">
        <f t="shared" si="4"/>
        <v>·</v>
      </c>
      <c r="Q31" s="28" t="str">
        <f t="shared" si="5"/>
        <v>·</v>
      </c>
      <c r="R31" s="28" t="str">
        <f t="shared" si="6"/>
        <v>·</v>
      </c>
      <c r="S31" s="28" t="str">
        <f t="shared" si="7"/>
        <v>·</v>
      </c>
      <c r="T31" s="29"/>
      <c r="U31" s="30"/>
      <c r="V31" s="30"/>
      <c r="W31" s="31"/>
      <c r="X31" s="31"/>
      <c r="Z31" s="27" t="e">
        <f t="shared" si="8"/>
        <v>#VALUE!</v>
      </c>
      <c r="AA31" s="27" t="e">
        <f t="shared" si="9"/>
        <v>#DIV/0!</v>
      </c>
      <c r="AB31" s="27" t="e">
        <f t="array" ref="AB31">AVERAGE(V31:V31/U31:U31) - AVERAGE(L31:L31/K31:K31)</f>
        <v>#DIV/0!</v>
      </c>
    </row>
    <row r="32" spans="1:28" collapsed="1" x14ac:dyDescent="0.25">
      <c r="A32" s="39"/>
      <c r="B32" s="39" t="s">
        <v>226</v>
      </c>
      <c r="C32" s="39">
        <v>1010591</v>
      </c>
      <c r="D32" s="40">
        <v>20</v>
      </c>
      <c r="F32" s="41" t="str">
        <f t="shared" si="0"/>
        <v>·</v>
      </c>
      <c r="G32" s="42" t="str">
        <f t="shared" si="1"/>
        <v>·</v>
      </c>
      <c r="H32" s="42" t="str">
        <f t="shared" si="2"/>
        <v>·</v>
      </c>
      <c r="I32" s="42" t="str">
        <f t="shared" si="3"/>
        <v>·</v>
      </c>
      <c r="J32" s="43"/>
      <c r="K32" s="44"/>
      <c r="L32" s="44"/>
      <c r="M32" s="45"/>
      <c r="N32" s="45"/>
      <c r="P32" s="41" t="str">
        <f t="shared" si="4"/>
        <v>·</v>
      </c>
      <c r="Q32" s="42" t="str">
        <f t="shared" si="5"/>
        <v>·</v>
      </c>
      <c r="R32" s="42" t="str">
        <f t="shared" si="6"/>
        <v>·</v>
      </c>
      <c r="S32" s="42" t="str">
        <f t="shared" si="7"/>
        <v>·</v>
      </c>
      <c r="T32" s="43"/>
      <c r="U32" s="44"/>
      <c r="V32" s="44"/>
      <c r="W32" s="45"/>
      <c r="X32" s="45"/>
      <c r="Z32" s="41" t="e">
        <f t="shared" si="8"/>
        <v>#VALUE!</v>
      </c>
      <c r="AA32" s="41" t="e">
        <f t="shared" si="9"/>
        <v>#DIV/0!</v>
      </c>
      <c r="AB32" s="41" t="e">
        <f t="array" ref="AB32">AVERAGE(V32:V32/U32:U32) - AVERAGE(L32:L32/K32:K32)</f>
        <v>#DIV/0!</v>
      </c>
    </row>
    <row r="33" spans="1:28" collapsed="1" x14ac:dyDescent="0.25">
      <c r="A33" s="25" t="s">
        <v>254</v>
      </c>
      <c r="B33" s="25" t="s">
        <v>230</v>
      </c>
      <c r="C33" s="25">
        <v>71948094</v>
      </c>
      <c r="D33" s="26">
        <v>14</v>
      </c>
      <c r="F33" s="27" t="str">
        <f t="shared" si="0"/>
        <v>·</v>
      </c>
      <c r="G33" s="28" t="str">
        <f t="shared" si="1"/>
        <v>·</v>
      </c>
      <c r="H33" s="28" t="str">
        <f t="shared" si="2"/>
        <v>·</v>
      </c>
      <c r="I33" s="28" t="str">
        <f t="shared" si="3"/>
        <v>·</v>
      </c>
      <c r="J33" s="29"/>
      <c r="K33" s="30"/>
      <c r="L33" s="30"/>
      <c r="M33" s="31"/>
      <c r="N33" s="31"/>
      <c r="P33" s="27" t="str">
        <f t="shared" si="4"/>
        <v>·</v>
      </c>
      <c r="Q33" s="28" t="str">
        <f t="shared" si="5"/>
        <v>·</v>
      </c>
      <c r="R33" s="28" t="str">
        <f t="shared" si="6"/>
        <v>·</v>
      </c>
      <c r="S33" s="28" t="str">
        <f t="shared" si="7"/>
        <v>·</v>
      </c>
      <c r="T33" s="29"/>
      <c r="U33" s="30"/>
      <c r="V33" s="30"/>
      <c r="W33" s="31"/>
      <c r="X33" s="31"/>
      <c r="Z33" s="27" t="e">
        <f t="shared" si="8"/>
        <v>#VALUE!</v>
      </c>
      <c r="AA33" s="27" t="e">
        <f t="shared" si="9"/>
        <v>#DIV/0!</v>
      </c>
      <c r="AB33" s="27" t="e">
        <f t="array" ref="AB33">AVERAGE(V33:V33/U33:U33) - AVERAGE(L33:L33/K33:K33)</f>
        <v>#DIV/0!</v>
      </c>
    </row>
    <row r="34" spans="1:28" collapsed="1" x14ac:dyDescent="0.25">
      <c r="A34" s="18"/>
      <c r="B34" s="18" t="s">
        <v>233</v>
      </c>
      <c r="C34" s="18">
        <v>72145549</v>
      </c>
      <c r="D34" s="19">
        <v>20</v>
      </c>
      <c r="F34" s="20" t="str">
        <f t="shared" si="0"/>
        <v>·</v>
      </c>
      <c r="G34" s="21" t="str">
        <f t="shared" si="1"/>
        <v>·</v>
      </c>
      <c r="H34" s="21" t="str">
        <f t="shared" si="2"/>
        <v>·</v>
      </c>
      <c r="I34" s="21" t="str">
        <f t="shared" si="3"/>
        <v>·</v>
      </c>
      <c r="J34" s="22"/>
      <c r="K34" s="23"/>
      <c r="L34" s="23"/>
      <c r="M34" s="24"/>
      <c r="N34" s="24"/>
      <c r="P34" s="20" t="str">
        <f t="shared" si="4"/>
        <v>·</v>
      </c>
      <c r="Q34" s="21" t="str">
        <f t="shared" si="5"/>
        <v>·</v>
      </c>
      <c r="R34" s="21" t="str">
        <f t="shared" si="6"/>
        <v>·</v>
      </c>
      <c r="S34" s="21" t="str">
        <f t="shared" si="7"/>
        <v>·</v>
      </c>
      <c r="T34" s="22"/>
      <c r="U34" s="23"/>
      <c r="V34" s="23"/>
      <c r="W34" s="24"/>
      <c r="X34" s="24"/>
      <c r="Z34" s="20" t="e">
        <f t="shared" si="8"/>
        <v>#VALUE!</v>
      </c>
      <c r="AA34" s="20" t="e">
        <f t="shared" si="9"/>
        <v>#DIV/0!</v>
      </c>
      <c r="AB34" s="20" t="e">
        <f t="array" ref="AB34">AVERAGE(V34:V34/U34:U34) - AVERAGE(L34:L34/K34:K34)</f>
        <v>#DIV/0!</v>
      </c>
    </row>
    <row r="35" spans="1:28" collapsed="1" x14ac:dyDescent="0.25">
      <c r="A35" s="25"/>
      <c r="B35" s="25" t="s">
        <v>236</v>
      </c>
      <c r="C35" s="25">
        <v>47062002</v>
      </c>
      <c r="D35" s="26">
        <v>16</v>
      </c>
      <c r="F35" s="27" t="str">
        <f t="shared" si="0"/>
        <v>·</v>
      </c>
      <c r="G35" s="28" t="str">
        <f t="shared" si="1"/>
        <v>·</v>
      </c>
      <c r="H35" s="28" t="str">
        <f t="shared" si="2"/>
        <v>·</v>
      </c>
      <c r="I35" s="28" t="str">
        <f t="shared" si="3"/>
        <v>·</v>
      </c>
      <c r="J35" s="29"/>
      <c r="K35" s="30"/>
      <c r="L35" s="30"/>
      <c r="M35" s="31"/>
      <c r="N35" s="31"/>
      <c r="P35" s="27" t="str">
        <f t="shared" si="4"/>
        <v>·</v>
      </c>
      <c r="Q35" s="28" t="str">
        <f t="shared" si="5"/>
        <v>·</v>
      </c>
      <c r="R35" s="28" t="str">
        <f t="shared" si="6"/>
        <v>·</v>
      </c>
      <c r="S35" s="28" t="str">
        <f t="shared" si="7"/>
        <v>·</v>
      </c>
      <c r="T35" s="29"/>
      <c r="U35" s="30"/>
      <c r="V35" s="30"/>
      <c r="W35" s="31"/>
      <c r="X35" s="31"/>
      <c r="Z35" s="27" t="e">
        <f t="shared" si="8"/>
        <v>#VALUE!</v>
      </c>
      <c r="AA35" s="27" t="e">
        <f t="shared" si="9"/>
        <v>#DIV/0!</v>
      </c>
      <c r="AB35" s="27" t="e">
        <f t="array" ref="AB35">AVERAGE(V35:V35/U35:U35) - AVERAGE(L35:L35/K35:K35)</f>
        <v>#DIV/0!</v>
      </c>
    </row>
    <row r="36" spans="1:28" collapsed="1" x14ac:dyDescent="0.25">
      <c r="A36" s="18"/>
      <c r="B36" s="18" t="s">
        <v>239</v>
      </c>
      <c r="C36" s="18">
        <v>47062018</v>
      </c>
      <c r="D36" s="19">
        <v>20</v>
      </c>
      <c r="F36" s="20" t="str">
        <f t="shared" si="0"/>
        <v>·</v>
      </c>
      <c r="G36" s="21" t="str">
        <f t="shared" si="1"/>
        <v>·</v>
      </c>
      <c r="H36" s="21" t="str">
        <f t="shared" si="2"/>
        <v>·</v>
      </c>
      <c r="I36" s="21" t="str">
        <f t="shared" si="3"/>
        <v>·</v>
      </c>
      <c r="J36" s="22"/>
      <c r="K36" s="23"/>
      <c r="L36" s="23"/>
      <c r="M36" s="24"/>
      <c r="N36" s="24"/>
      <c r="P36" s="20" t="str">
        <f t="shared" si="4"/>
        <v>·</v>
      </c>
      <c r="Q36" s="21" t="str">
        <f t="shared" si="5"/>
        <v>·</v>
      </c>
      <c r="R36" s="21" t="str">
        <f t="shared" si="6"/>
        <v>·</v>
      </c>
      <c r="S36" s="21" t="str">
        <f t="shared" si="7"/>
        <v>·</v>
      </c>
      <c r="T36" s="22"/>
      <c r="U36" s="23"/>
      <c r="V36" s="23"/>
      <c r="W36" s="24"/>
      <c r="X36" s="24"/>
      <c r="Z36" s="20" t="e">
        <f t="shared" si="8"/>
        <v>#VALUE!</v>
      </c>
      <c r="AA36" s="20" t="e">
        <f t="shared" si="9"/>
        <v>#DIV/0!</v>
      </c>
      <c r="AB36" s="20" t="e">
        <f t="array" ref="AB36">AVERAGE(V36:V36/U36:U36) - AVERAGE(L36:L36/K36:K36)</f>
        <v>#DIV/0!</v>
      </c>
    </row>
    <row r="37" spans="1:28" collapsed="1" x14ac:dyDescent="0.25">
      <c r="A37" s="25"/>
      <c r="B37" s="25" t="s">
        <v>242</v>
      </c>
      <c r="C37" s="25">
        <v>43399204</v>
      </c>
      <c r="D37" s="26">
        <v>16</v>
      </c>
      <c r="F37" s="27" t="str">
        <f t="shared" si="0"/>
        <v>·</v>
      </c>
      <c r="G37" s="28" t="str">
        <f t="shared" si="1"/>
        <v>·</v>
      </c>
      <c r="H37" s="28" t="str">
        <f t="shared" si="2"/>
        <v>·</v>
      </c>
      <c r="I37" s="28" t="str">
        <f t="shared" si="3"/>
        <v>·</v>
      </c>
      <c r="J37" s="29"/>
      <c r="K37" s="30"/>
      <c r="L37" s="30"/>
      <c r="M37" s="31"/>
      <c r="N37" s="31"/>
      <c r="P37" s="27" t="str">
        <f t="shared" si="4"/>
        <v>·</v>
      </c>
      <c r="Q37" s="28" t="str">
        <f t="shared" si="5"/>
        <v>·</v>
      </c>
      <c r="R37" s="28" t="str">
        <f t="shared" si="6"/>
        <v>·</v>
      </c>
      <c r="S37" s="28" t="str">
        <f t="shared" si="7"/>
        <v>·</v>
      </c>
      <c r="T37" s="29"/>
      <c r="U37" s="30"/>
      <c r="V37" s="30"/>
      <c r="W37" s="31"/>
      <c r="X37" s="31"/>
      <c r="Z37" s="27" t="e">
        <f t="shared" si="8"/>
        <v>#VALUE!</v>
      </c>
      <c r="AA37" s="27" t="e">
        <f t="shared" si="9"/>
        <v>#DIV/0!</v>
      </c>
      <c r="AB37" s="27" t="e">
        <f t="array" ref="AB37">AVERAGE(V37:V37/U37:U37) - AVERAGE(L37:L37/K37:K37)</f>
        <v>#DIV/0!</v>
      </c>
    </row>
    <row r="38" spans="1:28" collapsed="1" x14ac:dyDescent="0.25">
      <c r="A38" s="18"/>
      <c r="B38" s="18" t="s">
        <v>245</v>
      </c>
      <c r="C38" s="18">
        <v>43399207</v>
      </c>
      <c r="D38" s="19">
        <v>20</v>
      </c>
      <c r="F38" s="20" t="str">
        <f t="shared" si="0"/>
        <v>·</v>
      </c>
      <c r="G38" s="21" t="str">
        <f t="shared" si="1"/>
        <v>·</v>
      </c>
      <c r="H38" s="21" t="str">
        <f t="shared" si="2"/>
        <v>·</v>
      </c>
      <c r="I38" s="21" t="str">
        <f t="shared" si="3"/>
        <v>·</v>
      </c>
      <c r="J38" s="22"/>
      <c r="K38" s="23"/>
      <c r="L38" s="23"/>
      <c r="M38" s="24"/>
      <c r="N38" s="24"/>
      <c r="P38" s="20" t="str">
        <f t="shared" si="4"/>
        <v>·</v>
      </c>
      <c r="Q38" s="21" t="str">
        <f t="shared" si="5"/>
        <v>·</v>
      </c>
      <c r="R38" s="21" t="str">
        <f t="shared" si="6"/>
        <v>·</v>
      </c>
      <c r="S38" s="21" t="str">
        <f t="shared" si="7"/>
        <v>·</v>
      </c>
      <c r="T38" s="22"/>
      <c r="U38" s="23"/>
      <c r="V38" s="23"/>
      <c r="W38" s="24"/>
      <c r="X38" s="24"/>
      <c r="Z38" s="20" t="e">
        <f t="shared" si="8"/>
        <v>#VALUE!</v>
      </c>
      <c r="AA38" s="20" t="e">
        <f t="shared" si="9"/>
        <v>#DIV/0!</v>
      </c>
      <c r="AB38" s="20" t="e">
        <f t="array" ref="AB38">AVERAGE(V38:V38/U38:U38) - AVERAGE(L38:L38/K38:K38)</f>
        <v>#DIV/0!</v>
      </c>
    </row>
    <row r="39" spans="1:28" collapsed="1" x14ac:dyDescent="0.25">
      <c r="A39" s="25"/>
      <c r="B39" s="25" t="s">
        <v>248</v>
      </c>
      <c r="C39" s="25">
        <v>63787119</v>
      </c>
      <c r="D39" s="26">
        <v>15</v>
      </c>
      <c r="F39" s="27" t="str">
        <f t="shared" si="0"/>
        <v>·</v>
      </c>
      <c r="G39" s="28" t="str">
        <f t="shared" si="1"/>
        <v>·</v>
      </c>
      <c r="H39" s="28" t="str">
        <f t="shared" si="2"/>
        <v>·</v>
      </c>
      <c r="I39" s="28" t="str">
        <f t="shared" si="3"/>
        <v>·</v>
      </c>
      <c r="J39" s="29"/>
      <c r="K39" s="30"/>
      <c r="L39" s="30"/>
      <c r="M39" s="31"/>
      <c r="N39" s="31"/>
      <c r="P39" s="27" t="str">
        <f t="shared" si="4"/>
        <v>·</v>
      </c>
      <c r="Q39" s="28" t="str">
        <f t="shared" si="5"/>
        <v>·</v>
      </c>
      <c r="R39" s="28" t="str">
        <f t="shared" si="6"/>
        <v>·</v>
      </c>
      <c r="S39" s="28" t="str">
        <f t="shared" si="7"/>
        <v>·</v>
      </c>
      <c r="T39" s="29"/>
      <c r="U39" s="30"/>
      <c r="V39" s="30"/>
      <c r="W39" s="31"/>
      <c r="X39" s="31"/>
      <c r="Z39" s="27" t="e">
        <f t="shared" si="8"/>
        <v>#VALUE!</v>
      </c>
      <c r="AA39" s="27" t="e">
        <f t="shared" si="9"/>
        <v>#DIV/0!</v>
      </c>
      <c r="AB39" s="27" t="e">
        <f t="array" ref="AB39">AVERAGE(V39:V39/U39:U39) - AVERAGE(L39:L39/K39:K39)</f>
        <v>#DIV/0!</v>
      </c>
    </row>
    <row r="40" spans="1:28" collapsed="1" x14ac:dyDescent="0.25">
      <c r="A40" s="39"/>
      <c r="B40" s="39" t="s">
        <v>251</v>
      </c>
      <c r="C40" s="39">
        <v>63864641</v>
      </c>
      <c r="D40" s="40">
        <v>20</v>
      </c>
      <c r="F40" s="41" t="str">
        <f t="shared" si="0"/>
        <v>·</v>
      </c>
      <c r="G40" s="42" t="str">
        <f t="shared" si="1"/>
        <v>·</v>
      </c>
      <c r="H40" s="42" t="str">
        <f t="shared" si="2"/>
        <v>·</v>
      </c>
      <c r="I40" s="42" t="str">
        <f t="shared" si="3"/>
        <v>·</v>
      </c>
      <c r="J40" s="43"/>
      <c r="K40" s="44"/>
      <c r="L40" s="44"/>
      <c r="M40" s="45"/>
      <c r="N40" s="45"/>
      <c r="P40" s="41" t="str">
        <f t="shared" si="4"/>
        <v>·</v>
      </c>
      <c r="Q40" s="42" t="str">
        <f t="shared" si="5"/>
        <v>·</v>
      </c>
      <c r="R40" s="42" t="str">
        <f t="shared" si="6"/>
        <v>·</v>
      </c>
      <c r="S40" s="42" t="str">
        <f t="shared" si="7"/>
        <v>·</v>
      </c>
      <c r="T40" s="43"/>
      <c r="U40" s="44"/>
      <c r="V40" s="44"/>
      <c r="W40" s="45"/>
      <c r="X40" s="45"/>
      <c r="Z40" s="41" t="e">
        <f t="shared" si="8"/>
        <v>#VALUE!</v>
      </c>
      <c r="AA40" s="41" t="e">
        <f t="shared" si="9"/>
        <v>#DIV/0!</v>
      </c>
      <c r="AB40" s="41" t="e">
        <f t="array" ref="AB40">AVERAGE(V40:V40/U40:U40) - AVERAGE(L40:L40/K40:K40)</f>
        <v>#DIV/0!</v>
      </c>
    </row>
    <row r="41" spans="1:28" x14ac:dyDescent="0.25">
      <c r="B41" s="46" t="s">
        <v>255</v>
      </c>
      <c r="G41" s="47" t="e">
        <f>AVERAGE(G4:G23)</f>
        <v>#DIV/0!</v>
      </c>
      <c r="Q41" s="47" t="e">
        <f>AVERAGE(Q4:Q23)</f>
        <v>#DIV/0!</v>
      </c>
      <c r="Z41" s="6" t="e">
        <f t="shared" si="8"/>
        <v>#DIV/0!</v>
      </c>
      <c r="AB41" s="6" t="e">
        <f>AVERAGE(AB4:AB23)</f>
        <v>#DIV/0!</v>
      </c>
    </row>
    <row r="42" spans="1:28" x14ac:dyDescent="0.25">
      <c r="B42" s="46" t="s">
        <v>256</v>
      </c>
      <c r="G42" s="47" t="e">
        <f>AVERAGE(G24:G32)</f>
        <v>#DIV/0!</v>
      </c>
      <c r="Q42" s="47" t="e">
        <f>AVERAGE(Q24:Q32)</f>
        <v>#DIV/0!</v>
      </c>
      <c r="Z42" s="6" t="e">
        <f t="shared" si="8"/>
        <v>#DIV/0!</v>
      </c>
      <c r="AB42" s="6" t="e">
        <f>AVERAGE(AB24:AB32)</f>
        <v>#DIV/0!</v>
      </c>
    </row>
    <row r="43" spans="1:28" x14ac:dyDescent="0.25">
      <c r="B43" s="46" t="s">
        <v>257</v>
      </c>
      <c r="G43" s="47" t="e">
        <f>AVERAGE(G33:G40)</f>
        <v>#DIV/0!</v>
      </c>
      <c r="Q43" s="47" t="e">
        <f>AVERAGE(Q33:Q40)</f>
        <v>#DIV/0!</v>
      </c>
      <c r="Z43" s="6" t="e">
        <f t="shared" si="8"/>
        <v>#DIV/0!</v>
      </c>
      <c r="AB43" s="6" t="e">
        <f>AVERAGE(AB33:AB40)</f>
        <v>#DIV/0!</v>
      </c>
    </row>
    <row r="44" spans="1:28" collapsed="1" x14ac:dyDescent="0.25">
      <c r="B44" s="46" t="s">
        <v>258</v>
      </c>
      <c r="G44" s="47" t="e">
        <f>AVERAGE(G4:G23,G24:G32,G33:G40)</f>
        <v>#DIV/0!</v>
      </c>
      <c r="Q44" s="47" t="e">
        <f>AVERAGE(Q4:Q23,Q24:Q32,Q33:Q40)</f>
        <v>#DIV/0!</v>
      </c>
      <c r="Z44" s="6" t="e">
        <f t="shared" si="8"/>
        <v>#DIV/0!</v>
      </c>
      <c r="AB44" s="6" t="e">
        <f>AVERAGE(AB4:AB23,AB24:AB32,AB33:AB40)</f>
        <v>#DIV/0!</v>
      </c>
    </row>
    <row r="45" spans="1:28" hidden="1" outlineLevel="2" x14ac:dyDescent="0.25">
      <c r="A45" s="46" t="s">
        <v>259</v>
      </c>
      <c r="B45" s="46" t="s">
        <v>260</v>
      </c>
      <c r="M45" s="48">
        <f>SUM(M4:M23,M24:M32,M33:M40)</f>
        <v>0</v>
      </c>
      <c r="N45" s="48">
        <f>SUM(N4:N23,N24:N32,N33:N40)</f>
        <v>0</v>
      </c>
      <c r="W45" s="48">
        <f>SUM(W4:W23,W24:W32,W33:W40)</f>
        <v>0</v>
      </c>
      <c r="X45" s="48">
        <f>SUM(X4:X23,X24:X32,X33:X40)</f>
        <v>0</v>
      </c>
    </row>
    <row r="46" spans="1:28" hidden="1" outlineLevel="2" x14ac:dyDescent="0.25">
      <c r="B46" s="46" t="s">
        <v>261</v>
      </c>
      <c r="W46" s="6" t="e">
        <f>W45/M45</f>
        <v>#DIV/0!</v>
      </c>
      <c r="X46" s="6" t="e">
        <f>X45/N45</f>
        <v>#DIV/0!</v>
      </c>
    </row>
    <row r="47" spans="1:28" hidden="1" outlineLevel="2" x14ac:dyDescent="0.25">
      <c r="B47" s="46" t="s">
        <v>262</v>
      </c>
      <c r="M47" s="48" t="e">
        <f>GEOMEAN(M4:M23,M24:M32,M33:M40)</f>
        <v>#NUM!</v>
      </c>
      <c r="N47" s="48" t="e">
        <f>GEOMEAN(N4:N23,N24:N32,N33:N40)</f>
        <v>#NUM!</v>
      </c>
      <c r="W47" s="48" t="e">
        <f>GEOMEAN(W4:W23,W24:W32,W33:W40)</f>
        <v>#NUM!</v>
      </c>
      <c r="X47" s="48" t="e">
        <f>GEOMEAN(X4:X23,X24:X32,X33:X40)</f>
        <v>#NUM!</v>
      </c>
    </row>
    <row r="48" spans="1:28" outlineLevel="2" collapsed="1" x14ac:dyDescent="0.25">
      <c r="B48" s="46" t="s">
        <v>263</v>
      </c>
      <c r="W48" s="6" t="e">
        <f>W47/M47</f>
        <v>#NUM!</v>
      </c>
      <c r="X48" s="6" t="e">
        <f>X47/N47</f>
        <v>#NUM!</v>
      </c>
    </row>
  </sheetData>
  <mergeCells count="24">
    <mergeCell ref="AB2:AB3"/>
    <mergeCell ref="A1:D1"/>
    <mergeCell ref="F1:N1"/>
    <mergeCell ref="P1:X1"/>
    <mergeCell ref="U2:V2"/>
    <mergeCell ref="W2:W3"/>
    <mergeCell ref="X2:X3"/>
    <mergeCell ref="Z2:Z3"/>
    <mergeCell ref="AA2:AA3"/>
    <mergeCell ref="N2:N3"/>
    <mergeCell ref="P2:P3"/>
    <mergeCell ref="Q2:R2"/>
    <mergeCell ref="S2:S3"/>
    <mergeCell ref="T2:T3"/>
    <mergeCell ref="G2:H2"/>
    <mergeCell ref="I2:I3"/>
    <mergeCell ref="J2:J3"/>
    <mergeCell ref="K2:L2"/>
    <mergeCell ref="M2:M3"/>
    <mergeCell ref="A2:A3"/>
    <mergeCell ref="B2:B3"/>
    <mergeCell ref="C2:C3"/>
    <mergeCell ref="D2:D3"/>
    <mergeCell ref="F2:F3"/>
  </mergeCells>
  <conditionalFormatting sqref="Z41 Z42 Z43 Z44">
    <cfRule type="cellIs" dxfId="135" priority="1" operator="greaterThanOrEqual">
      <formula>1.03</formula>
    </cfRule>
    <cfRule type="cellIs" dxfId="134"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935"/>
  <sheetViews>
    <sheetView topLeftCell="A422" workbookViewId="0">
      <selection activeCell="D441" sqref="D441"/>
    </sheetView>
  </sheetViews>
  <sheetFormatPr defaultRowHeight="15" x14ac:dyDescent="0.25"/>
  <cols>
    <col min="1" max="1" width="55.7109375" customWidth="1"/>
    <col min="2" max="2" width="41.140625" style="5" bestFit="1" customWidth="1"/>
  </cols>
  <sheetData>
    <row r="1" spans="1:2" x14ac:dyDescent="0.25">
      <c r="A1" t="s">
        <v>98</v>
      </c>
      <c r="B1" s="5">
        <v>1</v>
      </c>
    </row>
    <row r="2" spans="1:2" x14ac:dyDescent="0.25">
      <c r="A2" t="s">
        <v>100</v>
      </c>
      <c r="B2" s="5">
        <v>2</v>
      </c>
    </row>
    <row r="3" spans="1:2" x14ac:dyDescent="0.25">
      <c r="A3" t="s">
        <v>102</v>
      </c>
      <c r="B3" s="5">
        <v>3</v>
      </c>
    </row>
    <row r="4" spans="1:2" x14ac:dyDescent="0.25">
      <c r="A4" t="s">
        <v>104</v>
      </c>
      <c r="B4" s="5">
        <v>4</v>
      </c>
    </row>
    <row r="5" spans="1:2" x14ac:dyDescent="0.25">
      <c r="A5" t="s">
        <v>106</v>
      </c>
      <c r="B5" s="5">
        <v>6</v>
      </c>
    </row>
    <row r="6" spans="1:2" x14ac:dyDescent="0.25">
      <c r="A6" t="s">
        <v>109</v>
      </c>
      <c r="B6" s="5">
        <v>7</v>
      </c>
    </row>
    <row r="7" spans="1:2" x14ac:dyDescent="0.25">
      <c r="A7" t="s">
        <v>111</v>
      </c>
      <c r="B7" s="5">
        <v>8</v>
      </c>
    </row>
    <row r="8" spans="1:2" x14ac:dyDescent="0.25">
      <c r="A8" t="s">
        <v>113</v>
      </c>
      <c r="B8" s="5">
        <v>9</v>
      </c>
    </row>
    <row r="9" spans="1:2" x14ac:dyDescent="0.25">
      <c r="A9" t="s">
        <v>114</v>
      </c>
      <c r="B9" s="5">
        <v>10</v>
      </c>
    </row>
    <row r="10" spans="1:2" x14ac:dyDescent="0.25">
      <c r="A10" t="s">
        <v>116</v>
      </c>
      <c r="B10" s="5">
        <v>11</v>
      </c>
    </row>
    <row r="11" spans="1:2" x14ac:dyDescent="0.25">
      <c r="A11" t="s">
        <v>117</v>
      </c>
      <c r="B11" s="5">
        <v>12</v>
      </c>
    </row>
    <row r="12" spans="1:2" x14ac:dyDescent="0.25">
      <c r="A12" t="s">
        <v>119</v>
      </c>
      <c r="B12" s="5">
        <v>13</v>
      </c>
    </row>
    <row r="13" spans="1:2" x14ac:dyDescent="0.25">
      <c r="A13" t="s">
        <v>121</v>
      </c>
      <c r="B13" s="5">
        <v>14</v>
      </c>
    </row>
    <row r="14" spans="1:2" x14ac:dyDescent="0.25">
      <c r="A14" t="s">
        <v>122</v>
      </c>
      <c r="B14" s="5">
        <v>16</v>
      </c>
    </row>
    <row r="15" spans="1:2" x14ac:dyDescent="0.25">
      <c r="A15" t="s">
        <v>123</v>
      </c>
      <c r="B15" s="5">
        <v>17</v>
      </c>
    </row>
    <row r="16" spans="1:2" x14ac:dyDescent="0.25">
      <c r="A16" t="s">
        <v>124</v>
      </c>
      <c r="B16" s="5">
        <v>18</v>
      </c>
    </row>
    <row r="17" spans="1:2" x14ac:dyDescent="0.25">
      <c r="A17" t="s">
        <v>125</v>
      </c>
      <c r="B17" s="5">
        <v>19</v>
      </c>
    </row>
    <row r="18" spans="1:2" x14ac:dyDescent="0.25">
      <c r="A18" t="s">
        <v>126</v>
      </c>
      <c r="B18" s="5">
        <v>20</v>
      </c>
    </row>
    <row r="19" spans="1:2" x14ac:dyDescent="0.25">
      <c r="A19" t="s">
        <v>127</v>
      </c>
      <c r="B19" s="5">
        <v>21</v>
      </c>
    </row>
    <row r="20" spans="1:2" x14ac:dyDescent="0.25">
      <c r="A20" t="s">
        <v>128</v>
      </c>
      <c r="B20" s="5">
        <v>22</v>
      </c>
    </row>
    <row r="21" spans="1:2" x14ac:dyDescent="0.25">
      <c r="A21" t="s">
        <v>129</v>
      </c>
      <c r="B21" s="5">
        <v>23</v>
      </c>
    </row>
    <row r="22" spans="1:2" x14ac:dyDescent="0.25">
      <c r="A22" t="s">
        <v>130</v>
      </c>
      <c r="B22" s="5">
        <v>24</v>
      </c>
    </row>
    <row r="23" spans="1:2" x14ac:dyDescent="0.25">
      <c r="A23" t="s">
        <v>132</v>
      </c>
      <c r="B23" s="5">
        <v>26</v>
      </c>
    </row>
    <row r="24" spans="1:2" x14ac:dyDescent="0.25">
      <c r="A24" t="s">
        <v>134</v>
      </c>
      <c r="B24" s="5">
        <v>27</v>
      </c>
    </row>
    <row r="25" spans="1:2" x14ac:dyDescent="0.25">
      <c r="A25" t="s">
        <v>135</v>
      </c>
      <c r="B25" s="5">
        <v>28</v>
      </c>
    </row>
    <row r="26" spans="1:2" x14ac:dyDescent="0.25">
      <c r="A26" t="s">
        <v>137</v>
      </c>
      <c r="B26" s="5" t="s">
        <v>138</v>
      </c>
    </row>
    <row r="27" spans="1:2" x14ac:dyDescent="0.25">
      <c r="A27" t="s">
        <v>139</v>
      </c>
      <c r="B27" s="5" t="s">
        <v>140</v>
      </c>
    </row>
    <row r="28" spans="1:2" x14ac:dyDescent="0.25">
      <c r="A28" t="s">
        <v>142</v>
      </c>
      <c r="B28" s="5" t="s">
        <v>143</v>
      </c>
    </row>
    <row r="29" spans="1:2" x14ac:dyDescent="0.25">
      <c r="A29" t="s">
        <v>145</v>
      </c>
      <c r="B29" s="5" t="s">
        <v>146</v>
      </c>
    </row>
    <row r="30" spans="1:2" x14ac:dyDescent="0.25">
      <c r="A30" t="s">
        <v>148</v>
      </c>
      <c r="B30" s="5" t="s">
        <v>149</v>
      </c>
    </row>
    <row r="31" spans="1:2" x14ac:dyDescent="0.25">
      <c r="A31" t="s">
        <v>151</v>
      </c>
      <c r="B31" s="5" t="s">
        <v>152</v>
      </c>
    </row>
    <row r="32" spans="1:2" x14ac:dyDescent="0.25">
      <c r="A32" t="s">
        <v>154</v>
      </c>
      <c r="B32" s="5" t="s">
        <v>155</v>
      </c>
    </row>
    <row r="33" spans="1:2" x14ac:dyDescent="0.25">
      <c r="A33" t="s">
        <v>157</v>
      </c>
      <c r="B33" s="5" t="s">
        <v>158</v>
      </c>
    </row>
    <row r="34" spans="1:2" x14ac:dyDescent="0.25">
      <c r="A34" t="s">
        <v>160</v>
      </c>
      <c r="B34" s="5" t="s">
        <v>161</v>
      </c>
    </row>
    <row r="35" spans="1:2" x14ac:dyDescent="0.25">
      <c r="A35" t="s">
        <v>163</v>
      </c>
      <c r="B35" s="5" t="s">
        <v>164</v>
      </c>
    </row>
    <row r="36" spans="1:2" x14ac:dyDescent="0.25">
      <c r="A36" t="s">
        <v>166</v>
      </c>
      <c r="B36" s="5" t="s">
        <v>167</v>
      </c>
    </row>
    <row r="37" spans="1:2" x14ac:dyDescent="0.25">
      <c r="A37" t="s">
        <v>169</v>
      </c>
      <c r="B37" s="5" t="s">
        <v>170</v>
      </c>
    </row>
    <row r="38" spans="1:2" x14ac:dyDescent="0.25">
      <c r="A38" t="s">
        <v>172</v>
      </c>
      <c r="B38" s="5" t="s">
        <v>173</v>
      </c>
    </row>
    <row r="39" spans="1:2" x14ac:dyDescent="0.25">
      <c r="A39" t="s">
        <v>175</v>
      </c>
      <c r="B39" s="5" t="s">
        <v>176</v>
      </c>
    </row>
    <row r="40" spans="1:2" x14ac:dyDescent="0.25">
      <c r="A40" t="s">
        <v>178</v>
      </c>
      <c r="B40" s="5" t="s">
        <v>179</v>
      </c>
    </row>
    <row r="41" spans="1:2" x14ac:dyDescent="0.25">
      <c r="A41" t="s">
        <v>181</v>
      </c>
      <c r="B41" s="5" t="s">
        <v>182</v>
      </c>
    </row>
    <row r="42" spans="1:2" x14ac:dyDescent="0.25">
      <c r="A42" t="s">
        <v>184</v>
      </c>
      <c r="B42" s="5" t="s">
        <v>185</v>
      </c>
    </row>
    <row r="43" spans="1:2" x14ac:dyDescent="0.25">
      <c r="A43" t="s">
        <v>187</v>
      </c>
      <c r="B43" s="5" t="s">
        <v>188</v>
      </c>
    </row>
    <row r="44" spans="1:2" x14ac:dyDescent="0.25">
      <c r="A44" t="s">
        <v>190</v>
      </c>
      <c r="B44" s="5" t="s">
        <v>191</v>
      </c>
    </row>
    <row r="45" spans="1:2" x14ac:dyDescent="0.25">
      <c r="A45" t="s">
        <v>193</v>
      </c>
      <c r="B45" s="5" t="s">
        <v>194</v>
      </c>
    </row>
    <row r="46" spans="1:2" x14ac:dyDescent="0.25">
      <c r="A46" t="s">
        <v>196</v>
      </c>
      <c r="B46" s="5" t="s">
        <v>197</v>
      </c>
    </row>
    <row r="47" spans="1:2" x14ac:dyDescent="0.25">
      <c r="A47" t="s">
        <v>199</v>
      </c>
      <c r="B47" s="5" t="s">
        <v>200</v>
      </c>
    </row>
    <row r="48" spans="1:2" x14ac:dyDescent="0.25">
      <c r="A48" t="s">
        <v>203</v>
      </c>
      <c r="B48" s="5" t="s">
        <v>204</v>
      </c>
    </row>
    <row r="49" spans="1:2" x14ac:dyDescent="0.25">
      <c r="A49" t="s">
        <v>206</v>
      </c>
      <c r="B49" s="5" t="s">
        <v>207</v>
      </c>
    </row>
    <row r="50" spans="1:2" x14ac:dyDescent="0.25">
      <c r="A50" t="s">
        <v>209</v>
      </c>
      <c r="B50" s="5" t="s">
        <v>210</v>
      </c>
    </row>
    <row r="51" spans="1:2" x14ac:dyDescent="0.25">
      <c r="A51" t="s">
        <v>212</v>
      </c>
      <c r="B51" s="5" t="s">
        <v>213</v>
      </c>
    </row>
    <row r="52" spans="1:2" x14ac:dyDescent="0.25">
      <c r="A52" t="s">
        <v>215</v>
      </c>
      <c r="B52" s="5" t="s">
        <v>216</v>
      </c>
    </row>
    <row r="53" spans="1:2" x14ac:dyDescent="0.25">
      <c r="A53" t="s">
        <v>218</v>
      </c>
      <c r="B53" s="5" t="s">
        <v>219</v>
      </c>
    </row>
    <row r="54" spans="1:2" x14ac:dyDescent="0.25">
      <c r="A54" t="s">
        <v>221</v>
      </c>
      <c r="B54" s="5" t="s">
        <v>222</v>
      </c>
    </row>
    <row r="55" spans="1:2" x14ac:dyDescent="0.25">
      <c r="A55" t="s">
        <v>224</v>
      </c>
      <c r="B55" s="5" t="s">
        <v>225</v>
      </c>
    </row>
    <row r="56" spans="1:2" x14ac:dyDescent="0.25">
      <c r="A56" t="s">
        <v>227</v>
      </c>
      <c r="B56" s="5" t="s">
        <v>228</v>
      </c>
    </row>
    <row r="57" spans="1:2" x14ac:dyDescent="0.25">
      <c r="A57" t="s">
        <v>231</v>
      </c>
      <c r="B57" s="5" t="s">
        <v>232</v>
      </c>
    </row>
    <row r="58" spans="1:2" x14ac:dyDescent="0.25">
      <c r="A58" t="s">
        <v>234</v>
      </c>
      <c r="B58" s="5" t="s">
        <v>235</v>
      </c>
    </row>
    <row r="59" spans="1:2" x14ac:dyDescent="0.25">
      <c r="A59" t="s">
        <v>237</v>
      </c>
      <c r="B59" s="5" t="s">
        <v>238</v>
      </c>
    </row>
    <row r="60" spans="1:2" x14ac:dyDescent="0.25">
      <c r="A60" t="s">
        <v>240</v>
      </c>
      <c r="B60" s="5" t="s">
        <v>241</v>
      </c>
    </row>
    <row r="61" spans="1:2" x14ac:dyDescent="0.25">
      <c r="A61" t="s">
        <v>243</v>
      </c>
      <c r="B61" s="5" t="s">
        <v>244</v>
      </c>
    </row>
    <row r="62" spans="1:2" x14ac:dyDescent="0.25">
      <c r="A62" t="s">
        <v>246</v>
      </c>
      <c r="B62" s="5" t="s">
        <v>247</v>
      </c>
    </row>
    <row r="63" spans="1:2" x14ac:dyDescent="0.25">
      <c r="A63" t="s">
        <v>249</v>
      </c>
      <c r="B63" s="5" t="s">
        <v>250</v>
      </c>
    </row>
    <row r="64" spans="1:2" x14ac:dyDescent="0.25">
      <c r="A64" t="s">
        <v>252</v>
      </c>
      <c r="B64" s="5" t="s">
        <v>253</v>
      </c>
    </row>
    <row r="65" spans="1:10" x14ac:dyDescent="0.25">
      <c r="A65" t="s">
        <v>271</v>
      </c>
      <c r="B65" s="5" t="s">
        <v>83</v>
      </c>
      <c r="C65" t="s">
        <v>77</v>
      </c>
      <c r="D65" t="s">
        <v>25</v>
      </c>
      <c r="E65" t="s">
        <v>73</v>
      </c>
      <c r="F65" t="s">
        <v>51</v>
      </c>
      <c r="G65" t="s">
        <v>71</v>
      </c>
      <c r="H65" t="s">
        <v>61</v>
      </c>
      <c r="I65" t="s">
        <v>39</v>
      </c>
      <c r="J65" t="s">
        <v>57</v>
      </c>
    </row>
    <row r="66" spans="1:10" x14ac:dyDescent="0.25">
      <c r="A66" t="s">
        <v>273</v>
      </c>
      <c r="B66" s="5">
        <v>1</v>
      </c>
    </row>
    <row r="67" spans="1:10" x14ac:dyDescent="0.25">
      <c r="A67" t="s">
        <v>274</v>
      </c>
      <c r="B67" s="5">
        <v>2</v>
      </c>
    </row>
    <row r="68" spans="1:10" x14ac:dyDescent="0.25">
      <c r="A68" t="s">
        <v>276</v>
      </c>
      <c r="B68" s="5">
        <v>3</v>
      </c>
    </row>
    <row r="69" spans="1:10" x14ac:dyDescent="0.25">
      <c r="A69" t="s">
        <v>277</v>
      </c>
      <c r="B69" s="5">
        <v>4</v>
      </c>
    </row>
    <row r="70" spans="1:10" x14ac:dyDescent="0.25">
      <c r="A70" t="s">
        <v>278</v>
      </c>
      <c r="B70" s="5">
        <v>5</v>
      </c>
    </row>
    <row r="71" spans="1:10" x14ac:dyDescent="0.25">
      <c r="A71" t="s">
        <v>280</v>
      </c>
      <c r="B71" s="5">
        <v>7</v>
      </c>
    </row>
    <row r="72" spans="1:10" x14ac:dyDescent="0.25">
      <c r="A72" t="s">
        <v>281</v>
      </c>
      <c r="B72" s="5">
        <v>8</v>
      </c>
    </row>
    <row r="73" spans="1:10" x14ac:dyDescent="0.25">
      <c r="A73" t="s">
        <v>283</v>
      </c>
      <c r="B73" s="5">
        <v>9</v>
      </c>
    </row>
    <row r="74" spans="1:10" x14ac:dyDescent="0.25">
      <c r="A74" t="s">
        <v>286</v>
      </c>
      <c r="B74" s="5">
        <v>10</v>
      </c>
    </row>
    <row r="75" spans="1:10" x14ac:dyDescent="0.25">
      <c r="A75" t="s">
        <v>288</v>
      </c>
      <c r="B75" s="5">
        <v>11</v>
      </c>
    </row>
    <row r="76" spans="1:10" x14ac:dyDescent="0.25">
      <c r="A76" t="s">
        <v>290</v>
      </c>
      <c r="B76" s="5">
        <v>12</v>
      </c>
    </row>
    <row r="77" spans="1:10" x14ac:dyDescent="0.25">
      <c r="A77" t="s">
        <v>291</v>
      </c>
      <c r="B77" s="5">
        <v>13</v>
      </c>
    </row>
    <row r="78" spans="1:10" x14ac:dyDescent="0.25">
      <c r="A78" t="s">
        <v>292</v>
      </c>
      <c r="B78" s="5">
        <v>14</v>
      </c>
    </row>
    <row r="79" spans="1:10" x14ac:dyDescent="0.25">
      <c r="A79" t="s">
        <v>293</v>
      </c>
      <c r="B79" s="5">
        <v>16</v>
      </c>
    </row>
    <row r="80" spans="1:10" x14ac:dyDescent="0.25">
      <c r="A80" t="s">
        <v>294</v>
      </c>
      <c r="B80" s="5">
        <v>17</v>
      </c>
    </row>
    <row r="81" spans="1:2" x14ac:dyDescent="0.25">
      <c r="A81" t="s">
        <v>295</v>
      </c>
      <c r="B81" s="5">
        <v>18</v>
      </c>
    </row>
    <row r="82" spans="1:2" x14ac:dyDescent="0.25">
      <c r="A82" t="s">
        <v>296</v>
      </c>
      <c r="B82" s="5">
        <v>19</v>
      </c>
    </row>
    <row r="83" spans="1:2" x14ac:dyDescent="0.25">
      <c r="A83" t="s">
        <v>297</v>
      </c>
      <c r="B83" s="5">
        <v>20</v>
      </c>
    </row>
    <row r="84" spans="1:2" x14ac:dyDescent="0.25">
      <c r="A84" t="s">
        <v>298</v>
      </c>
      <c r="B84" s="5">
        <v>21</v>
      </c>
    </row>
    <row r="85" spans="1:2" x14ac:dyDescent="0.25">
      <c r="A85" t="s">
        <v>299</v>
      </c>
      <c r="B85" s="5">
        <v>22</v>
      </c>
    </row>
    <row r="86" spans="1:2" x14ac:dyDescent="0.25">
      <c r="A86" t="s">
        <v>300</v>
      </c>
      <c r="B86" s="5">
        <v>23</v>
      </c>
    </row>
    <row r="87" spans="1:2" x14ac:dyDescent="0.25">
      <c r="A87" t="s">
        <v>302</v>
      </c>
      <c r="B87" s="5">
        <v>25</v>
      </c>
    </row>
    <row r="88" spans="1:2" x14ac:dyDescent="0.25">
      <c r="A88" t="s">
        <v>303</v>
      </c>
      <c r="B88" s="5">
        <v>26</v>
      </c>
    </row>
    <row r="89" spans="1:2" x14ac:dyDescent="0.25">
      <c r="A89" t="s">
        <v>304</v>
      </c>
      <c r="B89" s="5">
        <v>27</v>
      </c>
    </row>
    <row r="90" spans="1:2" x14ac:dyDescent="0.25">
      <c r="A90" t="s">
        <v>306</v>
      </c>
      <c r="B90" s="5" t="s">
        <v>307</v>
      </c>
    </row>
    <row r="91" spans="1:2" x14ac:dyDescent="0.25">
      <c r="A91" t="s">
        <v>308</v>
      </c>
      <c r="B91" s="5" t="s">
        <v>309</v>
      </c>
    </row>
    <row r="92" spans="1:2" x14ac:dyDescent="0.25">
      <c r="A92" t="s">
        <v>314</v>
      </c>
      <c r="B92" s="5" t="s">
        <v>315</v>
      </c>
    </row>
    <row r="93" spans="1:2" x14ac:dyDescent="0.25">
      <c r="A93" t="s">
        <v>316</v>
      </c>
      <c r="B93" s="5" t="s">
        <v>317</v>
      </c>
    </row>
    <row r="94" spans="1:2" x14ac:dyDescent="0.25">
      <c r="A94" t="s">
        <v>318</v>
      </c>
      <c r="B94" s="5" t="s">
        <v>319</v>
      </c>
    </row>
    <row r="95" spans="1:2" x14ac:dyDescent="0.25">
      <c r="A95" t="s">
        <v>320</v>
      </c>
      <c r="B95" s="5" t="s">
        <v>321</v>
      </c>
    </row>
    <row r="96" spans="1:2" x14ac:dyDescent="0.25">
      <c r="A96" t="s">
        <v>323</v>
      </c>
      <c r="B96" s="5" t="s">
        <v>324</v>
      </c>
    </row>
    <row r="97" spans="1:9" x14ac:dyDescent="0.25">
      <c r="A97" t="s">
        <v>325</v>
      </c>
      <c r="B97" s="5" t="s">
        <v>326</v>
      </c>
    </row>
    <row r="98" spans="1:9" x14ac:dyDescent="0.25">
      <c r="A98" t="s">
        <v>327</v>
      </c>
      <c r="B98" s="5" t="s">
        <v>328</v>
      </c>
    </row>
    <row r="99" spans="1:9" x14ac:dyDescent="0.25">
      <c r="A99" t="s">
        <v>329</v>
      </c>
      <c r="B99" s="5" t="s">
        <v>330</v>
      </c>
    </row>
    <row r="100" spans="1:9" x14ac:dyDescent="0.25">
      <c r="A100" t="s">
        <v>331</v>
      </c>
      <c r="B100" s="5" t="s">
        <v>332</v>
      </c>
    </row>
    <row r="101" spans="1:9" x14ac:dyDescent="0.25">
      <c r="A101" t="s">
        <v>333</v>
      </c>
      <c r="B101" s="5" t="s">
        <v>334</v>
      </c>
    </row>
    <row r="102" spans="1:9" x14ac:dyDescent="0.25">
      <c r="A102" t="s">
        <v>335</v>
      </c>
      <c r="B102" s="5" t="s">
        <v>336</v>
      </c>
    </row>
    <row r="103" spans="1:9" x14ac:dyDescent="0.25">
      <c r="A103" t="s">
        <v>338</v>
      </c>
      <c r="B103" s="5" t="s">
        <v>339</v>
      </c>
    </row>
    <row r="104" spans="1:9" x14ac:dyDescent="0.25">
      <c r="A104" t="s">
        <v>340</v>
      </c>
      <c r="B104" s="5" t="s">
        <v>341</v>
      </c>
    </row>
    <row r="105" spans="1:9" x14ac:dyDescent="0.25">
      <c r="A105" t="s">
        <v>342</v>
      </c>
      <c r="B105" s="5" t="s">
        <v>343</v>
      </c>
    </row>
    <row r="106" spans="1:9" x14ac:dyDescent="0.25">
      <c r="A106" t="s">
        <v>344</v>
      </c>
      <c r="B106" s="5" t="s">
        <v>345</v>
      </c>
    </row>
    <row r="107" spans="1:9" x14ac:dyDescent="0.25">
      <c r="A107" t="s">
        <v>346</v>
      </c>
      <c r="B107" s="5" t="s">
        <v>347</v>
      </c>
    </row>
    <row r="108" spans="1:9" x14ac:dyDescent="0.25">
      <c r="A108" t="s">
        <v>356</v>
      </c>
      <c r="B108" s="5" t="s">
        <v>47</v>
      </c>
      <c r="C108" t="s">
        <v>49</v>
      </c>
      <c r="D108" t="s">
        <v>11</v>
      </c>
      <c r="E108" t="s">
        <v>25</v>
      </c>
      <c r="F108" t="s">
        <v>7</v>
      </c>
      <c r="G108" t="s">
        <v>75</v>
      </c>
      <c r="H108" t="s">
        <v>61</v>
      </c>
      <c r="I108" t="s">
        <v>39</v>
      </c>
    </row>
    <row r="109" spans="1:9" x14ac:dyDescent="0.25">
      <c r="A109" t="s">
        <v>358</v>
      </c>
      <c r="B109" s="5">
        <v>1</v>
      </c>
    </row>
    <row r="110" spans="1:9" x14ac:dyDescent="0.25">
      <c r="A110" t="s">
        <v>359</v>
      </c>
      <c r="B110" s="5">
        <v>2</v>
      </c>
    </row>
    <row r="111" spans="1:9" x14ac:dyDescent="0.25">
      <c r="A111" t="s">
        <v>360</v>
      </c>
      <c r="B111" s="5">
        <v>3</v>
      </c>
    </row>
    <row r="112" spans="1:9" x14ac:dyDescent="0.25">
      <c r="A112" t="s">
        <v>361</v>
      </c>
      <c r="B112" s="5">
        <v>4</v>
      </c>
    </row>
    <row r="113" spans="1:2" x14ac:dyDescent="0.25">
      <c r="A113" t="s">
        <v>362</v>
      </c>
      <c r="B113" s="5">
        <v>5</v>
      </c>
    </row>
    <row r="114" spans="1:2" x14ac:dyDescent="0.25">
      <c r="A114" t="s">
        <v>363</v>
      </c>
      <c r="B114" s="5">
        <v>7</v>
      </c>
    </row>
    <row r="115" spans="1:2" x14ac:dyDescent="0.25">
      <c r="A115" t="s">
        <v>364</v>
      </c>
      <c r="B115" s="5">
        <v>8</v>
      </c>
    </row>
    <row r="116" spans="1:2" x14ac:dyDescent="0.25">
      <c r="A116" t="s">
        <v>365</v>
      </c>
      <c r="B116" s="5">
        <v>9</v>
      </c>
    </row>
    <row r="117" spans="1:2" x14ac:dyDescent="0.25">
      <c r="A117" t="s">
        <v>367</v>
      </c>
      <c r="B117" s="5">
        <v>10</v>
      </c>
    </row>
    <row r="118" spans="1:2" x14ac:dyDescent="0.25">
      <c r="A118" t="s">
        <v>368</v>
      </c>
      <c r="B118" s="5">
        <v>11</v>
      </c>
    </row>
    <row r="119" spans="1:2" x14ac:dyDescent="0.25">
      <c r="A119" t="s">
        <v>369</v>
      </c>
      <c r="B119" s="5">
        <v>12</v>
      </c>
    </row>
    <row r="120" spans="1:2" x14ac:dyDescent="0.25">
      <c r="A120" t="s">
        <v>370</v>
      </c>
      <c r="B120" s="5">
        <v>13</v>
      </c>
    </row>
    <row r="121" spans="1:2" x14ac:dyDescent="0.25">
      <c r="A121" t="s">
        <v>371</v>
      </c>
      <c r="B121" s="5">
        <v>14</v>
      </c>
    </row>
    <row r="122" spans="1:2" x14ac:dyDescent="0.25">
      <c r="A122" t="s">
        <v>373</v>
      </c>
      <c r="B122" s="5">
        <v>15</v>
      </c>
    </row>
    <row r="123" spans="1:2" x14ac:dyDescent="0.25">
      <c r="A123" t="s">
        <v>376</v>
      </c>
      <c r="B123" s="5">
        <v>16</v>
      </c>
    </row>
    <row r="124" spans="1:2" x14ac:dyDescent="0.25">
      <c r="A124" t="s">
        <v>378</v>
      </c>
      <c r="B124" s="5">
        <v>17</v>
      </c>
    </row>
    <row r="125" spans="1:2" x14ac:dyDescent="0.25">
      <c r="A125" t="s">
        <v>379</v>
      </c>
      <c r="B125" s="5">
        <v>18</v>
      </c>
    </row>
    <row r="126" spans="1:2" x14ac:dyDescent="0.25">
      <c r="A126" t="s">
        <v>380</v>
      </c>
      <c r="B126" s="5">
        <v>19</v>
      </c>
    </row>
    <row r="127" spans="1:2" x14ac:dyDescent="0.25">
      <c r="A127" t="s">
        <v>381</v>
      </c>
      <c r="B127" s="5">
        <v>20</v>
      </c>
    </row>
    <row r="128" spans="1:2" x14ac:dyDescent="0.25">
      <c r="A128" t="s">
        <v>383</v>
      </c>
      <c r="B128" s="5">
        <v>21</v>
      </c>
    </row>
    <row r="129" spans="1:2" x14ac:dyDescent="0.25">
      <c r="A129" t="s">
        <v>384</v>
      </c>
      <c r="B129" s="5">
        <v>22</v>
      </c>
    </row>
    <row r="130" spans="1:2" x14ac:dyDescent="0.25">
      <c r="A130" t="s">
        <v>385</v>
      </c>
      <c r="B130" s="5">
        <v>23</v>
      </c>
    </row>
    <row r="131" spans="1:2" x14ac:dyDescent="0.25">
      <c r="A131" t="s">
        <v>386</v>
      </c>
      <c r="B131" s="5">
        <v>24</v>
      </c>
    </row>
    <row r="132" spans="1:2" x14ac:dyDescent="0.25">
      <c r="A132" t="s">
        <v>387</v>
      </c>
      <c r="B132" s="5">
        <v>25</v>
      </c>
    </row>
    <row r="133" spans="1:2" x14ac:dyDescent="0.25">
      <c r="A133" t="s">
        <v>388</v>
      </c>
      <c r="B133" s="5">
        <v>27</v>
      </c>
    </row>
    <row r="134" spans="1:2" x14ac:dyDescent="0.25">
      <c r="A134" t="s">
        <v>389</v>
      </c>
      <c r="B134" s="5">
        <v>28</v>
      </c>
    </row>
    <row r="135" spans="1:2" x14ac:dyDescent="0.25">
      <c r="A135" t="s">
        <v>390</v>
      </c>
      <c r="B135" s="5">
        <v>29</v>
      </c>
    </row>
    <row r="136" spans="1:2" x14ac:dyDescent="0.25">
      <c r="A136" t="s">
        <v>391</v>
      </c>
      <c r="B136" s="5">
        <v>30</v>
      </c>
    </row>
    <row r="137" spans="1:2" x14ac:dyDescent="0.25">
      <c r="A137" t="s">
        <v>392</v>
      </c>
      <c r="B137" s="5">
        <v>31</v>
      </c>
    </row>
    <row r="138" spans="1:2" x14ac:dyDescent="0.25">
      <c r="A138" t="s">
        <v>393</v>
      </c>
      <c r="B138" s="5">
        <v>32</v>
      </c>
    </row>
    <row r="139" spans="1:2" x14ac:dyDescent="0.25">
      <c r="A139" t="s">
        <v>394</v>
      </c>
      <c r="B139" s="5">
        <v>33</v>
      </c>
    </row>
    <row r="140" spans="1:2" x14ac:dyDescent="0.25">
      <c r="A140" t="s">
        <v>395</v>
      </c>
      <c r="B140" s="5">
        <v>34</v>
      </c>
    </row>
    <row r="141" spans="1:2" x14ac:dyDescent="0.25">
      <c r="A141" t="s">
        <v>396</v>
      </c>
      <c r="B141" s="5">
        <v>35</v>
      </c>
    </row>
    <row r="142" spans="1:2" x14ac:dyDescent="0.25">
      <c r="A142" t="s">
        <v>397</v>
      </c>
      <c r="B142" s="5">
        <v>36</v>
      </c>
    </row>
    <row r="143" spans="1:2" x14ac:dyDescent="0.25">
      <c r="A143" t="s">
        <v>398</v>
      </c>
      <c r="B143" s="5">
        <v>37</v>
      </c>
    </row>
    <row r="144" spans="1:2" x14ac:dyDescent="0.25">
      <c r="A144" t="s">
        <v>399</v>
      </c>
      <c r="B144" s="5">
        <v>38</v>
      </c>
    </row>
    <row r="145" spans="1:2" x14ac:dyDescent="0.25">
      <c r="A145" t="s">
        <v>400</v>
      </c>
      <c r="B145" s="5">
        <v>39</v>
      </c>
    </row>
    <row r="146" spans="1:2" x14ac:dyDescent="0.25">
      <c r="A146" t="s">
        <v>401</v>
      </c>
      <c r="B146" s="5">
        <v>40</v>
      </c>
    </row>
    <row r="147" spans="1:2" x14ac:dyDescent="0.25">
      <c r="A147" t="s">
        <v>402</v>
      </c>
      <c r="B147" s="5">
        <v>41</v>
      </c>
    </row>
    <row r="148" spans="1:2" x14ac:dyDescent="0.25">
      <c r="A148" t="s">
        <v>403</v>
      </c>
      <c r="B148" s="5">
        <v>42</v>
      </c>
    </row>
    <row r="149" spans="1:2" x14ac:dyDescent="0.25">
      <c r="A149" t="s">
        <v>404</v>
      </c>
      <c r="B149" s="5">
        <v>43</v>
      </c>
    </row>
    <row r="150" spans="1:2" x14ac:dyDescent="0.25">
      <c r="A150" t="s">
        <v>405</v>
      </c>
      <c r="B150" s="5">
        <v>44</v>
      </c>
    </row>
    <row r="151" spans="1:2" x14ac:dyDescent="0.25">
      <c r="A151" t="s">
        <v>406</v>
      </c>
      <c r="B151" s="5">
        <v>45</v>
      </c>
    </row>
    <row r="152" spans="1:2" x14ac:dyDescent="0.25">
      <c r="A152" t="s">
        <v>407</v>
      </c>
      <c r="B152" s="5">
        <v>47</v>
      </c>
    </row>
    <row r="153" spans="1:2" x14ac:dyDescent="0.25">
      <c r="A153" t="s">
        <v>408</v>
      </c>
      <c r="B153" s="5">
        <v>48</v>
      </c>
    </row>
    <row r="154" spans="1:2" x14ac:dyDescent="0.25">
      <c r="A154" t="s">
        <v>410</v>
      </c>
      <c r="B154" s="5">
        <v>50</v>
      </c>
    </row>
    <row r="155" spans="1:2" x14ac:dyDescent="0.25">
      <c r="A155" t="s">
        <v>411</v>
      </c>
      <c r="B155" s="5">
        <v>51</v>
      </c>
    </row>
    <row r="156" spans="1:2" x14ac:dyDescent="0.25">
      <c r="A156" t="s">
        <v>413</v>
      </c>
      <c r="B156" s="5">
        <v>52</v>
      </c>
    </row>
    <row r="157" spans="1:2" x14ac:dyDescent="0.25">
      <c r="A157" t="s">
        <v>414</v>
      </c>
      <c r="B157" s="5">
        <v>53</v>
      </c>
    </row>
    <row r="158" spans="1:2" x14ac:dyDescent="0.25">
      <c r="A158" t="s">
        <v>415</v>
      </c>
      <c r="B158" s="5">
        <v>54</v>
      </c>
    </row>
    <row r="159" spans="1:2" x14ac:dyDescent="0.25">
      <c r="A159" t="s">
        <v>416</v>
      </c>
      <c r="B159" s="5">
        <v>56</v>
      </c>
    </row>
    <row r="160" spans="1:2" x14ac:dyDescent="0.25">
      <c r="A160" t="s">
        <v>417</v>
      </c>
      <c r="B160" s="5">
        <v>57</v>
      </c>
    </row>
    <row r="161" spans="1:2" x14ac:dyDescent="0.25">
      <c r="A161" t="s">
        <v>418</v>
      </c>
      <c r="B161" s="5">
        <v>58</v>
      </c>
    </row>
    <row r="162" spans="1:2" x14ac:dyDescent="0.25">
      <c r="A162" t="s">
        <v>420</v>
      </c>
      <c r="B162" s="5">
        <v>60</v>
      </c>
    </row>
    <row r="163" spans="1:2" x14ac:dyDescent="0.25">
      <c r="A163" t="s">
        <v>421</v>
      </c>
      <c r="B163" s="5">
        <v>61</v>
      </c>
    </row>
    <row r="164" spans="1:2" x14ac:dyDescent="0.25">
      <c r="A164" t="s">
        <v>422</v>
      </c>
      <c r="B164" s="5">
        <v>62</v>
      </c>
    </row>
    <row r="165" spans="1:2" x14ac:dyDescent="0.25">
      <c r="A165" t="s">
        <v>424</v>
      </c>
      <c r="B165" s="5" t="s">
        <v>425</v>
      </c>
    </row>
    <row r="166" spans="1:2" x14ac:dyDescent="0.25">
      <c r="A166" t="s">
        <v>426</v>
      </c>
      <c r="B166" s="5" t="s">
        <v>427</v>
      </c>
    </row>
    <row r="167" spans="1:2" x14ac:dyDescent="0.25">
      <c r="A167" t="s">
        <v>430</v>
      </c>
      <c r="B167" s="5" t="s">
        <v>431</v>
      </c>
    </row>
    <row r="168" spans="1:2" x14ac:dyDescent="0.25">
      <c r="A168" t="s">
        <v>432</v>
      </c>
      <c r="B168" s="5" t="s">
        <v>433</v>
      </c>
    </row>
    <row r="169" spans="1:2" x14ac:dyDescent="0.25">
      <c r="A169" t="s">
        <v>434</v>
      </c>
      <c r="B169" s="5" t="s">
        <v>435</v>
      </c>
    </row>
    <row r="170" spans="1:2" x14ac:dyDescent="0.25">
      <c r="A170" t="s">
        <v>436</v>
      </c>
      <c r="B170" s="5" t="s">
        <v>437</v>
      </c>
    </row>
    <row r="171" spans="1:2" x14ac:dyDescent="0.25">
      <c r="A171" t="s">
        <v>438</v>
      </c>
      <c r="B171" s="5" t="s">
        <v>439</v>
      </c>
    </row>
    <row r="172" spans="1:2" x14ac:dyDescent="0.25">
      <c r="A172" t="s">
        <v>440</v>
      </c>
      <c r="B172" s="5" t="s">
        <v>441</v>
      </c>
    </row>
    <row r="173" spans="1:2" x14ac:dyDescent="0.25">
      <c r="A173" t="s">
        <v>442</v>
      </c>
      <c r="B173" s="5" t="s">
        <v>443</v>
      </c>
    </row>
    <row r="174" spans="1:2" x14ac:dyDescent="0.25">
      <c r="A174" t="s">
        <v>444</v>
      </c>
      <c r="B174" s="5" t="s">
        <v>445</v>
      </c>
    </row>
    <row r="175" spans="1:2" x14ac:dyDescent="0.25">
      <c r="A175" t="s">
        <v>446</v>
      </c>
      <c r="B175" s="5" t="s">
        <v>447</v>
      </c>
    </row>
    <row r="176" spans="1:2" x14ac:dyDescent="0.25">
      <c r="A176" t="s">
        <v>448</v>
      </c>
      <c r="B176" s="5" t="s">
        <v>449</v>
      </c>
    </row>
    <row r="177" spans="1:2" x14ac:dyDescent="0.25">
      <c r="A177" t="s">
        <v>450</v>
      </c>
      <c r="B177" s="5" t="s">
        <v>451</v>
      </c>
    </row>
    <row r="178" spans="1:2" x14ac:dyDescent="0.25">
      <c r="A178" t="s">
        <v>452</v>
      </c>
      <c r="B178" s="5" t="s">
        <v>453</v>
      </c>
    </row>
    <row r="179" spans="1:2" x14ac:dyDescent="0.25">
      <c r="A179" t="s">
        <v>454</v>
      </c>
      <c r="B179" s="5" t="s">
        <v>455</v>
      </c>
    </row>
    <row r="180" spans="1:2" x14ac:dyDescent="0.25">
      <c r="A180" t="s">
        <v>456</v>
      </c>
      <c r="B180" s="5" t="s">
        <v>457</v>
      </c>
    </row>
    <row r="181" spans="1:2" x14ac:dyDescent="0.25">
      <c r="A181" t="s">
        <v>458</v>
      </c>
      <c r="B181" s="5" t="s">
        <v>459</v>
      </c>
    </row>
    <row r="182" spans="1:2" x14ac:dyDescent="0.25">
      <c r="A182" t="s">
        <v>460</v>
      </c>
      <c r="B182" s="5" t="s">
        <v>461</v>
      </c>
    </row>
    <row r="183" spans="1:2" x14ac:dyDescent="0.25">
      <c r="A183" t="s">
        <v>462</v>
      </c>
      <c r="B183" s="5" t="s">
        <v>463</v>
      </c>
    </row>
    <row r="184" spans="1:2" x14ac:dyDescent="0.25">
      <c r="A184" t="s">
        <v>464</v>
      </c>
      <c r="B184" s="5" t="s">
        <v>465</v>
      </c>
    </row>
    <row r="185" spans="1:2" x14ac:dyDescent="0.25">
      <c r="A185" t="s">
        <v>466</v>
      </c>
      <c r="B185" s="5" t="s">
        <v>467</v>
      </c>
    </row>
    <row r="186" spans="1:2" x14ac:dyDescent="0.25">
      <c r="A186" t="s">
        <v>468</v>
      </c>
      <c r="B186" s="5" t="s">
        <v>469</v>
      </c>
    </row>
    <row r="187" spans="1:2" x14ac:dyDescent="0.25">
      <c r="A187" t="s">
        <v>470</v>
      </c>
      <c r="B187" s="5" t="s">
        <v>471</v>
      </c>
    </row>
    <row r="188" spans="1:2" x14ac:dyDescent="0.25">
      <c r="A188" t="s">
        <v>472</v>
      </c>
      <c r="B188" s="5" t="s">
        <v>473</v>
      </c>
    </row>
    <row r="189" spans="1:2" x14ac:dyDescent="0.25">
      <c r="A189" t="s">
        <v>474</v>
      </c>
      <c r="B189" s="5" t="s">
        <v>475</v>
      </c>
    </row>
    <row r="190" spans="1:2" x14ac:dyDescent="0.25">
      <c r="A190" t="s">
        <v>476</v>
      </c>
      <c r="B190" s="5" t="s">
        <v>477</v>
      </c>
    </row>
    <row r="191" spans="1:2" x14ac:dyDescent="0.25">
      <c r="A191" t="s">
        <v>478</v>
      </c>
      <c r="B191" s="5" t="s">
        <v>479</v>
      </c>
    </row>
    <row r="192" spans="1:2" x14ac:dyDescent="0.25">
      <c r="A192" t="s">
        <v>480</v>
      </c>
      <c r="B192" s="5" t="s">
        <v>481</v>
      </c>
    </row>
    <row r="193" spans="1:20" x14ac:dyDescent="0.25">
      <c r="A193" t="s">
        <v>482</v>
      </c>
      <c r="B193" s="5" t="s">
        <v>483</v>
      </c>
    </row>
    <row r="194" spans="1:20" x14ac:dyDescent="0.25">
      <c r="A194" t="s">
        <v>484</v>
      </c>
      <c r="B194" s="5" t="s">
        <v>485</v>
      </c>
    </row>
    <row r="195" spans="1:20" x14ac:dyDescent="0.25">
      <c r="A195" t="s">
        <v>486</v>
      </c>
      <c r="B195" s="5" t="s">
        <v>487</v>
      </c>
    </row>
    <row r="196" spans="1:20" x14ac:dyDescent="0.25">
      <c r="A196" t="s">
        <v>488</v>
      </c>
      <c r="B196" s="5" t="s">
        <v>489</v>
      </c>
    </row>
    <row r="197" spans="1:20" x14ac:dyDescent="0.25">
      <c r="A197" t="s">
        <v>490</v>
      </c>
      <c r="B197" s="5" t="s">
        <v>491</v>
      </c>
    </row>
    <row r="198" spans="1:20" x14ac:dyDescent="0.25">
      <c r="A198" t="s">
        <v>492</v>
      </c>
      <c r="B198" s="5" t="s">
        <v>493</v>
      </c>
    </row>
    <row r="199" spans="1:20" x14ac:dyDescent="0.25">
      <c r="A199" t="s">
        <v>494</v>
      </c>
      <c r="B199" s="5" t="s">
        <v>495</v>
      </c>
    </row>
    <row r="200" spans="1:20" x14ac:dyDescent="0.25">
      <c r="A200" t="s">
        <v>496</v>
      </c>
      <c r="B200" s="5" t="s">
        <v>497</v>
      </c>
    </row>
    <row r="201" spans="1:20" x14ac:dyDescent="0.25">
      <c r="A201" t="s">
        <v>498</v>
      </c>
      <c r="B201" s="5" t="s">
        <v>499</v>
      </c>
    </row>
    <row r="202" spans="1:20" x14ac:dyDescent="0.25">
      <c r="A202" t="s">
        <v>500</v>
      </c>
      <c r="B202" s="5" t="s">
        <v>501</v>
      </c>
    </row>
    <row r="203" spans="1:20" x14ac:dyDescent="0.25">
      <c r="A203" t="s">
        <v>502</v>
      </c>
      <c r="B203" s="5" t="s">
        <v>503</v>
      </c>
    </row>
    <row r="204" spans="1:20" x14ac:dyDescent="0.25">
      <c r="A204" t="s">
        <v>507</v>
      </c>
      <c r="B204" s="5" t="s">
        <v>29</v>
      </c>
      <c r="C204" t="s">
        <v>25</v>
      </c>
      <c r="D204" t="s">
        <v>15</v>
      </c>
      <c r="E204" t="s">
        <v>73</v>
      </c>
      <c r="F204" t="s">
        <v>51</v>
      </c>
      <c r="G204" t="s">
        <v>77</v>
      </c>
      <c r="H204" t="s">
        <v>75</v>
      </c>
      <c r="I204" t="s">
        <v>7</v>
      </c>
      <c r="J204" t="s">
        <v>57</v>
      </c>
      <c r="K204" t="s">
        <v>19</v>
      </c>
      <c r="L204" t="s">
        <v>31</v>
      </c>
      <c r="M204" t="s">
        <v>47</v>
      </c>
      <c r="N204" t="s">
        <v>61</v>
      </c>
      <c r="O204" t="s">
        <v>39</v>
      </c>
      <c r="P204" t="s">
        <v>33</v>
      </c>
      <c r="Q204" t="s">
        <v>83</v>
      </c>
      <c r="R204" t="s">
        <v>49</v>
      </c>
      <c r="S204" t="s">
        <v>71</v>
      </c>
      <c r="T204" t="s">
        <v>11</v>
      </c>
    </row>
    <row r="205" spans="1:20" x14ac:dyDescent="0.25">
      <c r="A205" t="s">
        <v>509</v>
      </c>
      <c r="B205" s="5">
        <v>1</v>
      </c>
    </row>
    <row r="206" spans="1:20" x14ac:dyDescent="0.25">
      <c r="A206" t="s">
        <v>510</v>
      </c>
      <c r="B206" s="5">
        <v>2</v>
      </c>
    </row>
    <row r="207" spans="1:20" x14ac:dyDescent="0.25">
      <c r="A207" t="s">
        <v>511</v>
      </c>
      <c r="B207" s="5">
        <v>3</v>
      </c>
    </row>
    <row r="208" spans="1:20" x14ac:dyDescent="0.25">
      <c r="A208" t="s">
        <v>512</v>
      </c>
      <c r="B208" s="5">
        <v>4</v>
      </c>
    </row>
    <row r="209" spans="1:2" x14ac:dyDescent="0.25">
      <c r="A209" t="s">
        <v>514</v>
      </c>
      <c r="B209" s="5">
        <v>5</v>
      </c>
    </row>
    <row r="210" spans="1:2" x14ac:dyDescent="0.25">
      <c r="A210" t="s">
        <v>516</v>
      </c>
      <c r="B210" s="5">
        <v>6</v>
      </c>
    </row>
    <row r="211" spans="1:2" x14ac:dyDescent="0.25">
      <c r="A211" t="s">
        <v>517</v>
      </c>
      <c r="B211" s="5">
        <v>8</v>
      </c>
    </row>
    <row r="212" spans="1:2" x14ac:dyDescent="0.25">
      <c r="A212" t="s">
        <v>519</v>
      </c>
      <c r="B212" s="5">
        <v>9</v>
      </c>
    </row>
    <row r="213" spans="1:2" x14ac:dyDescent="0.25">
      <c r="A213" t="s">
        <v>521</v>
      </c>
      <c r="B213" s="5">
        <v>10</v>
      </c>
    </row>
    <row r="214" spans="1:2" x14ac:dyDescent="0.25">
      <c r="A214" t="s">
        <v>522</v>
      </c>
      <c r="B214" s="5">
        <v>11</v>
      </c>
    </row>
    <row r="215" spans="1:2" x14ac:dyDescent="0.25">
      <c r="A215" t="s">
        <v>523</v>
      </c>
      <c r="B215" s="5">
        <v>12</v>
      </c>
    </row>
    <row r="216" spans="1:2" x14ac:dyDescent="0.25">
      <c r="A216" t="s">
        <v>525</v>
      </c>
      <c r="B216" s="5">
        <v>13</v>
      </c>
    </row>
    <row r="217" spans="1:2" x14ac:dyDescent="0.25">
      <c r="A217" t="s">
        <v>526</v>
      </c>
      <c r="B217" s="5">
        <v>14</v>
      </c>
    </row>
    <row r="218" spans="1:2" x14ac:dyDescent="0.25">
      <c r="A218" t="s">
        <v>527</v>
      </c>
      <c r="B218" s="5">
        <v>15</v>
      </c>
    </row>
    <row r="219" spans="1:2" x14ac:dyDescent="0.25">
      <c r="A219" t="s">
        <v>530</v>
      </c>
      <c r="B219" s="5">
        <v>16</v>
      </c>
    </row>
    <row r="220" spans="1:2" x14ac:dyDescent="0.25">
      <c r="A220" t="s">
        <v>532</v>
      </c>
      <c r="B220" s="5">
        <v>17</v>
      </c>
    </row>
    <row r="221" spans="1:2" x14ac:dyDescent="0.25">
      <c r="A221" t="s">
        <v>534</v>
      </c>
      <c r="B221" s="5">
        <v>18</v>
      </c>
    </row>
    <row r="222" spans="1:2" x14ac:dyDescent="0.25">
      <c r="A222" t="s">
        <v>535</v>
      </c>
      <c r="B222" s="5">
        <v>19</v>
      </c>
    </row>
    <row r="223" spans="1:2" x14ac:dyDescent="0.25">
      <c r="A223" t="s">
        <v>536</v>
      </c>
      <c r="B223" s="5">
        <v>21</v>
      </c>
    </row>
    <row r="224" spans="1:2" x14ac:dyDescent="0.25">
      <c r="A224" t="s">
        <v>537</v>
      </c>
      <c r="B224" s="5">
        <v>22</v>
      </c>
    </row>
    <row r="225" spans="1:2" x14ac:dyDescent="0.25">
      <c r="A225" t="s">
        <v>538</v>
      </c>
      <c r="B225" s="5">
        <v>23</v>
      </c>
    </row>
    <row r="226" spans="1:2" x14ac:dyDescent="0.25">
      <c r="A226" t="s">
        <v>539</v>
      </c>
      <c r="B226" s="5">
        <v>24</v>
      </c>
    </row>
    <row r="227" spans="1:2" x14ac:dyDescent="0.25">
      <c r="A227" t="s">
        <v>540</v>
      </c>
      <c r="B227" s="5">
        <v>25</v>
      </c>
    </row>
    <row r="228" spans="1:2" x14ac:dyDescent="0.25">
      <c r="A228" t="s">
        <v>541</v>
      </c>
      <c r="B228" s="5">
        <v>26</v>
      </c>
    </row>
    <row r="229" spans="1:2" x14ac:dyDescent="0.25">
      <c r="A229" t="s">
        <v>542</v>
      </c>
      <c r="B229" s="5">
        <v>27</v>
      </c>
    </row>
    <row r="230" spans="1:2" x14ac:dyDescent="0.25">
      <c r="A230" t="s">
        <v>543</v>
      </c>
      <c r="B230" s="5">
        <v>28</v>
      </c>
    </row>
    <row r="231" spans="1:2" x14ac:dyDescent="0.25">
      <c r="A231" t="s">
        <v>544</v>
      </c>
      <c r="B231" s="5">
        <v>29</v>
      </c>
    </row>
    <row r="232" spans="1:2" x14ac:dyDescent="0.25">
      <c r="A232" t="s">
        <v>545</v>
      </c>
      <c r="B232" s="5">
        <v>30</v>
      </c>
    </row>
    <row r="233" spans="1:2" x14ac:dyDescent="0.25">
      <c r="A233" t="s">
        <v>546</v>
      </c>
      <c r="B233" s="5">
        <v>31</v>
      </c>
    </row>
    <row r="234" spans="1:2" x14ac:dyDescent="0.25">
      <c r="A234" t="s">
        <v>547</v>
      </c>
      <c r="B234" s="5">
        <v>32</v>
      </c>
    </row>
    <row r="235" spans="1:2" x14ac:dyDescent="0.25">
      <c r="A235" t="s">
        <v>548</v>
      </c>
      <c r="B235" s="5">
        <v>34</v>
      </c>
    </row>
    <row r="236" spans="1:2" x14ac:dyDescent="0.25">
      <c r="A236" t="s">
        <v>550</v>
      </c>
      <c r="B236" s="5" t="s">
        <v>551</v>
      </c>
    </row>
    <row r="237" spans="1:2" x14ac:dyDescent="0.25">
      <c r="A237" t="s">
        <v>552</v>
      </c>
      <c r="B237" s="5" t="s">
        <v>553</v>
      </c>
    </row>
    <row r="238" spans="1:2" x14ac:dyDescent="0.25">
      <c r="A238" t="s">
        <v>555</v>
      </c>
      <c r="B238" s="5" t="s">
        <v>556</v>
      </c>
    </row>
    <row r="239" spans="1:2" x14ac:dyDescent="0.25">
      <c r="A239" t="s">
        <v>558</v>
      </c>
      <c r="B239" s="5" t="s">
        <v>559</v>
      </c>
    </row>
    <row r="240" spans="1:2" x14ac:dyDescent="0.25">
      <c r="A240" t="s">
        <v>561</v>
      </c>
      <c r="B240" s="5" t="s">
        <v>562</v>
      </c>
    </row>
    <row r="241" spans="1:13" x14ac:dyDescent="0.25">
      <c r="A241" t="s">
        <v>564</v>
      </c>
      <c r="B241" s="5" t="s">
        <v>565</v>
      </c>
    </row>
    <row r="242" spans="1:13" x14ac:dyDescent="0.25">
      <c r="A242" t="s">
        <v>568</v>
      </c>
      <c r="B242" s="5" t="s">
        <v>569</v>
      </c>
    </row>
    <row r="243" spans="1:13" x14ac:dyDescent="0.25">
      <c r="A243" t="s">
        <v>576</v>
      </c>
      <c r="B243" s="5" t="s">
        <v>71</v>
      </c>
      <c r="C243" t="s">
        <v>73</v>
      </c>
      <c r="D243" t="s">
        <v>15</v>
      </c>
      <c r="E243" t="s">
        <v>43</v>
      </c>
      <c r="F243" t="s">
        <v>41</v>
      </c>
      <c r="G243" t="s">
        <v>57</v>
      </c>
      <c r="H243" t="s">
        <v>19</v>
      </c>
      <c r="I243" t="s">
        <v>25</v>
      </c>
      <c r="J243" t="s">
        <v>67</v>
      </c>
      <c r="K243" t="s">
        <v>65</v>
      </c>
      <c r="L243" t="s">
        <v>83</v>
      </c>
      <c r="M243" t="s">
        <v>63</v>
      </c>
    </row>
    <row r="244" spans="1:13" x14ac:dyDescent="0.25">
      <c r="A244" t="s">
        <v>578</v>
      </c>
      <c r="B244" s="5">
        <v>1</v>
      </c>
    </row>
    <row r="245" spans="1:13" x14ac:dyDescent="0.25">
      <c r="A245" t="s">
        <v>579</v>
      </c>
      <c r="B245" s="5">
        <v>2</v>
      </c>
    </row>
    <row r="246" spans="1:13" x14ac:dyDescent="0.25">
      <c r="A246" t="s">
        <v>580</v>
      </c>
      <c r="B246" s="5">
        <v>3</v>
      </c>
    </row>
    <row r="247" spans="1:13" x14ac:dyDescent="0.25">
      <c r="A247" t="s">
        <v>581</v>
      </c>
      <c r="B247" s="5">
        <v>4</v>
      </c>
    </row>
    <row r="248" spans="1:13" x14ac:dyDescent="0.25">
      <c r="A248" t="s">
        <v>582</v>
      </c>
      <c r="B248" s="5">
        <v>5</v>
      </c>
    </row>
    <row r="249" spans="1:13" x14ac:dyDescent="0.25">
      <c r="A249" t="s">
        <v>583</v>
      </c>
      <c r="B249" s="5">
        <v>6</v>
      </c>
    </row>
    <row r="250" spans="1:13" x14ac:dyDescent="0.25">
      <c r="A250" t="s">
        <v>584</v>
      </c>
      <c r="B250" s="5">
        <v>8</v>
      </c>
    </row>
    <row r="251" spans="1:13" x14ac:dyDescent="0.25">
      <c r="A251" t="s">
        <v>585</v>
      </c>
      <c r="B251" s="5">
        <v>9</v>
      </c>
    </row>
    <row r="252" spans="1:13" x14ac:dyDescent="0.25">
      <c r="A252" t="s">
        <v>586</v>
      </c>
      <c r="B252" s="5">
        <v>10</v>
      </c>
    </row>
    <row r="253" spans="1:13" x14ac:dyDescent="0.25">
      <c r="A253" t="s">
        <v>588</v>
      </c>
      <c r="B253" s="5">
        <v>11</v>
      </c>
    </row>
    <row r="254" spans="1:13" x14ac:dyDescent="0.25">
      <c r="A254" t="s">
        <v>589</v>
      </c>
      <c r="B254" s="5">
        <v>12</v>
      </c>
    </row>
    <row r="255" spans="1:13" x14ac:dyDescent="0.25">
      <c r="A255" t="s">
        <v>590</v>
      </c>
      <c r="B255" s="5">
        <v>13</v>
      </c>
    </row>
    <row r="256" spans="1:13" x14ac:dyDescent="0.25">
      <c r="A256" t="s">
        <v>591</v>
      </c>
      <c r="B256" s="5">
        <v>14</v>
      </c>
    </row>
    <row r="257" spans="1:2" x14ac:dyDescent="0.25">
      <c r="A257" t="s">
        <v>592</v>
      </c>
      <c r="B257" s="5">
        <v>15</v>
      </c>
    </row>
    <row r="258" spans="1:2" x14ac:dyDescent="0.25">
      <c r="A258" t="s">
        <v>593</v>
      </c>
      <c r="B258" s="5">
        <v>16</v>
      </c>
    </row>
    <row r="259" spans="1:2" x14ac:dyDescent="0.25">
      <c r="A259" t="s">
        <v>594</v>
      </c>
      <c r="B259" s="5">
        <v>17</v>
      </c>
    </row>
    <row r="260" spans="1:2" x14ac:dyDescent="0.25">
      <c r="A260" t="s">
        <v>596</v>
      </c>
      <c r="B260" s="5">
        <v>52</v>
      </c>
    </row>
    <row r="261" spans="1:2" x14ac:dyDescent="0.25">
      <c r="A261" t="s">
        <v>598</v>
      </c>
      <c r="B261" s="5">
        <v>18</v>
      </c>
    </row>
    <row r="262" spans="1:2" x14ac:dyDescent="0.25">
      <c r="A262" t="s">
        <v>599</v>
      </c>
      <c r="B262" s="5">
        <v>19</v>
      </c>
    </row>
    <row r="263" spans="1:2" x14ac:dyDescent="0.25">
      <c r="A263" t="s">
        <v>600</v>
      </c>
      <c r="B263" s="5">
        <v>20</v>
      </c>
    </row>
    <row r="264" spans="1:2" x14ac:dyDescent="0.25">
      <c r="A264" t="s">
        <v>601</v>
      </c>
      <c r="B264" s="5">
        <v>21</v>
      </c>
    </row>
    <row r="265" spans="1:2" x14ac:dyDescent="0.25">
      <c r="A265" t="s">
        <v>602</v>
      </c>
      <c r="B265" s="5">
        <v>22</v>
      </c>
    </row>
    <row r="266" spans="1:2" x14ac:dyDescent="0.25">
      <c r="A266" t="s">
        <v>603</v>
      </c>
      <c r="B266" s="5">
        <v>23</v>
      </c>
    </row>
    <row r="267" spans="1:2" x14ac:dyDescent="0.25">
      <c r="A267" t="s">
        <v>604</v>
      </c>
      <c r="B267" s="5">
        <v>24</v>
      </c>
    </row>
    <row r="268" spans="1:2" x14ac:dyDescent="0.25">
      <c r="A268" t="s">
        <v>605</v>
      </c>
      <c r="B268" s="5">
        <v>25</v>
      </c>
    </row>
    <row r="269" spans="1:2" x14ac:dyDescent="0.25">
      <c r="A269" t="s">
        <v>606</v>
      </c>
      <c r="B269" s="5">
        <v>26</v>
      </c>
    </row>
    <row r="270" spans="1:2" x14ac:dyDescent="0.25">
      <c r="A270" t="s">
        <v>607</v>
      </c>
      <c r="B270" s="5">
        <v>27</v>
      </c>
    </row>
    <row r="271" spans="1:2" x14ac:dyDescent="0.25">
      <c r="A271" t="s">
        <v>608</v>
      </c>
      <c r="B271" s="5">
        <v>28</v>
      </c>
    </row>
    <row r="272" spans="1:2" x14ac:dyDescent="0.25">
      <c r="A272" t="s">
        <v>609</v>
      </c>
      <c r="B272" s="5">
        <v>30</v>
      </c>
    </row>
    <row r="273" spans="1:2" x14ac:dyDescent="0.25">
      <c r="A273" t="s">
        <v>610</v>
      </c>
      <c r="B273" s="5">
        <v>31</v>
      </c>
    </row>
    <row r="274" spans="1:2" x14ac:dyDescent="0.25">
      <c r="A274" t="s">
        <v>611</v>
      </c>
      <c r="B274" s="5">
        <v>32</v>
      </c>
    </row>
    <row r="275" spans="1:2" x14ac:dyDescent="0.25">
      <c r="A275" t="s">
        <v>612</v>
      </c>
      <c r="B275" s="5">
        <v>33</v>
      </c>
    </row>
    <row r="276" spans="1:2" x14ac:dyDescent="0.25">
      <c r="A276" t="s">
        <v>613</v>
      </c>
      <c r="B276" s="5">
        <v>34</v>
      </c>
    </row>
    <row r="277" spans="1:2" x14ac:dyDescent="0.25">
      <c r="A277" t="s">
        <v>614</v>
      </c>
      <c r="B277" s="5">
        <v>35</v>
      </c>
    </row>
    <row r="278" spans="1:2" x14ac:dyDescent="0.25">
      <c r="A278" t="s">
        <v>615</v>
      </c>
      <c r="B278" s="5">
        <v>36</v>
      </c>
    </row>
    <row r="279" spans="1:2" x14ac:dyDescent="0.25">
      <c r="A279" t="s">
        <v>616</v>
      </c>
      <c r="B279" s="5">
        <v>37</v>
      </c>
    </row>
    <row r="280" spans="1:2" x14ac:dyDescent="0.25">
      <c r="A280" t="s">
        <v>617</v>
      </c>
      <c r="B280" s="5">
        <v>38</v>
      </c>
    </row>
    <row r="281" spans="1:2" x14ac:dyDescent="0.25">
      <c r="A281" t="s">
        <v>618</v>
      </c>
      <c r="B281" s="5">
        <v>39</v>
      </c>
    </row>
    <row r="282" spans="1:2" x14ac:dyDescent="0.25">
      <c r="A282" t="s">
        <v>620</v>
      </c>
      <c r="B282" s="5">
        <v>53</v>
      </c>
    </row>
    <row r="283" spans="1:2" x14ac:dyDescent="0.25">
      <c r="A283" t="s">
        <v>621</v>
      </c>
      <c r="B283" s="5">
        <v>40</v>
      </c>
    </row>
    <row r="284" spans="1:2" x14ac:dyDescent="0.25">
      <c r="A284" t="s">
        <v>622</v>
      </c>
      <c r="B284" s="5">
        <v>41</v>
      </c>
    </row>
    <row r="285" spans="1:2" x14ac:dyDescent="0.25">
      <c r="A285" t="s">
        <v>623</v>
      </c>
      <c r="B285" s="5">
        <v>42</v>
      </c>
    </row>
    <row r="286" spans="1:2" x14ac:dyDescent="0.25">
      <c r="A286" t="s">
        <v>624</v>
      </c>
      <c r="B286" s="5">
        <v>43</v>
      </c>
    </row>
    <row r="287" spans="1:2" x14ac:dyDescent="0.25">
      <c r="A287" t="s">
        <v>625</v>
      </c>
      <c r="B287" s="5">
        <v>44</v>
      </c>
    </row>
    <row r="288" spans="1:2" x14ac:dyDescent="0.25">
      <c r="A288" t="s">
        <v>626</v>
      </c>
      <c r="B288" s="5">
        <v>45</v>
      </c>
    </row>
    <row r="289" spans="1:23" x14ac:dyDescent="0.25">
      <c r="A289" t="s">
        <v>627</v>
      </c>
      <c r="B289" s="5">
        <v>46</v>
      </c>
    </row>
    <row r="290" spans="1:23" x14ac:dyDescent="0.25">
      <c r="A290" t="s">
        <v>628</v>
      </c>
      <c r="B290" s="5">
        <v>47</v>
      </c>
    </row>
    <row r="291" spans="1:23" x14ac:dyDescent="0.25">
      <c r="A291" t="s">
        <v>629</v>
      </c>
      <c r="B291" s="5">
        <v>48</v>
      </c>
    </row>
    <row r="292" spans="1:23" x14ac:dyDescent="0.25">
      <c r="A292" t="s">
        <v>630</v>
      </c>
      <c r="B292" s="5">
        <v>49</v>
      </c>
    </row>
    <row r="293" spans="1:23" x14ac:dyDescent="0.25">
      <c r="A293" t="s">
        <v>631</v>
      </c>
      <c r="B293" s="5">
        <v>50</v>
      </c>
    </row>
    <row r="294" spans="1:23" x14ac:dyDescent="0.25">
      <c r="A294" t="s">
        <v>632</v>
      </c>
      <c r="B294" s="5">
        <v>54</v>
      </c>
    </row>
    <row r="295" spans="1:23" x14ac:dyDescent="0.25">
      <c r="A295" t="s">
        <v>633</v>
      </c>
      <c r="B295" s="5">
        <v>55</v>
      </c>
    </row>
    <row r="296" spans="1:23" x14ac:dyDescent="0.25">
      <c r="A296" t="s">
        <v>634</v>
      </c>
      <c r="B296" s="5">
        <v>56</v>
      </c>
    </row>
    <row r="297" spans="1:23" x14ac:dyDescent="0.25">
      <c r="A297" t="s">
        <v>636</v>
      </c>
      <c r="B297" s="5" t="s">
        <v>637</v>
      </c>
    </row>
    <row r="298" spans="1:23" x14ac:dyDescent="0.25">
      <c r="A298" t="s">
        <v>638</v>
      </c>
      <c r="B298" s="5" t="s">
        <v>639</v>
      </c>
    </row>
    <row r="299" spans="1:23" x14ac:dyDescent="0.25">
      <c r="A299" t="s">
        <v>640</v>
      </c>
      <c r="B299" s="5" t="s">
        <v>641</v>
      </c>
    </row>
    <row r="300" spans="1:23" x14ac:dyDescent="0.25">
      <c r="A300" t="s">
        <v>642</v>
      </c>
      <c r="B300" s="5" t="s">
        <v>643</v>
      </c>
    </row>
    <row r="301" spans="1:23" x14ac:dyDescent="0.25">
      <c r="A301" t="s">
        <v>644</v>
      </c>
      <c r="B301" s="5" t="s">
        <v>645</v>
      </c>
    </row>
    <row r="302" spans="1:23" x14ac:dyDescent="0.25">
      <c r="A302" t="s">
        <v>646</v>
      </c>
      <c r="B302" s="5" t="s">
        <v>647</v>
      </c>
    </row>
    <row r="303" spans="1:23" x14ac:dyDescent="0.25">
      <c r="A303" t="s">
        <v>648</v>
      </c>
      <c r="B303" s="5" t="s">
        <v>649</v>
      </c>
    </row>
    <row r="304" spans="1:23" x14ac:dyDescent="0.25">
      <c r="A304" t="s">
        <v>653</v>
      </c>
      <c r="B304" s="5" t="s">
        <v>77</v>
      </c>
      <c r="C304" t="s">
        <v>49</v>
      </c>
      <c r="D304" t="s">
        <v>71</v>
      </c>
      <c r="E304" t="s">
        <v>79</v>
      </c>
      <c r="F304" t="s">
        <v>11</v>
      </c>
      <c r="G304" t="s">
        <v>15</v>
      </c>
      <c r="H304" t="s">
        <v>43</v>
      </c>
      <c r="I304" t="s">
        <v>47</v>
      </c>
      <c r="J304" t="s">
        <v>83</v>
      </c>
      <c r="K304" t="s">
        <v>19</v>
      </c>
      <c r="L304" t="s">
        <v>63</v>
      </c>
      <c r="M304" t="s">
        <v>69</v>
      </c>
      <c r="N304" t="s">
        <v>67</v>
      </c>
      <c r="O304" t="s">
        <v>7</v>
      </c>
      <c r="P304" t="s">
        <v>75</v>
      </c>
      <c r="Q304" t="s">
        <v>73</v>
      </c>
      <c r="R304" t="s">
        <v>51</v>
      </c>
      <c r="S304" t="s">
        <v>25</v>
      </c>
      <c r="T304" t="s">
        <v>57</v>
      </c>
      <c r="U304" t="s">
        <v>41</v>
      </c>
      <c r="V304" t="s">
        <v>65</v>
      </c>
      <c r="W304" t="s">
        <v>53</v>
      </c>
    </row>
    <row r="305" spans="1:2" x14ac:dyDescent="0.25">
      <c r="A305" t="s">
        <v>655</v>
      </c>
      <c r="B305" s="5">
        <v>1</v>
      </c>
    </row>
    <row r="306" spans="1:2" x14ac:dyDescent="0.25">
      <c r="A306" t="s">
        <v>656</v>
      </c>
      <c r="B306" s="5">
        <v>2</v>
      </c>
    </row>
    <row r="307" spans="1:2" x14ac:dyDescent="0.25">
      <c r="A307" t="s">
        <v>657</v>
      </c>
      <c r="B307" s="5">
        <v>3</v>
      </c>
    </row>
    <row r="308" spans="1:2" x14ac:dyDescent="0.25">
      <c r="A308" t="s">
        <v>658</v>
      </c>
      <c r="B308" s="5">
        <v>4</v>
      </c>
    </row>
    <row r="309" spans="1:2" x14ac:dyDescent="0.25">
      <c r="A309" t="s">
        <v>659</v>
      </c>
      <c r="B309" s="5">
        <v>5</v>
      </c>
    </row>
    <row r="310" spans="1:2" x14ac:dyDescent="0.25">
      <c r="A310" t="s">
        <v>660</v>
      </c>
      <c r="B310" s="5">
        <v>6</v>
      </c>
    </row>
    <row r="311" spans="1:2" x14ac:dyDescent="0.25">
      <c r="A311" t="s">
        <v>661</v>
      </c>
      <c r="B311" s="5">
        <v>7</v>
      </c>
    </row>
    <row r="312" spans="1:2" x14ac:dyDescent="0.25">
      <c r="A312" t="s">
        <v>662</v>
      </c>
      <c r="B312" s="5">
        <v>9</v>
      </c>
    </row>
    <row r="313" spans="1:2" x14ac:dyDescent="0.25">
      <c r="A313" t="s">
        <v>663</v>
      </c>
      <c r="B313" s="5">
        <v>10</v>
      </c>
    </row>
    <row r="314" spans="1:2" x14ac:dyDescent="0.25">
      <c r="A314" t="s">
        <v>664</v>
      </c>
      <c r="B314" s="5">
        <v>11</v>
      </c>
    </row>
    <row r="315" spans="1:2" x14ac:dyDescent="0.25">
      <c r="A315" t="s">
        <v>665</v>
      </c>
      <c r="B315" s="5">
        <v>12</v>
      </c>
    </row>
    <row r="316" spans="1:2" x14ac:dyDescent="0.25">
      <c r="A316" t="s">
        <v>666</v>
      </c>
      <c r="B316" s="5">
        <v>13</v>
      </c>
    </row>
    <row r="317" spans="1:2" x14ac:dyDescent="0.25">
      <c r="A317" t="s">
        <v>667</v>
      </c>
      <c r="B317" s="5">
        <v>14</v>
      </c>
    </row>
    <row r="318" spans="1:2" x14ac:dyDescent="0.25">
      <c r="A318" t="s">
        <v>668</v>
      </c>
      <c r="B318" s="5">
        <v>15</v>
      </c>
    </row>
    <row r="319" spans="1:2" x14ac:dyDescent="0.25">
      <c r="A319" t="s">
        <v>669</v>
      </c>
      <c r="B319" s="5">
        <v>16</v>
      </c>
    </row>
    <row r="320" spans="1:2" x14ac:dyDescent="0.25">
      <c r="A320" t="s">
        <v>670</v>
      </c>
      <c r="B320" s="5">
        <v>17</v>
      </c>
    </row>
    <row r="321" spans="1:2" x14ac:dyDescent="0.25">
      <c r="A321" t="s">
        <v>671</v>
      </c>
      <c r="B321" s="5">
        <v>18</v>
      </c>
    </row>
    <row r="322" spans="1:2" x14ac:dyDescent="0.25">
      <c r="A322" t="s">
        <v>672</v>
      </c>
      <c r="B322" s="5">
        <v>19</v>
      </c>
    </row>
    <row r="323" spans="1:2" x14ac:dyDescent="0.25">
      <c r="A323" t="s">
        <v>673</v>
      </c>
      <c r="B323" s="5">
        <v>55</v>
      </c>
    </row>
    <row r="324" spans="1:2" x14ac:dyDescent="0.25">
      <c r="A324" t="s">
        <v>674</v>
      </c>
      <c r="B324" s="5">
        <v>20</v>
      </c>
    </row>
    <row r="325" spans="1:2" x14ac:dyDescent="0.25">
      <c r="A325" t="s">
        <v>675</v>
      </c>
      <c r="B325" s="5">
        <v>21</v>
      </c>
    </row>
    <row r="326" spans="1:2" x14ac:dyDescent="0.25">
      <c r="A326" t="s">
        <v>676</v>
      </c>
      <c r="B326" s="5">
        <v>22</v>
      </c>
    </row>
    <row r="327" spans="1:2" x14ac:dyDescent="0.25">
      <c r="A327" t="s">
        <v>677</v>
      </c>
      <c r="B327" s="5">
        <v>23</v>
      </c>
    </row>
    <row r="328" spans="1:2" x14ac:dyDescent="0.25">
      <c r="A328" t="s">
        <v>678</v>
      </c>
      <c r="B328" s="5">
        <v>24</v>
      </c>
    </row>
    <row r="329" spans="1:2" x14ac:dyDescent="0.25">
      <c r="A329" t="s">
        <v>679</v>
      </c>
      <c r="B329" s="5">
        <v>25</v>
      </c>
    </row>
    <row r="330" spans="1:2" x14ac:dyDescent="0.25">
      <c r="A330" t="s">
        <v>680</v>
      </c>
      <c r="B330" s="5">
        <v>26</v>
      </c>
    </row>
    <row r="331" spans="1:2" x14ac:dyDescent="0.25">
      <c r="A331" t="s">
        <v>681</v>
      </c>
      <c r="B331" s="5">
        <v>27</v>
      </c>
    </row>
    <row r="332" spans="1:2" x14ac:dyDescent="0.25">
      <c r="A332" t="s">
        <v>682</v>
      </c>
      <c r="B332" s="5">
        <v>28</v>
      </c>
    </row>
    <row r="333" spans="1:2" x14ac:dyDescent="0.25">
      <c r="A333" t="s">
        <v>683</v>
      </c>
      <c r="B333" s="5">
        <v>29</v>
      </c>
    </row>
    <row r="334" spans="1:2" x14ac:dyDescent="0.25">
      <c r="A334" t="s">
        <v>684</v>
      </c>
      <c r="B334" s="5">
        <v>30</v>
      </c>
    </row>
    <row r="335" spans="1:2" x14ac:dyDescent="0.25">
      <c r="A335" t="s">
        <v>685</v>
      </c>
      <c r="B335" s="5">
        <v>32</v>
      </c>
    </row>
    <row r="336" spans="1:2" x14ac:dyDescent="0.25">
      <c r="A336" t="s">
        <v>686</v>
      </c>
      <c r="B336" s="5">
        <v>33</v>
      </c>
    </row>
    <row r="337" spans="1:2" x14ac:dyDescent="0.25">
      <c r="A337" t="s">
        <v>687</v>
      </c>
      <c r="B337" s="5">
        <v>34</v>
      </c>
    </row>
    <row r="338" spans="1:2" x14ac:dyDescent="0.25">
      <c r="A338" t="s">
        <v>688</v>
      </c>
      <c r="B338" s="5">
        <v>35</v>
      </c>
    </row>
    <row r="339" spans="1:2" x14ac:dyDescent="0.25">
      <c r="A339" t="s">
        <v>689</v>
      </c>
      <c r="B339" s="5">
        <v>36</v>
      </c>
    </row>
    <row r="340" spans="1:2" x14ac:dyDescent="0.25">
      <c r="A340" t="s">
        <v>690</v>
      </c>
      <c r="B340" s="5">
        <v>37</v>
      </c>
    </row>
    <row r="341" spans="1:2" x14ac:dyDescent="0.25">
      <c r="A341" t="s">
        <v>691</v>
      </c>
      <c r="B341" s="5">
        <v>38</v>
      </c>
    </row>
    <row r="342" spans="1:2" x14ac:dyDescent="0.25">
      <c r="A342" t="s">
        <v>692</v>
      </c>
      <c r="B342" s="5">
        <v>39</v>
      </c>
    </row>
    <row r="343" spans="1:2" x14ac:dyDescent="0.25">
      <c r="A343" t="s">
        <v>693</v>
      </c>
      <c r="B343" s="5">
        <v>40</v>
      </c>
    </row>
    <row r="344" spans="1:2" x14ac:dyDescent="0.25">
      <c r="A344" t="s">
        <v>694</v>
      </c>
      <c r="B344" s="5">
        <v>41</v>
      </c>
    </row>
    <row r="345" spans="1:2" x14ac:dyDescent="0.25">
      <c r="A345" t="s">
        <v>695</v>
      </c>
      <c r="B345" s="5">
        <v>42</v>
      </c>
    </row>
    <row r="346" spans="1:2" x14ac:dyDescent="0.25">
      <c r="A346" t="s">
        <v>696</v>
      </c>
      <c r="B346" s="5">
        <v>56</v>
      </c>
    </row>
    <row r="347" spans="1:2" x14ac:dyDescent="0.25">
      <c r="A347" t="s">
        <v>697</v>
      </c>
      <c r="B347" s="5">
        <v>43</v>
      </c>
    </row>
    <row r="348" spans="1:2" x14ac:dyDescent="0.25">
      <c r="A348" t="s">
        <v>698</v>
      </c>
      <c r="B348" s="5">
        <v>44</v>
      </c>
    </row>
    <row r="349" spans="1:2" x14ac:dyDescent="0.25">
      <c r="A349" t="s">
        <v>699</v>
      </c>
      <c r="B349" s="5">
        <v>45</v>
      </c>
    </row>
    <row r="350" spans="1:2" x14ac:dyDescent="0.25">
      <c r="A350" t="s">
        <v>700</v>
      </c>
      <c r="B350" s="5">
        <v>46</v>
      </c>
    </row>
    <row r="351" spans="1:2" x14ac:dyDescent="0.25">
      <c r="A351" t="s">
        <v>701</v>
      </c>
      <c r="B351" s="5">
        <v>47</v>
      </c>
    </row>
    <row r="352" spans="1:2" x14ac:dyDescent="0.25">
      <c r="A352" t="s">
        <v>702</v>
      </c>
      <c r="B352" s="5">
        <v>48</v>
      </c>
    </row>
    <row r="353" spans="1:2" x14ac:dyDescent="0.25">
      <c r="A353" t="s">
        <v>703</v>
      </c>
      <c r="B353" s="5">
        <v>49</v>
      </c>
    </row>
    <row r="354" spans="1:2" x14ac:dyDescent="0.25">
      <c r="A354" t="s">
        <v>704</v>
      </c>
      <c r="B354" s="5">
        <v>50</v>
      </c>
    </row>
    <row r="355" spans="1:2" x14ac:dyDescent="0.25">
      <c r="A355" t="s">
        <v>705</v>
      </c>
      <c r="B355" s="5">
        <v>51</v>
      </c>
    </row>
    <row r="356" spans="1:2" x14ac:dyDescent="0.25">
      <c r="A356" t="s">
        <v>706</v>
      </c>
      <c r="B356" s="5">
        <v>52</v>
      </c>
    </row>
    <row r="357" spans="1:2" x14ac:dyDescent="0.25">
      <c r="A357" t="s">
        <v>707</v>
      </c>
      <c r="B357" s="5">
        <v>53</v>
      </c>
    </row>
    <row r="358" spans="1:2" x14ac:dyDescent="0.25">
      <c r="A358" t="s">
        <v>709</v>
      </c>
      <c r="B358" s="5">
        <v>57</v>
      </c>
    </row>
    <row r="359" spans="1:2" x14ac:dyDescent="0.25">
      <c r="A359" t="s">
        <v>710</v>
      </c>
      <c r="B359" s="5">
        <v>58</v>
      </c>
    </row>
    <row r="360" spans="1:2" x14ac:dyDescent="0.25">
      <c r="A360" t="s">
        <v>711</v>
      </c>
      <c r="B360" s="5">
        <v>59</v>
      </c>
    </row>
    <row r="361" spans="1:2" x14ac:dyDescent="0.25">
      <c r="A361" t="s">
        <v>712</v>
      </c>
      <c r="B361" s="5">
        <v>61</v>
      </c>
    </row>
    <row r="362" spans="1:2" x14ac:dyDescent="0.25">
      <c r="A362" t="s">
        <v>713</v>
      </c>
      <c r="B362" s="5">
        <v>62</v>
      </c>
    </row>
    <row r="363" spans="1:2" x14ac:dyDescent="0.25">
      <c r="A363" t="s">
        <v>714</v>
      </c>
      <c r="B363" s="5">
        <v>63</v>
      </c>
    </row>
    <row r="364" spans="1:2" x14ac:dyDescent="0.25">
      <c r="A364" t="s">
        <v>715</v>
      </c>
      <c r="B364" s="5">
        <v>64</v>
      </c>
    </row>
    <row r="365" spans="1:2" x14ac:dyDescent="0.25">
      <c r="A365" t="s">
        <v>716</v>
      </c>
      <c r="B365" s="5">
        <v>65</v>
      </c>
    </row>
    <row r="366" spans="1:2" x14ac:dyDescent="0.25">
      <c r="A366" t="s">
        <v>718</v>
      </c>
      <c r="B366" s="5">
        <v>67</v>
      </c>
    </row>
    <row r="367" spans="1:2" x14ac:dyDescent="0.25">
      <c r="A367" t="s">
        <v>719</v>
      </c>
      <c r="B367" s="5">
        <v>68</v>
      </c>
    </row>
    <row r="368" spans="1:2" x14ac:dyDescent="0.25">
      <c r="A368" t="s">
        <v>720</v>
      </c>
      <c r="B368" s="5">
        <v>69</v>
      </c>
    </row>
    <row r="369" spans="1:24" x14ac:dyDescent="0.25">
      <c r="A369" t="s">
        <v>721</v>
      </c>
      <c r="B369" s="5">
        <v>70</v>
      </c>
    </row>
    <row r="370" spans="1:24" x14ac:dyDescent="0.25">
      <c r="A370" t="s">
        <v>722</v>
      </c>
      <c r="B370" s="5">
        <v>71</v>
      </c>
    </row>
    <row r="371" spans="1:24" x14ac:dyDescent="0.25">
      <c r="A371" t="s">
        <v>724</v>
      </c>
      <c r="B371" s="5" t="s">
        <v>725</v>
      </c>
    </row>
    <row r="372" spans="1:24" x14ac:dyDescent="0.25">
      <c r="A372" t="s">
        <v>726</v>
      </c>
      <c r="B372" s="5" t="s">
        <v>727</v>
      </c>
    </row>
    <row r="373" spans="1:24" x14ac:dyDescent="0.25">
      <c r="A373" t="s">
        <v>728</v>
      </c>
      <c r="B373" s="5" t="s">
        <v>729</v>
      </c>
    </row>
    <row r="374" spans="1:24" x14ac:dyDescent="0.25">
      <c r="A374" t="s">
        <v>730</v>
      </c>
      <c r="B374" s="5" t="s">
        <v>731</v>
      </c>
    </row>
    <row r="375" spans="1:24" x14ac:dyDescent="0.25">
      <c r="A375" t="s">
        <v>732</v>
      </c>
      <c r="B375" s="5" t="s">
        <v>733</v>
      </c>
    </row>
    <row r="376" spans="1:24" x14ac:dyDescent="0.25">
      <c r="A376" t="s">
        <v>734</v>
      </c>
      <c r="B376" s="5" t="s">
        <v>735</v>
      </c>
    </row>
    <row r="377" spans="1:24" x14ac:dyDescent="0.25">
      <c r="A377" t="s">
        <v>736</v>
      </c>
      <c r="B377" s="64" t="s">
        <v>1475</v>
      </c>
    </row>
    <row r="378" spans="1:24" x14ac:dyDescent="0.25">
      <c r="A378" t="s">
        <v>741</v>
      </c>
      <c r="B378" s="5" t="s">
        <v>73</v>
      </c>
      <c r="C378" t="s">
        <v>69</v>
      </c>
      <c r="D378" t="s">
        <v>15</v>
      </c>
      <c r="E378" t="s">
        <v>23</v>
      </c>
      <c r="F378" t="s">
        <v>51</v>
      </c>
      <c r="G378" t="s">
        <v>41</v>
      </c>
      <c r="H378" t="s">
        <v>63</v>
      </c>
      <c r="I378" t="s">
        <v>77</v>
      </c>
      <c r="J378" t="s">
        <v>53</v>
      </c>
      <c r="K378" t="s">
        <v>43</v>
      </c>
      <c r="L378" t="s">
        <v>19</v>
      </c>
      <c r="M378" t="s">
        <v>47</v>
      </c>
      <c r="N378" t="s">
        <v>75</v>
      </c>
      <c r="O378" t="s">
        <v>67</v>
      </c>
      <c r="P378" t="s">
        <v>11</v>
      </c>
      <c r="Q378" t="s">
        <v>7</v>
      </c>
      <c r="R378" t="s">
        <v>27</v>
      </c>
      <c r="S378" t="s">
        <v>71</v>
      </c>
      <c r="T378" t="s">
        <v>65</v>
      </c>
      <c r="U378" t="s">
        <v>25</v>
      </c>
      <c r="V378" t="s">
        <v>57</v>
      </c>
      <c r="W378" t="s">
        <v>79</v>
      </c>
      <c r="X378" t="s">
        <v>49</v>
      </c>
    </row>
    <row r="379" spans="1:24" x14ac:dyDescent="0.25">
      <c r="A379" t="s">
        <v>743</v>
      </c>
      <c r="B379" s="5">
        <v>1</v>
      </c>
    </row>
    <row r="380" spans="1:24" x14ac:dyDescent="0.25">
      <c r="A380" t="s">
        <v>744</v>
      </c>
      <c r="B380" s="5">
        <v>2</v>
      </c>
    </row>
    <row r="381" spans="1:24" x14ac:dyDescent="0.25">
      <c r="A381" t="s">
        <v>745</v>
      </c>
      <c r="B381" s="5">
        <v>3</v>
      </c>
    </row>
    <row r="382" spans="1:24" x14ac:dyDescent="0.25">
      <c r="A382" t="s">
        <v>746</v>
      </c>
      <c r="B382" s="5">
        <v>4</v>
      </c>
    </row>
    <row r="383" spans="1:24" x14ac:dyDescent="0.25">
      <c r="A383" t="s">
        <v>747</v>
      </c>
      <c r="B383" s="5">
        <v>5</v>
      </c>
    </row>
    <row r="384" spans="1:24" x14ac:dyDescent="0.25">
      <c r="A384" t="s">
        <v>748</v>
      </c>
      <c r="B384" s="5">
        <v>6</v>
      </c>
    </row>
    <row r="385" spans="1:2" x14ac:dyDescent="0.25">
      <c r="A385" t="s">
        <v>749</v>
      </c>
      <c r="B385" s="5">
        <v>7</v>
      </c>
    </row>
    <row r="386" spans="1:2" x14ac:dyDescent="0.25">
      <c r="A386" t="s">
        <v>750</v>
      </c>
      <c r="B386" s="5">
        <v>9</v>
      </c>
    </row>
    <row r="387" spans="1:2" x14ac:dyDescent="0.25">
      <c r="A387" t="s">
        <v>751</v>
      </c>
      <c r="B387" s="5">
        <v>10</v>
      </c>
    </row>
    <row r="388" spans="1:2" x14ac:dyDescent="0.25">
      <c r="A388" t="s">
        <v>752</v>
      </c>
      <c r="B388" s="5">
        <v>11</v>
      </c>
    </row>
    <row r="389" spans="1:2" x14ac:dyDescent="0.25">
      <c r="A389" t="s">
        <v>753</v>
      </c>
      <c r="B389" s="5">
        <v>12</v>
      </c>
    </row>
    <row r="390" spans="1:2" x14ac:dyDescent="0.25">
      <c r="A390" t="s">
        <v>754</v>
      </c>
      <c r="B390" s="5">
        <v>13</v>
      </c>
    </row>
    <row r="391" spans="1:2" x14ac:dyDescent="0.25">
      <c r="A391" t="s">
        <v>755</v>
      </c>
      <c r="B391" s="5">
        <v>14</v>
      </c>
    </row>
    <row r="392" spans="1:2" x14ac:dyDescent="0.25">
      <c r="A392" t="s">
        <v>756</v>
      </c>
      <c r="B392" s="5">
        <v>15</v>
      </c>
    </row>
    <row r="393" spans="1:2" x14ac:dyDescent="0.25">
      <c r="A393" t="s">
        <v>757</v>
      </c>
      <c r="B393" s="5">
        <v>16</v>
      </c>
    </row>
    <row r="394" spans="1:2" x14ac:dyDescent="0.25">
      <c r="A394" t="s">
        <v>758</v>
      </c>
      <c r="B394" s="5">
        <v>17</v>
      </c>
    </row>
    <row r="395" spans="1:2" x14ac:dyDescent="0.25">
      <c r="A395" t="s">
        <v>759</v>
      </c>
      <c r="B395" s="5">
        <v>18</v>
      </c>
    </row>
    <row r="396" spans="1:2" x14ac:dyDescent="0.25">
      <c r="A396" t="s">
        <v>760</v>
      </c>
      <c r="B396" s="5">
        <v>19</v>
      </c>
    </row>
    <row r="397" spans="1:2" x14ac:dyDescent="0.25">
      <c r="A397" t="s">
        <v>761</v>
      </c>
      <c r="B397" s="5">
        <v>55</v>
      </c>
    </row>
    <row r="398" spans="1:2" x14ac:dyDescent="0.25">
      <c r="A398" t="s">
        <v>762</v>
      </c>
      <c r="B398" s="5">
        <v>20</v>
      </c>
    </row>
    <row r="399" spans="1:2" x14ac:dyDescent="0.25">
      <c r="A399" t="s">
        <v>763</v>
      </c>
      <c r="B399" s="5">
        <v>21</v>
      </c>
    </row>
    <row r="400" spans="1:2" x14ac:dyDescent="0.25">
      <c r="A400" t="s">
        <v>764</v>
      </c>
      <c r="B400" s="5">
        <v>22</v>
      </c>
    </row>
    <row r="401" spans="1:2" x14ac:dyDescent="0.25">
      <c r="A401" t="s">
        <v>765</v>
      </c>
      <c r="B401" s="5">
        <v>23</v>
      </c>
    </row>
    <row r="402" spans="1:2" x14ac:dyDescent="0.25">
      <c r="A402" t="s">
        <v>766</v>
      </c>
      <c r="B402" s="5">
        <v>24</v>
      </c>
    </row>
    <row r="403" spans="1:2" x14ac:dyDescent="0.25">
      <c r="A403" t="s">
        <v>767</v>
      </c>
      <c r="B403" s="5">
        <v>25</v>
      </c>
    </row>
    <row r="404" spans="1:2" x14ac:dyDescent="0.25">
      <c r="A404" t="s">
        <v>768</v>
      </c>
      <c r="B404" s="5">
        <v>26</v>
      </c>
    </row>
    <row r="405" spans="1:2" x14ac:dyDescent="0.25">
      <c r="A405" t="s">
        <v>769</v>
      </c>
      <c r="B405" s="5">
        <v>27</v>
      </c>
    </row>
    <row r="406" spans="1:2" x14ac:dyDescent="0.25">
      <c r="A406" t="s">
        <v>770</v>
      </c>
      <c r="B406" s="5">
        <v>28</v>
      </c>
    </row>
    <row r="407" spans="1:2" x14ac:dyDescent="0.25">
      <c r="A407" t="s">
        <v>771</v>
      </c>
      <c r="B407" s="5">
        <v>29</v>
      </c>
    </row>
    <row r="408" spans="1:2" x14ac:dyDescent="0.25">
      <c r="A408" t="s">
        <v>772</v>
      </c>
      <c r="B408" s="5">
        <v>30</v>
      </c>
    </row>
    <row r="409" spans="1:2" x14ac:dyDescent="0.25">
      <c r="A409" t="s">
        <v>773</v>
      </c>
      <c r="B409" s="5">
        <v>32</v>
      </c>
    </row>
    <row r="410" spans="1:2" x14ac:dyDescent="0.25">
      <c r="A410" t="s">
        <v>774</v>
      </c>
      <c r="B410" s="5">
        <v>33</v>
      </c>
    </row>
    <row r="411" spans="1:2" x14ac:dyDescent="0.25">
      <c r="A411" t="s">
        <v>775</v>
      </c>
      <c r="B411" s="5">
        <v>34</v>
      </c>
    </row>
    <row r="412" spans="1:2" x14ac:dyDescent="0.25">
      <c r="A412" t="s">
        <v>776</v>
      </c>
      <c r="B412" s="5">
        <v>35</v>
      </c>
    </row>
    <row r="413" spans="1:2" x14ac:dyDescent="0.25">
      <c r="A413" t="s">
        <v>777</v>
      </c>
      <c r="B413" s="5">
        <v>36</v>
      </c>
    </row>
    <row r="414" spans="1:2" x14ac:dyDescent="0.25">
      <c r="A414" t="s">
        <v>778</v>
      </c>
      <c r="B414" s="5">
        <v>37</v>
      </c>
    </row>
    <row r="415" spans="1:2" x14ac:dyDescent="0.25">
      <c r="A415" t="s">
        <v>779</v>
      </c>
      <c r="B415" s="5">
        <v>38</v>
      </c>
    </row>
    <row r="416" spans="1:2" x14ac:dyDescent="0.25">
      <c r="A416" t="s">
        <v>780</v>
      </c>
      <c r="B416" s="5">
        <v>39</v>
      </c>
    </row>
    <row r="417" spans="1:2" x14ac:dyDescent="0.25">
      <c r="A417" t="s">
        <v>781</v>
      </c>
      <c r="B417" s="5">
        <v>40</v>
      </c>
    </row>
    <row r="418" spans="1:2" x14ac:dyDescent="0.25">
      <c r="A418" t="s">
        <v>782</v>
      </c>
      <c r="B418" s="5">
        <v>41</v>
      </c>
    </row>
    <row r="419" spans="1:2" x14ac:dyDescent="0.25">
      <c r="A419" t="s">
        <v>783</v>
      </c>
      <c r="B419" s="5">
        <v>42</v>
      </c>
    </row>
    <row r="420" spans="1:2" x14ac:dyDescent="0.25">
      <c r="A420" t="s">
        <v>784</v>
      </c>
      <c r="B420" s="5">
        <v>56</v>
      </c>
    </row>
    <row r="421" spans="1:2" x14ac:dyDescent="0.25">
      <c r="A421" t="s">
        <v>785</v>
      </c>
      <c r="B421" s="5">
        <v>43</v>
      </c>
    </row>
    <row r="422" spans="1:2" x14ac:dyDescent="0.25">
      <c r="A422" t="s">
        <v>786</v>
      </c>
      <c r="B422" s="5">
        <v>44</v>
      </c>
    </row>
    <row r="423" spans="1:2" x14ac:dyDescent="0.25">
      <c r="A423" t="s">
        <v>787</v>
      </c>
      <c r="B423" s="5">
        <v>45</v>
      </c>
    </row>
    <row r="424" spans="1:2" x14ac:dyDescent="0.25">
      <c r="A424" t="s">
        <v>788</v>
      </c>
      <c r="B424" s="5">
        <v>46</v>
      </c>
    </row>
    <row r="425" spans="1:2" x14ac:dyDescent="0.25">
      <c r="A425" t="s">
        <v>789</v>
      </c>
      <c r="B425" s="5">
        <v>47</v>
      </c>
    </row>
    <row r="426" spans="1:2" x14ac:dyDescent="0.25">
      <c r="A426" t="s">
        <v>790</v>
      </c>
      <c r="B426" s="5">
        <v>48</v>
      </c>
    </row>
    <row r="427" spans="1:2" x14ac:dyDescent="0.25">
      <c r="A427" t="s">
        <v>791</v>
      </c>
      <c r="B427" s="5">
        <v>49</v>
      </c>
    </row>
    <row r="428" spans="1:2" x14ac:dyDescent="0.25">
      <c r="A428" t="s">
        <v>792</v>
      </c>
      <c r="B428" s="5">
        <v>50</v>
      </c>
    </row>
    <row r="429" spans="1:2" x14ac:dyDescent="0.25">
      <c r="A429" t="s">
        <v>793</v>
      </c>
      <c r="B429" s="5">
        <v>51</v>
      </c>
    </row>
    <row r="430" spans="1:2" x14ac:dyDescent="0.25">
      <c r="A430" t="s">
        <v>794</v>
      </c>
      <c r="B430" s="5">
        <v>52</v>
      </c>
    </row>
    <row r="431" spans="1:2" x14ac:dyDescent="0.25">
      <c r="A431" t="s">
        <v>795</v>
      </c>
      <c r="B431" s="5">
        <v>53</v>
      </c>
    </row>
    <row r="432" spans="1:2" x14ac:dyDescent="0.25">
      <c r="A432" t="s">
        <v>796</v>
      </c>
      <c r="B432" s="5">
        <v>57</v>
      </c>
    </row>
    <row r="433" spans="1:2" x14ac:dyDescent="0.25">
      <c r="A433" t="s">
        <v>797</v>
      </c>
      <c r="B433" s="5">
        <v>58</v>
      </c>
    </row>
    <row r="434" spans="1:2" x14ac:dyDescent="0.25">
      <c r="A434" t="s">
        <v>798</v>
      </c>
      <c r="B434" s="5">
        <v>59</v>
      </c>
    </row>
    <row r="435" spans="1:2" x14ac:dyDescent="0.25">
      <c r="A435" t="s">
        <v>799</v>
      </c>
      <c r="B435" s="5">
        <v>61</v>
      </c>
    </row>
    <row r="436" spans="1:2" x14ac:dyDescent="0.25">
      <c r="A436" t="s">
        <v>800</v>
      </c>
      <c r="B436" s="5">
        <v>62</v>
      </c>
    </row>
    <row r="437" spans="1:2" x14ac:dyDescent="0.25">
      <c r="A437" t="s">
        <v>801</v>
      </c>
      <c r="B437" s="5">
        <v>63</v>
      </c>
    </row>
    <row r="438" spans="1:2" x14ac:dyDescent="0.25">
      <c r="A438" t="s">
        <v>802</v>
      </c>
      <c r="B438" s="5">
        <v>64</v>
      </c>
    </row>
    <row r="439" spans="1:2" x14ac:dyDescent="0.25">
      <c r="A439" t="s">
        <v>803</v>
      </c>
      <c r="B439" s="5">
        <v>65</v>
      </c>
    </row>
    <row r="440" spans="1:2" x14ac:dyDescent="0.25">
      <c r="A440" t="s">
        <v>804</v>
      </c>
      <c r="B440" s="5">
        <v>67</v>
      </c>
    </row>
    <row r="441" spans="1:2" x14ac:dyDescent="0.25">
      <c r="A441" t="s">
        <v>805</v>
      </c>
      <c r="B441" s="5">
        <v>68</v>
      </c>
    </row>
    <row r="442" spans="1:2" x14ac:dyDescent="0.25">
      <c r="A442" t="s">
        <v>806</v>
      </c>
      <c r="B442" s="5">
        <v>69</v>
      </c>
    </row>
    <row r="443" spans="1:2" x14ac:dyDescent="0.25">
      <c r="A443" t="s">
        <v>807</v>
      </c>
      <c r="B443" s="5">
        <v>70</v>
      </c>
    </row>
    <row r="444" spans="1:2" x14ac:dyDescent="0.25">
      <c r="A444" t="s">
        <v>808</v>
      </c>
      <c r="B444" s="5">
        <v>71</v>
      </c>
    </row>
    <row r="445" spans="1:2" x14ac:dyDescent="0.25">
      <c r="A445" t="s">
        <v>810</v>
      </c>
      <c r="B445" s="5" t="s">
        <v>811</v>
      </c>
    </row>
    <row r="446" spans="1:2" x14ac:dyDescent="0.25">
      <c r="A446" t="s">
        <v>812</v>
      </c>
      <c r="B446" s="5" t="s">
        <v>813</v>
      </c>
    </row>
    <row r="447" spans="1:2" x14ac:dyDescent="0.25">
      <c r="A447" t="s">
        <v>814</v>
      </c>
      <c r="B447" s="5" t="s">
        <v>815</v>
      </c>
    </row>
    <row r="448" spans="1:2" x14ac:dyDescent="0.25">
      <c r="A448" t="s">
        <v>816</v>
      </c>
      <c r="B448" s="5" t="s">
        <v>817</v>
      </c>
    </row>
    <row r="449" spans="1:24" x14ac:dyDescent="0.25">
      <c r="A449" t="s">
        <v>818</v>
      </c>
      <c r="B449" s="5" t="s">
        <v>819</v>
      </c>
    </row>
    <row r="450" spans="1:24" x14ac:dyDescent="0.25">
      <c r="A450" t="s">
        <v>820</v>
      </c>
      <c r="B450" s="5" t="s">
        <v>821</v>
      </c>
    </row>
    <row r="451" spans="1:24" x14ac:dyDescent="0.25">
      <c r="A451" t="s">
        <v>822</v>
      </c>
      <c r="B451" s="5" t="s">
        <v>823</v>
      </c>
    </row>
    <row r="452" spans="1:24" x14ac:dyDescent="0.25">
      <c r="A452" t="s">
        <v>827</v>
      </c>
      <c r="B452" s="5" t="s">
        <v>27</v>
      </c>
      <c r="C452" t="s">
        <v>41</v>
      </c>
      <c r="D452" t="s">
        <v>57</v>
      </c>
      <c r="E452" t="s">
        <v>25</v>
      </c>
      <c r="F452" t="s">
        <v>7</v>
      </c>
      <c r="G452" t="s">
        <v>75</v>
      </c>
      <c r="H452" t="s">
        <v>51</v>
      </c>
      <c r="I452" t="s">
        <v>73</v>
      </c>
      <c r="J452" t="s">
        <v>65</v>
      </c>
      <c r="K452" t="s">
        <v>53</v>
      </c>
      <c r="L452" t="s">
        <v>67</v>
      </c>
      <c r="M452" t="s">
        <v>11</v>
      </c>
      <c r="N452" t="s">
        <v>15</v>
      </c>
      <c r="O452" t="s">
        <v>79</v>
      </c>
      <c r="P452" t="s">
        <v>49</v>
      </c>
      <c r="Q452" t="s">
        <v>63</v>
      </c>
      <c r="R452" t="s">
        <v>71</v>
      </c>
      <c r="S452" t="s">
        <v>19</v>
      </c>
      <c r="T452" t="s">
        <v>47</v>
      </c>
      <c r="U452" t="s">
        <v>23</v>
      </c>
      <c r="V452" t="s">
        <v>43</v>
      </c>
      <c r="W452" t="s">
        <v>77</v>
      </c>
      <c r="X452" t="s">
        <v>69</v>
      </c>
    </row>
    <row r="453" spans="1:24" x14ac:dyDescent="0.25">
      <c r="A453" t="s">
        <v>829</v>
      </c>
      <c r="B453" s="5">
        <v>1</v>
      </c>
    </row>
    <row r="454" spans="1:24" x14ac:dyDescent="0.25">
      <c r="A454" t="s">
        <v>830</v>
      </c>
      <c r="B454" s="5">
        <v>2</v>
      </c>
    </row>
    <row r="455" spans="1:24" x14ac:dyDescent="0.25">
      <c r="A455" t="s">
        <v>831</v>
      </c>
      <c r="B455" s="5">
        <v>3</v>
      </c>
    </row>
    <row r="456" spans="1:24" x14ac:dyDescent="0.25">
      <c r="A456" t="s">
        <v>832</v>
      </c>
      <c r="B456" s="5">
        <v>4</v>
      </c>
    </row>
    <row r="457" spans="1:24" x14ac:dyDescent="0.25">
      <c r="A457" t="s">
        <v>833</v>
      </c>
      <c r="B457" s="5">
        <v>5</v>
      </c>
    </row>
    <row r="458" spans="1:24" x14ac:dyDescent="0.25">
      <c r="A458" t="s">
        <v>834</v>
      </c>
      <c r="B458" s="5">
        <v>6</v>
      </c>
    </row>
    <row r="459" spans="1:24" x14ac:dyDescent="0.25">
      <c r="A459" t="s">
        <v>835</v>
      </c>
      <c r="B459" s="5">
        <v>8</v>
      </c>
    </row>
    <row r="460" spans="1:24" x14ac:dyDescent="0.25">
      <c r="A460" t="s">
        <v>836</v>
      </c>
      <c r="B460" s="5">
        <v>9</v>
      </c>
    </row>
    <row r="461" spans="1:24" x14ac:dyDescent="0.25">
      <c r="A461" t="s">
        <v>837</v>
      </c>
      <c r="B461" s="5">
        <v>10</v>
      </c>
    </row>
    <row r="462" spans="1:24" x14ac:dyDescent="0.25">
      <c r="A462" t="s">
        <v>838</v>
      </c>
      <c r="B462" s="5">
        <v>11</v>
      </c>
    </row>
    <row r="463" spans="1:24" x14ac:dyDescent="0.25">
      <c r="A463" t="s">
        <v>839</v>
      </c>
      <c r="B463" s="5">
        <v>12</v>
      </c>
    </row>
    <row r="464" spans="1:24" x14ac:dyDescent="0.25">
      <c r="A464" t="s">
        <v>840</v>
      </c>
      <c r="B464" s="5">
        <v>13</v>
      </c>
    </row>
    <row r="465" spans="1:2" x14ac:dyDescent="0.25">
      <c r="A465" t="s">
        <v>841</v>
      </c>
      <c r="B465" s="5">
        <v>14</v>
      </c>
    </row>
    <row r="466" spans="1:2" x14ac:dyDescent="0.25">
      <c r="A466" t="s">
        <v>842</v>
      </c>
      <c r="B466" s="5">
        <v>15</v>
      </c>
    </row>
    <row r="467" spans="1:2" x14ac:dyDescent="0.25">
      <c r="A467" t="s">
        <v>843</v>
      </c>
      <c r="B467" s="5">
        <v>16</v>
      </c>
    </row>
    <row r="468" spans="1:2" x14ac:dyDescent="0.25">
      <c r="A468" t="s">
        <v>844</v>
      </c>
      <c r="B468" s="5">
        <v>17</v>
      </c>
    </row>
    <row r="469" spans="1:2" x14ac:dyDescent="0.25">
      <c r="A469" t="s">
        <v>845</v>
      </c>
      <c r="B469" s="5">
        <v>18</v>
      </c>
    </row>
    <row r="470" spans="1:2" x14ac:dyDescent="0.25">
      <c r="A470" t="s">
        <v>846</v>
      </c>
      <c r="B470" s="5">
        <v>19</v>
      </c>
    </row>
    <row r="471" spans="1:2" x14ac:dyDescent="0.25">
      <c r="A471" t="s">
        <v>847</v>
      </c>
      <c r="B471" s="5">
        <v>21</v>
      </c>
    </row>
    <row r="472" spans="1:2" x14ac:dyDescent="0.25">
      <c r="A472" t="s">
        <v>848</v>
      </c>
      <c r="B472" s="5">
        <v>22</v>
      </c>
    </row>
    <row r="473" spans="1:2" x14ac:dyDescent="0.25">
      <c r="A473" t="s">
        <v>849</v>
      </c>
      <c r="B473" s="5">
        <v>23</v>
      </c>
    </row>
    <row r="474" spans="1:2" x14ac:dyDescent="0.25">
      <c r="A474" t="s">
        <v>850</v>
      </c>
      <c r="B474" s="5">
        <v>24</v>
      </c>
    </row>
    <row r="475" spans="1:2" x14ac:dyDescent="0.25">
      <c r="A475" t="s">
        <v>851</v>
      </c>
      <c r="B475" s="5">
        <v>25</v>
      </c>
    </row>
    <row r="476" spans="1:2" x14ac:dyDescent="0.25">
      <c r="A476" t="s">
        <v>852</v>
      </c>
      <c r="B476" s="5">
        <v>26</v>
      </c>
    </row>
    <row r="477" spans="1:2" x14ac:dyDescent="0.25">
      <c r="A477" t="s">
        <v>853</v>
      </c>
      <c r="B477" s="5">
        <v>27</v>
      </c>
    </row>
    <row r="478" spans="1:2" x14ac:dyDescent="0.25">
      <c r="A478" t="s">
        <v>854</v>
      </c>
      <c r="B478" s="5">
        <v>28</v>
      </c>
    </row>
    <row r="479" spans="1:2" x14ac:dyDescent="0.25">
      <c r="A479" t="s">
        <v>855</v>
      </c>
      <c r="B479" s="5">
        <v>29</v>
      </c>
    </row>
    <row r="480" spans="1:2" x14ac:dyDescent="0.25">
      <c r="A480" t="s">
        <v>856</v>
      </c>
      <c r="B480" s="5">
        <v>30</v>
      </c>
    </row>
    <row r="481" spans="1:13" x14ac:dyDescent="0.25">
      <c r="A481" t="s">
        <v>857</v>
      </c>
      <c r="B481" s="5">
        <v>31</v>
      </c>
    </row>
    <row r="482" spans="1:13" x14ac:dyDescent="0.25">
      <c r="A482" t="s">
        <v>858</v>
      </c>
      <c r="B482" s="5">
        <v>32</v>
      </c>
    </row>
    <row r="483" spans="1:13" x14ac:dyDescent="0.25">
      <c r="A483" t="s">
        <v>859</v>
      </c>
      <c r="B483" s="5">
        <v>34</v>
      </c>
    </row>
    <row r="484" spans="1:13" x14ac:dyDescent="0.25">
      <c r="A484" t="s">
        <v>861</v>
      </c>
      <c r="B484" s="5" t="s">
        <v>862</v>
      </c>
    </row>
    <row r="485" spans="1:13" x14ac:dyDescent="0.25">
      <c r="A485" t="s">
        <v>863</v>
      </c>
      <c r="B485" s="5" t="s">
        <v>864</v>
      </c>
    </row>
    <row r="486" spans="1:13" x14ac:dyDescent="0.25">
      <c r="A486" t="s">
        <v>865</v>
      </c>
      <c r="B486" s="5" t="s">
        <v>866</v>
      </c>
    </row>
    <row r="487" spans="1:13" x14ac:dyDescent="0.25">
      <c r="A487" t="s">
        <v>867</v>
      </c>
      <c r="B487" s="5" t="s">
        <v>868</v>
      </c>
    </row>
    <row r="488" spans="1:13" x14ac:dyDescent="0.25">
      <c r="A488" t="s">
        <v>869</v>
      </c>
      <c r="B488" s="5" t="s">
        <v>870</v>
      </c>
    </row>
    <row r="489" spans="1:13" x14ac:dyDescent="0.25">
      <c r="A489" t="s">
        <v>871</v>
      </c>
      <c r="B489" s="5" t="s">
        <v>872</v>
      </c>
    </row>
    <row r="490" spans="1:13" x14ac:dyDescent="0.25">
      <c r="A490" t="s">
        <v>873</v>
      </c>
      <c r="B490" s="5" t="s">
        <v>874</v>
      </c>
    </row>
    <row r="491" spans="1:13" x14ac:dyDescent="0.25">
      <c r="A491" t="s">
        <v>878</v>
      </c>
      <c r="B491" s="5" t="s">
        <v>57</v>
      </c>
      <c r="C491" t="s">
        <v>41</v>
      </c>
      <c r="D491" t="s">
        <v>43</v>
      </c>
      <c r="E491" t="s">
        <v>25</v>
      </c>
      <c r="F491" t="s">
        <v>19</v>
      </c>
      <c r="G491" t="s">
        <v>15</v>
      </c>
      <c r="H491" t="s">
        <v>73</v>
      </c>
      <c r="I491" t="s">
        <v>71</v>
      </c>
      <c r="J491" t="s">
        <v>65</v>
      </c>
      <c r="K491" t="s">
        <v>67</v>
      </c>
      <c r="L491" t="s">
        <v>63</v>
      </c>
      <c r="M491" t="s">
        <v>83</v>
      </c>
    </row>
    <row r="492" spans="1:13" x14ac:dyDescent="0.25">
      <c r="A492" t="s">
        <v>880</v>
      </c>
      <c r="B492" s="5">
        <v>1</v>
      </c>
    </row>
    <row r="493" spans="1:13" x14ac:dyDescent="0.25">
      <c r="A493" t="s">
        <v>881</v>
      </c>
      <c r="B493" s="5">
        <v>2</v>
      </c>
    </row>
    <row r="494" spans="1:13" x14ac:dyDescent="0.25">
      <c r="A494" t="s">
        <v>882</v>
      </c>
      <c r="B494" s="5">
        <v>3</v>
      </c>
    </row>
    <row r="495" spans="1:13" x14ac:dyDescent="0.25">
      <c r="A495" t="s">
        <v>883</v>
      </c>
      <c r="B495" s="5">
        <v>4</v>
      </c>
    </row>
    <row r="496" spans="1:13" x14ac:dyDescent="0.25">
      <c r="A496" t="s">
        <v>884</v>
      </c>
      <c r="B496" s="5">
        <v>5</v>
      </c>
    </row>
    <row r="497" spans="1:2" x14ac:dyDescent="0.25">
      <c r="A497" t="s">
        <v>885</v>
      </c>
      <c r="B497" s="5">
        <v>6</v>
      </c>
    </row>
    <row r="498" spans="1:2" x14ac:dyDescent="0.25">
      <c r="A498" t="s">
        <v>886</v>
      </c>
      <c r="B498" s="5">
        <v>8</v>
      </c>
    </row>
    <row r="499" spans="1:2" x14ac:dyDescent="0.25">
      <c r="A499" t="s">
        <v>887</v>
      </c>
      <c r="B499" s="5">
        <v>9</v>
      </c>
    </row>
    <row r="500" spans="1:2" x14ac:dyDescent="0.25">
      <c r="A500" t="s">
        <v>888</v>
      </c>
      <c r="B500" s="5">
        <v>10</v>
      </c>
    </row>
    <row r="501" spans="1:2" x14ac:dyDescent="0.25">
      <c r="A501" t="s">
        <v>889</v>
      </c>
      <c r="B501" s="5">
        <v>11</v>
      </c>
    </row>
    <row r="502" spans="1:2" x14ac:dyDescent="0.25">
      <c r="A502" t="s">
        <v>890</v>
      </c>
      <c r="B502" s="5">
        <v>12</v>
      </c>
    </row>
    <row r="503" spans="1:2" x14ac:dyDescent="0.25">
      <c r="A503" t="s">
        <v>891</v>
      </c>
      <c r="B503" s="5">
        <v>13</v>
      </c>
    </row>
    <row r="504" spans="1:2" x14ac:dyDescent="0.25">
      <c r="A504" t="s">
        <v>892</v>
      </c>
      <c r="B504" s="5">
        <v>14</v>
      </c>
    </row>
    <row r="505" spans="1:2" x14ac:dyDescent="0.25">
      <c r="A505" t="s">
        <v>893</v>
      </c>
      <c r="B505" s="5">
        <v>15</v>
      </c>
    </row>
    <row r="506" spans="1:2" x14ac:dyDescent="0.25">
      <c r="A506" t="s">
        <v>894</v>
      </c>
      <c r="B506" s="5">
        <v>16</v>
      </c>
    </row>
    <row r="507" spans="1:2" x14ac:dyDescent="0.25">
      <c r="A507" t="s">
        <v>895</v>
      </c>
      <c r="B507" s="5">
        <v>17</v>
      </c>
    </row>
    <row r="508" spans="1:2" x14ac:dyDescent="0.25">
      <c r="A508" t="s">
        <v>896</v>
      </c>
      <c r="B508" s="5">
        <v>52</v>
      </c>
    </row>
    <row r="509" spans="1:2" x14ac:dyDescent="0.25">
      <c r="A509" t="s">
        <v>897</v>
      </c>
      <c r="B509" s="5">
        <v>18</v>
      </c>
    </row>
    <row r="510" spans="1:2" x14ac:dyDescent="0.25">
      <c r="A510" t="s">
        <v>898</v>
      </c>
      <c r="B510" s="5">
        <v>19</v>
      </c>
    </row>
    <row r="511" spans="1:2" x14ac:dyDescent="0.25">
      <c r="A511" t="s">
        <v>899</v>
      </c>
      <c r="B511" s="5">
        <v>20</v>
      </c>
    </row>
    <row r="512" spans="1:2" x14ac:dyDescent="0.25">
      <c r="A512" t="s">
        <v>900</v>
      </c>
      <c r="B512" s="5">
        <v>21</v>
      </c>
    </row>
    <row r="513" spans="1:2" x14ac:dyDescent="0.25">
      <c r="A513" t="s">
        <v>901</v>
      </c>
      <c r="B513" s="5">
        <v>22</v>
      </c>
    </row>
    <row r="514" spans="1:2" x14ac:dyDescent="0.25">
      <c r="A514" t="s">
        <v>902</v>
      </c>
      <c r="B514" s="5">
        <v>23</v>
      </c>
    </row>
    <row r="515" spans="1:2" x14ac:dyDescent="0.25">
      <c r="A515" t="s">
        <v>903</v>
      </c>
      <c r="B515" s="5">
        <v>24</v>
      </c>
    </row>
    <row r="516" spans="1:2" x14ac:dyDescent="0.25">
      <c r="A516" t="s">
        <v>904</v>
      </c>
      <c r="B516" s="5">
        <v>25</v>
      </c>
    </row>
    <row r="517" spans="1:2" x14ac:dyDescent="0.25">
      <c r="A517" t="s">
        <v>905</v>
      </c>
      <c r="B517" s="5">
        <v>26</v>
      </c>
    </row>
    <row r="518" spans="1:2" x14ac:dyDescent="0.25">
      <c r="A518" t="s">
        <v>906</v>
      </c>
      <c r="B518" s="5">
        <v>27</v>
      </c>
    </row>
    <row r="519" spans="1:2" x14ac:dyDescent="0.25">
      <c r="A519" t="s">
        <v>907</v>
      </c>
      <c r="B519" s="5">
        <v>28</v>
      </c>
    </row>
    <row r="520" spans="1:2" x14ac:dyDescent="0.25">
      <c r="A520" t="s">
        <v>908</v>
      </c>
      <c r="B520" s="5">
        <v>30</v>
      </c>
    </row>
    <row r="521" spans="1:2" x14ac:dyDescent="0.25">
      <c r="A521" t="s">
        <v>909</v>
      </c>
      <c r="B521" s="5">
        <v>31</v>
      </c>
    </row>
    <row r="522" spans="1:2" x14ac:dyDescent="0.25">
      <c r="A522" t="s">
        <v>910</v>
      </c>
      <c r="B522" s="5">
        <v>32</v>
      </c>
    </row>
    <row r="523" spans="1:2" x14ac:dyDescent="0.25">
      <c r="A523" t="s">
        <v>911</v>
      </c>
      <c r="B523" s="5">
        <v>33</v>
      </c>
    </row>
    <row r="524" spans="1:2" x14ac:dyDescent="0.25">
      <c r="A524" t="s">
        <v>912</v>
      </c>
      <c r="B524" s="5">
        <v>34</v>
      </c>
    </row>
    <row r="525" spans="1:2" x14ac:dyDescent="0.25">
      <c r="A525" t="s">
        <v>913</v>
      </c>
      <c r="B525" s="5">
        <v>35</v>
      </c>
    </row>
    <row r="526" spans="1:2" x14ac:dyDescent="0.25">
      <c r="A526" t="s">
        <v>914</v>
      </c>
      <c r="B526" s="5">
        <v>36</v>
      </c>
    </row>
    <row r="527" spans="1:2" x14ac:dyDescent="0.25">
      <c r="A527" t="s">
        <v>915</v>
      </c>
      <c r="B527" s="5">
        <v>37</v>
      </c>
    </row>
    <row r="528" spans="1:2" x14ac:dyDescent="0.25">
      <c r="A528" t="s">
        <v>916</v>
      </c>
      <c r="B528" s="5">
        <v>38</v>
      </c>
    </row>
    <row r="529" spans="1:2" x14ac:dyDescent="0.25">
      <c r="A529" t="s">
        <v>917</v>
      </c>
      <c r="B529" s="5">
        <v>39</v>
      </c>
    </row>
    <row r="530" spans="1:2" x14ac:dyDescent="0.25">
      <c r="A530" t="s">
        <v>918</v>
      </c>
      <c r="B530" s="5">
        <v>53</v>
      </c>
    </row>
    <row r="531" spans="1:2" x14ac:dyDescent="0.25">
      <c r="A531" t="s">
        <v>919</v>
      </c>
      <c r="B531" s="5">
        <v>40</v>
      </c>
    </row>
    <row r="532" spans="1:2" x14ac:dyDescent="0.25">
      <c r="A532" t="s">
        <v>920</v>
      </c>
      <c r="B532" s="5">
        <v>41</v>
      </c>
    </row>
    <row r="533" spans="1:2" x14ac:dyDescent="0.25">
      <c r="A533" t="s">
        <v>921</v>
      </c>
      <c r="B533" s="5">
        <v>42</v>
      </c>
    </row>
    <row r="534" spans="1:2" x14ac:dyDescent="0.25">
      <c r="A534" t="s">
        <v>922</v>
      </c>
      <c r="B534" s="5">
        <v>43</v>
      </c>
    </row>
    <row r="535" spans="1:2" x14ac:dyDescent="0.25">
      <c r="A535" t="s">
        <v>923</v>
      </c>
      <c r="B535" s="5">
        <v>44</v>
      </c>
    </row>
    <row r="536" spans="1:2" x14ac:dyDescent="0.25">
      <c r="A536" t="s">
        <v>924</v>
      </c>
      <c r="B536" s="5">
        <v>45</v>
      </c>
    </row>
    <row r="537" spans="1:2" x14ac:dyDescent="0.25">
      <c r="A537" t="s">
        <v>925</v>
      </c>
      <c r="B537" s="5">
        <v>46</v>
      </c>
    </row>
    <row r="538" spans="1:2" x14ac:dyDescent="0.25">
      <c r="A538" t="s">
        <v>926</v>
      </c>
      <c r="B538" s="5">
        <v>47</v>
      </c>
    </row>
    <row r="539" spans="1:2" x14ac:dyDescent="0.25">
      <c r="A539" t="s">
        <v>927</v>
      </c>
      <c r="B539" s="5">
        <v>48</v>
      </c>
    </row>
    <row r="540" spans="1:2" x14ac:dyDescent="0.25">
      <c r="A540" t="s">
        <v>928</v>
      </c>
      <c r="B540" s="5">
        <v>49</v>
      </c>
    </row>
    <row r="541" spans="1:2" x14ac:dyDescent="0.25">
      <c r="A541" t="s">
        <v>929</v>
      </c>
      <c r="B541" s="5">
        <v>50</v>
      </c>
    </row>
    <row r="542" spans="1:2" x14ac:dyDescent="0.25">
      <c r="A542" t="s">
        <v>930</v>
      </c>
      <c r="B542" s="5">
        <v>54</v>
      </c>
    </row>
    <row r="543" spans="1:2" x14ac:dyDescent="0.25">
      <c r="A543" t="s">
        <v>931</v>
      </c>
      <c r="B543" s="5">
        <v>55</v>
      </c>
    </row>
    <row r="544" spans="1:2" x14ac:dyDescent="0.25">
      <c r="A544" t="s">
        <v>932</v>
      </c>
      <c r="B544" s="5">
        <v>56</v>
      </c>
    </row>
    <row r="545" spans="1:23" x14ac:dyDescent="0.25">
      <c r="A545" t="s">
        <v>934</v>
      </c>
      <c r="B545" s="5" t="s">
        <v>935</v>
      </c>
    </row>
    <row r="546" spans="1:23" x14ac:dyDescent="0.25">
      <c r="A546" t="s">
        <v>936</v>
      </c>
      <c r="B546" s="5" t="s">
        <v>937</v>
      </c>
    </row>
    <row r="547" spans="1:23" x14ac:dyDescent="0.25">
      <c r="A547" t="s">
        <v>938</v>
      </c>
      <c r="B547" s="5" t="s">
        <v>939</v>
      </c>
    </row>
    <row r="548" spans="1:23" x14ac:dyDescent="0.25">
      <c r="A548" t="s">
        <v>940</v>
      </c>
      <c r="B548" s="5" t="s">
        <v>941</v>
      </c>
    </row>
    <row r="549" spans="1:23" x14ac:dyDescent="0.25">
      <c r="A549" t="s">
        <v>942</v>
      </c>
      <c r="B549" s="5" t="s">
        <v>943</v>
      </c>
    </row>
    <row r="550" spans="1:23" x14ac:dyDescent="0.25">
      <c r="A550" t="s">
        <v>944</v>
      </c>
      <c r="B550" s="5" t="s">
        <v>945</v>
      </c>
    </row>
    <row r="551" spans="1:23" x14ac:dyDescent="0.25">
      <c r="A551" t="s">
        <v>946</v>
      </c>
      <c r="B551" s="5" t="s">
        <v>947</v>
      </c>
    </row>
    <row r="552" spans="1:23" x14ac:dyDescent="0.25">
      <c r="A552" t="s">
        <v>951</v>
      </c>
      <c r="B552" s="5" t="s">
        <v>43</v>
      </c>
      <c r="C552" t="s">
        <v>41</v>
      </c>
      <c r="D552" t="s">
        <v>57</v>
      </c>
      <c r="E552" t="s">
        <v>25</v>
      </c>
      <c r="F552" t="s">
        <v>19</v>
      </c>
      <c r="G552" t="s">
        <v>47</v>
      </c>
      <c r="H552" t="s">
        <v>75</v>
      </c>
      <c r="I552" t="s">
        <v>73</v>
      </c>
      <c r="J552" t="s">
        <v>51</v>
      </c>
      <c r="K552" t="s">
        <v>7</v>
      </c>
      <c r="L552" t="s">
        <v>15</v>
      </c>
      <c r="M552" t="s">
        <v>69</v>
      </c>
      <c r="N552" t="s">
        <v>65</v>
      </c>
      <c r="O552" t="s">
        <v>53</v>
      </c>
      <c r="P552" t="s">
        <v>63</v>
      </c>
      <c r="Q552" t="s">
        <v>77</v>
      </c>
      <c r="R552" t="s">
        <v>67</v>
      </c>
      <c r="S552" t="s">
        <v>79</v>
      </c>
      <c r="T552" t="s">
        <v>11</v>
      </c>
      <c r="U552" t="s">
        <v>71</v>
      </c>
      <c r="V552" t="s">
        <v>49</v>
      </c>
      <c r="W552" t="s">
        <v>83</v>
      </c>
    </row>
    <row r="553" spans="1:23" x14ac:dyDescent="0.25">
      <c r="A553" t="s">
        <v>953</v>
      </c>
      <c r="B553" s="5">
        <v>1</v>
      </c>
    </row>
    <row r="554" spans="1:23" x14ac:dyDescent="0.25">
      <c r="A554" t="s">
        <v>954</v>
      </c>
      <c r="B554" s="5">
        <v>2</v>
      </c>
    </row>
    <row r="555" spans="1:23" x14ac:dyDescent="0.25">
      <c r="A555" t="s">
        <v>955</v>
      </c>
      <c r="B555" s="5">
        <v>3</v>
      </c>
    </row>
    <row r="556" spans="1:23" x14ac:dyDescent="0.25">
      <c r="A556" t="s">
        <v>956</v>
      </c>
      <c r="B556" s="5">
        <v>4</v>
      </c>
    </row>
    <row r="557" spans="1:23" x14ac:dyDescent="0.25">
      <c r="A557" t="s">
        <v>957</v>
      </c>
      <c r="B557" s="5">
        <v>5</v>
      </c>
    </row>
    <row r="558" spans="1:23" x14ac:dyDescent="0.25">
      <c r="A558" t="s">
        <v>958</v>
      </c>
      <c r="B558" s="5">
        <v>6</v>
      </c>
    </row>
    <row r="559" spans="1:23" x14ac:dyDescent="0.25">
      <c r="A559" t="s">
        <v>959</v>
      </c>
      <c r="B559" s="5">
        <v>8</v>
      </c>
    </row>
    <row r="560" spans="1:23" x14ac:dyDescent="0.25">
      <c r="A560" t="s">
        <v>960</v>
      </c>
      <c r="B560" s="5">
        <v>9</v>
      </c>
    </row>
    <row r="561" spans="1:2" x14ac:dyDescent="0.25">
      <c r="A561" t="s">
        <v>961</v>
      </c>
      <c r="B561" s="5">
        <v>10</v>
      </c>
    </row>
    <row r="562" spans="1:2" x14ac:dyDescent="0.25">
      <c r="A562" t="s">
        <v>962</v>
      </c>
      <c r="B562" s="5">
        <v>11</v>
      </c>
    </row>
    <row r="563" spans="1:2" x14ac:dyDescent="0.25">
      <c r="A563" t="s">
        <v>963</v>
      </c>
      <c r="B563" s="5">
        <v>12</v>
      </c>
    </row>
    <row r="564" spans="1:2" x14ac:dyDescent="0.25">
      <c r="A564" t="s">
        <v>964</v>
      </c>
      <c r="B564" s="5">
        <v>13</v>
      </c>
    </row>
    <row r="565" spans="1:2" x14ac:dyDescent="0.25">
      <c r="A565" t="s">
        <v>965</v>
      </c>
      <c r="B565" s="5">
        <v>14</v>
      </c>
    </row>
    <row r="566" spans="1:2" x14ac:dyDescent="0.25">
      <c r="A566" t="s">
        <v>966</v>
      </c>
      <c r="B566" s="5">
        <v>15</v>
      </c>
    </row>
    <row r="567" spans="1:2" x14ac:dyDescent="0.25">
      <c r="A567" t="s">
        <v>967</v>
      </c>
      <c r="B567" s="5">
        <v>17</v>
      </c>
    </row>
    <row r="568" spans="1:2" x14ac:dyDescent="0.25">
      <c r="A568" t="s">
        <v>968</v>
      </c>
      <c r="B568" s="5">
        <v>18</v>
      </c>
    </row>
    <row r="569" spans="1:2" x14ac:dyDescent="0.25">
      <c r="A569" t="s">
        <v>969</v>
      </c>
      <c r="B569" s="5">
        <v>19</v>
      </c>
    </row>
    <row r="570" spans="1:2" x14ac:dyDescent="0.25">
      <c r="A570" t="s">
        <v>970</v>
      </c>
      <c r="B570" s="5">
        <v>20</v>
      </c>
    </row>
    <row r="571" spans="1:2" x14ac:dyDescent="0.25">
      <c r="A571" t="s">
        <v>971</v>
      </c>
      <c r="B571" s="5">
        <v>21</v>
      </c>
    </row>
    <row r="572" spans="1:2" x14ac:dyDescent="0.25">
      <c r="A572" t="s">
        <v>972</v>
      </c>
      <c r="B572" s="5">
        <v>22</v>
      </c>
    </row>
    <row r="573" spans="1:2" x14ac:dyDescent="0.25">
      <c r="A573" t="s">
        <v>973</v>
      </c>
      <c r="B573" s="5">
        <v>23</v>
      </c>
    </row>
    <row r="574" spans="1:2" x14ac:dyDescent="0.25">
      <c r="A574" t="s">
        <v>974</v>
      </c>
      <c r="B574" s="5">
        <v>24</v>
      </c>
    </row>
    <row r="575" spans="1:2" x14ac:dyDescent="0.25">
      <c r="A575" t="s">
        <v>975</v>
      </c>
      <c r="B575" s="5">
        <v>26</v>
      </c>
    </row>
    <row r="576" spans="1:2" x14ac:dyDescent="0.25">
      <c r="A576" t="s">
        <v>977</v>
      </c>
      <c r="B576" s="5" t="s">
        <v>978</v>
      </c>
    </row>
    <row r="577" spans="1:9" x14ac:dyDescent="0.25">
      <c r="A577" t="s">
        <v>979</v>
      </c>
      <c r="B577" s="5" t="s">
        <v>980</v>
      </c>
    </row>
    <row r="578" spans="1:9" x14ac:dyDescent="0.25">
      <c r="A578" t="s">
        <v>982</v>
      </c>
      <c r="B578" s="5" t="s">
        <v>983</v>
      </c>
    </row>
    <row r="579" spans="1:9" x14ac:dyDescent="0.25">
      <c r="A579" t="s">
        <v>985</v>
      </c>
      <c r="B579" s="5" t="s">
        <v>986</v>
      </c>
    </row>
    <row r="580" spans="1:9" x14ac:dyDescent="0.25">
      <c r="A580" t="s">
        <v>988</v>
      </c>
      <c r="B580" s="5" t="s">
        <v>989</v>
      </c>
    </row>
    <row r="581" spans="1:9" x14ac:dyDescent="0.25">
      <c r="A581" t="s">
        <v>992</v>
      </c>
      <c r="B581" s="5" t="s">
        <v>993</v>
      </c>
    </row>
    <row r="582" spans="1:9" x14ac:dyDescent="0.25">
      <c r="A582" t="s">
        <v>995</v>
      </c>
      <c r="B582" s="5" t="s">
        <v>996</v>
      </c>
    </row>
    <row r="583" spans="1:9" x14ac:dyDescent="0.25">
      <c r="A583" t="s">
        <v>998</v>
      </c>
      <c r="B583" s="5" t="s">
        <v>999</v>
      </c>
    </row>
    <row r="584" spans="1:9" x14ac:dyDescent="0.25">
      <c r="A584" t="s">
        <v>1006</v>
      </c>
      <c r="B584" s="5" t="s">
        <v>57</v>
      </c>
      <c r="C584" t="s">
        <v>25</v>
      </c>
      <c r="D584" t="s">
        <v>61</v>
      </c>
      <c r="E584" t="s">
        <v>39</v>
      </c>
      <c r="F584" t="s">
        <v>73</v>
      </c>
      <c r="G584" t="s">
        <v>71</v>
      </c>
      <c r="H584" t="s">
        <v>67</v>
      </c>
      <c r="I584" t="s">
        <v>83</v>
      </c>
    </row>
    <row r="585" spans="1:9" x14ac:dyDescent="0.25">
      <c r="A585" t="s">
        <v>1008</v>
      </c>
      <c r="B585" s="5">
        <v>1</v>
      </c>
    </row>
    <row r="586" spans="1:9" x14ac:dyDescent="0.25">
      <c r="A586" t="s">
        <v>1009</v>
      </c>
      <c r="B586" s="5">
        <v>2</v>
      </c>
    </row>
    <row r="587" spans="1:9" x14ac:dyDescent="0.25">
      <c r="A587" t="s">
        <v>1010</v>
      </c>
      <c r="B587" s="5">
        <v>3</v>
      </c>
    </row>
    <row r="588" spans="1:9" x14ac:dyDescent="0.25">
      <c r="A588" t="s">
        <v>1011</v>
      </c>
      <c r="B588" s="5">
        <v>4</v>
      </c>
    </row>
    <row r="589" spans="1:9" x14ac:dyDescent="0.25">
      <c r="A589" t="s">
        <v>1012</v>
      </c>
      <c r="B589" s="5">
        <v>5</v>
      </c>
    </row>
    <row r="590" spans="1:9" x14ac:dyDescent="0.25">
      <c r="A590" t="s">
        <v>1013</v>
      </c>
      <c r="B590" s="5">
        <v>6</v>
      </c>
    </row>
    <row r="591" spans="1:9" x14ac:dyDescent="0.25">
      <c r="A591" t="s">
        <v>1014</v>
      </c>
      <c r="B591" s="5">
        <v>7</v>
      </c>
    </row>
    <row r="592" spans="1:9" x14ac:dyDescent="0.25">
      <c r="A592" t="s">
        <v>1015</v>
      </c>
      <c r="B592" s="5">
        <v>9</v>
      </c>
    </row>
    <row r="593" spans="1:2" x14ac:dyDescent="0.25">
      <c r="A593" t="s">
        <v>1016</v>
      </c>
      <c r="B593" s="5">
        <v>10</v>
      </c>
    </row>
    <row r="594" spans="1:2" x14ac:dyDescent="0.25">
      <c r="A594" t="s">
        <v>1017</v>
      </c>
      <c r="B594" s="5">
        <v>11</v>
      </c>
    </row>
    <row r="595" spans="1:2" x14ac:dyDescent="0.25">
      <c r="A595" t="s">
        <v>1018</v>
      </c>
      <c r="B595" s="5">
        <v>12</v>
      </c>
    </row>
    <row r="596" spans="1:2" x14ac:dyDescent="0.25">
      <c r="A596" t="s">
        <v>1019</v>
      </c>
      <c r="B596" s="5">
        <v>13</v>
      </c>
    </row>
    <row r="597" spans="1:2" x14ac:dyDescent="0.25">
      <c r="A597" t="s">
        <v>1020</v>
      </c>
      <c r="B597" s="5">
        <v>14</v>
      </c>
    </row>
    <row r="598" spans="1:2" x14ac:dyDescent="0.25">
      <c r="A598" t="s">
        <v>1021</v>
      </c>
      <c r="B598" s="5">
        <v>15</v>
      </c>
    </row>
    <row r="599" spans="1:2" x14ac:dyDescent="0.25">
      <c r="A599" t="s">
        <v>1022</v>
      </c>
      <c r="B599" s="5">
        <v>16</v>
      </c>
    </row>
    <row r="600" spans="1:2" x14ac:dyDescent="0.25">
      <c r="A600" t="s">
        <v>1023</v>
      </c>
      <c r="B600" s="5">
        <v>17</v>
      </c>
    </row>
    <row r="601" spans="1:2" x14ac:dyDescent="0.25">
      <c r="A601" t="s">
        <v>1024</v>
      </c>
      <c r="B601" s="5">
        <v>18</v>
      </c>
    </row>
    <row r="602" spans="1:2" x14ac:dyDescent="0.25">
      <c r="A602" t="s">
        <v>1025</v>
      </c>
      <c r="B602" s="5">
        <v>19</v>
      </c>
    </row>
    <row r="603" spans="1:2" x14ac:dyDescent="0.25">
      <c r="A603" t="s">
        <v>1026</v>
      </c>
      <c r="B603" s="5">
        <v>20</v>
      </c>
    </row>
    <row r="604" spans="1:2" x14ac:dyDescent="0.25">
      <c r="A604" t="s">
        <v>1027</v>
      </c>
      <c r="B604" s="5">
        <v>22</v>
      </c>
    </row>
    <row r="605" spans="1:2" x14ac:dyDescent="0.25">
      <c r="A605" t="s">
        <v>1028</v>
      </c>
      <c r="B605" s="5">
        <v>23</v>
      </c>
    </row>
    <row r="606" spans="1:2" x14ac:dyDescent="0.25">
      <c r="A606" t="s">
        <v>1029</v>
      </c>
      <c r="B606" s="5">
        <v>24</v>
      </c>
    </row>
    <row r="607" spans="1:2" x14ac:dyDescent="0.25">
      <c r="A607" t="s">
        <v>1030</v>
      </c>
      <c r="B607" s="5">
        <v>25</v>
      </c>
    </row>
    <row r="608" spans="1:2" x14ac:dyDescent="0.25">
      <c r="A608" t="s">
        <v>1031</v>
      </c>
      <c r="B608" s="5">
        <v>26</v>
      </c>
    </row>
    <row r="609" spans="1:2" x14ac:dyDescent="0.25">
      <c r="A609" t="s">
        <v>1032</v>
      </c>
      <c r="B609" s="5">
        <v>27</v>
      </c>
    </row>
    <row r="610" spans="1:2" x14ac:dyDescent="0.25">
      <c r="A610" t="s">
        <v>1033</v>
      </c>
      <c r="B610" s="5">
        <v>28</v>
      </c>
    </row>
    <row r="611" spans="1:2" x14ac:dyDescent="0.25">
      <c r="A611" t="s">
        <v>1034</v>
      </c>
      <c r="B611" s="5">
        <v>29</v>
      </c>
    </row>
    <row r="612" spans="1:2" x14ac:dyDescent="0.25">
      <c r="A612" t="s">
        <v>1035</v>
      </c>
      <c r="B612" s="5">
        <v>30</v>
      </c>
    </row>
    <row r="613" spans="1:2" x14ac:dyDescent="0.25">
      <c r="A613" t="s">
        <v>1036</v>
      </c>
      <c r="B613" s="5">
        <v>31</v>
      </c>
    </row>
    <row r="614" spans="1:2" x14ac:dyDescent="0.25">
      <c r="A614" t="s">
        <v>1037</v>
      </c>
      <c r="B614" s="5">
        <v>32</v>
      </c>
    </row>
    <row r="615" spans="1:2" x14ac:dyDescent="0.25">
      <c r="A615" t="s">
        <v>1038</v>
      </c>
      <c r="B615" s="5">
        <v>33</v>
      </c>
    </row>
    <row r="616" spans="1:2" x14ac:dyDescent="0.25">
      <c r="A616" t="s">
        <v>1039</v>
      </c>
      <c r="B616" s="5">
        <v>35</v>
      </c>
    </row>
    <row r="617" spans="1:2" x14ac:dyDescent="0.25">
      <c r="A617" t="s">
        <v>1040</v>
      </c>
      <c r="B617" s="5">
        <v>36</v>
      </c>
    </row>
    <row r="618" spans="1:2" x14ac:dyDescent="0.25">
      <c r="A618" t="s">
        <v>1041</v>
      </c>
      <c r="B618" s="5">
        <v>37</v>
      </c>
    </row>
    <row r="619" spans="1:2" x14ac:dyDescent="0.25">
      <c r="A619" t="s">
        <v>1042</v>
      </c>
      <c r="B619" s="5">
        <v>39</v>
      </c>
    </row>
    <row r="620" spans="1:2" x14ac:dyDescent="0.25">
      <c r="A620" t="s">
        <v>1043</v>
      </c>
      <c r="B620" s="5">
        <v>40</v>
      </c>
    </row>
    <row r="621" spans="1:2" x14ac:dyDescent="0.25">
      <c r="A621" t="s">
        <v>1044</v>
      </c>
      <c r="B621" s="5">
        <v>41</v>
      </c>
    </row>
    <row r="622" spans="1:2" x14ac:dyDescent="0.25">
      <c r="A622" t="s">
        <v>1046</v>
      </c>
      <c r="B622" s="5" t="s">
        <v>1047</v>
      </c>
    </row>
    <row r="623" spans="1:2" x14ac:dyDescent="0.25">
      <c r="A623" t="s">
        <v>1048</v>
      </c>
      <c r="B623" s="5" t="s">
        <v>1049</v>
      </c>
    </row>
    <row r="624" spans="1:2" x14ac:dyDescent="0.25">
      <c r="A624" t="s">
        <v>1050</v>
      </c>
      <c r="B624" s="5" t="s">
        <v>1051</v>
      </c>
    </row>
    <row r="625" spans="1:13" x14ac:dyDescent="0.25">
      <c r="A625" t="s">
        <v>1052</v>
      </c>
      <c r="B625" s="5" t="s">
        <v>1053</v>
      </c>
    </row>
    <row r="626" spans="1:13" x14ac:dyDescent="0.25">
      <c r="A626" t="s">
        <v>1054</v>
      </c>
      <c r="B626" s="5" t="s">
        <v>1055</v>
      </c>
    </row>
    <row r="627" spans="1:13" x14ac:dyDescent="0.25">
      <c r="A627" t="s">
        <v>1058</v>
      </c>
      <c r="B627" s="5" t="s">
        <v>47</v>
      </c>
      <c r="C627" t="s">
        <v>49</v>
      </c>
      <c r="D627" t="s">
        <v>71</v>
      </c>
      <c r="E627" t="s">
        <v>11</v>
      </c>
      <c r="F627" t="s">
        <v>67</v>
      </c>
      <c r="G627" t="s">
        <v>7</v>
      </c>
      <c r="H627" t="s">
        <v>61</v>
      </c>
      <c r="I627" t="s">
        <v>25</v>
      </c>
      <c r="J627" t="s">
        <v>73</v>
      </c>
      <c r="K627" t="s">
        <v>75</v>
      </c>
      <c r="L627" t="s">
        <v>57</v>
      </c>
      <c r="M627" t="s">
        <v>39</v>
      </c>
    </row>
    <row r="628" spans="1:13" x14ac:dyDescent="0.25">
      <c r="A628" t="s">
        <v>1060</v>
      </c>
      <c r="B628" s="5">
        <v>1</v>
      </c>
    </row>
    <row r="629" spans="1:13" x14ac:dyDescent="0.25">
      <c r="A629" t="s">
        <v>1061</v>
      </c>
      <c r="B629" s="5">
        <v>2</v>
      </c>
    </row>
    <row r="630" spans="1:13" x14ac:dyDescent="0.25">
      <c r="A630" t="s">
        <v>1062</v>
      </c>
      <c r="B630" s="5">
        <v>3</v>
      </c>
    </row>
    <row r="631" spans="1:13" x14ac:dyDescent="0.25">
      <c r="A631" t="s">
        <v>1063</v>
      </c>
      <c r="B631" s="5">
        <v>4</v>
      </c>
    </row>
    <row r="632" spans="1:13" x14ac:dyDescent="0.25">
      <c r="A632" t="s">
        <v>1064</v>
      </c>
      <c r="B632" s="5">
        <v>5</v>
      </c>
    </row>
    <row r="633" spans="1:13" x14ac:dyDescent="0.25">
      <c r="A633" t="s">
        <v>1065</v>
      </c>
      <c r="B633" s="5">
        <v>6</v>
      </c>
    </row>
    <row r="634" spans="1:13" x14ac:dyDescent="0.25">
      <c r="A634" t="s">
        <v>1066</v>
      </c>
      <c r="B634" s="5">
        <v>7</v>
      </c>
    </row>
    <row r="635" spans="1:13" x14ac:dyDescent="0.25">
      <c r="A635" t="s">
        <v>1067</v>
      </c>
      <c r="B635" s="5">
        <v>9</v>
      </c>
    </row>
    <row r="636" spans="1:13" x14ac:dyDescent="0.25">
      <c r="A636" t="s">
        <v>1068</v>
      </c>
      <c r="B636" s="5">
        <v>10</v>
      </c>
    </row>
    <row r="637" spans="1:13" x14ac:dyDescent="0.25">
      <c r="A637" t="s">
        <v>1069</v>
      </c>
      <c r="B637" s="5">
        <v>11</v>
      </c>
    </row>
    <row r="638" spans="1:13" x14ac:dyDescent="0.25">
      <c r="A638" t="s">
        <v>1070</v>
      </c>
      <c r="B638" s="5">
        <v>12</v>
      </c>
    </row>
    <row r="639" spans="1:13" x14ac:dyDescent="0.25">
      <c r="A639" t="s">
        <v>1071</v>
      </c>
      <c r="B639" s="5">
        <v>13</v>
      </c>
    </row>
    <row r="640" spans="1:13" x14ac:dyDescent="0.25">
      <c r="A640" t="s">
        <v>1073</v>
      </c>
      <c r="B640" s="5">
        <v>14</v>
      </c>
    </row>
    <row r="641" spans="1:2" x14ac:dyDescent="0.25">
      <c r="A641" t="s">
        <v>1075</v>
      </c>
      <c r="B641" s="5">
        <v>15</v>
      </c>
    </row>
    <row r="642" spans="1:2" x14ac:dyDescent="0.25">
      <c r="A642" t="s">
        <v>1076</v>
      </c>
      <c r="B642" s="5">
        <v>16</v>
      </c>
    </row>
    <row r="643" spans="1:2" x14ac:dyDescent="0.25">
      <c r="A643" t="s">
        <v>1077</v>
      </c>
      <c r="B643" s="5">
        <v>17</v>
      </c>
    </row>
    <row r="644" spans="1:2" x14ac:dyDescent="0.25">
      <c r="A644" t="s">
        <v>1078</v>
      </c>
      <c r="B644" s="5">
        <v>19</v>
      </c>
    </row>
    <row r="645" spans="1:2" x14ac:dyDescent="0.25">
      <c r="A645" t="s">
        <v>1079</v>
      </c>
      <c r="B645" s="5">
        <v>20</v>
      </c>
    </row>
    <row r="646" spans="1:2" x14ac:dyDescent="0.25">
      <c r="A646" t="s">
        <v>1080</v>
      </c>
      <c r="B646" s="5">
        <v>21</v>
      </c>
    </row>
    <row r="647" spans="1:2" x14ac:dyDescent="0.25">
      <c r="A647" t="s">
        <v>1081</v>
      </c>
      <c r="B647" s="5">
        <v>22</v>
      </c>
    </row>
    <row r="648" spans="1:2" x14ac:dyDescent="0.25">
      <c r="A648" t="s">
        <v>1082</v>
      </c>
      <c r="B648" s="5">
        <v>23</v>
      </c>
    </row>
    <row r="649" spans="1:2" x14ac:dyDescent="0.25">
      <c r="A649" t="s">
        <v>1083</v>
      </c>
      <c r="B649" s="5">
        <v>24</v>
      </c>
    </row>
    <row r="650" spans="1:2" x14ac:dyDescent="0.25">
      <c r="A650" t="s">
        <v>1084</v>
      </c>
      <c r="B650" s="5">
        <v>25</v>
      </c>
    </row>
    <row r="651" spans="1:2" x14ac:dyDescent="0.25">
      <c r="A651" t="s">
        <v>1085</v>
      </c>
      <c r="B651" s="5">
        <v>26</v>
      </c>
    </row>
    <row r="652" spans="1:2" x14ac:dyDescent="0.25">
      <c r="A652" t="s">
        <v>1086</v>
      </c>
      <c r="B652" s="5">
        <v>27</v>
      </c>
    </row>
    <row r="653" spans="1:2" x14ac:dyDescent="0.25">
      <c r="A653" t="s">
        <v>1088</v>
      </c>
      <c r="B653" s="5">
        <v>29</v>
      </c>
    </row>
    <row r="654" spans="1:2" x14ac:dyDescent="0.25">
      <c r="A654" t="s">
        <v>1090</v>
      </c>
      <c r="B654" s="5">
        <v>31</v>
      </c>
    </row>
    <row r="655" spans="1:2" x14ac:dyDescent="0.25">
      <c r="A655" t="s">
        <v>1092</v>
      </c>
      <c r="B655" s="5" t="s">
        <v>1093</v>
      </c>
    </row>
    <row r="656" spans="1:2" x14ac:dyDescent="0.25">
      <c r="A656" t="s">
        <v>1094</v>
      </c>
      <c r="B656" s="5" t="s">
        <v>1095</v>
      </c>
    </row>
    <row r="657" spans="1:10" x14ac:dyDescent="0.25">
      <c r="A657" t="s">
        <v>1096</v>
      </c>
      <c r="B657" s="5" t="s">
        <v>1097</v>
      </c>
    </row>
    <row r="658" spans="1:10" x14ac:dyDescent="0.25">
      <c r="A658" t="s">
        <v>1098</v>
      </c>
      <c r="B658" s="5" t="s">
        <v>1099</v>
      </c>
    </row>
    <row r="659" spans="1:10" x14ac:dyDescent="0.25">
      <c r="A659" t="s">
        <v>1100</v>
      </c>
      <c r="B659" s="5" t="s">
        <v>1101</v>
      </c>
    </row>
    <row r="660" spans="1:10" x14ac:dyDescent="0.25">
      <c r="A660" t="s">
        <v>1105</v>
      </c>
      <c r="B660" s="5" t="s">
        <v>67</v>
      </c>
      <c r="C660" t="s">
        <v>55</v>
      </c>
      <c r="D660" t="s">
        <v>37</v>
      </c>
      <c r="E660" t="s">
        <v>73</v>
      </c>
      <c r="F660" t="s">
        <v>25</v>
      </c>
      <c r="G660" t="s">
        <v>71</v>
      </c>
      <c r="H660" t="s">
        <v>61</v>
      </c>
      <c r="I660" t="s">
        <v>39</v>
      </c>
      <c r="J660" t="s">
        <v>57</v>
      </c>
    </row>
    <row r="661" spans="1:10" x14ac:dyDescent="0.25">
      <c r="A661" t="s">
        <v>1107</v>
      </c>
      <c r="B661" s="5">
        <v>1</v>
      </c>
    </row>
    <row r="662" spans="1:10" x14ac:dyDescent="0.25">
      <c r="A662" t="s">
        <v>1108</v>
      </c>
      <c r="B662" s="5">
        <v>2</v>
      </c>
    </row>
    <row r="663" spans="1:10" x14ac:dyDescent="0.25">
      <c r="A663" t="s">
        <v>1109</v>
      </c>
      <c r="B663" s="5">
        <v>3</v>
      </c>
    </row>
    <row r="664" spans="1:10" x14ac:dyDescent="0.25">
      <c r="A664" t="s">
        <v>1110</v>
      </c>
      <c r="B664" s="5">
        <v>4</v>
      </c>
    </row>
    <row r="665" spans="1:10" x14ac:dyDescent="0.25">
      <c r="A665" t="s">
        <v>1111</v>
      </c>
      <c r="B665" s="5">
        <v>5</v>
      </c>
    </row>
    <row r="666" spans="1:10" x14ac:dyDescent="0.25">
      <c r="A666" t="s">
        <v>1112</v>
      </c>
      <c r="B666" s="5">
        <v>6</v>
      </c>
    </row>
    <row r="667" spans="1:10" x14ac:dyDescent="0.25">
      <c r="A667" t="s">
        <v>1113</v>
      </c>
      <c r="B667" s="5">
        <v>7</v>
      </c>
    </row>
    <row r="668" spans="1:10" x14ac:dyDescent="0.25">
      <c r="A668" t="s">
        <v>1114</v>
      </c>
      <c r="B668" s="5">
        <v>9</v>
      </c>
    </row>
    <row r="669" spans="1:10" x14ac:dyDescent="0.25">
      <c r="A669" t="s">
        <v>1115</v>
      </c>
      <c r="B669" s="5">
        <v>10</v>
      </c>
    </row>
    <row r="670" spans="1:10" x14ac:dyDescent="0.25">
      <c r="A670" t="s">
        <v>1116</v>
      </c>
      <c r="B670" s="5">
        <v>11</v>
      </c>
    </row>
    <row r="671" spans="1:10" x14ac:dyDescent="0.25">
      <c r="A671" t="s">
        <v>1117</v>
      </c>
      <c r="B671" s="5">
        <v>12</v>
      </c>
    </row>
    <row r="672" spans="1:10" x14ac:dyDescent="0.25">
      <c r="A672" t="s">
        <v>1118</v>
      </c>
      <c r="B672" s="5">
        <v>13</v>
      </c>
    </row>
    <row r="673" spans="1:2" x14ac:dyDescent="0.25">
      <c r="A673" t="s">
        <v>1119</v>
      </c>
      <c r="B673" s="5">
        <v>14</v>
      </c>
    </row>
    <row r="674" spans="1:2" x14ac:dyDescent="0.25">
      <c r="A674" t="s">
        <v>1120</v>
      </c>
      <c r="B674" s="5">
        <v>15</v>
      </c>
    </row>
    <row r="675" spans="1:2" x14ac:dyDescent="0.25">
      <c r="A675" t="s">
        <v>1121</v>
      </c>
      <c r="B675" s="5">
        <v>16</v>
      </c>
    </row>
    <row r="676" spans="1:2" x14ac:dyDescent="0.25">
      <c r="A676" t="s">
        <v>1122</v>
      </c>
      <c r="B676" s="5">
        <v>17</v>
      </c>
    </row>
    <row r="677" spans="1:2" x14ac:dyDescent="0.25">
      <c r="A677" t="s">
        <v>1123</v>
      </c>
      <c r="B677" s="5">
        <v>19</v>
      </c>
    </row>
    <row r="678" spans="1:2" x14ac:dyDescent="0.25">
      <c r="A678" t="s">
        <v>1124</v>
      </c>
      <c r="B678" s="5">
        <v>20</v>
      </c>
    </row>
    <row r="679" spans="1:2" x14ac:dyDescent="0.25">
      <c r="A679" t="s">
        <v>1125</v>
      </c>
      <c r="B679" s="5">
        <v>21</v>
      </c>
    </row>
    <row r="680" spans="1:2" x14ac:dyDescent="0.25">
      <c r="A680" t="s">
        <v>1126</v>
      </c>
      <c r="B680" s="5">
        <v>22</v>
      </c>
    </row>
    <row r="681" spans="1:2" x14ac:dyDescent="0.25">
      <c r="A681" t="s">
        <v>1127</v>
      </c>
      <c r="B681" s="5">
        <v>23</v>
      </c>
    </row>
    <row r="682" spans="1:2" x14ac:dyDescent="0.25">
      <c r="A682" t="s">
        <v>1128</v>
      </c>
      <c r="B682" s="5">
        <v>24</v>
      </c>
    </row>
    <row r="683" spans="1:2" x14ac:dyDescent="0.25">
      <c r="A683" t="s">
        <v>1129</v>
      </c>
      <c r="B683" s="5">
        <v>25</v>
      </c>
    </row>
    <row r="684" spans="1:2" x14ac:dyDescent="0.25">
      <c r="A684" t="s">
        <v>1130</v>
      </c>
      <c r="B684" s="5">
        <v>26</v>
      </c>
    </row>
    <row r="685" spans="1:2" x14ac:dyDescent="0.25">
      <c r="A685" t="s">
        <v>1131</v>
      </c>
      <c r="B685" s="5">
        <v>27</v>
      </c>
    </row>
    <row r="686" spans="1:2" x14ac:dyDescent="0.25">
      <c r="A686" t="s">
        <v>1132</v>
      </c>
      <c r="B686" s="5">
        <v>29</v>
      </c>
    </row>
    <row r="687" spans="1:2" x14ac:dyDescent="0.25">
      <c r="A687" t="s">
        <v>1133</v>
      </c>
      <c r="B687" s="5">
        <v>30</v>
      </c>
    </row>
    <row r="688" spans="1:2" x14ac:dyDescent="0.25">
      <c r="A688" t="s">
        <v>1135</v>
      </c>
      <c r="B688" s="5" t="s">
        <v>1136</v>
      </c>
    </row>
    <row r="689" spans="1:10" x14ac:dyDescent="0.25">
      <c r="A689" t="s">
        <v>1137</v>
      </c>
      <c r="B689" s="5" t="s">
        <v>1138</v>
      </c>
    </row>
    <row r="690" spans="1:10" x14ac:dyDescent="0.25">
      <c r="A690" t="s">
        <v>1139</v>
      </c>
      <c r="B690" s="5" t="s">
        <v>1140</v>
      </c>
    </row>
    <row r="691" spans="1:10" x14ac:dyDescent="0.25">
      <c r="A691" t="s">
        <v>1141</v>
      </c>
      <c r="B691" s="5" t="s">
        <v>1142</v>
      </c>
    </row>
    <row r="692" spans="1:10" x14ac:dyDescent="0.25">
      <c r="A692" t="s">
        <v>1143</v>
      </c>
      <c r="B692" s="5" t="s">
        <v>1144</v>
      </c>
    </row>
    <row r="693" spans="1:10" x14ac:dyDescent="0.25">
      <c r="A693" t="s">
        <v>1145</v>
      </c>
      <c r="B693" s="5" t="s">
        <v>1146</v>
      </c>
    </row>
    <row r="694" spans="1:10" x14ac:dyDescent="0.25">
      <c r="A694" t="s">
        <v>1147</v>
      </c>
      <c r="B694" s="5" t="s">
        <v>1148</v>
      </c>
    </row>
    <row r="695" spans="1:10" x14ac:dyDescent="0.25">
      <c r="A695" t="s">
        <v>1149</v>
      </c>
      <c r="B695" s="5" t="s">
        <v>1150</v>
      </c>
    </row>
    <row r="696" spans="1:10" x14ac:dyDescent="0.25">
      <c r="A696" t="s">
        <v>1154</v>
      </c>
      <c r="B696" s="5" t="s">
        <v>67</v>
      </c>
      <c r="C696" t="s">
        <v>19</v>
      </c>
      <c r="D696" t="s">
        <v>71</v>
      </c>
      <c r="E696" t="s">
        <v>73</v>
      </c>
      <c r="F696" t="s">
        <v>25</v>
      </c>
      <c r="G696" t="s">
        <v>15</v>
      </c>
      <c r="H696" t="s">
        <v>39</v>
      </c>
      <c r="I696" t="s">
        <v>61</v>
      </c>
      <c r="J696" t="s">
        <v>57</v>
      </c>
    </row>
    <row r="697" spans="1:10" x14ac:dyDescent="0.25">
      <c r="A697" t="s">
        <v>1156</v>
      </c>
      <c r="B697" s="5">
        <v>1</v>
      </c>
    </row>
    <row r="698" spans="1:10" x14ac:dyDescent="0.25">
      <c r="A698" t="s">
        <v>1157</v>
      </c>
      <c r="B698" s="5">
        <v>2</v>
      </c>
    </row>
    <row r="699" spans="1:10" x14ac:dyDescent="0.25">
      <c r="A699" t="s">
        <v>1158</v>
      </c>
      <c r="B699" s="5">
        <v>3</v>
      </c>
    </row>
    <row r="700" spans="1:10" x14ac:dyDescent="0.25">
      <c r="A700" t="s">
        <v>1159</v>
      </c>
      <c r="B700" s="5">
        <v>4</v>
      </c>
    </row>
    <row r="701" spans="1:10" x14ac:dyDescent="0.25">
      <c r="A701" t="s">
        <v>1160</v>
      </c>
      <c r="B701" s="5">
        <v>5</v>
      </c>
    </row>
    <row r="702" spans="1:10" x14ac:dyDescent="0.25">
      <c r="A702" t="s">
        <v>1161</v>
      </c>
      <c r="B702" s="5">
        <v>6</v>
      </c>
    </row>
    <row r="703" spans="1:10" x14ac:dyDescent="0.25">
      <c r="A703" t="s">
        <v>1162</v>
      </c>
      <c r="B703" s="5">
        <v>7</v>
      </c>
    </row>
    <row r="704" spans="1:10" x14ac:dyDescent="0.25">
      <c r="A704" t="s">
        <v>1163</v>
      </c>
      <c r="B704" s="5">
        <v>9</v>
      </c>
    </row>
    <row r="705" spans="1:2" x14ac:dyDescent="0.25">
      <c r="A705" t="s">
        <v>1164</v>
      </c>
      <c r="B705" s="5">
        <v>10</v>
      </c>
    </row>
    <row r="706" spans="1:2" x14ac:dyDescent="0.25">
      <c r="A706" t="s">
        <v>1165</v>
      </c>
      <c r="B706" s="5">
        <v>11</v>
      </c>
    </row>
    <row r="707" spans="1:2" x14ac:dyDescent="0.25">
      <c r="A707" t="s">
        <v>1166</v>
      </c>
      <c r="B707" s="5">
        <v>12</v>
      </c>
    </row>
    <row r="708" spans="1:2" x14ac:dyDescent="0.25">
      <c r="A708" t="s">
        <v>1167</v>
      </c>
      <c r="B708" s="5">
        <v>13</v>
      </c>
    </row>
    <row r="709" spans="1:2" x14ac:dyDescent="0.25">
      <c r="A709" t="s">
        <v>1168</v>
      </c>
      <c r="B709" s="5">
        <v>14</v>
      </c>
    </row>
    <row r="710" spans="1:2" x14ac:dyDescent="0.25">
      <c r="A710" t="s">
        <v>1169</v>
      </c>
      <c r="B710" s="5">
        <v>15</v>
      </c>
    </row>
    <row r="711" spans="1:2" x14ac:dyDescent="0.25">
      <c r="A711" t="s">
        <v>1170</v>
      </c>
      <c r="B711" s="5">
        <v>16</v>
      </c>
    </row>
    <row r="712" spans="1:2" x14ac:dyDescent="0.25">
      <c r="A712" t="s">
        <v>1171</v>
      </c>
      <c r="B712" s="5">
        <v>17</v>
      </c>
    </row>
    <row r="713" spans="1:2" x14ac:dyDescent="0.25">
      <c r="A713" t="s">
        <v>1172</v>
      </c>
      <c r="B713" s="5">
        <v>19</v>
      </c>
    </row>
    <row r="714" spans="1:2" x14ac:dyDescent="0.25">
      <c r="A714" t="s">
        <v>1173</v>
      </c>
      <c r="B714" s="5">
        <v>20</v>
      </c>
    </row>
    <row r="715" spans="1:2" x14ac:dyDescent="0.25">
      <c r="A715" t="s">
        <v>1174</v>
      </c>
      <c r="B715" s="5">
        <v>21</v>
      </c>
    </row>
    <row r="716" spans="1:2" x14ac:dyDescent="0.25">
      <c r="A716" t="s">
        <v>1175</v>
      </c>
      <c r="B716" s="5">
        <v>22</v>
      </c>
    </row>
    <row r="717" spans="1:2" x14ac:dyDescent="0.25">
      <c r="A717" t="s">
        <v>1176</v>
      </c>
      <c r="B717" s="5">
        <v>23</v>
      </c>
    </row>
    <row r="718" spans="1:2" x14ac:dyDescent="0.25">
      <c r="A718" t="s">
        <v>1177</v>
      </c>
      <c r="B718" s="5">
        <v>24</v>
      </c>
    </row>
    <row r="719" spans="1:2" x14ac:dyDescent="0.25">
      <c r="A719" t="s">
        <v>1178</v>
      </c>
      <c r="B719" s="5">
        <v>25</v>
      </c>
    </row>
    <row r="720" spans="1:2" x14ac:dyDescent="0.25">
      <c r="A720" t="s">
        <v>1179</v>
      </c>
      <c r="B720" s="5">
        <v>26</v>
      </c>
    </row>
    <row r="721" spans="1:10" x14ac:dyDescent="0.25">
      <c r="A721" t="s">
        <v>1180</v>
      </c>
      <c r="B721" s="5">
        <v>27</v>
      </c>
    </row>
    <row r="722" spans="1:10" x14ac:dyDescent="0.25">
      <c r="A722" t="s">
        <v>1181</v>
      </c>
      <c r="B722" s="5">
        <v>29</v>
      </c>
    </row>
    <row r="723" spans="1:10" x14ac:dyDescent="0.25">
      <c r="A723" t="s">
        <v>1182</v>
      </c>
      <c r="B723" s="5">
        <v>30</v>
      </c>
    </row>
    <row r="724" spans="1:10" x14ac:dyDescent="0.25">
      <c r="A724" t="s">
        <v>1184</v>
      </c>
      <c r="B724" s="5" t="s">
        <v>1185</v>
      </c>
    </row>
    <row r="725" spans="1:10" x14ac:dyDescent="0.25">
      <c r="A725" t="s">
        <v>1186</v>
      </c>
      <c r="B725" s="5" t="s">
        <v>1187</v>
      </c>
    </row>
    <row r="726" spans="1:10" x14ac:dyDescent="0.25">
      <c r="A726" t="s">
        <v>1188</v>
      </c>
      <c r="B726" s="5" t="s">
        <v>1189</v>
      </c>
    </row>
    <row r="727" spans="1:10" x14ac:dyDescent="0.25">
      <c r="A727" t="s">
        <v>1190</v>
      </c>
      <c r="B727" s="5" t="s">
        <v>1191</v>
      </c>
    </row>
    <row r="728" spans="1:10" x14ac:dyDescent="0.25">
      <c r="A728" t="s">
        <v>1192</v>
      </c>
      <c r="B728" s="5" t="s">
        <v>1193</v>
      </c>
    </row>
    <row r="729" spans="1:10" x14ac:dyDescent="0.25">
      <c r="A729" t="s">
        <v>1197</v>
      </c>
      <c r="B729" s="5" t="s">
        <v>71</v>
      </c>
      <c r="C729" t="s">
        <v>73</v>
      </c>
      <c r="D729" t="s">
        <v>39</v>
      </c>
      <c r="E729" t="s">
        <v>15</v>
      </c>
      <c r="F729" t="s">
        <v>61</v>
      </c>
      <c r="G729" t="s">
        <v>25</v>
      </c>
      <c r="H729" t="s">
        <v>57</v>
      </c>
      <c r="I729" t="s">
        <v>19</v>
      </c>
      <c r="J729" t="s">
        <v>67</v>
      </c>
    </row>
    <row r="730" spans="1:10" x14ac:dyDescent="0.25">
      <c r="A730" t="s">
        <v>1199</v>
      </c>
      <c r="B730" s="5">
        <v>1</v>
      </c>
    </row>
    <row r="731" spans="1:10" x14ac:dyDescent="0.25">
      <c r="A731" t="s">
        <v>1200</v>
      </c>
      <c r="B731" s="5">
        <v>2</v>
      </c>
    </row>
    <row r="732" spans="1:10" x14ac:dyDescent="0.25">
      <c r="A732" t="s">
        <v>1201</v>
      </c>
      <c r="B732" s="5">
        <v>3</v>
      </c>
    </row>
    <row r="733" spans="1:10" x14ac:dyDescent="0.25">
      <c r="A733" t="s">
        <v>1202</v>
      </c>
      <c r="B733" s="5">
        <v>4</v>
      </c>
    </row>
    <row r="734" spans="1:10" x14ac:dyDescent="0.25">
      <c r="A734" t="s">
        <v>1203</v>
      </c>
      <c r="B734" s="5">
        <v>5</v>
      </c>
    </row>
    <row r="735" spans="1:10" x14ac:dyDescent="0.25">
      <c r="A735" t="s">
        <v>1204</v>
      </c>
      <c r="B735" s="5">
        <v>6</v>
      </c>
    </row>
    <row r="736" spans="1:10" x14ac:dyDescent="0.25">
      <c r="A736" t="s">
        <v>1205</v>
      </c>
      <c r="B736" s="5">
        <v>7</v>
      </c>
    </row>
    <row r="737" spans="1:2" x14ac:dyDescent="0.25">
      <c r="A737" t="s">
        <v>1206</v>
      </c>
      <c r="B737" s="5">
        <v>9</v>
      </c>
    </row>
    <row r="738" spans="1:2" x14ac:dyDescent="0.25">
      <c r="A738" t="s">
        <v>1207</v>
      </c>
      <c r="B738" s="5">
        <v>10</v>
      </c>
    </row>
    <row r="739" spans="1:2" x14ac:dyDescent="0.25">
      <c r="A739" t="s">
        <v>1208</v>
      </c>
      <c r="B739" s="5">
        <v>11</v>
      </c>
    </row>
    <row r="740" spans="1:2" x14ac:dyDescent="0.25">
      <c r="A740" t="s">
        <v>1209</v>
      </c>
      <c r="B740" s="5">
        <v>12</v>
      </c>
    </row>
    <row r="741" spans="1:2" x14ac:dyDescent="0.25">
      <c r="A741" t="s">
        <v>1210</v>
      </c>
      <c r="B741" s="5">
        <v>13</v>
      </c>
    </row>
    <row r="742" spans="1:2" x14ac:dyDescent="0.25">
      <c r="A742" t="s">
        <v>1211</v>
      </c>
      <c r="B742" s="5">
        <v>14</v>
      </c>
    </row>
    <row r="743" spans="1:2" x14ac:dyDescent="0.25">
      <c r="A743" t="s">
        <v>1212</v>
      </c>
      <c r="B743" s="5">
        <v>15</v>
      </c>
    </row>
    <row r="744" spans="1:2" x14ac:dyDescent="0.25">
      <c r="A744" t="s">
        <v>1213</v>
      </c>
      <c r="B744" s="5">
        <v>16</v>
      </c>
    </row>
    <row r="745" spans="1:2" x14ac:dyDescent="0.25">
      <c r="A745" t="s">
        <v>1214</v>
      </c>
      <c r="B745" s="5">
        <v>17</v>
      </c>
    </row>
    <row r="746" spans="1:2" x14ac:dyDescent="0.25">
      <c r="A746" t="s">
        <v>1215</v>
      </c>
      <c r="B746" s="5">
        <v>18</v>
      </c>
    </row>
    <row r="747" spans="1:2" x14ac:dyDescent="0.25">
      <c r="A747" t="s">
        <v>1216</v>
      </c>
      <c r="B747" s="5">
        <v>20</v>
      </c>
    </row>
    <row r="748" spans="1:2" x14ac:dyDescent="0.25">
      <c r="A748" t="s">
        <v>1217</v>
      </c>
      <c r="B748" s="5">
        <v>21</v>
      </c>
    </row>
    <row r="749" spans="1:2" x14ac:dyDescent="0.25">
      <c r="A749" t="s">
        <v>1218</v>
      </c>
      <c r="B749" s="5">
        <v>22</v>
      </c>
    </row>
    <row r="750" spans="1:2" x14ac:dyDescent="0.25">
      <c r="A750" t="s">
        <v>1219</v>
      </c>
      <c r="B750" s="5">
        <v>23</v>
      </c>
    </row>
    <row r="751" spans="1:2" x14ac:dyDescent="0.25">
      <c r="A751" t="s">
        <v>1220</v>
      </c>
      <c r="B751" s="5">
        <v>24</v>
      </c>
    </row>
    <row r="752" spans="1:2" x14ac:dyDescent="0.25">
      <c r="A752" t="s">
        <v>1221</v>
      </c>
      <c r="B752" s="5">
        <v>25</v>
      </c>
    </row>
    <row r="753" spans="1:11" x14ac:dyDescent="0.25">
      <c r="A753" t="s">
        <v>1222</v>
      </c>
      <c r="B753" s="5">
        <v>26</v>
      </c>
    </row>
    <row r="754" spans="1:11" x14ac:dyDescent="0.25">
      <c r="A754" t="s">
        <v>1223</v>
      </c>
      <c r="B754" s="5">
        <v>27</v>
      </c>
    </row>
    <row r="755" spans="1:11" x14ac:dyDescent="0.25">
      <c r="A755" t="s">
        <v>1224</v>
      </c>
      <c r="B755" s="5">
        <v>28</v>
      </c>
    </row>
    <row r="756" spans="1:11" x14ac:dyDescent="0.25">
      <c r="A756" t="s">
        <v>1225</v>
      </c>
      <c r="B756" s="5">
        <v>29</v>
      </c>
    </row>
    <row r="757" spans="1:11" x14ac:dyDescent="0.25">
      <c r="A757" t="s">
        <v>1226</v>
      </c>
      <c r="B757" s="5">
        <v>31</v>
      </c>
    </row>
    <row r="758" spans="1:11" x14ac:dyDescent="0.25">
      <c r="A758" t="s">
        <v>1227</v>
      </c>
      <c r="B758" s="5">
        <v>32</v>
      </c>
    </row>
    <row r="759" spans="1:11" x14ac:dyDescent="0.25">
      <c r="A759" t="s">
        <v>1228</v>
      </c>
      <c r="B759" s="5">
        <v>33</v>
      </c>
    </row>
    <row r="760" spans="1:11" x14ac:dyDescent="0.25">
      <c r="A760" t="s">
        <v>1230</v>
      </c>
      <c r="B760" s="5" t="s">
        <v>1231</v>
      </c>
    </row>
    <row r="761" spans="1:11" x14ac:dyDescent="0.25">
      <c r="A761" t="s">
        <v>1232</v>
      </c>
      <c r="B761" s="5" t="s">
        <v>1233</v>
      </c>
    </row>
    <row r="762" spans="1:11" x14ac:dyDescent="0.25">
      <c r="A762" t="s">
        <v>1234</v>
      </c>
      <c r="B762" s="5" t="s">
        <v>1235</v>
      </c>
    </row>
    <row r="763" spans="1:11" x14ac:dyDescent="0.25">
      <c r="A763" t="s">
        <v>1236</v>
      </c>
      <c r="B763" s="5" t="s">
        <v>1237</v>
      </c>
    </row>
    <row r="764" spans="1:11" x14ac:dyDescent="0.25">
      <c r="A764" t="s">
        <v>1238</v>
      </c>
      <c r="B764" s="5" t="s">
        <v>1239</v>
      </c>
    </row>
    <row r="765" spans="1:11" x14ac:dyDescent="0.25">
      <c r="A765" t="s">
        <v>1243</v>
      </c>
      <c r="B765" s="5" t="s">
        <v>71</v>
      </c>
      <c r="C765" t="s">
        <v>15</v>
      </c>
      <c r="D765" t="s">
        <v>25</v>
      </c>
      <c r="E765" t="s">
        <v>67</v>
      </c>
      <c r="F765" t="s">
        <v>73</v>
      </c>
      <c r="G765" t="s">
        <v>19</v>
      </c>
      <c r="H765" t="s">
        <v>37</v>
      </c>
      <c r="I765" t="s">
        <v>39</v>
      </c>
      <c r="J765" t="s">
        <v>61</v>
      </c>
      <c r="K765" t="s">
        <v>57</v>
      </c>
    </row>
    <row r="766" spans="1:11" x14ac:dyDescent="0.25">
      <c r="A766" t="s">
        <v>1245</v>
      </c>
      <c r="B766" s="5">
        <v>1</v>
      </c>
    </row>
    <row r="767" spans="1:11" x14ac:dyDescent="0.25">
      <c r="A767" t="s">
        <v>1246</v>
      </c>
      <c r="B767" s="5">
        <v>2</v>
      </c>
    </row>
    <row r="768" spans="1:11" x14ac:dyDescent="0.25">
      <c r="A768" t="s">
        <v>1247</v>
      </c>
      <c r="B768" s="5">
        <v>3</v>
      </c>
    </row>
    <row r="769" spans="1:2" x14ac:dyDescent="0.25">
      <c r="A769" t="s">
        <v>1248</v>
      </c>
      <c r="B769" s="5">
        <v>4</v>
      </c>
    </row>
    <row r="770" spans="1:2" x14ac:dyDescent="0.25">
      <c r="A770" t="s">
        <v>1249</v>
      </c>
      <c r="B770" s="5">
        <v>5</v>
      </c>
    </row>
    <row r="771" spans="1:2" x14ac:dyDescent="0.25">
      <c r="A771" t="s">
        <v>1250</v>
      </c>
      <c r="B771" s="5">
        <v>6</v>
      </c>
    </row>
    <row r="772" spans="1:2" x14ac:dyDescent="0.25">
      <c r="A772" t="s">
        <v>1251</v>
      </c>
      <c r="B772" s="5">
        <v>7</v>
      </c>
    </row>
    <row r="773" spans="1:2" x14ac:dyDescent="0.25">
      <c r="A773" t="s">
        <v>1252</v>
      </c>
      <c r="B773" s="5">
        <v>9</v>
      </c>
    </row>
    <row r="774" spans="1:2" x14ac:dyDescent="0.25">
      <c r="A774" t="s">
        <v>1253</v>
      </c>
      <c r="B774" s="5">
        <v>10</v>
      </c>
    </row>
    <row r="775" spans="1:2" x14ac:dyDescent="0.25">
      <c r="A775" t="s">
        <v>1254</v>
      </c>
      <c r="B775" s="5">
        <v>11</v>
      </c>
    </row>
    <row r="776" spans="1:2" x14ac:dyDescent="0.25">
      <c r="A776" t="s">
        <v>1255</v>
      </c>
      <c r="B776" s="5">
        <v>12</v>
      </c>
    </row>
    <row r="777" spans="1:2" x14ac:dyDescent="0.25">
      <c r="A777" t="s">
        <v>1256</v>
      </c>
      <c r="B777" s="5">
        <v>13</v>
      </c>
    </row>
    <row r="778" spans="1:2" x14ac:dyDescent="0.25">
      <c r="A778" t="s">
        <v>1257</v>
      </c>
      <c r="B778" s="5">
        <v>14</v>
      </c>
    </row>
    <row r="779" spans="1:2" x14ac:dyDescent="0.25">
      <c r="A779" t="s">
        <v>1258</v>
      </c>
      <c r="B779" s="5">
        <v>15</v>
      </c>
    </row>
    <row r="780" spans="1:2" x14ac:dyDescent="0.25">
      <c r="A780" t="s">
        <v>1259</v>
      </c>
      <c r="B780" s="5">
        <v>16</v>
      </c>
    </row>
    <row r="781" spans="1:2" x14ac:dyDescent="0.25">
      <c r="A781" t="s">
        <v>1260</v>
      </c>
      <c r="B781" s="5">
        <v>17</v>
      </c>
    </row>
    <row r="782" spans="1:2" x14ac:dyDescent="0.25">
      <c r="A782" t="s">
        <v>1261</v>
      </c>
      <c r="B782" s="5">
        <v>18</v>
      </c>
    </row>
    <row r="783" spans="1:2" x14ac:dyDescent="0.25">
      <c r="A783" t="s">
        <v>1262</v>
      </c>
      <c r="B783" s="5">
        <v>20</v>
      </c>
    </row>
    <row r="784" spans="1:2" x14ac:dyDescent="0.25">
      <c r="A784" t="s">
        <v>1263</v>
      </c>
      <c r="B784" s="5">
        <v>21</v>
      </c>
    </row>
    <row r="785" spans="1:2" x14ac:dyDescent="0.25">
      <c r="A785" t="s">
        <v>1264</v>
      </c>
      <c r="B785" s="5">
        <v>22</v>
      </c>
    </row>
    <row r="786" spans="1:2" x14ac:dyDescent="0.25">
      <c r="A786" t="s">
        <v>1265</v>
      </c>
      <c r="B786" s="5">
        <v>23</v>
      </c>
    </row>
    <row r="787" spans="1:2" x14ac:dyDescent="0.25">
      <c r="A787" t="s">
        <v>1266</v>
      </c>
      <c r="B787" s="5">
        <v>24</v>
      </c>
    </row>
    <row r="788" spans="1:2" x14ac:dyDescent="0.25">
      <c r="A788" t="s">
        <v>1267</v>
      </c>
      <c r="B788" s="5">
        <v>25</v>
      </c>
    </row>
    <row r="789" spans="1:2" x14ac:dyDescent="0.25">
      <c r="A789" t="s">
        <v>1268</v>
      </c>
      <c r="B789" s="5">
        <v>26</v>
      </c>
    </row>
    <row r="790" spans="1:2" x14ac:dyDescent="0.25">
      <c r="A790" t="s">
        <v>1269</v>
      </c>
      <c r="B790" s="5">
        <v>27</v>
      </c>
    </row>
    <row r="791" spans="1:2" x14ac:dyDescent="0.25">
      <c r="A791" t="s">
        <v>1270</v>
      </c>
      <c r="B791" s="5">
        <v>28</v>
      </c>
    </row>
    <row r="792" spans="1:2" x14ac:dyDescent="0.25">
      <c r="A792" t="s">
        <v>1271</v>
      </c>
      <c r="B792" s="5">
        <v>29</v>
      </c>
    </row>
    <row r="793" spans="1:2" x14ac:dyDescent="0.25">
      <c r="A793" t="s">
        <v>1272</v>
      </c>
      <c r="B793" s="5">
        <v>31</v>
      </c>
    </row>
    <row r="794" spans="1:2" x14ac:dyDescent="0.25">
      <c r="A794" t="s">
        <v>1273</v>
      </c>
      <c r="B794" s="5">
        <v>32</v>
      </c>
    </row>
    <row r="795" spans="1:2" x14ac:dyDescent="0.25">
      <c r="A795" t="s">
        <v>1274</v>
      </c>
      <c r="B795" s="5">
        <v>33</v>
      </c>
    </row>
    <row r="796" spans="1:2" x14ac:dyDescent="0.25">
      <c r="A796" t="s">
        <v>1276</v>
      </c>
      <c r="B796" s="5" t="s">
        <v>1277</v>
      </c>
    </row>
    <row r="797" spans="1:2" x14ac:dyDescent="0.25">
      <c r="A797" t="s">
        <v>1278</v>
      </c>
      <c r="B797" s="5" t="s">
        <v>1279</v>
      </c>
    </row>
    <row r="798" spans="1:2" x14ac:dyDescent="0.25">
      <c r="A798" t="s">
        <v>1280</v>
      </c>
      <c r="B798" s="5" t="s">
        <v>1281</v>
      </c>
    </row>
    <row r="799" spans="1:2" x14ac:dyDescent="0.25">
      <c r="A799" t="s">
        <v>1282</v>
      </c>
      <c r="B799" s="5" t="s">
        <v>1283</v>
      </c>
    </row>
    <row r="800" spans="1:2" x14ac:dyDescent="0.25">
      <c r="A800" t="s">
        <v>1284</v>
      </c>
      <c r="B800" s="5" t="s">
        <v>1285</v>
      </c>
    </row>
    <row r="801" spans="1:11" x14ac:dyDescent="0.25">
      <c r="A801" t="s">
        <v>1289</v>
      </c>
      <c r="B801" s="5" t="s">
        <v>19</v>
      </c>
      <c r="C801" t="s">
        <v>67</v>
      </c>
      <c r="D801" t="s">
        <v>37</v>
      </c>
      <c r="E801" t="s">
        <v>15</v>
      </c>
      <c r="F801" t="s">
        <v>25</v>
      </c>
      <c r="G801" t="s">
        <v>73</v>
      </c>
      <c r="H801" t="s">
        <v>71</v>
      </c>
      <c r="I801" t="s">
        <v>61</v>
      </c>
      <c r="J801" t="s">
        <v>39</v>
      </c>
      <c r="K801" t="s">
        <v>57</v>
      </c>
    </row>
    <row r="802" spans="1:11" x14ac:dyDescent="0.25">
      <c r="A802" t="s">
        <v>1291</v>
      </c>
      <c r="B802" s="5">
        <v>1</v>
      </c>
    </row>
    <row r="803" spans="1:11" x14ac:dyDescent="0.25">
      <c r="A803" t="s">
        <v>1292</v>
      </c>
      <c r="B803" s="5">
        <v>2</v>
      </c>
    </row>
    <row r="804" spans="1:11" x14ac:dyDescent="0.25">
      <c r="A804" t="s">
        <v>1293</v>
      </c>
      <c r="B804" s="5">
        <v>3</v>
      </c>
    </row>
    <row r="805" spans="1:11" x14ac:dyDescent="0.25">
      <c r="A805" t="s">
        <v>1294</v>
      </c>
      <c r="B805" s="5">
        <v>4</v>
      </c>
    </row>
    <row r="806" spans="1:11" x14ac:dyDescent="0.25">
      <c r="A806" t="s">
        <v>1295</v>
      </c>
      <c r="B806" s="5">
        <v>6</v>
      </c>
    </row>
    <row r="807" spans="1:11" x14ac:dyDescent="0.25">
      <c r="A807" t="s">
        <v>1296</v>
      </c>
      <c r="B807" s="5">
        <v>7</v>
      </c>
    </row>
    <row r="808" spans="1:11" x14ac:dyDescent="0.25">
      <c r="A808" t="s">
        <v>1297</v>
      </c>
      <c r="B808" s="5">
        <v>8</v>
      </c>
    </row>
    <row r="809" spans="1:11" x14ac:dyDescent="0.25">
      <c r="A809" t="s">
        <v>1298</v>
      </c>
      <c r="B809" s="5">
        <v>9</v>
      </c>
    </row>
    <row r="810" spans="1:11" x14ac:dyDescent="0.25">
      <c r="A810" t="s">
        <v>1299</v>
      </c>
      <c r="B810" s="5">
        <v>10</v>
      </c>
    </row>
    <row r="811" spans="1:11" x14ac:dyDescent="0.25">
      <c r="A811" t="s">
        <v>1300</v>
      </c>
      <c r="B811" s="5">
        <v>11</v>
      </c>
    </row>
    <row r="812" spans="1:11" x14ac:dyDescent="0.25">
      <c r="A812" t="s">
        <v>1301</v>
      </c>
      <c r="B812" s="5">
        <v>12</v>
      </c>
    </row>
    <row r="813" spans="1:11" x14ac:dyDescent="0.25">
      <c r="A813" t="s">
        <v>1302</v>
      </c>
      <c r="B813" s="5">
        <v>14</v>
      </c>
    </row>
    <row r="814" spans="1:11" x14ac:dyDescent="0.25">
      <c r="A814" t="s">
        <v>1303</v>
      </c>
      <c r="B814" s="5">
        <v>15</v>
      </c>
    </row>
    <row r="815" spans="1:11" x14ac:dyDescent="0.25">
      <c r="A815" t="s">
        <v>1304</v>
      </c>
      <c r="B815" s="5">
        <v>16</v>
      </c>
    </row>
    <row r="816" spans="1:11" x14ac:dyDescent="0.25">
      <c r="A816" t="s">
        <v>1305</v>
      </c>
      <c r="B816" s="5">
        <v>17</v>
      </c>
    </row>
    <row r="817" spans="1:8" x14ac:dyDescent="0.25">
      <c r="A817" t="s">
        <v>1306</v>
      </c>
      <c r="B817" s="5">
        <v>18</v>
      </c>
    </row>
    <row r="818" spans="1:8" x14ac:dyDescent="0.25">
      <c r="A818" t="s">
        <v>1307</v>
      </c>
      <c r="B818" s="5">
        <v>19</v>
      </c>
    </row>
    <row r="819" spans="1:8" x14ac:dyDescent="0.25">
      <c r="A819" t="s">
        <v>1308</v>
      </c>
      <c r="B819" s="5">
        <v>20</v>
      </c>
    </row>
    <row r="820" spans="1:8" x14ac:dyDescent="0.25">
      <c r="A820" t="s">
        <v>1309</v>
      </c>
      <c r="B820" s="5">
        <v>22</v>
      </c>
    </row>
    <row r="821" spans="1:8" x14ac:dyDescent="0.25">
      <c r="A821" t="s">
        <v>1311</v>
      </c>
      <c r="B821" s="5" t="s">
        <v>1312</v>
      </c>
    </row>
    <row r="822" spans="1:8" x14ac:dyDescent="0.25">
      <c r="A822" t="s">
        <v>1313</v>
      </c>
      <c r="B822" s="5" t="s">
        <v>1314</v>
      </c>
    </row>
    <row r="823" spans="1:8" x14ac:dyDescent="0.25">
      <c r="A823" t="s">
        <v>1315</v>
      </c>
      <c r="B823" s="5" t="s">
        <v>1316</v>
      </c>
    </row>
    <row r="824" spans="1:8" x14ac:dyDescent="0.25">
      <c r="A824" t="s">
        <v>1317</v>
      </c>
      <c r="B824" s="5" t="s">
        <v>1318</v>
      </c>
    </row>
    <row r="825" spans="1:8" x14ac:dyDescent="0.25">
      <c r="A825" t="s">
        <v>1319</v>
      </c>
      <c r="B825" s="5" t="s">
        <v>1320</v>
      </c>
    </row>
    <row r="826" spans="1:8" x14ac:dyDescent="0.25">
      <c r="A826" t="s">
        <v>1324</v>
      </c>
      <c r="B826" s="5" t="s">
        <v>73</v>
      </c>
      <c r="C826" t="s">
        <v>71</v>
      </c>
      <c r="D826" t="s">
        <v>25</v>
      </c>
      <c r="E826" t="s">
        <v>57</v>
      </c>
      <c r="F826" t="s">
        <v>61</v>
      </c>
      <c r="G826" t="s">
        <v>39</v>
      </c>
      <c r="H826" t="s">
        <v>83</v>
      </c>
    </row>
    <row r="827" spans="1:8" x14ac:dyDescent="0.25">
      <c r="A827" t="s">
        <v>1326</v>
      </c>
      <c r="B827" s="5">
        <v>1</v>
      </c>
    </row>
    <row r="828" spans="1:8" x14ac:dyDescent="0.25">
      <c r="A828" t="s">
        <v>1327</v>
      </c>
      <c r="B828" s="5">
        <v>2</v>
      </c>
    </row>
    <row r="829" spans="1:8" x14ac:dyDescent="0.25">
      <c r="A829" t="s">
        <v>1328</v>
      </c>
      <c r="B829" s="5">
        <v>3</v>
      </c>
    </row>
    <row r="830" spans="1:8" x14ac:dyDescent="0.25">
      <c r="A830" t="s">
        <v>1329</v>
      </c>
      <c r="B830" s="5">
        <v>4</v>
      </c>
    </row>
    <row r="831" spans="1:8" x14ac:dyDescent="0.25">
      <c r="A831" t="s">
        <v>1330</v>
      </c>
      <c r="B831" s="5">
        <v>5</v>
      </c>
    </row>
    <row r="832" spans="1:8" x14ac:dyDescent="0.25">
      <c r="A832" t="s">
        <v>1331</v>
      </c>
      <c r="B832" s="5">
        <v>6</v>
      </c>
    </row>
    <row r="833" spans="1:2" x14ac:dyDescent="0.25">
      <c r="A833" t="s">
        <v>1332</v>
      </c>
      <c r="B833" s="5">
        <v>8</v>
      </c>
    </row>
    <row r="834" spans="1:2" x14ac:dyDescent="0.25">
      <c r="A834" t="s">
        <v>1333</v>
      </c>
      <c r="B834" s="5">
        <v>9</v>
      </c>
    </row>
    <row r="835" spans="1:2" x14ac:dyDescent="0.25">
      <c r="A835" t="s">
        <v>1334</v>
      </c>
      <c r="B835" s="5">
        <v>10</v>
      </c>
    </row>
    <row r="836" spans="1:2" x14ac:dyDescent="0.25">
      <c r="A836" t="s">
        <v>1335</v>
      </c>
      <c r="B836" s="5">
        <v>11</v>
      </c>
    </row>
    <row r="837" spans="1:2" x14ac:dyDescent="0.25">
      <c r="A837" t="s">
        <v>1336</v>
      </c>
      <c r="B837" s="5">
        <v>12</v>
      </c>
    </row>
    <row r="838" spans="1:2" x14ac:dyDescent="0.25">
      <c r="A838" t="s">
        <v>1337</v>
      </c>
      <c r="B838" s="5">
        <v>13</v>
      </c>
    </row>
    <row r="839" spans="1:2" x14ac:dyDescent="0.25">
      <c r="A839" t="s">
        <v>1338</v>
      </c>
      <c r="B839" s="5">
        <v>14</v>
      </c>
    </row>
    <row r="840" spans="1:2" x14ac:dyDescent="0.25">
      <c r="A840" t="s">
        <v>1339</v>
      </c>
      <c r="B840" s="5">
        <v>15</v>
      </c>
    </row>
    <row r="841" spans="1:2" x14ac:dyDescent="0.25">
      <c r="A841" t="s">
        <v>1340</v>
      </c>
      <c r="B841" s="5">
        <v>17</v>
      </c>
    </row>
    <row r="842" spans="1:2" x14ac:dyDescent="0.25">
      <c r="A842" t="s">
        <v>1341</v>
      </c>
      <c r="B842" s="5">
        <v>18</v>
      </c>
    </row>
    <row r="843" spans="1:2" x14ac:dyDescent="0.25">
      <c r="A843" t="s">
        <v>1342</v>
      </c>
      <c r="B843" s="5">
        <v>19</v>
      </c>
    </row>
    <row r="844" spans="1:2" x14ac:dyDescent="0.25">
      <c r="A844" t="s">
        <v>1343</v>
      </c>
      <c r="B844" s="5">
        <v>20</v>
      </c>
    </row>
    <row r="845" spans="1:2" x14ac:dyDescent="0.25">
      <c r="A845" t="s">
        <v>1344</v>
      </c>
      <c r="B845" s="5">
        <v>21</v>
      </c>
    </row>
    <row r="846" spans="1:2" x14ac:dyDescent="0.25">
      <c r="A846" t="s">
        <v>1345</v>
      </c>
      <c r="B846" s="5">
        <v>22</v>
      </c>
    </row>
    <row r="847" spans="1:2" x14ac:dyDescent="0.25">
      <c r="A847" t="s">
        <v>1346</v>
      </c>
      <c r="B847" s="5">
        <v>23</v>
      </c>
    </row>
    <row r="848" spans="1:2" x14ac:dyDescent="0.25">
      <c r="A848" t="s">
        <v>1347</v>
      </c>
      <c r="B848" s="5">
        <v>24</v>
      </c>
    </row>
    <row r="849" spans="1:9" x14ac:dyDescent="0.25">
      <c r="A849" t="s">
        <v>1348</v>
      </c>
      <c r="B849" s="5">
        <v>26</v>
      </c>
    </row>
    <row r="850" spans="1:9" x14ac:dyDescent="0.25">
      <c r="A850" t="s">
        <v>1350</v>
      </c>
      <c r="B850" s="5" t="s">
        <v>1351</v>
      </c>
    </row>
    <row r="851" spans="1:9" x14ac:dyDescent="0.25">
      <c r="A851" t="s">
        <v>1352</v>
      </c>
      <c r="B851" s="5" t="s">
        <v>1353</v>
      </c>
    </row>
    <row r="852" spans="1:9" x14ac:dyDescent="0.25">
      <c r="A852" t="s">
        <v>1354</v>
      </c>
      <c r="B852" s="5" t="s">
        <v>1355</v>
      </c>
    </row>
    <row r="853" spans="1:9" x14ac:dyDescent="0.25">
      <c r="A853" t="s">
        <v>1356</v>
      </c>
      <c r="B853" s="5" t="s">
        <v>1357</v>
      </c>
    </row>
    <row r="854" spans="1:9" x14ac:dyDescent="0.25">
      <c r="A854" t="s">
        <v>1358</v>
      </c>
      <c r="B854" s="5" t="s">
        <v>1359</v>
      </c>
    </row>
    <row r="855" spans="1:9" x14ac:dyDescent="0.25">
      <c r="A855" t="s">
        <v>1360</v>
      </c>
      <c r="B855" s="5" t="s">
        <v>1361</v>
      </c>
    </row>
    <row r="856" spans="1:9" x14ac:dyDescent="0.25">
      <c r="A856" t="s">
        <v>1362</v>
      </c>
      <c r="B856" s="5" t="s">
        <v>1363</v>
      </c>
    </row>
    <row r="857" spans="1:9" x14ac:dyDescent="0.25">
      <c r="A857" t="s">
        <v>1364</v>
      </c>
      <c r="B857" s="5" t="s">
        <v>1365</v>
      </c>
    </row>
    <row r="858" spans="1:9" x14ac:dyDescent="0.25">
      <c r="A858" t="s">
        <v>1369</v>
      </c>
      <c r="B858" s="5" t="s">
        <v>57</v>
      </c>
      <c r="C858" t="s">
        <v>25</v>
      </c>
      <c r="D858" t="s">
        <v>61</v>
      </c>
      <c r="E858" t="s">
        <v>39</v>
      </c>
      <c r="F858" t="s">
        <v>73</v>
      </c>
      <c r="G858" t="s">
        <v>71</v>
      </c>
      <c r="H858" t="s">
        <v>67</v>
      </c>
      <c r="I858" t="s">
        <v>83</v>
      </c>
    </row>
    <row r="859" spans="1:9" x14ac:dyDescent="0.25">
      <c r="A859" t="s">
        <v>1371</v>
      </c>
      <c r="B859" s="5">
        <v>1</v>
      </c>
    </row>
    <row r="860" spans="1:9" x14ac:dyDescent="0.25">
      <c r="A860" t="s">
        <v>1372</v>
      </c>
      <c r="B860" s="5">
        <v>2</v>
      </c>
    </row>
    <row r="861" spans="1:9" x14ac:dyDescent="0.25">
      <c r="A861" t="s">
        <v>1373</v>
      </c>
      <c r="B861" s="5">
        <v>3</v>
      </c>
    </row>
    <row r="862" spans="1:9" x14ac:dyDescent="0.25">
      <c r="A862" t="s">
        <v>1374</v>
      </c>
      <c r="B862" s="5">
        <v>4</v>
      </c>
    </row>
    <row r="863" spans="1:9" x14ac:dyDescent="0.25">
      <c r="A863" t="s">
        <v>1375</v>
      </c>
      <c r="B863" s="5">
        <v>5</v>
      </c>
    </row>
    <row r="864" spans="1:9" x14ac:dyDescent="0.25">
      <c r="A864" t="s">
        <v>1376</v>
      </c>
      <c r="B864" s="5">
        <v>7</v>
      </c>
    </row>
    <row r="865" spans="1:2" x14ac:dyDescent="0.25">
      <c r="A865" t="s">
        <v>1377</v>
      </c>
      <c r="B865" s="5">
        <v>8</v>
      </c>
    </row>
    <row r="866" spans="1:2" x14ac:dyDescent="0.25">
      <c r="A866" t="s">
        <v>1378</v>
      </c>
      <c r="B866" s="5">
        <v>9</v>
      </c>
    </row>
    <row r="867" spans="1:2" x14ac:dyDescent="0.25">
      <c r="A867" t="s">
        <v>1379</v>
      </c>
      <c r="B867" s="5">
        <v>10</v>
      </c>
    </row>
    <row r="868" spans="1:2" x14ac:dyDescent="0.25">
      <c r="A868" t="s">
        <v>1380</v>
      </c>
      <c r="B868" s="5">
        <v>11</v>
      </c>
    </row>
    <row r="869" spans="1:2" x14ac:dyDescent="0.25">
      <c r="A869" t="s">
        <v>1381</v>
      </c>
      <c r="B869" s="5">
        <v>12</v>
      </c>
    </row>
    <row r="870" spans="1:2" x14ac:dyDescent="0.25">
      <c r="A870" t="s">
        <v>1382</v>
      </c>
      <c r="B870" s="5">
        <v>13</v>
      </c>
    </row>
    <row r="871" spans="1:2" x14ac:dyDescent="0.25">
      <c r="A871" t="s">
        <v>1384</v>
      </c>
      <c r="B871" s="5">
        <v>14</v>
      </c>
    </row>
    <row r="872" spans="1:2" x14ac:dyDescent="0.25">
      <c r="A872" t="s">
        <v>1385</v>
      </c>
      <c r="B872" s="5">
        <v>15</v>
      </c>
    </row>
    <row r="873" spans="1:2" x14ac:dyDescent="0.25">
      <c r="A873" t="s">
        <v>1386</v>
      </c>
      <c r="B873" s="5">
        <v>16</v>
      </c>
    </row>
    <row r="874" spans="1:2" x14ac:dyDescent="0.25">
      <c r="A874" t="s">
        <v>1387</v>
      </c>
      <c r="B874" s="5">
        <v>17</v>
      </c>
    </row>
    <row r="875" spans="1:2" x14ac:dyDescent="0.25">
      <c r="A875" t="s">
        <v>1388</v>
      </c>
      <c r="B875" s="5">
        <v>18</v>
      </c>
    </row>
    <row r="876" spans="1:2" x14ac:dyDescent="0.25">
      <c r="A876" t="s">
        <v>1389</v>
      </c>
      <c r="B876" s="5">
        <v>20</v>
      </c>
    </row>
    <row r="877" spans="1:2" x14ac:dyDescent="0.25">
      <c r="A877" t="s">
        <v>1390</v>
      </c>
      <c r="B877" s="5">
        <v>21</v>
      </c>
    </row>
    <row r="878" spans="1:2" x14ac:dyDescent="0.25">
      <c r="A878" t="s">
        <v>1391</v>
      </c>
      <c r="B878" s="5">
        <v>22</v>
      </c>
    </row>
    <row r="879" spans="1:2" x14ac:dyDescent="0.25">
      <c r="A879" t="s">
        <v>1392</v>
      </c>
      <c r="B879" s="5">
        <v>23</v>
      </c>
    </row>
    <row r="880" spans="1:2" x14ac:dyDescent="0.25">
      <c r="A880" t="s">
        <v>1393</v>
      </c>
      <c r="B880" s="5">
        <v>24</v>
      </c>
    </row>
    <row r="881" spans="1:2" x14ac:dyDescent="0.25">
      <c r="A881" t="s">
        <v>1394</v>
      </c>
      <c r="B881" s="5">
        <v>25</v>
      </c>
    </row>
    <row r="882" spans="1:2" x14ac:dyDescent="0.25">
      <c r="A882" t="s">
        <v>1395</v>
      </c>
      <c r="B882" s="5">
        <v>26</v>
      </c>
    </row>
    <row r="883" spans="1:2" x14ac:dyDescent="0.25">
      <c r="A883" t="s">
        <v>1396</v>
      </c>
      <c r="B883" s="5">
        <v>27</v>
      </c>
    </row>
    <row r="884" spans="1:2" x14ac:dyDescent="0.25">
      <c r="A884" t="s">
        <v>1397</v>
      </c>
      <c r="B884" s="5">
        <v>28</v>
      </c>
    </row>
    <row r="885" spans="1:2" x14ac:dyDescent="0.25">
      <c r="A885" t="s">
        <v>1398</v>
      </c>
      <c r="B885" s="5">
        <v>29</v>
      </c>
    </row>
    <row r="886" spans="1:2" x14ac:dyDescent="0.25">
      <c r="A886" t="s">
        <v>1399</v>
      </c>
      <c r="B886" s="5">
        <v>30</v>
      </c>
    </row>
    <row r="887" spans="1:2" x14ac:dyDescent="0.25">
      <c r="A887" t="s">
        <v>1400</v>
      </c>
      <c r="B887" s="5">
        <v>31</v>
      </c>
    </row>
    <row r="888" spans="1:2" x14ac:dyDescent="0.25">
      <c r="A888" t="s">
        <v>1401</v>
      </c>
      <c r="B888" s="5">
        <v>33</v>
      </c>
    </row>
    <row r="889" spans="1:2" x14ac:dyDescent="0.25">
      <c r="A889" t="s">
        <v>1402</v>
      </c>
      <c r="B889" s="5">
        <v>34</v>
      </c>
    </row>
    <row r="890" spans="1:2" x14ac:dyDescent="0.25">
      <c r="A890" t="s">
        <v>1403</v>
      </c>
      <c r="B890" s="5">
        <v>35</v>
      </c>
    </row>
    <row r="891" spans="1:2" x14ac:dyDescent="0.25">
      <c r="A891" t="s">
        <v>1405</v>
      </c>
      <c r="B891" s="5">
        <v>37</v>
      </c>
    </row>
    <row r="892" spans="1:2" x14ac:dyDescent="0.25">
      <c r="A892" t="s">
        <v>1406</v>
      </c>
      <c r="B892" s="5">
        <v>38</v>
      </c>
    </row>
    <row r="893" spans="1:2" x14ac:dyDescent="0.25">
      <c r="A893" t="s">
        <v>1407</v>
      </c>
      <c r="B893" s="5">
        <v>39</v>
      </c>
    </row>
    <row r="894" spans="1:2" x14ac:dyDescent="0.25">
      <c r="A894" t="s">
        <v>1409</v>
      </c>
      <c r="B894" s="5" t="s">
        <v>1410</v>
      </c>
    </row>
    <row r="895" spans="1:2" x14ac:dyDescent="0.25">
      <c r="A895" t="s">
        <v>1411</v>
      </c>
      <c r="B895" s="5" t="s">
        <v>1412</v>
      </c>
    </row>
    <row r="896" spans="1:2" x14ac:dyDescent="0.25">
      <c r="A896" t="s">
        <v>1413</v>
      </c>
      <c r="B896" s="5" t="s">
        <v>1414</v>
      </c>
    </row>
    <row r="897" spans="1:13" x14ac:dyDescent="0.25">
      <c r="A897" t="s">
        <v>1415</v>
      </c>
      <c r="B897" s="5" t="s">
        <v>1416</v>
      </c>
    </row>
    <row r="898" spans="1:13" x14ac:dyDescent="0.25">
      <c r="A898" t="s">
        <v>1417</v>
      </c>
      <c r="B898" s="5" t="s">
        <v>1418</v>
      </c>
    </row>
    <row r="899" spans="1:13" x14ac:dyDescent="0.25">
      <c r="A899" t="s">
        <v>1422</v>
      </c>
      <c r="B899" s="5" t="s">
        <v>47</v>
      </c>
      <c r="C899" t="s">
        <v>7</v>
      </c>
      <c r="D899" t="s">
        <v>71</v>
      </c>
      <c r="E899" t="s">
        <v>11</v>
      </c>
      <c r="F899" t="s">
        <v>45</v>
      </c>
      <c r="G899" t="s">
        <v>9</v>
      </c>
      <c r="H899" t="s">
        <v>61</v>
      </c>
      <c r="I899" t="s">
        <v>5</v>
      </c>
      <c r="J899" t="s">
        <v>25</v>
      </c>
      <c r="K899" t="s">
        <v>73</v>
      </c>
      <c r="L899" t="s">
        <v>39</v>
      </c>
      <c r="M899" t="s">
        <v>57</v>
      </c>
    </row>
    <row r="900" spans="1:13" x14ac:dyDescent="0.25">
      <c r="A900" t="s">
        <v>1424</v>
      </c>
      <c r="B900" s="5">
        <v>1</v>
      </c>
    </row>
    <row r="901" spans="1:13" x14ac:dyDescent="0.25">
      <c r="A901" t="s">
        <v>1425</v>
      </c>
      <c r="B901" s="5">
        <v>2</v>
      </c>
    </row>
    <row r="902" spans="1:13" x14ac:dyDescent="0.25">
      <c r="A902" t="s">
        <v>1426</v>
      </c>
      <c r="B902" s="5">
        <v>3</v>
      </c>
    </row>
    <row r="903" spans="1:13" x14ac:dyDescent="0.25">
      <c r="A903" t="s">
        <v>1427</v>
      </c>
      <c r="B903" s="5">
        <v>4</v>
      </c>
    </row>
    <row r="904" spans="1:13" x14ac:dyDescent="0.25">
      <c r="A904" t="s">
        <v>1428</v>
      </c>
      <c r="B904" s="5">
        <v>5</v>
      </c>
    </row>
    <row r="905" spans="1:13" x14ac:dyDescent="0.25">
      <c r="A905" t="s">
        <v>1429</v>
      </c>
      <c r="B905" s="5">
        <v>6</v>
      </c>
    </row>
    <row r="906" spans="1:13" x14ac:dyDescent="0.25">
      <c r="A906" t="s">
        <v>1430</v>
      </c>
      <c r="B906" s="5">
        <v>7</v>
      </c>
    </row>
    <row r="907" spans="1:13" x14ac:dyDescent="0.25">
      <c r="A907" t="s">
        <v>1431</v>
      </c>
      <c r="B907" s="5">
        <v>9</v>
      </c>
    </row>
    <row r="908" spans="1:13" x14ac:dyDescent="0.25">
      <c r="A908" t="s">
        <v>1432</v>
      </c>
      <c r="B908" s="5">
        <v>10</v>
      </c>
    </row>
    <row r="909" spans="1:13" x14ac:dyDescent="0.25">
      <c r="A909" t="s">
        <v>1433</v>
      </c>
      <c r="B909" s="5">
        <v>11</v>
      </c>
    </row>
    <row r="910" spans="1:13" x14ac:dyDescent="0.25">
      <c r="A910" t="s">
        <v>1434</v>
      </c>
      <c r="B910" s="5">
        <v>12</v>
      </c>
    </row>
    <row r="911" spans="1:13" x14ac:dyDescent="0.25">
      <c r="A911" t="s">
        <v>1435</v>
      </c>
      <c r="B911" s="5">
        <v>13</v>
      </c>
    </row>
    <row r="912" spans="1:13" x14ac:dyDescent="0.25">
      <c r="A912" t="s">
        <v>1436</v>
      </c>
      <c r="B912" s="5">
        <v>14</v>
      </c>
    </row>
    <row r="913" spans="1:2" x14ac:dyDescent="0.25">
      <c r="A913" t="s">
        <v>1438</v>
      </c>
      <c r="B913" s="5">
        <v>15</v>
      </c>
    </row>
    <row r="914" spans="1:2" x14ac:dyDescent="0.25">
      <c r="A914" t="s">
        <v>1439</v>
      </c>
      <c r="B914" s="5">
        <v>16</v>
      </c>
    </row>
    <row r="915" spans="1:2" x14ac:dyDescent="0.25">
      <c r="A915" t="s">
        <v>1440</v>
      </c>
      <c r="B915" s="5">
        <v>17</v>
      </c>
    </row>
    <row r="916" spans="1:2" x14ac:dyDescent="0.25">
      <c r="A916" t="s">
        <v>1441</v>
      </c>
      <c r="B916" s="5">
        <v>19</v>
      </c>
    </row>
    <row r="917" spans="1:2" x14ac:dyDescent="0.25">
      <c r="A917" t="s">
        <v>1442</v>
      </c>
      <c r="B917" s="5">
        <v>20</v>
      </c>
    </row>
    <row r="918" spans="1:2" x14ac:dyDescent="0.25">
      <c r="A918" t="s">
        <v>1443</v>
      </c>
      <c r="B918" s="5">
        <v>21</v>
      </c>
    </row>
    <row r="919" spans="1:2" x14ac:dyDescent="0.25">
      <c r="A919" t="s">
        <v>1444</v>
      </c>
      <c r="B919" s="5">
        <v>22</v>
      </c>
    </row>
    <row r="920" spans="1:2" x14ac:dyDescent="0.25">
      <c r="A920" t="s">
        <v>1445</v>
      </c>
      <c r="B920" s="5">
        <v>23</v>
      </c>
    </row>
    <row r="921" spans="1:2" x14ac:dyDescent="0.25">
      <c r="A921" t="s">
        <v>1446</v>
      </c>
      <c r="B921" s="5">
        <v>24</v>
      </c>
    </row>
    <row r="922" spans="1:2" x14ac:dyDescent="0.25">
      <c r="A922" t="s">
        <v>1447</v>
      </c>
      <c r="B922" s="5">
        <v>25</v>
      </c>
    </row>
    <row r="923" spans="1:2" x14ac:dyDescent="0.25">
      <c r="A923" t="s">
        <v>1448</v>
      </c>
      <c r="B923" s="5">
        <v>26</v>
      </c>
    </row>
    <row r="924" spans="1:2" x14ac:dyDescent="0.25">
      <c r="A924" t="s">
        <v>1449</v>
      </c>
      <c r="B924" s="5">
        <v>27</v>
      </c>
    </row>
    <row r="925" spans="1:2" x14ac:dyDescent="0.25">
      <c r="A925" t="s">
        <v>1450</v>
      </c>
      <c r="B925" s="5">
        <v>29</v>
      </c>
    </row>
    <row r="926" spans="1:2" x14ac:dyDescent="0.25">
      <c r="A926" t="s">
        <v>1452</v>
      </c>
      <c r="B926" s="5">
        <v>31</v>
      </c>
    </row>
    <row r="927" spans="1:2" x14ac:dyDescent="0.25">
      <c r="A927" t="s">
        <v>1454</v>
      </c>
      <c r="B927" s="5" t="s">
        <v>1455</v>
      </c>
    </row>
    <row r="928" spans="1:2" x14ac:dyDescent="0.25">
      <c r="A928" t="s">
        <v>1456</v>
      </c>
      <c r="B928" s="5" t="s">
        <v>1457</v>
      </c>
    </row>
    <row r="929" spans="1:10" x14ac:dyDescent="0.25">
      <c r="A929" t="s">
        <v>1458</v>
      </c>
      <c r="B929" s="5" t="s">
        <v>1459</v>
      </c>
    </row>
    <row r="930" spans="1:10" x14ac:dyDescent="0.25">
      <c r="A930" t="s">
        <v>1460</v>
      </c>
      <c r="B930" s="5" t="s">
        <v>1461</v>
      </c>
    </row>
    <row r="931" spans="1:10" x14ac:dyDescent="0.25">
      <c r="A931" t="s">
        <v>1462</v>
      </c>
      <c r="B931" s="5" t="s">
        <v>1463</v>
      </c>
    </row>
    <row r="932" spans="1:10" x14ac:dyDescent="0.25">
      <c r="A932" t="s">
        <v>1464</v>
      </c>
      <c r="B932" s="5" t="s">
        <v>1465</v>
      </c>
    </row>
    <row r="933" spans="1:10" x14ac:dyDescent="0.25">
      <c r="A933" t="s">
        <v>1466</v>
      </c>
      <c r="B933" s="5" t="s">
        <v>1467</v>
      </c>
    </row>
    <row r="934" spans="1:10" x14ac:dyDescent="0.25">
      <c r="A934" t="s">
        <v>1468</v>
      </c>
      <c r="B934" s="5" t="s">
        <v>1469</v>
      </c>
    </row>
    <row r="935" spans="1:10" x14ac:dyDescent="0.25">
      <c r="A935" t="s">
        <v>1473</v>
      </c>
      <c r="B935" s="5" t="s">
        <v>37</v>
      </c>
      <c r="C935" t="s">
        <v>67</v>
      </c>
      <c r="D935" t="s">
        <v>71</v>
      </c>
      <c r="E935" t="s">
        <v>73</v>
      </c>
      <c r="F935" t="s">
        <v>25</v>
      </c>
      <c r="G935" t="s">
        <v>35</v>
      </c>
      <c r="H935" t="s">
        <v>57</v>
      </c>
      <c r="I935" t="s">
        <v>61</v>
      </c>
      <c r="J935" t="s">
        <v>39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A74"/>
  <sheetViews>
    <sheetView workbookViewId="0">
      <pane xSplit="2" topLeftCell="C1" activePane="topRight" state="frozen"/>
      <selection pane="topRight" sqref="A1:E1"/>
    </sheetView>
  </sheetViews>
  <sheetFormatPr defaultRowHeight="15" outlineLevelRow="2" x14ac:dyDescent="0.25"/>
  <cols>
    <col min="2" max="2" width="24.7109375" customWidth="1"/>
    <col min="4" max="5" width="10.7109375" customWidth="1"/>
    <col min="6" max="6" width="1.7109375" customWidth="1"/>
    <col min="7" max="8" width="10.7109375" customWidth="1"/>
    <col min="9" max="9" width="12.7109375" customWidth="1"/>
    <col min="10" max="12" width="11.7109375" customWidth="1"/>
    <col min="15" max="15" width="1.7109375" customWidth="1"/>
    <col min="16" max="17" width="10.7109375" customWidth="1"/>
    <col min="18" max="18" width="12.7109375" customWidth="1"/>
    <col min="19" max="21" width="11.7109375" customWidth="1"/>
    <col min="24" max="24" width="1.7109375" customWidth="1"/>
    <col min="25" max="27" width="11.7109375" customWidth="1"/>
    <col min="28" max="28" width="1.7109375" customWidth="1"/>
  </cols>
  <sheetData>
    <row r="1" spans="1:27" x14ac:dyDescent="0.25">
      <c r="A1" s="76" t="s">
        <v>305</v>
      </c>
      <c r="B1" s="76"/>
      <c r="C1" s="76"/>
      <c r="D1" s="76"/>
      <c r="E1" s="76"/>
      <c r="G1" s="65" t="s">
        <v>2</v>
      </c>
      <c r="H1" s="65"/>
      <c r="I1" s="65"/>
      <c r="J1" s="65"/>
      <c r="K1" s="65"/>
      <c r="L1" s="65"/>
      <c r="M1" s="65"/>
      <c r="N1" s="65"/>
      <c r="P1" s="66" t="s">
        <v>3</v>
      </c>
      <c r="Q1" s="66"/>
      <c r="R1" s="66"/>
      <c r="S1" s="66"/>
      <c r="T1" s="66"/>
      <c r="U1" s="66"/>
      <c r="V1" s="66"/>
      <c r="W1" s="66"/>
    </row>
    <row r="2" spans="1:27" ht="30" customHeight="1" x14ac:dyDescent="0.25">
      <c r="A2" s="75" t="s">
        <v>97</v>
      </c>
      <c r="B2" s="73" t="s">
        <v>99</v>
      </c>
      <c r="C2" s="75" t="s">
        <v>275</v>
      </c>
      <c r="D2" s="73" t="s">
        <v>101</v>
      </c>
      <c r="E2" s="75" t="s">
        <v>103</v>
      </c>
      <c r="G2" s="73" t="s">
        <v>279</v>
      </c>
      <c r="H2" s="75" t="s">
        <v>26</v>
      </c>
      <c r="I2" s="73" t="s">
        <v>282</v>
      </c>
      <c r="J2" s="74" t="s">
        <v>284</v>
      </c>
      <c r="K2" s="74"/>
      <c r="L2" s="74"/>
      <c r="M2" s="73" t="s">
        <v>118</v>
      </c>
      <c r="N2" s="75" t="s">
        <v>120</v>
      </c>
      <c r="P2" s="73" t="s">
        <v>279</v>
      </c>
      <c r="Q2" s="75" t="s">
        <v>26</v>
      </c>
      <c r="R2" s="73" t="s">
        <v>282</v>
      </c>
      <c r="S2" s="74" t="s">
        <v>284</v>
      </c>
      <c r="T2" s="74"/>
      <c r="U2" s="74"/>
      <c r="V2" s="73" t="s">
        <v>118</v>
      </c>
      <c r="W2" s="75" t="s">
        <v>120</v>
      </c>
      <c r="Y2" s="77" t="s">
        <v>301</v>
      </c>
      <c r="Z2" s="77"/>
      <c r="AA2" s="77"/>
    </row>
    <row r="3" spans="1:27" x14ac:dyDescent="0.25">
      <c r="A3" s="75"/>
      <c r="B3" s="73"/>
      <c r="C3" s="75"/>
      <c r="D3" s="73"/>
      <c r="E3" s="75"/>
      <c r="G3" s="73"/>
      <c r="H3" s="75"/>
      <c r="I3" s="73"/>
      <c r="J3" s="16" t="s">
        <v>285</v>
      </c>
      <c r="K3" s="16" t="s">
        <v>287</v>
      </c>
      <c r="L3" s="16" t="s">
        <v>289</v>
      </c>
      <c r="M3" s="73"/>
      <c r="N3" s="75"/>
      <c r="P3" s="73"/>
      <c r="Q3" s="75"/>
      <c r="R3" s="73"/>
      <c r="S3" s="16" t="s">
        <v>285</v>
      </c>
      <c r="T3" s="16" t="s">
        <v>287</v>
      </c>
      <c r="U3" s="16" t="s">
        <v>289</v>
      </c>
      <c r="V3" s="73"/>
      <c r="W3" s="75"/>
      <c r="Y3" s="17" t="s">
        <v>285</v>
      </c>
      <c r="Z3" s="17" t="s">
        <v>287</v>
      </c>
      <c r="AA3" s="17" t="s">
        <v>289</v>
      </c>
    </row>
    <row r="4" spans="1:27" x14ac:dyDescent="0.25">
      <c r="A4" s="18" t="s">
        <v>337</v>
      </c>
      <c r="B4" s="18" t="s">
        <v>147</v>
      </c>
      <c r="C4" s="19" t="s">
        <v>310</v>
      </c>
      <c r="D4" s="18">
        <v>272684</v>
      </c>
      <c r="E4" s="19">
        <v>12</v>
      </c>
      <c r="G4" s="21" t="str">
        <f t="shared" ref="G4:G35" si="0">IF(ISBLANK(I4),"·",I4/D4)</f>
        <v>·</v>
      </c>
      <c r="H4" s="22"/>
      <c r="I4" s="23"/>
      <c r="J4" s="49"/>
      <c r="K4" s="49"/>
      <c r="L4" s="49"/>
      <c r="M4" s="24"/>
      <c r="N4" s="24"/>
      <c r="P4" s="21" t="str">
        <f t="shared" ref="P4:P35" si="1">IF(ISBLANK(R4),"·",R4/D4)</f>
        <v>·</v>
      </c>
      <c r="Q4" s="22"/>
      <c r="R4" s="23"/>
      <c r="S4" s="49"/>
      <c r="T4" s="49"/>
      <c r="U4" s="49"/>
      <c r="V4" s="24"/>
      <c r="W4" s="24"/>
      <c r="Y4" s="50" t="e">
        <f>bdRateExtend( I4:I7,J4:J7, R4:R7,S4:S7)</f>
        <v>#VALUE!</v>
      </c>
      <c r="Z4" s="50" t="e">
        <f>bdRateExtend( I4:I7,K4:K7, R4:R7,T4:T7)</f>
        <v>#VALUE!</v>
      </c>
      <c r="AA4" s="50" t="e">
        <f>bdRateExtend( I4:I7,L4:L7, R4:R7,U4:U7)</f>
        <v>#VALUE!</v>
      </c>
    </row>
    <row r="5" spans="1:27" outlineLevel="1" x14ac:dyDescent="0.25">
      <c r="A5" s="25"/>
      <c r="B5" s="25"/>
      <c r="C5" s="26" t="s">
        <v>311</v>
      </c>
      <c r="D5" s="25">
        <v>272684</v>
      </c>
      <c r="E5" s="26">
        <v>12</v>
      </c>
      <c r="G5" s="28" t="str">
        <f t="shared" si="0"/>
        <v>·</v>
      </c>
      <c r="H5" s="29"/>
      <c r="I5" s="30"/>
      <c r="J5" s="51"/>
      <c r="K5" s="51"/>
      <c r="L5" s="51"/>
      <c r="M5" s="31"/>
      <c r="N5" s="31"/>
      <c r="P5" s="28" t="str">
        <f t="shared" si="1"/>
        <v>·</v>
      </c>
      <c r="Q5" s="29"/>
      <c r="R5" s="30"/>
      <c r="S5" s="51"/>
      <c r="T5" s="51"/>
      <c r="U5" s="51"/>
      <c r="V5" s="31"/>
      <c r="W5" s="31"/>
      <c r="Y5" s="52"/>
      <c r="Z5" s="52"/>
      <c r="AA5" s="52"/>
    </row>
    <row r="6" spans="1:27" outlineLevel="1" x14ac:dyDescent="0.25">
      <c r="A6" s="18"/>
      <c r="B6" s="18"/>
      <c r="C6" s="19" t="s">
        <v>312</v>
      </c>
      <c r="D6" s="18">
        <v>272684</v>
      </c>
      <c r="E6" s="19">
        <v>12</v>
      </c>
      <c r="G6" s="21" t="str">
        <f t="shared" si="0"/>
        <v>·</v>
      </c>
      <c r="H6" s="22"/>
      <c r="I6" s="23"/>
      <c r="J6" s="49"/>
      <c r="K6" s="49"/>
      <c r="L6" s="49"/>
      <c r="M6" s="24"/>
      <c r="N6" s="24"/>
      <c r="P6" s="21" t="str">
        <f t="shared" si="1"/>
        <v>·</v>
      </c>
      <c r="Q6" s="22"/>
      <c r="R6" s="23"/>
      <c r="S6" s="49"/>
      <c r="T6" s="49"/>
      <c r="U6" s="49"/>
      <c r="V6" s="24"/>
      <c r="W6" s="24"/>
      <c r="Y6" s="50"/>
      <c r="Z6" s="50"/>
      <c r="AA6" s="50"/>
    </row>
    <row r="7" spans="1:27" outlineLevel="1" x14ac:dyDescent="0.25">
      <c r="A7" s="25"/>
      <c r="B7" s="32"/>
      <c r="C7" s="33" t="s">
        <v>313</v>
      </c>
      <c r="D7" s="32">
        <v>272684</v>
      </c>
      <c r="E7" s="33">
        <v>12</v>
      </c>
      <c r="G7" s="35" t="str">
        <f t="shared" si="0"/>
        <v>·</v>
      </c>
      <c r="H7" s="36"/>
      <c r="I7" s="37"/>
      <c r="J7" s="53"/>
      <c r="K7" s="53"/>
      <c r="L7" s="53"/>
      <c r="M7" s="38"/>
      <c r="N7" s="38"/>
      <c r="P7" s="35" t="str">
        <f t="shared" si="1"/>
        <v>·</v>
      </c>
      <c r="Q7" s="36"/>
      <c r="R7" s="37"/>
      <c r="S7" s="53"/>
      <c r="T7" s="53"/>
      <c r="U7" s="53"/>
      <c r="V7" s="38"/>
      <c r="W7" s="38"/>
      <c r="Y7" s="54"/>
      <c r="Z7" s="54"/>
      <c r="AA7" s="54"/>
    </row>
    <row r="8" spans="1:27" x14ac:dyDescent="0.25">
      <c r="A8" s="18"/>
      <c r="B8" s="18" t="s">
        <v>153</v>
      </c>
      <c r="C8" s="19" t="s">
        <v>310</v>
      </c>
      <c r="D8" s="18">
        <v>1596085</v>
      </c>
      <c r="E8" s="19">
        <v>12</v>
      </c>
      <c r="G8" s="21" t="str">
        <f t="shared" si="0"/>
        <v>·</v>
      </c>
      <c r="H8" s="22"/>
      <c r="I8" s="23"/>
      <c r="J8" s="49"/>
      <c r="K8" s="49"/>
      <c r="L8" s="49"/>
      <c r="M8" s="24"/>
      <c r="N8" s="24"/>
      <c r="P8" s="21" t="str">
        <f t="shared" si="1"/>
        <v>·</v>
      </c>
      <c r="Q8" s="22"/>
      <c r="R8" s="23"/>
      <c r="S8" s="49"/>
      <c r="T8" s="49"/>
      <c r="U8" s="49"/>
      <c r="V8" s="24"/>
      <c r="W8" s="24"/>
      <c r="Y8" s="50" t="e">
        <f>bdRateExtend( I8:I11,J8:J11, R8:R11,S8:S11)</f>
        <v>#VALUE!</v>
      </c>
      <c r="Z8" s="50" t="e">
        <f>bdRateExtend( I8:I11,K8:K11, R8:R11,T8:T11)</f>
        <v>#VALUE!</v>
      </c>
      <c r="AA8" s="50" t="e">
        <f>bdRateExtend( I8:I11,L8:L11, R8:R11,U8:U11)</f>
        <v>#VALUE!</v>
      </c>
    </row>
    <row r="9" spans="1:27" outlineLevel="1" x14ac:dyDescent="0.25">
      <c r="A9" s="25"/>
      <c r="B9" s="25"/>
      <c r="C9" s="26" t="s">
        <v>311</v>
      </c>
      <c r="D9" s="25">
        <v>1596085</v>
      </c>
      <c r="E9" s="26">
        <v>12</v>
      </c>
      <c r="G9" s="28" t="str">
        <f t="shared" si="0"/>
        <v>·</v>
      </c>
      <c r="H9" s="29"/>
      <c r="I9" s="30"/>
      <c r="J9" s="51"/>
      <c r="K9" s="51"/>
      <c r="L9" s="51"/>
      <c r="M9" s="31"/>
      <c r="N9" s="31"/>
      <c r="P9" s="28" t="str">
        <f t="shared" si="1"/>
        <v>·</v>
      </c>
      <c r="Q9" s="29"/>
      <c r="R9" s="30"/>
      <c r="S9" s="51"/>
      <c r="T9" s="51"/>
      <c r="U9" s="51"/>
      <c r="V9" s="31"/>
      <c r="W9" s="31"/>
      <c r="Y9" s="52"/>
      <c r="Z9" s="52"/>
      <c r="AA9" s="52"/>
    </row>
    <row r="10" spans="1:27" outlineLevel="1" x14ac:dyDescent="0.25">
      <c r="A10" s="18"/>
      <c r="B10" s="18"/>
      <c r="C10" s="19" t="s">
        <v>312</v>
      </c>
      <c r="D10" s="18">
        <v>1596085</v>
      </c>
      <c r="E10" s="19">
        <v>12</v>
      </c>
      <c r="G10" s="21" t="str">
        <f t="shared" si="0"/>
        <v>·</v>
      </c>
      <c r="H10" s="22"/>
      <c r="I10" s="23"/>
      <c r="J10" s="49"/>
      <c r="K10" s="49"/>
      <c r="L10" s="49"/>
      <c r="M10" s="24"/>
      <c r="N10" s="24"/>
      <c r="P10" s="21" t="str">
        <f t="shared" si="1"/>
        <v>·</v>
      </c>
      <c r="Q10" s="22"/>
      <c r="R10" s="23"/>
      <c r="S10" s="49"/>
      <c r="T10" s="49"/>
      <c r="U10" s="49"/>
      <c r="V10" s="24"/>
      <c r="W10" s="24"/>
      <c r="Y10" s="50"/>
      <c r="Z10" s="50"/>
      <c r="AA10" s="50"/>
    </row>
    <row r="11" spans="1:27" outlineLevel="1" x14ac:dyDescent="0.25">
      <c r="A11" s="25"/>
      <c r="B11" s="32"/>
      <c r="C11" s="33" t="s">
        <v>313</v>
      </c>
      <c r="D11" s="32">
        <v>1596085</v>
      </c>
      <c r="E11" s="33">
        <v>12</v>
      </c>
      <c r="G11" s="35" t="str">
        <f t="shared" si="0"/>
        <v>·</v>
      </c>
      <c r="H11" s="36"/>
      <c r="I11" s="37"/>
      <c r="J11" s="53"/>
      <c r="K11" s="53"/>
      <c r="L11" s="53"/>
      <c r="M11" s="38"/>
      <c r="N11" s="38"/>
      <c r="P11" s="35" t="str">
        <f t="shared" si="1"/>
        <v>·</v>
      </c>
      <c r="Q11" s="36"/>
      <c r="R11" s="37"/>
      <c r="S11" s="53"/>
      <c r="T11" s="53"/>
      <c r="U11" s="53"/>
      <c r="V11" s="38"/>
      <c r="W11" s="38"/>
      <c r="Y11" s="54"/>
      <c r="Z11" s="54"/>
      <c r="AA11" s="54"/>
    </row>
    <row r="12" spans="1:27" x14ac:dyDescent="0.25">
      <c r="A12" s="18"/>
      <c r="B12" s="18" t="s">
        <v>159</v>
      </c>
      <c r="C12" s="19" t="s">
        <v>310</v>
      </c>
      <c r="D12" s="18">
        <v>8907880</v>
      </c>
      <c r="E12" s="19">
        <v>14</v>
      </c>
      <c r="G12" s="21" t="str">
        <f t="shared" si="0"/>
        <v>·</v>
      </c>
      <c r="H12" s="22"/>
      <c r="I12" s="23"/>
      <c r="J12" s="49"/>
      <c r="K12" s="49"/>
      <c r="L12" s="49"/>
      <c r="M12" s="24"/>
      <c r="N12" s="24"/>
      <c r="P12" s="21" t="str">
        <f t="shared" si="1"/>
        <v>·</v>
      </c>
      <c r="Q12" s="22"/>
      <c r="R12" s="23"/>
      <c r="S12" s="49"/>
      <c r="T12" s="49"/>
      <c r="U12" s="49"/>
      <c r="V12" s="24"/>
      <c r="W12" s="24"/>
      <c r="Y12" s="50" t="e">
        <f>bdRateExtend( I12:I15,J12:J15, R12:R15,S12:S15)</f>
        <v>#VALUE!</v>
      </c>
      <c r="Z12" s="50" t="e">
        <f>bdRateExtend( I12:I15,K12:K15, R12:R15,T12:T15)</f>
        <v>#VALUE!</v>
      </c>
      <c r="AA12" s="50" t="e">
        <f>bdRateExtend( I12:I15,L12:L15, R12:R15,U12:U15)</f>
        <v>#VALUE!</v>
      </c>
    </row>
    <row r="13" spans="1:27" outlineLevel="1" x14ac:dyDescent="0.25">
      <c r="A13" s="25"/>
      <c r="B13" s="25"/>
      <c r="C13" s="26" t="s">
        <v>311</v>
      </c>
      <c r="D13" s="25">
        <v>8907880</v>
      </c>
      <c r="E13" s="26">
        <v>14</v>
      </c>
      <c r="G13" s="28" t="str">
        <f t="shared" si="0"/>
        <v>·</v>
      </c>
      <c r="H13" s="29"/>
      <c r="I13" s="30"/>
      <c r="J13" s="51"/>
      <c r="K13" s="51"/>
      <c r="L13" s="51"/>
      <c r="M13" s="31"/>
      <c r="N13" s="31"/>
      <c r="P13" s="28" t="str">
        <f t="shared" si="1"/>
        <v>·</v>
      </c>
      <c r="Q13" s="29"/>
      <c r="R13" s="30"/>
      <c r="S13" s="51"/>
      <c r="T13" s="51"/>
      <c r="U13" s="51"/>
      <c r="V13" s="31"/>
      <c r="W13" s="31"/>
      <c r="Y13" s="52"/>
      <c r="Z13" s="52"/>
      <c r="AA13" s="52"/>
    </row>
    <row r="14" spans="1:27" outlineLevel="1" x14ac:dyDescent="0.25">
      <c r="A14" s="18"/>
      <c r="B14" s="18"/>
      <c r="C14" s="19" t="s">
        <v>312</v>
      </c>
      <c r="D14" s="18">
        <v>8907880</v>
      </c>
      <c r="E14" s="19">
        <v>14</v>
      </c>
      <c r="G14" s="21" t="str">
        <f t="shared" si="0"/>
        <v>·</v>
      </c>
      <c r="H14" s="22"/>
      <c r="I14" s="23"/>
      <c r="J14" s="49"/>
      <c r="K14" s="49"/>
      <c r="L14" s="49"/>
      <c r="M14" s="24"/>
      <c r="N14" s="24"/>
      <c r="P14" s="21" t="str">
        <f t="shared" si="1"/>
        <v>·</v>
      </c>
      <c r="Q14" s="22"/>
      <c r="R14" s="23"/>
      <c r="S14" s="49"/>
      <c r="T14" s="49"/>
      <c r="U14" s="49"/>
      <c r="V14" s="24"/>
      <c r="W14" s="24"/>
      <c r="Y14" s="50"/>
      <c r="Z14" s="50"/>
      <c r="AA14" s="50"/>
    </row>
    <row r="15" spans="1:27" outlineLevel="1" x14ac:dyDescent="0.25">
      <c r="A15" s="25"/>
      <c r="B15" s="32"/>
      <c r="C15" s="33" t="s">
        <v>313</v>
      </c>
      <c r="D15" s="32">
        <v>8907880</v>
      </c>
      <c r="E15" s="33">
        <v>14</v>
      </c>
      <c r="G15" s="35" t="str">
        <f t="shared" si="0"/>
        <v>·</v>
      </c>
      <c r="H15" s="36"/>
      <c r="I15" s="37"/>
      <c r="J15" s="53"/>
      <c r="K15" s="53"/>
      <c r="L15" s="53"/>
      <c r="M15" s="38"/>
      <c r="N15" s="38"/>
      <c r="P15" s="35" t="str">
        <f t="shared" si="1"/>
        <v>·</v>
      </c>
      <c r="Q15" s="36"/>
      <c r="R15" s="37"/>
      <c r="S15" s="53"/>
      <c r="T15" s="53"/>
      <c r="U15" s="53"/>
      <c r="V15" s="38"/>
      <c r="W15" s="38"/>
      <c r="Y15" s="54"/>
      <c r="Z15" s="54"/>
      <c r="AA15" s="54"/>
    </row>
    <row r="16" spans="1:27" x14ac:dyDescent="0.25">
      <c r="A16" s="18"/>
      <c r="B16" s="18" t="s">
        <v>162</v>
      </c>
      <c r="C16" s="19" t="s">
        <v>310</v>
      </c>
      <c r="D16" s="18">
        <v>8929532</v>
      </c>
      <c r="E16" s="19">
        <v>20</v>
      </c>
      <c r="G16" s="21" t="str">
        <f t="shared" si="0"/>
        <v>·</v>
      </c>
      <c r="H16" s="22"/>
      <c r="I16" s="23"/>
      <c r="J16" s="49"/>
      <c r="K16" s="49"/>
      <c r="L16" s="49"/>
      <c r="M16" s="24"/>
      <c r="N16" s="24"/>
      <c r="P16" s="21" t="str">
        <f t="shared" si="1"/>
        <v>·</v>
      </c>
      <c r="Q16" s="22"/>
      <c r="R16" s="23"/>
      <c r="S16" s="49"/>
      <c r="T16" s="49"/>
      <c r="U16" s="49"/>
      <c r="V16" s="24"/>
      <c r="W16" s="24"/>
      <c r="Y16" s="50" t="e">
        <f>bdRateExtend( I16:I19,J16:J19, R16:R19,S16:S19)</f>
        <v>#VALUE!</v>
      </c>
      <c r="Z16" s="50" t="e">
        <f>bdRateExtend( I16:I19,K16:K19, R16:R19,T16:T19)</f>
        <v>#VALUE!</v>
      </c>
      <c r="AA16" s="50" t="e">
        <f>bdRateExtend( I16:I19,L16:L19, R16:R19,U16:U19)</f>
        <v>#VALUE!</v>
      </c>
    </row>
    <row r="17" spans="1:27" outlineLevel="1" x14ac:dyDescent="0.25">
      <c r="A17" s="25"/>
      <c r="B17" s="25"/>
      <c r="C17" s="26" t="s">
        <v>311</v>
      </c>
      <c r="D17" s="25">
        <v>8929532</v>
      </c>
      <c r="E17" s="26">
        <v>20</v>
      </c>
      <c r="G17" s="28" t="str">
        <f t="shared" si="0"/>
        <v>·</v>
      </c>
      <c r="H17" s="29"/>
      <c r="I17" s="30"/>
      <c r="J17" s="51"/>
      <c r="K17" s="51"/>
      <c r="L17" s="51"/>
      <c r="M17" s="31"/>
      <c r="N17" s="31"/>
      <c r="P17" s="28" t="str">
        <f t="shared" si="1"/>
        <v>·</v>
      </c>
      <c r="Q17" s="29"/>
      <c r="R17" s="30"/>
      <c r="S17" s="51"/>
      <c r="T17" s="51"/>
      <c r="U17" s="51"/>
      <c r="V17" s="31"/>
      <c r="W17" s="31"/>
      <c r="Y17" s="52"/>
      <c r="Z17" s="52"/>
      <c r="AA17" s="52"/>
    </row>
    <row r="18" spans="1:27" outlineLevel="1" x14ac:dyDescent="0.25">
      <c r="A18" s="18"/>
      <c r="B18" s="18"/>
      <c r="C18" s="19" t="s">
        <v>312</v>
      </c>
      <c r="D18" s="18">
        <v>8929532</v>
      </c>
      <c r="E18" s="19">
        <v>20</v>
      </c>
      <c r="G18" s="21" t="str">
        <f t="shared" si="0"/>
        <v>·</v>
      </c>
      <c r="H18" s="22"/>
      <c r="I18" s="23"/>
      <c r="J18" s="49"/>
      <c r="K18" s="49"/>
      <c r="L18" s="49"/>
      <c r="M18" s="24"/>
      <c r="N18" s="24"/>
      <c r="P18" s="21" t="str">
        <f t="shared" si="1"/>
        <v>·</v>
      </c>
      <c r="Q18" s="22"/>
      <c r="R18" s="23"/>
      <c r="S18" s="49"/>
      <c r="T18" s="49"/>
      <c r="U18" s="49"/>
      <c r="V18" s="24"/>
      <c r="W18" s="24"/>
      <c r="Y18" s="50"/>
      <c r="Z18" s="50"/>
      <c r="AA18" s="50"/>
    </row>
    <row r="19" spans="1:27" outlineLevel="1" x14ac:dyDescent="0.25">
      <c r="A19" s="25"/>
      <c r="B19" s="32"/>
      <c r="C19" s="33" t="s">
        <v>313</v>
      </c>
      <c r="D19" s="32">
        <v>8929532</v>
      </c>
      <c r="E19" s="33">
        <v>20</v>
      </c>
      <c r="G19" s="35" t="str">
        <f t="shared" si="0"/>
        <v>·</v>
      </c>
      <c r="H19" s="36"/>
      <c r="I19" s="37"/>
      <c r="J19" s="53"/>
      <c r="K19" s="53"/>
      <c r="L19" s="53"/>
      <c r="M19" s="38"/>
      <c r="N19" s="38"/>
      <c r="P19" s="35" t="str">
        <f t="shared" si="1"/>
        <v>·</v>
      </c>
      <c r="Q19" s="36"/>
      <c r="R19" s="37"/>
      <c r="S19" s="53"/>
      <c r="T19" s="53"/>
      <c r="U19" s="53"/>
      <c r="V19" s="38"/>
      <c r="W19" s="38"/>
      <c r="Y19" s="54"/>
      <c r="Z19" s="54"/>
      <c r="AA19" s="54"/>
    </row>
    <row r="20" spans="1:27" x14ac:dyDescent="0.25">
      <c r="A20" s="18"/>
      <c r="B20" s="18" t="s">
        <v>322</v>
      </c>
      <c r="C20" s="19" t="s">
        <v>310</v>
      </c>
      <c r="D20" s="18">
        <v>4061755</v>
      </c>
      <c r="E20" s="19">
        <v>11</v>
      </c>
      <c r="G20" s="21" t="str">
        <f t="shared" si="0"/>
        <v>·</v>
      </c>
      <c r="H20" s="22"/>
      <c r="I20" s="23"/>
      <c r="J20" s="49"/>
      <c r="K20" s="49"/>
      <c r="L20" s="49"/>
      <c r="M20" s="24"/>
      <c r="N20" s="24"/>
      <c r="P20" s="21" t="str">
        <f t="shared" si="1"/>
        <v>·</v>
      </c>
      <c r="Q20" s="22"/>
      <c r="R20" s="23"/>
      <c r="S20" s="49"/>
      <c r="T20" s="49"/>
      <c r="U20" s="49"/>
      <c r="V20" s="24"/>
      <c r="W20" s="24"/>
      <c r="Y20" s="50" t="e">
        <f>bdRateExtend( I20:I23,J20:J23, R20:R23,S20:S23)</f>
        <v>#VALUE!</v>
      </c>
      <c r="Z20" s="50" t="e">
        <f>bdRateExtend( I20:I23,K20:K23, R20:R23,T20:T23)</f>
        <v>#VALUE!</v>
      </c>
      <c r="AA20" s="50" t="e">
        <f>bdRateExtend( I20:I23,L20:L23, R20:R23,U20:U23)</f>
        <v>#VALUE!</v>
      </c>
    </row>
    <row r="21" spans="1:27" outlineLevel="1" x14ac:dyDescent="0.25">
      <c r="A21" s="25"/>
      <c r="B21" s="25"/>
      <c r="C21" s="26" t="s">
        <v>311</v>
      </c>
      <c r="D21" s="25">
        <v>4061755</v>
      </c>
      <c r="E21" s="26">
        <v>11</v>
      </c>
      <c r="G21" s="28" t="str">
        <f t="shared" si="0"/>
        <v>·</v>
      </c>
      <c r="H21" s="29"/>
      <c r="I21" s="30"/>
      <c r="J21" s="51"/>
      <c r="K21" s="51"/>
      <c r="L21" s="51"/>
      <c r="M21" s="31"/>
      <c r="N21" s="31"/>
      <c r="P21" s="28" t="str">
        <f t="shared" si="1"/>
        <v>·</v>
      </c>
      <c r="Q21" s="29"/>
      <c r="R21" s="30"/>
      <c r="S21" s="51"/>
      <c r="T21" s="51"/>
      <c r="U21" s="51"/>
      <c r="V21" s="31"/>
      <c r="W21" s="31"/>
      <c r="Y21" s="52"/>
      <c r="Z21" s="52"/>
      <c r="AA21" s="52"/>
    </row>
    <row r="22" spans="1:27" outlineLevel="1" x14ac:dyDescent="0.25">
      <c r="A22" s="18"/>
      <c r="B22" s="18"/>
      <c r="C22" s="19" t="s">
        <v>312</v>
      </c>
      <c r="D22" s="18">
        <v>4061755</v>
      </c>
      <c r="E22" s="19">
        <v>11</v>
      </c>
      <c r="G22" s="21" t="str">
        <f t="shared" si="0"/>
        <v>·</v>
      </c>
      <c r="H22" s="22"/>
      <c r="I22" s="23"/>
      <c r="J22" s="49"/>
      <c r="K22" s="49"/>
      <c r="L22" s="49"/>
      <c r="M22" s="24"/>
      <c r="N22" s="24"/>
      <c r="P22" s="21" t="str">
        <f t="shared" si="1"/>
        <v>·</v>
      </c>
      <c r="Q22" s="22"/>
      <c r="R22" s="23"/>
      <c r="S22" s="49"/>
      <c r="T22" s="49"/>
      <c r="U22" s="49"/>
      <c r="V22" s="24"/>
      <c r="W22" s="24"/>
      <c r="Y22" s="50"/>
      <c r="Z22" s="50"/>
      <c r="AA22" s="50"/>
    </row>
    <row r="23" spans="1:27" outlineLevel="1" x14ac:dyDescent="0.25">
      <c r="A23" s="25"/>
      <c r="B23" s="32"/>
      <c r="C23" s="33" t="s">
        <v>313</v>
      </c>
      <c r="D23" s="32">
        <v>4061755</v>
      </c>
      <c r="E23" s="33">
        <v>11</v>
      </c>
      <c r="G23" s="35" t="str">
        <f t="shared" si="0"/>
        <v>·</v>
      </c>
      <c r="H23" s="36"/>
      <c r="I23" s="37"/>
      <c r="J23" s="53"/>
      <c r="K23" s="53"/>
      <c r="L23" s="53"/>
      <c r="M23" s="38"/>
      <c r="N23" s="38"/>
      <c r="P23" s="35" t="str">
        <f t="shared" si="1"/>
        <v>·</v>
      </c>
      <c r="Q23" s="36"/>
      <c r="R23" s="37"/>
      <c r="S23" s="53"/>
      <c r="T23" s="53"/>
      <c r="U23" s="53"/>
      <c r="V23" s="38"/>
      <c r="W23" s="38"/>
      <c r="Y23" s="54"/>
      <c r="Z23" s="54"/>
      <c r="AA23" s="54"/>
    </row>
    <row r="24" spans="1:27" x14ac:dyDescent="0.25">
      <c r="A24" s="18"/>
      <c r="B24" s="18" t="s">
        <v>171</v>
      </c>
      <c r="C24" s="19" t="s">
        <v>310</v>
      </c>
      <c r="D24" s="18">
        <v>3614251</v>
      </c>
      <c r="E24" s="19">
        <v>12</v>
      </c>
      <c r="G24" s="21" t="str">
        <f t="shared" si="0"/>
        <v>·</v>
      </c>
      <c r="H24" s="22"/>
      <c r="I24" s="23"/>
      <c r="J24" s="49"/>
      <c r="K24" s="49"/>
      <c r="L24" s="49"/>
      <c r="M24" s="24"/>
      <c r="N24" s="24"/>
      <c r="P24" s="21" t="str">
        <f t="shared" si="1"/>
        <v>·</v>
      </c>
      <c r="Q24" s="22"/>
      <c r="R24" s="23"/>
      <c r="S24" s="49"/>
      <c r="T24" s="49"/>
      <c r="U24" s="49"/>
      <c r="V24" s="24"/>
      <c r="W24" s="24"/>
      <c r="Y24" s="50" t="e">
        <f>bdRateExtend( I24:I27,J24:J27, R24:R27,S24:S27)</f>
        <v>#VALUE!</v>
      </c>
      <c r="Z24" s="50" t="e">
        <f>bdRateExtend( I24:I27,K24:K27, R24:R27,T24:T27)</f>
        <v>#VALUE!</v>
      </c>
      <c r="AA24" s="50" t="e">
        <f>bdRateExtend( I24:I27,L24:L27, R24:R27,U24:U27)</f>
        <v>#VALUE!</v>
      </c>
    </row>
    <row r="25" spans="1:27" outlineLevel="1" x14ac:dyDescent="0.25">
      <c r="A25" s="25"/>
      <c r="B25" s="25"/>
      <c r="C25" s="26" t="s">
        <v>311</v>
      </c>
      <c r="D25" s="25">
        <v>3614251</v>
      </c>
      <c r="E25" s="26">
        <v>12</v>
      </c>
      <c r="G25" s="28" t="str">
        <f t="shared" si="0"/>
        <v>·</v>
      </c>
      <c r="H25" s="29"/>
      <c r="I25" s="30"/>
      <c r="J25" s="51"/>
      <c r="K25" s="51"/>
      <c r="L25" s="51"/>
      <c r="M25" s="31"/>
      <c r="N25" s="31"/>
      <c r="P25" s="28" t="str">
        <f t="shared" si="1"/>
        <v>·</v>
      </c>
      <c r="Q25" s="29"/>
      <c r="R25" s="30"/>
      <c r="S25" s="51"/>
      <c r="T25" s="51"/>
      <c r="U25" s="51"/>
      <c r="V25" s="31"/>
      <c r="W25" s="31"/>
      <c r="Y25" s="52"/>
      <c r="Z25" s="52"/>
      <c r="AA25" s="52"/>
    </row>
    <row r="26" spans="1:27" outlineLevel="1" x14ac:dyDescent="0.25">
      <c r="A26" s="18"/>
      <c r="B26" s="18"/>
      <c r="C26" s="19" t="s">
        <v>312</v>
      </c>
      <c r="D26" s="18">
        <v>3614251</v>
      </c>
      <c r="E26" s="19">
        <v>12</v>
      </c>
      <c r="G26" s="21" t="str">
        <f t="shared" si="0"/>
        <v>·</v>
      </c>
      <c r="H26" s="22"/>
      <c r="I26" s="23"/>
      <c r="J26" s="49"/>
      <c r="K26" s="49"/>
      <c r="L26" s="49"/>
      <c r="M26" s="24"/>
      <c r="N26" s="24"/>
      <c r="P26" s="21" t="str">
        <f t="shared" si="1"/>
        <v>·</v>
      </c>
      <c r="Q26" s="22"/>
      <c r="R26" s="23"/>
      <c r="S26" s="49"/>
      <c r="T26" s="49"/>
      <c r="U26" s="49"/>
      <c r="V26" s="24"/>
      <c r="W26" s="24"/>
      <c r="Y26" s="50"/>
      <c r="Z26" s="50"/>
      <c r="AA26" s="50"/>
    </row>
    <row r="27" spans="1:27" outlineLevel="1" x14ac:dyDescent="0.25">
      <c r="A27" s="25"/>
      <c r="B27" s="32"/>
      <c r="C27" s="33" t="s">
        <v>313</v>
      </c>
      <c r="D27" s="32">
        <v>3614251</v>
      </c>
      <c r="E27" s="33">
        <v>12</v>
      </c>
      <c r="G27" s="35" t="str">
        <f t="shared" si="0"/>
        <v>·</v>
      </c>
      <c r="H27" s="36"/>
      <c r="I27" s="37"/>
      <c r="J27" s="53"/>
      <c r="K27" s="53"/>
      <c r="L27" s="53"/>
      <c r="M27" s="38"/>
      <c r="N27" s="38"/>
      <c r="P27" s="35" t="str">
        <f t="shared" si="1"/>
        <v>·</v>
      </c>
      <c r="Q27" s="36"/>
      <c r="R27" s="37"/>
      <c r="S27" s="53"/>
      <c r="T27" s="53"/>
      <c r="U27" s="53"/>
      <c r="V27" s="38"/>
      <c r="W27" s="38"/>
      <c r="Y27" s="54"/>
      <c r="Z27" s="54"/>
      <c r="AA27" s="54"/>
    </row>
    <row r="28" spans="1:27" x14ac:dyDescent="0.25">
      <c r="A28" s="18"/>
      <c r="B28" s="18" t="s">
        <v>177</v>
      </c>
      <c r="C28" s="19" t="s">
        <v>310</v>
      </c>
      <c r="D28" s="18">
        <v>805285</v>
      </c>
      <c r="E28" s="19">
        <v>10</v>
      </c>
      <c r="G28" s="21" t="str">
        <f t="shared" si="0"/>
        <v>·</v>
      </c>
      <c r="H28" s="22"/>
      <c r="I28" s="23"/>
      <c r="J28" s="49"/>
      <c r="K28" s="49"/>
      <c r="L28" s="49"/>
      <c r="M28" s="24"/>
      <c r="N28" s="24"/>
      <c r="P28" s="21" t="str">
        <f t="shared" si="1"/>
        <v>·</v>
      </c>
      <c r="Q28" s="22"/>
      <c r="R28" s="23"/>
      <c r="S28" s="49"/>
      <c r="T28" s="49"/>
      <c r="U28" s="49"/>
      <c r="V28" s="24"/>
      <c r="W28" s="24"/>
      <c r="Y28" s="50" t="e">
        <f>bdRateExtend( I28:I31,J28:J31, R28:R31,S28:S31)</f>
        <v>#VALUE!</v>
      </c>
      <c r="Z28" s="50" t="e">
        <f>bdRateExtend( I28:I31,K28:K31, R28:R31,T28:T31)</f>
        <v>#VALUE!</v>
      </c>
      <c r="AA28" s="50" t="e">
        <f>bdRateExtend( I28:I31,L28:L31, R28:R31,U28:U31)</f>
        <v>#VALUE!</v>
      </c>
    </row>
    <row r="29" spans="1:27" outlineLevel="1" x14ac:dyDescent="0.25">
      <c r="A29" s="25"/>
      <c r="B29" s="25"/>
      <c r="C29" s="26" t="s">
        <v>311</v>
      </c>
      <c r="D29" s="25">
        <v>805285</v>
      </c>
      <c r="E29" s="26">
        <v>10</v>
      </c>
      <c r="G29" s="28" t="str">
        <f t="shared" si="0"/>
        <v>·</v>
      </c>
      <c r="H29" s="29"/>
      <c r="I29" s="30"/>
      <c r="J29" s="51"/>
      <c r="K29" s="51"/>
      <c r="L29" s="51"/>
      <c r="M29" s="31"/>
      <c r="N29" s="31"/>
      <c r="P29" s="28" t="str">
        <f t="shared" si="1"/>
        <v>·</v>
      </c>
      <c r="Q29" s="29"/>
      <c r="R29" s="30"/>
      <c r="S29" s="51"/>
      <c r="T29" s="51"/>
      <c r="U29" s="51"/>
      <c r="V29" s="31"/>
      <c r="W29" s="31"/>
      <c r="Y29" s="52"/>
      <c r="Z29" s="52"/>
      <c r="AA29" s="52"/>
    </row>
    <row r="30" spans="1:27" outlineLevel="1" x14ac:dyDescent="0.25">
      <c r="A30" s="18"/>
      <c r="B30" s="18"/>
      <c r="C30" s="19" t="s">
        <v>312</v>
      </c>
      <c r="D30" s="18">
        <v>805285</v>
      </c>
      <c r="E30" s="19">
        <v>10</v>
      </c>
      <c r="G30" s="21" t="str">
        <f t="shared" si="0"/>
        <v>·</v>
      </c>
      <c r="H30" s="22"/>
      <c r="I30" s="23"/>
      <c r="J30" s="49"/>
      <c r="K30" s="49"/>
      <c r="L30" s="49"/>
      <c r="M30" s="24"/>
      <c r="N30" s="24"/>
      <c r="P30" s="21" t="str">
        <f t="shared" si="1"/>
        <v>·</v>
      </c>
      <c r="Q30" s="22"/>
      <c r="R30" s="23"/>
      <c r="S30" s="49"/>
      <c r="T30" s="49"/>
      <c r="U30" s="49"/>
      <c r="V30" s="24"/>
      <c r="W30" s="24"/>
      <c r="Y30" s="50"/>
      <c r="Z30" s="50"/>
      <c r="AA30" s="50"/>
    </row>
    <row r="31" spans="1:27" outlineLevel="1" x14ac:dyDescent="0.25">
      <c r="A31" s="25"/>
      <c r="B31" s="32"/>
      <c r="C31" s="33" t="s">
        <v>313</v>
      </c>
      <c r="D31" s="32">
        <v>805285</v>
      </c>
      <c r="E31" s="33">
        <v>10</v>
      </c>
      <c r="G31" s="35" t="str">
        <f t="shared" si="0"/>
        <v>·</v>
      </c>
      <c r="H31" s="36"/>
      <c r="I31" s="37"/>
      <c r="J31" s="53"/>
      <c r="K31" s="53"/>
      <c r="L31" s="53"/>
      <c r="M31" s="38"/>
      <c r="N31" s="38"/>
      <c r="P31" s="35" t="str">
        <f t="shared" si="1"/>
        <v>·</v>
      </c>
      <c r="Q31" s="36"/>
      <c r="R31" s="37"/>
      <c r="S31" s="53"/>
      <c r="T31" s="53"/>
      <c r="U31" s="53"/>
      <c r="V31" s="38"/>
      <c r="W31" s="38"/>
      <c r="Y31" s="54"/>
      <c r="Z31" s="54"/>
      <c r="AA31" s="54"/>
    </row>
    <row r="32" spans="1:27" x14ac:dyDescent="0.25">
      <c r="A32" s="18"/>
      <c r="B32" s="18" t="s">
        <v>180</v>
      </c>
      <c r="C32" s="19" t="s">
        <v>310</v>
      </c>
      <c r="D32" s="18">
        <v>1000993</v>
      </c>
      <c r="E32" s="19">
        <v>10</v>
      </c>
      <c r="G32" s="21" t="str">
        <f t="shared" si="0"/>
        <v>·</v>
      </c>
      <c r="H32" s="22"/>
      <c r="I32" s="23"/>
      <c r="J32" s="49"/>
      <c r="K32" s="49"/>
      <c r="L32" s="49"/>
      <c r="M32" s="24"/>
      <c r="N32" s="24"/>
      <c r="P32" s="21" t="str">
        <f t="shared" si="1"/>
        <v>·</v>
      </c>
      <c r="Q32" s="22"/>
      <c r="R32" s="23"/>
      <c r="S32" s="49"/>
      <c r="T32" s="49"/>
      <c r="U32" s="49"/>
      <c r="V32" s="24"/>
      <c r="W32" s="24"/>
      <c r="Y32" s="50" t="e">
        <f>bdRateExtend( I32:I35,J32:J35, R32:R35,S32:S35)</f>
        <v>#VALUE!</v>
      </c>
      <c r="Z32" s="50" t="e">
        <f>bdRateExtend( I32:I35,K32:K35, R32:R35,T32:T35)</f>
        <v>#VALUE!</v>
      </c>
      <c r="AA32" s="50" t="e">
        <f>bdRateExtend( I32:I35,L32:L35, R32:R35,U32:U35)</f>
        <v>#VALUE!</v>
      </c>
    </row>
    <row r="33" spans="1:27" outlineLevel="1" x14ac:dyDescent="0.25">
      <c r="A33" s="25"/>
      <c r="B33" s="25"/>
      <c r="C33" s="26" t="s">
        <v>311</v>
      </c>
      <c r="D33" s="25">
        <v>1000993</v>
      </c>
      <c r="E33" s="26">
        <v>10</v>
      </c>
      <c r="G33" s="28" t="str">
        <f t="shared" si="0"/>
        <v>·</v>
      </c>
      <c r="H33" s="29"/>
      <c r="I33" s="30"/>
      <c r="J33" s="51"/>
      <c r="K33" s="51"/>
      <c r="L33" s="51"/>
      <c r="M33" s="31"/>
      <c r="N33" s="31"/>
      <c r="P33" s="28" t="str">
        <f t="shared" si="1"/>
        <v>·</v>
      </c>
      <c r="Q33" s="29"/>
      <c r="R33" s="30"/>
      <c r="S33" s="51"/>
      <c r="T33" s="51"/>
      <c r="U33" s="51"/>
      <c r="V33" s="31"/>
      <c r="W33" s="31"/>
      <c r="Y33" s="52"/>
      <c r="Z33" s="52"/>
      <c r="AA33" s="52"/>
    </row>
    <row r="34" spans="1:27" outlineLevel="1" x14ac:dyDescent="0.25">
      <c r="A34" s="18"/>
      <c r="B34" s="18"/>
      <c r="C34" s="19" t="s">
        <v>312</v>
      </c>
      <c r="D34" s="18">
        <v>1000993</v>
      </c>
      <c r="E34" s="19">
        <v>10</v>
      </c>
      <c r="G34" s="21" t="str">
        <f t="shared" si="0"/>
        <v>·</v>
      </c>
      <c r="H34" s="22"/>
      <c r="I34" s="23"/>
      <c r="J34" s="49"/>
      <c r="K34" s="49"/>
      <c r="L34" s="49"/>
      <c r="M34" s="24"/>
      <c r="N34" s="24"/>
      <c r="P34" s="21" t="str">
        <f t="shared" si="1"/>
        <v>·</v>
      </c>
      <c r="Q34" s="22"/>
      <c r="R34" s="23"/>
      <c r="S34" s="49"/>
      <c r="T34" s="49"/>
      <c r="U34" s="49"/>
      <c r="V34" s="24"/>
      <c r="W34" s="24"/>
      <c r="Y34" s="50"/>
      <c r="Z34" s="50"/>
      <c r="AA34" s="50"/>
    </row>
    <row r="35" spans="1:27" outlineLevel="1" x14ac:dyDescent="0.25">
      <c r="A35" s="25"/>
      <c r="B35" s="32"/>
      <c r="C35" s="33" t="s">
        <v>313</v>
      </c>
      <c r="D35" s="32">
        <v>1000993</v>
      </c>
      <c r="E35" s="33">
        <v>10</v>
      </c>
      <c r="G35" s="35" t="str">
        <f t="shared" si="0"/>
        <v>·</v>
      </c>
      <c r="H35" s="36"/>
      <c r="I35" s="37"/>
      <c r="J35" s="53"/>
      <c r="K35" s="53"/>
      <c r="L35" s="53"/>
      <c r="M35" s="38"/>
      <c r="N35" s="38"/>
      <c r="P35" s="35" t="str">
        <f t="shared" si="1"/>
        <v>·</v>
      </c>
      <c r="Q35" s="36"/>
      <c r="R35" s="37"/>
      <c r="S35" s="53"/>
      <c r="T35" s="53"/>
      <c r="U35" s="53"/>
      <c r="V35" s="38"/>
      <c r="W35" s="38"/>
      <c r="Y35" s="54"/>
      <c r="Z35" s="54"/>
      <c r="AA35" s="54"/>
    </row>
    <row r="36" spans="1:27" x14ac:dyDescent="0.25">
      <c r="A36" s="18"/>
      <c r="B36" s="18" t="s">
        <v>183</v>
      </c>
      <c r="C36" s="19" t="s">
        <v>310</v>
      </c>
      <c r="D36" s="18">
        <v>757691</v>
      </c>
      <c r="E36" s="19">
        <v>10</v>
      </c>
      <c r="G36" s="21" t="str">
        <f t="shared" ref="G36:G67" si="2">IF(ISBLANK(I36),"·",I36/D36)</f>
        <v>·</v>
      </c>
      <c r="H36" s="22"/>
      <c r="I36" s="23"/>
      <c r="J36" s="49"/>
      <c r="K36" s="49"/>
      <c r="L36" s="49"/>
      <c r="M36" s="24"/>
      <c r="N36" s="24"/>
      <c r="P36" s="21" t="str">
        <f t="shared" ref="P36:P67" si="3">IF(ISBLANK(R36),"·",R36/D36)</f>
        <v>·</v>
      </c>
      <c r="Q36" s="22"/>
      <c r="R36" s="23"/>
      <c r="S36" s="49"/>
      <c r="T36" s="49"/>
      <c r="U36" s="49"/>
      <c r="V36" s="24"/>
      <c r="W36" s="24"/>
      <c r="Y36" s="50" t="e">
        <f>bdRateExtend( I36:I39,J36:J39, R36:R39,S36:S39)</f>
        <v>#VALUE!</v>
      </c>
      <c r="Z36" s="50" t="e">
        <f>bdRateExtend( I36:I39,K36:K39, R36:R39,T36:T39)</f>
        <v>#VALUE!</v>
      </c>
      <c r="AA36" s="50" t="e">
        <f>bdRateExtend( I36:I39,L36:L39, R36:R39,U36:U39)</f>
        <v>#VALUE!</v>
      </c>
    </row>
    <row r="37" spans="1:27" outlineLevel="1" x14ac:dyDescent="0.25">
      <c r="A37" s="25"/>
      <c r="B37" s="25"/>
      <c r="C37" s="26" t="s">
        <v>311</v>
      </c>
      <c r="D37" s="25">
        <v>757691</v>
      </c>
      <c r="E37" s="26">
        <v>10</v>
      </c>
      <c r="G37" s="28" t="str">
        <f t="shared" si="2"/>
        <v>·</v>
      </c>
      <c r="H37" s="29"/>
      <c r="I37" s="30"/>
      <c r="J37" s="51"/>
      <c r="K37" s="51"/>
      <c r="L37" s="51"/>
      <c r="M37" s="31"/>
      <c r="N37" s="31"/>
      <c r="P37" s="28" t="str">
        <f t="shared" si="3"/>
        <v>·</v>
      </c>
      <c r="Q37" s="29"/>
      <c r="R37" s="30"/>
      <c r="S37" s="51"/>
      <c r="T37" s="51"/>
      <c r="U37" s="51"/>
      <c r="V37" s="31"/>
      <c r="W37" s="31"/>
      <c r="Y37" s="52"/>
      <c r="Z37" s="52"/>
      <c r="AA37" s="52"/>
    </row>
    <row r="38" spans="1:27" outlineLevel="1" x14ac:dyDescent="0.25">
      <c r="A38" s="18"/>
      <c r="B38" s="18"/>
      <c r="C38" s="19" t="s">
        <v>312</v>
      </c>
      <c r="D38" s="18">
        <v>757691</v>
      </c>
      <c r="E38" s="19">
        <v>10</v>
      </c>
      <c r="G38" s="21" t="str">
        <f t="shared" si="2"/>
        <v>·</v>
      </c>
      <c r="H38" s="22"/>
      <c r="I38" s="23"/>
      <c r="J38" s="49"/>
      <c r="K38" s="49"/>
      <c r="L38" s="49"/>
      <c r="M38" s="24"/>
      <c r="N38" s="24"/>
      <c r="P38" s="21" t="str">
        <f t="shared" si="3"/>
        <v>·</v>
      </c>
      <c r="Q38" s="22"/>
      <c r="R38" s="23"/>
      <c r="S38" s="49"/>
      <c r="T38" s="49"/>
      <c r="U38" s="49"/>
      <c r="V38" s="24"/>
      <c r="W38" s="24"/>
      <c r="Y38" s="50"/>
      <c r="Z38" s="50"/>
      <c r="AA38" s="50"/>
    </row>
    <row r="39" spans="1:27" outlineLevel="1" x14ac:dyDescent="0.25">
      <c r="A39" s="25"/>
      <c r="B39" s="32"/>
      <c r="C39" s="33" t="s">
        <v>313</v>
      </c>
      <c r="D39" s="32">
        <v>757691</v>
      </c>
      <c r="E39" s="33">
        <v>10</v>
      </c>
      <c r="G39" s="35" t="str">
        <f t="shared" si="2"/>
        <v>·</v>
      </c>
      <c r="H39" s="36"/>
      <c r="I39" s="37"/>
      <c r="J39" s="53"/>
      <c r="K39" s="53"/>
      <c r="L39" s="53"/>
      <c r="M39" s="38"/>
      <c r="N39" s="38"/>
      <c r="P39" s="35" t="str">
        <f t="shared" si="3"/>
        <v>·</v>
      </c>
      <c r="Q39" s="36"/>
      <c r="R39" s="37"/>
      <c r="S39" s="53"/>
      <c r="T39" s="53"/>
      <c r="U39" s="53"/>
      <c r="V39" s="38"/>
      <c r="W39" s="38"/>
      <c r="Y39" s="54"/>
      <c r="Z39" s="54"/>
      <c r="AA39" s="54"/>
    </row>
    <row r="40" spans="1:27" x14ac:dyDescent="0.25">
      <c r="A40" s="18"/>
      <c r="B40" s="18" t="s">
        <v>186</v>
      </c>
      <c r="C40" s="19" t="s">
        <v>310</v>
      </c>
      <c r="D40" s="18">
        <v>1089091</v>
      </c>
      <c r="E40" s="19">
        <v>10</v>
      </c>
      <c r="G40" s="21" t="str">
        <f t="shared" si="2"/>
        <v>·</v>
      </c>
      <c r="H40" s="22"/>
      <c r="I40" s="23"/>
      <c r="J40" s="49"/>
      <c r="K40" s="49"/>
      <c r="L40" s="49"/>
      <c r="M40" s="24"/>
      <c r="N40" s="24"/>
      <c r="P40" s="21" t="str">
        <f t="shared" si="3"/>
        <v>·</v>
      </c>
      <c r="Q40" s="22"/>
      <c r="R40" s="23"/>
      <c r="S40" s="49"/>
      <c r="T40" s="49"/>
      <c r="U40" s="49"/>
      <c r="V40" s="24"/>
      <c r="W40" s="24"/>
      <c r="Y40" s="50" t="e">
        <f>bdRateExtend( I40:I43,J40:J43, R40:R43,S40:S43)</f>
        <v>#VALUE!</v>
      </c>
      <c r="Z40" s="50" t="e">
        <f>bdRateExtend( I40:I43,K40:K43, R40:R43,T40:T43)</f>
        <v>#VALUE!</v>
      </c>
      <c r="AA40" s="50" t="e">
        <f>bdRateExtend( I40:I43,L40:L43, R40:R43,U40:U43)</f>
        <v>#VALUE!</v>
      </c>
    </row>
    <row r="41" spans="1:27" outlineLevel="1" x14ac:dyDescent="0.25">
      <c r="A41" s="25"/>
      <c r="B41" s="25"/>
      <c r="C41" s="26" t="s">
        <v>311</v>
      </c>
      <c r="D41" s="25">
        <v>1089091</v>
      </c>
      <c r="E41" s="26">
        <v>10</v>
      </c>
      <c r="G41" s="28" t="str">
        <f t="shared" si="2"/>
        <v>·</v>
      </c>
      <c r="H41" s="29"/>
      <c r="I41" s="30"/>
      <c r="J41" s="51"/>
      <c r="K41" s="51"/>
      <c r="L41" s="51"/>
      <c r="M41" s="31"/>
      <c r="N41" s="31"/>
      <c r="P41" s="28" t="str">
        <f t="shared" si="3"/>
        <v>·</v>
      </c>
      <c r="Q41" s="29"/>
      <c r="R41" s="30"/>
      <c r="S41" s="51"/>
      <c r="T41" s="51"/>
      <c r="U41" s="51"/>
      <c r="V41" s="31"/>
      <c r="W41" s="31"/>
      <c r="Y41" s="52"/>
      <c r="Z41" s="52"/>
      <c r="AA41" s="52"/>
    </row>
    <row r="42" spans="1:27" outlineLevel="1" x14ac:dyDescent="0.25">
      <c r="A42" s="18"/>
      <c r="B42" s="18"/>
      <c r="C42" s="19" t="s">
        <v>312</v>
      </c>
      <c r="D42" s="18">
        <v>1089091</v>
      </c>
      <c r="E42" s="19">
        <v>10</v>
      </c>
      <c r="G42" s="21" t="str">
        <f t="shared" si="2"/>
        <v>·</v>
      </c>
      <c r="H42" s="22"/>
      <c r="I42" s="23"/>
      <c r="J42" s="49"/>
      <c r="K42" s="49"/>
      <c r="L42" s="49"/>
      <c r="M42" s="24"/>
      <c r="N42" s="24"/>
      <c r="P42" s="21" t="str">
        <f t="shared" si="3"/>
        <v>·</v>
      </c>
      <c r="Q42" s="22"/>
      <c r="R42" s="23"/>
      <c r="S42" s="49"/>
      <c r="T42" s="49"/>
      <c r="U42" s="49"/>
      <c r="V42" s="24"/>
      <c r="W42" s="24"/>
      <c r="Y42" s="50"/>
      <c r="Z42" s="50"/>
      <c r="AA42" s="50"/>
    </row>
    <row r="43" spans="1:27" outlineLevel="1" x14ac:dyDescent="0.25">
      <c r="A43" s="25"/>
      <c r="B43" s="32"/>
      <c r="C43" s="33" t="s">
        <v>313</v>
      </c>
      <c r="D43" s="32">
        <v>1089091</v>
      </c>
      <c r="E43" s="33">
        <v>10</v>
      </c>
      <c r="G43" s="35" t="str">
        <f t="shared" si="2"/>
        <v>·</v>
      </c>
      <c r="H43" s="36"/>
      <c r="I43" s="37"/>
      <c r="J43" s="53"/>
      <c r="K43" s="53"/>
      <c r="L43" s="53"/>
      <c r="M43" s="38"/>
      <c r="N43" s="38"/>
      <c r="P43" s="35" t="str">
        <f t="shared" si="3"/>
        <v>·</v>
      </c>
      <c r="Q43" s="36"/>
      <c r="R43" s="37"/>
      <c r="S43" s="53"/>
      <c r="T43" s="53"/>
      <c r="U43" s="53"/>
      <c r="V43" s="38"/>
      <c r="W43" s="38"/>
      <c r="Y43" s="54"/>
      <c r="Z43" s="54"/>
      <c r="AA43" s="54"/>
    </row>
    <row r="44" spans="1:27" x14ac:dyDescent="0.25">
      <c r="A44" s="18"/>
      <c r="B44" s="18" t="s">
        <v>195</v>
      </c>
      <c r="C44" s="19" t="s">
        <v>310</v>
      </c>
      <c r="D44" s="18">
        <v>1995189</v>
      </c>
      <c r="E44" s="19">
        <v>13</v>
      </c>
      <c r="G44" s="21" t="str">
        <f t="shared" si="2"/>
        <v>·</v>
      </c>
      <c r="H44" s="22"/>
      <c r="I44" s="23"/>
      <c r="J44" s="49"/>
      <c r="K44" s="49"/>
      <c r="L44" s="49"/>
      <c r="M44" s="24"/>
      <c r="N44" s="24"/>
      <c r="P44" s="21" t="str">
        <f t="shared" si="3"/>
        <v>·</v>
      </c>
      <c r="Q44" s="22"/>
      <c r="R44" s="23"/>
      <c r="S44" s="49"/>
      <c r="T44" s="49"/>
      <c r="U44" s="49"/>
      <c r="V44" s="24"/>
      <c r="W44" s="24"/>
      <c r="Y44" s="50" t="e">
        <f>bdRateExtend( I44:I47,J44:J47, R44:R47,S44:S47)</f>
        <v>#VALUE!</v>
      </c>
      <c r="Z44" s="50" t="e">
        <f>bdRateExtend( I44:I47,K44:K47, R44:R47,T44:T47)</f>
        <v>#VALUE!</v>
      </c>
      <c r="AA44" s="50" t="e">
        <f>bdRateExtend( I44:I47,L44:L47, R44:R47,U44:U47)</f>
        <v>#VALUE!</v>
      </c>
    </row>
    <row r="45" spans="1:27" outlineLevel="1" x14ac:dyDescent="0.25">
      <c r="A45" s="25"/>
      <c r="B45" s="25"/>
      <c r="C45" s="26" t="s">
        <v>311</v>
      </c>
      <c r="D45" s="25">
        <v>1995189</v>
      </c>
      <c r="E45" s="26">
        <v>13</v>
      </c>
      <c r="G45" s="28" t="str">
        <f t="shared" si="2"/>
        <v>·</v>
      </c>
      <c r="H45" s="29"/>
      <c r="I45" s="30"/>
      <c r="J45" s="51"/>
      <c r="K45" s="51"/>
      <c r="L45" s="51"/>
      <c r="M45" s="31"/>
      <c r="N45" s="31"/>
      <c r="P45" s="28" t="str">
        <f t="shared" si="3"/>
        <v>·</v>
      </c>
      <c r="Q45" s="29"/>
      <c r="R45" s="30"/>
      <c r="S45" s="51"/>
      <c r="T45" s="51"/>
      <c r="U45" s="51"/>
      <c r="V45" s="31"/>
      <c r="W45" s="31"/>
      <c r="Y45" s="52"/>
      <c r="Z45" s="52"/>
      <c r="AA45" s="52"/>
    </row>
    <row r="46" spans="1:27" outlineLevel="1" x14ac:dyDescent="0.25">
      <c r="A46" s="18"/>
      <c r="B46" s="18"/>
      <c r="C46" s="19" t="s">
        <v>312</v>
      </c>
      <c r="D46" s="18">
        <v>1995189</v>
      </c>
      <c r="E46" s="19">
        <v>13</v>
      </c>
      <c r="G46" s="21" t="str">
        <f t="shared" si="2"/>
        <v>·</v>
      </c>
      <c r="H46" s="22"/>
      <c r="I46" s="23"/>
      <c r="J46" s="49"/>
      <c r="K46" s="49"/>
      <c r="L46" s="49"/>
      <c r="M46" s="24"/>
      <c r="N46" s="24"/>
      <c r="P46" s="21" t="str">
        <f t="shared" si="3"/>
        <v>·</v>
      </c>
      <c r="Q46" s="22"/>
      <c r="R46" s="23"/>
      <c r="S46" s="49"/>
      <c r="T46" s="49"/>
      <c r="U46" s="49"/>
      <c r="V46" s="24"/>
      <c r="W46" s="24"/>
      <c r="Y46" s="50"/>
      <c r="Z46" s="50"/>
      <c r="AA46" s="50"/>
    </row>
    <row r="47" spans="1:27" outlineLevel="1" x14ac:dyDescent="0.25">
      <c r="A47" s="32"/>
      <c r="B47" s="32"/>
      <c r="C47" s="33" t="s">
        <v>313</v>
      </c>
      <c r="D47" s="32">
        <v>1995189</v>
      </c>
      <c r="E47" s="33">
        <v>13</v>
      </c>
      <c r="G47" s="35" t="str">
        <f t="shared" si="2"/>
        <v>·</v>
      </c>
      <c r="H47" s="36"/>
      <c r="I47" s="37"/>
      <c r="J47" s="53"/>
      <c r="K47" s="53"/>
      <c r="L47" s="53"/>
      <c r="M47" s="38"/>
      <c r="N47" s="38"/>
      <c r="P47" s="35" t="str">
        <f t="shared" si="3"/>
        <v>·</v>
      </c>
      <c r="Q47" s="36"/>
      <c r="R47" s="37"/>
      <c r="S47" s="53"/>
      <c r="T47" s="53"/>
      <c r="U47" s="53"/>
      <c r="V47" s="38"/>
      <c r="W47" s="38"/>
      <c r="Y47" s="54"/>
      <c r="Z47" s="54"/>
      <c r="AA47" s="54"/>
    </row>
    <row r="48" spans="1:27" x14ac:dyDescent="0.25">
      <c r="A48" s="18" t="s">
        <v>348</v>
      </c>
      <c r="B48" s="18" t="s">
        <v>202</v>
      </c>
      <c r="C48" s="19" t="s">
        <v>310</v>
      </c>
      <c r="D48" s="18">
        <v>13903516</v>
      </c>
      <c r="E48" s="19">
        <v>12</v>
      </c>
      <c r="G48" s="21" t="str">
        <f t="shared" si="2"/>
        <v>·</v>
      </c>
      <c r="H48" s="22"/>
      <c r="I48" s="23"/>
      <c r="J48" s="49"/>
      <c r="K48" s="49"/>
      <c r="L48" s="49"/>
      <c r="M48" s="24"/>
      <c r="N48" s="24"/>
      <c r="P48" s="21" t="str">
        <f t="shared" si="3"/>
        <v>·</v>
      </c>
      <c r="Q48" s="22"/>
      <c r="R48" s="23"/>
      <c r="S48" s="49"/>
      <c r="T48" s="49"/>
      <c r="U48" s="49"/>
      <c r="V48" s="24"/>
      <c r="W48" s="24"/>
      <c r="Y48" s="50" t="e">
        <f>bdRateExtend( I48:I51,J48:J51, R48:R51,S48:S51)</f>
        <v>#VALUE!</v>
      </c>
      <c r="Z48" s="50" t="e">
        <f>bdRateExtend( I48:I51,K48:K51, R48:R51,T48:T51)</f>
        <v>#VALUE!</v>
      </c>
      <c r="AA48" s="50" t="e">
        <f>bdRateExtend( I48:I51,L48:L51, R48:R51,U48:U51)</f>
        <v>#VALUE!</v>
      </c>
    </row>
    <row r="49" spans="1:27" outlineLevel="1" x14ac:dyDescent="0.25">
      <c r="A49" s="25"/>
      <c r="B49" s="25"/>
      <c r="C49" s="26" t="s">
        <v>311</v>
      </c>
      <c r="D49" s="25">
        <v>13903516</v>
      </c>
      <c r="E49" s="26">
        <v>12</v>
      </c>
      <c r="G49" s="28" t="str">
        <f t="shared" si="2"/>
        <v>·</v>
      </c>
      <c r="H49" s="29"/>
      <c r="I49" s="30"/>
      <c r="J49" s="51"/>
      <c r="K49" s="51"/>
      <c r="L49" s="51"/>
      <c r="M49" s="31"/>
      <c r="N49" s="31"/>
      <c r="P49" s="28" t="str">
        <f t="shared" si="3"/>
        <v>·</v>
      </c>
      <c r="Q49" s="29"/>
      <c r="R49" s="30"/>
      <c r="S49" s="51"/>
      <c r="T49" s="51"/>
      <c r="U49" s="51"/>
      <c r="V49" s="31"/>
      <c r="W49" s="31"/>
      <c r="Y49" s="52"/>
      <c r="Z49" s="52"/>
      <c r="AA49" s="52"/>
    </row>
    <row r="50" spans="1:27" outlineLevel="1" x14ac:dyDescent="0.25">
      <c r="A50" s="18"/>
      <c r="B50" s="18"/>
      <c r="C50" s="19" t="s">
        <v>312</v>
      </c>
      <c r="D50" s="18">
        <v>13903516</v>
      </c>
      <c r="E50" s="19">
        <v>12</v>
      </c>
      <c r="G50" s="21" t="str">
        <f t="shared" si="2"/>
        <v>·</v>
      </c>
      <c r="H50" s="22"/>
      <c r="I50" s="23"/>
      <c r="J50" s="49"/>
      <c r="K50" s="49"/>
      <c r="L50" s="49"/>
      <c r="M50" s="24"/>
      <c r="N50" s="24"/>
      <c r="P50" s="21" t="str">
        <f t="shared" si="3"/>
        <v>·</v>
      </c>
      <c r="Q50" s="22"/>
      <c r="R50" s="23"/>
      <c r="S50" s="49"/>
      <c r="T50" s="49"/>
      <c r="U50" s="49"/>
      <c r="V50" s="24"/>
      <c r="W50" s="24"/>
      <c r="Y50" s="50"/>
      <c r="Z50" s="50"/>
      <c r="AA50" s="50"/>
    </row>
    <row r="51" spans="1:27" outlineLevel="1" x14ac:dyDescent="0.25">
      <c r="A51" s="25"/>
      <c r="B51" s="32"/>
      <c r="C51" s="33" t="s">
        <v>313</v>
      </c>
      <c r="D51" s="32">
        <v>13903516</v>
      </c>
      <c r="E51" s="33">
        <v>12</v>
      </c>
      <c r="G51" s="35" t="str">
        <f t="shared" si="2"/>
        <v>·</v>
      </c>
      <c r="H51" s="36"/>
      <c r="I51" s="37"/>
      <c r="J51" s="53"/>
      <c r="K51" s="53"/>
      <c r="L51" s="53"/>
      <c r="M51" s="38"/>
      <c r="N51" s="38"/>
      <c r="P51" s="35" t="str">
        <f t="shared" si="3"/>
        <v>·</v>
      </c>
      <c r="Q51" s="36"/>
      <c r="R51" s="37"/>
      <c r="S51" s="53"/>
      <c r="T51" s="53"/>
      <c r="U51" s="53"/>
      <c r="V51" s="38"/>
      <c r="W51" s="38"/>
      <c r="Y51" s="54"/>
      <c r="Z51" s="54"/>
      <c r="AA51" s="54"/>
    </row>
    <row r="52" spans="1:27" x14ac:dyDescent="0.25">
      <c r="A52" s="18"/>
      <c r="B52" s="18" t="s">
        <v>208</v>
      </c>
      <c r="C52" s="19" t="s">
        <v>310</v>
      </c>
      <c r="D52" s="18">
        <v>4848745</v>
      </c>
      <c r="E52" s="19">
        <v>12</v>
      </c>
      <c r="G52" s="21" t="str">
        <f t="shared" si="2"/>
        <v>·</v>
      </c>
      <c r="H52" s="22"/>
      <c r="I52" s="23"/>
      <c r="J52" s="49"/>
      <c r="K52" s="49"/>
      <c r="L52" s="49"/>
      <c r="M52" s="24"/>
      <c r="N52" s="24"/>
      <c r="P52" s="21" t="str">
        <f t="shared" si="3"/>
        <v>·</v>
      </c>
      <c r="Q52" s="22"/>
      <c r="R52" s="23"/>
      <c r="S52" s="49"/>
      <c r="T52" s="49"/>
      <c r="U52" s="49"/>
      <c r="V52" s="24"/>
      <c r="W52" s="24"/>
      <c r="Y52" s="50" t="e">
        <f>bdRateExtend( I52:I55,J52:J55, R52:R55,S52:S55)</f>
        <v>#VALUE!</v>
      </c>
      <c r="Z52" s="50" t="e">
        <f>bdRateExtend( I52:I55,K52:K55, R52:R55,T52:T55)</f>
        <v>#VALUE!</v>
      </c>
      <c r="AA52" s="50" t="e">
        <f>bdRateExtend( I52:I55,L52:L55, R52:R55,U52:U55)</f>
        <v>#VALUE!</v>
      </c>
    </row>
    <row r="53" spans="1:27" outlineLevel="1" x14ac:dyDescent="0.25">
      <c r="A53" s="25"/>
      <c r="B53" s="25"/>
      <c r="C53" s="26" t="s">
        <v>311</v>
      </c>
      <c r="D53" s="25">
        <v>4848745</v>
      </c>
      <c r="E53" s="26">
        <v>12</v>
      </c>
      <c r="G53" s="28" t="str">
        <f t="shared" si="2"/>
        <v>·</v>
      </c>
      <c r="H53" s="29"/>
      <c r="I53" s="30"/>
      <c r="J53" s="51"/>
      <c r="K53" s="51"/>
      <c r="L53" s="51"/>
      <c r="M53" s="31"/>
      <c r="N53" s="31"/>
      <c r="P53" s="28" t="str">
        <f t="shared" si="3"/>
        <v>·</v>
      </c>
      <c r="Q53" s="29"/>
      <c r="R53" s="30"/>
      <c r="S53" s="51"/>
      <c r="T53" s="51"/>
      <c r="U53" s="51"/>
      <c r="V53" s="31"/>
      <c r="W53" s="31"/>
      <c r="Y53" s="52"/>
      <c r="Z53" s="52"/>
      <c r="AA53" s="52"/>
    </row>
    <row r="54" spans="1:27" outlineLevel="1" x14ac:dyDescent="0.25">
      <c r="A54" s="18"/>
      <c r="B54" s="18"/>
      <c r="C54" s="19" t="s">
        <v>312</v>
      </c>
      <c r="D54" s="18">
        <v>4848745</v>
      </c>
      <c r="E54" s="19">
        <v>12</v>
      </c>
      <c r="G54" s="21" t="str">
        <f t="shared" si="2"/>
        <v>·</v>
      </c>
      <c r="H54" s="22"/>
      <c r="I54" s="23"/>
      <c r="J54" s="49"/>
      <c r="K54" s="49"/>
      <c r="L54" s="49"/>
      <c r="M54" s="24"/>
      <c r="N54" s="24"/>
      <c r="P54" s="21" t="str">
        <f t="shared" si="3"/>
        <v>·</v>
      </c>
      <c r="Q54" s="22"/>
      <c r="R54" s="23"/>
      <c r="S54" s="49"/>
      <c r="T54" s="49"/>
      <c r="U54" s="49"/>
      <c r="V54" s="24"/>
      <c r="W54" s="24"/>
      <c r="Y54" s="50"/>
      <c r="Z54" s="50"/>
      <c r="AA54" s="50"/>
    </row>
    <row r="55" spans="1:27" outlineLevel="1" x14ac:dyDescent="0.25">
      <c r="A55" s="25"/>
      <c r="B55" s="32"/>
      <c r="C55" s="33" t="s">
        <v>313</v>
      </c>
      <c r="D55" s="32">
        <v>4848745</v>
      </c>
      <c r="E55" s="33">
        <v>12</v>
      </c>
      <c r="G55" s="35" t="str">
        <f t="shared" si="2"/>
        <v>·</v>
      </c>
      <c r="H55" s="36"/>
      <c r="I55" s="37"/>
      <c r="J55" s="53"/>
      <c r="K55" s="53"/>
      <c r="L55" s="53"/>
      <c r="M55" s="38"/>
      <c r="N55" s="38"/>
      <c r="P55" s="35" t="str">
        <f t="shared" si="3"/>
        <v>·</v>
      </c>
      <c r="Q55" s="36"/>
      <c r="R55" s="37"/>
      <c r="S55" s="53"/>
      <c r="T55" s="53"/>
      <c r="U55" s="53"/>
      <c r="V55" s="38"/>
      <c r="W55" s="38"/>
      <c r="Y55" s="54"/>
      <c r="Z55" s="54"/>
      <c r="AA55" s="54"/>
    </row>
    <row r="56" spans="1:27" collapsed="1" x14ac:dyDescent="0.25">
      <c r="A56" s="18"/>
      <c r="B56" s="18" t="s">
        <v>214</v>
      </c>
      <c r="C56" s="19" t="s">
        <v>310</v>
      </c>
      <c r="D56" s="18">
        <v>857966</v>
      </c>
      <c r="E56" s="19">
        <v>10</v>
      </c>
      <c r="G56" s="21" t="str">
        <f t="shared" si="2"/>
        <v>·</v>
      </c>
      <c r="H56" s="22"/>
      <c r="I56" s="23"/>
      <c r="J56" s="49"/>
      <c r="K56" s="49"/>
      <c r="L56" s="49"/>
      <c r="M56" s="24"/>
      <c r="N56" s="24"/>
      <c r="P56" s="21" t="str">
        <f t="shared" si="3"/>
        <v>·</v>
      </c>
      <c r="Q56" s="22"/>
      <c r="R56" s="23"/>
      <c r="S56" s="49"/>
      <c r="T56" s="49"/>
      <c r="U56" s="49"/>
      <c r="V56" s="24"/>
      <c r="W56" s="24"/>
      <c r="Y56" s="50" t="e">
        <f>bdRateExtend( I56:I59,J56:J59, R56:R59,S56:S59)</f>
        <v>#VALUE!</v>
      </c>
      <c r="Z56" s="50" t="e">
        <f>bdRateExtend( I56:I59,K56:K59, R56:R59,T56:T59)</f>
        <v>#VALUE!</v>
      </c>
      <c r="AA56" s="50" t="e">
        <f>bdRateExtend( I56:I59,L56:L59, R56:R59,U56:U59)</f>
        <v>#VALUE!</v>
      </c>
    </row>
    <row r="57" spans="1:27" outlineLevel="1" x14ac:dyDescent="0.25">
      <c r="A57" s="25"/>
      <c r="B57" s="25"/>
      <c r="C57" s="26" t="s">
        <v>311</v>
      </c>
      <c r="D57" s="25">
        <v>857966</v>
      </c>
      <c r="E57" s="26">
        <v>10</v>
      </c>
      <c r="G57" s="28" t="str">
        <f t="shared" si="2"/>
        <v>·</v>
      </c>
      <c r="H57" s="29"/>
      <c r="I57" s="30"/>
      <c r="J57" s="51"/>
      <c r="K57" s="51"/>
      <c r="L57" s="51"/>
      <c r="M57" s="31"/>
      <c r="N57" s="31"/>
      <c r="P57" s="28" t="str">
        <f t="shared" si="3"/>
        <v>·</v>
      </c>
      <c r="Q57" s="29"/>
      <c r="R57" s="30"/>
      <c r="S57" s="51"/>
      <c r="T57" s="51"/>
      <c r="U57" s="51"/>
      <c r="V57" s="31"/>
      <c r="W57" s="31"/>
      <c r="Y57" s="52"/>
      <c r="Z57" s="52"/>
      <c r="AA57" s="52"/>
    </row>
    <row r="58" spans="1:27" outlineLevel="1" x14ac:dyDescent="0.25">
      <c r="A58" s="18"/>
      <c r="B58" s="18"/>
      <c r="C58" s="19" t="s">
        <v>312</v>
      </c>
      <c r="D58" s="18">
        <v>857966</v>
      </c>
      <c r="E58" s="19">
        <v>10</v>
      </c>
      <c r="G58" s="21" t="str">
        <f t="shared" si="2"/>
        <v>·</v>
      </c>
      <c r="H58" s="22"/>
      <c r="I58" s="23"/>
      <c r="J58" s="49"/>
      <c r="K58" s="49"/>
      <c r="L58" s="49"/>
      <c r="M58" s="24"/>
      <c r="N58" s="24"/>
      <c r="P58" s="21" t="str">
        <f t="shared" si="3"/>
        <v>·</v>
      </c>
      <c r="Q58" s="22"/>
      <c r="R58" s="23"/>
      <c r="S58" s="49"/>
      <c r="T58" s="49"/>
      <c r="U58" s="49"/>
      <c r="V58" s="24"/>
      <c r="W58" s="24"/>
      <c r="Y58" s="50"/>
      <c r="Z58" s="50"/>
      <c r="AA58" s="50"/>
    </row>
    <row r="59" spans="1:27" outlineLevel="1" x14ac:dyDescent="0.25">
      <c r="A59" s="25"/>
      <c r="B59" s="32"/>
      <c r="C59" s="33" t="s">
        <v>313</v>
      </c>
      <c r="D59" s="32">
        <v>857966</v>
      </c>
      <c r="E59" s="33">
        <v>10</v>
      </c>
      <c r="G59" s="35" t="str">
        <f t="shared" si="2"/>
        <v>·</v>
      </c>
      <c r="H59" s="36"/>
      <c r="I59" s="37"/>
      <c r="J59" s="53"/>
      <c r="K59" s="53"/>
      <c r="L59" s="53"/>
      <c r="M59" s="38"/>
      <c r="N59" s="38"/>
      <c r="P59" s="35" t="str">
        <f t="shared" si="3"/>
        <v>·</v>
      </c>
      <c r="Q59" s="36"/>
      <c r="R59" s="37"/>
      <c r="S59" s="53"/>
      <c r="T59" s="53"/>
      <c r="U59" s="53"/>
      <c r="V59" s="38"/>
      <c r="W59" s="38"/>
      <c r="Y59" s="54"/>
      <c r="Z59" s="54"/>
      <c r="AA59" s="54"/>
    </row>
    <row r="60" spans="1:27" collapsed="1" x14ac:dyDescent="0.25">
      <c r="A60" s="18"/>
      <c r="B60" s="18" t="s">
        <v>223</v>
      </c>
      <c r="C60" s="19" t="s">
        <v>310</v>
      </c>
      <c r="D60" s="18">
        <v>1009132</v>
      </c>
      <c r="E60" s="19">
        <v>12</v>
      </c>
      <c r="G60" s="21" t="str">
        <f t="shared" si="2"/>
        <v>·</v>
      </c>
      <c r="H60" s="22"/>
      <c r="I60" s="23"/>
      <c r="J60" s="49"/>
      <c r="K60" s="49"/>
      <c r="L60" s="49"/>
      <c r="M60" s="24"/>
      <c r="N60" s="24"/>
      <c r="P60" s="21" t="str">
        <f t="shared" si="3"/>
        <v>·</v>
      </c>
      <c r="Q60" s="22"/>
      <c r="R60" s="23"/>
      <c r="S60" s="49"/>
      <c r="T60" s="49"/>
      <c r="U60" s="49"/>
      <c r="V60" s="24"/>
      <c r="W60" s="24"/>
      <c r="Y60" s="50" t="e">
        <f>bdRateExtend( I60:I63,J60:J63, R60:R63,S60:S63)</f>
        <v>#VALUE!</v>
      </c>
      <c r="Z60" s="50" t="e">
        <f>bdRateExtend( I60:I63,K60:K63, R60:R63,T60:T63)</f>
        <v>#VALUE!</v>
      </c>
      <c r="AA60" s="50" t="e">
        <f>bdRateExtend( I60:I63,L60:L63, R60:R63,U60:U63)</f>
        <v>#VALUE!</v>
      </c>
    </row>
    <row r="61" spans="1:27" outlineLevel="1" x14ac:dyDescent="0.25">
      <c r="A61" s="25"/>
      <c r="B61" s="25"/>
      <c r="C61" s="26" t="s">
        <v>311</v>
      </c>
      <c r="D61" s="25">
        <v>1009132</v>
      </c>
      <c r="E61" s="26">
        <v>12</v>
      </c>
      <c r="G61" s="28" t="str">
        <f t="shared" si="2"/>
        <v>·</v>
      </c>
      <c r="H61" s="29"/>
      <c r="I61" s="30"/>
      <c r="J61" s="51"/>
      <c r="K61" s="51"/>
      <c r="L61" s="51"/>
      <c r="M61" s="31"/>
      <c r="N61" s="31"/>
      <c r="P61" s="28" t="str">
        <f t="shared" si="3"/>
        <v>·</v>
      </c>
      <c r="Q61" s="29"/>
      <c r="R61" s="30"/>
      <c r="S61" s="51"/>
      <c r="T61" s="51"/>
      <c r="U61" s="51"/>
      <c r="V61" s="31"/>
      <c r="W61" s="31"/>
      <c r="Y61" s="52"/>
      <c r="Z61" s="52"/>
      <c r="AA61" s="52"/>
    </row>
    <row r="62" spans="1:27" outlineLevel="1" x14ac:dyDescent="0.25">
      <c r="A62" s="18"/>
      <c r="B62" s="18"/>
      <c r="C62" s="19" t="s">
        <v>312</v>
      </c>
      <c r="D62" s="18">
        <v>1009132</v>
      </c>
      <c r="E62" s="19">
        <v>12</v>
      </c>
      <c r="G62" s="21" t="str">
        <f t="shared" si="2"/>
        <v>·</v>
      </c>
      <c r="H62" s="22"/>
      <c r="I62" s="23"/>
      <c r="J62" s="49"/>
      <c r="K62" s="49"/>
      <c r="L62" s="49"/>
      <c r="M62" s="24"/>
      <c r="N62" s="24"/>
      <c r="P62" s="21" t="str">
        <f t="shared" si="3"/>
        <v>·</v>
      </c>
      <c r="Q62" s="22"/>
      <c r="R62" s="23"/>
      <c r="S62" s="49"/>
      <c r="T62" s="49"/>
      <c r="U62" s="49"/>
      <c r="V62" s="24"/>
      <c r="W62" s="24"/>
      <c r="Y62" s="50"/>
      <c r="Z62" s="50"/>
      <c r="AA62" s="50"/>
    </row>
    <row r="63" spans="1:27" outlineLevel="1" x14ac:dyDescent="0.25">
      <c r="A63" s="25"/>
      <c r="B63" s="32"/>
      <c r="C63" s="33" t="s">
        <v>313</v>
      </c>
      <c r="D63" s="32">
        <v>1009132</v>
      </c>
      <c r="E63" s="33">
        <v>12</v>
      </c>
      <c r="G63" s="35" t="str">
        <f t="shared" si="2"/>
        <v>·</v>
      </c>
      <c r="H63" s="36"/>
      <c r="I63" s="37"/>
      <c r="J63" s="53"/>
      <c r="K63" s="53"/>
      <c r="L63" s="53"/>
      <c r="M63" s="38"/>
      <c r="N63" s="38"/>
      <c r="P63" s="35" t="str">
        <f t="shared" si="3"/>
        <v>·</v>
      </c>
      <c r="Q63" s="36"/>
      <c r="R63" s="37"/>
      <c r="S63" s="53"/>
      <c r="T63" s="53"/>
      <c r="U63" s="53"/>
      <c r="V63" s="38"/>
      <c r="W63" s="38"/>
      <c r="Y63" s="54"/>
      <c r="Z63" s="54"/>
      <c r="AA63" s="54"/>
    </row>
    <row r="64" spans="1:27" collapsed="1" x14ac:dyDescent="0.25">
      <c r="A64" s="18"/>
      <c r="B64" s="18" t="s">
        <v>226</v>
      </c>
      <c r="C64" s="19" t="s">
        <v>310</v>
      </c>
      <c r="D64" s="18">
        <v>1010591</v>
      </c>
      <c r="E64" s="19">
        <v>20</v>
      </c>
      <c r="G64" s="21" t="str">
        <f t="shared" si="2"/>
        <v>·</v>
      </c>
      <c r="H64" s="22"/>
      <c r="I64" s="23"/>
      <c r="J64" s="49"/>
      <c r="K64" s="49"/>
      <c r="L64" s="49"/>
      <c r="M64" s="24"/>
      <c r="N64" s="24"/>
      <c r="P64" s="21" t="str">
        <f t="shared" si="3"/>
        <v>·</v>
      </c>
      <c r="Q64" s="22"/>
      <c r="R64" s="23"/>
      <c r="S64" s="49"/>
      <c r="T64" s="49"/>
      <c r="U64" s="49"/>
      <c r="V64" s="24"/>
      <c r="W64" s="24"/>
      <c r="Y64" s="50" t="e">
        <f>bdRateExtend( I64:I67,J64:J67, R64:R67,S64:S67)</f>
        <v>#VALUE!</v>
      </c>
      <c r="Z64" s="50" t="e">
        <f>bdRateExtend( I64:I67,K64:K67, R64:R67,T64:T67)</f>
        <v>#VALUE!</v>
      </c>
      <c r="AA64" s="50" t="e">
        <f>bdRateExtend( I64:I67,L64:L67, R64:R67,U64:U67)</f>
        <v>#VALUE!</v>
      </c>
    </row>
    <row r="65" spans="1:27" outlineLevel="1" x14ac:dyDescent="0.25">
      <c r="A65" s="25"/>
      <c r="B65" s="25"/>
      <c r="C65" s="26" t="s">
        <v>311</v>
      </c>
      <c r="D65" s="25">
        <v>1010591</v>
      </c>
      <c r="E65" s="26">
        <v>20</v>
      </c>
      <c r="G65" s="28" t="str">
        <f t="shared" si="2"/>
        <v>·</v>
      </c>
      <c r="H65" s="29"/>
      <c r="I65" s="30"/>
      <c r="J65" s="51"/>
      <c r="K65" s="51"/>
      <c r="L65" s="51"/>
      <c r="M65" s="31"/>
      <c r="N65" s="31"/>
      <c r="P65" s="28" t="str">
        <f t="shared" si="3"/>
        <v>·</v>
      </c>
      <c r="Q65" s="29"/>
      <c r="R65" s="30"/>
      <c r="S65" s="51"/>
      <c r="T65" s="51"/>
      <c r="U65" s="51"/>
      <c r="V65" s="31"/>
      <c r="W65" s="31"/>
      <c r="Y65" s="52"/>
      <c r="Z65" s="52"/>
      <c r="AA65" s="52"/>
    </row>
    <row r="66" spans="1:27" outlineLevel="1" x14ac:dyDescent="0.25">
      <c r="A66" s="18"/>
      <c r="B66" s="18"/>
      <c r="C66" s="19" t="s">
        <v>312</v>
      </c>
      <c r="D66" s="18">
        <v>1010591</v>
      </c>
      <c r="E66" s="19">
        <v>20</v>
      </c>
      <c r="G66" s="21" t="str">
        <f t="shared" si="2"/>
        <v>·</v>
      </c>
      <c r="H66" s="22"/>
      <c r="I66" s="23"/>
      <c r="J66" s="49"/>
      <c r="K66" s="49"/>
      <c r="L66" s="49"/>
      <c r="M66" s="24"/>
      <c r="N66" s="24"/>
      <c r="P66" s="21" t="str">
        <f t="shared" si="3"/>
        <v>·</v>
      </c>
      <c r="Q66" s="22"/>
      <c r="R66" s="23"/>
      <c r="S66" s="49"/>
      <c r="T66" s="49"/>
      <c r="U66" s="49"/>
      <c r="V66" s="24"/>
      <c r="W66" s="24"/>
      <c r="Y66" s="50"/>
      <c r="Z66" s="50"/>
      <c r="AA66" s="50"/>
    </row>
    <row r="67" spans="1:27" outlineLevel="1" x14ac:dyDescent="0.25">
      <c r="A67" s="32"/>
      <c r="B67" s="32"/>
      <c r="C67" s="33" t="s">
        <v>313</v>
      </c>
      <c r="D67" s="32">
        <v>1010591</v>
      </c>
      <c r="E67" s="33">
        <v>20</v>
      </c>
      <c r="G67" s="35" t="str">
        <f t="shared" si="2"/>
        <v>·</v>
      </c>
      <c r="H67" s="36"/>
      <c r="I67" s="37"/>
      <c r="J67" s="53"/>
      <c r="K67" s="53"/>
      <c r="L67" s="53"/>
      <c r="M67" s="38"/>
      <c r="N67" s="38"/>
      <c r="P67" s="35" t="str">
        <f t="shared" si="3"/>
        <v>·</v>
      </c>
      <c r="Q67" s="36"/>
      <c r="R67" s="37"/>
      <c r="S67" s="53"/>
      <c r="T67" s="53"/>
      <c r="U67" s="53"/>
      <c r="V67" s="38"/>
      <c r="W67" s="38"/>
      <c r="Y67" s="54"/>
      <c r="Z67" s="54"/>
      <c r="AA67" s="54"/>
    </row>
    <row r="68" spans="1:27" x14ac:dyDescent="0.25">
      <c r="B68" s="46" t="s">
        <v>349</v>
      </c>
      <c r="Y68" s="11" t="e">
        <f>AVERAGE(Y4:Y47)</f>
        <v>#VALUE!</v>
      </c>
      <c r="Z68" s="11" t="e">
        <f>AVERAGE(Z4:Z47)</f>
        <v>#VALUE!</v>
      </c>
      <c r="AA68" s="11" t="e">
        <f>AVERAGE(AA4:AA47)</f>
        <v>#VALUE!</v>
      </c>
    </row>
    <row r="69" spans="1:27" x14ac:dyDescent="0.25">
      <c r="B69" s="46" t="s">
        <v>350</v>
      </c>
      <c r="Y69" s="11" t="e">
        <f>AVERAGE(Y48:Y67)</f>
        <v>#VALUE!</v>
      </c>
      <c r="Z69" s="11" t="e">
        <f>AVERAGE(Z48:Z67)</f>
        <v>#VALUE!</v>
      </c>
      <c r="AA69" s="11" t="e">
        <f>AVERAGE(AA48:AA67)</f>
        <v>#VALUE!</v>
      </c>
    </row>
    <row r="70" spans="1:27" x14ac:dyDescent="0.25">
      <c r="B70" s="46" t="s">
        <v>258</v>
      </c>
      <c r="Y70" s="11" t="e">
        <f>AVERAGE(Y4:Y47,Y48:Y67)</f>
        <v>#VALUE!</v>
      </c>
      <c r="Z70" s="11" t="e">
        <f>AVERAGE(Z4:Z47,Z48:Z67)</f>
        <v>#VALUE!</v>
      </c>
      <c r="AA70" s="11" t="e">
        <f>AVERAGE(AA4:AA47,AA48:AA67)</f>
        <v>#VALUE!</v>
      </c>
    </row>
    <row r="71" spans="1:27" hidden="1" outlineLevel="2" x14ac:dyDescent="0.25">
      <c r="A71" s="46" t="s">
        <v>259</v>
      </c>
      <c r="B71" s="46" t="s">
        <v>260</v>
      </c>
      <c r="M71" s="48">
        <f>SUM(M4:M47,M48:M67)</f>
        <v>0</v>
      </c>
      <c r="N71" s="48">
        <f>SUM(N4:N47,N48:N67)</f>
        <v>0</v>
      </c>
      <c r="V71" s="48">
        <f>SUM(V4:V47,V48:V67)</f>
        <v>0</v>
      </c>
      <c r="W71" s="48">
        <f>SUM(W4:W47,W48:W67)</f>
        <v>0</v>
      </c>
    </row>
    <row r="72" spans="1:27" hidden="1" outlineLevel="2" x14ac:dyDescent="0.25">
      <c r="B72" s="46" t="s">
        <v>261</v>
      </c>
      <c r="V72" s="6" t="e">
        <f>V71/M71</f>
        <v>#DIV/0!</v>
      </c>
      <c r="W72" s="6" t="e">
        <f>W71/N71</f>
        <v>#DIV/0!</v>
      </c>
    </row>
    <row r="73" spans="1:27" hidden="1" outlineLevel="2" x14ac:dyDescent="0.25">
      <c r="B73" s="46" t="s">
        <v>262</v>
      </c>
      <c r="M73" s="48" t="e">
        <f>GEOMEAN(M4:M47,M48:M67)</f>
        <v>#NUM!</v>
      </c>
      <c r="N73" s="48" t="e">
        <f>GEOMEAN(N4:N47,N48:N67)</f>
        <v>#NUM!</v>
      </c>
      <c r="V73" s="48" t="e">
        <f>GEOMEAN(V4:V47,V48:V67)</f>
        <v>#NUM!</v>
      </c>
      <c r="W73" s="48" t="e">
        <f>GEOMEAN(W4:W47,W48:W67)</f>
        <v>#NUM!</v>
      </c>
    </row>
    <row r="74" spans="1:27" outlineLevel="2" collapsed="1" x14ac:dyDescent="0.25">
      <c r="B74" s="46" t="s">
        <v>263</v>
      </c>
      <c r="V74" s="6" t="e">
        <f>V73/M73</f>
        <v>#NUM!</v>
      </c>
      <c r="W74" s="6" t="e">
        <f>W73/N73</f>
        <v>#NUM!</v>
      </c>
    </row>
  </sheetData>
  <mergeCells count="21">
    <mergeCell ref="V2:V3"/>
    <mergeCell ref="W2:W3"/>
    <mergeCell ref="Y2:AA2"/>
    <mergeCell ref="A1:E1"/>
    <mergeCell ref="G1:N1"/>
    <mergeCell ref="P1:W1"/>
    <mergeCell ref="N2:N3"/>
    <mergeCell ref="P2:P3"/>
    <mergeCell ref="Q2:Q3"/>
    <mergeCell ref="R2:R3"/>
    <mergeCell ref="S2:U2"/>
    <mergeCell ref="G2:G3"/>
    <mergeCell ref="H2:H3"/>
    <mergeCell ref="I2:I3"/>
    <mergeCell ref="J2:L2"/>
    <mergeCell ref="M2:M3"/>
    <mergeCell ref="A2:A3"/>
    <mergeCell ref="B2:B3"/>
    <mergeCell ref="C2:C3"/>
    <mergeCell ref="D2:D3"/>
    <mergeCell ref="E2:E3"/>
  </mergeCells>
  <conditionalFormatting sqref="AA4 AA5 AA6 AA7 AA8 AA9 AA10 AA11 AA12 AA13 AA14 AA15 AA16 AA17 AA18 AA19 AA20 AA21 AA22 AA23 AA24 AA25 AA26 AA27 AA28 AA29 AA30 AA31 AA32 AA33 AA34 AA35 AA36 AA37 AA38 AA39 AA40 AA41 AA42 AA43 AA44 AA45 AA46 AA47 AA48 AA49 AA50 AA51 AA52 AA53 AA54 AA55 AA56 AA57 AA58 AA59 AA60 AA61 AA62 AA63 AA64 AA65 AA66 AA67 AA68 AA69 AA70">
    <cfRule type="cellIs" dxfId="133" priority="3" operator="greaterThanOrEqual">
      <formula>0.03</formula>
    </cfRule>
    <cfRule type="cellIs" dxfId="132" priority="4" operator="lessThanOrEqual">
      <formula>-0.03</formula>
    </cfRule>
  </conditionalFormatting>
  <conditionalFormatting sqref="Y4 Y5 Y6 Y7 Y8 Y9 Y10 Y11 Y12 Y13 Y14 Y15 Y16 Y17 Y18 Y19 Y20 Y21 Y22 Y23 Y24 Y25 Y26 Y27 Y28 Y29 Y30 Y31 Y32 Y33 Y34 Y35 Y36 Y37 Y38 Y39 Y40 Y41 Y42 Y43 Y44 Y45 Y46 Y47 Y48 Y49 Y50 Y51 Y52 Y53 Y54 Y55 Y56 Y57 Y58 Y59 Y60 Y61 Y62 Y63 Y64 Y65 Y66 Y67 Y68 Y69 Y70">
    <cfRule type="cellIs" dxfId="131" priority="5" operator="greaterThanOrEqual">
      <formula>0.03</formula>
    </cfRule>
    <cfRule type="cellIs" dxfId="130" priority="6" operator="lessThanOrEqual">
      <formula>-0.03</formula>
    </cfRule>
  </conditionalFormatting>
  <conditionalFormatting sqref="Z4 Z5 Z6 Z7 Z8 Z9 Z10 Z11 Z12 Z13 Z14 Z15 Z16 Z17 Z18 Z19 Z20 Z21 Z22 Z23 Z24 Z25 Z26 Z27 Z28 Z29 Z30 Z31 Z32 Z33 Z34 Z35 Z36 Z37 Z38 Z39 Z40 Z41 Z42 Z43 Z44 Z45 Z46 Z47 Z48 Z49 Z50 Z51 Z52 Z53 Z54 Z55 Z56 Z57 Z58 Z59 Z60 Z61 Z62 Z63 Z64 Z65 Z66 Z67 Z68 Z69 Z70">
    <cfRule type="cellIs" dxfId="129" priority="1" operator="greaterThanOrEqual">
      <formula>0.03</formula>
    </cfRule>
    <cfRule type="cellIs" dxfId="128" priority="2" operator="lessThanOrEqual">
      <formula>-0.03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J233"/>
  <sheetViews>
    <sheetView workbookViewId="0">
      <pane xSplit="2" topLeftCell="C1" activePane="topRight" state="frozen"/>
      <selection pane="topRight" sqref="A1:E1"/>
    </sheetView>
  </sheetViews>
  <sheetFormatPr defaultRowHeight="15" outlineLevelRow="2" x14ac:dyDescent="0.25"/>
  <cols>
    <col min="2" max="2" width="24.7109375" customWidth="1"/>
    <col min="4" max="5" width="10.7109375" customWidth="1"/>
    <col min="6" max="6" width="1.7109375" customWidth="1"/>
    <col min="8" max="10" width="10.7109375" customWidth="1"/>
    <col min="11" max="11" width="12.7109375" customWidth="1"/>
    <col min="12" max="12" width="10.7109375" customWidth="1"/>
    <col min="13" max="15" width="12.7109375" customWidth="1"/>
    <col min="16" max="23" width="11.7109375" customWidth="1"/>
    <col min="26" max="26" width="1.7109375" customWidth="1"/>
    <col min="28" max="30" width="10.7109375" customWidth="1"/>
    <col min="31" max="31" width="12.7109375" customWidth="1"/>
    <col min="32" max="32" width="10.7109375" customWidth="1"/>
    <col min="33" max="35" width="12.7109375" customWidth="1"/>
    <col min="36" max="43" width="11.7109375" customWidth="1"/>
    <col min="46" max="46" width="1.7109375" customWidth="1"/>
    <col min="49" max="49" width="1.7109375" customWidth="1"/>
    <col min="52" max="54" width="11.7109375" customWidth="1"/>
    <col min="55" max="55" width="1.7109375" customWidth="1"/>
    <col min="56" max="58" width="11.7109375" customWidth="1"/>
    <col min="59" max="59" width="1.7109375" customWidth="1"/>
    <col min="60" max="62" width="11.7109375" customWidth="1"/>
  </cols>
  <sheetData>
    <row r="1" spans="1:62" x14ac:dyDescent="0.25">
      <c r="A1" s="76" t="s">
        <v>423</v>
      </c>
      <c r="B1" s="76"/>
      <c r="C1" s="76"/>
      <c r="D1" s="76"/>
      <c r="E1" s="76"/>
      <c r="G1" s="65" t="s">
        <v>2</v>
      </c>
      <c r="H1" s="65"/>
      <c r="I1" s="65"/>
      <c r="J1" s="65"/>
      <c r="K1" s="65"/>
      <c r="L1" s="65"/>
      <c r="M1" s="65"/>
      <c r="N1" s="65"/>
      <c r="O1" s="65"/>
      <c r="P1" s="65"/>
      <c r="Q1" s="65"/>
      <c r="R1" s="65"/>
      <c r="S1" s="65"/>
      <c r="T1" s="65"/>
      <c r="U1" s="65"/>
      <c r="V1" s="65"/>
      <c r="W1" s="65"/>
      <c r="X1" s="65"/>
      <c r="Y1" s="65"/>
      <c r="AA1" s="66" t="s">
        <v>3</v>
      </c>
      <c r="AB1" s="66"/>
      <c r="AC1" s="66"/>
      <c r="AD1" s="66"/>
      <c r="AE1" s="66"/>
      <c r="AF1" s="66"/>
      <c r="AG1" s="66"/>
      <c r="AH1" s="66"/>
      <c r="AI1" s="66"/>
      <c r="AJ1" s="66"/>
      <c r="AK1" s="66"/>
      <c r="AL1" s="66"/>
      <c r="AM1" s="66"/>
      <c r="AN1" s="66"/>
      <c r="AO1" s="66"/>
      <c r="AP1" s="66"/>
      <c r="AQ1" s="66"/>
      <c r="AR1" s="66"/>
      <c r="AS1" s="66"/>
    </row>
    <row r="2" spans="1:62" ht="30" customHeight="1" x14ac:dyDescent="0.25">
      <c r="A2" s="75" t="s">
        <v>97</v>
      </c>
      <c r="B2" s="73" t="s">
        <v>99</v>
      </c>
      <c r="C2" s="75" t="s">
        <v>275</v>
      </c>
      <c r="D2" s="73" t="s">
        <v>101</v>
      </c>
      <c r="E2" s="75" t="s">
        <v>103</v>
      </c>
      <c r="G2" s="73" t="s">
        <v>105</v>
      </c>
      <c r="H2" s="74" t="s">
        <v>107</v>
      </c>
      <c r="I2" s="74"/>
      <c r="J2" s="74"/>
      <c r="K2" s="73" t="s">
        <v>112</v>
      </c>
      <c r="L2" s="75" t="s">
        <v>26</v>
      </c>
      <c r="M2" s="77" t="s">
        <v>115</v>
      </c>
      <c r="N2" s="77"/>
      <c r="O2" s="77"/>
      <c r="P2" s="74" t="s">
        <v>374</v>
      </c>
      <c r="Q2" s="74"/>
      <c r="R2" s="77" t="s">
        <v>284</v>
      </c>
      <c r="S2" s="77"/>
      <c r="T2" s="77"/>
      <c r="U2" s="74" t="s">
        <v>382</v>
      </c>
      <c r="V2" s="74"/>
      <c r="W2" s="74"/>
      <c r="X2" s="73" t="s">
        <v>118</v>
      </c>
      <c r="Y2" s="75" t="s">
        <v>120</v>
      </c>
      <c r="AA2" s="73" t="s">
        <v>105</v>
      </c>
      <c r="AB2" s="74" t="s">
        <v>107</v>
      </c>
      <c r="AC2" s="74"/>
      <c r="AD2" s="74"/>
      <c r="AE2" s="73" t="s">
        <v>112</v>
      </c>
      <c r="AF2" s="75" t="s">
        <v>26</v>
      </c>
      <c r="AG2" s="77" t="s">
        <v>115</v>
      </c>
      <c r="AH2" s="77"/>
      <c r="AI2" s="77"/>
      <c r="AJ2" s="74" t="s">
        <v>374</v>
      </c>
      <c r="AK2" s="74"/>
      <c r="AL2" s="77" t="s">
        <v>284</v>
      </c>
      <c r="AM2" s="77"/>
      <c r="AN2" s="77"/>
      <c r="AO2" s="74" t="s">
        <v>382</v>
      </c>
      <c r="AP2" s="74"/>
      <c r="AQ2" s="74"/>
      <c r="AR2" s="73" t="s">
        <v>118</v>
      </c>
      <c r="AS2" s="75" t="s">
        <v>120</v>
      </c>
      <c r="AU2" s="73" t="s">
        <v>133</v>
      </c>
      <c r="AV2" s="75" t="s">
        <v>133</v>
      </c>
      <c r="AX2" s="77" t="s">
        <v>409</v>
      </c>
      <c r="AY2" s="77"/>
      <c r="AZ2" s="74" t="s">
        <v>412</v>
      </c>
      <c r="BA2" s="74"/>
      <c r="BB2" s="74"/>
      <c r="BD2" s="77" t="s">
        <v>301</v>
      </c>
      <c r="BE2" s="77"/>
      <c r="BF2" s="77"/>
      <c r="BH2" s="74" t="s">
        <v>419</v>
      </c>
      <c r="BI2" s="74"/>
      <c r="BJ2" s="74"/>
    </row>
    <row r="3" spans="1:62" x14ac:dyDescent="0.25">
      <c r="A3" s="75"/>
      <c r="B3" s="73"/>
      <c r="C3" s="75"/>
      <c r="D3" s="73"/>
      <c r="E3" s="75"/>
      <c r="G3" s="73"/>
      <c r="H3" s="16" t="s">
        <v>108</v>
      </c>
      <c r="I3" s="16" t="s">
        <v>110</v>
      </c>
      <c r="J3" s="16" t="s">
        <v>366</v>
      </c>
      <c r="K3" s="73"/>
      <c r="L3" s="75"/>
      <c r="M3" s="17" t="s">
        <v>108</v>
      </c>
      <c r="N3" s="17" t="s">
        <v>110</v>
      </c>
      <c r="O3" s="17" t="s">
        <v>372</v>
      </c>
      <c r="P3" s="16" t="s">
        <v>375</v>
      </c>
      <c r="Q3" s="16" t="s">
        <v>377</v>
      </c>
      <c r="R3" s="17" t="s">
        <v>285</v>
      </c>
      <c r="S3" s="17" t="s">
        <v>287</v>
      </c>
      <c r="T3" s="17" t="s">
        <v>289</v>
      </c>
      <c r="U3" s="16" t="s">
        <v>285</v>
      </c>
      <c r="V3" s="16" t="s">
        <v>287</v>
      </c>
      <c r="W3" s="16" t="s">
        <v>289</v>
      </c>
      <c r="X3" s="73"/>
      <c r="Y3" s="75"/>
      <c r="AA3" s="73"/>
      <c r="AB3" s="16" t="s">
        <v>108</v>
      </c>
      <c r="AC3" s="16" t="s">
        <v>110</v>
      </c>
      <c r="AD3" s="16" t="s">
        <v>366</v>
      </c>
      <c r="AE3" s="73"/>
      <c r="AF3" s="75"/>
      <c r="AG3" s="17" t="s">
        <v>108</v>
      </c>
      <c r="AH3" s="17" t="s">
        <v>110</v>
      </c>
      <c r="AI3" s="17" t="s">
        <v>372</v>
      </c>
      <c r="AJ3" s="16" t="s">
        <v>375</v>
      </c>
      <c r="AK3" s="16" t="s">
        <v>377</v>
      </c>
      <c r="AL3" s="17" t="s">
        <v>285</v>
      </c>
      <c r="AM3" s="17" t="s">
        <v>287</v>
      </c>
      <c r="AN3" s="17" t="s">
        <v>289</v>
      </c>
      <c r="AO3" s="16" t="s">
        <v>285</v>
      </c>
      <c r="AP3" s="16" t="s">
        <v>287</v>
      </c>
      <c r="AQ3" s="16" t="s">
        <v>289</v>
      </c>
      <c r="AR3" s="73"/>
      <c r="AS3" s="75"/>
      <c r="AU3" s="73"/>
      <c r="AV3" s="75"/>
      <c r="AX3" s="17" t="s">
        <v>375</v>
      </c>
      <c r="AY3" s="17" t="s">
        <v>377</v>
      </c>
      <c r="AZ3" s="16" t="s">
        <v>285</v>
      </c>
      <c r="BA3" s="16" t="s">
        <v>287</v>
      </c>
      <c r="BB3" s="16" t="s">
        <v>289</v>
      </c>
      <c r="BD3" s="17" t="s">
        <v>285</v>
      </c>
      <c r="BE3" s="17" t="s">
        <v>287</v>
      </c>
      <c r="BF3" s="17" t="s">
        <v>289</v>
      </c>
      <c r="BH3" s="16" t="s">
        <v>285</v>
      </c>
      <c r="BI3" s="16" t="s">
        <v>287</v>
      </c>
      <c r="BJ3" s="16" t="s">
        <v>289</v>
      </c>
    </row>
    <row r="4" spans="1:62" x14ac:dyDescent="0.25">
      <c r="A4" s="18" t="s">
        <v>201</v>
      </c>
      <c r="B4" s="18" t="s">
        <v>141</v>
      </c>
      <c r="C4" s="19" t="s">
        <v>310</v>
      </c>
      <c r="D4" s="18">
        <v>1481746</v>
      </c>
      <c r="E4" s="19">
        <v>12</v>
      </c>
      <c r="G4" s="20" t="str">
        <f t="shared" ref="G4:G67" si="0">IF(ISBLANK(M4),"·",M4/(D4*E4*3))</f>
        <v>·</v>
      </c>
      <c r="H4" s="21" t="str">
        <f t="shared" ref="H4:H67" si="1">IF(ISBLANK(M4),"·",M4/D4)</f>
        <v>·</v>
      </c>
      <c r="I4" s="21" t="str">
        <f t="shared" ref="I4:I67" si="2">IF(N4="","·",N4/D4)</f>
        <v>·</v>
      </c>
      <c r="J4" s="21" t="str">
        <f t="shared" ref="J4:J67" si="3">IF(ISBLANK(O4),"·",O4/D4)</f>
        <v>·</v>
      </c>
      <c r="K4" s="21" t="str">
        <f t="shared" ref="K4:K67" si="4">IF(ISBLANK(M4),"·",M4/L4)</f>
        <v>·</v>
      </c>
      <c r="L4" s="22"/>
      <c r="M4" s="23"/>
      <c r="N4" s="23"/>
      <c r="O4" s="23"/>
      <c r="P4" s="49"/>
      <c r="Q4" s="49"/>
      <c r="R4" s="49"/>
      <c r="S4" s="49"/>
      <c r="T4" s="49"/>
      <c r="U4" s="49"/>
      <c r="V4" s="49"/>
      <c r="W4" s="49"/>
      <c r="X4" s="24"/>
      <c r="Y4" s="24"/>
      <c r="AA4" s="20" t="str">
        <f t="shared" ref="AA4:AA67" si="5">IF(ISBLANK(AG4),"·",AG4/(D4*E4*3))</f>
        <v>·</v>
      </c>
      <c r="AB4" s="21" t="str">
        <f t="shared" ref="AB4:AB67" si="6">IF(ISBLANK(AG4),"·",AG4/D4)</f>
        <v>·</v>
      </c>
      <c r="AC4" s="21" t="str">
        <f t="shared" ref="AC4:AC67" si="7">IF(AH4="","·",AH4/D4)</f>
        <v>·</v>
      </c>
      <c r="AD4" s="21" t="str">
        <f t="shared" ref="AD4:AD67" si="8">IF(ISBLANK(AI4),"·",AI4/D4)</f>
        <v>·</v>
      </c>
      <c r="AE4" s="21" t="str">
        <f t="shared" ref="AE4:AE67" si="9">IF(ISBLANK(AG4),"·",AG4/AF4)</f>
        <v>·</v>
      </c>
      <c r="AF4" s="22"/>
      <c r="AG4" s="23"/>
      <c r="AH4" s="23"/>
      <c r="AI4" s="23"/>
      <c r="AJ4" s="49"/>
      <c r="AK4" s="49"/>
      <c r="AL4" s="49"/>
      <c r="AM4" s="49"/>
      <c r="AN4" s="49"/>
      <c r="AO4" s="49"/>
      <c r="AP4" s="49"/>
      <c r="AQ4" s="49"/>
      <c r="AR4" s="24"/>
      <c r="AS4" s="24"/>
      <c r="AU4" s="20" t="e">
        <f t="shared" ref="AU4:AU67" si="10">(AH4/AG4) - (N4/M4)</f>
        <v>#DIV/0!</v>
      </c>
      <c r="AV4" s="20" t="e">
        <f t="array" ref="AV4">AVERAGE(AH4:AH9/AG4:AG9) - AVERAGE(N4:N9/M4:M9)</f>
        <v>#DIV/0!</v>
      </c>
      <c r="AX4" s="50" t="e">
        <f>bdRateExtend( M4:M9,P4:P9, AG4:AG9,AJ4:AJ9)</f>
        <v>#VALUE!</v>
      </c>
      <c r="AY4" s="50" t="e">
        <f>bdRateExtend( M4:M9,Q4:Q9, AG4:AG9,AK4:AK9)</f>
        <v>#VALUE!</v>
      </c>
      <c r="AZ4" s="50" t="e">
        <f>bdRateExtend( M4:M9,R4:R9, AG4:AG9,AL4:AL9)</f>
        <v>#VALUE!</v>
      </c>
      <c r="BA4" s="50" t="e">
        <f>bdRateExtend( M4:M9,S4:S9, AG4:AG9,AM4:AM9)</f>
        <v>#VALUE!</v>
      </c>
      <c r="BB4" s="50" t="e">
        <f>bdRateExtend( M4:M9,T4:T9, AG4:AG9,AN4:AN9)</f>
        <v>#VALUE!</v>
      </c>
      <c r="BD4" s="50" t="e">
        <f>bdRateExtend( O4:O9,R4:R9, AI4:AI9,AL4:AL9)</f>
        <v>#VALUE!</v>
      </c>
      <c r="BE4" s="50" t="e">
        <f>bdRateExtend( O4:O9,S4:S9, AI4:AI9,AM4:AM9)</f>
        <v>#VALUE!</v>
      </c>
      <c r="BF4" s="50" t="e">
        <f>bdRateExtend( O4:O9,T4:T9, AI4:AI9,AN4:AN9)</f>
        <v>#VALUE!</v>
      </c>
      <c r="BH4" s="50" t="e">
        <f>bdRateExtend( O4:O9,U4:U9, AI4:AI9,AO4:AO9)</f>
        <v>#VALUE!</v>
      </c>
      <c r="BI4" s="50" t="e">
        <f>bdRateExtend( O4:O9,V4:V9, AI4:AI9,AP4:AP9)</f>
        <v>#VALUE!</v>
      </c>
      <c r="BJ4" s="50" t="e">
        <f>bdRateExtend( O4:O9,W4:W9, AI4:AI9,AQ4:AQ9)</f>
        <v>#VALUE!</v>
      </c>
    </row>
    <row r="5" spans="1:62" outlineLevel="1" x14ac:dyDescent="0.25">
      <c r="A5" s="25"/>
      <c r="B5" s="25"/>
      <c r="C5" s="26" t="s">
        <v>311</v>
      </c>
      <c r="D5" s="25">
        <v>1481746</v>
      </c>
      <c r="E5" s="26">
        <v>12</v>
      </c>
      <c r="G5" s="27" t="str">
        <f t="shared" si="0"/>
        <v>·</v>
      </c>
      <c r="H5" s="28" t="str">
        <f t="shared" si="1"/>
        <v>·</v>
      </c>
      <c r="I5" s="28" t="str">
        <f t="shared" si="2"/>
        <v>·</v>
      </c>
      <c r="J5" s="28" t="str">
        <f t="shared" si="3"/>
        <v>·</v>
      </c>
      <c r="K5" s="28" t="str">
        <f t="shared" si="4"/>
        <v>·</v>
      </c>
      <c r="L5" s="29"/>
      <c r="M5" s="30"/>
      <c r="N5" s="30"/>
      <c r="O5" s="30"/>
      <c r="P5" s="51"/>
      <c r="Q5" s="51"/>
      <c r="R5" s="51"/>
      <c r="S5" s="51"/>
      <c r="T5" s="51"/>
      <c r="U5" s="51"/>
      <c r="V5" s="51"/>
      <c r="W5" s="51"/>
      <c r="X5" s="31"/>
      <c r="Y5" s="31"/>
      <c r="AA5" s="27" t="str">
        <f t="shared" si="5"/>
        <v>·</v>
      </c>
      <c r="AB5" s="28" t="str">
        <f t="shared" si="6"/>
        <v>·</v>
      </c>
      <c r="AC5" s="28" t="str">
        <f t="shared" si="7"/>
        <v>·</v>
      </c>
      <c r="AD5" s="28" t="str">
        <f t="shared" si="8"/>
        <v>·</v>
      </c>
      <c r="AE5" s="28" t="str">
        <f t="shared" si="9"/>
        <v>·</v>
      </c>
      <c r="AF5" s="29"/>
      <c r="AG5" s="30"/>
      <c r="AH5" s="30"/>
      <c r="AI5" s="30"/>
      <c r="AJ5" s="51"/>
      <c r="AK5" s="51"/>
      <c r="AL5" s="51"/>
      <c r="AM5" s="51"/>
      <c r="AN5" s="51"/>
      <c r="AO5" s="51"/>
      <c r="AP5" s="51"/>
      <c r="AQ5" s="51"/>
      <c r="AR5" s="31"/>
      <c r="AS5" s="31"/>
      <c r="AU5" s="27" t="e">
        <f t="shared" si="10"/>
        <v>#DIV/0!</v>
      </c>
      <c r="AV5" s="27"/>
      <c r="AX5" s="52"/>
      <c r="AY5" s="52"/>
      <c r="AZ5" s="52"/>
      <c r="BA5" s="52"/>
      <c r="BB5" s="52"/>
      <c r="BD5" s="52"/>
      <c r="BE5" s="52"/>
      <c r="BF5" s="52"/>
      <c r="BH5" s="52"/>
      <c r="BI5" s="52"/>
      <c r="BJ5" s="52"/>
    </row>
    <row r="6" spans="1:62" outlineLevel="1" x14ac:dyDescent="0.25">
      <c r="A6" s="18"/>
      <c r="B6" s="18"/>
      <c r="C6" s="19" t="s">
        <v>312</v>
      </c>
      <c r="D6" s="18">
        <v>1481746</v>
      </c>
      <c r="E6" s="19">
        <v>12</v>
      </c>
      <c r="G6" s="20" t="str">
        <f t="shared" si="0"/>
        <v>·</v>
      </c>
      <c r="H6" s="21" t="str">
        <f t="shared" si="1"/>
        <v>·</v>
      </c>
      <c r="I6" s="21" t="str">
        <f t="shared" si="2"/>
        <v>·</v>
      </c>
      <c r="J6" s="21" t="str">
        <f t="shared" si="3"/>
        <v>·</v>
      </c>
      <c r="K6" s="21" t="str">
        <f t="shared" si="4"/>
        <v>·</v>
      </c>
      <c r="L6" s="22"/>
      <c r="M6" s="23"/>
      <c r="N6" s="23"/>
      <c r="O6" s="23"/>
      <c r="P6" s="49"/>
      <c r="Q6" s="49"/>
      <c r="R6" s="49"/>
      <c r="S6" s="49"/>
      <c r="T6" s="49"/>
      <c r="U6" s="49"/>
      <c r="V6" s="49"/>
      <c r="W6" s="49"/>
      <c r="X6" s="24"/>
      <c r="Y6" s="24"/>
      <c r="AA6" s="20" t="str">
        <f t="shared" si="5"/>
        <v>·</v>
      </c>
      <c r="AB6" s="21" t="str">
        <f t="shared" si="6"/>
        <v>·</v>
      </c>
      <c r="AC6" s="21" t="str">
        <f t="shared" si="7"/>
        <v>·</v>
      </c>
      <c r="AD6" s="21" t="str">
        <f t="shared" si="8"/>
        <v>·</v>
      </c>
      <c r="AE6" s="21" t="str">
        <f t="shared" si="9"/>
        <v>·</v>
      </c>
      <c r="AF6" s="22"/>
      <c r="AG6" s="23"/>
      <c r="AH6" s="23"/>
      <c r="AI6" s="23"/>
      <c r="AJ6" s="49"/>
      <c r="AK6" s="49"/>
      <c r="AL6" s="49"/>
      <c r="AM6" s="49"/>
      <c r="AN6" s="49"/>
      <c r="AO6" s="49"/>
      <c r="AP6" s="49"/>
      <c r="AQ6" s="49"/>
      <c r="AR6" s="24"/>
      <c r="AS6" s="24"/>
      <c r="AU6" s="20" t="e">
        <f t="shared" si="10"/>
        <v>#DIV/0!</v>
      </c>
      <c r="AV6" s="20"/>
      <c r="AX6" s="50"/>
      <c r="AY6" s="50"/>
      <c r="AZ6" s="50"/>
      <c r="BA6" s="50"/>
      <c r="BB6" s="50"/>
      <c r="BD6" s="50"/>
      <c r="BE6" s="50"/>
      <c r="BF6" s="50"/>
      <c r="BH6" s="50"/>
      <c r="BI6" s="50"/>
      <c r="BJ6" s="50"/>
    </row>
    <row r="7" spans="1:62" outlineLevel="1" x14ac:dyDescent="0.25">
      <c r="A7" s="25"/>
      <c r="B7" s="25"/>
      <c r="C7" s="26" t="s">
        <v>313</v>
      </c>
      <c r="D7" s="25">
        <v>1481746</v>
      </c>
      <c r="E7" s="26">
        <v>12</v>
      </c>
      <c r="G7" s="27" t="str">
        <f t="shared" si="0"/>
        <v>·</v>
      </c>
      <c r="H7" s="28" t="str">
        <f t="shared" si="1"/>
        <v>·</v>
      </c>
      <c r="I7" s="28" t="str">
        <f t="shared" si="2"/>
        <v>·</v>
      </c>
      <c r="J7" s="28" t="str">
        <f t="shared" si="3"/>
        <v>·</v>
      </c>
      <c r="K7" s="28" t="str">
        <f t="shared" si="4"/>
        <v>·</v>
      </c>
      <c r="L7" s="29"/>
      <c r="M7" s="30"/>
      <c r="N7" s="30"/>
      <c r="O7" s="30"/>
      <c r="P7" s="51"/>
      <c r="Q7" s="51"/>
      <c r="R7" s="51"/>
      <c r="S7" s="51"/>
      <c r="T7" s="51"/>
      <c r="U7" s="51"/>
      <c r="V7" s="51"/>
      <c r="W7" s="51"/>
      <c r="X7" s="31"/>
      <c r="Y7" s="31"/>
      <c r="AA7" s="27" t="str">
        <f t="shared" si="5"/>
        <v>·</v>
      </c>
      <c r="AB7" s="28" t="str">
        <f t="shared" si="6"/>
        <v>·</v>
      </c>
      <c r="AC7" s="28" t="str">
        <f t="shared" si="7"/>
        <v>·</v>
      </c>
      <c r="AD7" s="28" t="str">
        <f t="shared" si="8"/>
        <v>·</v>
      </c>
      <c r="AE7" s="28" t="str">
        <f t="shared" si="9"/>
        <v>·</v>
      </c>
      <c r="AF7" s="29"/>
      <c r="AG7" s="30"/>
      <c r="AH7" s="30"/>
      <c r="AI7" s="30"/>
      <c r="AJ7" s="51"/>
      <c r="AK7" s="51"/>
      <c r="AL7" s="51"/>
      <c r="AM7" s="51"/>
      <c r="AN7" s="51"/>
      <c r="AO7" s="51"/>
      <c r="AP7" s="51"/>
      <c r="AQ7" s="51"/>
      <c r="AR7" s="31"/>
      <c r="AS7" s="31"/>
      <c r="AU7" s="27" t="e">
        <f t="shared" si="10"/>
        <v>#DIV/0!</v>
      </c>
      <c r="AV7" s="27"/>
      <c r="AX7" s="52"/>
      <c r="AY7" s="52"/>
      <c r="AZ7" s="52"/>
      <c r="BA7" s="52"/>
      <c r="BB7" s="52"/>
      <c r="BD7" s="52"/>
      <c r="BE7" s="52"/>
      <c r="BF7" s="52"/>
      <c r="BH7" s="52"/>
      <c r="BI7" s="52"/>
      <c r="BJ7" s="52"/>
    </row>
    <row r="8" spans="1:62" outlineLevel="1" x14ac:dyDescent="0.25">
      <c r="A8" s="18"/>
      <c r="B8" s="18"/>
      <c r="C8" s="19" t="s">
        <v>428</v>
      </c>
      <c r="D8" s="18">
        <v>1481746</v>
      </c>
      <c r="E8" s="19">
        <v>12</v>
      </c>
      <c r="G8" s="20" t="str">
        <f t="shared" si="0"/>
        <v>·</v>
      </c>
      <c r="H8" s="21" t="str">
        <f t="shared" si="1"/>
        <v>·</v>
      </c>
      <c r="I8" s="21" t="str">
        <f t="shared" si="2"/>
        <v>·</v>
      </c>
      <c r="J8" s="21" t="str">
        <f t="shared" si="3"/>
        <v>·</v>
      </c>
      <c r="K8" s="21" t="str">
        <f t="shared" si="4"/>
        <v>·</v>
      </c>
      <c r="L8" s="22"/>
      <c r="M8" s="23"/>
      <c r="N8" s="23"/>
      <c r="O8" s="23"/>
      <c r="P8" s="49"/>
      <c r="Q8" s="49"/>
      <c r="R8" s="49"/>
      <c r="S8" s="49"/>
      <c r="T8" s="49"/>
      <c r="U8" s="49"/>
      <c r="V8" s="49"/>
      <c r="W8" s="49"/>
      <c r="X8" s="24"/>
      <c r="Y8" s="24"/>
      <c r="AA8" s="20" t="str">
        <f t="shared" si="5"/>
        <v>·</v>
      </c>
      <c r="AB8" s="21" t="str">
        <f t="shared" si="6"/>
        <v>·</v>
      </c>
      <c r="AC8" s="21" t="str">
        <f t="shared" si="7"/>
        <v>·</v>
      </c>
      <c r="AD8" s="21" t="str">
        <f t="shared" si="8"/>
        <v>·</v>
      </c>
      <c r="AE8" s="21" t="str">
        <f t="shared" si="9"/>
        <v>·</v>
      </c>
      <c r="AF8" s="22"/>
      <c r="AG8" s="23"/>
      <c r="AH8" s="23"/>
      <c r="AI8" s="23"/>
      <c r="AJ8" s="49"/>
      <c r="AK8" s="49"/>
      <c r="AL8" s="49"/>
      <c r="AM8" s="49"/>
      <c r="AN8" s="49"/>
      <c r="AO8" s="49"/>
      <c r="AP8" s="49"/>
      <c r="AQ8" s="49"/>
      <c r="AR8" s="24"/>
      <c r="AS8" s="24"/>
      <c r="AU8" s="20" t="e">
        <f t="shared" si="10"/>
        <v>#DIV/0!</v>
      </c>
      <c r="AV8" s="20"/>
      <c r="AX8" s="50"/>
      <c r="AY8" s="50"/>
      <c r="AZ8" s="50"/>
      <c r="BA8" s="50"/>
      <c r="BB8" s="50"/>
      <c r="BD8" s="50"/>
      <c r="BE8" s="50"/>
      <c r="BF8" s="50"/>
      <c r="BH8" s="50"/>
      <c r="BI8" s="50"/>
      <c r="BJ8" s="50"/>
    </row>
    <row r="9" spans="1:62" outlineLevel="1" x14ac:dyDescent="0.25">
      <c r="A9" s="25"/>
      <c r="B9" s="32"/>
      <c r="C9" s="33" t="s">
        <v>429</v>
      </c>
      <c r="D9" s="32">
        <v>1481746</v>
      </c>
      <c r="E9" s="33">
        <v>12</v>
      </c>
      <c r="G9" s="34" t="str">
        <f t="shared" si="0"/>
        <v>·</v>
      </c>
      <c r="H9" s="35" t="str">
        <f t="shared" si="1"/>
        <v>·</v>
      </c>
      <c r="I9" s="35" t="str">
        <f t="shared" si="2"/>
        <v>·</v>
      </c>
      <c r="J9" s="35" t="str">
        <f t="shared" si="3"/>
        <v>·</v>
      </c>
      <c r="K9" s="35" t="str">
        <f t="shared" si="4"/>
        <v>·</v>
      </c>
      <c r="L9" s="36"/>
      <c r="M9" s="37"/>
      <c r="N9" s="37"/>
      <c r="O9" s="37"/>
      <c r="P9" s="53"/>
      <c r="Q9" s="53"/>
      <c r="R9" s="53"/>
      <c r="S9" s="53"/>
      <c r="T9" s="53"/>
      <c r="U9" s="53"/>
      <c r="V9" s="53"/>
      <c r="W9" s="53"/>
      <c r="X9" s="38"/>
      <c r="Y9" s="38"/>
      <c r="AA9" s="34" t="str">
        <f t="shared" si="5"/>
        <v>·</v>
      </c>
      <c r="AB9" s="35" t="str">
        <f t="shared" si="6"/>
        <v>·</v>
      </c>
      <c r="AC9" s="35" t="str">
        <f t="shared" si="7"/>
        <v>·</v>
      </c>
      <c r="AD9" s="35" t="str">
        <f t="shared" si="8"/>
        <v>·</v>
      </c>
      <c r="AE9" s="35" t="str">
        <f t="shared" si="9"/>
        <v>·</v>
      </c>
      <c r="AF9" s="36"/>
      <c r="AG9" s="37"/>
      <c r="AH9" s="37"/>
      <c r="AI9" s="37"/>
      <c r="AJ9" s="53"/>
      <c r="AK9" s="53"/>
      <c r="AL9" s="53"/>
      <c r="AM9" s="53"/>
      <c r="AN9" s="53"/>
      <c r="AO9" s="53"/>
      <c r="AP9" s="53"/>
      <c r="AQ9" s="53"/>
      <c r="AR9" s="38"/>
      <c r="AS9" s="38"/>
      <c r="AU9" s="34" t="e">
        <f t="shared" si="10"/>
        <v>#DIV/0!</v>
      </c>
      <c r="AV9" s="34"/>
      <c r="AX9" s="54"/>
      <c r="AY9" s="54"/>
      <c r="AZ9" s="54"/>
      <c r="BA9" s="54"/>
      <c r="BB9" s="54"/>
      <c r="BD9" s="54"/>
      <c r="BE9" s="54"/>
      <c r="BF9" s="54"/>
      <c r="BH9" s="54"/>
      <c r="BI9" s="54"/>
      <c r="BJ9" s="54"/>
    </row>
    <row r="10" spans="1:62" x14ac:dyDescent="0.25">
      <c r="A10" s="18"/>
      <c r="B10" s="18" t="s">
        <v>144</v>
      </c>
      <c r="C10" s="19" t="s">
        <v>310</v>
      </c>
      <c r="D10" s="18">
        <v>1530552</v>
      </c>
      <c r="E10" s="19">
        <v>20</v>
      </c>
      <c r="G10" s="20" t="str">
        <f t="shared" si="0"/>
        <v>·</v>
      </c>
      <c r="H10" s="21" t="str">
        <f t="shared" si="1"/>
        <v>·</v>
      </c>
      <c r="I10" s="21" t="str">
        <f t="shared" si="2"/>
        <v>·</v>
      </c>
      <c r="J10" s="21" t="str">
        <f t="shared" si="3"/>
        <v>·</v>
      </c>
      <c r="K10" s="21" t="str">
        <f t="shared" si="4"/>
        <v>·</v>
      </c>
      <c r="L10" s="22"/>
      <c r="M10" s="23"/>
      <c r="N10" s="23"/>
      <c r="O10" s="23"/>
      <c r="P10" s="49"/>
      <c r="Q10" s="49"/>
      <c r="R10" s="49"/>
      <c r="S10" s="49"/>
      <c r="T10" s="49"/>
      <c r="U10" s="49"/>
      <c r="V10" s="49"/>
      <c r="W10" s="49"/>
      <c r="X10" s="24"/>
      <c r="Y10" s="24"/>
      <c r="AA10" s="20" t="str">
        <f t="shared" si="5"/>
        <v>·</v>
      </c>
      <c r="AB10" s="21" t="str">
        <f t="shared" si="6"/>
        <v>·</v>
      </c>
      <c r="AC10" s="21" t="str">
        <f t="shared" si="7"/>
        <v>·</v>
      </c>
      <c r="AD10" s="21" t="str">
        <f t="shared" si="8"/>
        <v>·</v>
      </c>
      <c r="AE10" s="21" t="str">
        <f t="shared" si="9"/>
        <v>·</v>
      </c>
      <c r="AF10" s="22"/>
      <c r="AG10" s="23"/>
      <c r="AH10" s="23"/>
      <c r="AI10" s="23"/>
      <c r="AJ10" s="49"/>
      <c r="AK10" s="49"/>
      <c r="AL10" s="49"/>
      <c r="AM10" s="49"/>
      <c r="AN10" s="49"/>
      <c r="AO10" s="49"/>
      <c r="AP10" s="49"/>
      <c r="AQ10" s="49"/>
      <c r="AR10" s="24"/>
      <c r="AS10" s="24"/>
      <c r="AU10" s="20" t="e">
        <f t="shared" si="10"/>
        <v>#DIV/0!</v>
      </c>
      <c r="AV10" s="20" t="e">
        <f t="array" ref="AV10">AVERAGE(AH10:AH15/AG10:AG15) - AVERAGE(N10:N15/M10:M15)</f>
        <v>#DIV/0!</v>
      </c>
      <c r="AX10" s="50" t="e">
        <f>bdRateExtend( M10:M15,P10:P15, AG10:AG15,AJ10:AJ15)</f>
        <v>#VALUE!</v>
      </c>
      <c r="AY10" s="50" t="e">
        <f>bdRateExtend( M10:M15,Q10:Q15, AG10:AG15,AK10:AK15)</f>
        <v>#VALUE!</v>
      </c>
      <c r="AZ10" s="50" t="e">
        <f>bdRateExtend( M10:M15,R10:R15, AG10:AG15,AL10:AL15)</f>
        <v>#VALUE!</v>
      </c>
      <c r="BA10" s="50" t="e">
        <f>bdRateExtend( M10:M15,S10:S15, AG10:AG15,AM10:AM15)</f>
        <v>#VALUE!</v>
      </c>
      <c r="BB10" s="50" t="e">
        <f>bdRateExtend( M10:M15,T10:T15, AG10:AG15,AN10:AN15)</f>
        <v>#VALUE!</v>
      </c>
      <c r="BD10" s="50" t="e">
        <f>bdRateExtend( O10:O15,R10:R15, AI10:AI15,AL10:AL15)</f>
        <v>#VALUE!</v>
      </c>
      <c r="BE10" s="50" t="e">
        <f>bdRateExtend( O10:O15,S10:S15, AI10:AI15,AM10:AM15)</f>
        <v>#VALUE!</v>
      </c>
      <c r="BF10" s="50" t="e">
        <f>bdRateExtend( O10:O15,T10:T15, AI10:AI15,AN10:AN15)</f>
        <v>#VALUE!</v>
      </c>
      <c r="BH10" s="50" t="e">
        <f>bdRateExtend( O10:O15,U10:U15, AI10:AI15,AO10:AO15)</f>
        <v>#VALUE!</v>
      </c>
      <c r="BI10" s="50" t="e">
        <f>bdRateExtend( O10:O15,V10:V15, AI10:AI15,AP10:AP15)</f>
        <v>#VALUE!</v>
      </c>
      <c r="BJ10" s="50" t="e">
        <f>bdRateExtend( O10:O15,W10:W15, AI10:AI15,AQ10:AQ15)</f>
        <v>#VALUE!</v>
      </c>
    </row>
    <row r="11" spans="1:62" outlineLevel="1" x14ac:dyDescent="0.25">
      <c r="A11" s="25"/>
      <c r="B11" s="25"/>
      <c r="C11" s="26" t="s">
        <v>311</v>
      </c>
      <c r="D11" s="25">
        <v>1530552</v>
      </c>
      <c r="E11" s="26">
        <v>20</v>
      </c>
      <c r="G11" s="27" t="str">
        <f t="shared" si="0"/>
        <v>·</v>
      </c>
      <c r="H11" s="28" t="str">
        <f t="shared" si="1"/>
        <v>·</v>
      </c>
      <c r="I11" s="28" t="str">
        <f t="shared" si="2"/>
        <v>·</v>
      </c>
      <c r="J11" s="28" t="str">
        <f t="shared" si="3"/>
        <v>·</v>
      </c>
      <c r="K11" s="28" t="str">
        <f t="shared" si="4"/>
        <v>·</v>
      </c>
      <c r="L11" s="29"/>
      <c r="M11" s="30"/>
      <c r="N11" s="30"/>
      <c r="O11" s="30"/>
      <c r="P11" s="51"/>
      <c r="Q11" s="51"/>
      <c r="R11" s="51"/>
      <c r="S11" s="51"/>
      <c r="T11" s="51"/>
      <c r="U11" s="51"/>
      <c r="V11" s="51"/>
      <c r="W11" s="51"/>
      <c r="X11" s="31"/>
      <c r="Y11" s="31"/>
      <c r="AA11" s="27" t="str">
        <f t="shared" si="5"/>
        <v>·</v>
      </c>
      <c r="AB11" s="28" t="str">
        <f t="shared" si="6"/>
        <v>·</v>
      </c>
      <c r="AC11" s="28" t="str">
        <f t="shared" si="7"/>
        <v>·</v>
      </c>
      <c r="AD11" s="28" t="str">
        <f t="shared" si="8"/>
        <v>·</v>
      </c>
      <c r="AE11" s="28" t="str">
        <f t="shared" si="9"/>
        <v>·</v>
      </c>
      <c r="AF11" s="29"/>
      <c r="AG11" s="30"/>
      <c r="AH11" s="30"/>
      <c r="AI11" s="30"/>
      <c r="AJ11" s="51"/>
      <c r="AK11" s="51"/>
      <c r="AL11" s="51"/>
      <c r="AM11" s="51"/>
      <c r="AN11" s="51"/>
      <c r="AO11" s="51"/>
      <c r="AP11" s="51"/>
      <c r="AQ11" s="51"/>
      <c r="AR11" s="31"/>
      <c r="AS11" s="31"/>
      <c r="AU11" s="27" t="e">
        <f t="shared" si="10"/>
        <v>#DIV/0!</v>
      </c>
      <c r="AV11" s="27"/>
      <c r="AX11" s="52"/>
      <c r="AY11" s="52"/>
      <c r="AZ11" s="52"/>
      <c r="BA11" s="52"/>
      <c r="BB11" s="52"/>
      <c r="BD11" s="52"/>
      <c r="BE11" s="52"/>
      <c r="BF11" s="52"/>
      <c r="BH11" s="52"/>
      <c r="BI11" s="52"/>
      <c r="BJ11" s="52"/>
    </row>
    <row r="12" spans="1:62" outlineLevel="1" x14ac:dyDescent="0.25">
      <c r="A12" s="18"/>
      <c r="B12" s="18"/>
      <c r="C12" s="19" t="s">
        <v>312</v>
      </c>
      <c r="D12" s="18">
        <v>1530552</v>
      </c>
      <c r="E12" s="19">
        <v>20</v>
      </c>
      <c r="G12" s="20" t="str">
        <f t="shared" si="0"/>
        <v>·</v>
      </c>
      <c r="H12" s="21" t="str">
        <f t="shared" si="1"/>
        <v>·</v>
      </c>
      <c r="I12" s="21" t="str">
        <f t="shared" si="2"/>
        <v>·</v>
      </c>
      <c r="J12" s="21" t="str">
        <f t="shared" si="3"/>
        <v>·</v>
      </c>
      <c r="K12" s="21" t="str">
        <f t="shared" si="4"/>
        <v>·</v>
      </c>
      <c r="L12" s="22"/>
      <c r="M12" s="23"/>
      <c r="N12" s="23"/>
      <c r="O12" s="23"/>
      <c r="P12" s="49"/>
      <c r="Q12" s="49"/>
      <c r="R12" s="49"/>
      <c r="S12" s="49"/>
      <c r="T12" s="49"/>
      <c r="U12" s="49"/>
      <c r="V12" s="49"/>
      <c r="W12" s="49"/>
      <c r="X12" s="24"/>
      <c r="Y12" s="24"/>
      <c r="AA12" s="20" t="str">
        <f t="shared" si="5"/>
        <v>·</v>
      </c>
      <c r="AB12" s="21" t="str">
        <f t="shared" si="6"/>
        <v>·</v>
      </c>
      <c r="AC12" s="21" t="str">
        <f t="shared" si="7"/>
        <v>·</v>
      </c>
      <c r="AD12" s="21" t="str">
        <f t="shared" si="8"/>
        <v>·</v>
      </c>
      <c r="AE12" s="21" t="str">
        <f t="shared" si="9"/>
        <v>·</v>
      </c>
      <c r="AF12" s="22"/>
      <c r="AG12" s="23"/>
      <c r="AH12" s="23"/>
      <c r="AI12" s="23"/>
      <c r="AJ12" s="49"/>
      <c r="AK12" s="49"/>
      <c r="AL12" s="49"/>
      <c r="AM12" s="49"/>
      <c r="AN12" s="49"/>
      <c r="AO12" s="49"/>
      <c r="AP12" s="49"/>
      <c r="AQ12" s="49"/>
      <c r="AR12" s="24"/>
      <c r="AS12" s="24"/>
      <c r="AU12" s="20" t="e">
        <f t="shared" si="10"/>
        <v>#DIV/0!</v>
      </c>
      <c r="AV12" s="20"/>
      <c r="AX12" s="50"/>
      <c r="AY12" s="50"/>
      <c r="AZ12" s="50"/>
      <c r="BA12" s="50"/>
      <c r="BB12" s="50"/>
      <c r="BD12" s="50"/>
      <c r="BE12" s="50"/>
      <c r="BF12" s="50"/>
      <c r="BH12" s="50"/>
      <c r="BI12" s="50"/>
      <c r="BJ12" s="50"/>
    </row>
    <row r="13" spans="1:62" outlineLevel="1" x14ac:dyDescent="0.25">
      <c r="A13" s="25"/>
      <c r="B13" s="25"/>
      <c r="C13" s="26" t="s">
        <v>313</v>
      </c>
      <c r="D13" s="25">
        <v>1530552</v>
      </c>
      <c r="E13" s="26">
        <v>20</v>
      </c>
      <c r="G13" s="27" t="str">
        <f t="shared" si="0"/>
        <v>·</v>
      </c>
      <c r="H13" s="28" t="str">
        <f t="shared" si="1"/>
        <v>·</v>
      </c>
      <c r="I13" s="28" t="str">
        <f t="shared" si="2"/>
        <v>·</v>
      </c>
      <c r="J13" s="28" t="str">
        <f t="shared" si="3"/>
        <v>·</v>
      </c>
      <c r="K13" s="28" t="str">
        <f t="shared" si="4"/>
        <v>·</v>
      </c>
      <c r="L13" s="29"/>
      <c r="M13" s="30"/>
      <c r="N13" s="30"/>
      <c r="O13" s="30"/>
      <c r="P13" s="51"/>
      <c r="Q13" s="51"/>
      <c r="R13" s="51"/>
      <c r="S13" s="51"/>
      <c r="T13" s="51"/>
      <c r="U13" s="51"/>
      <c r="V13" s="51"/>
      <c r="W13" s="51"/>
      <c r="X13" s="31"/>
      <c r="Y13" s="31"/>
      <c r="AA13" s="27" t="str">
        <f t="shared" si="5"/>
        <v>·</v>
      </c>
      <c r="AB13" s="28" t="str">
        <f t="shared" si="6"/>
        <v>·</v>
      </c>
      <c r="AC13" s="28" t="str">
        <f t="shared" si="7"/>
        <v>·</v>
      </c>
      <c r="AD13" s="28" t="str">
        <f t="shared" si="8"/>
        <v>·</v>
      </c>
      <c r="AE13" s="28" t="str">
        <f t="shared" si="9"/>
        <v>·</v>
      </c>
      <c r="AF13" s="29"/>
      <c r="AG13" s="30"/>
      <c r="AH13" s="30"/>
      <c r="AI13" s="30"/>
      <c r="AJ13" s="51"/>
      <c r="AK13" s="51"/>
      <c r="AL13" s="51"/>
      <c r="AM13" s="51"/>
      <c r="AN13" s="51"/>
      <c r="AO13" s="51"/>
      <c r="AP13" s="51"/>
      <c r="AQ13" s="51"/>
      <c r="AR13" s="31"/>
      <c r="AS13" s="31"/>
      <c r="AU13" s="27" t="e">
        <f t="shared" si="10"/>
        <v>#DIV/0!</v>
      </c>
      <c r="AV13" s="27"/>
      <c r="AX13" s="52"/>
      <c r="AY13" s="52"/>
      <c r="AZ13" s="52"/>
      <c r="BA13" s="52"/>
      <c r="BB13" s="52"/>
      <c r="BD13" s="52"/>
      <c r="BE13" s="52"/>
      <c r="BF13" s="52"/>
      <c r="BH13" s="52"/>
      <c r="BI13" s="52"/>
      <c r="BJ13" s="52"/>
    </row>
    <row r="14" spans="1:62" outlineLevel="1" x14ac:dyDescent="0.25">
      <c r="A14" s="18"/>
      <c r="B14" s="18"/>
      <c r="C14" s="19" t="s">
        <v>428</v>
      </c>
      <c r="D14" s="18">
        <v>1530552</v>
      </c>
      <c r="E14" s="19">
        <v>20</v>
      </c>
      <c r="G14" s="20" t="str">
        <f t="shared" si="0"/>
        <v>·</v>
      </c>
      <c r="H14" s="21" t="str">
        <f t="shared" si="1"/>
        <v>·</v>
      </c>
      <c r="I14" s="21" t="str">
        <f t="shared" si="2"/>
        <v>·</v>
      </c>
      <c r="J14" s="21" t="str">
        <f t="shared" si="3"/>
        <v>·</v>
      </c>
      <c r="K14" s="21" t="str">
        <f t="shared" si="4"/>
        <v>·</v>
      </c>
      <c r="L14" s="22"/>
      <c r="M14" s="23"/>
      <c r="N14" s="23"/>
      <c r="O14" s="23"/>
      <c r="P14" s="49"/>
      <c r="Q14" s="49"/>
      <c r="R14" s="49"/>
      <c r="S14" s="49"/>
      <c r="T14" s="49"/>
      <c r="U14" s="49"/>
      <c r="V14" s="49"/>
      <c r="W14" s="49"/>
      <c r="X14" s="24"/>
      <c r="Y14" s="24"/>
      <c r="AA14" s="20" t="str">
        <f t="shared" si="5"/>
        <v>·</v>
      </c>
      <c r="AB14" s="21" t="str">
        <f t="shared" si="6"/>
        <v>·</v>
      </c>
      <c r="AC14" s="21" t="str">
        <f t="shared" si="7"/>
        <v>·</v>
      </c>
      <c r="AD14" s="21" t="str">
        <f t="shared" si="8"/>
        <v>·</v>
      </c>
      <c r="AE14" s="21" t="str">
        <f t="shared" si="9"/>
        <v>·</v>
      </c>
      <c r="AF14" s="22"/>
      <c r="AG14" s="23"/>
      <c r="AH14" s="23"/>
      <c r="AI14" s="23"/>
      <c r="AJ14" s="49"/>
      <c r="AK14" s="49"/>
      <c r="AL14" s="49"/>
      <c r="AM14" s="49"/>
      <c r="AN14" s="49"/>
      <c r="AO14" s="49"/>
      <c r="AP14" s="49"/>
      <c r="AQ14" s="49"/>
      <c r="AR14" s="24"/>
      <c r="AS14" s="24"/>
      <c r="AU14" s="20" t="e">
        <f t="shared" si="10"/>
        <v>#DIV/0!</v>
      </c>
      <c r="AV14" s="20"/>
      <c r="AX14" s="50"/>
      <c r="AY14" s="50"/>
      <c r="AZ14" s="50"/>
      <c r="BA14" s="50"/>
      <c r="BB14" s="50"/>
      <c r="BD14" s="50"/>
      <c r="BE14" s="50"/>
      <c r="BF14" s="50"/>
      <c r="BH14" s="50"/>
      <c r="BI14" s="50"/>
      <c r="BJ14" s="50"/>
    </row>
    <row r="15" spans="1:62" outlineLevel="1" x14ac:dyDescent="0.25">
      <c r="A15" s="25"/>
      <c r="B15" s="32"/>
      <c r="C15" s="33" t="s">
        <v>429</v>
      </c>
      <c r="D15" s="32">
        <v>1530552</v>
      </c>
      <c r="E15" s="33">
        <v>20</v>
      </c>
      <c r="G15" s="34" t="str">
        <f t="shared" si="0"/>
        <v>·</v>
      </c>
      <c r="H15" s="35" t="str">
        <f t="shared" si="1"/>
        <v>·</v>
      </c>
      <c r="I15" s="35" t="str">
        <f t="shared" si="2"/>
        <v>·</v>
      </c>
      <c r="J15" s="35" t="str">
        <f t="shared" si="3"/>
        <v>·</v>
      </c>
      <c r="K15" s="35" t="str">
        <f t="shared" si="4"/>
        <v>·</v>
      </c>
      <c r="L15" s="36"/>
      <c r="M15" s="37"/>
      <c r="N15" s="37"/>
      <c r="O15" s="37"/>
      <c r="P15" s="53"/>
      <c r="Q15" s="53"/>
      <c r="R15" s="53"/>
      <c r="S15" s="53"/>
      <c r="T15" s="53"/>
      <c r="U15" s="53"/>
      <c r="V15" s="53"/>
      <c r="W15" s="53"/>
      <c r="X15" s="38"/>
      <c r="Y15" s="38"/>
      <c r="AA15" s="34" t="str">
        <f t="shared" si="5"/>
        <v>·</v>
      </c>
      <c r="AB15" s="35" t="str">
        <f t="shared" si="6"/>
        <v>·</v>
      </c>
      <c r="AC15" s="35" t="str">
        <f t="shared" si="7"/>
        <v>·</v>
      </c>
      <c r="AD15" s="35" t="str">
        <f t="shared" si="8"/>
        <v>·</v>
      </c>
      <c r="AE15" s="35" t="str">
        <f t="shared" si="9"/>
        <v>·</v>
      </c>
      <c r="AF15" s="36"/>
      <c r="AG15" s="37"/>
      <c r="AH15" s="37"/>
      <c r="AI15" s="37"/>
      <c r="AJ15" s="53"/>
      <c r="AK15" s="53"/>
      <c r="AL15" s="53"/>
      <c r="AM15" s="53"/>
      <c r="AN15" s="53"/>
      <c r="AO15" s="53"/>
      <c r="AP15" s="53"/>
      <c r="AQ15" s="53"/>
      <c r="AR15" s="38"/>
      <c r="AS15" s="38"/>
      <c r="AU15" s="34" t="e">
        <f t="shared" si="10"/>
        <v>#DIV/0!</v>
      </c>
      <c r="AV15" s="34"/>
      <c r="AX15" s="54"/>
      <c r="AY15" s="54"/>
      <c r="AZ15" s="54"/>
      <c r="BA15" s="54"/>
      <c r="BB15" s="54"/>
      <c r="BD15" s="54"/>
      <c r="BE15" s="54"/>
      <c r="BF15" s="54"/>
      <c r="BH15" s="54"/>
      <c r="BI15" s="54"/>
      <c r="BJ15" s="54"/>
    </row>
    <row r="16" spans="1:62" x14ac:dyDescent="0.25">
      <c r="A16" s="18"/>
      <c r="B16" s="18" t="s">
        <v>147</v>
      </c>
      <c r="C16" s="19" t="s">
        <v>310</v>
      </c>
      <c r="D16" s="18">
        <v>272684</v>
      </c>
      <c r="E16" s="19">
        <v>12</v>
      </c>
      <c r="G16" s="20" t="str">
        <f t="shared" si="0"/>
        <v>·</v>
      </c>
      <c r="H16" s="21" t="str">
        <f t="shared" si="1"/>
        <v>·</v>
      </c>
      <c r="I16" s="21" t="str">
        <f t="shared" si="2"/>
        <v>·</v>
      </c>
      <c r="J16" s="21" t="str">
        <f t="shared" si="3"/>
        <v>·</v>
      </c>
      <c r="K16" s="21" t="str">
        <f t="shared" si="4"/>
        <v>·</v>
      </c>
      <c r="L16" s="22"/>
      <c r="M16" s="23"/>
      <c r="N16" s="23"/>
      <c r="O16" s="23"/>
      <c r="P16" s="49"/>
      <c r="Q16" s="49"/>
      <c r="R16" s="49"/>
      <c r="S16" s="49"/>
      <c r="T16" s="49"/>
      <c r="U16" s="49"/>
      <c r="V16" s="49"/>
      <c r="W16" s="49"/>
      <c r="X16" s="24"/>
      <c r="Y16" s="24"/>
      <c r="AA16" s="20" t="str">
        <f t="shared" si="5"/>
        <v>·</v>
      </c>
      <c r="AB16" s="21" t="str">
        <f t="shared" si="6"/>
        <v>·</v>
      </c>
      <c r="AC16" s="21" t="str">
        <f t="shared" si="7"/>
        <v>·</v>
      </c>
      <c r="AD16" s="21" t="str">
        <f t="shared" si="8"/>
        <v>·</v>
      </c>
      <c r="AE16" s="21" t="str">
        <f t="shared" si="9"/>
        <v>·</v>
      </c>
      <c r="AF16" s="22"/>
      <c r="AG16" s="23"/>
      <c r="AH16" s="23"/>
      <c r="AI16" s="23"/>
      <c r="AJ16" s="49"/>
      <c r="AK16" s="49"/>
      <c r="AL16" s="49"/>
      <c r="AM16" s="49"/>
      <c r="AN16" s="49"/>
      <c r="AO16" s="49"/>
      <c r="AP16" s="49"/>
      <c r="AQ16" s="49"/>
      <c r="AR16" s="24"/>
      <c r="AS16" s="24"/>
      <c r="AU16" s="20" t="e">
        <f t="shared" si="10"/>
        <v>#DIV/0!</v>
      </c>
      <c r="AV16" s="20" t="e">
        <f t="array" ref="AV16">AVERAGE(AH16:AH21/AG16:AG21) - AVERAGE(N16:N21/M16:M21)</f>
        <v>#DIV/0!</v>
      </c>
      <c r="AX16" s="50" t="e">
        <f>bdRateExtend( M16:M21,P16:P21, AG16:AG21,AJ16:AJ21)</f>
        <v>#VALUE!</v>
      </c>
      <c r="AY16" s="50" t="e">
        <f>bdRateExtend( M16:M21,Q16:Q21, AG16:AG21,AK16:AK21)</f>
        <v>#VALUE!</v>
      </c>
      <c r="AZ16" s="50" t="e">
        <f>bdRateExtend( M16:M21,R16:R21, AG16:AG21,AL16:AL21)</f>
        <v>#VALUE!</v>
      </c>
      <c r="BA16" s="50" t="e">
        <f>bdRateExtend( M16:M21,S16:S21, AG16:AG21,AM16:AM21)</f>
        <v>#VALUE!</v>
      </c>
      <c r="BB16" s="50" t="e">
        <f>bdRateExtend( M16:M21,T16:T21, AG16:AG21,AN16:AN21)</f>
        <v>#VALUE!</v>
      </c>
      <c r="BD16" s="50" t="e">
        <f>bdRateExtend( O16:O21,R16:R21, AI16:AI21,AL16:AL21)</f>
        <v>#VALUE!</v>
      </c>
      <c r="BE16" s="50" t="e">
        <f>bdRateExtend( O16:O21,S16:S21, AI16:AI21,AM16:AM21)</f>
        <v>#VALUE!</v>
      </c>
      <c r="BF16" s="50" t="e">
        <f>bdRateExtend( O16:O21,T16:T21, AI16:AI21,AN16:AN21)</f>
        <v>#VALUE!</v>
      </c>
      <c r="BH16" s="50" t="e">
        <f>bdRateExtend( O16:O21,U16:U21, AI16:AI21,AO16:AO21)</f>
        <v>#VALUE!</v>
      </c>
      <c r="BI16" s="50" t="e">
        <f>bdRateExtend( O16:O21,V16:V21, AI16:AI21,AP16:AP21)</f>
        <v>#VALUE!</v>
      </c>
      <c r="BJ16" s="50" t="e">
        <f>bdRateExtend( O16:O21,W16:W21, AI16:AI21,AQ16:AQ21)</f>
        <v>#VALUE!</v>
      </c>
    </row>
    <row r="17" spans="1:62" outlineLevel="1" x14ac:dyDescent="0.25">
      <c r="A17" s="25"/>
      <c r="B17" s="25"/>
      <c r="C17" s="26" t="s">
        <v>311</v>
      </c>
      <c r="D17" s="25">
        <v>272684</v>
      </c>
      <c r="E17" s="26">
        <v>12</v>
      </c>
      <c r="G17" s="27" t="str">
        <f t="shared" si="0"/>
        <v>·</v>
      </c>
      <c r="H17" s="28" t="str">
        <f t="shared" si="1"/>
        <v>·</v>
      </c>
      <c r="I17" s="28" t="str">
        <f t="shared" si="2"/>
        <v>·</v>
      </c>
      <c r="J17" s="28" t="str">
        <f t="shared" si="3"/>
        <v>·</v>
      </c>
      <c r="K17" s="28" t="str">
        <f t="shared" si="4"/>
        <v>·</v>
      </c>
      <c r="L17" s="29"/>
      <c r="M17" s="30"/>
      <c r="N17" s="30"/>
      <c r="O17" s="30"/>
      <c r="P17" s="51"/>
      <c r="Q17" s="51"/>
      <c r="R17" s="51"/>
      <c r="S17" s="51"/>
      <c r="T17" s="51"/>
      <c r="U17" s="51"/>
      <c r="V17" s="51"/>
      <c r="W17" s="51"/>
      <c r="X17" s="31"/>
      <c r="Y17" s="31"/>
      <c r="AA17" s="27" t="str">
        <f t="shared" si="5"/>
        <v>·</v>
      </c>
      <c r="AB17" s="28" t="str">
        <f t="shared" si="6"/>
        <v>·</v>
      </c>
      <c r="AC17" s="28" t="str">
        <f t="shared" si="7"/>
        <v>·</v>
      </c>
      <c r="AD17" s="28" t="str">
        <f t="shared" si="8"/>
        <v>·</v>
      </c>
      <c r="AE17" s="28" t="str">
        <f t="shared" si="9"/>
        <v>·</v>
      </c>
      <c r="AF17" s="29"/>
      <c r="AG17" s="30"/>
      <c r="AH17" s="30"/>
      <c r="AI17" s="30"/>
      <c r="AJ17" s="51"/>
      <c r="AK17" s="51"/>
      <c r="AL17" s="51"/>
      <c r="AM17" s="51"/>
      <c r="AN17" s="51"/>
      <c r="AO17" s="51"/>
      <c r="AP17" s="51"/>
      <c r="AQ17" s="51"/>
      <c r="AR17" s="31"/>
      <c r="AS17" s="31"/>
      <c r="AU17" s="27" t="e">
        <f t="shared" si="10"/>
        <v>#DIV/0!</v>
      </c>
      <c r="AV17" s="27"/>
      <c r="AX17" s="52"/>
      <c r="AY17" s="52"/>
      <c r="AZ17" s="52"/>
      <c r="BA17" s="52"/>
      <c r="BB17" s="52"/>
      <c r="BD17" s="52"/>
      <c r="BE17" s="52"/>
      <c r="BF17" s="52"/>
      <c r="BH17" s="52"/>
      <c r="BI17" s="52"/>
      <c r="BJ17" s="52"/>
    </row>
    <row r="18" spans="1:62" outlineLevel="1" x14ac:dyDescent="0.25">
      <c r="A18" s="18"/>
      <c r="B18" s="18"/>
      <c r="C18" s="19" t="s">
        <v>312</v>
      </c>
      <c r="D18" s="18">
        <v>272684</v>
      </c>
      <c r="E18" s="19">
        <v>12</v>
      </c>
      <c r="G18" s="20" t="str">
        <f t="shared" si="0"/>
        <v>·</v>
      </c>
      <c r="H18" s="21" t="str">
        <f t="shared" si="1"/>
        <v>·</v>
      </c>
      <c r="I18" s="21" t="str">
        <f t="shared" si="2"/>
        <v>·</v>
      </c>
      <c r="J18" s="21" t="str">
        <f t="shared" si="3"/>
        <v>·</v>
      </c>
      <c r="K18" s="21" t="str">
        <f t="shared" si="4"/>
        <v>·</v>
      </c>
      <c r="L18" s="22"/>
      <c r="M18" s="23"/>
      <c r="N18" s="23"/>
      <c r="O18" s="23"/>
      <c r="P18" s="49"/>
      <c r="Q18" s="49"/>
      <c r="R18" s="49"/>
      <c r="S18" s="49"/>
      <c r="T18" s="49"/>
      <c r="U18" s="49"/>
      <c r="V18" s="49"/>
      <c r="W18" s="49"/>
      <c r="X18" s="24"/>
      <c r="Y18" s="24"/>
      <c r="AA18" s="20" t="str">
        <f t="shared" si="5"/>
        <v>·</v>
      </c>
      <c r="AB18" s="21" t="str">
        <f t="shared" si="6"/>
        <v>·</v>
      </c>
      <c r="AC18" s="21" t="str">
        <f t="shared" si="7"/>
        <v>·</v>
      </c>
      <c r="AD18" s="21" t="str">
        <f t="shared" si="8"/>
        <v>·</v>
      </c>
      <c r="AE18" s="21" t="str">
        <f t="shared" si="9"/>
        <v>·</v>
      </c>
      <c r="AF18" s="22"/>
      <c r="AG18" s="23"/>
      <c r="AH18" s="23"/>
      <c r="AI18" s="23"/>
      <c r="AJ18" s="49"/>
      <c r="AK18" s="49"/>
      <c r="AL18" s="49"/>
      <c r="AM18" s="49"/>
      <c r="AN18" s="49"/>
      <c r="AO18" s="49"/>
      <c r="AP18" s="49"/>
      <c r="AQ18" s="49"/>
      <c r="AR18" s="24"/>
      <c r="AS18" s="24"/>
      <c r="AU18" s="20" t="e">
        <f t="shared" si="10"/>
        <v>#DIV/0!</v>
      </c>
      <c r="AV18" s="20"/>
      <c r="AX18" s="50"/>
      <c r="AY18" s="50"/>
      <c r="AZ18" s="50"/>
      <c r="BA18" s="50"/>
      <c r="BB18" s="50"/>
      <c r="BD18" s="50"/>
      <c r="BE18" s="50"/>
      <c r="BF18" s="50"/>
      <c r="BH18" s="50"/>
      <c r="BI18" s="50"/>
      <c r="BJ18" s="50"/>
    </row>
    <row r="19" spans="1:62" outlineLevel="1" x14ac:dyDescent="0.25">
      <c r="A19" s="25"/>
      <c r="B19" s="25"/>
      <c r="C19" s="26" t="s">
        <v>313</v>
      </c>
      <c r="D19" s="25">
        <v>272684</v>
      </c>
      <c r="E19" s="26">
        <v>12</v>
      </c>
      <c r="G19" s="27" t="str">
        <f t="shared" si="0"/>
        <v>·</v>
      </c>
      <c r="H19" s="28" t="str">
        <f t="shared" si="1"/>
        <v>·</v>
      </c>
      <c r="I19" s="28" t="str">
        <f t="shared" si="2"/>
        <v>·</v>
      </c>
      <c r="J19" s="28" t="str">
        <f t="shared" si="3"/>
        <v>·</v>
      </c>
      <c r="K19" s="28" t="str">
        <f t="shared" si="4"/>
        <v>·</v>
      </c>
      <c r="L19" s="29"/>
      <c r="M19" s="30"/>
      <c r="N19" s="30"/>
      <c r="O19" s="30"/>
      <c r="P19" s="51"/>
      <c r="Q19" s="51"/>
      <c r="R19" s="51"/>
      <c r="S19" s="51"/>
      <c r="T19" s="51"/>
      <c r="U19" s="51"/>
      <c r="V19" s="51"/>
      <c r="W19" s="51"/>
      <c r="X19" s="31"/>
      <c r="Y19" s="31"/>
      <c r="AA19" s="27" t="str">
        <f t="shared" si="5"/>
        <v>·</v>
      </c>
      <c r="AB19" s="28" t="str">
        <f t="shared" si="6"/>
        <v>·</v>
      </c>
      <c r="AC19" s="28" t="str">
        <f t="shared" si="7"/>
        <v>·</v>
      </c>
      <c r="AD19" s="28" t="str">
        <f t="shared" si="8"/>
        <v>·</v>
      </c>
      <c r="AE19" s="28" t="str">
        <f t="shared" si="9"/>
        <v>·</v>
      </c>
      <c r="AF19" s="29"/>
      <c r="AG19" s="30"/>
      <c r="AH19" s="30"/>
      <c r="AI19" s="30"/>
      <c r="AJ19" s="51"/>
      <c r="AK19" s="51"/>
      <c r="AL19" s="51"/>
      <c r="AM19" s="51"/>
      <c r="AN19" s="51"/>
      <c r="AO19" s="51"/>
      <c r="AP19" s="51"/>
      <c r="AQ19" s="51"/>
      <c r="AR19" s="31"/>
      <c r="AS19" s="31"/>
      <c r="AU19" s="27" t="e">
        <f t="shared" si="10"/>
        <v>#DIV/0!</v>
      </c>
      <c r="AV19" s="27"/>
      <c r="AX19" s="52"/>
      <c r="AY19" s="52"/>
      <c r="AZ19" s="52"/>
      <c r="BA19" s="52"/>
      <c r="BB19" s="52"/>
      <c r="BD19" s="52"/>
      <c r="BE19" s="52"/>
      <c r="BF19" s="52"/>
      <c r="BH19" s="52"/>
      <c r="BI19" s="52"/>
      <c r="BJ19" s="52"/>
    </row>
    <row r="20" spans="1:62" outlineLevel="1" x14ac:dyDescent="0.25">
      <c r="A20" s="18"/>
      <c r="B20" s="18"/>
      <c r="C20" s="19" t="s">
        <v>428</v>
      </c>
      <c r="D20" s="18">
        <v>272684</v>
      </c>
      <c r="E20" s="19">
        <v>12</v>
      </c>
      <c r="G20" s="20" t="str">
        <f t="shared" si="0"/>
        <v>·</v>
      </c>
      <c r="H20" s="21" t="str">
        <f t="shared" si="1"/>
        <v>·</v>
      </c>
      <c r="I20" s="21" t="str">
        <f t="shared" si="2"/>
        <v>·</v>
      </c>
      <c r="J20" s="21" t="str">
        <f t="shared" si="3"/>
        <v>·</v>
      </c>
      <c r="K20" s="21" t="str">
        <f t="shared" si="4"/>
        <v>·</v>
      </c>
      <c r="L20" s="22"/>
      <c r="M20" s="23"/>
      <c r="N20" s="23"/>
      <c r="O20" s="23"/>
      <c r="P20" s="49"/>
      <c r="Q20" s="49"/>
      <c r="R20" s="49"/>
      <c r="S20" s="49"/>
      <c r="T20" s="49"/>
      <c r="U20" s="49"/>
      <c r="V20" s="49"/>
      <c r="W20" s="49"/>
      <c r="X20" s="24"/>
      <c r="Y20" s="24"/>
      <c r="AA20" s="20" t="str">
        <f t="shared" si="5"/>
        <v>·</v>
      </c>
      <c r="AB20" s="21" t="str">
        <f t="shared" si="6"/>
        <v>·</v>
      </c>
      <c r="AC20" s="21" t="str">
        <f t="shared" si="7"/>
        <v>·</v>
      </c>
      <c r="AD20" s="21" t="str">
        <f t="shared" si="8"/>
        <v>·</v>
      </c>
      <c r="AE20" s="21" t="str">
        <f t="shared" si="9"/>
        <v>·</v>
      </c>
      <c r="AF20" s="22"/>
      <c r="AG20" s="23"/>
      <c r="AH20" s="23"/>
      <c r="AI20" s="23"/>
      <c r="AJ20" s="49"/>
      <c r="AK20" s="49"/>
      <c r="AL20" s="49"/>
      <c r="AM20" s="49"/>
      <c r="AN20" s="49"/>
      <c r="AO20" s="49"/>
      <c r="AP20" s="49"/>
      <c r="AQ20" s="49"/>
      <c r="AR20" s="24"/>
      <c r="AS20" s="24"/>
      <c r="AU20" s="20" t="e">
        <f t="shared" si="10"/>
        <v>#DIV/0!</v>
      </c>
      <c r="AV20" s="20"/>
      <c r="AX20" s="50"/>
      <c r="AY20" s="50"/>
      <c r="AZ20" s="50"/>
      <c r="BA20" s="50"/>
      <c r="BB20" s="50"/>
      <c r="BD20" s="50"/>
      <c r="BE20" s="50"/>
      <c r="BF20" s="50"/>
      <c r="BH20" s="50"/>
      <c r="BI20" s="50"/>
      <c r="BJ20" s="50"/>
    </row>
    <row r="21" spans="1:62" outlineLevel="1" x14ac:dyDescent="0.25">
      <c r="A21" s="25"/>
      <c r="B21" s="32"/>
      <c r="C21" s="33" t="s">
        <v>429</v>
      </c>
      <c r="D21" s="32">
        <v>272684</v>
      </c>
      <c r="E21" s="33">
        <v>12</v>
      </c>
      <c r="G21" s="34" t="str">
        <f t="shared" si="0"/>
        <v>·</v>
      </c>
      <c r="H21" s="35" t="str">
        <f t="shared" si="1"/>
        <v>·</v>
      </c>
      <c r="I21" s="35" t="str">
        <f t="shared" si="2"/>
        <v>·</v>
      </c>
      <c r="J21" s="35" t="str">
        <f t="shared" si="3"/>
        <v>·</v>
      </c>
      <c r="K21" s="35" t="str">
        <f t="shared" si="4"/>
        <v>·</v>
      </c>
      <c r="L21" s="36"/>
      <c r="M21" s="37"/>
      <c r="N21" s="37"/>
      <c r="O21" s="37"/>
      <c r="P21" s="53"/>
      <c r="Q21" s="53"/>
      <c r="R21" s="53"/>
      <c r="S21" s="53"/>
      <c r="T21" s="53"/>
      <c r="U21" s="53"/>
      <c r="V21" s="53"/>
      <c r="W21" s="53"/>
      <c r="X21" s="38"/>
      <c r="Y21" s="38"/>
      <c r="AA21" s="34" t="str">
        <f t="shared" si="5"/>
        <v>·</v>
      </c>
      <c r="AB21" s="35" t="str">
        <f t="shared" si="6"/>
        <v>·</v>
      </c>
      <c r="AC21" s="35" t="str">
        <f t="shared" si="7"/>
        <v>·</v>
      </c>
      <c r="AD21" s="35" t="str">
        <f t="shared" si="8"/>
        <v>·</v>
      </c>
      <c r="AE21" s="35" t="str">
        <f t="shared" si="9"/>
        <v>·</v>
      </c>
      <c r="AF21" s="36"/>
      <c r="AG21" s="37"/>
      <c r="AH21" s="37"/>
      <c r="AI21" s="37"/>
      <c r="AJ21" s="53"/>
      <c r="AK21" s="53"/>
      <c r="AL21" s="53"/>
      <c r="AM21" s="53"/>
      <c r="AN21" s="53"/>
      <c r="AO21" s="53"/>
      <c r="AP21" s="53"/>
      <c r="AQ21" s="53"/>
      <c r="AR21" s="38"/>
      <c r="AS21" s="38"/>
      <c r="AU21" s="34" t="e">
        <f t="shared" si="10"/>
        <v>#DIV/0!</v>
      </c>
      <c r="AV21" s="34"/>
      <c r="AX21" s="54"/>
      <c r="AY21" s="54"/>
      <c r="AZ21" s="54"/>
      <c r="BA21" s="54"/>
      <c r="BB21" s="54"/>
      <c r="BD21" s="54"/>
      <c r="BE21" s="54"/>
      <c r="BF21" s="54"/>
      <c r="BH21" s="54"/>
      <c r="BI21" s="54"/>
      <c r="BJ21" s="54"/>
    </row>
    <row r="22" spans="1:62" x14ac:dyDescent="0.25">
      <c r="A22" s="18"/>
      <c r="B22" s="18" t="s">
        <v>150</v>
      </c>
      <c r="C22" s="19" t="s">
        <v>310</v>
      </c>
      <c r="D22" s="18">
        <v>272689</v>
      </c>
      <c r="E22" s="19">
        <v>20</v>
      </c>
      <c r="G22" s="20" t="str">
        <f t="shared" si="0"/>
        <v>·</v>
      </c>
      <c r="H22" s="21" t="str">
        <f t="shared" si="1"/>
        <v>·</v>
      </c>
      <c r="I22" s="21" t="str">
        <f t="shared" si="2"/>
        <v>·</v>
      </c>
      <c r="J22" s="21" t="str">
        <f t="shared" si="3"/>
        <v>·</v>
      </c>
      <c r="K22" s="21" t="str">
        <f t="shared" si="4"/>
        <v>·</v>
      </c>
      <c r="L22" s="22"/>
      <c r="M22" s="23"/>
      <c r="N22" s="23"/>
      <c r="O22" s="23"/>
      <c r="P22" s="49"/>
      <c r="Q22" s="49"/>
      <c r="R22" s="49"/>
      <c r="S22" s="49"/>
      <c r="T22" s="49"/>
      <c r="U22" s="49"/>
      <c r="V22" s="49"/>
      <c r="W22" s="49"/>
      <c r="X22" s="24"/>
      <c r="Y22" s="24"/>
      <c r="AA22" s="20" t="str">
        <f t="shared" si="5"/>
        <v>·</v>
      </c>
      <c r="AB22" s="21" t="str">
        <f t="shared" si="6"/>
        <v>·</v>
      </c>
      <c r="AC22" s="21" t="str">
        <f t="shared" si="7"/>
        <v>·</v>
      </c>
      <c r="AD22" s="21" t="str">
        <f t="shared" si="8"/>
        <v>·</v>
      </c>
      <c r="AE22" s="21" t="str">
        <f t="shared" si="9"/>
        <v>·</v>
      </c>
      <c r="AF22" s="22"/>
      <c r="AG22" s="23"/>
      <c r="AH22" s="23"/>
      <c r="AI22" s="23"/>
      <c r="AJ22" s="49"/>
      <c r="AK22" s="49"/>
      <c r="AL22" s="49"/>
      <c r="AM22" s="49"/>
      <c r="AN22" s="49"/>
      <c r="AO22" s="49"/>
      <c r="AP22" s="49"/>
      <c r="AQ22" s="49"/>
      <c r="AR22" s="24"/>
      <c r="AS22" s="24"/>
      <c r="AU22" s="20" t="e">
        <f t="shared" si="10"/>
        <v>#DIV/0!</v>
      </c>
      <c r="AV22" s="20" t="e">
        <f t="array" ref="AV22">AVERAGE(AH22:AH27/AG22:AG27) - AVERAGE(N22:N27/M22:M27)</f>
        <v>#DIV/0!</v>
      </c>
      <c r="AX22" s="50" t="e">
        <f>bdRateExtend( M22:M27,P22:P27, AG22:AG27,AJ22:AJ27)</f>
        <v>#VALUE!</v>
      </c>
      <c r="AY22" s="50" t="e">
        <f>bdRateExtend( M22:M27,Q22:Q27, AG22:AG27,AK22:AK27)</f>
        <v>#VALUE!</v>
      </c>
      <c r="AZ22" s="50" t="e">
        <f>bdRateExtend( M22:M27,R22:R27, AG22:AG27,AL22:AL27)</f>
        <v>#VALUE!</v>
      </c>
      <c r="BA22" s="50" t="e">
        <f>bdRateExtend( M22:M27,S22:S27, AG22:AG27,AM22:AM27)</f>
        <v>#VALUE!</v>
      </c>
      <c r="BB22" s="50" t="e">
        <f>bdRateExtend( M22:M27,T22:T27, AG22:AG27,AN22:AN27)</f>
        <v>#VALUE!</v>
      </c>
      <c r="BD22" s="50" t="e">
        <f>bdRateExtend( O22:O27,R22:R27, AI22:AI27,AL22:AL27)</f>
        <v>#VALUE!</v>
      </c>
      <c r="BE22" s="50" t="e">
        <f>bdRateExtend( O22:O27,S22:S27, AI22:AI27,AM22:AM27)</f>
        <v>#VALUE!</v>
      </c>
      <c r="BF22" s="50" t="e">
        <f>bdRateExtend( O22:O27,T22:T27, AI22:AI27,AN22:AN27)</f>
        <v>#VALUE!</v>
      </c>
      <c r="BH22" s="50" t="e">
        <f>bdRateExtend( O22:O27,U22:U27, AI22:AI27,AO22:AO27)</f>
        <v>#VALUE!</v>
      </c>
      <c r="BI22" s="50" t="e">
        <f>bdRateExtend( O22:O27,V22:V27, AI22:AI27,AP22:AP27)</f>
        <v>#VALUE!</v>
      </c>
      <c r="BJ22" s="50" t="e">
        <f>bdRateExtend( O22:O27,W22:W27, AI22:AI27,AQ22:AQ27)</f>
        <v>#VALUE!</v>
      </c>
    </row>
    <row r="23" spans="1:62" outlineLevel="1" x14ac:dyDescent="0.25">
      <c r="A23" s="25"/>
      <c r="B23" s="25"/>
      <c r="C23" s="26" t="s">
        <v>311</v>
      </c>
      <c r="D23" s="25">
        <v>272689</v>
      </c>
      <c r="E23" s="26">
        <v>20</v>
      </c>
      <c r="G23" s="27" t="str">
        <f t="shared" si="0"/>
        <v>·</v>
      </c>
      <c r="H23" s="28" t="str">
        <f t="shared" si="1"/>
        <v>·</v>
      </c>
      <c r="I23" s="28" t="str">
        <f t="shared" si="2"/>
        <v>·</v>
      </c>
      <c r="J23" s="28" t="str">
        <f t="shared" si="3"/>
        <v>·</v>
      </c>
      <c r="K23" s="28" t="str">
        <f t="shared" si="4"/>
        <v>·</v>
      </c>
      <c r="L23" s="29"/>
      <c r="M23" s="30"/>
      <c r="N23" s="30"/>
      <c r="O23" s="30"/>
      <c r="P23" s="51"/>
      <c r="Q23" s="51"/>
      <c r="R23" s="51"/>
      <c r="S23" s="51"/>
      <c r="T23" s="51"/>
      <c r="U23" s="51"/>
      <c r="V23" s="51"/>
      <c r="W23" s="51"/>
      <c r="X23" s="31"/>
      <c r="Y23" s="31"/>
      <c r="AA23" s="27" t="str">
        <f t="shared" si="5"/>
        <v>·</v>
      </c>
      <c r="AB23" s="28" t="str">
        <f t="shared" si="6"/>
        <v>·</v>
      </c>
      <c r="AC23" s="28" t="str">
        <f t="shared" si="7"/>
        <v>·</v>
      </c>
      <c r="AD23" s="28" t="str">
        <f t="shared" si="8"/>
        <v>·</v>
      </c>
      <c r="AE23" s="28" t="str">
        <f t="shared" si="9"/>
        <v>·</v>
      </c>
      <c r="AF23" s="29"/>
      <c r="AG23" s="30"/>
      <c r="AH23" s="30"/>
      <c r="AI23" s="30"/>
      <c r="AJ23" s="51"/>
      <c r="AK23" s="51"/>
      <c r="AL23" s="51"/>
      <c r="AM23" s="51"/>
      <c r="AN23" s="51"/>
      <c r="AO23" s="51"/>
      <c r="AP23" s="51"/>
      <c r="AQ23" s="51"/>
      <c r="AR23" s="31"/>
      <c r="AS23" s="31"/>
      <c r="AU23" s="27" t="e">
        <f t="shared" si="10"/>
        <v>#DIV/0!</v>
      </c>
      <c r="AV23" s="27"/>
      <c r="AX23" s="52"/>
      <c r="AY23" s="52"/>
      <c r="AZ23" s="52"/>
      <c r="BA23" s="52"/>
      <c r="BB23" s="52"/>
      <c r="BD23" s="52"/>
      <c r="BE23" s="52"/>
      <c r="BF23" s="52"/>
      <c r="BH23" s="52"/>
      <c r="BI23" s="52"/>
      <c r="BJ23" s="52"/>
    </row>
    <row r="24" spans="1:62" outlineLevel="1" x14ac:dyDescent="0.25">
      <c r="A24" s="18"/>
      <c r="B24" s="18"/>
      <c r="C24" s="19" t="s">
        <v>312</v>
      </c>
      <c r="D24" s="18">
        <v>272689</v>
      </c>
      <c r="E24" s="19">
        <v>20</v>
      </c>
      <c r="G24" s="20" t="str">
        <f t="shared" si="0"/>
        <v>·</v>
      </c>
      <c r="H24" s="21" t="str">
        <f t="shared" si="1"/>
        <v>·</v>
      </c>
      <c r="I24" s="21" t="str">
        <f t="shared" si="2"/>
        <v>·</v>
      </c>
      <c r="J24" s="21" t="str">
        <f t="shared" si="3"/>
        <v>·</v>
      </c>
      <c r="K24" s="21" t="str">
        <f t="shared" si="4"/>
        <v>·</v>
      </c>
      <c r="L24" s="22"/>
      <c r="M24" s="23"/>
      <c r="N24" s="23"/>
      <c r="O24" s="23"/>
      <c r="P24" s="49"/>
      <c r="Q24" s="49"/>
      <c r="R24" s="49"/>
      <c r="S24" s="49"/>
      <c r="T24" s="49"/>
      <c r="U24" s="49"/>
      <c r="V24" s="49"/>
      <c r="W24" s="49"/>
      <c r="X24" s="24"/>
      <c r="Y24" s="24"/>
      <c r="AA24" s="20" t="str">
        <f t="shared" si="5"/>
        <v>·</v>
      </c>
      <c r="AB24" s="21" t="str">
        <f t="shared" si="6"/>
        <v>·</v>
      </c>
      <c r="AC24" s="21" t="str">
        <f t="shared" si="7"/>
        <v>·</v>
      </c>
      <c r="AD24" s="21" t="str">
        <f t="shared" si="8"/>
        <v>·</v>
      </c>
      <c r="AE24" s="21" t="str">
        <f t="shared" si="9"/>
        <v>·</v>
      </c>
      <c r="AF24" s="22"/>
      <c r="AG24" s="23"/>
      <c r="AH24" s="23"/>
      <c r="AI24" s="23"/>
      <c r="AJ24" s="49"/>
      <c r="AK24" s="49"/>
      <c r="AL24" s="49"/>
      <c r="AM24" s="49"/>
      <c r="AN24" s="49"/>
      <c r="AO24" s="49"/>
      <c r="AP24" s="49"/>
      <c r="AQ24" s="49"/>
      <c r="AR24" s="24"/>
      <c r="AS24" s="24"/>
      <c r="AU24" s="20" t="e">
        <f t="shared" si="10"/>
        <v>#DIV/0!</v>
      </c>
      <c r="AV24" s="20"/>
      <c r="AX24" s="50"/>
      <c r="AY24" s="50"/>
      <c r="AZ24" s="50"/>
      <c r="BA24" s="50"/>
      <c r="BB24" s="50"/>
      <c r="BD24" s="50"/>
      <c r="BE24" s="50"/>
      <c r="BF24" s="50"/>
      <c r="BH24" s="50"/>
      <c r="BI24" s="50"/>
      <c r="BJ24" s="50"/>
    </row>
    <row r="25" spans="1:62" outlineLevel="1" x14ac:dyDescent="0.25">
      <c r="A25" s="25"/>
      <c r="B25" s="25"/>
      <c r="C25" s="26" t="s">
        <v>313</v>
      </c>
      <c r="D25" s="25">
        <v>272689</v>
      </c>
      <c r="E25" s="26">
        <v>20</v>
      </c>
      <c r="G25" s="27" t="str">
        <f t="shared" si="0"/>
        <v>·</v>
      </c>
      <c r="H25" s="28" t="str">
        <f t="shared" si="1"/>
        <v>·</v>
      </c>
      <c r="I25" s="28" t="str">
        <f t="shared" si="2"/>
        <v>·</v>
      </c>
      <c r="J25" s="28" t="str">
        <f t="shared" si="3"/>
        <v>·</v>
      </c>
      <c r="K25" s="28" t="str">
        <f t="shared" si="4"/>
        <v>·</v>
      </c>
      <c r="L25" s="29"/>
      <c r="M25" s="30"/>
      <c r="N25" s="30"/>
      <c r="O25" s="30"/>
      <c r="P25" s="51"/>
      <c r="Q25" s="51"/>
      <c r="R25" s="51"/>
      <c r="S25" s="51"/>
      <c r="T25" s="51"/>
      <c r="U25" s="51"/>
      <c r="V25" s="51"/>
      <c r="W25" s="51"/>
      <c r="X25" s="31"/>
      <c r="Y25" s="31"/>
      <c r="AA25" s="27" t="str">
        <f t="shared" si="5"/>
        <v>·</v>
      </c>
      <c r="AB25" s="28" t="str">
        <f t="shared" si="6"/>
        <v>·</v>
      </c>
      <c r="AC25" s="28" t="str">
        <f t="shared" si="7"/>
        <v>·</v>
      </c>
      <c r="AD25" s="28" t="str">
        <f t="shared" si="8"/>
        <v>·</v>
      </c>
      <c r="AE25" s="28" t="str">
        <f t="shared" si="9"/>
        <v>·</v>
      </c>
      <c r="AF25" s="29"/>
      <c r="AG25" s="30"/>
      <c r="AH25" s="30"/>
      <c r="AI25" s="30"/>
      <c r="AJ25" s="51"/>
      <c r="AK25" s="51"/>
      <c r="AL25" s="51"/>
      <c r="AM25" s="51"/>
      <c r="AN25" s="51"/>
      <c r="AO25" s="51"/>
      <c r="AP25" s="51"/>
      <c r="AQ25" s="51"/>
      <c r="AR25" s="31"/>
      <c r="AS25" s="31"/>
      <c r="AU25" s="27" t="e">
        <f t="shared" si="10"/>
        <v>#DIV/0!</v>
      </c>
      <c r="AV25" s="27"/>
      <c r="AX25" s="52"/>
      <c r="AY25" s="52"/>
      <c r="AZ25" s="52"/>
      <c r="BA25" s="52"/>
      <c r="BB25" s="52"/>
      <c r="BD25" s="52"/>
      <c r="BE25" s="52"/>
      <c r="BF25" s="52"/>
      <c r="BH25" s="52"/>
      <c r="BI25" s="52"/>
      <c r="BJ25" s="52"/>
    </row>
    <row r="26" spans="1:62" outlineLevel="1" x14ac:dyDescent="0.25">
      <c r="A26" s="18"/>
      <c r="B26" s="18"/>
      <c r="C26" s="19" t="s">
        <v>428</v>
      </c>
      <c r="D26" s="18">
        <v>272689</v>
      </c>
      <c r="E26" s="19">
        <v>20</v>
      </c>
      <c r="G26" s="20" t="str">
        <f t="shared" si="0"/>
        <v>·</v>
      </c>
      <c r="H26" s="21" t="str">
        <f t="shared" si="1"/>
        <v>·</v>
      </c>
      <c r="I26" s="21" t="str">
        <f t="shared" si="2"/>
        <v>·</v>
      </c>
      <c r="J26" s="21" t="str">
        <f t="shared" si="3"/>
        <v>·</v>
      </c>
      <c r="K26" s="21" t="str">
        <f t="shared" si="4"/>
        <v>·</v>
      </c>
      <c r="L26" s="22"/>
      <c r="M26" s="23"/>
      <c r="N26" s="23"/>
      <c r="O26" s="23"/>
      <c r="P26" s="49"/>
      <c r="Q26" s="49"/>
      <c r="R26" s="49"/>
      <c r="S26" s="49"/>
      <c r="T26" s="49"/>
      <c r="U26" s="49"/>
      <c r="V26" s="49"/>
      <c r="W26" s="49"/>
      <c r="X26" s="24"/>
      <c r="Y26" s="24"/>
      <c r="AA26" s="20" t="str">
        <f t="shared" si="5"/>
        <v>·</v>
      </c>
      <c r="AB26" s="21" t="str">
        <f t="shared" si="6"/>
        <v>·</v>
      </c>
      <c r="AC26" s="21" t="str">
        <f t="shared" si="7"/>
        <v>·</v>
      </c>
      <c r="AD26" s="21" t="str">
        <f t="shared" si="8"/>
        <v>·</v>
      </c>
      <c r="AE26" s="21" t="str">
        <f t="shared" si="9"/>
        <v>·</v>
      </c>
      <c r="AF26" s="22"/>
      <c r="AG26" s="23"/>
      <c r="AH26" s="23"/>
      <c r="AI26" s="23"/>
      <c r="AJ26" s="49"/>
      <c r="AK26" s="49"/>
      <c r="AL26" s="49"/>
      <c r="AM26" s="49"/>
      <c r="AN26" s="49"/>
      <c r="AO26" s="49"/>
      <c r="AP26" s="49"/>
      <c r="AQ26" s="49"/>
      <c r="AR26" s="24"/>
      <c r="AS26" s="24"/>
      <c r="AU26" s="20" t="e">
        <f t="shared" si="10"/>
        <v>#DIV/0!</v>
      </c>
      <c r="AV26" s="20"/>
      <c r="AX26" s="50"/>
      <c r="AY26" s="50"/>
      <c r="AZ26" s="50"/>
      <c r="BA26" s="50"/>
      <c r="BB26" s="50"/>
      <c r="BD26" s="50"/>
      <c r="BE26" s="50"/>
      <c r="BF26" s="50"/>
      <c r="BH26" s="50"/>
      <c r="BI26" s="50"/>
      <c r="BJ26" s="50"/>
    </row>
    <row r="27" spans="1:62" outlineLevel="1" x14ac:dyDescent="0.25">
      <c r="A27" s="25"/>
      <c r="B27" s="32"/>
      <c r="C27" s="33" t="s">
        <v>429</v>
      </c>
      <c r="D27" s="32">
        <v>272689</v>
      </c>
      <c r="E27" s="33">
        <v>20</v>
      </c>
      <c r="G27" s="34" t="str">
        <f t="shared" si="0"/>
        <v>·</v>
      </c>
      <c r="H27" s="35" t="str">
        <f t="shared" si="1"/>
        <v>·</v>
      </c>
      <c r="I27" s="35" t="str">
        <f t="shared" si="2"/>
        <v>·</v>
      </c>
      <c r="J27" s="35" t="str">
        <f t="shared" si="3"/>
        <v>·</v>
      </c>
      <c r="K27" s="35" t="str">
        <f t="shared" si="4"/>
        <v>·</v>
      </c>
      <c r="L27" s="36"/>
      <c r="M27" s="37"/>
      <c r="N27" s="37"/>
      <c r="O27" s="37"/>
      <c r="P27" s="53"/>
      <c r="Q27" s="53"/>
      <c r="R27" s="53"/>
      <c r="S27" s="53"/>
      <c r="T27" s="53"/>
      <c r="U27" s="53"/>
      <c r="V27" s="53"/>
      <c r="W27" s="53"/>
      <c r="X27" s="38"/>
      <c r="Y27" s="38"/>
      <c r="AA27" s="34" t="str">
        <f t="shared" si="5"/>
        <v>·</v>
      </c>
      <c r="AB27" s="35" t="str">
        <f t="shared" si="6"/>
        <v>·</v>
      </c>
      <c r="AC27" s="35" t="str">
        <f t="shared" si="7"/>
        <v>·</v>
      </c>
      <c r="AD27" s="35" t="str">
        <f t="shared" si="8"/>
        <v>·</v>
      </c>
      <c r="AE27" s="35" t="str">
        <f t="shared" si="9"/>
        <v>·</v>
      </c>
      <c r="AF27" s="36"/>
      <c r="AG27" s="37"/>
      <c r="AH27" s="37"/>
      <c r="AI27" s="37"/>
      <c r="AJ27" s="53"/>
      <c r="AK27" s="53"/>
      <c r="AL27" s="53"/>
      <c r="AM27" s="53"/>
      <c r="AN27" s="53"/>
      <c r="AO27" s="53"/>
      <c r="AP27" s="53"/>
      <c r="AQ27" s="53"/>
      <c r="AR27" s="38"/>
      <c r="AS27" s="38"/>
      <c r="AU27" s="34" t="e">
        <f t="shared" si="10"/>
        <v>#DIV/0!</v>
      </c>
      <c r="AV27" s="34"/>
      <c r="AX27" s="54"/>
      <c r="AY27" s="54"/>
      <c r="AZ27" s="54"/>
      <c r="BA27" s="54"/>
      <c r="BB27" s="54"/>
      <c r="BD27" s="54"/>
      <c r="BE27" s="54"/>
      <c r="BF27" s="54"/>
      <c r="BH27" s="54"/>
      <c r="BI27" s="54"/>
      <c r="BJ27" s="54"/>
    </row>
    <row r="28" spans="1:62" x14ac:dyDescent="0.25">
      <c r="A28" s="18"/>
      <c r="B28" s="18" t="s">
        <v>153</v>
      </c>
      <c r="C28" s="19" t="s">
        <v>310</v>
      </c>
      <c r="D28" s="18">
        <v>1596085</v>
      </c>
      <c r="E28" s="19">
        <v>12</v>
      </c>
      <c r="G28" s="20" t="str">
        <f t="shared" si="0"/>
        <v>·</v>
      </c>
      <c r="H28" s="21" t="str">
        <f t="shared" si="1"/>
        <v>·</v>
      </c>
      <c r="I28" s="21" t="str">
        <f t="shared" si="2"/>
        <v>·</v>
      </c>
      <c r="J28" s="21" t="str">
        <f t="shared" si="3"/>
        <v>·</v>
      </c>
      <c r="K28" s="21" t="str">
        <f t="shared" si="4"/>
        <v>·</v>
      </c>
      <c r="L28" s="22"/>
      <c r="M28" s="23"/>
      <c r="N28" s="23"/>
      <c r="O28" s="23"/>
      <c r="P28" s="49"/>
      <c r="Q28" s="49"/>
      <c r="R28" s="49"/>
      <c r="S28" s="49"/>
      <c r="T28" s="49"/>
      <c r="U28" s="49"/>
      <c r="V28" s="49"/>
      <c r="W28" s="49"/>
      <c r="X28" s="24"/>
      <c r="Y28" s="24"/>
      <c r="AA28" s="20" t="str">
        <f t="shared" si="5"/>
        <v>·</v>
      </c>
      <c r="AB28" s="21" t="str">
        <f t="shared" si="6"/>
        <v>·</v>
      </c>
      <c r="AC28" s="21" t="str">
        <f t="shared" si="7"/>
        <v>·</v>
      </c>
      <c r="AD28" s="21" t="str">
        <f t="shared" si="8"/>
        <v>·</v>
      </c>
      <c r="AE28" s="21" t="str">
        <f t="shared" si="9"/>
        <v>·</v>
      </c>
      <c r="AF28" s="22"/>
      <c r="AG28" s="23"/>
      <c r="AH28" s="23"/>
      <c r="AI28" s="23"/>
      <c r="AJ28" s="49"/>
      <c r="AK28" s="49"/>
      <c r="AL28" s="49"/>
      <c r="AM28" s="49"/>
      <c r="AN28" s="49"/>
      <c r="AO28" s="49"/>
      <c r="AP28" s="49"/>
      <c r="AQ28" s="49"/>
      <c r="AR28" s="24"/>
      <c r="AS28" s="24"/>
      <c r="AU28" s="20" t="e">
        <f t="shared" si="10"/>
        <v>#DIV/0!</v>
      </c>
      <c r="AV28" s="20" t="e">
        <f t="array" ref="AV28">AVERAGE(AH28:AH33/AG28:AG33) - AVERAGE(N28:N33/M28:M33)</f>
        <v>#DIV/0!</v>
      </c>
      <c r="AX28" s="50" t="e">
        <f>bdRateExtend( M28:M33,P28:P33, AG28:AG33,AJ28:AJ33)</f>
        <v>#VALUE!</v>
      </c>
      <c r="AY28" s="50" t="e">
        <f>bdRateExtend( M28:M33,Q28:Q33, AG28:AG33,AK28:AK33)</f>
        <v>#VALUE!</v>
      </c>
      <c r="AZ28" s="50" t="e">
        <f>bdRateExtend( M28:M33,R28:R33, AG28:AG33,AL28:AL33)</f>
        <v>#VALUE!</v>
      </c>
      <c r="BA28" s="50" t="e">
        <f>bdRateExtend( M28:M33,S28:S33, AG28:AG33,AM28:AM33)</f>
        <v>#VALUE!</v>
      </c>
      <c r="BB28" s="50" t="e">
        <f>bdRateExtend( M28:M33,T28:T33, AG28:AG33,AN28:AN33)</f>
        <v>#VALUE!</v>
      </c>
      <c r="BD28" s="50" t="e">
        <f>bdRateExtend( O28:O33,R28:R33, AI28:AI33,AL28:AL33)</f>
        <v>#VALUE!</v>
      </c>
      <c r="BE28" s="50" t="e">
        <f>bdRateExtend( O28:O33,S28:S33, AI28:AI33,AM28:AM33)</f>
        <v>#VALUE!</v>
      </c>
      <c r="BF28" s="50" t="e">
        <f>bdRateExtend( O28:O33,T28:T33, AI28:AI33,AN28:AN33)</f>
        <v>#VALUE!</v>
      </c>
      <c r="BH28" s="50" t="e">
        <f>bdRateExtend( O28:O33,U28:U33, AI28:AI33,AO28:AO33)</f>
        <v>#VALUE!</v>
      </c>
      <c r="BI28" s="50" t="e">
        <f>bdRateExtend( O28:O33,V28:V33, AI28:AI33,AP28:AP33)</f>
        <v>#VALUE!</v>
      </c>
      <c r="BJ28" s="50" t="e">
        <f>bdRateExtend( O28:O33,W28:W33, AI28:AI33,AQ28:AQ33)</f>
        <v>#VALUE!</v>
      </c>
    </row>
    <row r="29" spans="1:62" outlineLevel="1" x14ac:dyDescent="0.25">
      <c r="A29" s="25"/>
      <c r="B29" s="25"/>
      <c r="C29" s="26" t="s">
        <v>311</v>
      </c>
      <c r="D29" s="25">
        <v>1596085</v>
      </c>
      <c r="E29" s="26">
        <v>12</v>
      </c>
      <c r="G29" s="27" t="str">
        <f t="shared" si="0"/>
        <v>·</v>
      </c>
      <c r="H29" s="28" t="str">
        <f t="shared" si="1"/>
        <v>·</v>
      </c>
      <c r="I29" s="28" t="str">
        <f t="shared" si="2"/>
        <v>·</v>
      </c>
      <c r="J29" s="28" t="str">
        <f t="shared" si="3"/>
        <v>·</v>
      </c>
      <c r="K29" s="28" t="str">
        <f t="shared" si="4"/>
        <v>·</v>
      </c>
      <c r="L29" s="29"/>
      <c r="M29" s="30"/>
      <c r="N29" s="30"/>
      <c r="O29" s="30"/>
      <c r="P29" s="51"/>
      <c r="Q29" s="51"/>
      <c r="R29" s="51"/>
      <c r="S29" s="51"/>
      <c r="T29" s="51"/>
      <c r="U29" s="51"/>
      <c r="V29" s="51"/>
      <c r="W29" s="51"/>
      <c r="X29" s="31"/>
      <c r="Y29" s="31"/>
      <c r="AA29" s="27" t="str">
        <f t="shared" si="5"/>
        <v>·</v>
      </c>
      <c r="AB29" s="28" t="str">
        <f t="shared" si="6"/>
        <v>·</v>
      </c>
      <c r="AC29" s="28" t="str">
        <f t="shared" si="7"/>
        <v>·</v>
      </c>
      <c r="AD29" s="28" t="str">
        <f t="shared" si="8"/>
        <v>·</v>
      </c>
      <c r="AE29" s="28" t="str">
        <f t="shared" si="9"/>
        <v>·</v>
      </c>
      <c r="AF29" s="29"/>
      <c r="AG29" s="30"/>
      <c r="AH29" s="30"/>
      <c r="AI29" s="30"/>
      <c r="AJ29" s="51"/>
      <c r="AK29" s="51"/>
      <c r="AL29" s="51"/>
      <c r="AM29" s="51"/>
      <c r="AN29" s="51"/>
      <c r="AO29" s="51"/>
      <c r="AP29" s="51"/>
      <c r="AQ29" s="51"/>
      <c r="AR29" s="31"/>
      <c r="AS29" s="31"/>
      <c r="AU29" s="27" t="e">
        <f t="shared" si="10"/>
        <v>#DIV/0!</v>
      </c>
      <c r="AV29" s="27"/>
      <c r="AX29" s="52"/>
      <c r="AY29" s="52"/>
      <c r="AZ29" s="52"/>
      <c r="BA29" s="52"/>
      <c r="BB29" s="52"/>
      <c r="BD29" s="52"/>
      <c r="BE29" s="52"/>
      <c r="BF29" s="52"/>
      <c r="BH29" s="52"/>
      <c r="BI29" s="52"/>
      <c r="BJ29" s="52"/>
    </row>
    <row r="30" spans="1:62" outlineLevel="1" x14ac:dyDescent="0.25">
      <c r="A30" s="18"/>
      <c r="B30" s="18"/>
      <c r="C30" s="19" t="s">
        <v>312</v>
      </c>
      <c r="D30" s="18">
        <v>1596085</v>
      </c>
      <c r="E30" s="19">
        <v>12</v>
      </c>
      <c r="G30" s="20" t="str">
        <f t="shared" si="0"/>
        <v>·</v>
      </c>
      <c r="H30" s="21" t="str">
        <f t="shared" si="1"/>
        <v>·</v>
      </c>
      <c r="I30" s="21" t="str">
        <f t="shared" si="2"/>
        <v>·</v>
      </c>
      <c r="J30" s="21" t="str">
        <f t="shared" si="3"/>
        <v>·</v>
      </c>
      <c r="K30" s="21" t="str">
        <f t="shared" si="4"/>
        <v>·</v>
      </c>
      <c r="L30" s="22"/>
      <c r="M30" s="23"/>
      <c r="N30" s="23"/>
      <c r="O30" s="23"/>
      <c r="P30" s="49"/>
      <c r="Q30" s="49"/>
      <c r="R30" s="49"/>
      <c r="S30" s="49"/>
      <c r="T30" s="49"/>
      <c r="U30" s="49"/>
      <c r="V30" s="49"/>
      <c r="W30" s="49"/>
      <c r="X30" s="24"/>
      <c r="Y30" s="24"/>
      <c r="AA30" s="20" t="str">
        <f t="shared" si="5"/>
        <v>·</v>
      </c>
      <c r="AB30" s="21" t="str">
        <f t="shared" si="6"/>
        <v>·</v>
      </c>
      <c r="AC30" s="21" t="str">
        <f t="shared" si="7"/>
        <v>·</v>
      </c>
      <c r="AD30" s="21" t="str">
        <f t="shared" si="8"/>
        <v>·</v>
      </c>
      <c r="AE30" s="21" t="str">
        <f t="shared" si="9"/>
        <v>·</v>
      </c>
      <c r="AF30" s="22"/>
      <c r="AG30" s="23"/>
      <c r="AH30" s="23"/>
      <c r="AI30" s="23"/>
      <c r="AJ30" s="49"/>
      <c r="AK30" s="49"/>
      <c r="AL30" s="49"/>
      <c r="AM30" s="49"/>
      <c r="AN30" s="49"/>
      <c r="AO30" s="49"/>
      <c r="AP30" s="49"/>
      <c r="AQ30" s="49"/>
      <c r="AR30" s="24"/>
      <c r="AS30" s="24"/>
      <c r="AU30" s="20" t="e">
        <f t="shared" si="10"/>
        <v>#DIV/0!</v>
      </c>
      <c r="AV30" s="20"/>
      <c r="AX30" s="50"/>
      <c r="AY30" s="50"/>
      <c r="AZ30" s="50"/>
      <c r="BA30" s="50"/>
      <c r="BB30" s="50"/>
      <c r="BD30" s="50"/>
      <c r="BE30" s="50"/>
      <c r="BF30" s="50"/>
      <c r="BH30" s="50"/>
      <c r="BI30" s="50"/>
      <c r="BJ30" s="50"/>
    </row>
    <row r="31" spans="1:62" outlineLevel="1" x14ac:dyDescent="0.25">
      <c r="A31" s="25"/>
      <c r="B31" s="25"/>
      <c r="C31" s="26" t="s">
        <v>313</v>
      </c>
      <c r="D31" s="25">
        <v>1596085</v>
      </c>
      <c r="E31" s="26">
        <v>12</v>
      </c>
      <c r="G31" s="27" t="str">
        <f t="shared" si="0"/>
        <v>·</v>
      </c>
      <c r="H31" s="28" t="str">
        <f t="shared" si="1"/>
        <v>·</v>
      </c>
      <c r="I31" s="28" t="str">
        <f t="shared" si="2"/>
        <v>·</v>
      </c>
      <c r="J31" s="28" t="str">
        <f t="shared" si="3"/>
        <v>·</v>
      </c>
      <c r="K31" s="28" t="str">
        <f t="shared" si="4"/>
        <v>·</v>
      </c>
      <c r="L31" s="29"/>
      <c r="M31" s="30"/>
      <c r="N31" s="30"/>
      <c r="O31" s="30"/>
      <c r="P31" s="51"/>
      <c r="Q31" s="51"/>
      <c r="R31" s="51"/>
      <c r="S31" s="51"/>
      <c r="T31" s="51"/>
      <c r="U31" s="51"/>
      <c r="V31" s="51"/>
      <c r="W31" s="51"/>
      <c r="X31" s="31"/>
      <c r="Y31" s="31"/>
      <c r="AA31" s="27" t="str">
        <f t="shared" si="5"/>
        <v>·</v>
      </c>
      <c r="AB31" s="28" t="str">
        <f t="shared" si="6"/>
        <v>·</v>
      </c>
      <c r="AC31" s="28" t="str">
        <f t="shared" si="7"/>
        <v>·</v>
      </c>
      <c r="AD31" s="28" t="str">
        <f t="shared" si="8"/>
        <v>·</v>
      </c>
      <c r="AE31" s="28" t="str">
        <f t="shared" si="9"/>
        <v>·</v>
      </c>
      <c r="AF31" s="29"/>
      <c r="AG31" s="30"/>
      <c r="AH31" s="30"/>
      <c r="AI31" s="30"/>
      <c r="AJ31" s="51"/>
      <c r="AK31" s="51"/>
      <c r="AL31" s="51"/>
      <c r="AM31" s="51"/>
      <c r="AN31" s="51"/>
      <c r="AO31" s="51"/>
      <c r="AP31" s="51"/>
      <c r="AQ31" s="51"/>
      <c r="AR31" s="31"/>
      <c r="AS31" s="31"/>
      <c r="AU31" s="27" t="e">
        <f t="shared" si="10"/>
        <v>#DIV/0!</v>
      </c>
      <c r="AV31" s="27"/>
      <c r="AX31" s="52"/>
      <c r="AY31" s="52"/>
      <c r="AZ31" s="52"/>
      <c r="BA31" s="52"/>
      <c r="BB31" s="52"/>
      <c r="BD31" s="52"/>
      <c r="BE31" s="52"/>
      <c r="BF31" s="52"/>
      <c r="BH31" s="52"/>
      <c r="BI31" s="52"/>
      <c r="BJ31" s="52"/>
    </row>
    <row r="32" spans="1:62" outlineLevel="1" x14ac:dyDescent="0.25">
      <c r="A32" s="18"/>
      <c r="B32" s="18"/>
      <c r="C32" s="19" t="s">
        <v>428</v>
      </c>
      <c r="D32" s="18">
        <v>1596085</v>
      </c>
      <c r="E32" s="19">
        <v>12</v>
      </c>
      <c r="G32" s="20" t="str">
        <f t="shared" si="0"/>
        <v>·</v>
      </c>
      <c r="H32" s="21" t="str">
        <f t="shared" si="1"/>
        <v>·</v>
      </c>
      <c r="I32" s="21" t="str">
        <f t="shared" si="2"/>
        <v>·</v>
      </c>
      <c r="J32" s="21" t="str">
        <f t="shared" si="3"/>
        <v>·</v>
      </c>
      <c r="K32" s="21" t="str">
        <f t="shared" si="4"/>
        <v>·</v>
      </c>
      <c r="L32" s="22"/>
      <c r="M32" s="23"/>
      <c r="N32" s="23"/>
      <c r="O32" s="23"/>
      <c r="P32" s="49"/>
      <c r="Q32" s="49"/>
      <c r="R32" s="49"/>
      <c r="S32" s="49"/>
      <c r="T32" s="49"/>
      <c r="U32" s="49"/>
      <c r="V32" s="49"/>
      <c r="W32" s="49"/>
      <c r="X32" s="24"/>
      <c r="Y32" s="24"/>
      <c r="AA32" s="20" t="str">
        <f t="shared" si="5"/>
        <v>·</v>
      </c>
      <c r="AB32" s="21" t="str">
        <f t="shared" si="6"/>
        <v>·</v>
      </c>
      <c r="AC32" s="21" t="str">
        <f t="shared" si="7"/>
        <v>·</v>
      </c>
      <c r="AD32" s="21" t="str">
        <f t="shared" si="8"/>
        <v>·</v>
      </c>
      <c r="AE32" s="21" t="str">
        <f t="shared" si="9"/>
        <v>·</v>
      </c>
      <c r="AF32" s="22"/>
      <c r="AG32" s="23"/>
      <c r="AH32" s="23"/>
      <c r="AI32" s="23"/>
      <c r="AJ32" s="49"/>
      <c r="AK32" s="49"/>
      <c r="AL32" s="49"/>
      <c r="AM32" s="49"/>
      <c r="AN32" s="49"/>
      <c r="AO32" s="49"/>
      <c r="AP32" s="49"/>
      <c r="AQ32" s="49"/>
      <c r="AR32" s="24"/>
      <c r="AS32" s="24"/>
      <c r="AU32" s="20" t="e">
        <f t="shared" si="10"/>
        <v>#DIV/0!</v>
      </c>
      <c r="AV32" s="20"/>
      <c r="AX32" s="50"/>
      <c r="AY32" s="50"/>
      <c r="AZ32" s="50"/>
      <c r="BA32" s="50"/>
      <c r="BB32" s="50"/>
      <c r="BD32" s="50"/>
      <c r="BE32" s="50"/>
      <c r="BF32" s="50"/>
      <c r="BH32" s="50"/>
      <c r="BI32" s="50"/>
      <c r="BJ32" s="50"/>
    </row>
    <row r="33" spans="1:62" outlineLevel="1" x14ac:dyDescent="0.25">
      <c r="A33" s="25"/>
      <c r="B33" s="32"/>
      <c r="C33" s="33" t="s">
        <v>429</v>
      </c>
      <c r="D33" s="32">
        <v>1596085</v>
      </c>
      <c r="E33" s="33">
        <v>12</v>
      </c>
      <c r="G33" s="34" t="str">
        <f t="shared" si="0"/>
        <v>·</v>
      </c>
      <c r="H33" s="35" t="str">
        <f t="shared" si="1"/>
        <v>·</v>
      </c>
      <c r="I33" s="35" t="str">
        <f t="shared" si="2"/>
        <v>·</v>
      </c>
      <c r="J33" s="35" t="str">
        <f t="shared" si="3"/>
        <v>·</v>
      </c>
      <c r="K33" s="35" t="str">
        <f t="shared" si="4"/>
        <v>·</v>
      </c>
      <c r="L33" s="36"/>
      <c r="M33" s="37"/>
      <c r="N33" s="37"/>
      <c r="O33" s="37"/>
      <c r="P33" s="53"/>
      <c r="Q33" s="53"/>
      <c r="R33" s="53"/>
      <c r="S33" s="53"/>
      <c r="T33" s="53"/>
      <c r="U33" s="53"/>
      <c r="V33" s="53"/>
      <c r="W33" s="53"/>
      <c r="X33" s="38"/>
      <c r="Y33" s="38"/>
      <c r="AA33" s="34" t="str">
        <f t="shared" si="5"/>
        <v>·</v>
      </c>
      <c r="AB33" s="35" t="str">
        <f t="shared" si="6"/>
        <v>·</v>
      </c>
      <c r="AC33" s="35" t="str">
        <f t="shared" si="7"/>
        <v>·</v>
      </c>
      <c r="AD33" s="35" t="str">
        <f t="shared" si="8"/>
        <v>·</v>
      </c>
      <c r="AE33" s="35" t="str">
        <f t="shared" si="9"/>
        <v>·</v>
      </c>
      <c r="AF33" s="36"/>
      <c r="AG33" s="37"/>
      <c r="AH33" s="37"/>
      <c r="AI33" s="37"/>
      <c r="AJ33" s="53"/>
      <c r="AK33" s="53"/>
      <c r="AL33" s="53"/>
      <c r="AM33" s="53"/>
      <c r="AN33" s="53"/>
      <c r="AO33" s="53"/>
      <c r="AP33" s="53"/>
      <c r="AQ33" s="53"/>
      <c r="AR33" s="38"/>
      <c r="AS33" s="38"/>
      <c r="AU33" s="34" t="e">
        <f t="shared" si="10"/>
        <v>#DIV/0!</v>
      </c>
      <c r="AV33" s="34"/>
      <c r="AX33" s="54"/>
      <c r="AY33" s="54"/>
      <c r="AZ33" s="54"/>
      <c r="BA33" s="54"/>
      <c r="BB33" s="54"/>
      <c r="BD33" s="54"/>
      <c r="BE33" s="54"/>
      <c r="BF33" s="54"/>
      <c r="BH33" s="54"/>
      <c r="BI33" s="54"/>
      <c r="BJ33" s="54"/>
    </row>
    <row r="34" spans="1:62" x14ac:dyDescent="0.25">
      <c r="A34" s="18"/>
      <c r="B34" s="18" t="s">
        <v>156</v>
      </c>
      <c r="C34" s="19" t="s">
        <v>310</v>
      </c>
      <c r="D34" s="18">
        <v>1602990</v>
      </c>
      <c r="E34" s="19">
        <v>20</v>
      </c>
      <c r="G34" s="20" t="str">
        <f t="shared" si="0"/>
        <v>·</v>
      </c>
      <c r="H34" s="21" t="str">
        <f t="shared" si="1"/>
        <v>·</v>
      </c>
      <c r="I34" s="21" t="str">
        <f t="shared" si="2"/>
        <v>·</v>
      </c>
      <c r="J34" s="21" t="str">
        <f t="shared" si="3"/>
        <v>·</v>
      </c>
      <c r="K34" s="21" t="str">
        <f t="shared" si="4"/>
        <v>·</v>
      </c>
      <c r="L34" s="22"/>
      <c r="M34" s="23"/>
      <c r="N34" s="23"/>
      <c r="O34" s="23"/>
      <c r="P34" s="49"/>
      <c r="Q34" s="49"/>
      <c r="R34" s="49"/>
      <c r="S34" s="49"/>
      <c r="T34" s="49"/>
      <c r="U34" s="49"/>
      <c r="V34" s="49"/>
      <c r="W34" s="49"/>
      <c r="X34" s="24"/>
      <c r="Y34" s="24"/>
      <c r="AA34" s="20" t="str">
        <f t="shared" si="5"/>
        <v>·</v>
      </c>
      <c r="AB34" s="21" t="str">
        <f t="shared" si="6"/>
        <v>·</v>
      </c>
      <c r="AC34" s="21" t="str">
        <f t="shared" si="7"/>
        <v>·</v>
      </c>
      <c r="AD34" s="21" t="str">
        <f t="shared" si="8"/>
        <v>·</v>
      </c>
      <c r="AE34" s="21" t="str">
        <f t="shared" si="9"/>
        <v>·</v>
      </c>
      <c r="AF34" s="22"/>
      <c r="AG34" s="23"/>
      <c r="AH34" s="23"/>
      <c r="AI34" s="23"/>
      <c r="AJ34" s="49"/>
      <c r="AK34" s="49"/>
      <c r="AL34" s="49"/>
      <c r="AM34" s="49"/>
      <c r="AN34" s="49"/>
      <c r="AO34" s="49"/>
      <c r="AP34" s="49"/>
      <c r="AQ34" s="49"/>
      <c r="AR34" s="24"/>
      <c r="AS34" s="24"/>
      <c r="AU34" s="20" t="e">
        <f t="shared" si="10"/>
        <v>#DIV/0!</v>
      </c>
      <c r="AV34" s="20" t="e">
        <f t="array" ref="AV34">AVERAGE(AH34:AH39/AG34:AG39) - AVERAGE(N34:N39/M34:M39)</f>
        <v>#DIV/0!</v>
      </c>
      <c r="AX34" s="50" t="e">
        <f>bdRateExtend( M34:M39,P34:P39, AG34:AG39,AJ34:AJ39)</f>
        <v>#VALUE!</v>
      </c>
      <c r="AY34" s="50" t="e">
        <f>bdRateExtend( M34:M39,Q34:Q39, AG34:AG39,AK34:AK39)</f>
        <v>#VALUE!</v>
      </c>
      <c r="AZ34" s="50" t="e">
        <f>bdRateExtend( M34:M39,R34:R39, AG34:AG39,AL34:AL39)</f>
        <v>#VALUE!</v>
      </c>
      <c r="BA34" s="50" t="e">
        <f>bdRateExtend( M34:M39,S34:S39, AG34:AG39,AM34:AM39)</f>
        <v>#VALUE!</v>
      </c>
      <c r="BB34" s="50" t="e">
        <f>bdRateExtend( M34:M39,T34:T39, AG34:AG39,AN34:AN39)</f>
        <v>#VALUE!</v>
      </c>
      <c r="BD34" s="50" t="e">
        <f>bdRateExtend( O34:O39,R34:R39, AI34:AI39,AL34:AL39)</f>
        <v>#VALUE!</v>
      </c>
      <c r="BE34" s="50" t="e">
        <f>bdRateExtend( O34:O39,S34:S39, AI34:AI39,AM34:AM39)</f>
        <v>#VALUE!</v>
      </c>
      <c r="BF34" s="50" t="e">
        <f>bdRateExtend( O34:O39,T34:T39, AI34:AI39,AN34:AN39)</f>
        <v>#VALUE!</v>
      </c>
      <c r="BH34" s="50" t="e">
        <f>bdRateExtend( O34:O39,U34:U39, AI34:AI39,AO34:AO39)</f>
        <v>#VALUE!</v>
      </c>
      <c r="BI34" s="50" t="e">
        <f>bdRateExtend( O34:O39,V34:V39, AI34:AI39,AP34:AP39)</f>
        <v>#VALUE!</v>
      </c>
      <c r="BJ34" s="50" t="e">
        <f>bdRateExtend( O34:O39,W34:W39, AI34:AI39,AQ34:AQ39)</f>
        <v>#VALUE!</v>
      </c>
    </row>
    <row r="35" spans="1:62" outlineLevel="1" x14ac:dyDescent="0.25">
      <c r="A35" s="25"/>
      <c r="B35" s="25"/>
      <c r="C35" s="26" t="s">
        <v>311</v>
      </c>
      <c r="D35" s="25">
        <v>1602990</v>
      </c>
      <c r="E35" s="26">
        <v>20</v>
      </c>
      <c r="G35" s="27" t="str">
        <f t="shared" si="0"/>
        <v>·</v>
      </c>
      <c r="H35" s="28" t="str">
        <f t="shared" si="1"/>
        <v>·</v>
      </c>
      <c r="I35" s="28" t="str">
        <f t="shared" si="2"/>
        <v>·</v>
      </c>
      <c r="J35" s="28" t="str">
        <f t="shared" si="3"/>
        <v>·</v>
      </c>
      <c r="K35" s="28" t="str">
        <f t="shared" si="4"/>
        <v>·</v>
      </c>
      <c r="L35" s="29"/>
      <c r="M35" s="30"/>
      <c r="N35" s="30"/>
      <c r="O35" s="30"/>
      <c r="P35" s="51"/>
      <c r="Q35" s="51"/>
      <c r="R35" s="51"/>
      <c r="S35" s="51"/>
      <c r="T35" s="51"/>
      <c r="U35" s="51"/>
      <c r="V35" s="51"/>
      <c r="W35" s="51"/>
      <c r="X35" s="31"/>
      <c r="Y35" s="31"/>
      <c r="AA35" s="27" t="str">
        <f t="shared" si="5"/>
        <v>·</v>
      </c>
      <c r="AB35" s="28" t="str">
        <f t="shared" si="6"/>
        <v>·</v>
      </c>
      <c r="AC35" s="28" t="str">
        <f t="shared" si="7"/>
        <v>·</v>
      </c>
      <c r="AD35" s="28" t="str">
        <f t="shared" si="8"/>
        <v>·</v>
      </c>
      <c r="AE35" s="28" t="str">
        <f t="shared" si="9"/>
        <v>·</v>
      </c>
      <c r="AF35" s="29"/>
      <c r="AG35" s="30"/>
      <c r="AH35" s="30"/>
      <c r="AI35" s="30"/>
      <c r="AJ35" s="51"/>
      <c r="AK35" s="51"/>
      <c r="AL35" s="51"/>
      <c r="AM35" s="51"/>
      <c r="AN35" s="51"/>
      <c r="AO35" s="51"/>
      <c r="AP35" s="51"/>
      <c r="AQ35" s="51"/>
      <c r="AR35" s="31"/>
      <c r="AS35" s="31"/>
      <c r="AU35" s="27" t="e">
        <f t="shared" si="10"/>
        <v>#DIV/0!</v>
      </c>
      <c r="AV35" s="27"/>
      <c r="AX35" s="52"/>
      <c r="AY35" s="52"/>
      <c r="AZ35" s="52"/>
      <c r="BA35" s="52"/>
      <c r="BB35" s="52"/>
      <c r="BD35" s="52"/>
      <c r="BE35" s="52"/>
      <c r="BF35" s="52"/>
      <c r="BH35" s="52"/>
      <c r="BI35" s="52"/>
      <c r="BJ35" s="52"/>
    </row>
    <row r="36" spans="1:62" outlineLevel="1" x14ac:dyDescent="0.25">
      <c r="A36" s="18"/>
      <c r="B36" s="18"/>
      <c r="C36" s="19" t="s">
        <v>312</v>
      </c>
      <c r="D36" s="18">
        <v>1602990</v>
      </c>
      <c r="E36" s="19">
        <v>20</v>
      </c>
      <c r="G36" s="20" t="str">
        <f t="shared" si="0"/>
        <v>·</v>
      </c>
      <c r="H36" s="21" t="str">
        <f t="shared" si="1"/>
        <v>·</v>
      </c>
      <c r="I36" s="21" t="str">
        <f t="shared" si="2"/>
        <v>·</v>
      </c>
      <c r="J36" s="21" t="str">
        <f t="shared" si="3"/>
        <v>·</v>
      </c>
      <c r="K36" s="21" t="str">
        <f t="shared" si="4"/>
        <v>·</v>
      </c>
      <c r="L36" s="22"/>
      <c r="M36" s="23"/>
      <c r="N36" s="23"/>
      <c r="O36" s="23"/>
      <c r="P36" s="49"/>
      <c r="Q36" s="49"/>
      <c r="R36" s="49"/>
      <c r="S36" s="49"/>
      <c r="T36" s="49"/>
      <c r="U36" s="49"/>
      <c r="V36" s="49"/>
      <c r="W36" s="49"/>
      <c r="X36" s="24"/>
      <c r="Y36" s="24"/>
      <c r="AA36" s="20" t="str">
        <f t="shared" si="5"/>
        <v>·</v>
      </c>
      <c r="AB36" s="21" t="str">
        <f t="shared" si="6"/>
        <v>·</v>
      </c>
      <c r="AC36" s="21" t="str">
        <f t="shared" si="7"/>
        <v>·</v>
      </c>
      <c r="AD36" s="21" t="str">
        <f t="shared" si="8"/>
        <v>·</v>
      </c>
      <c r="AE36" s="21" t="str">
        <f t="shared" si="9"/>
        <v>·</v>
      </c>
      <c r="AF36" s="22"/>
      <c r="AG36" s="23"/>
      <c r="AH36" s="23"/>
      <c r="AI36" s="23"/>
      <c r="AJ36" s="49"/>
      <c r="AK36" s="49"/>
      <c r="AL36" s="49"/>
      <c r="AM36" s="49"/>
      <c r="AN36" s="49"/>
      <c r="AO36" s="49"/>
      <c r="AP36" s="49"/>
      <c r="AQ36" s="49"/>
      <c r="AR36" s="24"/>
      <c r="AS36" s="24"/>
      <c r="AU36" s="20" t="e">
        <f t="shared" si="10"/>
        <v>#DIV/0!</v>
      </c>
      <c r="AV36" s="20"/>
      <c r="AX36" s="50"/>
      <c r="AY36" s="50"/>
      <c r="AZ36" s="50"/>
      <c r="BA36" s="50"/>
      <c r="BB36" s="50"/>
      <c r="BD36" s="50"/>
      <c r="BE36" s="50"/>
      <c r="BF36" s="50"/>
      <c r="BH36" s="50"/>
      <c r="BI36" s="50"/>
      <c r="BJ36" s="50"/>
    </row>
    <row r="37" spans="1:62" outlineLevel="1" x14ac:dyDescent="0.25">
      <c r="A37" s="25"/>
      <c r="B37" s="25"/>
      <c r="C37" s="26" t="s">
        <v>313</v>
      </c>
      <c r="D37" s="25">
        <v>1602990</v>
      </c>
      <c r="E37" s="26">
        <v>20</v>
      </c>
      <c r="G37" s="27" t="str">
        <f t="shared" si="0"/>
        <v>·</v>
      </c>
      <c r="H37" s="28" t="str">
        <f t="shared" si="1"/>
        <v>·</v>
      </c>
      <c r="I37" s="28" t="str">
        <f t="shared" si="2"/>
        <v>·</v>
      </c>
      <c r="J37" s="28" t="str">
        <f t="shared" si="3"/>
        <v>·</v>
      </c>
      <c r="K37" s="28" t="str">
        <f t="shared" si="4"/>
        <v>·</v>
      </c>
      <c r="L37" s="29"/>
      <c r="M37" s="30"/>
      <c r="N37" s="30"/>
      <c r="O37" s="30"/>
      <c r="P37" s="51"/>
      <c r="Q37" s="51"/>
      <c r="R37" s="51"/>
      <c r="S37" s="51"/>
      <c r="T37" s="51"/>
      <c r="U37" s="51"/>
      <c r="V37" s="51"/>
      <c r="W37" s="51"/>
      <c r="X37" s="31"/>
      <c r="Y37" s="31"/>
      <c r="AA37" s="27" t="str">
        <f t="shared" si="5"/>
        <v>·</v>
      </c>
      <c r="AB37" s="28" t="str">
        <f t="shared" si="6"/>
        <v>·</v>
      </c>
      <c r="AC37" s="28" t="str">
        <f t="shared" si="7"/>
        <v>·</v>
      </c>
      <c r="AD37" s="28" t="str">
        <f t="shared" si="8"/>
        <v>·</v>
      </c>
      <c r="AE37" s="28" t="str">
        <f t="shared" si="9"/>
        <v>·</v>
      </c>
      <c r="AF37" s="29"/>
      <c r="AG37" s="30"/>
      <c r="AH37" s="30"/>
      <c r="AI37" s="30"/>
      <c r="AJ37" s="51"/>
      <c r="AK37" s="51"/>
      <c r="AL37" s="51"/>
      <c r="AM37" s="51"/>
      <c r="AN37" s="51"/>
      <c r="AO37" s="51"/>
      <c r="AP37" s="51"/>
      <c r="AQ37" s="51"/>
      <c r="AR37" s="31"/>
      <c r="AS37" s="31"/>
      <c r="AU37" s="27" t="e">
        <f t="shared" si="10"/>
        <v>#DIV/0!</v>
      </c>
      <c r="AV37" s="27"/>
      <c r="AX37" s="52"/>
      <c r="AY37" s="52"/>
      <c r="AZ37" s="52"/>
      <c r="BA37" s="52"/>
      <c r="BB37" s="52"/>
      <c r="BD37" s="52"/>
      <c r="BE37" s="52"/>
      <c r="BF37" s="52"/>
      <c r="BH37" s="52"/>
      <c r="BI37" s="52"/>
      <c r="BJ37" s="52"/>
    </row>
    <row r="38" spans="1:62" outlineLevel="1" x14ac:dyDescent="0.25">
      <c r="A38" s="18"/>
      <c r="B38" s="18"/>
      <c r="C38" s="19" t="s">
        <v>428</v>
      </c>
      <c r="D38" s="18">
        <v>1602990</v>
      </c>
      <c r="E38" s="19">
        <v>20</v>
      </c>
      <c r="G38" s="20" t="str">
        <f t="shared" si="0"/>
        <v>·</v>
      </c>
      <c r="H38" s="21" t="str">
        <f t="shared" si="1"/>
        <v>·</v>
      </c>
      <c r="I38" s="21" t="str">
        <f t="shared" si="2"/>
        <v>·</v>
      </c>
      <c r="J38" s="21" t="str">
        <f t="shared" si="3"/>
        <v>·</v>
      </c>
      <c r="K38" s="21" t="str">
        <f t="shared" si="4"/>
        <v>·</v>
      </c>
      <c r="L38" s="22"/>
      <c r="M38" s="23"/>
      <c r="N38" s="23"/>
      <c r="O38" s="23"/>
      <c r="P38" s="49"/>
      <c r="Q38" s="49"/>
      <c r="R38" s="49"/>
      <c r="S38" s="49"/>
      <c r="T38" s="49"/>
      <c r="U38" s="49"/>
      <c r="V38" s="49"/>
      <c r="W38" s="49"/>
      <c r="X38" s="24"/>
      <c r="Y38" s="24"/>
      <c r="AA38" s="20" t="str">
        <f t="shared" si="5"/>
        <v>·</v>
      </c>
      <c r="AB38" s="21" t="str">
        <f t="shared" si="6"/>
        <v>·</v>
      </c>
      <c r="AC38" s="21" t="str">
        <f t="shared" si="7"/>
        <v>·</v>
      </c>
      <c r="AD38" s="21" t="str">
        <f t="shared" si="8"/>
        <v>·</v>
      </c>
      <c r="AE38" s="21" t="str">
        <f t="shared" si="9"/>
        <v>·</v>
      </c>
      <c r="AF38" s="22"/>
      <c r="AG38" s="23"/>
      <c r="AH38" s="23"/>
      <c r="AI38" s="23"/>
      <c r="AJ38" s="49"/>
      <c r="AK38" s="49"/>
      <c r="AL38" s="49"/>
      <c r="AM38" s="49"/>
      <c r="AN38" s="49"/>
      <c r="AO38" s="49"/>
      <c r="AP38" s="49"/>
      <c r="AQ38" s="49"/>
      <c r="AR38" s="24"/>
      <c r="AS38" s="24"/>
      <c r="AU38" s="20" t="e">
        <f t="shared" si="10"/>
        <v>#DIV/0!</v>
      </c>
      <c r="AV38" s="20"/>
      <c r="AX38" s="50"/>
      <c r="AY38" s="50"/>
      <c r="AZ38" s="50"/>
      <c r="BA38" s="50"/>
      <c r="BB38" s="50"/>
      <c r="BD38" s="50"/>
      <c r="BE38" s="50"/>
      <c r="BF38" s="50"/>
      <c r="BH38" s="50"/>
      <c r="BI38" s="50"/>
      <c r="BJ38" s="50"/>
    </row>
    <row r="39" spans="1:62" outlineLevel="1" x14ac:dyDescent="0.25">
      <c r="A39" s="25"/>
      <c r="B39" s="32"/>
      <c r="C39" s="33" t="s">
        <v>429</v>
      </c>
      <c r="D39" s="32">
        <v>1602990</v>
      </c>
      <c r="E39" s="33">
        <v>20</v>
      </c>
      <c r="G39" s="34" t="str">
        <f t="shared" si="0"/>
        <v>·</v>
      </c>
      <c r="H39" s="35" t="str">
        <f t="shared" si="1"/>
        <v>·</v>
      </c>
      <c r="I39" s="35" t="str">
        <f t="shared" si="2"/>
        <v>·</v>
      </c>
      <c r="J39" s="35" t="str">
        <f t="shared" si="3"/>
        <v>·</v>
      </c>
      <c r="K39" s="35" t="str">
        <f t="shared" si="4"/>
        <v>·</v>
      </c>
      <c r="L39" s="36"/>
      <c r="M39" s="37"/>
      <c r="N39" s="37"/>
      <c r="O39" s="37"/>
      <c r="P39" s="53"/>
      <c r="Q39" s="53"/>
      <c r="R39" s="53"/>
      <c r="S39" s="53"/>
      <c r="T39" s="53"/>
      <c r="U39" s="53"/>
      <c r="V39" s="53"/>
      <c r="W39" s="53"/>
      <c r="X39" s="38"/>
      <c r="Y39" s="38"/>
      <c r="AA39" s="34" t="str">
        <f t="shared" si="5"/>
        <v>·</v>
      </c>
      <c r="AB39" s="35" t="str">
        <f t="shared" si="6"/>
        <v>·</v>
      </c>
      <c r="AC39" s="35" t="str">
        <f t="shared" si="7"/>
        <v>·</v>
      </c>
      <c r="AD39" s="35" t="str">
        <f t="shared" si="8"/>
        <v>·</v>
      </c>
      <c r="AE39" s="35" t="str">
        <f t="shared" si="9"/>
        <v>·</v>
      </c>
      <c r="AF39" s="36"/>
      <c r="AG39" s="37"/>
      <c r="AH39" s="37"/>
      <c r="AI39" s="37"/>
      <c r="AJ39" s="53"/>
      <c r="AK39" s="53"/>
      <c r="AL39" s="53"/>
      <c r="AM39" s="53"/>
      <c r="AN39" s="53"/>
      <c r="AO39" s="53"/>
      <c r="AP39" s="53"/>
      <c r="AQ39" s="53"/>
      <c r="AR39" s="38"/>
      <c r="AS39" s="38"/>
      <c r="AU39" s="34" t="e">
        <f t="shared" si="10"/>
        <v>#DIV/0!</v>
      </c>
      <c r="AV39" s="34"/>
      <c r="AX39" s="54"/>
      <c r="AY39" s="54"/>
      <c r="AZ39" s="54"/>
      <c r="BA39" s="54"/>
      <c r="BB39" s="54"/>
      <c r="BD39" s="54"/>
      <c r="BE39" s="54"/>
      <c r="BF39" s="54"/>
      <c r="BH39" s="54"/>
      <c r="BI39" s="54"/>
      <c r="BJ39" s="54"/>
    </row>
    <row r="40" spans="1:62" collapsed="1" x14ac:dyDescent="0.25">
      <c r="A40" s="18"/>
      <c r="B40" s="18" t="s">
        <v>159</v>
      </c>
      <c r="C40" s="19" t="s">
        <v>310</v>
      </c>
      <c r="D40" s="18">
        <v>8907880</v>
      </c>
      <c r="E40" s="19">
        <v>14</v>
      </c>
      <c r="G40" s="20" t="str">
        <f t="shared" si="0"/>
        <v>·</v>
      </c>
      <c r="H40" s="21" t="str">
        <f t="shared" si="1"/>
        <v>·</v>
      </c>
      <c r="I40" s="21" t="str">
        <f t="shared" si="2"/>
        <v>·</v>
      </c>
      <c r="J40" s="21" t="str">
        <f t="shared" si="3"/>
        <v>·</v>
      </c>
      <c r="K40" s="21" t="str">
        <f t="shared" si="4"/>
        <v>·</v>
      </c>
      <c r="L40" s="22"/>
      <c r="M40" s="23"/>
      <c r="N40" s="23"/>
      <c r="O40" s="23"/>
      <c r="P40" s="49"/>
      <c r="Q40" s="49"/>
      <c r="R40" s="49"/>
      <c r="S40" s="49"/>
      <c r="T40" s="49"/>
      <c r="U40" s="49"/>
      <c r="V40" s="49"/>
      <c r="W40" s="49"/>
      <c r="X40" s="24"/>
      <c r="Y40" s="24"/>
      <c r="AA40" s="20" t="str">
        <f t="shared" si="5"/>
        <v>·</v>
      </c>
      <c r="AB40" s="21" t="str">
        <f t="shared" si="6"/>
        <v>·</v>
      </c>
      <c r="AC40" s="21" t="str">
        <f t="shared" si="7"/>
        <v>·</v>
      </c>
      <c r="AD40" s="21" t="str">
        <f t="shared" si="8"/>
        <v>·</v>
      </c>
      <c r="AE40" s="21" t="str">
        <f t="shared" si="9"/>
        <v>·</v>
      </c>
      <c r="AF40" s="22"/>
      <c r="AG40" s="23"/>
      <c r="AH40" s="23"/>
      <c r="AI40" s="23"/>
      <c r="AJ40" s="49"/>
      <c r="AK40" s="49"/>
      <c r="AL40" s="49"/>
      <c r="AM40" s="49"/>
      <c r="AN40" s="49"/>
      <c r="AO40" s="49"/>
      <c r="AP40" s="49"/>
      <c r="AQ40" s="49"/>
      <c r="AR40" s="24"/>
      <c r="AS40" s="24"/>
      <c r="AU40" s="20" t="e">
        <f t="shared" si="10"/>
        <v>#DIV/0!</v>
      </c>
      <c r="AV40" s="20" t="e">
        <f t="array" ref="AV40">AVERAGE(AH40:AH45/AG40:AG45) - AVERAGE(N40:N45/M40:M45)</f>
        <v>#DIV/0!</v>
      </c>
      <c r="AX40" s="50" t="e">
        <f>bdRateExtend( M40:M45,P40:P45, AG40:AG45,AJ40:AJ45)</f>
        <v>#VALUE!</v>
      </c>
      <c r="AY40" s="50" t="e">
        <f>bdRateExtend( M40:M45,Q40:Q45, AG40:AG45,AK40:AK45)</f>
        <v>#VALUE!</v>
      </c>
      <c r="AZ40" s="50" t="e">
        <f>bdRateExtend( M40:M45,R40:R45, AG40:AG45,AL40:AL45)</f>
        <v>#VALUE!</v>
      </c>
      <c r="BA40" s="50" t="e">
        <f>bdRateExtend( M40:M45,S40:S45, AG40:AG45,AM40:AM45)</f>
        <v>#VALUE!</v>
      </c>
      <c r="BB40" s="50" t="e">
        <f>bdRateExtend( M40:M45,T40:T45, AG40:AG45,AN40:AN45)</f>
        <v>#VALUE!</v>
      </c>
      <c r="BD40" s="50" t="e">
        <f>bdRateExtend( O40:O45,R40:R45, AI40:AI45,AL40:AL45)</f>
        <v>#VALUE!</v>
      </c>
      <c r="BE40" s="50" t="e">
        <f>bdRateExtend( O40:O45,S40:S45, AI40:AI45,AM40:AM45)</f>
        <v>#VALUE!</v>
      </c>
      <c r="BF40" s="50" t="e">
        <f>bdRateExtend( O40:O45,T40:T45, AI40:AI45,AN40:AN45)</f>
        <v>#VALUE!</v>
      </c>
      <c r="BH40" s="50" t="e">
        <f>bdRateExtend( O40:O45,U40:U45, AI40:AI45,AO40:AO45)</f>
        <v>#VALUE!</v>
      </c>
      <c r="BI40" s="50" t="e">
        <f>bdRateExtend( O40:O45,V40:V45, AI40:AI45,AP40:AP45)</f>
        <v>#VALUE!</v>
      </c>
      <c r="BJ40" s="50" t="e">
        <f>bdRateExtend( O40:O45,W40:W45, AI40:AI45,AQ40:AQ45)</f>
        <v>#VALUE!</v>
      </c>
    </row>
    <row r="41" spans="1:62" outlineLevel="1" x14ac:dyDescent="0.25">
      <c r="A41" s="25"/>
      <c r="B41" s="25"/>
      <c r="C41" s="26" t="s">
        <v>311</v>
      </c>
      <c r="D41" s="25">
        <v>8907880</v>
      </c>
      <c r="E41" s="26">
        <v>14</v>
      </c>
      <c r="G41" s="27" t="str">
        <f t="shared" si="0"/>
        <v>·</v>
      </c>
      <c r="H41" s="28" t="str">
        <f t="shared" si="1"/>
        <v>·</v>
      </c>
      <c r="I41" s="28" t="str">
        <f t="shared" si="2"/>
        <v>·</v>
      </c>
      <c r="J41" s="28" t="str">
        <f t="shared" si="3"/>
        <v>·</v>
      </c>
      <c r="K41" s="28" t="str">
        <f t="shared" si="4"/>
        <v>·</v>
      </c>
      <c r="L41" s="29"/>
      <c r="M41" s="30"/>
      <c r="N41" s="30"/>
      <c r="O41" s="30"/>
      <c r="P41" s="51"/>
      <c r="Q41" s="51"/>
      <c r="R41" s="51"/>
      <c r="S41" s="51"/>
      <c r="T41" s="51"/>
      <c r="U41" s="51"/>
      <c r="V41" s="51"/>
      <c r="W41" s="51"/>
      <c r="X41" s="31"/>
      <c r="Y41" s="31"/>
      <c r="AA41" s="27" t="str">
        <f t="shared" si="5"/>
        <v>·</v>
      </c>
      <c r="AB41" s="28" t="str">
        <f t="shared" si="6"/>
        <v>·</v>
      </c>
      <c r="AC41" s="28" t="str">
        <f t="shared" si="7"/>
        <v>·</v>
      </c>
      <c r="AD41" s="28" t="str">
        <f t="shared" si="8"/>
        <v>·</v>
      </c>
      <c r="AE41" s="28" t="str">
        <f t="shared" si="9"/>
        <v>·</v>
      </c>
      <c r="AF41" s="29"/>
      <c r="AG41" s="30"/>
      <c r="AH41" s="30"/>
      <c r="AI41" s="30"/>
      <c r="AJ41" s="51"/>
      <c r="AK41" s="51"/>
      <c r="AL41" s="51"/>
      <c r="AM41" s="51"/>
      <c r="AN41" s="51"/>
      <c r="AO41" s="51"/>
      <c r="AP41" s="51"/>
      <c r="AQ41" s="51"/>
      <c r="AR41" s="31"/>
      <c r="AS41" s="31"/>
      <c r="AU41" s="27" t="e">
        <f t="shared" si="10"/>
        <v>#DIV/0!</v>
      </c>
      <c r="AV41" s="27"/>
      <c r="AX41" s="52"/>
      <c r="AY41" s="52"/>
      <c r="AZ41" s="52"/>
      <c r="BA41" s="52"/>
      <c r="BB41" s="52"/>
      <c r="BD41" s="52"/>
      <c r="BE41" s="52"/>
      <c r="BF41" s="52"/>
      <c r="BH41" s="52"/>
      <c r="BI41" s="52"/>
      <c r="BJ41" s="52"/>
    </row>
    <row r="42" spans="1:62" outlineLevel="1" x14ac:dyDescent="0.25">
      <c r="A42" s="18"/>
      <c r="B42" s="18"/>
      <c r="C42" s="19" t="s">
        <v>312</v>
      </c>
      <c r="D42" s="18">
        <v>8907880</v>
      </c>
      <c r="E42" s="19">
        <v>14</v>
      </c>
      <c r="G42" s="20" t="str">
        <f t="shared" si="0"/>
        <v>·</v>
      </c>
      <c r="H42" s="21" t="str">
        <f t="shared" si="1"/>
        <v>·</v>
      </c>
      <c r="I42" s="21" t="str">
        <f t="shared" si="2"/>
        <v>·</v>
      </c>
      <c r="J42" s="21" t="str">
        <f t="shared" si="3"/>
        <v>·</v>
      </c>
      <c r="K42" s="21" t="str">
        <f t="shared" si="4"/>
        <v>·</v>
      </c>
      <c r="L42" s="22"/>
      <c r="M42" s="23"/>
      <c r="N42" s="23"/>
      <c r="O42" s="23"/>
      <c r="P42" s="49"/>
      <c r="Q42" s="49"/>
      <c r="R42" s="49"/>
      <c r="S42" s="49"/>
      <c r="T42" s="49"/>
      <c r="U42" s="49"/>
      <c r="V42" s="49"/>
      <c r="W42" s="49"/>
      <c r="X42" s="24"/>
      <c r="Y42" s="24"/>
      <c r="AA42" s="20" t="str">
        <f t="shared" si="5"/>
        <v>·</v>
      </c>
      <c r="AB42" s="21" t="str">
        <f t="shared" si="6"/>
        <v>·</v>
      </c>
      <c r="AC42" s="21" t="str">
        <f t="shared" si="7"/>
        <v>·</v>
      </c>
      <c r="AD42" s="21" t="str">
        <f t="shared" si="8"/>
        <v>·</v>
      </c>
      <c r="AE42" s="21" t="str">
        <f t="shared" si="9"/>
        <v>·</v>
      </c>
      <c r="AF42" s="22"/>
      <c r="AG42" s="23"/>
      <c r="AH42" s="23"/>
      <c r="AI42" s="23"/>
      <c r="AJ42" s="49"/>
      <c r="AK42" s="49"/>
      <c r="AL42" s="49"/>
      <c r="AM42" s="49"/>
      <c r="AN42" s="49"/>
      <c r="AO42" s="49"/>
      <c r="AP42" s="49"/>
      <c r="AQ42" s="49"/>
      <c r="AR42" s="24"/>
      <c r="AS42" s="24"/>
      <c r="AU42" s="20" t="e">
        <f t="shared" si="10"/>
        <v>#DIV/0!</v>
      </c>
      <c r="AV42" s="20"/>
      <c r="AX42" s="50"/>
      <c r="AY42" s="50"/>
      <c r="AZ42" s="50"/>
      <c r="BA42" s="50"/>
      <c r="BB42" s="50"/>
      <c r="BD42" s="50"/>
      <c r="BE42" s="50"/>
      <c r="BF42" s="50"/>
      <c r="BH42" s="50"/>
      <c r="BI42" s="50"/>
      <c r="BJ42" s="50"/>
    </row>
    <row r="43" spans="1:62" outlineLevel="1" x14ac:dyDescent="0.25">
      <c r="A43" s="25"/>
      <c r="B43" s="25"/>
      <c r="C43" s="26" t="s">
        <v>313</v>
      </c>
      <c r="D43" s="25">
        <v>8907880</v>
      </c>
      <c r="E43" s="26">
        <v>14</v>
      </c>
      <c r="G43" s="27" t="str">
        <f t="shared" si="0"/>
        <v>·</v>
      </c>
      <c r="H43" s="28" t="str">
        <f t="shared" si="1"/>
        <v>·</v>
      </c>
      <c r="I43" s="28" t="str">
        <f t="shared" si="2"/>
        <v>·</v>
      </c>
      <c r="J43" s="28" t="str">
        <f t="shared" si="3"/>
        <v>·</v>
      </c>
      <c r="K43" s="28" t="str">
        <f t="shared" si="4"/>
        <v>·</v>
      </c>
      <c r="L43" s="29"/>
      <c r="M43" s="30"/>
      <c r="N43" s="30"/>
      <c r="O43" s="30"/>
      <c r="P43" s="51"/>
      <c r="Q43" s="51"/>
      <c r="R43" s="51"/>
      <c r="S43" s="51"/>
      <c r="T43" s="51"/>
      <c r="U43" s="51"/>
      <c r="V43" s="51"/>
      <c r="W43" s="51"/>
      <c r="X43" s="31"/>
      <c r="Y43" s="31"/>
      <c r="AA43" s="27" t="str">
        <f t="shared" si="5"/>
        <v>·</v>
      </c>
      <c r="AB43" s="28" t="str">
        <f t="shared" si="6"/>
        <v>·</v>
      </c>
      <c r="AC43" s="28" t="str">
        <f t="shared" si="7"/>
        <v>·</v>
      </c>
      <c r="AD43" s="28" t="str">
        <f t="shared" si="8"/>
        <v>·</v>
      </c>
      <c r="AE43" s="28" t="str">
        <f t="shared" si="9"/>
        <v>·</v>
      </c>
      <c r="AF43" s="29"/>
      <c r="AG43" s="30"/>
      <c r="AH43" s="30"/>
      <c r="AI43" s="30"/>
      <c r="AJ43" s="51"/>
      <c r="AK43" s="51"/>
      <c r="AL43" s="51"/>
      <c r="AM43" s="51"/>
      <c r="AN43" s="51"/>
      <c r="AO43" s="51"/>
      <c r="AP43" s="51"/>
      <c r="AQ43" s="51"/>
      <c r="AR43" s="31"/>
      <c r="AS43" s="31"/>
      <c r="AU43" s="27" t="e">
        <f t="shared" si="10"/>
        <v>#DIV/0!</v>
      </c>
      <c r="AV43" s="27"/>
      <c r="AX43" s="52"/>
      <c r="AY43" s="52"/>
      <c r="AZ43" s="52"/>
      <c r="BA43" s="52"/>
      <c r="BB43" s="52"/>
      <c r="BD43" s="52"/>
      <c r="BE43" s="52"/>
      <c r="BF43" s="52"/>
      <c r="BH43" s="52"/>
      <c r="BI43" s="52"/>
      <c r="BJ43" s="52"/>
    </row>
    <row r="44" spans="1:62" outlineLevel="1" x14ac:dyDescent="0.25">
      <c r="A44" s="18"/>
      <c r="B44" s="18"/>
      <c r="C44" s="19" t="s">
        <v>428</v>
      </c>
      <c r="D44" s="18">
        <v>8907880</v>
      </c>
      <c r="E44" s="19">
        <v>14</v>
      </c>
      <c r="G44" s="20" t="str">
        <f t="shared" si="0"/>
        <v>·</v>
      </c>
      <c r="H44" s="21" t="str">
        <f t="shared" si="1"/>
        <v>·</v>
      </c>
      <c r="I44" s="21" t="str">
        <f t="shared" si="2"/>
        <v>·</v>
      </c>
      <c r="J44" s="21" t="str">
        <f t="shared" si="3"/>
        <v>·</v>
      </c>
      <c r="K44" s="21" t="str">
        <f t="shared" si="4"/>
        <v>·</v>
      </c>
      <c r="L44" s="22"/>
      <c r="M44" s="23"/>
      <c r="N44" s="23"/>
      <c r="O44" s="23"/>
      <c r="P44" s="49"/>
      <c r="Q44" s="49"/>
      <c r="R44" s="49"/>
      <c r="S44" s="49"/>
      <c r="T44" s="49"/>
      <c r="U44" s="49"/>
      <c r="V44" s="49"/>
      <c r="W44" s="49"/>
      <c r="X44" s="24"/>
      <c r="Y44" s="24"/>
      <c r="AA44" s="20" t="str">
        <f t="shared" si="5"/>
        <v>·</v>
      </c>
      <c r="AB44" s="21" t="str">
        <f t="shared" si="6"/>
        <v>·</v>
      </c>
      <c r="AC44" s="21" t="str">
        <f t="shared" si="7"/>
        <v>·</v>
      </c>
      <c r="AD44" s="21" t="str">
        <f t="shared" si="8"/>
        <v>·</v>
      </c>
      <c r="AE44" s="21" t="str">
        <f t="shared" si="9"/>
        <v>·</v>
      </c>
      <c r="AF44" s="22"/>
      <c r="AG44" s="23"/>
      <c r="AH44" s="23"/>
      <c r="AI44" s="23"/>
      <c r="AJ44" s="49"/>
      <c r="AK44" s="49"/>
      <c r="AL44" s="49"/>
      <c r="AM44" s="49"/>
      <c r="AN44" s="49"/>
      <c r="AO44" s="49"/>
      <c r="AP44" s="49"/>
      <c r="AQ44" s="49"/>
      <c r="AR44" s="24"/>
      <c r="AS44" s="24"/>
      <c r="AU44" s="20" t="e">
        <f t="shared" si="10"/>
        <v>#DIV/0!</v>
      </c>
      <c r="AV44" s="20"/>
      <c r="AX44" s="50"/>
      <c r="AY44" s="50"/>
      <c r="AZ44" s="50"/>
      <c r="BA44" s="50"/>
      <c r="BB44" s="50"/>
      <c r="BD44" s="50"/>
      <c r="BE44" s="50"/>
      <c r="BF44" s="50"/>
      <c r="BH44" s="50"/>
      <c r="BI44" s="50"/>
      <c r="BJ44" s="50"/>
    </row>
    <row r="45" spans="1:62" outlineLevel="1" x14ac:dyDescent="0.25">
      <c r="A45" s="25"/>
      <c r="B45" s="32"/>
      <c r="C45" s="33" t="s">
        <v>429</v>
      </c>
      <c r="D45" s="32">
        <v>8907880</v>
      </c>
      <c r="E45" s="33">
        <v>14</v>
      </c>
      <c r="G45" s="34" t="str">
        <f t="shared" si="0"/>
        <v>·</v>
      </c>
      <c r="H45" s="35" t="str">
        <f t="shared" si="1"/>
        <v>·</v>
      </c>
      <c r="I45" s="35" t="str">
        <f t="shared" si="2"/>
        <v>·</v>
      </c>
      <c r="J45" s="35" t="str">
        <f t="shared" si="3"/>
        <v>·</v>
      </c>
      <c r="K45" s="35" t="str">
        <f t="shared" si="4"/>
        <v>·</v>
      </c>
      <c r="L45" s="36"/>
      <c r="M45" s="37"/>
      <c r="N45" s="37"/>
      <c r="O45" s="37"/>
      <c r="P45" s="53"/>
      <c r="Q45" s="53"/>
      <c r="R45" s="53"/>
      <c r="S45" s="53"/>
      <c r="T45" s="53"/>
      <c r="U45" s="53"/>
      <c r="V45" s="53"/>
      <c r="W45" s="53"/>
      <c r="X45" s="38"/>
      <c r="Y45" s="38"/>
      <c r="AA45" s="34" t="str">
        <f t="shared" si="5"/>
        <v>·</v>
      </c>
      <c r="AB45" s="35" t="str">
        <f t="shared" si="6"/>
        <v>·</v>
      </c>
      <c r="AC45" s="35" t="str">
        <f t="shared" si="7"/>
        <v>·</v>
      </c>
      <c r="AD45" s="35" t="str">
        <f t="shared" si="8"/>
        <v>·</v>
      </c>
      <c r="AE45" s="35" t="str">
        <f t="shared" si="9"/>
        <v>·</v>
      </c>
      <c r="AF45" s="36"/>
      <c r="AG45" s="37"/>
      <c r="AH45" s="37"/>
      <c r="AI45" s="37"/>
      <c r="AJ45" s="53"/>
      <c r="AK45" s="53"/>
      <c r="AL45" s="53"/>
      <c r="AM45" s="53"/>
      <c r="AN45" s="53"/>
      <c r="AO45" s="53"/>
      <c r="AP45" s="53"/>
      <c r="AQ45" s="53"/>
      <c r="AR45" s="38"/>
      <c r="AS45" s="38"/>
      <c r="AU45" s="34" t="e">
        <f t="shared" si="10"/>
        <v>#DIV/0!</v>
      </c>
      <c r="AV45" s="34"/>
      <c r="AX45" s="54"/>
      <c r="AY45" s="54"/>
      <c r="AZ45" s="54"/>
      <c r="BA45" s="54"/>
      <c r="BB45" s="54"/>
      <c r="BD45" s="54"/>
      <c r="BE45" s="54"/>
      <c r="BF45" s="54"/>
      <c r="BH45" s="54"/>
      <c r="BI45" s="54"/>
      <c r="BJ45" s="54"/>
    </row>
    <row r="46" spans="1:62" collapsed="1" x14ac:dyDescent="0.25">
      <c r="A46" s="18"/>
      <c r="B46" s="18" t="s">
        <v>162</v>
      </c>
      <c r="C46" s="19" t="s">
        <v>310</v>
      </c>
      <c r="D46" s="18">
        <v>8929532</v>
      </c>
      <c r="E46" s="19">
        <v>20</v>
      </c>
      <c r="G46" s="20" t="str">
        <f t="shared" si="0"/>
        <v>·</v>
      </c>
      <c r="H46" s="21" t="str">
        <f t="shared" si="1"/>
        <v>·</v>
      </c>
      <c r="I46" s="21" t="str">
        <f t="shared" si="2"/>
        <v>·</v>
      </c>
      <c r="J46" s="21" t="str">
        <f t="shared" si="3"/>
        <v>·</v>
      </c>
      <c r="K46" s="21" t="str">
        <f t="shared" si="4"/>
        <v>·</v>
      </c>
      <c r="L46" s="22"/>
      <c r="M46" s="23"/>
      <c r="N46" s="23"/>
      <c r="O46" s="23"/>
      <c r="P46" s="49"/>
      <c r="Q46" s="49"/>
      <c r="R46" s="49"/>
      <c r="S46" s="49"/>
      <c r="T46" s="49"/>
      <c r="U46" s="49"/>
      <c r="V46" s="49"/>
      <c r="W46" s="49"/>
      <c r="X46" s="24"/>
      <c r="Y46" s="24"/>
      <c r="AA46" s="20" t="str">
        <f t="shared" si="5"/>
        <v>·</v>
      </c>
      <c r="AB46" s="21" t="str">
        <f t="shared" si="6"/>
        <v>·</v>
      </c>
      <c r="AC46" s="21" t="str">
        <f t="shared" si="7"/>
        <v>·</v>
      </c>
      <c r="AD46" s="21" t="str">
        <f t="shared" si="8"/>
        <v>·</v>
      </c>
      <c r="AE46" s="21" t="str">
        <f t="shared" si="9"/>
        <v>·</v>
      </c>
      <c r="AF46" s="22"/>
      <c r="AG46" s="23"/>
      <c r="AH46" s="23"/>
      <c r="AI46" s="23"/>
      <c r="AJ46" s="49"/>
      <c r="AK46" s="49"/>
      <c r="AL46" s="49"/>
      <c r="AM46" s="49"/>
      <c r="AN46" s="49"/>
      <c r="AO46" s="49"/>
      <c r="AP46" s="49"/>
      <c r="AQ46" s="49"/>
      <c r="AR46" s="24"/>
      <c r="AS46" s="24"/>
      <c r="AU46" s="20" t="e">
        <f t="shared" si="10"/>
        <v>#DIV/0!</v>
      </c>
      <c r="AV46" s="20" t="e">
        <f t="array" ref="AV46">AVERAGE(AH46:AH51/AG46:AG51) - AVERAGE(N46:N51/M46:M51)</f>
        <v>#DIV/0!</v>
      </c>
      <c r="AX46" s="50" t="e">
        <f>bdRateExtend( M46:M51,P46:P51, AG46:AG51,AJ46:AJ51)</f>
        <v>#VALUE!</v>
      </c>
      <c r="AY46" s="50" t="e">
        <f>bdRateExtend( M46:M51,Q46:Q51, AG46:AG51,AK46:AK51)</f>
        <v>#VALUE!</v>
      </c>
      <c r="AZ46" s="50" t="e">
        <f>bdRateExtend( M46:M51,R46:R51, AG46:AG51,AL46:AL51)</f>
        <v>#VALUE!</v>
      </c>
      <c r="BA46" s="50" t="e">
        <f>bdRateExtend( M46:M51,S46:S51, AG46:AG51,AM46:AM51)</f>
        <v>#VALUE!</v>
      </c>
      <c r="BB46" s="50" t="e">
        <f>bdRateExtend( M46:M51,T46:T51, AG46:AG51,AN46:AN51)</f>
        <v>#VALUE!</v>
      </c>
      <c r="BD46" s="50" t="e">
        <f>bdRateExtend( O46:O51,R46:R51, AI46:AI51,AL46:AL51)</f>
        <v>#VALUE!</v>
      </c>
      <c r="BE46" s="50" t="e">
        <f>bdRateExtend( O46:O51,S46:S51, AI46:AI51,AM46:AM51)</f>
        <v>#VALUE!</v>
      </c>
      <c r="BF46" s="50" t="e">
        <f>bdRateExtend( O46:O51,T46:T51, AI46:AI51,AN46:AN51)</f>
        <v>#VALUE!</v>
      </c>
      <c r="BH46" s="50" t="e">
        <f>bdRateExtend( O46:O51,U46:U51, AI46:AI51,AO46:AO51)</f>
        <v>#VALUE!</v>
      </c>
      <c r="BI46" s="50" t="e">
        <f>bdRateExtend( O46:O51,V46:V51, AI46:AI51,AP46:AP51)</f>
        <v>#VALUE!</v>
      </c>
      <c r="BJ46" s="50" t="e">
        <f>bdRateExtend( O46:O51,W46:W51, AI46:AI51,AQ46:AQ51)</f>
        <v>#VALUE!</v>
      </c>
    </row>
    <row r="47" spans="1:62" outlineLevel="1" x14ac:dyDescent="0.25">
      <c r="A47" s="25"/>
      <c r="B47" s="25"/>
      <c r="C47" s="26" t="s">
        <v>311</v>
      </c>
      <c r="D47" s="25">
        <v>8929532</v>
      </c>
      <c r="E47" s="26">
        <v>20</v>
      </c>
      <c r="G47" s="27" t="str">
        <f t="shared" si="0"/>
        <v>·</v>
      </c>
      <c r="H47" s="28" t="str">
        <f t="shared" si="1"/>
        <v>·</v>
      </c>
      <c r="I47" s="28" t="str">
        <f t="shared" si="2"/>
        <v>·</v>
      </c>
      <c r="J47" s="28" t="str">
        <f t="shared" si="3"/>
        <v>·</v>
      </c>
      <c r="K47" s="28" t="str">
        <f t="shared" si="4"/>
        <v>·</v>
      </c>
      <c r="L47" s="29"/>
      <c r="M47" s="30"/>
      <c r="N47" s="30"/>
      <c r="O47" s="30"/>
      <c r="P47" s="51"/>
      <c r="Q47" s="51"/>
      <c r="R47" s="51"/>
      <c r="S47" s="51"/>
      <c r="T47" s="51"/>
      <c r="U47" s="51"/>
      <c r="V47" s="51"/>
      <c r="W47" s="51"/>
      <c r="X47" s="31"/>
      <c r="Y47" s="31"/>
      <c r="AA47" s="27" t="str">
        <f t="shared" si="5"/>
        <v>·</v>
      </c>
      <c r="AB47" s="28" t="str">
        <f t="shared" si="6"/>
        <v>·</v>
      </c>
      <c r="AC47" s="28" t="str">
        <f t="shared" si="7"/>
        <v>·</v>
      </c>
      <c r="AD47" s="28" t="str">
        <f t="shared" si="8"/>
        <v>·</v>
      </c>
      <c r="AE47" s="28" t="str">
        <f t="shared" si="9"/>
        <v>·</v>
      </c>
      <c r="AF47" s="29"/>
      <c r="AG47" s="30"/>
      <c r="AH47" s="30"/>
      <c r="AI47" s="30"/>
      <c r="AJ47" s="51"/>
      <c r="AK47" s="51"/>
      <c r="AL47" s="51"/>
      <c r="AM47" s="51"/>
      <c r="AN47" s="51"/>
      <c r="AO47" s="51"/>
      <c r="AP47" s="51"/>
      <c r="AQ47" s="51"/>
      <c r="AR47" s="31"/>
      <c r="AS47" s="31"/>
      <c r="AU47" s="27" t="e">
        <f t="shared" si="10"/>
        <v>#DIV/0!</v>
      </c>
      <c r="AV47" s="27"/>
      <c r="AX47" s="52"/>
      <c r="AY47" s="52"/>
      <c r="AZ47" s="52"/>
      <c r="BA47" s="52"/>
      <c r="BB47" s="52"/>
      <c r="BD47" s="52"/>
      <c r="BE47" s="52"/>
      <c r="BF47" s="52"/>
      <c r="BH47" s="52"/>
      <c r="BI47" s="52"/>
      <c r="BJ47" s="52"/>
    </row>
    <row r="48" spans="1:62" outlineLevel="1" x14ac:dyDescent="0.25">
      <c r="A48" s="18"/>
      <c r="B48" s="18"/>
      <c r="C48" s="19" t="s">
        <v>312</v>
      </c>
      <c r="D48" s="18">
        <v>8929532</v>
      </c>
      <c r="E48" s="19">
        <v>20</v>
      </c>
      <c r="G48" s="20" t="str">
        <f t="shared" si="0"/>
        <v>·</v>
      </c>
      <c r="H48" s="21" t="str">
        <f t="shared" si="1"/>
        <v>·</v>
      </c>
      <c r="I48" s="21" t="str">
        <f t="shared" si="2"/>
        <v>·</v>
      </c>
      <c r="J48" s="21" t="str">
        <f t="shared" si="3"/>
        <v>·</v>
      </c>
      <c r="K48" s="21" t="str">
        <f t="shared" si="4"/>
        <v>·</v>
      </c>
      <c r="L48" s="22"/>
      <c r="M48" s="23"/>
      <c r="N48" s="23"/>
      <c r="O48" s="23"/>
      <c r="P48" s="49"/>
      <c r="Q48" s="49"/>
      <c r="R48" s="49"/>
      <c r="S48" s="49"/>
      <c r="T48" s="49"/>
      <c r="U48" s="49"/>
      <c r="V48" s="49"/>
      <c r="W48" s="49"/>
      <c r="X48" s="24"/>
      <c r="Y48" s="24"/>
      <c r="AA48" s="20" t="str">
        <f t="shared" si="5"/>
        <v>·</v>
      </c>
      <c r="AB48" s="21" t="str">
        <f t="shared" si="6"/>
        <v>·</v>
      </c>
      <c r="AC48" s="21" t="str">
        <f t="shared" si="7"/>
        <v>·</v>
      </c>
      <c r="AD48" s="21" t="str">
        <f t="shared" si="8"/>
        <v>·</v>
      </c>
      <c r="AE48" s="21" t="str">
        <f t="shared" si="9"/>
        <v>·</v>
      </c>
      <c r="AF48" s="22"/>
      <c r="AG48" s="23"/>
      <c r="AH48" s="23"/>
      <c r="AI48" s="23"/>
      <c r="AJ48" s="49"/>
      <c r="AK48" s="49"/>
      <c r="AL48" s="49"/>
      <c r="AM48" s="49"/>
      <c r="AN48" s="49"/>
      <c r="AO48" s="49"/>
      <c r="AP48" s="49"/>
      <c r="AQ48" s="49"/>
      <c r="AR48" s="24"/>
      <c r="AS48" s="24"/>
      <c r="AU48" s="20" t="e">
        <f t="shared" si="10"/>
        <v>#DIV/0!</v>
      </c>
      <c r="AV48" s="20"/>
      <c r="AX48" s="50"/>
      <c r="AY48" s="50"/>
      <c r="AZ48" s="50"/>
      <c r="BA48" s="50"/>
      <c r="BB48" s="50"/>
      <c r="BD48" s="50"/>
      <c r="BE48" s="50"/>
      <c r="BF48" s="50"/>
      <c r="BH48" s="50"/>
      <c r="BI48" s="50"/>
      <c r="BJ48" s="50"/>
    </row>
    <row r="49" spans="1:62" outlineLevel="1" x14ac:dyDescent="0.25">
      <c r="A49" s="25"/>
      <c r="B49" s="25"/>
      <c r="C49" s="26" t="s">
        <v>313</v>
      </c>
      <c r="D49" s="25">
        <v>8929532</v>
      </c>
      <c r="E49" s="26">
        <v>20</v>
      </c>
      <c r="G49" s="27" t="str">
        <f t="shared" si="0"/>
        <v>·</v>
      </c>
      <c r="H49" s="28" t="str">
        <f t="shared" si="1"/>
        <v>·</v>
      </c>
      <c r="I49" s="28" t="str">
        <f t="shared" si="2"/>
        <v>·</v>
      </c>
      <c r="J49" s="28" t="str">
        <f t="shared" si="3"/>
        <v>·</v>
      </c>
      <c r="K49" s="28" t="str">
        <f t="shared" si="4"/>
        <v>·</v>
      </c>
      <c r="L49" s="29"/>
      <c r="M49" s="30"/>
      <c r="N49" s="30"/>
      <c r="O49" s="30"/>
      <c r="P49" s="51"/>
      <c r="Q49" s="51"/>
      <c r="R49" s="51"/>
      <c r="S49" s="51"/>
      <c r="T49" s="51"/>
      <c r="U49" s="51"/>
      <c r="V49" s="51"/>
      <c r="W49" s="51"/>
      <c r="X49" s="31"/>
      <c r="Y49" s="31"/>
      <c r="AA49" s="27" t="str">
        <f t="shared" si="5"/>
        <v>·</v>
      </c>
      <c r="AB49" s="28" t="str">
        <f t="shared" si="6"/>
        <v>·</v>
      </c>
      <c r="AC49" s="28" t="str">
        <f t="shared" si="7"/>
        <v>·</v>
      </c>
      <c r="AD49" s="28" t="str">
        <f t="shared" si="8"/>
        <v>·</v>
      </c>
      <c r="AE49" s="28" t="str">
        <f t="shared" si="9"/>
        <v>·</v>
      </c>
      <c r="AF49" s="29"/>
      <c r="AG49" s="30"/>
      <c r="AH49" s="30"/>
      <c r="AI49" s="30"/>
      <c r="AJ49" s="51"/>
      <c r="AK49" s="51"/>
      <c r="AL49" s="51"/>
      <c r="AM49" s="51"/>
      <c r="AN49" s="51"/>
      <c r="AO49" s="51"/>
      <c r="AP49" s="51"/>
      <c r="AQ49" s="51"/>
      <c r="AR49" s="31"/>
      <c r="AS49" s="31"/>
      <c r="AU49" s="27" t="e">
        <f t="shared" si="10"/>
        <v>#DIV/0!</v>
      </c>
      <c r="AV49" s="27"/>
      <c r="AX49" s="52"/>
      <c r="AY49" s="52"/>
      <c r="AZ49" s="52"/>
      <c r="BA49" s="52"/>
      <c r="BB49" s="52"/>
      <c r="BD49" s="52"/>
      <c r="BE49" s="52"/>
      <c r="BF49" s="52"/>
      <c r="BH49" s="52"/>
      <c r="BI49" s="52"/>
      <c r="BJ49" s="52"/>
    </row>
    <row r="50" spans="1:62" outlineLevel="1" x14ac:dyDescent="0.25">
      <c r="A50" s="18"/>
      <c r="B50" s="18"/>
      <c r="C50" s="19" t="s">
        <v>428</v>
      </c>
      <c r="D50" s="18">
        <v>8929532</v>
      </c>
      <c r="E50" s="19">
        <v>20</v>
      </c>
      <c r="G50" s="20" t="str">
        <f t="shared" si="0"/>
        <v>·</v>
      </c>
      <c r="H50" s="21" t="str">
        <f t="shared" si="1"/>
        <v>·</v>
      </c>
      <c r="I50" s="21" t="str">
        <f t="shared" si="2"/>
        <v>·</v>
      </c>
      <c r="J50" s="21" t="str">
        <f t="shared" si="3"/>
        <v>·</v>
      </c>
      <c r="K50" s="21" t="str">
        <f t="shared" si="4"/>
        <v>·</v>
      </c>
      <c r="L50" s="22"/>
      <c r="M50" s="23"/>
      <c r="N50" s="23"/>
      <c r="O50" s="23"/>
      <c r="P50" s="49"/>
      <c r="Q50" s="49"/>
      <c r="R50" s="49"/>
      <c r="S50" s="49"/>
      <c r="T50" s="49"/>
      <c r="U50" s="49"/>
      <c r="V50" s="49"/>
      <c r="W50" s="49"/>
      <c r="X50" s="24"/>
      <c r="Y50" s="24"/>
      <c r="AA50" s="20" t="str">
        <f t="shared" si="5"/>
        <v>·</v>
      </c>
      <c r="AB50" s="21" t="str">
        <f t="shared" si="6"/>
        <v>·</v>
      </c>
      <c r="AC50" s="21" t="str">
        <f t="shared" si="7"/>
        <v>·</v>
      </c>
      <c r="AD50" s="21" t="str">
        <f t="shared" si="8"/>
        <v>·</v>
      </c>
      <c r="AE50" s="21" t="str">
        <f t="shared" si="9"/>
        <v>·</v>
      </c>
      <c r="AF50" s="22"/>
      <c r="AG50" s="23"/>
      <c r="AH50" s="23"/>
      <c r="AI50" s="23"/>
      <c r="AJ50" s="49"/>
      <c r="AK50" s="49"/>
      <c r="AL50" s="49"/>
      <c r="AM50" s="49"/>
      <c r="AN50" s="49"/>
      <c r="AO50" s="49"/>
      <c r="AP50" s="49"/>
      <c r="AQ50" s="49"/>
      <c r="AR50" s="24"/>
      <c r="AS50" s="24"/>
      <c r="AU50" s="20" t="e">
        <f t="shared" si="10"/>
        <v>#DIV/0!</v>
      </c>
      <c r="AV50" s="20"/>
      <c r="AX50" s="50"/>
      <c r="AY50" s="50"/>
      <c r="AZ50" s="50"/>
      <c r="BA50" s="50"/>
      <c r="BB50" s="50"/>
      <c r="BD50" s="50"/>
      <c r="BE50" s="50"/>
      <c r="BF50" s="50"/>
      <c r="BH50" s="50"/>
      <c r="BI50" s="50"/>
      <c r="BJ50" s="50"/>
    </row>
    <row r="51" spans="1:62" outlineLevel="1" x14ac:dyDescent="0.25">
      <c r="A51" s="25"/>
      <c r="B51" s="32"/>
      <c r="C51" s="33" t="s">
        <v>429</v>
      </c>
      <c r="D51" s="32">
        <v>8929532</v>
      </c>
      <c r="E51" s="33">
        <v>20</v>
      </c>
      <c r="G51" s="34" t="str">
        <f t="shared" si="0"/>
        <v>·</v>
      </c>
      <c r="H51" s="35" t="str">
        <f t="shared" si="1"/>
        <v>·</v>
      </c>
      <c r="I51" s="35" t="str">
        <f t="shared" si="2"/>
        <v>·</v>
      </c>
      <c r="J51" s="35" t="str">
        <f t="shared" si="3"/>
        <v>·</v>
      </c>
      <c r="K51" s="35" t="str">
        <f t="shared" si="4"/>
        <v>·</v>
      </c>
      <c r="L51" s="36"/>
      <c r="M51" s="37"/>
      <c r="N51" s="37"/>
      <c r="O51" s="37"/>
      <c r="P51" s="53"/>
      <c r="Q51" s="53"/>
      <c r="R51" s="53"/>
      <c r="S51" s="53"/>
      <c r="T51" s="53"/>
      <c r="U51" s="53"/>
      <c r="V51" s="53"/>
      <c r="W51" s="53"/>
      <c r="X51" s="38"/>
      <c r="Y51" s="38"/>
      <c r="AA51" s="34" t="str">
        <f t="shared" si="5"/>
        <v>·</v>
      </c>
      <c r="AB51" s="35" t="str">
        <f t="shared" si="6"/>
        <v>·</v>
      </c>
      <c r="AC51" s="35" t="str">
        <f t="shared" si="7"/>
        <v>·</v>
      </c>
      <c r="AD51" s="35" t="str">
        <f t="shared" si="8"/>
        <v>·</v>
      </c>
      <c r="AE51" s="35" t="str">
        <f t="shared" si="9"/>
        <v>·</v>
      </c>
      <c r="AF51" s="36"/>
      <c r="AG51" s="37"/>
      <c r="AH51" s="37"/>
      <c r="AI51" s="37"/>
      <c r="AJ51" s="53"/>
      <c r="AK51" s="53"/>
      <c r="AL51" s="53"/>
      <c r="AM51" s="53"/>
      <c r="AN51" s="53"/>
      <c r="AO51" s="53"/>
      <c r="AP51" s="53"/>
      <c r="AQ51" s="53"/>
      <c r="AR51" s="38"/>
      <c r="AS51" s="38"/>
      <c r="AU51" s="34" t="e">
        <f t="shared" si="10"/>
        <v>#DIV/0!</v>
      </c>
      <c r="AV51" s="34"/>
      <c r="AX51" s="54"/>
      <c r="AY51" s="54"/>
      <c r="AZ51" s="54"/>
      <c r="BA51" s="54"/>
      <c r="BB51" s="54"/>
      <c r="BD51" s="54"/>
      <c r="BE51" s="54"/>
      <c r="BF51" s="54"/>
      <c r="BH51" s="54"/>
      <c r="BI51" s="54"/>
      <c r="BJ51" s="54"/>
    </row>
    <row r="52" spans="1:62" collapsed="1" x14ac:dyDescent="0.25">
      <c r="A52" s="18"/>
      <c r="B52" s="18" t="s">
        <v>165</v>
      </c>
      <c r="C52" s="19" t="s">
        <v>310</v>
      </c>
      <c r="D52" s="18">
        <v>19702134</v>
      </c>
      <c r="E52" s="19">
        <v>14</v>
      </c>
      <c r="G52" s="20" t="str">
        <f t="shared" si="0"/>
        <v>·</v>
      </c>
      <c r="H52" s="21" t="str">
        <f t="shared" si="1"/>
        <v>·</v>
      </c>
      <c r="I52" s="21" t="str">
        <f t="shared" si="2"/>
        <v>·</v>
      </c>
      <c r="J52" s="21" t="str">
        <f t="shared" si="3"/>
        <v>·</v>
      </c>
      <c r="K52" s="21" t="str">
        <f t="shared" si="4"/>
        <v>·</v>
      </c>
      <c r="L52" s="22"/>
      <c r="M52" s="23"/>
      <c r="N52" s="23"/>
      <c r="O52" s="23"/>
      <c r="P52" s="49"/>
      <c r="Q52" s="49"/>
      <c r="R52" s="49"/>
      <c r="S52" s="49"/>
      <c r="T52" s="49"/>
      <c r="U52" s="49"/>
      <c r="V52" s="49"/>
      <c r="W52" s="49"/>
      <c r="X52" s="24"/>
      <c r="Y52" s="24"/>
      <c r="AA52" s="20" t="str">
        <f t="shared" si="5"/>
        <v>·</v>
      </c>
      <c r="AB52" s="21" t="str">
        <f t="shared" si="6"/>
        <v>·</v>
      </c>
      <c r="AC52" s="21" t="str">
        <f t="shared" si="7"/>
        <v>·</v>
      </c>
      <c r="AD52" s="21" t="str">
        <f t="shared" si="8"/>
        <v>·</v>
      </c>
      <c r="AE52" s="21" t="str">
        <f t="shared" si="9"/>
        <v>·</v>
      </c>
      <c r="AF52" s="22"/>
      <c r="AG52" s="23"/>
      <c r="AH52" s="23"/>
      <c r="AI52" s="23"/>
      <c r="AJ52" s="49"/>
      <c r="AK52" s="49"/>
      <c r="AL52" s="49"/>
      <c r="AM52" s="49"/>
      <c r="AN52" s="49"/>
      <c r="AO52" s="49"/>
      <c r="AP52" s="49"/>
      <c r="AQ52" s="49"/>
      <c r="AR52" s="24"/>
      <c r="AS52" s="24"/>
      <c r="AU52" s="20" t="e">
        <f t="shared" si="10"/>
        <v>#DIV/0!</v>
      </c>
      <c r="AV52" s="20" t="e">
        <f t="array" ref="AV52">AVERAGE(AH52:AH57/AG52:AG57) - AVERAGE(N52:N57/M52:M57)</f>
        <v>#DIV/0!</v>
      </c>
      <c r="AX52" s="50" t="e">
        <f>bdRateExtend( M52:M57,P52:P57, AG52:AG57,AJ52:AJ57)</f>
        <v>#VALUE!</v>
      </c>
      <c r="AY52" s="50" t="e">
        <f>bdRateExtend( M52:M57,Q52:Q57, AG52:AG57,AK52:AK57)</f>
        <v>#VALUE!</v>
      </c>
      <c r="AZ52" s="50" t="e">
        <f>bdRateExtend( M52:M57,R52:R57, AG52:AG57,AL52:AL57)</f>
        <v>#VALUE!</v>
      </c>
      <c r="BA52" s="50" t="e">
        <f>bdRateExtend( M52:M57,S52:S57, AG52:AG57,AM52:AM57)</f>
        <v>#VALUE!</v>
      </c>
      <c r="BB52" s="50" t="e">
        <f>bdRateExtend( M52:M57,T52:T57, AG52:AG57,AN52:AN57)</f>
        <v>#VALUE!</v>
      </c>
      <c r="BD52" s="50" t="e">
        <f>bdRateExtend( O52:O57,R52:R57, AI52:AI57,AL52:AL57)</f>
        <v>#VALUE!</v>
      </c>
      <c r="BE52" s="50" t="e">
        <f>bdRateExtend( O52:O57,S52:S57, AI52:AI57,AM52:AM57)</f>
        <v>#VALUE!</v>
      </c>
      <c r="BF52" s="50" t="e">
        <f>bdRateExtend( O52:O57,T52:T57, AI52:AI57,AN52:AN57)</f>
        <v>#VALUE!</v>
      </c>
      <c r="BH52" s="50" t="e">
        <f>bdRateExtend( O52:O57,U52:U57, AI52:AI57,AO52:AO57)</f>
        <v>#VALUE!</v>
      </c>
      <c r="BI52" s="50" t="e">
        <f>bdRateExtend( O52:O57,V52:V57, AI52:AI57,AP52:AP57)</f>
        <v>#VALUE!</v>
      </c>
      <c r="BJ52" s="50" t="e">
        <f>bdRateExtend( O52:O57,W52:W57, AI52:AI57,AQ52:AQ57)</f>
        <v>#VALUE!</v>
      </c>
    </row>
    <row r="53" spans="1:62" outlineLevel="1" x14ac:dyDescent="0.25">
      <c r="A53" s="25"/>
      <c r="B53" s="25"/>
      <c r="C53" s="26" t="s">
        <v>311</v>
      </c>
      <c r="D53" s="25">
        <v>19702134</v>
      </c>
      <c r="E53" s="26">
        <v>14</v>
      </c>
      <c r="G53" s="27" t="str">
        <f t="shared" si="0"/>
        <v>·</v>
      </c>
      <c r="H53" s="28" t="str">
        <f t="shared" si="1"/>
        <v>·</v>
      </c>
      <c r="I53" s="28" t="str">
        <f t="shared" si="2"/>
        <v>·</v>
      </c>
      <c r="J53" s="28" t="str">
        <f t="shared" si="3"/>
        <v>·</v>
      </c>
      <c r="K53" s="28" t="str">
        <f t="shared" si="4"/>
        <v>·</v>
      </c>
      <c r="L53" s="29"/>
      <c r="M53" s="30"/>
      <c r="N53" s="30"/>
      <c r="O53" s="30"/>
      <c r="P53" s="51"/>
      <c r="Q53" s="51"/>
      <c r="R53" s="51"/>
      <c r="S53" s="51"/>
      <c r="T53" s="51"/>
      <c r="U53" s="51"/>
      <c r="V53" s="51"/>
      <c r="W53" s="51"/>
      <c r="X53" s="31"/>
      <c r="Y53" s="31"/>
      <c r="AA53" s="27" t="str">
        <f t="shared" si="5"/>
        <v>·</v>
      </c>
      <c r="AB53" s="28" t="str">
        <f t="shared" si="6"/>
        <v>·</v>
      </c>
      <c r="AC53" s="28" t="str">
        <f t="shared" si="7"/>
        <v>·</v>
      </c>
      <c r="AD53" s="28" t="str">
        <f t="shared" si="8"/>
        <v>·</v>
      </c>
      <c r="AE53" s="28" t="str">
        <f t="shared" si="9"/>
        <v>·</v>
      </c>
      <c r="AF53" s="29"/>
      <c r="AG53" s="30"/>
      <c r="AH53" s="30"/>
      <c r="AI53" s="30"/>
      <c r="AJ53" s="51"/>
      <c r="AK53" s="51"/>
      <c r="AL53" s="51"/>
      <c r="AM53" s="51"/>
      <c r="AN53" s="51"/>
      <c r="AO53" s="51"/>
      <c r="AP53" s="51"/>
      <c r="AQ53" s="51"/>
      <c r="AR53" s="31"/>
      <c r="AS53" s="31"/>
      <c r="AU53" s="27" t="e">
        <f t="shared" si="10"/>
        <v>#DIV/0!</v>
      </c>
      <c r="AV53" s="27"/>
      <c r="AX53" s="52"/>
      <c r="AY53" s="52"/>
      <c r="AZ53" s="52"/>
      <c r="BA53" s="52"/>
      <c r="BB53" s="52"/>
      <c r="BD53" s="52"/>
      <c r="BE53" s="52"/>
      <c r="BF53" s="52"/>
      <c r="BH53" s="52"/>
      <c r="BI53" s="52"/>
      <c r="BJ53" s="52"/>
    </row>
    <row r="54" spans="1:62" outlineLevel="1" x14ac:dyDescent="0.25">
      <c r="A54" s="18"/>
      <c r="B54" s="18"/>
      <c r="C54" s="19" t="s">
        <v>312</v>
      </c>
      <c r="D54" s="18">
        <v>19702134</v>
      </c>
      <c r="E54" s="19">
        <v>14</v>
      </c>
      <c r="G54" s="20" t="str">
        <f t="shared" si="0"/>
        <v>·</v>
      </c>
      <c r="H54" s="21" t="str">
        <f t="shared" si="1"/>
        <v>·</v>
      </c>
      <c r="I54" s="21" t="str">
        <f t="shared" si="2"/>
        <v>·</v>
      </c>
      <c r="J54" s="21" t="str">
        <f t="shared" si="3"/>
        <v>·</v>
      </c>
      <c r="K54" s="21" t="str">
        <f t="shared" si="4"/>
        <v>·</v>
      </c>
      <c r="L54" s="22"/>
      <c r="M54" s="23"/>
      <c r="N54" s="23"/>
      <c r="O54" s="23"/>
      <c r="P54" s="49"/>
      <c r="Q54" s="49"/>
      <c r="R54" s="49"/>
      <c r="S54" s="49"/>
      <c r="T54" s="49"/>
      <c r="U54" s="49"/>
      <c r="V54" s="49"/>
      <c r="W54" s="49"/>
      <c r="X54" s="24"/>
      <c r="Y54" s="24"/>
      <c r="AA54" s="20" t="str">
        <f t="shared" si="5"/>
        <v>·</v>
      </c>
      <c r="AB54" s="21" t="str">
        <f t="shared" si="6"/>
        <v>·</v>
      </c>
      <c r="AC54" s="21" t="str">
        <f t="shared" si="7"/>
        <v>·</v>
      </c>
      <c r="AD54" s="21" t="str">
        <f t="shared" si="8"/>
        <v>·</v>
      </c>
      <c r="AE54" s="21" t="str">
        <f t="shared" si="9"/>
        <v>·</v>
      </c>
      <c r="AF54" s="22"/>
      <c r="AG54" s="23"/>
      <c r="AH54" s="23"/>
      <c r="AI54" s="23"/>
      <c r="AJ54" s="49"/>
      <c r="AK54" s="49"/>
      <c r="AL54" s="49"/>
      <c r="AM54" s="49"/>
      <c r="AN54" s="49"/>
      <c r="AO54" s="49"/>
      <c r="AP54" s="49"/>
      <c r="AQ54" s="49"/>
      <c r="AR54" s="24"/>
      <c r="AS54" s="24"/>
      <c r="AU54" s="20" t="e">
        <f t="shared" si="10"/>
        <v>#DIV/0!</v>
      </c>
      <c r="AV54" s="20"/>
      <c r="AX54" s="50"/>
      <c r="AY54" s="50"/>
      <c r="AZ54" s="50"/>
      <c r="BA54" s="50"/>
      <c r="BB54" s="50"/>
      <c r="BD54" s="50"/>
      <c r="BE54" s="50"/>
      <c r="BF54" s="50"/>
      <c r="BH54" s="50"/>
      <c r="BI54" s="50"/>
      <c r="BJ54" s="50"/>
    </row>
    <row r="55" spans="1:62" outlineLevel="1" x14ac:dyDescent="0.25">
      <c r="A55" s="25"/>
      <c r="B55" s="25"/>
      <c r="C55" s="26" t="s">
        <v>313</v>
      </c>
      <c r="D55" s="25">
        <v>19702134</v>
      </c>
      <c r="E55" s="26">
        <v>14</v>
      </c>
      <c r="G55" s="27" t="str">
        <f t="shared" si="0"/>
        <v>·</v>
      </c>
      <c r="H55" s="28" t="str">
        <f t="shared" si="1"/>
        <v>·</v>
      </c>
      <c r="I55" s="28" t="str">
        <f t="shared" si="2"/>
        <v>·</v>
      </c>
      <c r="J55" s="28" t="str">
        <f t="shared" si="3"/>
        <v>·</v>
      </c>
      <c r="K55" s="28" t="str">
        <f t="shared" si="4"/>
        <v>·</v>
      </c>
      <c r="L55" s="29"/>
      <c r="M55" s="30"/>
      <c r="N55" s="30"/>
      <c r="O55" s="30"/>
      <c r="P55" s="51"/>
      <c r="Q55" s="51"/>
      <c r="R55" s="51"/>
      <c r="S55" s="51"/>
      <c r="T55" s="51"/>
      <c r="U55" s="51"/>
      <c r="V55" s="51"/>
      <c r="W55" s="51"/>
      <c r="X55" s="31"/>
      <c r="Y55" s="31"/>
      <c r="AA55" s="27" t="str">
        <f t="shared" si="5"/>
        <v>·</v>
      </c>
      <c r="AB55" s="28" t="str">
        <f t="shared" si="6"/>
        <v>·</v>
      </c>
      <c r="AC55" s="28" t="str">
        <f t="shared" si="7"/>
        <v>·</v>
      </c>
      <c r="AD55" s="28" t="str">
        <f t="shared" si="8"/>
        <v>·</v>
      </c>
      <c r="AE55" s="28" t="str">
        <f t="shared" si="9"/>
        <v>·</v>
      </c>
      <c r="AF55" s="29"/>
      <c r="AG55" s="30"/>
      <c r="AH55" s="30"/>
      <c r="AI55" s="30"/>
      <c r="AJ55" s="51"/>
      <c r="AK55" s="51"/>
      <c r="AL55" s="51"/>
      <c r="AM55" s="51"/>
      <c r="AN55" s="51"/>
      <c r="AO55" s="51"/>
      <c r="AP55" s="51"/>
      <c r="AQ55" s="51"/>
      <c r="AR55" s="31"/>
      <c r="AS55" s="31"/>
      <c r="AU55" s="27" t="e">
        <f t="shared" si="10"/>
        <v>#DIV/0!</v>
      </c>
      <c r="AV55" s="27"/>
      <c r="AX55" s="52"/>
      <c r="AY55" s="52"/>
      <c r="AZ55" s="52"/>
      <c r="BA55" s="52"/>
      <c r="BB55" s="52"/>
      <c r="BD55" s="52"/>
      <c r="BE55" s="52"/>
      <c r="BF55" s="52"/>
      <c r="BH55" s="52"/>
      <c r="BI55" s="52"/>
      <c r="BJ55" s="52"/>
    </row>
    <row r="56" spans="1:62" outlineLevel="1" x14ac:dyDescent="0.25">
      <c r="A56" s="18"/>
      <c r="B56" s="18"/>
      <c r="C56" s="19" t="s">
        <v>428</v>
      </c>
      <c r="D56" s="18">
        <v>19702134</v>
      </c>
      <c r="E56" s="19">
        <v>14</v>
      </c>
      <c r="G56" s="20" t="str">
        <f t="shared" si="0"/>
        <v>·</v>
      </c>
      <c r="H56" s="21" t="str">
        <f t="shared" si="1"/>
        <v>·</v>
      </c>
      <c r="I56" s="21" t="str">
        <f t="shared" si="2"/>
        <v>·</v>
      </c>
      <c r="J56" s="21" t="str">
        <f t="shared" si="3"/>
        <v>·</v>
      </c>
      <c r="K56" s="21" t="str">
        <f t="shared" si="4"/>
        <v>·</v>
      </c>
      <c r="L56" s="22"/>
      <c r="M56" s="23"/>
      <c r="N56" s="23"/>
      <c r="O56" s="23"/>
      <c r="P56" s="49"/>
      <c r="Q56" s="49"/>
      <c r="R56" s="49"/>
      <c r="S56" s="49"/>
      <c r="T56" s="49"/>
      <c r="U56" s="49"/>
      <c r="V56" s="49"/>
      <c r="W56" s="49"/>
      <c r="X56" s="24"/>
      <c r="Y56" s="24"/>
      <c r="AA56" s="20" t="str">
        <f t="shared" si="5"/>
        <v>·</v>
      </c>
      <c r="AB56" s="21" t="str">
        <f t="shared" si="6"/>
        <v>·</v>
      </c>
      <c r="AC56" s="21" t="str">
        <f t="shared" si="7"/>
        <v>·</v>
      </c>
      <c r="AD56" s="21" t="str">
        <f t="shared" si="8"/>
        <v>·</v>
      </c>
      <c r="AE56" s="21" t="str">
        <f t="shared" si="9"/>
        <v>·</v>
      </c>
      <c r="AF56" s="22"/>
      <c r="AG56" s="23"/>
      <c r="AH56" s="23"/>
      <c r="AI56" s="23"/>
      <c r="AJ56" s="49"/>
      <c r="AK56" s="49"/>
      <c r="AL56" s="49"/>
      <c r="AM56" s="49"/>
      <c r="AN56" s="49"/>
      <c r="AO56" s="49"/>
      <c r="AP56" s="49"/>
      <c r="AQ56" s="49"/>
      <c r="AR56" s="24"/>
      <c r="AS56" s="24"/>
      <c r="AU56" s="20" t="e">
        <f t="shared" si="10"/>
        <v>#DIV/0!</v>
      </c>
      <c r="AV56" s="20"/>
      <c r="AX56" s="50"/>
      <c r="AY56" s="50"/>
      <c r="AZ56" s="50"/>
      <c r="BA56" s="50"/>
      <c r="BB56" s="50"/>
      <c r="BD56" s="50"/>
      <c r="BE56" s="50"/>
      <c r="BF56" s="50"/>
      <c r="BH56" s="50"/>
      <c r="BI56" s="50"/>
      <c r="BJ56" s="50"/>
    </row>
    <row r="57" spans="1:62" outlineLevel="1" x14ac:dyDescent="0.25">
      <c r="A57" s="25"/>
      <c r="B57" s="32"/>
      <c r="C57" s="33" t="s">
        <v>429</v>
      </c>
      <c r="D57" s="32">
        <v>19702134</v>
      </c>
      <c r="E57" s="33">
        <v>14</v>
      </c>
      <c r="G57" s="34" t="str">
        <f t="shared" si="0"/>
        <v>·</v>
      </c>
      <c r="H57" s="35" t="str">
        <f t="shared" si="1"/>
        <v>·</v>
      </c>
      <c r="I57" s="35" t="str">
        <f t="shared" si="2"/>
        <v>·</v>
      </c>
      <c r="J57" s="35" t="str">
        <f t="shared" si="3"/>
        <v>·</v>
      </c>
      <c r="K57" s="35" t="str">
        <f t="shared" si="4"/>
        <v>·</v>
      </c>
      <c r="L57" s="36"/>
      <c r="M57" s="37"/>
      <c r="N57" s="37"/>
      <c r="O57" s="37"/>
      <c r="P57" s="53"/>
      <c r="Q57" s="53"/>
      <c r="R57" s="53"/>
      <c r="S57" s="53"/>
      <c r="T57" s="53"/>
      <c r="U57" s="53"/>
      <c r="V57" s="53"/>
      <c r="W57" s="53"/>
      <c r="X57" s="38"/>
      <c r="Y57" s="38"/>
      <c r="AA57" s="34" t="str">
        <f t="shared" si="5"/>
        <v>·</v>
      </c>
      <c r="AB57" s="35" t="str">
        <f t="shared" si="6"/>
        <v>·</v>
      </c>
      <c r="AC57" s="35" t="str">
        <f t="shared" si="7"/>
        <v>·</v>
      </c>
      <c r="AD57" s="35" t="str">
        <f t="shared" si="8"/>
        <v>·</v>
      </c>
      <c r="AE57" s="35" t="str">
        <f t="shared" si="9"/>
        <v>·</v>
      </c>
      <c r="AF57" s="36"/>
      <c r="AG57" s="37"/>
      <c r="AH57" s="37"/>
      <c r="AI57" s="37"/>
      <c r="AJ57" s="53"/>
      <c r="AK57" s="53"/>
      <c r="AL57" s="53"/>
      <c r="AM57" s="53"/>
      <c r="AN57" s="53"/>
      <c r="AO57" s="53"/>
      <c r="AP57" s="53"/>
      <c r="AQ57" s="53"/>
      <c r="AR57" s="38"/>
      <c r="AS57" s="38"/>
      <c r="AU57" s="34" t="e">
        <f t="shared" si="10"/>
        <v>#DIV/0!</v>
      </c>
      <c r="AV57" s="34"/>
      <c r="AX57" s="54"/>
      <c r="AY57" s="54"/>
      <c r="AZ57" s="54"/>
      <c r="BA57" s="54"/>
      <c r="BB57" s="54"/>
      <c r="BD57" s="54"/>
      <c r="BE57" s="54"/>
      <c r="BF57" s="54"/>
      <c r="BH57" s="54"/>
      <c r="BI57" s="54"/>
      <c r="BJ57" s="54"/>
    </row>
    <row r="58" spans="1:62" collapsed="1" x14ac:dyDescent="0.25">
      <c r="A58" s="18"/>
      <c r="B58" s="18" t="s">
        <v>168</v>
      </c>
      <c r="C58" s="19" t="s">
        <v>310</v>
      </c>
      <c r="D58" s="18">
        <v>19714629</v>
      </c>
      <c r="E58" s="19">
        <v>20</v>
      </c>
      <c r="G58" s="20" t="str">
        <f t="shared" si="0"/>
        <v>·</v>
      </c>
      <c r="H58" s="21" t="str">
        <f t="shared" si="1"/>
        <v>·</v>
      </c>
      <c r="I58" s="21" t="str">
        <f t="shared" si="2"/>
        <v>·</v>
      </c>
      <c r="J58" s="21" t="str">
        <f t="shared" si="3"/>
        <v>·</v>
      </c>
      <c r="K58" s="21" t="str">
        <f t="shared" si="4"/>
        <v>·</v>
      </c>
      <c r="L58" s="22"/>
      <c r="M58" s="23"/>
      <c r="N58" s="23"/>
      <c r="O58" s="23"/>
      <c r="P58" s="49"/>
      <c r="Q58" s="49"/>
      <c r="R58" s="49"/>
      <c r="S58" s="49"/>
      <c r="T58" s="49"/>
      <c r="U58" s="49"/>
      <c r="V58" s="49"/>
      <c r="W58" s="49"/>
      <c r="X58" s="24"/>
      <c r="Y58" s="24"/>
      <c r="AA58" s="20" t="str">
        <f t="shared" si="5"/>
        <v>·</v>
      </c>
      <c r="AB58" s="21" t="str">
        <f t="shared" si="6"/>
        <v>·</v>
      </c>
      <c r="AC58" s="21" t="str">
        <f t="shared" si="7"/>
        <v>·</v>
      </c>
      <c r="AD58" s="21" t="str">
        <f t="shared" si="8"/>
        <v>·</v>
      </c>
      <c r="AE58" s="21" t="str">
        <f t="shared" si="9"/>
        <v>·</v>
      </c>
      <c r="AF58" s="22"/>
      <c r="AG58" s="23"/>
      <c r="AH58" s="23"/>
      <c r="AI58" s="23"/>
      <c r="AJ58" s="49"/>
      <c r="AK58" s="49"/>
      <c r="AL58" s="49"/>
      <c r="AM58" s="49"/>
      <c r="AN58" s="49"/>
      <c r="AO58" s="49"/>
      <c r="AP58" s="49"/>
      <c r="AQ58" s="49"/>
      <c r="AR58" s="24"/>
      <c r="AS58" s="24"/>
      <c r="AU58" s="20" t="e">
        <f t="shared" si="10"/>
        <v>#DIV/0!</v>
      </c>
      <c r="AV58" s="20" t="e">
        <f t="array" ref="AV58">AVERAGE(AH58:AH63/AG58:AG63) - AVERAGE(N58:N63/M58:M63)</f>
        <v>#DIV/0!</v>
      </c>
      <c r="AX58" s="50" t="e">
        <f>bdRateExtend( M58:M63,P58:P63, AG58:AG63,AJ58:AJ63)</f>
        <v>#VALUE!</v>
      </c>
      <c r="AY58" s="50" t="e">
        <f>bdRateExtend( M58:M63,Q58:Q63, AG58:AG63,AK58:AK63)</f>
        <v>#VALUE!</v>
      </c>
      <c r="AZ58" s="50" t="e">
        <f>bdRateExtend( M58:M63,R58:R63, AG58:AG63,AL58:AL63)</f>
        <v>#VALUE!</v>
      </c>
      <c r="BA58" s="50" t="e">
        <f>bdRateExtend( M58:M63,S58:S63, AG58:AG63,AM58:AM63)</f>
        <v>#VALUE!</v>
      </c>
      <c r="BB58" s="50" t="e">
        <f>bdRateExtend( M58:M63,T58:T63, AG58:AG63,AN58:AN63)</f>
        <v>#VALUE!</v>
      </c>
      <c r="BD58" s="50" t="e">
        <f>bdRateExtend( O58:O63,R58:R63, AI58:AI63,AL58:AL63)</f>
        <v>#VALUE!</v>
      </c>
      <c r="BE58" s="50" t="e">
        <f>bdRateExtend( O58:O63,S58:S63, AI58:AI63,AM58:AM63)</f>
        <v>#VALUE!</v>
      </c>
      <c r="BF58" s="50" t="e">
        <f>bdRateExtend( O58:O63,T58:T63, AI58:AI63,AN58:AN63)</f>
        <v>#VALUE!</v>
      </c>
      <c r="BH58" s="50" t="e">
        <f>bdRateExtend( O58:O63,U58:U63, AI58:AI63,AO58:AO63)</f>
        <v>#VALUE!</v>
      </c>
      <c r="BI58" s="50" t="e">
        <f>bdRateExtend( O58:O63,V58:V63, AI58:AI63,AP58:AP63)</f>
        <v>#VALUE!</v>
      </c>
      <c r="BJ58" s="50" t="e">
        <f>bdRateExtend( O58:O63,W58:W63, AI58:AI63,AQ58:AQ63)</f>
        <v>#VALUE!</v>
      </c>
    </row>
    <row r="59" spans="1:62" outlineLevel="1" x14ac:dyDescent="0.25">
      <c r="A59" s="25"/>
      <c r="B59" s="25"/>
      <c r="C59" s="26" t="s">
        <v>311</v>
      </c>
      <c r="D59" s="25">
        <v>19714629</v>
      </c>
      <c r="E59" s="26">
        <v>20</v>
      </c>
      <c r="G59" s="27" t="str">
        <f t="shared" si="0"/>
        <v>·</v>
      </c>
      <c r="H59" s="28" t="str">
        <f t="shared" si="1"/>
        <v>·</v>
      </c>
      <c r="I59" s="28" t="str">
        <f t="shared" si="2"/>
        <v>·</v>
      </c>
      <c r="J59" s="28" t="str">
        <f t="shared" si="3"/>
        <v>·</v>
      </c>
      <c r="K59" s="28" t="str">
        <f t="shared" si="4"/>
        <v>·</v>
      </c>
      <c r="L59" s="29"/>
      <c r="M59" s="30"/>
      <c r="N59" s="30"/>
      <c r="O59" s="30"/>
      <c r="P59" s="51"/>
      <c r="Q59" s="51"/>
      <c r="R59" s="51"/>
      <c r="S59" s="51"/>
      <c r="T59" s="51"/>
      <c r="U59" s="51"/>
      <c r="V59" s="51"/>
      <c r="W59" s="51"/>
      <c r="X59" s="31"/>
      <c r="Y59" s="31"/>
      <c r="AA59" s="27" t="str">
        <f t="shared" si="5"/>
        <v>·</v>
      </c>
      <c r="AB59" s="28" t="str">
        <f t="shared" si="6"/>
        <v>·</v>
      </c>
      <c r="AC59" s="28" t="str">
        <f t="shared" si="7"/>
        <v>·</v>
      </c>
      <c r="AD59" s="28" t="str">
        <f t="shared" si="8"/>
        <v>·</v>
      </c>
      <c r="AE59" s="28" t="str">
        <f t="shared" si="9"/>
        <v>·</v>
      </c>
      <c r="AF59" s="29"/>
      <c r="AG59" s="30"/>
      <c r="AH59" s="30"/>
      <c r="AI59" s="30"/>
      <c r="AJ59" s="51"/>
      <c r="AK59" s="51"/>
      <c r="AL59" s="51"/>
      <c r="AM59" s="51"/>
      <c r="AN59" s="51"/>
      <c r="AO59" s="51"/>
      <c r="AP59" s="51"/>
      <c r="AQ59" s="51"/>
      <c r="AR59" s="31"/>
      <c r="AS59" s="31"/>
      <c r="AU59" s="27" t="e">
        <f t="shared" si="10"/>
        <v>#DIV/0!</v>
      </c>
      <c r="AV59" s="27"/>
      <c r="AX59" s="52"/>
      <c r="AY59" s="52"/>
      <c r="AZ59" s="52"/>
      <c r="BA59" s="52"/>
      <c r="BB59" s="52"/>
      <c r="BD59" s="52"/>
      <c r="BE59" s="52"/>
      <c r="BF59" s="52"/>
      <c r="BH59" s="52"/>
      <c r="BI59" s="52"/>
      <c r="BJ59" s="52"/>
    </row>
    <row r="60" spans="1:62" outlineLevel="1" x14ac:dyDescent="0.25">
      <c r="A60" s="18"/>
      <c r="B60" s="18"/>
      <c r="C60" s="19" t="s">
        <v>312</v>
      </c>
      <c r="D60" s="18">
        <v>19714629</v>
      </c>
      <c r="E60" s="19">
        <v>20</v>
      </c>
      <c r="G60" s="20" t="str">
        <f t="shared" si="0"/>
        <v>·</v>
      </c>
      <c r="H60" s="21" t="str">
        <f t="shared" si="1"/>
        <v>·</v>
      </c>
      <c r="I60" s="21" t="str">
        <f t="shared" si="2"/>
        <v>·</v>
      </c>
      <c r="J60" s="21" t="str">
        <f t="shared" si="3"/>
        <v>·</v>
      </c>
      <c r="K60" s="21" t="str">
        <f t="shared" si="4"/>
        <v>·</v>
      </c>
      <c r="L60" s="22"/>
      <c r="M60" s="23"/>
      <c r="N60" s="23"/>
      <c r="O60" s="23"/>
      <c r="P60" s="49"/>
      <c r="Q60" s="49"/>
      <c r="R60" s="49"/>
      <c r="S60" s="49"/>
      <c r="T60" s="49"/>
      <c r="U60" s="49"/>
      <c r="V60" s="49"/>
      <c r="W60" s="49"/>
      <c r="X60" s="24"/>
      <c r="Y60" s="24"/>
      <c r="AA60" s="20" t="str">
        <f t="shared" si="5"/>
        <v>·</v>
      </c>
      <c r="AB60" s="21" t="str">
        <f t="shared" si="6"/>
        <v>·</v>
      </c>
      <c r="AC60" s="21" t="str">
        <f t="shared" si="7"/>
        <v>·</v>
      </c>
      <c r="AD60" s="21" t="str">
        <f t="shared" si="8"/>
        <v>·</v>
      </c>
      <c r="AE60" s="21" t="str">
        <f t="shared" si="9"/>
        <v>·</v>
      </c>
      <c r="AF60" s="22"/>
      <c r="AG60" s="23"/>
      <c r="AH60" s="23"/>
      <c r="AI60" s="23"/>
      <c r="AJ60" s="49"/>
      <c r="AK60" s="49"/>
      <c r="AL60" s="49"/>
      <c r="AM60" s="49"/>
      <c r="AN60" s="49"/>
      <c r="AO60" s="49"/>
      <c r="AP60" s="49"/>
      <c r="AQ60" s="49"/>
      <c r="AR60" s="24"/>
      <c r="AS60" s="24"/>
      <c r="AU60" s="20" t="e">
        <f t="shared" si="10"/>
        <v>#DIV/0!</v>
      </c>
      <c r="AV60" s="20"/>
      <c r="AX60" s="50"/>
      <c r="AY60" s="50"/>
      <c r="AZ60" s="50"/>
      <c r="BA60" s="50"/>
      <c r="BB60" s="50"/>
      <c r="BD60" s="50"/>
      <c r="BE60" s="50"/>
      <c r="BF60" s="50"/>
      <c r="BH60" s="50"/>
      <c r="BI60" s="50"/>
      <c r="BJ60" s="50"/>
    </row>
    <row r="61" spans="1:62" outlineLevel="1" x14ac:dyDescent="0.25">
      <c r="A61" s="25"/>
      <c r="B61" s="25"/>
      <c r="C61" s="26" t="s">
        <v>313</v>
      </c>
      <c r="D61" s="25">
        <v>19714629</v>
      </c>
      <c r="E61" s="26">
        <v>20</v>
      </c>
      <c r="G61" s="27" t="str">
        <f t="shared" si="0"/>
        <v>·</v>
      </c>
      <c r="H61" s="28" t="str">
        <f t="shared" si="1"/>
        <v>·</v>
      </c>
      <c r="I61" s="28" t="str">
        <f t="shared" si="2"/>
        <v>·</v>
      </c>
      <c r="J61" s="28" t="str">
        <f t="shared" si="3"/>
        <v>·</v>
      </c>
      <c r="K61" s="28" t="str">
        <f t="shared" si="4"/>
        <v>·</v>
      </c>
      <c r="L61" s="29"/>
      <c r="M61" s="30"/>
      <c r="N61" s="30"/>
      <c r="O61" s="30"/>
      <c r="P61" s="51"/>
      <c r="Q61" s="51"/>
      <c r="R61" s="51"/>
      <c r="S61" s="51"/>
      <c r="T61" s="51"/>
      <c r="U61" s="51"/>
      <c r="V61" s="51"/>
      <c r="W61" s="51"/>
      <c r="X61" s="31"/>
      <c r="Y61" s="31"/>
      <c r="AA61" s="27" t="str">
        <f t="shared" si="5"/>
        <v>·</v>
      </c>
      <c r="AB61" s="28" t="str">
        <f t="shared" si="6"/>
        <v>·</v>
      </c>
      <c r="AC61" s="28" t="str">
        <f t="shared" si="7"/>
        <v>·</v>
      </c>
      <c r="AD61" s="28" t="str">
        <f t="shared" si="8"/>
        <v>·</v>
      </c>
      <c r="AE61" s="28" t="str">
        <f t="shared" si="9"/>
        <v>·</v>
      </c>
      <c r="AF61" s="29"/>
      <c r="AG61" s="30"/>
      <c r="AH61" s="30"/>
      <c r="AI61" s="30"/>
      <c r="AJ61" s="51"/>
      <c r="AK61" s="51"/>
      <c r="AL61" s="51"/>
      <c r="AM61" s="51"/>
      <c r="AN61" s="51"/>
      <c r="AO61" s="51"/>
      <c r="AP61" s="51"/>
      <c r="AQ61" s="51"/>
      <c r="AR61" s="31"/>
      <c r="AS61" s="31"/>
      <c r="AU61" s="27" t="e">
        <f t="shared" si="10"/>
        <v>#DIV/0!</v>
      </c>
      <c r="AV61" s="27"/>
      <c r="AX61" s="52"/>
      <c r="AY61" s="52"/>
      <c r="AZ61" s="52"/>
      <c r="BA61" s="52"/>
      <c r="BB61" s="52"/>
      <c r="BD61" s="52"/>
      <c r="BE61" s="52"/>
      <c r="BF61" s="52"/>
      <c r="BH61" s="52"/>
      <c r="BI61" s="52"/>
      <c r="BJ61" s="52"/>
    </row>
    <row r="62" spans="1:62" outlineLevel="1" x14ac:dyDescent="0.25">
      <c r="A62" s="18"/>
      <c r="B62" s="18"/>
      <c r="C62" s="19" t="s">
        <v>428</v>
      </c>
      <c r="D62" s="18">
        <v>19714629</v>
      </c>
      <c r="E62" s="19">
        <v>20</v>
      </c>
      <c r="G62" s="20" t="str">
        <f t="shared" si="0"/>
        <v>·</v>
      </c>
      <c r="H62" s="21" t="str">
        <f t="shared" si="1"/>
        <v>·</v>
      </c>
      <c r="I62" s="21" t="str">
        <f t="shared" si="2"/>
        <v>·</v>
      </c>
      <c r="J62" s="21" t="str">
        <f t="shared" si="3"/>
        <v>·</v>
      </c>
      <c r="K62" s="21" t="str">
        <f t="shared" si="4"/>
        <v>·</v>
      </c>
      <c r="L62" s="22"/>
      <c r="M62" s="23"/>
      <c r="N62" s="23"/>
      <c r="O62" s="23"/>
      <c r="P62" s="49"/>
      <c r="Q62" s="49"/>
      <c r="R62" s="49"/>
      <c r="S62" s="49"/>
      <c r="T62" s="49"/>
      <c r="U62" s="49"/>
      <c r="V62" s="49"/>
      <c r="W62" s="49"/>
      <c r="X62" s="24"/>
      <c r="Y62" s="24"/>
      <c r="AA62" s="20" t="str">
        <f t="shared" si="5"/>
        <v>·</v>
      </c>
      <c r="AB62" s="21" t="str">
        <f t="shared" si="6"/>
        <v>·</v>
      </c>
      <c r="AC62" s="21" t="str">
        <f t="shared" si="7"/>
        <v>·</v>
      </c>
      <c r="AD62" s="21" t="str">
        <f t="shared" si="8"/>
        <v>·</v>
      </c>
      <c r="AE62" s="21" t="str">
        <f t="shared" si="9"/>
        <v>·</v>
      </c>
      <c r="AF62" s="22"/>
      <c r="AG62" s="23"/>
      <c r="AH62" s="23"/>
      <c r="AI62" s="23"/>
      <c r="AJ62" s="49"/>
      <c r="AK62" s="49"/>
      <c r="AL62" s="49"/>
      <c r="AM62" s="49"/>
      <c r="AN62" s="49"/>
      <c r="AO62" s="49"/>
      <c r="AP62" s="49"/>
      <c r="AQ62" s="49"/>
      <c r="AR62" s="24"/>
      <c r="AS62" s="24"/>
      <c r="AU62" s="20" t="e">
        <f t="shared" si="10"/>
        <v>#DIV/0!</v>
      </c>
      <c r="AV62" s="20"/>
      <c r="AX62" s="50"/>
      <c r="AY62" s="50"/>
      <c r="AZ62" s="50"/>
      <c r="BA62" s="50"/>
      <c r="BB62" s="50"/>
      <c r="BD62" s="50"/>
      <c r="BE62" s="50"/>
      <c r="BF62" s="50"/>
      <c r="BH62" s="50"/>
      <c r="BI62" s="50"/>
      <c r="BJ62" s="50"/>
    </row>
    <row r="63" spans="1:62" outlineLevel="1" x14ac:dyDescent="0.25">
      <c r="A63" s="25"/>
      <c r="B63" s="32"/>
      <c r="C63" s="33" t="s">
        <v>429</v>
      </c>
      <c r="D63" s="32">
        <v>19714629</v>
      </c>
      <c r="E63" s="33">
        <v>20</v>
      </c>
      <c r="G63" s="34" t="str">
        <f t="shared" si="0"/>
        <v>·</v>
      </c>
      <c r="H63" s="35" t="str">
        <f t="shared" si="1"/>
        <v>·</v>
      </c>
      <c r="I63" s="35" t="str">
        <f t="shared" si="2"/>
        <v>·</v>
      </c>
      <c r="J63" s="35" t="str">
        <f t="shared" si="3"/>
        <v>·</v>
      </c>
      <c r="K63" s="35" t="str">
        <f t="shared" si="4"/>
        <v>·</v>
      </c>
      <c r="L63" s="36"/>
      <c r="M63" s="37"/>
      <c r="N63" s="37"/>
      <c r="O63" s="37"/>
      <c r="P63" s="53"/>
      <c r="Q63" s="53"/>
      <c r="R63" s="53"/>
      <c r="S63" s="53"/>
      <c r="T63" s="53"/>
      <c r="U63" s="53"/>
      <c r="V63" s="53"/>
      <c r="W63" s="53"/>
      <c r="X63" s="38"/>
      <c r="Y63" s="38"/>
      <c r="AA63" s="34" t="str">
        <f t="shared" si="5"/>
        <v>·</v>
      </c>
      <c r="AB63" s="35" t="str">
        <f t="shared" si="6"/>
        <v>·</v>
      </c>
      <c r="AC63" s="35" t="str">
        <f t="shared" si="7"/>
        <v>·</v>
      </c>
      <c r="AD63" s="35" t="str">
        <f t="shared" si="8"/>
        <v>·</v>
      </c>
      <c r="AE63" s="35" t="str">
        <f t="shared" si="9"/>
        <v>·</v>
      </c>
      <c r="AF63" s="36"/>
      <c r="AG63" s="37"/>
      <c r="AH63" s="37"/>
      <c r="AI63" s="37"/>
      <c r="AJ63" s="53"/>
      <c r="AK63" s="53"/>
      <c r="AL63" s="53"/>
      <c r="AM63" s="53"/>
      <c r="AN63" s="53"/>
      <c r="AO63" s="53"/>
      <c r="AP63" s="53"/>
      <c r="AQ63" s="53"/>
      <c r="AR63" s="38"/>
      <c r="AS63" s="38"/>
      <c r="AU63" s="34" t="e">
        <f t="shared" si="10"/>
        <v>#DIV/0!</v>
      </c>
      <c r="AV63" s="34"/>
      <c r="AX63" s="54"/>
      <c r="AY63" s="54"/>
      <c r="AZ63" s="54"/>
      <c r="BA63" s="54"/>
      <c r="BB63" s="54"/>
      <c r="BD63" s="54"/>
      <c r="BE63" s="54"/>
      <c r="BF63" s="54"/>
      <c r="BH63" s="54"/>
      <c r="BI63" s="54"/>
      <c r="BJ63" s="54"/>
    </row>
    <row r="64" spans="1:62" collapsed="1" x14ac:dyDescent="0.25">
      <c r="A64" s="18"/>
      <c r="B64" s="18" t="s">
        <v>171</v>
      </c>
      <c r="C64" s="19" t="s">
        <v>310</v>
      </c>
      <c r="D64" s="18">
        <v>3614251</v>
      </c>
      <c r="E64" s="19">
        <v>12</v>
      </c>
      <c r="G64" s="20" t="str">
        <f t="shared" si="0"/>
        <v>·</v>
      </c>
      <c r="H64" s="21" t="str">
        <f t="shared" si="1"/>
        <v>·</v>
      </c>
      <c r="I64" s="21" t="str">
        <f t="shared" si="2"/>
        <v>·</v>
      </c>
      <c r="J64" s="21" t="str">
        <f t="shared" si="3"/>
        <v>·</v>
      </c>
      <c r="K64" s="21" t="str">
        <f t="shared" si="4"/>
        <v>·</v>
      </c>
      <c r="L64" s="22"/>
      <c r="M64" s="23"/>
      <c r="N64" s="23"/>
      <c r="O64" s="23"/>
      <c r="P64" s="49"/>
      <c r="Q64" s="49"/>
      <c r="R64" s="49"/>
      <c r="S64" s="49"/>
      <c r="T64" s="49"/>
      <c r="U64" s="49"/>
      <c r="V64" s="49"/>
      <c r="W64" s="49"/>
      <c r="X64" s="24"/>
      <c r="Y64" s="24"/>
      <c r="AA64" s="20" t="str">
        <f t="shared" si="5"/>
        <v>·</v>
      </c>
      <c r="AB64" s="21" t="str">
        <f t="shared" si="6"/>
        <v>·</v>
      </c>
      <c r="AC64" s="21" t="str">
        <f t="shared" si="7"/>
        <v>·</v>
      </c>
      <c r="AD64" s="21" t="str">
        <f t="shared" si="8"/>
        <v>·</v>
      </c>
      <c r="AE64" s="21" t="str">
        <f t="shared" si="9"/>
        <v>·</v>
      </c>
      <c r="AF64" s="22"/>
      <c r="AG64" s="23"/>
      <c r="AH64" s="23"/>
      <c r="AI64" s="23"/>
      <c r="AJ64" s="49"/>
      <c r="AK64" s="49"/>
      <c r="AL64" s="49"/>
      <c r="AM64" s="49"/>
      <c r="AN64" s="49"/>
      <c r="AO64" s="49"/>
      <c r="AP64" s="49"/>
      <c r="AQ64" s="49"/>
      <c r="AR64" s="24"/>
      <c r="AS64" s="24"/>
      <c r="AU64" s="20" t="e">
        <f t="shared" si="10"/>
        <v>#DIV/0!</v>
      </c>
      <c r="AV64" s="20" t="e">
        <f t="array" ref="AV64">AVERAGE(AH64:AH69/AG64:AG69) - AVERAGE(N64:N69/M64:M69)</f>
        <v>#DIV/0!</v>
      </c>
      <c r="AX64" s="50" t="e">
        <f>bdRateExtend( M64:M69,P64:P69, AG64:AG69,AJ64:AJ69)</f>
        <v>#VALUE!</v>
      </c>
      <c r="AY64" s="50" t="e">
        <f>bdRateExtend( M64:M69,Q64:Q69, AG64:AG69,AK64:AK69)</f>
        <v>#VALUE!</v>
      </c>
      <c r="AZ64" s="50" t="e">
        <f>bdRateExtend( M64:M69,R64:R69, AG64:AG69,AL64:AL69)</f>
        <v>#VALUE!</v>
      </c>
      <c r="BA64" s="50" t="e">
        <f>bdRateExtend( M64:M69,S64:S69, AG64:AG69,AM64:AM69)</f>
        <v>#VALUE!</v>
      </c>
      <c r="BB64" s="50" t="e">
        <f>bdRateExtend( M64:M69,T64:T69, AG64:AG69,AN64:AN69)</f>
        <v>#VALUE!</v>
      </c>
      <c r="BD64" s="50" t="e">
        <f>bdRateExtend( O64:O69,R64:R69, AI64:AI69,AL64:AL69)</f>
        <v>#VALUE!</v>
      </c>
      <c r="BE64" s="50" t="e">
        <f>bdRateExtend( O64:O69,S64:S69, AI64:AI69,AM64:AM69)</f>
        <v>#VALUE!</v>
      </c>
      <c r="BF64" s="50" t="e">
        <f>bdRateExtend( O64:O69,T64:T69, AI64:AI69,AN64:AN69)</f>
        <v>#VALUE!</v>
      </c>
      <c r="BH64" s="50" t="e">
        <f>bdRateExtend( O64:O69,U64:U69, AI64:AI69,AO64:AO69)</f>
        <v>#VALUE!</v>
      </c>
      <c r="BI64" s="50" t="e">
        <f>bdRateExtend( O64:O69,V64:V69, AI64:AI69,AP64:AP69)</f>
        <v>#VALUE!</v>
      </c>
      <c r="BJ64" s="50" t="e">
        <f>bdRateExtend( O64:O69,W64:W69, AI64:AI69,AQ64:AQ69)</f>
        <v>#VALUE!</v>
      </c>
    </row>
    <row r="65" spans="1:62" outlineLevel="1" x14ac:dyDescent="0.25">
      <c r="A65" s="25"/>
      <c r="B65" s="25"/>
      <c r="C65" s="26" t="s">
        <v>311</v>
      </c>
      <c r="D65" s="25">
        <v>3614251</v>
      </c>
      <c r="E65" s="26">
        <v>12</v>
      </c>
      <c r="G65" s="27" t="str">
        <f t="shared" si="0"/>
        <v>·</v>
      </c>
      <c r="H65" s="28" t="str">
        <f t="shared" si="1"/>
        <v>·</v>
      </c>
      <c r="I65" s="28" t="str">
        <f t="shared" si="2"/>
        <v>·</v>
      </c>
      <c r="J65" s="28" t="str">
        <f t="shared" si="3"/>
        <v>·</v>
      </c>
      <c r="K65" s="28" t="str">
        <f t="shared" si="4"/>
        <v>·</v>
      </c>
      <c r="L65" s="29"/>
      <c r="M65" s="30"/>
      <c r="N65" s="30"/>
      <c r="O65" s="30"/>
      <c r="P65" s="51"/>
      <c r="Q65" s="51"/>
      <c r="R65" s="51"/>
      <c r="S65" s="51"/>
      <c r="T65" s="51"/>
      <c r="U65" s="51"/>
      <c r="V65" s="51"/>
      <c r="W65" s="51"/>
      <c r="X65" s="31"/>
      <c r="Y65" s="31"/>
      <c r="AA65" s="27" t="str">
        <f t="shared" si="5"/>
        <v>·</v>
      </c>
      <c r="AB65" s="28" t="str">
        <f t="shared" si="6"/>
        <v>·</v>
      </c>
      <c r="AC65" s="28" t="str">
        <f t="shared" si="7"/>
        <v>·</v>
      </c>
      <c r="AD65" s="28" t="str">
        <f t="shared" si="8"/>
        <v>·</v>
      </c>
      <c r="AE65" s="28" t="str">
        <f t="shared" si="9"/>
        <v>·</v>
      </c>
      <c r="AF65" s="29"/>
      <c r="AG65" s="30"/>
      <c r="AH65" s="30"/>
      <c r="AI65" s="30"/>
      <c r="AJ65" s="51"/>
      <c r="AK65" s="51"/>
      <c r="AL65" s="51"/>
      <c r="AM65" s="51"/>
      <c r="AN65" s="51"/>
      <c r="AO65" s="51"/>
      <c r="AP65" s="51"/>
      <c r="AQ65" s="51"/>
      <c r="AR65" s="31"/>
      <c r="AS65" s="31"/>
      <c r="AU65" s="27" t="e">
        <f t="shared" si="10"/>
        <v>#DIV/0!</v>
      </c>
      <c r="AV65" s="27"/>
      <c r="AX65" s="52"/>
      <c r="AY65" s="52"/>
      <c r="AZ65" s="52"/>
      <c r="BA65" s="52"/>
      <c r="BB65" s="52"/>
      <c r="BD65" s="52"/>
      <c r="BE65" s="52"/>
      <c r="BF65" s="52"/>
      <c r="BH65" s="52"/>
      <c r="BI65" s="52"/>
      <c r="BJ65" s="52"/>
    </row>
    <row r="66" spans="1:62" outlineLevel="1" x14ac:dyDescent="0.25">
      <c r="A66" s="18"/>
      <c r="B66" s="18"/>
      <c r="C66" s="19" t="s">
        <v>312</v>
      </c>
      <c r="D66" s="18">
        <v>3614251</v>
      </c>
      <c r="E66" s="19">
        <v>12</v>
      </c>
      <c r="G66" s="20" t="str">
        <f t="shared" si="0"/>
        <v>·</v>
      </c>
      <c r="H66" s="21" t="str">
        <f t="shared" si="1"/>
        <v>·</v>
      </c>
      <c r="I66" s="21" t="str">
        <f t="shared" si="2"/>
        <v>·</v>
      </c>
      <c r="J66" s="21" t="str">
        <f t="shared" si="3"/>
        <v>·</v>
      </c>
      <c r="K66" s="21" t="str">
        <f t="shared" si="4"/>
        <v>·</v>
      </c>
      <c r="L66" s="22"/>
      <c r="M66" s="23"/>
      <c r="N66" s="23"/>
      <c r="O66" s="23"/>
      <c r="P66" s="49"/>
      <c r="Q66" s="49"/>
      <c r="R66" s="49"/>
      <c r="S66" s="49"/>
      <c r="T66" s="49"/>
      <c r="U66" s="49"/>
      <c r="V66" s="49"/>
      <c r="W66" s="49"/>
      <c r="X66" s="24"/>
      <c r="Y66" s="24"/>
      <c r="AA66" s="20" t="str">
        <f t="shared" si="5"/>
        <v>·</v>
      </c>
      <c r="AB66" s="21" t="str">
        <f t="shared" si="6"/>
        <v>·</v>
      </c>
      <c r="AC66" s="21" t="str">
        <f t="shared" si="7"/>
        <v>·</v>
      </c>
      <c r="AD66" s="21" t="str">
        <f t="shared" si="8"/>
        <v>·</v>
      </c>
      <c r="AE66" s="21" t="str">
        <f t="shared" si="9"/>
        <v>·</v>
      </c>
      <c r="AF66" s="22"/>
      <c r="AG66" s="23"/>
      <c r="AH66" s="23"/>
      <c r="AI66" s="23"/>
      <c r="AJ66" s="49"/>
      <c r="AK66" s="49"/>
      <c r="AL66" s="49"/>
      <c r="AM66" s="49"/>
      <c r="AN66" s="49"/>
      <c r="AO66" s="49"/>
      <c r="AP66" s="49"/>
      <c r="AQ66" s="49"/>
      <c r="AR66" s="24"/>
      <c r="AS66" s="24"/>
      <c r="AU66" s="20" t="e">
        <f t="shared" si="10"/>
        <v>#DIV/0!</v>
      </c>
      <c r="AV66" s="20"/>
      <c r="AX66" s="50"/>
      <c r="AY66" s="50"/>
      <c r="AZ66" s="50"/>
      <c r="BA66" s="50"/>
      <c r="BB66" s="50"/>
      <c r="BD66" s="50"/>
      <c r="BE66" s="50"/>
      <c r="BF66" s="50"/>
      <c r="BH66" s="50"/>
      <c r="BI66" s="50"/>
      <c r="BJ66" s="50"/>
    </row>
    <row r="67" spans="1:62" outlineLevel="1" x14ac:dyDescent="0.25">
      <c r="A67" s="25"/>
      <c r="B67" s="25"/>
      <c r="C67" s="26" t="s">
        <v>313</v>
      </c>
      <c r="D67" s="25">
        <v>3614251</v>
      </c>
      <c r="E67" s="26">
        <v>12</v>
      </c>
      <c r="G67" s="27" t="str">
        <f t="shared" si="0"/>
        <v>·</v>
      </c>
      <c r="H67" s="28" t="str">
        <f t="shared" si="1"/>
        <v>·</v>
      </c>
      <c r="I67" s="28" t="str">
        <f t="shared" si="2"/>
        <v>·</v>
      </c>
      <c r="J67" s="28" t="str">
        <f t="shared" si="3"/>
        <v>·</v>
      </c>
      <c r="K67" s="28" t="str">
        <f t="shared" si="4"/>
        <v>·</v>
      </c>
      <c r="L67" s="29"/>
      <c r="M67" s="30"/>
      <c r="N67" s="30"/>
      <c r="O67" s="30"/>
      <c r="P67" s="51"/>
      <c r="Q67" s="51"/>
      <c r="R67" s="51"/>
      <c r="S67" s="51"/>
      <c r="T67" s="51"/>
      <c r="U67" s="51"/>
      <c r="V67" s="51"/>
      <c r="W67" s="51"/>
      <c r="X67" s="31"/>
      <c r="Y67" s="31"/>
      <c r="AA67" s="27" t="str">
        <f t="shared" si="5"/>
        <v>·</v>
      </c>
      <c r="AB67" s="28" t="str">
        <f t="shared" si="6"/>
        <v>·</v>
      </c>
      <c r="AC67" s="28" t="str">
        <f t="shared" si="7"/>
        <v>·</v>
      </c>
      <c r="AD67" s="28" t="str">
        <f t="shared" si="8"/>
        <v>·</v>
      </c>
      <c r="AE67" s="28" t="str">
        <f t="shared" si="9"/>
        <v>·</v>
      </c>
      <c r="AF67" s="29"/>
      <c r="AG67" s="30"/>
      <c r="AH67" s="30"/>
      <c r="AI67" s="30"/>
      <c r="AJ67" s="51"/>
      <c r="AK67" s="51"/>
      <c r="AL67" s="51"/>
      <c r="AM67" s="51"/>
      <c r="AN67" s="51"/>
      <c r="AO67" s="51"/>
      <c r="AP67" s="51"/>
      <c r="AQ67" s="51"/>
      <c r="AR67" s="31"/>
      <c r="AS67" s="31"/>
      <c r="AU67" s="27" t="e">
        <f t="shared" si="10"/>
        <v>#DIV/0!</v>
      </c>
      <c r="AV67" s="27"/>
      <c r="AX67" s="52"/>
      <c r="AY67" s="52"/>
      <c r="AZ67" s="52"/>
      <c r="BA67" s="52"/>
      <c r="BB67" s="52"/>
      <c r="BD67" s="52"/>
      <c r="BE67" s="52"/>
      <c r="BF67" s="52"/>
      <c r="BH67" s="52"/>
      <c r="BI67" s="52"/>
      <c r="BJ67" s="52"/>
    </row>
    <row r="68" spans="1:62" outlineLevel="1" x14ac:dyDescent="0.25">
      <c r="A68" s="18"/>
      <c r="B68" s="18"/>
      <c r="C68" s="19" t="s">
        <v>428</v>
      </c>
      <c r="D68" s="18">
        <v>3614251</v>
      </c>
      <c r="E68" s="19">
        <v>12</v>
      </c>
      <c r="G68" s="20" t="str">
        <f t="shared" ref="G68:G131" si="11">IF(ISBLANK(M68),"·",M68/(D68*E68*3))</f>
        <v>·</v>
      </c>
      <c r="H68" s="21" t="str">
        <f t="shared" ref="H68:H131" si="12">IF(ISBLANK(M68),"·",M68/D68)</f>
        <v>·</v>
      </c>
      <c r="I68" s="21" t="str">
        <f t="shared" ref="I68:I131" si="13">IF(N68="","·",N68/D68)</f>
        <v>·</v>
      </c>
      <c r="J68" s="21" t="str">
        <f t="shared" ref="J68:J131" si="14">IF(ISBLANK(O68),"·",O68/D68)</f>
        <v>·</v>
      </c>
      <c r="K68" s="21" t="str">
        <f t="shared" ref="K68:K131" si="15">IF(ISBLANK(M68),"·",M68/L68)</f>
        <v>·</v>
      </c>
      <c r="L68" s="22"/>
      <c r="M68" s="23"/>
      <c r="N68" s="23"/>
      <c r="O68" s="23"/>
      <c r="P68" s="49"/>
      <c r="Q68" s="49"/>
      <c r="R68" s="49"/>
      <c r="S68" s="49"/>
      <c r="T68" s="49"/>
      <c r="U68" s="49"/>
      <c r="V68" s="49"/>
      <c r="W68" s="49"/>
      <c r="X68" s="24"/>
      <c r="Y68" s="24"/>
      <c r="AA68" s="20" t="str">
        <f t="shared" ref="AA68:AA131" si="16">IF(ISBLANK(AG68),"·",AG68/(D68*E68*3))</f>
        <v>·</v>
      </c>
      <c r="AB68" s="21" t="str">
        <f t="shared" ref="AB68:AB131" si="17">IF(ISBLANK(AG68),"·",AG68/D68)</f>
        <v>·</v>
      </c>
      <c r="AC68" s="21" t="str">
        <f t="shared" ref="AC68:AC131" si="18">IF(AH68="","·",AH68/D68)</f>
        <v>·</v>
      </c>
      <c r="AD68" s="21" t="str">
        <f t="shared" ref="AD68:AD131" si="19">IF(ISBLANK(AI68),"·",AI68/D68)</f>
        <v>·</v>
      </c>
      <c r="AE68" s="21" t="str">
        <f t="shared" ref="AE68:AE131" si="20">IF(ISBLANK(AG68),"·",AG68/AF68)</f>
        <v>·</v>
      </c>
      <c r="AF68" s="22"/>
      <c r="AG68" s="23"/>
      <c r="AH68" s="23"/>
      <c r="AI68" s="23"/>
      <c r="AJ68" s="49"/>
      <c r="AK68" s="49"/>
      <c r="AL68" s="49"/>
      <c r="AM68" s="49"/>
      <c r="AN68" s="49"/>
      <c r="AO68" s="49"/>
      <c r="AP68" s="49"/>
      <c r="AQ68" s="49"/>
      <c r="AR68" s="24"/>
      <c r="AS68" s="24"/>
      <c r="AU68" s="20" t="e">
        <f t="shared" ref="AU68:AU131" si="21">(AH68/AG68) - (N68/M68)</f>
        <v>#DIV/0!</v>
      </c>
      <c r="AV68" s="20"/>
      <c r="AX68" s="50"/>
      <c r="AY68" s="50"/>
      <c r="AZ68" s="50"/>
      <c r="BA68" s="50"/>
      <c r="BB68" s="50"/>
      <c r="BD68" s="50"/>
      <c r="BE68" s="50"/>
      <c r="BF68" s="50"/>
      <c r="BH68" s="50"/>
      <c r="BI68" s="50"/>
      <c r="BJ68" s="50"/>
    </row>
    <row r="69" spans="1:62" outlineLevel="1" x14ac:dyDescent="0.25">
      <c r="A69" s="25"/>
      <c r="B69" s="32"/>
      <c r="C69" s="33" t="s">
        <v>429</v>
      </c>
      <c r="D69" s="32">
        <v>3614251</v>
      </c>
      <c r="E69" s="33">
        <v>12</v>
      </c>
      <c r="G69" s="34" t="str">
        <f t="shared" si="11"/>
        <v>·</v>
      </c>
      <c r="H69" s="35" t="str">
        <f t="shared" si="12"/>
        <v>·</v>
      </c>
      <c r="I69" s="35" t="str">
        <f t="shared" si="13"/>
        <v>·</v>
      </c>
      <c r="J69" s="35" t="str">
        <f t="shared" si="14"/>
        <v>·</v>
      </c>
      <c r="K69" s="35" t="str">
        <f t="shared" si="15"/>
        <v>·</v>
      </c>
      <c r="L69" s="36"/>
      <c r="M69" s="37"/>
      <c r="N69" s="37"/>
      <c r="O69" s="37"/>
      <c r="P69" s="53"/>
      <c r="Q69" s="53"/>
      <c r="R69" s="53"/>
      <c r="S69" s="53"/>
      <c r="T69" s="53"/>
      <c r="U69" s="53"/>
      <c r="V69" s="53"/>
      <c r="W69" s="53"/>
      <c r="X69" s="38"/>
      <c r="Y69" s="38"/>
      <c r="AA69" s="34" t="str">
        <f t="shared" si="16"/>
        <v>·</v>
      </c>
      <c r="AB69" s="35" t="str">
        <f t="shared" si="17"/>
        <v>·</v>
      </c>
      <c r="AC69" s="35" t="str">
        <f t="shared" si="18"/>
        <v>·</v>
      </c>
      <c r="AD69" s="35" t="str">
        <f t="shared" si="19"/>
        <v>·</v>
      </c>
      <c r="AE69" s="35" t="str">
        <f t="shared" si="20"/>
        <v>·</v>
      </c>
      <c r="AF69" s="36"/>
      <c r="AG69" s="37"/>
      <c r="AH69" s="37"/>
      <c r="AI69" s="37"/>
      <c r="AJ69" s="53"/>
      <c r="AK69" s="53"/>
      <c r="AL69" s="53"/>
      <c r="AM69" s="53"/>
      <c r="AN69" s="53"/>
      <c r="AO69" s="53"/>
      <c r="AP69" s="53"/>
      <c r="AQ69" s="53"/>
      <c r="AR69" s="38"/>
      <c r="AS69" s="38"/>
      <c r="AU69" s="34" t="e">
        <f t="shared" si="21"/>
        <v>#DIV/0!</v>
      </c>
      <c r="AV69" s="34"/>
      <c r="AX69" s="54"/>
      <c r="AY69" s="54"/>
      <c r="AZ69" s="54"/>
      <c r="BA69" s="54"/>
      <c r="BB69" s="54"/>
      <c r="BD69" s="54"/>
      <c r="BE69" s="54"/>
      <c r="BF69" s="54"/>
      <c r="BH69" s="54"/>
      <c r="BI69" s="54"/>
      <c r="BJ69" s="54"/>
    </row>
    <row r="70" spans="1:62" collapsed="1" x14ac:dyDescent="0.25">
      <c r="A70" s="18"/>
      <c r="B70" s="18" t="s">
        <v>174</v>
      </c>
      <c r="C70" s="19" t="s">
        <v>310</v>
      </c>
      <c r="D70" s="18">
        <v>3630907</v>
      </c>
      <c r="E70" s="19">
        <v>20</v>
      </c>
      <c r="G70" s="20" t="str">
        <f t="shared" si="11"/>
        <v>·</v>
      </c>
      <c r="H70" s="21" t="str">
        <f t="shared" si="12"/>
        <v>·</v>
      </c>
      <c r="I70" s="21" t="str">
        <f t="shared" si="13"/>
        <v>·</v>
      </c>
      <c r="J70" s="21" t="str">
        <f t="shared" si="14"/>
        <v>·</v>
      </c>
      <c r="K70" s="21" t="str">
        <f t="shared" si="15"/>
        <v>·</v>
      </c>
      <c r="L70" s="22"/>
      <c r="M70" s="23"/>
      <c r="N70" s="23"/>
      <c r="O70" s="23"/>
      <c r="P70" s="49"/>
      <c r="Q70" s="49"/>
      <c r="R70" s="49"/>
      <c r="S70" s="49"/>
      <c r="T70" s="49"/>
      <c r="U70" s="49"/>
      <c r="V70" s="49"/>
      <c r="W70" s="49"/>
      <c r="X70" s="24"/>
      <c r="Y70" s="24"/>
      <c r="AA70" s="20" t="str">
        <f t="shared" si="16"/>
        <v>·</v>
      </c>
      <c r="AB70" s="21" t="str">
        <f t="shared" si="17"/>
        <v>·</v>
      </c>
      <c r="AC70" s="21" t="str">
        <f t="shared" si="18"/>
        <v>·</v>
      </c>
      <c r="AD70" s="21" t="str">
        <f t="shared" si="19"/>
        <v>·</v>
      </c>
      <c r="AE70" s="21" t="str">
        <f t="shared" si="20"/>
        <v>·</v>
      </c>
      <c r="AF70" s="22"/>
      <c r="AG70" s="23"/>
      <c r="AH70" s="23"/>
      <c r="AI70" s="23"/>
      <c r="AJ70" s="49"/>
      <c r="AK70" s="49"/>
      <c r="AL70" s="49"/>
      <c r="AM70" s="49"/>
      <c r="AN70" s="49"/>
      <c r="AO70" s="49"/>
      <c r="AP70" s="49"/>
      <c r="AQ70" s="49"/>
      <c r="AR70" s="24"/>
      <c r="AS70" s="24"/>
      <c r="AU70" s="20" t="e">
        <f t="shared" si="21"/>
        <v>#DIV/0!</v>
      </c>
      <c r="AV70" s="20" t="e">
        <f t="array" ref="AV70">AVERAGE(AH70:AH75/AG70:AG75) - AVERAGE(N70:N75/M70:M75)</f>
        <v>#DIV/0!</v>
      </c>
      <c r="AX70" s="50" t="e">
        <f>bdRateExtend( M70:M75,P70:P75, AG70:AG75,AJ70:AJ75)</f>
        <v>#VALUE!</v>
      </c>
      <c r="AY70" s="50" t="e">
        <f>bdRateExtend( M70:M75,Q70:Q75, AG70:AG75,AK70:AK75)</f>
        <v>#VALUE!</v>
      </c>
      <c r="AZ70" s="50" t="e">
        <f>bdRateExtend( M70:M75,R70:R75, AG70:AG75,AL70:AL75)</f>
        <v>#VALUE!</v>
      </c>
      <c r="BA70" s="50" t="e">
        <f>bdRateExtend( M70:M75,S70:S75, AG70:AG75,AM70:AM75)</f>
        <v>#VALUE!</v>
      </c>
      <c r="BB70" s="50" t="e">
        <f>bdRateExtend( M70:M75,T70:T75, AG70:AG75,AN70:AN75)</f>
        <v>#VALUE!</v>
      </c>
      <c r="BD70" s="50" t="e">
        <f>bdRateExtend( O70:O75,R70:R75, AI70:AI75,AL70:AL75)</f>
        <v>#VALUE!</v>
      </c>
      <c r="BE70" s="50" t="e">
        <f>bdRateExtend( O70:O75,S70:S75, AI70:AI75,AM70:AM75)</f>
        <v>#VALUE!</v>
      </c>
      <c r="BF70" s="50" t="e">
        <f>bdRateExtend( O70:O75,T70:T75, AI70:AI75,AN70:AN75)</f>
        <v>#VALUE!</v>
      </c>
      <c r="BH70" s="50" t="e">
        <f>bdRateExtend( O70:O75,U70:U75, AI70:AI75,AO70:AO75)</f>
        <v>#VALUE!</v>
      </c>
      <c r="BI70" s="50" t="e">
        <f>bdRateExtend( O70:O75,V70:V75, AI70:AI75,AP70:AP75)</f>
        <v>#VALUE!</v>
      </c>
      <c r="BJ70" s="50" t="e">
        <f>bdRateExtend( O70:O75,W70:W75, AI70:AI75,AQ70:AQ75)</f>
        <v>#VALUE!</v>
      </c>
    </row>
    <row r="71" spans="1:62" outlineLevel="1" x14ac:dyDescent="0.25">
      <c r="A71" s="25"/>
      <c r="B71" s="25"/>
      <c r="C71" s="26" t="s">
        <v>311</v>
      </c>
      <c r="D71" s="25">
        <v>3630907</v>
      </c>
      <c r="E71" s="26">
        <v>20</v>
      </c>
      <c r="G71" s="27" t="str">
        <f t="shared" si="11"/>
        <v>·</v>
      </c>
      <c r="H71" s="28" t="str">
        <f t="shared" si="12"/>
        <v>·</v>
      </c>
      <c r="I71" s="28" t="str">
        <f t="shared" si="13"/>
        <v>·</v>
      </c>
      <c r="J71" s="28" t="str">
        <f t="shared" si="14"/>
        <v>·</v>
      </c>
      <c r="K71" s="28" t="str">
        <f t="shared" si="15"/>
        <v>·</v>
      </c>
      <c r="L71" s="29"/>
      <c r="M71" s="30"/>
      <c r="N71" s="30"/>
      <c r="O71" s="30"/>
      <c r="P71" s="51"/>
      <c r="Q71" s="51"/>
      <c r="R71" s="51"/>
      <c r="S71" s="51"/>
      <c r="T71" s="51"/>
      <c r="U71" s="51"/>
      <c r="V71" s="51"/>
      <c r="W71" s="51"/>
      <c r="X71" s="31"/>
      <c r="Y71" s="31"/>
      <c r="AA71" s="27" t="str">
        <f t="shared" si="16"/>
        <v>·</v>
      </c>
      <c r="AB71" s="28" t="str">
        <f t="shared" si="17"/>
        <v>·</v>
      </c>
      <c r="AC71" s="28" t="str">
        <f t="shared" si="18"/>
        <v>·</v>
      </c>
      <c r="AD71" s="28" t="str">
        <f t="shared" si="19"/>
        <v>·</v>
      </c>
      <c r="AE71" s="28" t="str">
        <f t="shared" si="20"/>
        <v>·</v>
      </c>
      <c r="AF71" s="29"/>
      <c r="AG71" s="30"/>
      <c r="AH71" s="30"/>
      <c r="AI71" s="30"/>
      <c r="AJ71" s="51"/>
      <c r="AK71" s="51"/>
      <c r="AL71" s="51"/>
      <c r="AM71" s="51"/>
      <c r="AN71" s="51"/>
      <c r="AO71" s="51"/>
      <c r="AP71" s="51"/>
      <c r="AQ71" s="51"/>
      <c r="AR71" s="31"/>
      <c r="AS71" s="31"/>
      <c r="AU71" s="27" t="e">
        <f t="shared" si="21"/>
        <v>#DIV/0!</v>
      </c>
      <c r="AV71" s="27"/>
      <c r="AX71" s="52"/>
      <c r="AY71" s="52"/>
      <c r="AZ71" s="52"/>
      <c r="BA71" s="52"/>
      <c r="BB71" s="52"/>
      <c r="BD71" s="52"/>
      <c r="BE71" s="52"/>
      <c r="BF71" s="52"/>
      <c r="BH71" s="52"/>
      <c r="BI71" s="52"/>
      <c r="BJ71" s="52"/>
    </row>
    <row r="72" spans="1:62" outlineLevel="1" x14ac:dyDescent="0.25">
      <c r="A72" s="18"/>
      <c r="B72" s="18"/>
      <c r="C72" s="19" t="s">
        <v>312</v>
      </c>
      <c r="D72" s="18">
        <v>3630907</v>
      </c>
      <c r="E72" s="19">
        <v>20</v>
      </c>
      <c r="G72" s="20" t="str">
        <f t="shared" si="11"/>
        <v>·</v>
      </c>
      <c r="H72" s="21" t="str">
        <f t="shared" si="12"/>
        <v>·</v>
      </c>
      <c r="I72" s="21" t="str">
        <f t="shared" si="13"/>
        <v>·</v>
      </c>
      <c r="J72" s="21" t="str">
        <f t="shared" si="14"/>
        <v>·</v>
      </c>
      <c r="K72" s="21" t="str">
        <f t="shared" si="15"/>
        <v>·</v>
      </c>
      <c r="L72" s="22"/>
      <c r="M72" s="23"/>
      <c r="N72" s="23"/>
      <c r="O72" s="23"/>
      <c r="P72" s="49"/>
      <c r="Q72" s="49"/>
      <c r="R72" s="49"/>
      <c r="S72" s="49"/>
      <c r="T72" s="49"/>
      <c r="U72" s="49"/>
      <c r="V72" s="49"/>
      <c r="W72" s="49"/>
      <c r="X72" s="24"/>
      <c r="Y72" s="24"/>
      <c r="AA72" s="20" t="str">
        <f t="shared" si="16"/>
        <v>·</v>
      </c>
      <c r="AB72" s="21" t="str">
        <f t="shared" si="17"/>
        <v>·</v>
      </c>
      <c r="AC72" s="21" t="str">
        <f t="shared" si="18"/>
        <v>·</v>
      </c>
      <c r="AD72" s="21" t="str">
        <f t="shared" si="19"/>
        <v>·</v>
      </c>
      <c r="AE72" s="21" t="str">
        <f t="shared" si="20"/>
        <v>·</v>
      </c>
      <c r="AF72" s="22"/>
      <c r="AG72" s="23"/>
      <c r="AH72" s="23"/>
      <c r="AI72" s="23"/>
      <c r="AJ72" s="49"/>
      <c r="AK72" s="49"/>
      <c r="AL72" s="49"/>
      <c r="AM72" s="49"/>
      <c r="AN72" s="49"/>
      <c r="AO72" s="49"/>
      <c r="AP72" s="49"/>
      <c r="AQ72" s="49"/>
      <c r="AR72" s="24"/>
      <c r="AS72" s="24"/>
      <c r="AU72" s="20" t="e">
        <f t="shared" si="21"/>
        <v>#DIV/0!</v>
      </c>
      <c r="AV72" s="20"/>
      <c r="AX72" s="50"/>
      <c r="AY72" s="50"/>
      <c r="AZ72" s="50"/>
      <c r="BA72" s="50"/>
      <c r="BB72" s="50"/>
      <c r="BD72" s="50"/>
      <c r="BE72" s="50"/>
      <c r="BF72" s="50"/>
      <c r="BH72" s="50"/>
      <c r="BI72" s="50"/>
      <c r="BJ72" s="50"/>
    </row>
    <row r="73" spans="1:62" outlineLevel="1" x14ac:dyDescent="0.25">
      <c r="A73" s="25"/>
      <c r="B73" s="25"/>
      <c r="C73" s="26" t="s">
        <v>313</v>
      </c>
      <c r="D73" s="25">
        <v>3630907</v>
      </c>
      <c r="E73" s="26">
        <v>20</v>
      </c>
      <c r="G73" s="27" t="str">
        <f t="shared" si="11"/>
        <v>·</v>
      </c>
      <c r="H73" s="28" t="str">
        <f t="shared" si="12"/>
        <v>·</v>
      </c>
      <c r="I73" s="28" t="str">
        <f t="shared" si="13"/>
        <v>·</v>
      </c>
      <c r="J73" s="28" t="str">
        <f t="shared" si="14"/>
        <v>·</v>
      </c>
      <c r="K73" s="28" t="str">
        <f t="shared" si="15"/>
        <v>·</v>
      </c>
      <c r="L73" s="29"/>
      <c r="M73" s="30"/>
      <c r="N73" s="30"/>
      <c r="O73" s="30"/>
      <c r="P73" s="51"/>
      <c r="Q73" s="51"/>
      <c r="R73" s="51"/>
      <c r="S73" s="51"/>
      <c r="T73" s="51"/>
      <c r="U73" s="51"/>
      <c r="V73" s="51"/>
      <c r="W73" s="51"/>
      <c r="X73" s="31"/>
      <c r="Y73" s="31"/>
      <c r="AA73" s="27" t="str">
        <f t="shared" si="16"/>
        <v>·</v>
      </c>
      <c r="AB73" s="28" t="str">
        <f t="shared" si="17"/>
        <v>·</v>
      </c>
      <c r="AC73" s="28" t="str">
        <f t="shared" si="18"/>
        <v>·</v>
      </c>
      <c r="AD73" s="28" t="str">
        <f t="shared" si="19"/>
        <v>·</v>
      </c>
      <c r="AE73" s="28" t="str">
        <f t="shared" si="20"/>
        <v>·</v>
      </c>
      <c r="AF73" s="29"/>
      <c r="AG73" s="30"/>
      <c r="AH73" s="30"/>
      <c r="AI73" s="30"/>
      <c r="AJ73" s="51"/>
      <c r="AK73" s="51"/>
      <c r="AL73" s="51"/>
      <c r="AM73" s="51"/>
      <c r="AN73" s="51"/>
      <c r="AO73" s="51"/>
      <c r="AP73" s="51"/>
      <c r="AQ73" s="51"/>
      <c r="AR73" s="31"/>
      <c r="AS73" s="31"/>
      <c r="AU73" s="27" t="e">
        <f t="shared" si="21"/>
        <v>#DIV/0!</v>
      </c>
      <c r="AV73" s="27"/>
      <c r="AX73" s="52"/>
      <c r="AY73" s="52"/>
      <c r="AZ73" s="52"/>
      <c r="BA73" s="52"/>
      <c r="BB73" s="52"/>
      <c r="BD73" s="52"/>
      <c r="BE73" s="52"/>
      <c r="BF73" s="52"/>
      <c r="BH73" s="52"/>
      <c r="BI73" s="52"/>
      <c r="BJ73" s="52"/>
    </row>
    <row r="74" spans="1:62" outlineLevel="1" x14ac:dyDescent="0.25">
      <c r="A74" s="18"/>
      <c r="B74" s="18"/>
      <c r="C74" s="19" t="s">
        <v>428</v>
      </c>
      <c r="D74" s="18">
        <v>3630907</v>
      </c>
      <c r="E74" s="19">
        <v>20</v>
      </c>
      <c r="G74" s="20" t="str">
        <f t="shared" si="11"/>
        <v>·</v>
      </c>
      <c r="H74" s="21" t="str">
        <f t="shared" si="12"/>
        <v>·</v>
      </c>
      <c r="I74" s="21" t="str">
        <f t="shared" si="13"/>
        <v>·</v>
      </c>
      <c r="J74" s="21" t="str">
        <f t="shared" si="14"/>
        <v>·</v>
      </c>
      <c r="K74" s="21" t="str">
        <f t="shared" si="15"/>
        <v>·</v>
      </c>
      <c r="L74" s="22"/>
      <c r="M74" s="23"/>
      <c r="N74" s="23"/>
      <c r="O74" s="23"/>
      <c r="P74" s="49"/>
      <c r="Q74" s="49"/>
      <c r="R74" s="49"/>
      <c r="S74" s="49"/>
      <c r="T74" s="49"/>
      <c r="U74" s="49"/>
      <c r="V74" s="49"/>
      <c r="W74" s="49"/>
      <c r="X74" s="24"/>
      <c r="Y74" s="24"/>
      <c r="AA74" s="20" t="str">
        <f t="shared" si="16"/>
        <v>·</v>
      </c>
      <c r="AB74" s="21" t="str">
        <f t="shared" si="17"/>
        <v>·</v>
      </c>
      <c r="AC74" s="21" t="str">
        <f t="shared" si="18"/>
        <v>·</v>
      </c>
      <c r="AD74" s="21" t="str">
        <f t="shared" si="19"/>
        <v>·</v>
      </c>
      <c r="AE74" s="21" t="str">
        <f t="shared" si="20"/>
        <v>·</v>
      </c>
      <c r="AF74" s="22"/>
      <c r="AG74" s="23"/>
      <c r="AH74" s="23"/>
      <c r="AI74" s="23"/>
      <c r="AJ74" s="49"/>
      <c r="AK74" s="49"/>
      <c r="AL74" s="49"/>
      <c r="AM74" s="49"/>
      <c r="AN74" s="49"/>
      <c r="AO74" s="49"/>
      <c r="AP74" s="49"/>
      <c r="AQ74" s="49"/>
      <c r="AR74" s="24"/>
      <c r="AS74" s="24"/>
      <c r="AU74" s="20" t="e">
        <f t="shared" si="21"/>
        <v>#DIV/0!</v>
      </c>
      <c r="AV74" s="20"/>
      <c r="AX74" s="50"/>
      <c r="AY74" s="50"/>
      <c r="AZ74" s="50"/>
      <c r="BA74" s="50"/>
      <c r="BB74" s="50"/>
      <c r="BD74" s="50"/>
      <c r="BE74" s="50"/>
      <c r="BF74" s="50"/>
      <c r="BH74" s="50"/>
      <c r="BI74" s="50"/>
      <c r="BJ74" s="50"/>
    </row>
    <row r="75" spans="1:62" outlineLevel="1" x14ac:dyDescent="0.25">
      <c r="A75" s="25"/>
      <c r="B75" s="32"/>
      <c r="C75" s="33" t="s">
        <v>429</v>
      </c>
      <c r="D75" s="32">
        <v>3630907</v>
      </c>
      <c r="E75" s="33">
        <v>20</v>
      </c>
      <c r="G75" s="34" t="str">
        <f t="shared" si="11"/>
        <v>·</v>
      </c>
      <c r="H75" s="35" t="str">
        <f t="shared" si="12"/>
        <v>·</v>
      </c>
      <c r="I75" s="35" t="str">
        <f t="shared" si="13"/>
        <v>·</v>
      </c>
      <c r="J75" s="35" t="str">
        <f t="shared" si="14"/>
        <v>·</v>
      </c>
      <c r="K75" s="35" t="str">
        <f t="shared" si="15"/>
        <v>·</v>
      </c>
      <c r="L75" s="36"/>
      <c r="M75" s="37"/>
      <c r="N75" s="37"/>
      <c r="O75" s="37"/>
      <c r="P75" s="53"/>
      <c r="Q75" s="53"/>
      <c r="R75" s="53"/>
      <c r="S75" s="53"/>
      <c r="T75" s="53"/>
      <c r="U75" s="53"/>
      <c r="V75" s="53"/>
      <c r="W75" s="53"/>
      <c r="X75" s="38"/>
      <c r="Y75" s="38"/>
      <c r="AA75" s="34" t="str">
        <f t="shared" si="16"/>
        <v>·</v>
      </c>
      <c r="AB75" s="35" t="str">
        <f t="shared" si="17"/>
        <v>·</v>
      </c>
      <c r="AC75" s="35" t="str">
        <f t="shared" si="18"/>
        <v>·</v>
      </c>
      <c r="AD75" s="35" t="str">
        <f t="shared" si="19"/>
        <v>·</v>
      </c>
      <c r="AE75" s="35" t="str">
        <f t="shared" si="20"/>
        <v>·</v>
      </c>
      <c r="AF75" s="36"/>
      <c r="AG75" s="37"/>
      <c r="AH75" s="37"/>
      <c r="AI75" s="37"/>
      <c r="AJ75" s="53"/>
      <c r="AK75" s="53"/>
      <c r="AL75" s="53"/>
      <c r="AM75" s="53"/>
      <c r="AN75" s="53"/>
      <c r="AO75" s="53"/>
      <c r="AP75" s="53"/>
      <c r="AQ75" s="53"/>
      <c r="AR75" s="38"/>
      <c r="AS75" s="38"/>
      <c r="AU75" s="34" t="e">
        <f t="shared" si="21"/>
        <v>#DIV/0!</v>
      </c>
      <c r="AV75" s="34"/>
      <c r="AX75" s="54"/>
      <c r="AY75" s="54"/>
      <c r="AZ75" s="54"/>
      <c r="BA75" s="54"/>
      <c r="BB75" s="54"/>
      <c r="BD75" s="54"/>
      <c r="BE75" s="54"/>
      <c r="BF75" s="54"/>
      <c r="BH75" s="54"/>
      <c r="BI75" s="54"/>
      <c r="BJ75" s="54"/>
    </row>
    <row r="76" spans="1:62" collapsed="1" x14ac:dyDescent="0.25">
      <c r="A76" s="18"/>
      <c r="B76" s="18" t="s">
        <v>177</v>
      </c>
      <c r="C76" s="19" t="s">
        <v>310</v>
      </c>
      <c r="D76" s="18">
        <v>805285</v>
      </c>
      <c r="E76" s="19">
        <v>10</v>
      </c>
      <c r="G76" s="20" t="str">
        <f t="shared" si="11"/>
        <v>·</v>
      </c>
      <c r="H76" s="21" t="str">
        <f t="shared" si="12"/>
        <v>·</v>
      </c>
      <c r="I76" s="21" t="str">
        <f t="shared" si="13"/>
        <v>·</v>
      </c>
      <c r="J76" s="21" t="str">
        <f t="shared" si="14"/>
        <v>·</v>
      </c>
      <c r="K76" s="21" t="str">
        <f t="shared" si="15"/>
        <v>·</v>
      </c>
      <c r="L76" s="22"/>
      <c r="M76" s="23"/>
      <c r="N76" s="23"/>
      <c r="O76" s="23"/>
      <c r="P76" s="49"/>
      <c r="Q76" s="49"/>
      <c r="R76" s="49"/>
      <c r="S76" s="49"/>
      <c r="T76" s="49"/>
      <c r="U76" s="49"/>
      <c r="V76" s="49"/>
      <c r="W76" s="49"/>
      <c r="X76" s="24"/>
      <c r="Y76" s="24"/>
      <c r="AA76" s="20" t="str">
        <f t="shared" si="16"/>
        <v>·</v>
      </c>
      <c r="AB76" s="21" t="str">
        <f t="shared" si="17"/>
        <v>·</v>
      </c>
      <c r="AC76" s="21" t="str">
        <f t="shared" si="18"/>
        <v>·</v>
      </c>
      <c r="AD76" s="21" t="str">
        <f t="shared" si="19"/>
        <v>·</v>
      </c>
      <c r="AE76" s="21" t="str">
        <f t="shared" si="20"/>
        <v>·</v>
      </c>
      <c r="AF76" s="22"/>
      <c r="AG76" s="23"/>
      <c r="AH76" s="23"/>
      <c r="AI76" s="23"/>
      <c r="AJ76" s="49"/>
      <c r="AK76" s="49"/>
      <c r="AL76" s="49"/>
      <c r="AM76" s="49"/>
      <c r="AN76" s="49"/>
      <c r="AO76" s="49"/>
      <c r="AP76" s="49"/>
      <c r="AQ76" s="49"/>
      <c r="AR76" s="24"/>
      <c r="AS76" s="24"/>
      <c r="AU76" s="20" t="e">
        <f t="shared" si="21"/>
        <v>#DIV/0!</v>
      </c>
      <c r="AV76" s="20" t="e">
        <f t="array" ref="AV76">AVERAGE(AH76:AH81/AG76:AG81) - AVERAGE(N76:N81/M76:M81)</f>
        <v>#DIV/0!</v>
      </c>
      <c r="AX76" s="50" t="e">
        <f>bdRateExtend( M76:M81,P76:P81, AG76:AG81,AJ76:AJ81)</f>
        <v>#VALUE!</v>
      </c>
      <c r="AY76" s="50" t="e">
        <f>bdRateExtend( M76:M81,Q76:Q81, AG76:AG81,AK76:AK81)</f>
        <v>#VALUE!</v>
      </c>
      <c r="AZ76" s="50" t="e">
        <f>bdRateExtend( M76:M81,R76:R81, AG76:AG81,AL76:AL81)</f>
        <v>#VALUE!</v>
      </c>
      <c r="BA76" s="50" t="e">
        <f>bdRateExtend( M76:M81,S76:S81, AG76:AG81,AM76:AM81)</f>
        <v>#VALUE!</v>
      </c>
      <c r="BB76" s="50" t="e">
        <f>bdRateExtend( M76:M81,T76:T81, AG76:AG81,AN76:AN81)</f>
        <v>#VALUE!</v>
      </c>
      <c r="BD76" s="50" t="e">
        <f>bdRateExtend( O76:O81,R76:R81, AI76:AI81,AL76:AL81)</f>
        <v>#VALUE!</v>
      </c>
      <c r="BE76" s="50" t="e">
        <f>bdRateExtend( O76:O81,S76:S81, AI76:AI81,AM76:AM81)</f>
        <v>#VALUE!</v>
      </c>
      <c r="BF76" s="50" t="e">
        <f>bdRateExtend( O76:O81,T76:T81, AI76:AI81,AN76:AN81)</f>
        <v>#VALUE!</v>
      </c>
      <c r="BH76" s="50" t="e">
        <f>bdRateExtend( O76:O81,U76:U81, AI76:AI81,AO76:AO81)</f>
        <v>#VALUE!</v>
      </c>
      <c r="BI76" s="50" t="e">
        <f>bdRateExtend( O76:O81,V76:V81, AI76:AI81,AP76:AP81)</f>
        <v>#VALUE!</v>
      </c>
      <c r="BJ76" s="50" t="e">
        <f>bdRateExtend( O76:O81,W76:W81, AI76:AI81,AQ76:AQ81)</f>
        <v>#VALUE!</v>
      </c>
    </row>
    <row r="77" spans="1:62" outlineLevel="1" x14ac:dyDescent="0.25">
      <c r="A77" s="25"/>
      <c r="B77" s="25"/>
      <c r="C77" s="26" t="s">
        <v>311</v>
      </c>
      <c r="D77" s="25">
        <v>805285</v>
      </c>
      <c r="E77" s="26">
        <v>10</v>
      </c>
      <c r="G77" s="27" t="str">
        <f t="shared" si="11"/>
        <v>·</v>
      </c>
      <c r="H77" s="28" t="str">
        <f t="shared" si="12"/>
        <v>·</v>
      </c>
      <c r="I77" s="28" t="str">
        <f t="shared" si="13"/>
        <v>·</v>
      </c>
      <c r="J77" s="28" t="str">
        <f t="shared" si="14"/>
        <v>·</v>
      </c>
      <c r="K77" s="28" t="str">
        <f t="shared" si="15"/>
        <v>·</v>
      </c>
      <c r="L77" s="29"/>
      <c r="M77" s="30"/>
      <c r="N77" s="30"/>
      <c r="O77" s="30"/>
      <c r="P77" s="51"/>
      <c r="Q77" s="51"/>
      <c r="R77" s="51"/>
      <c r="S77" s="51"/>
      <c r="T77" s="51"/>
      <c r="U77" s="51"/>
      <c r="V77" s="51"/>
      <c r="W77" s="51"/>
      <c r="X77" s="31"/>
      <c r="Y77" s="31"/>
      <c r="AA77" s="27" t="str">
        <f t="shared" si="16"/>
        <v>·</v>
      </c>
      <c r="AB77" s="28" t="str">
        <f t="shared" si="17"/>
        <v>·</v>
      </c>
      <c r="AC77" s="28" t="str">
        <f t="shared" si="18"/>
        <v>·</v>
      </c>
      <c r="AD77" s="28" t="str">
        <f t="shared" si="19"/>
        <v>·</v>
      </c>
      <c r="AE77" s="28" t="str">
        <f t="shared" si="20"/>
        <v>·</v>
      </c>
      <c r="AF77" s="29"/>
      <c r="AG77" s="30"/>
      <c r="AH77" s="30"/>
      <c r="AI77" s="30"/>
      <c r="AJ77" s="51"/>
      <c r="AK77" s="51"/>
      <c r="AL77" s="51"/>
      <c r="AM77" s="51"/>
      <c r="AN77" s="51"/>
      <c r="AO77" s="51"/>
      <c r="AP77" s="51"/>
      <c r="AQ77" s="51"/>
      <c r="AR77" s="31"/>
      <c r="AS77" s="31"/>
      <c r="AU77" s="27" t="e">
        <f t="shared" si="21"/>
        <v>#DIV/0!</v>
      </c>
      <c r="AV77" s="27"/>
      <c r="AX77" s="52"/>
      <c r="AY77" s="52"/>
      <c r="AZ77" s="52"/>
      <c r="BA77" s="52"/>
      <c r="BB77" s="52"/>
      <c r="BD77" s="52"/>
      <c r="BE77" s="52"/>
      <c r="BF77" s="52"/>
      <c r="BH77" s="52"/>
      <c r="BI77" s="52"/>
      <c r="BJ77" s="52"/>
    </row>
    <row r="78" spans="1:62" outlineLevel="1" x14ac:dyDescent="0.25">
      <c r="A78" s="18"/>
      <c r="B78" s="18"/>
      <c r="C78" s="19" t="s">
        <v>312</v>
      </c>
      <c r="D78" s="18">
        <v>805285</v>
      </c>
      <c r="E78" s="19">
        <v>10</v>
      </c>
      <c r="G78" s="20" t="str">
        <f t="shared" si="11"/>
        <v>·</v>
      </c>
      <c r="H78" s="21" t="str">
        <f t="shared" si="12"/>
        <v>·</v>
      </c>
      <c r="I78" s="21" t="str">
        <f t="shared" si="13"/>
        <v>·</v>
      </c>
      <c r="J78" s="21" t="str">
        <f t="shared" si="14"/>
        <v>·</v>
      </c>
      <c r="K78" s="21" t="str">
        <f t="shared" si="15"/>
        <v>·</v>
      </c>
      <c r="L78" s="22"/>
      <c r="M78" s="23"/>
      <c r="N78" s="23"/>
      <c r="O78" s="23"/>
      <c r="P78" s="49"/>
      <c r="Q78" s="49"/>
      <c r="R78" s="49"/>
      <c r="S78" s="49"/>
      <c r="T78" s="49"/>
      <c r="U78" s="49"/>
      <c r="V78" s="49"/>
      <c r="W78" s="49"/>
      <c r="X78" s="24"/>
      <c r="Y78" s="24"/>
      <c r="AA78" s="20" t="str">
        <f t="shared" si="16"/>
        <v>·</v>
      </c>
      <c r="AB78" s="21" t="str">
        <f t="shared" si="17"/>
        <v>·</v>
      </c>
      <c r="AC78" s="21" t="str">
        <f t="shared" si="18"/>
        <v>·</v>
      </c>
      <c r="AD78" s="21" t="str">
        <f t="shared" si="19"/>
        <v>·</v>
      </c>
      <c r="AE78" s="21" t="str">
        <f t="shared" si="20"/>
        <v>·</v>
      </c>
      <c r="AF78" s="22"/>
      <c r="AG78" s="23"/>
      <c r="AH78" s="23"/>
      <c r="AI78" s="23"/>
      <c r="AJ78" s="49"/>
      <c r="AK78" s="49"/>
      <c r="AL78" s="49"/>
      <c r="AM78" s="49"/>
      <c r="AN78" s="49"/>
      <c r="AO78" s="49"/>
      <c r="AP78" s="49"/>
      <c r="AQ78" s="49"/>
      <c r="AR78" s="24"/>
      <c r="AS78" s="24"/>
      <c r="AU78" s="20" t="e">
        <f t="shared" si="21"/>
        <v>#DIV/0!</v>
      </c>
      <c r="AV78" s="20"/>
      <c r="AX78" s="50"/>
      <c r="AY78" s="50"/>
      <c r="AZ78" s="50"/>
      <c r="BA78" s="50"/>
      <c r="BB78" s="50"/>
      <c r="BD78" s="50"/>
      <c r="BE78" s="50"/>
      <c r="BF78" s="50"/>
      <c r="BH78" s="50"/>
      <c r="BI78" s="50"/>
      <c r="BJ78" s="50"/>
    </row>
    <row r="79" spans="1:62" outlineLevel="1" x14ac:dyDescent="0.25">
      <c r="A79" s="25"/>
      <c r="B79" s="25"/>
      <c r="C79" s="26" t="s">
        <v>313</v>
      </c>
      <c r="D79" s="25">
        <v>805285</v>
      </c>
      <c r="E79" s="26">
        <v>10</v>
      </c>
      <c r="G79" s="27" t="str">
        <f t="shared" si="11"/>
        <v>·</v>
      </c>
      <c r="H79" s="28" t="str">
        <f t="shared" si="12"/>
        <v>·</v>
      </c>
      <c r="I79" s="28" t="str">
        <f t="shared" si="13"/>
        <v>·</v>
      </c>
      <c r="J79" s="28" t="str">
        <f t="shared" si="14"/>
        <v>·</v>
      </c>
      <c r="K79" s="28" t="str">
        <f t="shared" si="15"/>
        <v>·</v>
      </c>
      <c r="L79" s="29"/>
      <c r="M79" s="30"/>
      <c r="N79" s="30"/>
      <c r="O79" s="30"/>
      <c r="P79" s="51"/>
      <c r="Q79" s="51"/>
      <c r="R79" s="51"/>
      <c r="S79" s="51"/>
      <c r="T79" s="51"/>
      <c r="U79" s="51"/>
      <c r="V79" s="51"/>
      <c r="W79" s="51"/>
      <c r="X79" s="31"/>
      <c r="Y79" s="31"/>
      <c r="AA79" s="27" t="str">
        <f t="shared" si="16"/>
        <v>·</v>
      </c>
      <c r="AB79" s="28" t="str">
        <f t="shared" si="17"/>
        <v>·</v>
      </c>
      <c r="AC79" s="28" t="str">
        <f t="shared" si="18"/>
        <v>·</v>
      </c>
      <c r="AD79" s="28" t="str">
        <f t="shared" si="19"/>
        <v>·</v>
      </c>
      <c r="AE79" s="28" t="str">
        <f t="shared" si="20"/>
        <v>·</v>
      </c>
      <c r="AF79" s="29"/>
      <c r="AG79" s="30"/>
      <c r="AH79" s="30"/>
      <c r="AI79" s="30"/>
      <c r="AJ79" s="51"/>
      <c r="AK79" s="51"/>
      <c r="AL79" s="51"/>
      <c r="AM79" s="51"/>
      <c r="AN79" s="51"/>
      <c r="AO79" s="51"/>
      <c r="AP79" s="51"/>
      <c r="AQ79" s="51"/>
      <c r="AR79" s="31"/>
      <c r="AS79" s="31"/>
      <c r="AU79" s="27" t="e">
        <f t="shared" si="21"/>
        <v>#DIV/0!</v>
      </c>
      <c r="AV79" s="27"/>
      <c r="AX79" s="52"/>
      <c r="AY79" s="52"/>
      <c r="AZ79" s="52"/>
      <c r="BA79" s="52"/>
      <c r="BB79" s="52"/>
      <c r="BD79" s="52"/>
      <c r="BE79" s="52"/>
      <c r="BF79" s="52"/>
      <c r="BH79" s="52"/>
      <c r="BI79" s="52"/>
      <c r="BJ79" s="52"/>
    </row>
    <row r="80" spans="1:62" outlineLevel="1" x14ac:dyDescent="0.25">
      <c r="A80" s="18"/>
      <c r="B80" s="18"/>
      <c r="C80" s="19" t="s">
        <v>428</v>
      </c>
      <c r="D80" s="18">
        <v>805285</v>
      </c>
      <c r="E80" s="19">
        <v>10</v>
      </c>
      <c r="G80" s="20" t="str">
        <f t="shared" si="11"/>
        <v>·</v>
      </c>
      <c r="H80" s="21" t="str">
        <f t="shared" si="12"/>
        <v>·</v>
      </c>
      <c r="I80" s="21" t="str">
        <f t="shared" si="13"/>
        <v>·</v>
      </c>
      <c r="J80" s="21" t="str">
        <f t="shared" si="14"/>
        <v>·</v>
      </c>
      <c r="K80" s="21" t="str">
        <f t="shared" si="15"/>
        <v>·</v>
      </c>
      <c r="L80" s="22"/>
      <c r="M80" s="23"/>
      <c r="N80" s="23"/>
      <c r="O80" s="23"/>
      <c r="P80" s="49"/>
      <c r="Q80" s="49"/>
      <c r="R80" s="49"/>
      <c r="S80" s="49"/>
      <c r="T80" s="49"/>
      <c r="U80" s="49"/>
      <c r="V80" s="49"/>
      <c r="W80" s="49"/>
      <c r="X80" s="24"/>
      <c r="Y80" s="24"/>
      <c r="AA80" s="20" t="str">
        <f t="shared" si="16"/>
        <v>·</v>
      </c>
      <c r="AB80" s="21" t="str">
        <f t="shared" si="17"/>
        <v>·</v>
      </c>
      <c r="AC80" s="21" t="str">
        <f t="shared" si="18"/>
        <v>·</v>
      </c>
      <c r="AD80" s="21" t="str">
        <f t="shared" si="19"/>
        <v>·</v>
      </c>
      <c r="AE80" s="21" t="str">
        <f t="shared" si="20"/>
        <v>·</v>
      </c>
      <c r="AF80" s="22"/>
      <c r="AG80" s="23"/>
      <c r="AH80" s="23"/>
      <c r="AI80" s="23"/>
      <c r="AJ80" s="49"/>
      <c r="AK80" s="49"/>
      <c r="AL80" s="49"/>
      <c r="AM80" s="49"/>
      <c r="AN80" s="49"/>
      <c r="AO80" s="49"/>
      <c r="AP80" s="49"/>
      <c r="AQ80" s="49"/>
      <c r="AR80" s="24"/>
      <c r="AS80" s="24"/>
      <c r="AU80" s="20" t="e">
        <f t="shared" si="21"/>
        <v>#DIV/0!</v>
      </c>
      <c r="AV80" s="20"/>
      <c r="AX80" s="50"/>
      <c r="AY80" s="50"/>
      <c r="AZ80" s="50"/>
      <c r="BA80" s="50"/>
      <c r="BB80" s="50"/>
      <c r="BD80" s="50"/>
      <c r="BE80" s="50"/>
      <c r="BF80" s="50"/>
      <c r="BH80" s="50"/>
      <c r="BI80" s="50"/>
      <c r="BJ80" s="50"/>
    </row>
    <row r="81" spans="1:62" outlineLevel="1" x14ac:dyDescent="0.25">
      <c r="A81" s="25"/>
      <c r="B81" s="32"/>
      <c r="C81" s="33" t="s">
        <v>429</v>
      </c>
      <c r="D81" s="32">
        <v>805285</v>
      </c>
      <c r="E81" s="33">
        <v>10</v>
      </c>
      <c r="G81" s="34" t="str">
        <f t="shared" si="11"/>
        <v>·</v>
      </c>
      <c r="H81" s="35" t="str">
        <f t="shared" si="12"/>
        <v>·</v>
      </c>
      <c r="I81" s="35" t="str">
        <f t="shared" si="13"/>
        <v>·</v>
      </c>
      <c r="J81" s="35" t="str">
        <f t="shared" si="14"/>
        <v>·</v>
      </c>
      <c r="K81" s="35" t="str">
        <f t="shared" si="15"/>
        <v>·</v>
      </c>
      <c r="L81" s="36"/>
      <c r="M81" s="37"/>
      <c r="N81" s="37"/>
      <c r="O81" s="37"/>
      <c r="P81" s="53"/>
      <c r="Q81" s="53"/>
      <c r="R81" s="53"/>
      <c r="S81" s="53"/>
      <c r="T81" s="53"/>
      <c r="U81" s="53"/>
      <c r="V81" s="53"/>
      <c r="W81" s="53"/>
      <c r="X81" s="38"/>
      <c r="Y81" s="38"/>
      <c r="AA81" s="34" t="str">
        <f t="shared" si="16"/>
        <v>·</v>
      </c>
      <c r="AB81" s="35" t="str">
        <f t="shared" si="17"/>
        <v>·</v>
      </c>
      <c r="AC81" s="35" t="str">
        <f t="shared" si="18"/>
        <v>·</v>
      </c>
      <c r="AD81" s="35" t="str">
        <f t="shared" si="19"/>
        <v>·</v>
      </c>
      <c r="AE81" s="35" t="str">
        <f t="shared" si="20"/>
        <v>·</v>
      </c>
      <c r="AF81" s="36"/>
      <c r="AG81" s="37"/>
      <c r="AH81" s="37"/>
      <c r="AI81" s="37"/>
      <c r="AJ81" s="53"/>
      <c r="AK81" s="53"/>
      <c r="AL81" s="53"/>
      <c r="AM81" s="53"/>
      <c r="AN81" s="53"/>
      <c r="AO81" s="53"/>
      <c r="AP81" s="53"/>
      <c r="AQ81" s="53"/>
      <c r="AR81" s="38"/>
      <c r="AS81" s="38"/>
      <c r="AU81" s="34" t="e">
        <f t="shared" si="21"/>
        <v>#DIV/0!</v>
      </c>
      <c r="AV81" s="34"/>
      <c r="AX81" s="54"/>
      <c r="AY81" s="54"/>
      <c r="AZ81" s="54"/>
      <c r="BA81" s="54"/>
      <c r="BB81" s="54"/>
      <c r="BD81" s="54"/>
      <c r="BE81" s="54"/>
      <c r="BF81" s="54"/>
      <c r="BH81" s="54"/>
      <c r="BI81" s="54"/>
      <c r="BJ81" s="54"/>
    </row>
    <row r="82" spans="1:62" collapsed="1" x14ac:dyDescent="0.25">
      <c r="A82" s="18"/>
      <c r="B82" s="18" t="s">
        <v>180</v>
      </c>
      <c r="C82" s="19" t="s">
        <v>310</v>
      </c>
      <c r="D82" s="18">
        <v>1000993</v>
      </c>
      <c r="E82" s="19">
        <v>10</v>
      </c>
      <c r="G82" s="20" t="str">
        <f t="shared" si="11"/>
        <v>·</v>
      </c>
      <c r="H82" s="21" t="str">
        <f t="shared" si="12"/>
        <v>·</v>
      </c>
      <c r="I82" s="21" t="str">
        <f t="shared" si="13"/>
        <v>·</v>
      </c>
      <c r="J82" s="21" t="str">
        <f t="shared" si="14"/>
        <v>·</v>
      </c>
      <c r="K82" s="21" t="str">
        <f t="shared" si="15"/>
        <v>·</v>
      </c>
      <c r="L82" s="22"/>
      <c r="M82" s="23"/>
      <c r="N82" s="23"/>
      <c r="O82" s="23"/>
      <c r="P82" s="49"/>
      <c r="Q82" s="49"/>
      <c r="R82" s="49"/>
      <c r="S82" s="49"/>
      <c r="T82" s="49"/>
      <c r="U82" s="49"/>
      <c r="V82" s="49"/>
      <c r="W82" s="49"/>
      <c r="X82" s="24"/>
      <c r="Y82" s="24"/>
      <c r="AA82" s="20" t="str">
        <f t="shared" si="16"/>
        <v>·</v>
      </c>
      <c r="AB82" s="21" t="str">
        <f t="shared" si="17"/>
        <v>·</v>
      </c>
      <c r="AC82" s="21" t="str">
        <f t="shared" si="18"/>
        <v>·</v>
      </c>
      <c r="AD82" s="21" t="str">
        <f t="shared" si="19"/>
        <v>·</v>
      </c>
      <c r="AE82" s="21" t="str">
        <f t="shared" si="20"/>
        <v>·</v>
      </c>
      <c r="AF82" s="22"/>
      <c r="AG82" s="23"/>
      <c r="AH82" s="23"/>
      <c r="AI82" s="23"/>
      <c r="AJ82" s="49"/>
      <c r="AK82" s="49"/>
      <c r="AL82" s="49"/>
      <c r="AM82" s="49"/>
      <c r="AN82" s="49"/>
      <c r="AO82" s="49"/>
      <c r="AP82" s="49"/>
      <c r="AQ82" s="49"/>
      <c r="AR82" s="24"/>
      <c r="AS82" s="24"/>
      <c r="AU82" s="20" t="e">
        <f t="shared" si="21"/>
        <v>#DIV/0!</v>
      </c>
      <c r="AV82" s="20" t="e">
        <f t="array" ref="AV82">AVERAGE(AH82:AH87/AG82:AG87) - AVERAGE(N82:N87/M82:M87)</f>
        <v>#DIV/0!</v>
      </c>
      <c r="AX82" s="50" t="e">
        <f>bdRateExtend( M82:M87,P82:P87, AG82:AG87,AJ82:AJ87)</f>
        <v>#VALUE!</v>
      </c>
      <c r="AY82" s="50" t="e">
        <f>bdRateExtend( M82:M87,Q82:Q87, AG82:AG87,AK82:AK87)</f>
        <v>#VALUE!</v>
      </c>
      <c r="AZ82" s="50" t="e">
        <f>bdRateExtend( M82:M87,R82:R87, AG82:AG87,AL82:AL87)</f>
        <v>#VALUE!</v>
      </c>
      <c r="BA82" s="50" t="e">
        <f>bdRateExtend( M82:M87,S82:S87, AG82:AG87,AM82:AM87)</f>
        <v>#VALUE!</v>
      </c>
      <c r="BB82" s="50" t="e">
        <f>bdRateExtend( M82:M87,T82:T87, AG82:AG87,AN82:AN87)</f>
        <v>#VALUE!</v>
      </c>
      <c r="BD82" s="50" t="e">
        <f>bdRateExtend( O82:O87,R82:R87, AI82:AI87,AL82:AL87)</f>
        <v>#VALUE!</v>
      </c>
      <c r="BE82" s="50" t="e">
        <f>bdRateExtend( O82:O87,S82:S87, AI82:AI87,AM82:AM87)</f>
        <v>#VALUE!</v>
      </c>
      <c r="BF82" s="50" t="e">
        <f>bdRateExtend( O82:O87,T82:T87, AI82:AI87,AN82:AN87)</f>
        <v>#VALUE!</v>
      </c>
      <c r="BH82" s="50" t="e">
        <f>bdRateExtend( O82:O87,U82:U87, AI82:AI87,AO82:AO87)</f>
        <v>#VALUE!</v>
      </c>
      <c r="BI82" s="50" t="e">
        <f>bdRateExtend( O82:O87,V82:V87, AI82:AI87,AP82:AP87)</f>
        <v>#VALUE!</v>
      </c>
      <c r="BJ82" s="50" t="e">
        <f>bdRateExtend( O82:O87,W82:W87, AI82:AI87,AQ82:AQ87)</f>
        <v>#VALUE!</v>
      </c>
    </row>
    <row r="83" spans="1:62" outlineLevel="1" x14ac:dyDescent="0.25">
      <c r="A83" s="25"/>
      <c r="B83" s="25"/>
      <c r="C83" s="26" t="s">
        <v>311</v>
      </c>
      <c r="D83" s="25">
        <v>1000993</v>
      </c>
      <c r="E83" s="26">
        <v>10</v>
      </c>
      <c r="G83" s="27" t="str">
        <f t="shared" si="11"/>
        <v>·</v>
      </c>
      <c r="H83" s="28" t="str">
        <f t="shared" si="12"/>
        <v>·</v>
      </c>
      <c r="I83" s="28" t="str">
        <f t="shared" si="13"/>
        <v>·</v>
      </c>
      <c r="J83" s="28" t="str">
        <f t="shared" si="14"/>
        <v>·</v>
      </c>
      <c r="K83" s="28" t="str">
        <f t="shared" si="15"/>
        <v>·</v>
      </c>
      <c r="L83" s="29"/>
      <c r="M83" s="30"/>
      <c r="N83" s="30"/>
      <c r="O83" s="30"/>
      <c r="P83" s="51"/>
      <c r="Q83" s="51"/>
      <c r="R83" s="51"/>
      <c r="S83" s="51"/>
      <c r="T83" s="51"/>
      <c r="U83" s="51"/>
      <c r="V83" s="51"/>
      <c r="W83" s="51"/>
      <c r="X83" s="31"/>
      <c r="Y83" s="31"/>
      <c r="AA83" s="27" t="str">
        <f t="shared" si="16"/>
        <v>·</v>
      </c>
      <c r="AB83" s="28" t="str">
        <f t="shared" si="17"/>
        <v>·</v>
      </c>
      <c r="AC83" s="28" t="str">
        <f t="shared" si="18"/>
        <v>·</v>
      </c>
      <c r="AD83" s="28" t="str">
        <f t="shared" si="19"/>
        <v>·</v>
      </c>
      <c r="AE83" s="28" t="str">
        <f t="shared" si="20"/>
        <v>·</v>
      </c>
      <c r="AF83" s="29"/>
      <c r="AG83" s="30"/>
      <c r="AH83" s="30"/>
      <c r="AI83" s="30"/>
      <c r="AJ83" s="51"/>
      <c r="AK83" s="51"/>
      <c r="AL83" s="51"/>
      <c r="AM83" s="51"/>
      <c r="AN83" s="51"/>
      <c r="AO83" s="51"/>
      <c r="AP83" s="51"/>
      <c r="AQ83" s="51"/>
      <c r="AR83" s="31"/>
      <c r="AS83" s="31"/>
      <c r="AU83" s="27" t="e">
        <f t="shared" si="21"/>
        <v>#DIV/0!</v>
      </c>
      <c r="AV83" s="27"/>
      <c r="AX83" s="52"/>
      <c r="AY83" s="52"/>
      <c r="AZ83" s="52"/>
      <c r="BA83" s="52"/>
      <c r="BB83" s="52"/>
      <c r="BD83" s="52"/>
      <c r="BE83" s="52"/>
      <c r="BF83" s="52"/>
      <c r="BH83" s="52"/>
      <c r="BI83" s="52"/>
      <c r="BJ83" s="52"/>
    </row>
    <row r="84" spans="1:62" outlineLevel="1" x14ac:dyDescent="0.25">
      <c r="A84" s="18"/>
      <c r="B84" s="18"/>
      <c r="C84" s="19" t="s">
        <v>312</v>
      </c>
      <c r="D84" s="18">
        <v>1000993</v>
      </c>
      <c r="E84" s="19">
        <v>10</v>
      </c>
      <c r="G84" s="20" t="str">
        <f t="shared" si="11"/>
        <v>·</v>
      </c>
      <c r="H84" s="21" t="str">
        <f t="shared" si="12"/>
        <v>·</v>
      </c>
      <c r="I84" s="21" t="str">
        <f t="shared" si="13"/>
        <v>·</v>
      </c>
      <c r="J84" s="21" t="str">
        <f t="shared" si="14"/>
        <v>·</v>
      </c>
      <c r="K84" s="21" t="str">
        <f t="shared" si="15"/>
        <v>·</v>
      </c>
      <c r="L84" s="22"/>
      <c r="M84" s="23"/>
      <c r="N84" s="23"/>
      <c r="O84" s="23"/>
      <c r="P84" s="49"/>
      <c r="Q84" s="49"/>
      <c r="R84" s="49"/>
      <c r="S84" s="49"/>
      <c r="T84" s="49"/>
      <c r="U84" s="49"/>
      <c r="V84" s="49"/>
      <c r="W84" s="49"/>
      <c r="X84" s="24"/>
      <c r="Y84" s="24"/>
      <c r="AA84" s="20" t="str">
        <f t="shared" si="16"/>
        <v>·</v>
      </c>
      <c r="AB84" s="21" t="str">
        <f t="shared" si="17"/>
        <v>·</v>
      </c>
      <c r="AC84" s="21" t="str">
        <f t="shared" si="18"/>
        <v>·</v>
      </c>
      <c r="AD84" s="21" t="str">
        <f t="shared" si="19"/>
        <v>·</v>
      </c>
      <c r="AE84" s="21" t="str">
        <f t="shared" si="20"/>
        <v>·</v>
      </c>
      <c r="AF84" s="22"/>
      <c r="AG84" s="23"/>
      <c r="AH84" s="23"/>
      <c r="AI84" s="23"/>
      <c r="AJ84" s="49"/>
      <c r="AK84" s="49"/>
      <c r="AL84" s="49"/>
      <c r="AM84" s="49"/>
      <c r="AN84" s="49"/>
      <c r="AO84" s="49"/>
      <c r="AP84" s="49"/>
      <c r="AQ84" s="49"/>
      <c r="AR84" s="24"/>
      <c r="AS84" s="24"/>
      <c r="AU84" s="20" t="e">
        <f t="shared" si="21"/>
        <v>#DIV/0!</v>
      </c>
      <c r="AV84" s="20"/>
      <c r="AX84" s="50"/>
      <c r="AY84" s="50"/>
      <c r="AZ84" s="50"/>
      <c r="BA84" s="50"/>
      <c r="BB84" s="50"/>
      <c r="BD84" s="50"/>
      <c r="BE84" s="50"/>
      <c r="BF84" s="50"/>
      <c r="BH84" s="50"/>
      <c r="BI84" s="50"/>
      <c r="BJ84" s="50"/>
    </row>
    <row r="85" spans="1:62" outlineLevel="1" x14ac:dyDescent="0.25">
      <c r="A85" s="25"/>
      <c r="B85" s="25"/>
      <c r="C85" s="26" t="s">
        <v>313</v>
      </c>
      <c r="D85" s="25">
        <v>1000993</v>
      </c>
      <c r="E85" s="26">
        <v>10</v>
      </c>
      <c r="G85" s="27" t="str">
        <f t="shared" si="11"/>
        <v>·</v>
      </c>
      <c r="H85" s="28" t="str">
        <f t="shared" si="12"/>
        <v>·</v>
      </c>
      <c r="I85" s="28" t="str">
        <f t="shared" si="13"/>
        <v>·</v>
      </c>
      <c r="J85" s="28" t="str">
        <f t="shared" si="14"/>
        <v>·</v>
      </c>
      <c r="K85" s="28" t="str">
        <f t="shared" si="15"/>
        <v>·</v>
      </c>
      <c r="L85" s="29"/>
      <c r="M85" s="30"/>
      <c r="N85" s="30"/>
      <c r="O85" s="30"/>
      <c r="P85" s="51"/>
      <c r="Q85" s="51"/>
      <c r="R85" s="51"/>
      <c r="S85" s="51"/>
      <c r="T85" s="51"/>
      <c r="U85" s="51"/>
      <c r="V85" s="51"/>
      <c r="W85" s="51"/>
      <c r="X85" s="31"/>
      <c r="Y85" s="31"/>
      <c r="AA85" s="27" t="str">
        <f t="shared" si="16"/>
        <v>·</v>
      </c>
      <c r="AB85" s="28" t="str">
        <f t="shared" si="17"/>
        <v>·</v>
      </c>
      <c r="AC85" s="28" t="str">
        <f t="shared" si="18"/>
        <v>·</v>
      </c>
      <c r="AD85" s="28" t="str">
        <f t="shared" si="19"/>
        <v>·</v>
      </c>
      <c r="AE85" s="28" t="str">
        <f t="shared" si="20"/>
        <v>·</v>
      </c>
      <c r="AF85" s="29"/>
      <c r="AG85" s="30"/>
      <c r="AH85" s="30"/>
      <c r="AI85" s="30"/>
      <c r="AJ85" s="51"/>
      <c r="AK85" s="51"/>
      <c r="AL85" s="51"/>
      <c r="AM85" s="51"/>
      <c r="AN85" s="51"/>
      <c r="AO85" s="51"/>
      <c r="AP85" s="51"/>
      <c r="AQ85" s="51"/>
      <c r="AR85" s="31"/>
      <c r="AS85" s="31"/>
      <c r="AU85" s="27" t="e">
        <f t="shared" si="21"/>
        <v>#DIV/0!</v>
      </c>
      <c r="AV85" s="27"/>
      <c r="AX85" s="52"/>
      <c r="AY85" s="52"/>
      <c r="AZ85" s="52"/>
      <c r="BA85" s="52"/>
      <c r="BB85" s="52"/>
      <c r="BD85" s="52"/>
      <c r="BE85" s="52"/>
      <c r="BF85" s="52"/>
      <c r="BH85" s="52"/>
      <c r="BI85" s="52"/>
      <c r="BJ85" s="52"/>
    </row>
    <row r="86" spans="1:62" outlineLevel="1" x14ac:dyDescent="0.25">
      <c r="A86" s="18"/>
      <c r="B86" s="18"/>
      <c r="C86" s="19" t="s">
        <v>428</v>
      </c>
      <c r="D86" s="18">
        <v>1000993</v>
      </c>
      <c r="E86" s="19">
        <v>10</v>
      </c>
      <c r="G86" s="20" t="str">
        <f t="shared" si="11"/>
        <v>·</v>
      </c>
      <c r="H86" s="21" t="str">
        <f t="shared" si="12"/>
        <v>·</v>
      </c>
      <c r="I86" s="21" t="str">
        <f t="shared" si="13"/>
        <v>·</v>
      </c>
      <c r="J86" s="21" t="str">
        <f t="shared" si="14"/>
        <v>·</v>
      </c>
      <c r="K86" s="21" t="str">
        <f t="shared" si="15"/>
        <v>·</v>
      </c>
      <c r="L86" s="22"/>
      <c r="M86" s="23"/>
      <c r="N86" s="23"/>
      <c r="O86" s="23"/>
      <c r="P86" s="49"/>
      <c r="Q86" s="49"/>
      <c r="R86" s="49"/>
      <c r="S86" s="49"/>
      <c r="T86" s="49"/>
      <c r="U86" s="49"/>
      <c r="V86" s="49"/>
      <c r="W86" s="49"/>
      <c r="X86" s="24"/>
      <c r="Y86" s="24"/>
      <c r="AA86" s="20" t="str">
        <f t="shared" si="16"/>
        <v>·</v>
      </c>
      <c r="AB86" s="21" t="str">
        <f t="shared" si="17"/>
        <v>·</v>
      </c>
      <c r="AC86" s="21" t="str">
        <f t="shared" si="18"/>
        <v>·</v>
      </c>
      <c r="AD86" s="21" t="str">
        <f t="shared" si="19"/>
        <v>·</v>
      </c>
      <c r="AE86" s="21" t="str">
        <f t="shared" si="20"/>
        <v>·</v>
      </c>
      <c r="AF86" s="22"/>
      <c r="AG86" s="23"/>
      <c r="AH86" s="23"/>
      <c r="AI86" s="23"/>
      <c r="AJ86" s="49"/>
      <c r="AK86" s="49"/>
      <c r="AL86" s="49"/>
      <c r="AM86" s="49"/>
      <c r="AN86" s="49"/>
      <c r="AO86" s="49"/>
      <c r="AP86" s="49"/>
      <c r="AQ86" s="49"/>
      <c r="AR86" s="24"/>
      <c r="AS86" s="24"/>
      <c r="AU86" s="20" t="e">
        <f t="shared" si="21"/>
        <v>#DIV/0!</v>
      </c>
      <c r="AV86" s="20"/>
      <c r="AX86" s="50"/>
      <c r="AY86" s="50"/>
      <c r="AZ86" s="50"/>
      <c r="BA86" s="50"/>
      <c r="BB86" s="50"/>
      <c r="BD86" s="50"/>
      <c r="BE86" s="50"/>
      <c r="BF86" s="50"/>
      <c r="BH86" s="50"/>
      <c r="BI86" s="50"/>
      <c r="BJ86" s="50"/>
    </row>
    <row r="87" spans="1:62" outlineLevel="1" x14ac:dyDescent="0.25">
      <c r="A87" s="25"/>
      <c r="B87" s="32"/>
      <c r="C87" s="33" t="s">
        <v>429</v>
      </c>
      <c r="D87" s="32">
        <v>1000993</v>
      </c>
      <c r="E87" s="33">
        <v>10</v>
      </c>
      <c r="G87" s="34" t="str">
        <f t="shared" si="11"/>
        <v>·</v>
      </c>
      <c r="H87" s="35" t="str">
        <f t="shared" si="12"/>
        <v>·</v>
      </c>
      <c r="I87" s="35" t="str">
        <f t="shared" si="13"/>
        <v>·</v>
      </c>
      <c r="J87" s="35" t="str">
        <f t="shared" si="14"/>
        <v>·</v>
      </c>
      <c r="K87" s="35" t="str">
        <f t="shared" si="15"/>
        <v>·</v>
      </c>
      <c r="L87" s="36"/>
      <c r="M87" s="37"/>
      <c r="N87" s="37"/>
      <c r="O87" s="37"/>
      <c r="P87" s="53"/>
      <c r="Q87" s="53"/>
      <c r="R87" s="53"/>
      <c r="S87" s="53"/>
      <c r="T87" s="53"/>
      <c r="U87" s="53"/>
      <c r="V87" s="53"/>
      <c r="W87" s="53"/>
      <c r="X87" s="38"/>
      <c r="Y87" s="38"/>
      <c r="AA87" s="34" t="str">
        <f t="shared" si="16"/>
        <v>·</v>
      </c>
      <c r="AB87" s="35" t="str">
        <f t="shared" si="17"/>
        <v>·</v>
      </c>
      <c r="AC87" s="35" t="str">
        <f t="shared" si="18"/>
        <v>·</v>
      </c>
      <c r="AD87" s="35" t="str">
        <f t="shared" si="19"/>
        <v>·</v>
      </c>
      <c r="AE87" s="35" t="str">
        <f t="shared" si="20"/>
        <v>·</v>
      </c>
      <c r="AF87" s="36"/>
      <c r="AG87" s="37"/>
      <c r="AH87" s="37"/>
      <c r="AI87" s="37"/>
      <c r="AJ87" s="53"/>
      <c r="AK87" s="53"/>
      <c r="AL87" s="53"/>
      <c r="AM87" s="53"/>
      <c r="AN87" s="53"/>
      <c r="AO87" s="53"/>
      <c r="AP87" s="53"/>
      <c r="AQ87" s="53"/>
      <c r="AR87" s="38"/>
      <c r="AS87" s="38"/>
      <c r="AU87" s="34" t="e">
        <f t="shared" si="21"/>
        <v>#DIV/0!</v>
      </c>
      <c r="AV87" s="34"/>
      <c r="AX87" s="54"/>
      <c r="AY87" s="54"/>
      <c r="AZ87" s="54"/>
      <c r="BA87" s="54"/>
      <c r="BB87" s="54"/>
      <c r="BD87" s="54"/>
      <c r="BE87" s="54"/>
      <c r="BF87" s="54"/>
      <c r="BH87" s="54"/>
      <c r="BI87" s="54"/>
      <c r="BJ87" s="54"/>
    </row>
    <row r="88" spans="1:62" collapsed="1" x14ac:dyDescent="0.25">
      <c r="A88" s="18"/>
      <c r="B88" s="18" t="s">
        <v>183</v>
      </c>
      <c r="C88" s="19" t="s">
        <v>310</v>
      </c>
      <c r="D88" s="18">
        <v>757691</v>
      </c>
      <c r="E88" s="19">
        <v>10</v>
      </c>
      <c r="G88" s="20" t="str">
        <f t="shared" si="11"/>
        <v>·</v>
      </c>
      <c r="H88" s="21" t="str">
        <f t="shared" si="12"/>
        <v>·</v>
      </c>
      <c r="I88" s="21" t="str">
        <f t="shared" si="13"/>
        <v>·</v>
      </c>
      <c r="J88" s="21" t="str">
        <f t="shared" si="14"/>
        <v>·</v>
      </c>
      <c r="K88" s="21" t="str">
        <f t="shared" si="15"/>
        <v>·</v>
      </c>
      <c r="L88" s="22"/>
      <c r="M88" s="23"/>
      <c r="N88" s="23"/>
      <c r="O88" s="23"/>
      <c r="P88" s="49"/>
      <c r="Q88" s="49"/>
      <c r="R88" s="49"/>
      <c r="S88" s="49"/>
      <c r="T88" s="49"/>
      <c r="U88" s="49"/>
      <c r="V88" s="49"/>
      <c r="W88" s="49"/>
      <c r="X88" s="24"/>
      <c r="Y88" s="24"/>
      <c r="AA88" s="20" t="str">
        <f t="shared" si="16"/>
        <v>·</v>
      </c>
      <c r="AB88" s="21" t="str">
        <f t="shared" si="17"/>
        <v>·</v>
      </c>
      <c r="AC88" s="21" t="str">
        <f t="shared" si="18"/>
        <v>·</v>
      </c>
      <c r="AD88" s="21" t="str">
        <f t="shared" si="19"/>
        <v>·</v>
      </c>
      <c r="AE88" s="21" t="str">
        <f t="shared" si="20"/>
        <v>·</v>
      </c>
      <c r="AF88" s="22"/>
      <c r="AG88" s="23"/>
      <c r="AH88" s="23"/>
      <c r="AI88" s="23"/>
      <c r="AJ88" s="49"/>
      <c r="AK88" s="49"/>
      <c r="AL88" s="49"/>
      <c r="AM88" s="49"/>
      <c r="AN88" s="49"/>
      <c r="AO88" s="49"/>
      <c r="AP88" s="49"/>
      <c r="AQ88" s="49"/>
      <c r="AR88" s="24"/>
      <c r="AS88" s="24"/>
      <c r="AU88" s="20" t="e">
        <f t="shared" si="21"/>
        <v>#DIV/0!</v>
      </c>
      <c r="AV88" s="20" t="e">
        <f t="array" ref="AV88">AVERAGE(AH88:AH93/AG88:AG93) - AVERAGE(N88:N93/M88:M93)</f>
        <v>#DIV/0!</v>
      </c>
      <c r="AX88" s="50" t="e">
        <f>bdRateExtend( M88:M93,P88:P93, AG88:AG93,AJ88:AJ93)</f>
        <v>#VALUE!</v>
      </c>
      <c r="AY88" s="50" t="e">
        <f>bdRateExtend( M88:M93,Q88:Q93, AG88:AG93,AK88:AK93)</f>
        <v>#VALUE!</v>
      </c>
      <c r="AZ88" s="50" t="e">
        <f>bdRateExtend( M88:M93,R88:R93, AG88:AG93,AL88:AL93)</f>
        <v>#VALUE!</v>
      </c>
      <c r="BA88" s="50" t="e">
        <f>bdRateExtend( M88:M93,S88:S93, AG88:AG93,AM88:AM93)</f>
        <v>#VALUE!</v>
      </c>
      <c r="BB88" s="50" t="e">
        <f>bdRateExtend( M88:M93,T88:T93, AG88:AG93,AN88:AN93)</f>
        <v>#VALUE!</v>
      </c>
      <c r="BD88" s="50" t="e">
        <f>bdRateExtend( O88:O93,R88:R93, AI88:AI93,AL88:AL93)</f>
        <v>#VALUE!</v>
      </c>
      <c r="BE88" s="50" t="e">
        <f>bdRateExtend( O88:O93,S88:S93, AI88:AI93,AM88:AM93)</f>
        <v>#VALUE!</v>
      </c>
      <c r="BF88" s="50" t="e">
        <f>bdRateExtend( O88:O93,T88:T93, AI88:AI93,AN88:AN93)</f>
        <v>#VALUE!</v>
      </c>
      <c r="BH88" s="50" t="e">
        <f>bdRateExtend( O88:O93,U88:U93, AI88:AI93,AO88:AO93)</f>
        <v>#VALUE!</v>
      </c>
      <c r="BI88" s="50" t="e">
        <f>bdRateExtend( O88:O93,V88:V93, AI88:AI93,AP88:AP93)</f>
        <v>#VALUE!</v>
      </c>
      <c r="BJ88" s="50" t="e">
        <f>bdRateExtend( O88:O93,W88:W93, AI88:AI93,AQ88:AQ93)</f>
        <v>#VALUE!</v>
      </c>
    </row>
    <row r="89" spans="1:62" outlineLevel="1" x14ac:dyDescent="0.25">
      <c r="A89" s="25"/>
      <c r="B89" s="25"/>
      <c r="C89" s="26" t="s">
        <v>311</v>
      </c>
      <c r="D89" s="25">
        <v>757691</v>
      </c>
      <c r="E89" s="26">
        <v>10</v>
      </c>
      <c r="G89" s="27" t="str">
        <f t="shared" si="11"/>
        <v>·</v>
      </c>
      <c r="H89" s="28" t="str">
        <f t="shared" si="12"/>
        <v>·</v>
      </c>
      <c r="I89" s="28" t="str">
        <f t="shared" si="13"/>
        <v>·</v>
      </c>
      <c r="J89" s="28" t="str">
        <f t="shared" si="14"/>
        <v>·</v>
      </c>
      <c r="K89" s="28" t="str">
        <f t="shared" si="15"/>
        <v>·</v>
      </c>
      <c r="L89" s="29"/>
      <c r="M89" s="30"/>
      <c r="N89" s="30"/>
      <c r="O89" s="30"/>
      <c r="P89" s="51"/>
      <c r="Q89" s="51"/>
      <c r="R89" s="51"/>
      <c r="S89" s="51"/>
      <c r="T89" s="51"/>
      <c r="U89" s="51"/>
      <c r="V89" s="51"/>
      <c r="W89" s="51"/>
      <c r="X89" s="31"/>
      <c r="Y89" s="31"/>
      <c r="AA89" s="27" t="str">
        <f t="shared" si="16"/>
        <v>·</v>
      </c>
      <c r="AB89" s="28" t="str">
        <f t="shared" si="17"/>
        <v>·</v>
      </c>
      <c r="AC89" s="28" t="str">
        <f t="shared" si="18"/>
        <v>·</v>
      </c>
      <c r="AD89" s="28" t="str">
        <f t="shared" si="19"/>
        <v>·</v>
      </c>
      <c r="AE89" s="28" t="str">
        <f t="shared" si="20"/>
        <v>·</v>
      </c>
      <c r="AF89" s="29"/>
      <c r="AG89" s="30"/>
      <c r="AH89" s="30"/>
      <c r="AI89" s="30"/>
      <c r="AJ89" s="51"/>
      <c r="AK89" s="51"/>
      <c r="AL89" s="51"/>
      <c r="AM89" s="51"/>
      <c r="AN89" s="51"/>
      <c r="AO89" s="51"/>
      <c r="AP89" s="51"/>
      <c r="AQ89" s="51"/>
      <c r="AR89" s="31"/>
      <c r="AS89" s="31"/>
      <c r="AU89" s="27" t="e">
        <f t="shared" si="21"/>
        <v>#DIV/0!</v>
      </c>
      <c r="AV89" s="27"/>
      <c r="AX89" s="52"/>
      <c r="AY89" s="52"/>
      <c r="AZ89" s="52"/>
      <c r="BA89" s="52"/>
      <c r="BB89" s="52"/>
      <c r="BD89" s="52"/>
      <c r="BE89" s="52"/>
      <c r="BF89" s="52"/>
      <c r="BH89" s="52"/>
      <c r="BI89" s="52"/>
      <c r="BJ89" s="52"/>
    </row>
    <row r="90" spans="1:62" outlineLevel="1" x14ac:dyDescent="0.25">
      <c r="A90" s="18"/>
      <c r="B90" s="18"/>
      <c r="C90" s="19" t="s">
        <v>312</v>
      </c>
      <c r="D90" s="18">
        <v>757691</v>
      </c>
      <c r="E90" s="19">
        <v>10</v>
      </c>
      <c r="G90" s="20" t="str">
        <f t="shared" si="11"/>
        <v>·</v>
      </c>
      <c r="H90" s="21" t="str">
        <f t="shared" si="12"/>
        <v>·</v>
      </c>
      <c r="I90" s="21" t="str">
        <f t="shared" si="13"/>
        <v>·</v>
      </c>
      <c r="J90" s="21" t="str">
        <f t="shared" si="14"/>
        <v>·</v>
      </c>
      <c r="K90" s="21" t="str">
        <f t="shared" si="15"/>
        <v>·</v>
      </c>
      <c r="L90" s="22"/>
      <c r="M90" s="23"/>
      <c r="N90" s="23"/>
      <c r="O90" s="23"/>
      <c r="P90" s="49"/>
      <c r="Q90" s="49"/>
      <c r="R90" s="49"/>
      <c r="S90" s="49"/>
      <c r="T90" s="49"/>
      <c r="U90" s="49"/>
      <c r="V90" s="49"/>
      <c r="W90" s="49"/>
      <c r="X90" s="24"/>
      <c r="Y90" s="24"/>
      <c r="AA90" s="20" t="str">
        <f t="shared" si="16"/>
        <v>·</v>
      </c>
      <c r="AB90" s="21" t="str">
        <f t="shared" si="17"/>
        <v>·</v>
      </c>
      <c r="AC90" s="21" t="str">
        <f t="shared" si="18"/>
        <v>·</v>
      </c>
      <c r="AD90" s="21" t="str">
        <f t="shared" si="19"/>
        <v>·</v>
      </c>
      <c r="AE90" s="21" t="str">
        <f t="shared" si="20"/>
        <v>·</v>
      </c>
      <c r="AF90" s="22"/>
      <c r="AG90" s="23"/>
      <c r="AH90" s="23"/>
      <c r="AI90" s="23"/>
      <c r="AJ90" s="49"/>
      <c r="AK90" s="49"/>
      <c r="AL90" s="49"/>
      <c r="AM90" s="49"/>
      <c r="AN90" s="49"/>
      <c r="AO90" s="49"/>
      <c r="AP90" s="49"/>
      <c r="AQ90" s="49"/>
      <c r="AR90" s="24"/>
      <c r="AS90" s="24"/>
      <c r="AU90" s="20" t="e">
        <f t="shared" si="21"/>
        <v>#DIV/0!</v>
      </c>
      <c r="AV90" s="20"/>
      <c r="AX90" s="50"/>
      <c r="AY90" s="50"/>
      <c r="AZ90" s="50"/>
      <c r="BA90" s="50"/>
      <c r="BB90" s="50"/>
      <c r="BD90" s="50"/>
      <c r="BE90" s="50"/>
      <c r="BF90" s="50"/>
      <c r="BH90" s="50"/>
      <c r="BI90" s="50"/>
      <c r="BJ90" s="50"/>
    </row>
    <row r="91" spans="1:62" outlineLevel="1" x14ac:dyDescent="0.25">
      <c r="A91" s="25"/>
      <c r="B91" s="25"/>
      <c r="C91" s="26" t="s">
        <v>313</v>
      </c>
      <c r="D91" s="25">
        <v>757691</v>
      </c>
      <c r="E91" s="26">
        <v>10</v>
      </c>
      <c r="G91" s="27" t="str">
        <f t="shared" si="11"/>
        <v>·</v>
      </c>
      <c r="H91" s="28" t="str">
        <f t="shared" si="12"/>
        <v>·</v>
      </c>
      <c r="I91" s="28" t="str">
        <f t="shared" si="13"/>
        <v>·</v>
      </c>
      <c r="J91" s="28" t="str">
        <f t="shared" si="14"/>
        <v>·</v>
      </c>
      <c r="K91" s="28" t="str">
        <f t="shared" si="15"/>
        <v>·</v>
      </c>
      <c r="L91" s="29"/>
      <c r="M91" s="30"/>
      <c r="N91" s="30"/>
      <c r="O91" s="30"/>
      <c r="P91" s="51"/>
      <c r="Q91" s="51"/>
      <c r="R91" s="51"/>
      <c r="S91" s="51"/>
      <c r="T91" s="51"/>
      <c r="U91" s="51"/>
      <c r="V91" s="51"/>
      <c r="W91" s="51"/>
      <c r="X91" s="31"/>
      <c r="Y91" s="31"/>
      <c r="AA91" s="27" t="str">
        <f t="shared" si="16"/>
        <v>·</v>
      </c>
      <c r="AB91" s="28" t="str">
        <f t="shared" si="17"/>
        <v>·</v>
      </c>
      <c r="AC91" s="28" t="str">
        <f t="shared" si="18"/>
        <v>·</v>
      </c>
      <c r="AD91" s="28" t="str">
        <f t="shared" si="19"/>
        <v>·</v>
      </c>
      <c r="AE91" s="28" t="str">
        <f t="shared" si="20"/>
        <v>·</v>
      </c>
      <c r="AF91" s="29"/>
      <c r="AG91" s="30"/>
      <c r="AH91" s="30"/>
      <c r="AI91" s="30"/>
      <c r="AJ91" s="51"/>
      <c r="AK91" s="51"/>
      <c r="AL91" s="51"/>
      <c r="AM91" s="51"/>
      <c r="AN91" s="51"/>
      <c r="AO91" s="51"/>
      <c r="AP91" s="51"/>
      <c r="AQ91" s="51"/>
      <c r="AR91" s="31"/>
      <c r="AS91" s="31"/>
      <c r="AU91" s="27" t="e">
        <f t="shared" si="21"/>
        <v>#DIV/0!</v>
      </c>
      <c r="AV91" s="27"/>
      <c r="AX91" s="52"/>
      <c r="AY91" s="52"/>
      <c r="AZ91" s="52"/>
      <c r="BA91" s="52"/>
      <c r="BB91" s="52"/>
      <c r="BD91" s="52"/>
      <c r="BE91" s="52"/>
      <c r="BF91" s="52"/>
      <c r="BH91" s="52"/>
      <c r="BI91" s="52"/>
      <c r="BJ91" s="52"/>
    </row>
    <row r="92" spans="1:62" outlineLevel="1" x14ac:dyDescent="0.25">
      <c r="A92" s="18"/>
      <c r="B92" s="18"/>
      <c r="C92" s="19" t="s">
        <v>428</v>
      </c>
      <c r="D92" s="18">
        <v>757691</v>
      </c>
      <c r="E92" s="19">
        <v>10</v>
      </c>
      <c r="G92" s="20" t="str">
        <f t="shared" si="11"/>
        <v>·</v>
      </c>
      <c r="H92" s="21" t="str">
        <f t="shared" si="12"/>
        <v>·</v>
      </c>
      <c r="I92" s="21" t="str">
        <f t="shared" si="13"/>
        <v>·</v>
      </c>
      <c r="J92" s="21" t="str">
        <f t="shared" si="14"/>
        <v>·</v>
      </c>
      <c r="K92" s="21" t="str">
        <f t="shared" si="15"/>
        <v>·</v>
      </c>
      <c r="L92" s="22"/>
      <c r="M92" s="23"/>
      <c r="N92" s="23"/>
      <c r="O92" s="23"/>
      <c r="P92" s="49"/>
      <c r="Q92" s="49"/>
      <c r="R92" s="49"/>
      <c r="S92" s="49"/>
      <c r="T92" s="49"/>
      <c r="U92" s="49"/>
      <c r="V92" s="49"/>
      <c r="W92" s="49"/>
      <c r="X92" s="24"/>
      <c r="Y92" s="24"/>
      <c r="AA92" s="20" t="str">
        <f t="shared" si="16"/>
        <v>·</v>
      </c>
      <c r="AB92" s="21" t="str">
        <f t="shared" si="17"/>
        <v>·</v>
      </c>
      <c r="AC92" s="21" t="str">
        <f t="shared" si="18"/>
        <v>·</v>
      </c>
      <c r="AD92" s="21" t="str">
        <f t="shared" si="19"/>
        <v>·</v>
      </c>
      <c r="AE92" s="21" t="str">
        <f t="shared" si="20"/>
        <v>·</v>
      </c>
      <c r="AF92" s="22"/>
      <c r="AG92" s="23"/>
      <c r="AH92" s="23"/>
      <c r="AI92" s="23"/>
      <c r="AJ92" s="49"/>
      <c r="AK92" s="49"/>
      <c r="AL92" s="49"/>
      <c r="AM92" s="49"/>
      <c r="AN92" s="49"/>
      <c r="AO92" s="49"/>
      <c r="AP92" s="49"/>
      <c r="AQ92" s="49"/>
      <c r="AR92" s="24"/>
      <c r="AS92" s="24"/>
      <c r="AU92" s="20" t="e">
        <f t="shared" si="21"/>
        <v>#DIV/0!</v>
      </c>
      <c r="AV92" s="20"/>
      <c r="AX92" s="50"/>
      <c r="AY92" s="50"/>
      <c r="AZ92" s="50"/>
      <c r="BA92" s="50"/>
      <c r="BB92" s="50"/>
      <c r="BD92" s="50"/>
      <c r="BE92" s="50"/>
      <c r="BF92" s="50"/>
      <c r="BH92" s="50"/>
      <c r="BI92" s="50"/>
      <c r="BJ92" s="50"/>
    </row>
    <row r="93" spans="1:62" outlineLevel="1" x14ac:dyDescent="0.25">
      <c r="A93" s="25"/>
      <c r="B93" s="32"/>
      <c r="C93" s="33" t="s">
        <v>429</v>
      </c>
      <c r="D93" s="32">
        <v>757691</v>
      </c>
      <c r="E93" s="33">
        <v>10</v>
      </c>
      <c r="G93" s="34" t="str">
        <f t="shared" si="11"/>
        <v>·</v>
      </c>
      <c r="H93" s="35" t="str">
        <f t="shared" si="12"/>
        <v>·</v>
      </c>
      <c r="I93" s="35" t="str">
        <f t="shared" si="13"/>
        <v>·</v>
      </c>
      <c r="J93" s="35" t="str">
        <f t="shared" si="14"/>
        <v>·</v>
      </c>
      <c r="K93" s="35" t="str">
        <f t="shared" si="15"/>
        <v>·</v>
      </c>
      <c r="L93" s="36"/>
      <c r="M93" s="37"/>
      <c r="N93" s="37"/>
      <c r="O93" s="37"/>
      <c r="P93" s="53"/>
      <c r="Q93" s="53"/>
      <c r="R93" s="53"/>
      <c r="S93" s="53"/>
      <c r="T93" s="53"/>
      <c r="U93" s="53"/>
      <c r="V93" s="53"/>
      <c r="W93" s="53"/>
      <c r="X93" s="38"/>
      <c r="Y93" s="38"/>
      <c r="AA93" s="34" t="str">
        <f t="shared" si="16"/>
        <v>·</v>
      </c>
      <c r="AB93" s="35" t="str">
        <f t="shared" si="17"/>
        <v>·</v>
      </c>
      <c r="AC93" s="35" t="str">
        <f t="shared" si="18"/>
        <v>·</v>
      </c>
      <c r="AD93" s="35" t="str">
        <f t="shared" si="19"/>
        <v>·</v>
      </c>
      <c r="AE93" s="35" t="str">
        <f t="shared" si="20"/>
        <v>·</v>
      </c>
      <c r="AF93" s="36"/>
      <c r="AG93" s="37"/>
      <c r="AH93" s="37"/>
      <c r="AI93" s="37"/>
      <c r="AJ93" s="53"/>
      <c r="AK93" s="53"/>
      <c r="AL93" s="53"/>
      <c r="AM93" s="53"/>
      <c r="AN93" s="53"/>
      <c r="AO93" s="53"/>
      <c r="AP93" s="53"/>
      <c r="AQ93" s="53"/>
      <c r="AR93" s="38"/>
      <c r="AS93" s="38"/>
      <c r="AU93" s="34" t="e">
        <f t="shared" si="21"/>
        <v>#DIV/0!</v>
      </c>
      <c r="AV93" s="34"/>
      <c r="AX93" s="54"/>
      <c r="AY93" s="54"/>
      <c r="AZ93" s="54"/>
      <c r="BA93" s="54"/>
      <c r="BB93" s="54"/>
      <c r="BD93" s="54"/>
      <c r="BE93" s="54"/>
      <c r="BF93" s="54"/>
      <c r="BH93" s="54"/>
      <c r="BI93" s="54"/>
      <c r="BJ93" s="54"/>
    </row>
    <row r="94" spans="1:62" collapsed="1" x14ac:dyDescent="0.25">
      <c r="A94" s="18"/>
      <c r="B94" s="18" t="s">
        <v>186</v>
      </c>
      <c r="C94" s="19" t="s">
        <v>310</v>
      </c>
      <c r="D94" s="18">
        <v>1089091</v>
      </c>
      <c r="E94" s="19">
        <v>10</v>
      </c>
      <c r="G94" s="20" t="str">
        <f t="shared" si="11"/>
        <v>·</v>
      </c>
      <c r="H94" s="21" t="str">
        <f t="shared" si="12"/>
        <v>·</v>
      </c>
      <c r="I94" s="21" t="str">
        <f t="shared" si="13"/>
        <v>·</v>
      </c>
      <c r="J94" s="21" t="str">
        <f t="shared" si="14"/>
        <v>·</v>
      </c>
      <c r="K94" s="21" t="str">
        <f t="shared" si="15"/>
        <v>·</v>
      </c>
      <c r="L94" s="22"/>
      <c r="M94" s="23"/>
      <c r="N94" s="23"/>
      <c r="O94" s="23"/>
      <c r="P94" s="49"/>
      <c r="Q94" s="49"/>
      <c r="R94" s="49"/>
      <c r="S94" s="49"/>
      <c r="T94" s="49"/>
      <c r="U94" s="49"/>
      <c r="V94" s="49"/>
      <c r="W94" s="49"/>
      <c r="X94" s="24"/>
      <c r="Y94" s="24"/>
      <c r="AA94" s="20" t="str">
        <f t="shared" si="16"/>
        <v>·</v>
      </c>
      <c r="AB94" s="21" t="str">
        <f t="shared" si="17"/>
        <v>·</v>
      </c>
      <c r="AC94" s="21" t="str">
        <f t="shared" si="18"/>
        <v>·</v>
      </c>
      <c r="AD94" s="21" t="str">
        <f t="shared" si="19"/>
        <v>·</v>
      </c>
      <c r="AE94" s="21" t="str">
        <f t="shared" si="20"/>
        <v>·</v>
      </c>
      <c r="AF94" s="22"/>
      <c r="AG94" s="23"/>
      <c r="AH94" s="23"/>
      <c r="AI94" s="23"/>
      <c r="AJ94" s="49"/>
      <c r="AK94" s="49"/>
      <c r="AL94" s="49"/>
      <c r="AM94" s="49"/>
      <c r="AN94" s="49"/>
      <c r="AO94" s="49"/>
      <c r="AP94" s="49"/>
      <c r="AQ94" s="49"/>
      <c r="AR94" s="24"/>
      <c r="AS94" s="24"/>
      <c r="AU94" s="20" t="e">
        <f t="shared" si="21"/>
        <v>#DIV/0!</v>
      </c>
      <c r="AV94" s="20" t="e">
        <f t="array" ref="AV94">AVERAGE(AH94:AH99/AG94:AG99) - AVERAGE(N94:N99/M94:M99)</f>
        <v>#DIV/0!</v>
      </c>
      <c r="AX94" s="50" t="e">
        <f>bdRateExtend( M94:M99,P94:P99, AG94:AG99,AJ94:AJ99)</f>
        <v>#VALUE!</v>
      </c>
      <c r="AY94" s="50" t="e">
        <f>bdRateExtend( M94:M99,Q94:Q99, AG94:AG99,AK94:AK99)</f>
        <v>#VALUE!</v>
      </c>
      <c r="AZ94" s="50" t="e">
        <f>bdRateExtend( M94:M99,R94:R99, AG94:AG99,AL94:AL99)</f>
        <v>#VALUE!</v>
      </c>
      <c r="BA94" s="50" t="e">
        <f>bdRateExtend( M94:M99,S94:S99, AG94:AG99,AM94:AM99)</f>
        <v>#VALUE!</v>
      </c>
      <c r="BB94" s="50" t="e">
        <f>bdRateExtend( M94:M99,T94:T99, AG94:AG99,AN94:AN99)</f>
        <v>#VALUE!</v>
      </c>
      <c r="BD94" s="50" t="e">
        <f>bdRateExtend( O94:O99,R94:R99, AI94:AI99,AL94:AL99)</f>
        <v>#VALUE!</v>
      </c>
      <c r="BE94" s="50" t="e">
        <f>bdRateExtend( O94:O99,S94:S99, AI94:AI99,AM94:AM99)</f>
        <v>#VALUE!</v>
      </c>
      <c r="BF94" s="50" t="e">
        <f>bdRateExtend( O94:O99,T94:T99, AI94:AI99,AN94:AN99)</f>
        <v>#VALUE!</v>
      </c>
      <c r="BH94" s="50" t="e">
        <f>bdRateExtend( O94:O99,U94:U99, AI94:AI99,AO94:AO99)</f>
        <v>#VALUE!</v>
      </c>
      <c r="BI94" s="50" t="e">
        <f>bdRateExtend( O94:O99,V94:V99, AI94:AI99,AP94:AP99)</f>
        <v>#VALUE!</v>
      </c>
      <c r="BJ94" s="50" t="e">
        <f>bdRateExtend( O94:O99,W94:W99, AI94:AI99,AQ94:AQ99)</f>
        <v>#VALUE!</v>
      </c>
    </row>
    <row r="95" spans="1:62" outlineLevel="1" x14ac:dyDescent="0.25">
      <c r="A95" s="25"/>
      <c r="B95" s="25"/>
      <c r="C95" s="26" t="s">
        <v>311</v>
      </c>
      <c r="D95" s="25">
        <v>1089091</v>
      </c>
      <c r="E95" s="26">
        <v>10</v>
      </c>
      <c r="G95" s="27" t="str">
        <f t="shared" si="11"/>
        <v>·</v>
      </c>
      <c r="H95" s="28" t="str">
        <f t="shared" si="12"/>
        <v>·</v>
      </c>
      <c r="I95" s="28" t="str">
        <f t="shared" si="13"/>
        <v>·</v>
      </c>
      <c r="J95" s="28" t="str">
        <f t="shared" si="14"/>
        <v>·</v>
      </c>
      <c r="K95" s="28" t="str">
        <f t="shared" si="15"/>
        <v>·</v>
      </c>
      <c r="L95" s="29"/>
      <c r="M95" s="30"/>
      <c r="N95" s="30"/>
      <c r="O95" s="30"/>
      <c r="P95" s="51"/>
      <c r="Q95" s="51"/>
      <c r="R95" s="51"/>
      <c r="S95" s="51"/>
      <c r="T95" s="51"/>
      <c r="U95" s="51"/>
      <c r="V95" s="51"/>
      <c r="W95" s="51"/>
      <c r="X95" s="31"/>
      <c r="Y95" s="31"/>
      <c r="AA95" s="27" t="str">
        <f t="shared" si="16"/>
        <v>·</v>
      </c>
      <c r="AB95" s="28" t="str">
        <f t="shared" si="17"/>
        <v>·</v>
      </c>
      <c r="AC95" s="28" t="str">
        <f t="shared" si="18"/>
        <v>·</v>
      </c>
      <c r="AD95" s="28" t="str">
        <f t="shared" si="19"/>
        <v>·</v>
      </c>
      <c r="AE95" s="28" t="str">
        <f t="shared" si="20"/>
        <v>·</v>
      </c>
      <c r="AF95" s="29"/>
      <c r="AG95" s="30"/>
      <c r="AH95" s="30"/>
      <c r="AI95" s="30"/>
      <c r="AJ95" s="51"/>
      <c r="AK95" s="51"/>
      <c r="AL95" s="51"/>
      <c r="AM95" s="51"/>
      <c r="AN95" s="51"/>
      <c r="AO95" s="51"/>
      <c r="AP95" s="51"/>
      <c r="AQ95" s="51"/>
      <c r="AR95" s="31"/>
      <c r="AS95" s="31"/>
      <c r="AU95" s="27" t="e">
        <f t="shared" si="21"/>
        <v>#DIV/0!</v>
      </c>
      <c r="AV95" s="27"/>
      <c r="AX95" s="52"/>
      <c r="AY95" s="52"/>
      <c r="AZ95" s="52"/>
      <c r="BA95" s="52"/>
      <c r="BB95" s="52"/>
      <c r="BD95" s="52"/>
      <c r="BE95" s="52"/>
      <c r="BF95" s="52"/>
      <c r="BH95" s="52"/>
      <c r="BI95" s="52"/>
      <c r="BJ95" s="52"/>
    </row>
    <row r="96" spans="1:62" outlineLevel="1" x14ac:dyDescent="0.25">
      <c r="A96" s="18"/>
      <c r="B96" s="18"/>
      <c r="C96" s="19" t="s">
        <v>312</v>
      </c>
      <c r="D96" s="18">
        <v>1089091</v>
      </c>
      <c r="E96" s="19">
        <v>10</v>
      </c>
      <c r="G96" s="20" t="str">
        <f t="shared" si="11"/>
        <v>·</v>
      </c>
      <c r="H96" s="21" t="str">
        <f t="shared" si="12"/>
        <v>·</v>
      </c>
      <c r="I96" s="21" t="str">
        <f t="shared" si="13"/>
        <v>·</v>
      </c>
      <c r="J96" s="21" t="str">
        <f t="shared" si="14"/>
        <v>·</v>
      </c>
      <c r="K96" s="21" t="str">
        <f t="shared" si="15"/>
        <v>·</v>
      </c>
      <c r="L96" s="22"/>
      <c r="M96" s="23"/>
      <c r="N96" s="23"/>
      <c r="O96" s="23"/>
      <c r="P96" s="49"/>
      <c r="Q96" s="49"/>
      <c r="R96" s="49"/>
      <c r="S96" s="49"/>
      <c r="T96" s="49"/>
      <c r="U96" s="49"/>
      <c r="V96" s="49"/>
      <c r="W96" s="49"/>
      <c r="X96" s="24"/>
      <c r="Y96" s="24"/>
      <c r="AA96" s="20" t="str">
        <f t="shared" si="16"/>
        <v>·</v>
      </c>
      <c r="AB96" s="21" t="str">
        <f t="shared" si="17"/>
        <v>·</v>
      </c>
      <c r="AC96" s="21" t="str">
        <f t="shared" si="18"/>
        <v>·</v>
      </c>
      <c r="AD96" s="21" t="str">
        <f t="shared" si="19"/>
        <v>·</v>
      </c>
      <c r="AE96" s="21" t="str">
        <f t="shared" si="20"/>
        <v>·</v>
      </c>
      <c r="AF96" s="22"/>
      <c r="AG96" s="23"/>
      <c r="AH96" s="23"/>
      <c r="AI96" s="23"/>
      <c r="AJ96" s="49"/>
      <c r="AK96" s="49"/>
      <c r="AL96" s="49"/>
      <c r="AM96" s="49"/>
      <c r="AN96" s="49"/>
      <c r="AO96" s="49"/>
      <c r="AP96" s="49"/>
      <c r="AQ96" s="49"/>
      <c r="AR96" s="24"/>
      <c r="AS96" s="24"/>
      <c r="AU96" s="20" t="e">
        <f t="shared" si="21"/>
        <v>#DIV/0!</v>
      </c>
      <c r="AV96" s="20"/>
      <c r="AX96" s="50"/>
      <c r="AY96" s="50"/>
      <c r="AZ96" s="50"/>
      <c r="BA96" s="50"/>
      <c r="BB96" s="50"/>
      <c r="BD96" s="50"/>
      <c r="BE96" s="50"/>
      <c r="BF96" s="50"/>
      <c r="BH96" s="50"/>
      <c r="BI96" s="50"/>
      <c r="BJ96" s="50"/>
    </row>
    <row r="97" spans="1:62" outlineLevel="1" x14ac:dyDescent="0.25">
      <c r="A97" s="25"/>
      <c r="B97" s="25"/>
      <c r="C97" s="26" t="s">
        <v>313</v>
      </c>
      <c r="D97" s="25">
        <v>1089091</v>
      </c>
      <c r="E97" s="26">
        <v>10</v>
      </c>
      <c r="G97" s="27" t="str">
        <f t="shared" si="11"/>
        <v>·</v>
      </c>
      <c r="H97" s="28" t="str">
        <f t="shared" si="12"/>
        <v>·</v>
      </c>
      <c r="I97" s="28" t="str">
        <f t="shared" si="13"/>
        <v>·</v>
      </c>
      <c r="J97" s="28" t="str">
        <f t="shared" si="14"/>
        <v>·</v>
      </c>
      <c r="K97" s="28" t="str">
        <f t="shared" si="15"/>
        <v>·</v>
      </c>
      <c r="L97" s="29"/>
      <c r="M97" s="30"/>
      <c r="N97" s="30"/>
      <c r="O97" s="30"/>
      <c r="P97" s="51"/>
      <c r="Q97" s="51"/>
      <c r="R97" s="51"/>
      <c r="S97" s="51"/>
      <c r="T97" s="51"/>
      <c r="U97" s="51"/>
      <c r="V97" s="51"/>
      <c r="W97" s="51"/>
      <c r="X97" s="31"/>
      <c r="Y97" s="31"/>
      <c r="AA97" s="27" t="str">
        <f t="shared" si="16"/>
        <v>·</v>
      </c>
      <c r="AB97" s="28" t="str">
        <f t="shared" si="17"/>
        <v>·</v>
      </c>
      <c r="AC97" s="28" t="str">
        <f t="shared" si="18"/>
        <v>·</v>
      </c>
      <c r="AD97" s="28" t="str">
        <f t="shared" si="19"/>
        <v>·</v>
      </c>
      <c r="AE97" s="28" t="str">
        <f t="shared" si="20"/>
        <v>·</v>
      </c>
      <c r="AF97" s="29"/>
      <c r="AG97" s="30"/>
      <c r="AH97" s="30"/>
      <c r="AI97" s="30"/>
      <c r="AJ97" s="51"/>
      <c r="AK97" s="51"/>
      <c r="AL97" s="51"/>
      <c r="AM97" s="51"/>
      <c r="AN97" s="51"/>
      <c r="AO97" s="51"/>
      <c r="AP97" s="51"/>
      <c r="AQ97" s="51"/>
      <c r="AR97" s="31"/>
      <c r="AS97" s="31"/>
      <c r="AU97" s="27" t="e">
        <f t="shared" si="21"/>
        <v>#DIV/0!</v>
      </c>
      <c r="AV97" s="27"/>
      <c r="AX97" s="52"/>
      <c r="AY97" s="52"/>
      <c r="AZ97" s="52"/>
      <c r="BA97" s="52"/>
      <c r="BB97" s="52"/>
      <c r="BD97" s="52"/>
      <c r="BE97" s="52"/>
      <c r="BF97" s="52"/>
      <c r="BH97" s="52"/>
      <c r="BI97" s="52"/>
      <c r="BJ97" s="52"/>
    </row>
    <row r="98" spans="1:62" outlineLevel="1" x14ac:dyDescent="0.25">
      <c r="A98" s="18"/>
      <c r="B98" s="18"/>
      <c r="C98" s="19" t="s">
        <v>428</v>
      </c>
      <c r="D98" s="18">
        <v>1089091</v>
      </c>
      <c r="E98" s="19">
        <v>10</v>
      </c>
      <c r="G98" s="20" t="str">
        <f t="shared" si="11"/>
        <v>·</v>
      </c>
      <c r="H98" s="21" t="str">
        <f t="shared" si="12"/>
        <v>·</v>
      </c>
      <c r="I98" s="21" t="str">
        <f t="shared" si="13"/>
        <v>·</v>
      </c>
      <c r="J98" s="21" t="str">
        <f t="shared" si="14"/>
        <v>·</v>
      </c>
      <c r="K98" s="21" t="str">
        <f t="shared" si="15"/>
        <v>·</v>
      </c>
      <c r="L98" s="22"/>
      <c r="M98" s="23"/>
      <c r="N98" s="23"/>
      <c r="O98" s="23"/>
      <c r="P98" s="49"/>
      <c r="Q98" s="49"/>
      <c r="R98" s="49"/>
      <c r="S98" s="49"/>
      <c r="T98" s="49"/>
      <c r="U98" s="49"/>
      <c r="V98" s="49"/>
      <c r="W98" s="49"/>
      <c r="X98" s="24"/>
      <c r="Y98" s="24"/>
      <c r="AA98" s="20" t="str">
        <f t="shared" si="16"/>
        <v>·</v>
      </c>
      <c r="AB98" s="21" t="str">
        <f t="shared" si="17"/>
        <v>·</v>
      </c>
      <c r="AC98" s="21" t="str">
        <f t="shared" si="18"/>
        <v>·</v>
      </c>
      <c r="AD98" s="21" t="str">
        <f t="shared" si="19"/>
        <v>·</v>
      </c>
      <c r="AE98" s="21" t="str">
        <f t="shared" si="20"/>
        <v>·</v>
      </c>
      <c r="AF98" s="22"/>
      <c r="AG98" s="23"/>
      <c r="AH98" s="23"/>
      <c r="AI98" s="23"/>
      <c r="AJ98" s="49"/>
      <c r="AK98" s="49"/>
      <c r="AL98" s="49"/>
      <c r="AM98" s="49"/>
      <c r="AN98" s="49"/>
      <c r="AO98" s="49"/>
      <c r="AP98" s="49"/>
      <c r="AQ98" s="49"/>
      <c r="AR98" s="24"/>
      <c r="AS98" s="24"/>
      <c r="AU98" s="20" t="e">
        <f t="shared" si="21"/>
        <v>#DIV/0!</v>
      </c>
      <c r="AV98" s="20"/>
      <c r="AX98" s="50"/>
      <c r="AY98" s="50"/>
      <c r="AZ98" s="50"/>
      <c r="BA98" s="50"/>
      <c r="BB98" s="50"/>
      <c r="BD98" s="50"/>
      <c r="BE98" s="50"/>
      <c r="BF98" s="50"/>
      <c r="BH98" s="50"/>
      <c r="BI98" s="50"/>
      <c r="BJ98" s="50"/>
    </row>
    <row r="99" spans="1:62" outlineLevel="1" x14ac:dyDescent="0.25">
      <c r="A99" s="25"/>
      <c r="B99" s="32"/>
      <c r="C99" s="33" t="s">
        <v>429</v>
      </c>
      <c r="D99" s="32">
        <v>1089091</v>
      </c>
      <c r="E99" s="33">
        <v>10</v>
      </c>
      <c r="G99" s="34" t="str">
        <f t="shared" si="11"/>
        <v>·</v>
      </c>
      <c r="H99" s="35" t="str">
        <f t="shared" si="12"/>
        <v>·</v>
      </c>
      <c r="I99" s="35" t="str">
        <f t="shared" si="13"/>
        <v>·</v>
      </c>
      <c r="J99" s="35" t="str">
        <f t="shared" si="14"/>
        <v>·</v>
      </c>
      <c r="K99" s="35" t="str">
        <f t="shared" si="15"/>
        <v>·</v>
      </c>
      <c r="L99" s="36"/>
      <c r="M99" s="37"/>
      <c r="N99" s="37"/>
      <c r="O99" s="37"/>
      <c r="P99" s="53"/>
      <c r="Q99" s="53"/>
      <c r="R99" s="53"/>
      <c r="S99" s="53"/>
      <c r="T99" s="53"/>
      <c r="U99" s="53"/>
      <c r="V99" s="53"/>
      <c r="W99" s="53"/>
      <c r="X99" s="38"/>
      <c r="Y99" s="38"/>
      <c r="AA99" s="34" t="str">
        <f t="shared" si="16"/>
        <v>·</v>
      </c>
      <c r="AB99" s="35" t="str">
        <f t="shared" si="17"/>
        <v>·</v>
      </c>
      <c r="AC99" s="35" t="str">
        <f t="shared" si="18"/>
        <v>·</v>
      </c>
      <c r="AD99" s="35" t="str">
        <f t="shared" si="19"/>
        <v>·</v>
      </c>
      <c r="AE99" s="35" t="str">
        <f t="shared" si="20"/>
        <v>·</v>
      </c>
      <c r="AF99" s="36"/>
      <c r="AG99" s="37"/>
      <c r="AH99" s="37"/>
      <c r="AI99" s="37"/>
      <c r="AJ99" s="53"/>
      <c r="AK99" s="53"/>
      <c r="AL99" s="53"/>
      <c r="AM99" s="53"/>
      <c r="AN99" s="53"/>
      <c r="AO99" s="53"/>
      <c r="AP99" s="53"/>
      <c r="AQ99" s="53"/>
      <c r="AR99" s="38"/>
      <c r="AS99" s="38"/>
      <c r="AU99" s="34" t="e">
        <f t="shared" si="21"/>
        <v>#DIV/0!</v>
      </c>
      <c r="AV99" s="34"/>
      <c r="AX99" s="54"/>
      <c r="AY99" s="54"/>
      <c r="AZ99" s="54"/>
      <c r="BA99" s="54"/>
      <c r="BB99" s="54"/>
      <c r="BD99" s="54"/>
      <c r="BE99" s="54"/>
      <c r="BF99" s="54"/>
      <c r="BH99" s="54"/>
      <c r="BI99" s="54"/>
      <c r="BJ99" s="54"/>
    </row>
    <row r="100" spans="1:62" collapsed="1" x14ac:dyDescent="0.25">
      <c r="A100" s="18"/>
      <c r="B100" s="18" t="s">
        <v>189</v>
      </c>
      <c r="C100" s="19" t="s">
        <v>310</v>
      </c>
      <c r="D100" s="18">
        <v>499660</v>
      </c>
      <c r="E100" s="19">
        <v>12</v>
      </c>
      <c r="G100" s="20" t="str">
        <f t="shared" si="11"/>
        <v>·</v>
      </c>
      <c r="H100" s="21" t="str">
        <f t="shared" si="12"/>
        <v>·</v>
      </c>
      <c r="I100" s="21" t="str">
        <f t="shared" si="13"/>
        <v>·</v>
      </c>
      <c r="J100" s="21" t="str">
        <f t="shared" si="14"/>
        <v>·</v>
      </c>
      <c r="K100" s="21" t="str">
        <f t="shared" si="15"/>
        <v>·</v>
      </c>
      <c r="L100" s="22"/>
      <c r="M100" s="23"/>
      <c r="N100" s="23"/>
      <c r="O100" s="23"/>
      <c r="P100" s="49"/>
      <c r="Q100" s="49"/>
      <c r="R100" s="49"/>
      <c r="S100" s="49"/>
      <c r="T100" s="49"/>
      <c r="U100" s="49"/>
      <c r="V100" s="49"/>
      <c r="W100" s="49"/>
      <c r="X100" s="24"/>
      <c r="Y100" s="24"/>
      <c r="AA100" s="20" t="str">
        <f t="shared" si="16"/>
        <v>·</v>
      </c>
      <c r="AB100" s="21" t="str">
        <f t="shared" si="17"/>
        <v>·</v>
      </c>
      <c r="AC100" s="21" t="str">
        <f t="shared" si="18"/>
        <v>·</v>
      </c>
      <c r="AD100" s="21" t="str">
        <f t="shared" si="19"/>
        <v>·</v>
      </c>
      <c r="AE100" s="21" t="str">
        <f t="shared" si="20"/>
        <v>·</v>
      </c>
      <c r="AF100" s="22"/>
      <c r="AG100" s="23"/>
      <c r="AH100" s="23"/>
      <c r="AI100" s="23"/>
      <c r="AJ100" s="49"/>
      <c r="AK100" s="49"/>
      <c r="AL100" s="49"/>
      <c r="AM100" s="49"/>
      <c r="AN100" s="49"/>
      <c r="AO100" s="49"/>
      <c r="AP100" s="49"/>
      <c r="AQ100" s="49"/>
      <c r="AR100" s="24"/>
      <c r="AS100" s="24"/>
      <c r="AU100" s="20" t="e">
        <f t="shared" si="21"/>
        <v>#DIV/0!</v>
      </c>
      <c r="AV100" s="20" t="e">
        <f t="array" ref="AV100">AVERAGE(AH100:AH105/AG100:AG105) - AVERAGE(N100:N105/M100:M105)</f>
        <v>#DIV/0!</v>
      </c>
      <c r="AX100" s="50" t="e">
        <f>bdRateExtend( M100:M105,P100:P105, AG100:AG105,AJ100:AJ105)</f>
        <v>#VALUE!</v>
      </c>
      <c r="AY100" s="50" t="e">
        <f>bdRateExtend( M100:M105,Q100:Q105, AG100:AG105,AK100:AK105)</f>
        <v>#VALUE!</v>
      </c>
      <c r="AZ100" s="50" t="e">
        <f>bdRateExtend( M100:M105,R100:R105, AG100:AG105,AL100:AL105)</f>
        <v>#VALUE!</v>
      </c>
      <c r="BA100" s="50" t="e">
        <f>bdRateExtend( M100:M105,S100:S105, AG100:AG105,AM100:AM105)</f>
        <v>#VALUE!</v>
      </c>
      <c r="BB100" s="50" t="e">
        <f>bdRateExtend( M100:M105,T100:T105, AG100:AG105,AN100:AN105)</f>
        <v>#VALUE!</v>
      </c>
      <c r="BD100" s="50" t="e">
        <f>bdRateExtend( O100:O105,R100:R105, AI100:AI105,AL100:AL105)</f>
        <v>#VALUE!</v>
      </c>
      <c r="BE100" s="50" t="e">
        <f>bdRateExtend( O100:O105,S100:S105, AI100:AI105,AM100:AM105)</f>
        <v>#VALUE!</v>
      </c>
      <c r="BF100" s="50" t="e">
        <f>bdRateExtend( O100:O105,T100:T105, AI100:AI105,AN100:AN105)</f>
        <v>#VALUE!</v>
      </c>
      <c r="BH100" s="50" t="e">
        <f>bdRateExtend( O100:O105,U100:U105, AI100:AI105,AO100:AO105)</f>
        <v>#VALUE!</v>
      </c>
      <c r="BI100" s="50" t="e">
        <f>bdRateExtend( O100:O105,V100:V105, AI100:AI105,AP100:AP105)</f>
        <v>#VALUE!</v>
      </c>
      <c r="BJ100" s="50" t="e">
        <f>bdRateExtend( O100:O105,W100:W105, AI100:AI105,AQ100:AQ105)</f>
        <v>#VALUE!</v>
      </c>
    </row>
    <row r="101" spans="1:62" outlineLevel="1" x14ac:dyDescent="0.25">
      <c r="A101" s="25"/>
      <c r="B101" s="25"/>
      <c r="C101" s="26" t="s">
        <v>311</v>
      </c>
      <c r="D101" s="25">
        <v>499660</v>
      </c>
      <c r="E101" s="26">
        <v>12</v>
      </c>
      <c r="G101" s="27" t="str">
        <f t="shared" si="11"/>
        <v>·</v>
      </c>
      <c r="H101" s="28" t="str">
        <f t="shared" si="12"/>
        <v>·</v>
      </c>
      <c r="I101" s="28" t="str">
        <f t="shared" si="13"/>
        <v>·</v>
      </c>
      <c r="J101" s="28" t="str">
        <f t="shared" si="14"/>
        <v>·</v>
      </c>
      <c r="K101" s="28" t="str">
        <f t="shared" si="15"/>
        <v>·</v>
      </c>
      <c r="L101" s="29"/>
      <c r="M101" s="30"/>
      <c r="N101" s="30"/>
      <c r="O101" s="30"/>
      <c r="P101" s="51"/>
      <c r="Q101" s="51"/>
      <c r="R101" s="51"/>
      <c r="S101" s="51"/>
      <c r="T101" s="51"/>
      <c r="U101" s="51"/>
      <c r="V101" s="51"/>
      <c r="W101" s="51"/>
      <c r="X101" s="31"/>
      <c r="Y101" s="31"/>
      <c r="AA101" s="27" t="str">
        <f t="shared" si="16"/>
        <v>·</v>
      </c>
      <c r="AB101" s="28" t="str">
        <f t="shared" si="17"/>
        <v>·</v>
      </c>
      <c r="AC101" s="28" t="str">
        <f t="shared" si="18"/>
        <v>·</v>
      </c>
      <c r="AD101" s="28" t="str">
        <f t="shared" si="19"/>
        <v>·</v>
      </c>
      <c r="AE101" s="28" t="str">
        <f t="shared" si="20"/>
        <v>·</v>
      </c>
      <c r="AF101" s="29"/>
      <c r="AG101" s="30"/>
      <c r="AH101" s="30"/>
      <c r="AI101" s="30"/>
      <c r="AJ101" s="51"/>
      <c r="AK101" s="51"/>
      <c r="AL101" s="51"/>
      <c r="AM101" s="51"/>
      <c r="AN101" s="51"/>
      <c r="AO101" s="51"/>
      <c r="AP101" s="51"/>
      <c r="AQ101" s="51"/>
      <c r="AR101" s="31"/>
      <c r="AS101" s="31"/>
      <c r="AU101" s="27" t="e">
        <f t="shared" si="21"/>
        <v>#DIV/0!</v>
      </c>
      <c r="AV101" s="27"/>
      <c r="AX101" s="52"/>
      <c r="AY101" s="52"/>
      <c r="AZ101" s="52"/>
      <c r="BA101" s="52"/>
      <c r="BB101" s="52"/>
      <c r="BD101" s="52"/>
      <c r="BE101" s="52"/>
      <c r="BF101" s="52"/>
      <c r="BH101" s="52"/>
      <c r="BI101" s="52"/>
      <c r="BJ101" s="52"/>
    </row>
    <row r="102" spans="1:62" outlineLevel="1" x14ac:dyDescent="0.25">
      <c r="A102" s="18"/>
      <c r="B102" s="18"/>
      <c r="C102" s="19" t="s">
        <v>312</v>
      </c>
      <c r="D102" s="18">
        <v>499660</v>
      </c>
      <c r="E102" s="19">
        <v>12</v>
      </c>
      <c r="G102" s="20" t="str">
        <f t="shared" si="11"/>
        <v>·</v>
      </c>
      <c r="H102" s="21" t="str">
        <f t="shared" si="12"/>
        <v>·</v>
      </c>
      <c r="I102" s="21" t="str">
        <f t="shared" si="13"/>
        <v>·</v>
      </c>
      <c r="J102" s="21" t="str">
        <f t="shared" si="14"/>
        <v>·</v>
      </c>
      <c r="K102" s="21" t="str">
        <f t="shared" si="15"/>
        <v>·</v>
      </c>
      <c r="L102" s="22"/>
      <c r="M102" s="23"/>
      <c r="N102" s="23"/>
      <c r="O102" s="23"/>
      <c r="P102" s="49"/>
      <c r="Q102" s="49"/>
      <c r="R102" s="49"/>
      <c r="S102" s="49"/>
      <c r="T102" s="49"/>
      <c r="U102" s="49"/>
      <c r="V102" s="49"/>
      <c r="W102" s="49"/>
      <c r="X102" s="24"/>
      <c r="Y102" s="24"/>
      <c r="AA102" s="20" t="str">
        <f t="shared" si="16"/>
        <v>·</v>
      </c>
      <c r="AB102" s="21" t="str">
        <f t="shared" si="17"/>
        <v>·</v>
      </c>
      <c r="AC102" s="21" t="str">
        <f t="shared" si="18"/>
        <v>·</v>
      </c>
      <c r="AD102" s="21" t="str">
        <f t="shared" si="19"/>
        <v>·</v>
      </c>
      <c r="AE102" s="21" t="str">
        <f t="shared" si="20"/>
        <v>·</v>
      </c>
      <c r="AF102" s="22"/>
      <c r="AG102" s="23"/>
      <c r="AH102" s="23"/>
      <c r="AI102" s="23"/>
      <c r="AJ102" s="49"/>
      <c r="AK102" s="49"/>
      <c r="AL102" s="49"/>
      <c r="AM102" s="49"/>
      <c r="AN102" s="49"/>
      <c r="AO102" s="49"/>
      <c r="AP102" s="49"/>
      <c r="AQ102" s="49"/>
      <c r="AR102" s="24"/>
      <c r="AS102" s="24"/>
      <c r="AU102" s="20" t="e">
        <f t="shared" si="21"/>
        <v>#DIV/0!</v>
      </c>
      <c r="AV102" s="20"/>
      <c r="AX102" s="50"/>
      <c r="AY102" s="50"/>
      <c r="AZ102" s="50"/>
      <c r="BA102" s="50"/>
      <c r="BB102" s="50"/>
      <c r="BD102" s="50"/>
      <c r="BE102" s="50"/>
      <c r="BF102" s="50"/>
      <c r="BH102" s="50"/>
      <c r="BI102" s="50"/>
      <c r="BJ102" s="50"/>
    </row>
    <row r="103" spans="1:62" outlineLevel="1" x14ac:dyDescent="0.25">
      <c r="A103" s="25"/>
      <c r="B103" s="25"/>
      <c r="C103" s="26" t="s">
        <v>313</v>
      </c>
      <c r="D103" s="25">
        <v>499660</v>
      </c>
      <c r="E103" s="26">
        <v>12</v>
      </c>
      <c r="G103" s="27" t="str">
        <f t="shared" si="11"/>
        <v>·</v>
      </c>
      <c r="H103" s="28" t="str">
        <f t="shared" si="12"/>
        <v>·</v>
      </c>
      <c r="I103" s="28" t="str">
        <f t="shared" si="13"/>
        <v>·</v>
      </c>
      <c r="J103" s="28" t="str">
        <f t="shared" si="14"/>
        <v>·</v>
      </c>
      <c r="K103" s="28" t="str">
        <f t="shared" si="15"/>
        <v>·</v>
      </c>
      <c r="L103" s="29"/>
      <c r="M103" s="30"/>
      <c r="N103" s="30"/>
      <c r="O103" s="30"/>
      <c r="P103" s="51"/>
      <c r="Q103" s="51"/>
      <c r="R103" s="51"/>
      <c r="S103" s="51"/>
      <c r="T103" s="51"/>
      <c r="U103" s="51"/>
      <c r="V103" s="51"/>
      <c r="W103" s="51"/>
      <c r="X103" s="31"/>
      <c r="Y103" s="31"/>
      <c r="AA103" s="27" t="str">
        <f t="shared" si="16"/>
        <v>·</v>
      </c>
      <c r="AB103" s="28" t="str">
        <f t="shared" si="17"/>
        <v>·</v>
      </c>
      <c r="AC103" s="28" t="str">
        <f t="shared" si="18"/>
        <v>·</v>
      </c>
      <c r="AD103" s="28" t="str">
        <f t="shared" si="19"/>
        <v>·</v>
      </c>
      <c r="AE103" s="28" t="str">
        <f t="shared" si="20"/>
        <v>·</v>
      </c>
      <c r="AF103" s="29"/>
      <c r="AG103" s="30"/>
      <c r="AH103" s="30"/>
      <c r="AI103" s="30"/>
      <c r="AJ103" s="51"/>
      <c r="AK103" s="51"/>
      <c r="AL103" s="51"/>
      <c r="AM103" s="51"/>
      <c r="AN103" s="51"/>
      <c r="AO103" s="51"/>
      <c r="AP103" s="51"/>
      <c r="AQ103" s="51"/>
      <c r="AR103" s="31"/>
      <c r="AS103" s="31"/>
      <c r="AU103" s="27" t="e">
        <f t="shared" si="21"/>
        <v>#DIV/0!</v>
      </c>
      <c r="AV103" s="27"/>
      <c r="AX103" s="52"/>
      <c r="AY103" s="52"/>
      <c r="AZ103" s="52"/>
      <c r="BA103" s="52"/>
      <c r="BB103" s="52"/>
      <c r="BD103" s="52"/>
      <c r="BE103" s="52"/>
      <c r="BF103" s="52"/>
      <c r="BH103" s="52"/>
      <c r="BI103" s="52"/>
      <c r="BJ103" s="52"/>
    </row>
    <row r="104" spans="1:62" outlineLevel="1" x14ac:dyDescent="0.25">
      <c r="A104" s="18"/>
      <c r="B104" s="18"/>
      <c r="C104" s="19" t="s">
        <v>428</v>
      </c>
      <c r="D104" s="18">
        <v>499660</v>
      </c>
      <c r="E104" s="19">
        <v>12</v>
      </c>
      <c r="G104" s="20" t="str">
        <f t="shared" si="11"/>
        <v>·</v>
      </c>
      <c r="H104" s="21" t="str">
        <f t="shared" si="12"/>
        <v>·</v>
      </c>
      <c r="I104" s="21" t="str">
        <f t="shared" si="13"/>
        <v>·</v>
      </c>
      <c r="J104" s="21" t="str">
        <f t="shared" si="14"/>
        <v>·</v>
      </c>
      <c r="K104" s="21" t="str">
        <f t="shared" si="15"/>
        <v>·</v>
      </c>
      <c r="L104" s="22"/>
      <c r="M104" s="23"/>
      <c r="N104" s="23"/>
      <c r="O104" s="23"/>
      <c r="P104" s="49"/>
      <c r="Q104" s="49"/>
      <c r="R104" s="49"/>
      <c r="S104" s="49"/>
      <c r="T104" s="49"/>
      <c r="U104" s="49"/>
      <c r="V104" s="49"/>
      <c r="W104" s="49"/>
      <c r="X104" s="24"/>
      <c r="Y104" s="24"/>
      <c r="AA104" s="20" t="str">
        <f t="shared" si="16"/>
        <v>·</v>
      </c>
      <c r="AB104" s="21" t="str">
        <f t="shared" si="17"/>
        <v>·</v>
      </c>
      <c r="AC104" s="21" t="str">
        <f t="shared" si="18"/>
        <v>·</v>
      </c>
      <c r="AD104" s="21" t="str">
        <f t="shared" si="19"/>
        <v>·</v>
      </c>
      <c r="AE104" s="21" t="str">
        <f t="shared" si="20"/>
        <v>·</v>
      </c>
      <c r="AF104" s="22"/>
      <c r="AG104" s="23"/>
      <c r="AH104" s="23"/>
      <c r="AI104" s="23"/>
      <c r="AJ104" s="49"/>
      <c r="AK104" s="49"/>
      <c r="AL104" s="49"/>
      <c r="AM104" s="49"/>
      <c r="AN104" s="49"/>
      <c r="AO104" s="49"/>
      <c r="AP104" s="49"/>
      <c r="AQ104" s="49"/>
      <c r="AR104" s="24"/>
      <c r="AS104" s="24"/>
      <c r="AU104" s="20" t="e">
        <f t="shared" si="21"/>
        <v>#DIV/0!</v>
      </c>
      <c r="AV104" s="20"/>
      <c r="AX104" s="50"/>
      <c r="AY104" s="50"/>
      <c r="AZ104" s="50"/>
      <c r="BA104" s="50"/>
      <c r="BB104" s="50"/>
      <c r="BD104" s="50"/>
      <c r="BE104" s="50"/>
      <c r="BF104" s="50"/>
      <c r="BH104" s="50"/>
      <c r="BI104" s="50"/>
      <c r="BJ104" s="50"/>
    </row>
    <row r="105" spans="1:62" outlineLevel="1" x14ac:dyDescent="0.25">
      <c r="A105" s="25"/>
      <c r="B105" s="32"/>
      <c r="C105" s="33" t="s">
        <v>429</v>
      </c>
      <c r="D105" s="32">
        <v>499660</v>
      </c>
      <c r="E105" s="33">
        <v>12</v>
      </c>
      <c r="G105" s="34" t="str">
        <f t="shared" si="11"/>
        <v>·</v>
      </c>
      <c r="H105" s="35" t="str">
        <f t="shared" si="12"/>
        <v>·</v>
      </c>
      <c r="I105" s="35" t="str">
        <f t="shared" si="13"/>
        <v>·</v>
      </c>
      <c r="J105" s="35" t="str">
        <f t="shared" si="14"/>
        <v>·</v>
      </c>
      <c r="K105" s="35" t="str">
        <f t="shared" si="15"/>
        <v>·</v>
      </c>
      <c r="L105" s="36"/>
      <c r="M105" s="37"/>
      <c r="N105" s="37"/>
      <c r="O105" s="37"/>
      <c r="P105" s="53"/>
      <c r="Q105" s="53"/>
      <c r="R105" s="53"/>
      <c r="S105" s="53"/>
      <c r="T105" s="53"/>
      <c r="U105" s="53"/>
      <c r="V105" s="53"/>
      <c r="W105" s="53"/>
      <c r="X105" s="38"/>
      <c r="Y105" s="38"/>
      <c r="AA105" s="34" t="str">
        <f t="shared" si="16"/>
        <v>·</v>
      </c>
      <c r="AB105" s="35" t="str">
        <f t="shared" si="17"/>
        <v>·</v>
      </c>
      <c r="AC105" s="35" t="str">
        <f t="shared" si="18"/>
        <v>·</v>
      </c>
      <c r="AD105" s="35" t="str">
        <f t="shared" si="19"/>
        <v>·</v>
      </c>
      <c r="AE105" s="35" t="str">
        <f t="shared" si="20"/>
        <v>·</v>
      </c>
      <c r="AF105" s="36"/>
      <c r="AG105" s="37"/>
      <c r="AH105" s="37"/>
      <c r="AI105" s="37"/>
      <c r="AJ105" s="53"/>
      <c r="AK105" s="53"/>
      <c r="AL105" s="53"/>
      <c r="AM105" s="53"/>
      <c r="AN105" s="53"/>
      <c r="AO105" s="53"/>
      <c r="AP105" s="53"/>
      <c r="AQ105" s="53"/>
      <c r="AR105" s="38"/>
      <c r="AS105" s="38"/>
      <c r="AU105" s="34" t="e">
        <f t="shared" si="21"/>
        <v>#DIV/0!</v>
      </c>
      <c r="AV105" s="34"/>
      <c r="AX105" s="54"/>
      <c r="AY105" s="54"/>
      <c r="AZ105" s="54"/>
      <c r="BA105" s="54"/>
      <c r="BB105" s="54"/>
      <c r="BD105" s="54"/>
      <c r="BE105" s="54"/>
      <c r="BF105" s="54"/>
      <c r="BH105" s="54"/>
      <c r="BI105" s="54"/>
      <c r="BJ105" s="54"/>
    </row>
    <row r="106" spans="1:62" collapsed="1" x14ac:dyDescent="0.25">
      <c r="A106" s="18"/>
      <c r="B106" s="18" t="s">
        <v>192</v>
      </c>
      <c r="C106" s="19" t="s">
        <v>310</v>
      </c>
      <c r="D106" s="18">
        <v>499886</v>
      </c>
      <c r="E106" s="19">
        <v>20</v>
      </c>
      <c r="G106" s="20" t="str">
        <f t="shared" si="11"/>
        <v>·</v>
      </c>
      <c r="H106" s="21" t="str">
        <f t="shared" si="12"/>
        <v>·</v>
      </c>
      <c r="I106" s="21" t="str">
        <f t="shared" si="13"/>
        <v>·</v>
      </c>
      <c r="J106" s="21" t="str">
        <f t="shared" si="14"/>
        <v>·</v>
      </c>
      <c r="K106" s="21" t="str">
        <f t="shared" si="15"/>
        <v>·</v>
      </c>
      <c r="L106" s="22"/>
      <c r="M106" s="23"/>
      <c r="N106" s="23"/>
      <c r="O106" s="23"/>
      <c r="P106" s="49"/>
      <c r="Q106" s="49"/>
      <c r="R106" s="49"/>
      <c r="S106" s="49"/>
      <c r="T106" s="49"/>
      <c r="U106" s="49"/>
      <c r="V106" s="49"/>
      <c r="W106" s="49"/>
      <c r="X106" s="24"/>
      <c r="Y106" s="24"/>
      <c r="AA106" s="20" t="str">
        <f t="shared" si="16"/>
        <v>·</v>
      </c>
      <c r="AB106" s="21" t="str">
        <f t="shared" si="17"/>
        <v>·</v>
      </c>
      <c r="AC106" s="21" t="str">
        <f t="shared" si="18"/>
        <v>·</v>
      </c>
      <c r="AD106" s="21" t="str">
        <f t="shared" si="19"/>
        <v>·</v>
      </c>
      <c r="AE106" s="21" t="str">
        <f t="shared" si="20"/>
        <v>·</v>
      </c>
      <c r="AF106" s="22"/>
      <c r="AG106" s="23"/>
      <c r="AH106" s="23"/>
      <c r="AI106" s="23"/>
      <c r="AJ106" s="49"/>
      <c r="AK106" s="49"/>
      <c r="AL106" s="49"/>
      <c r="AM106" s="49"/>
      <c r="AN106" s="49"/>
      <c r="AO106" s="49"/>
      <c r="AP106" s="49"/>
      <c r="AQ106" s="49"/>
      <c r="AR106" s="24"/>
      <c r="AS106" s="24"/>
      <c r="AU106" s="20" t="e">
        <f t="shared" si="21"/>
        <v>#DIV/0!</v>
      </c>
      <c r="AV106" s="20" t="e">
        <f t="array" ref="AV106">AVERAGE(AH106:AH111/AG106:AG111) - AVERAGE(N106:N111/M106:M111)</f>
        <v>#DIV/0!</v>
      </c>
      <c r="AX106" s="50" t="e">
        <f>bdRateExtend( M106:M111,P106:P111, AG106:AG111,AJ106:AJ111)</f>
        <v>#VALUE!</v>
      </c>
      <c r="AY106" s="50" t="e">
        <f>bdRateExtend( M106:M111,Q106:Q111, AG106:AG111,AK106:AK111)</f>
        <v>#VALUE!</v>
      </c>
      <c r="AZ106" s="50" t="e">
        <f>bdRateExtend( M106:M111,R106:R111, AG106:AG111,AL106:AL111)</f>
        <v>#VALUE!</v>
      </c>
      <c r="BA106" s="50" t="e">
        <f>bdRateExtend( M106:M111,S106:S111, AG106:AG111,AM106:AM111)</f>
        <v>#VALUE!</v>
      </c>
      <c r="BB106" s="50" t="e">
        <f>bdRateExtend( M106:M111,T106:T111, AG106:AG111,AN106:AN111)</f>
        <v>#VALUE!</v>
      </c>
      <c r="BD106" s="50" t="e">
        <f>bdRateExtend( O106:O111,R106:R111, AI106:AI111,AL106:AL111)</f>
        <v>#VALUE!</v>
      </c>
      <c r="BE106" s="50" t="e">
        <f>bdRateExtend( O106:O111,S106:S111, AI106:AI111,AM106:AM111)</f>
        <v>#VALUE!</v>
      </c>
      <c r="BF106" s="50" t="e">
        <f>bdRateExtend( O106:O111,T106:T111, AI106:AI111,AN106:AN111)</f>
        <v>#VALUE!</v>
      </c>
      <c r="BH106" s="50" t="e">
        <f>bdRateExtend( O106:O111,U106:U111, AI106:AI111,AO106:AO111)</f>
        <v>#VALUE!</v>
      </c>
      <c r="BI106" s="50" t="e">
        <f>bdRateExtend( O106:O111,V106:V111, AI106:AI111,AP106:AP111)</f>
        <v>#VALUE!</v>
      </c>
      <c r="BJ106" s="50" t="e">
        <f>bdRateExtend( O106:O111,W106:W111, AI106:AI111,AQ106:AQ111)</f>
        <v>#VALUE!</v>
      </c>
    </row>
    <row r="107" spans="1:62" outlineLevel="1" x14ac:dyDescent="0.25">
      <c r="A107" s="25"/>
      <c r="B107" s="25"/>
      <c r="C107" s="26" t="s">
        <v>311</v>
      </c>
      <c r="D107" s="25">
        <v>499886</v>
      </c>
      <c r="E107" s="26">
        <v>20</v>
      </c>
      <c r="G107" s="27" t="str">
        <f t="shared" si="11"/>
        <v>·</v>
      </c>
      <c r="H107" s="28" t="str">
        <f t="shared" si="12"/>
        <v>·</v>
      </c>
      <c r="I107" s="28" t="str">
        <f t="shared" si="13"/>
        <v>·</v>
      </c>
      <c r="J107" s="28" t="str">
        <f t="shared" si="14"/>
        <v>·</v>
      </c>
      <c r="K107" s="28" t="str">
        <f t="shared" si="15"/>
        <v>·</v>
      </c>
      <c r="L107" s="29"/>
      <c r="M107" s="30"/>
      <c r="N107" s="30"/>
      <c r="O107" s="30"/>
      <c r="P107" s="51"/>
      <c r="Q107" s="51"/>
      <c r="R107" s="51"/>
      <c r="S107" s="51"/>
      <c r="T107" s="51"/>
      <c r="U107" s="51"/>
      <c r="V107" s="51"/>
      <c r="W107" s="51"/>
      <c r="X107" s="31"/>
      <c r="Y107" s="31"/>
      <c r="AA107" s="27" t="str">
        <f t="shared" si="16"/>
        <v>·</v>
      </c>
      <c r="AB107" s="28" t="str">
        <f t="shared" si="17"/>
        <v>·</v>
      </c>
      <c r="AC107" s="28" t="str">
        <f t="shared" si="18"/>
        <v>·</v>
      </c>
      <c r="AD107" s="28" t="str">
        <f t="shared" si="19"/>
        <v>·</v>
      </c>
      <c r="AE107" s="28" t="str">
        <f t="shared" si="20"/>
        <v>·</v>
      </c>
      <c r="AF107" s="29"/>
      <c r="AG107" s="30"/>
      <c r="AH107" s="30"/>
      <c r="AI107" s="30"/>
      <c r="AJ107" s="51"/>
      <c r="AK107" s="51"/>
      <c r="AL107" s="51"/>
      <c r="AM107" s="51"/>
      <c r="AN107" s="51"/>
      <c r="AO107" s="51"/>
      <c r="AP107" s="51"/>
      <c r="AQ107" s="51"/>
      <c r="AR107" s="31"/>
      <c r="AS107" s="31"/>
      <c r="AU107" s="27" t="e">
        <f t="shared" si="21"/>
        <v>#DIV/0!</v>
      </c>
      <c r="AV107" s="27"/>
      <c r="AX107" s="52"/>
      <c r="AY107" s="52"/>
      <c r="AZ107" s="52"/>
      <c r="BA107" s="52"/>
      <c r="BB107" s="52"/>
      <c r="BD107" s="52"/>
      <c r="BE107" s="52"/>
      <c r="BF107" s="52"/>
      <c r="BH107" s="52"/>
      <c r="BI107" s="52"/>
      <c r="BJ107" s="52"/>
    </row>
    <row r="108" spans="1:62" outlineLevel="1" x14ac:dyDescent="0.25">
      <c r="A108" s="18"/>
      <c r="B108" s="18"/>
      <c r="C108" s="19" t="s">
        <v>312</v>
      </c>
      <c r="D108" s="18">
        <v>499886</v>
      </c>
      <c r="E108" s="19">
        <v>20</v>
      </c>
      <c r="G108" s="20" t="str">
        <f t="shared" si="11"/>
        <v>·</v>
      </c>
      <c r="H108" s="21" t="str">
        <f t="shared" si="12"/>
        <v>·</v>
      </c>
      <c r="I108" s="21" t="str">
        <f t="shared" si="13"/>
        <v>·</v>
      </c>
      <c r="J108" s="21" t="str">
        <f t="shared" si="14"/>
        <v>·</v>
      </c>
      <c r="K108" s="21" t="str">
        <f t="shared" si="15"/>
        <v>·</v>
      </c>
      <c r="L108" s="22"/>
      <c r="M108" s="23"/>
      <c r="N108" s="23"/>
      <c r="O108" s="23"/>
      <c r="P108" s="49"/>
      <c r="Q108" s="49"/>
      <c r="R108" s="49"/>
      <c r="S108" s="49"/>
      <c r="T108" s="49"/>
      <c r="U108" s="49"/>
      <c r="V108" s="49"/>
      <c r="W108" s="49"/>
      <c r="X108" s="24"/>
      <c r="Y108" s="24"/>
      <c r="AA108" s="20" t="str">
        <f t="shared" si="16"/>
        <v>·</v>
      </c>
      <c r="AB108" s="21" t="str">
        <f t="shared" si="17"/>
        <v>·</v>
      </c>
      <c r="AC108" s="21" t="str">
        <f t="shared" si="18"/>
        <v>·</v>
      </c>
      <c r="AD108" s="21" t="str">
        <f t="shared" si="19"/>
        <v>·</v>
      </c>
      <c r="AE108" s="21" t="str">
        <f t="shared" si="20"/>
        <v>·</v>
      </c>
      <c r="AF108" s="22"/>
      <c r="AG108" s="23"/>
      <c r="AH108" s="23"/>
      <c r="AI108" s="23"/>
      <c r="AJ108" s="49"/>
      <c r="AK108" s="49"/>
      <c r="AL108" s="49"/>
      <c r="AM108" s="49"/>
      <c r="AN108" s="49"/>
      <c r="AO108" s="49"/>
      <c r="AP108" s="49"/>
      <c r="AQ108" s="49"/>
      <c r="AR108" s="24"/>
      <c r="AS108" s="24"/>
      <c r="AU108" s="20" t="e">
        <f t="shared" si="21"/>
        <v>#DIV/0!</v>
      </c>
      <c r="AV108" s="20"/>
      <c r="AX108" s="50"/>
      <c r="AY108" s="50"/>
      <c r="AZ108" s="50"/>
      <c r="BA108" s="50"/>
      <c r="BB108" s="50"/>
      <c r="BD108" s="50"/>
      <c r="BE108" s="50"/>
      <c r="BF108" s="50"/>
      <c r="BH108" s="50"/>
      <c r="BI108" s="50"/>
      <c r="BJ108" s="50"/>
    </row>
    <row r="109" spans="1:62" outlineLevel="1" x14ac:dyDescent="0.25">
      <c r="A109" s="25"/>
      <c r="B109" s="25"/>
      <c r="C109" s="26" t="s">
        <v>313</v>
      </c>
      <c r="D109" s="25">
        <v>499886</v>
      </c>
      <c r="E109" s="26">
        <v>20</v>
      </c>
      <c r="G109" s="27" t="str">
        <f t="shared" si="11"/>
        <v>·</v>
      </c>
      <c r="H109" s="28" t="str">
        <f t="shared" si="12"/>
        <v>·</v>
      </c>
      <c r="I109" s="28" t="str">
        <f t="shared" si="13"/>
        <v>·</v>
      </c>
      <c r="J109" s="28" t="str">
        <f t="shared" si="14"/>
        <v>·</v>
      </c>
      <c r="K109" s="28" t="str">
        <f t="shared" si="15"/>
        <v>·</v>
      </c>
      <c r="L109" s="29"/>
      <c r="M109" s="30"/>
      <c r="N109" s="30"/>
      <c r="O109" s="30"/>
      <c r="P109" s="51"/>
      <c r="Q109" s="51"/>
      <c r="R109" s="51"/>
      <c r="S109" s="51"/>
      <c r="T109" s="51"/>
      <c r="U109" s="51"/>
      <c r="V109" s="51"/>
      <c r="W109" s="51"/>
      <c r="X109" s="31"/>
      <c r="Y109" s="31"/>
      <c r="AA109" s="27" t="str">
        <f t="shared" si="16"/>
        <v>·</v>
      </c>
      <c r="AB109" s="28" t="str">
        <f t="shared" si="17"/>
        <v>·</v>
      </c>
      <c r="AC109" s="28" t="str">
        <f t="shared" si="18"/>
        <v>·</v>
      </c>
      <c r="AD109" s="28" t="str">
        <f t="shared" si="19"/>
        <v>·</v>
      </c>
      <c r="AE109" s="28" t="str">
        <f t="shared" si="20"/>
        <v>·</v>
      </c>
      <c r="AF109" s="29"/>
      <c r="AG109" s="30"/>
      <c r="AH109" s="30"/>
      <c r="AI109" s="30"/>
      <c r="AJ109" s="51"/>
      <c r="AK109" s="51"/>
      <c r="AL109" s="51"/>
      <c r="AM109" s="51"/>
      <c r="AN109" s="51"/>
      <c r="AO109" s="51"/>
      <c r="AP109" s="51"/>
      <c r="AQ109" s="51"/>
      <c r="AR109" s="31"/>
      <c r="AS109" s="31"/>
      <c r="AU109" s="27" t="e">
        <f t="shared" si="21"/>
        <v>#DIV/0!</v>
      </c>
      <c r="AV109" s="27"/>
      <c r="AX109" s="52"/>
      <c r="AY109" s="52"/>
      <c r="AZ109" s="52"/>
      <c r="BA109" s="52"/>
      <c r="BB109" s="52"/>
      <c r="BD109" s="52"/>
      <c r="BE109" s="52"/>
      <c r="BF109" s="52"/>
      <c r="BH109" s="52"/>
      <c r="BI109" s="52"/>
      <c r="BJ109" s="52"/>
    </row>
    <row r="110" spans="1:62" outlineLevel="1" x14ac:dyDescent="0.25">
      <c r="A110" s="18"/>
      <c r="B110" s="18"/>
      <c r="C110" s="19" t="s">
        <v>428</v>
      </c>
      <c r="D110" s="18">
        <v>499886</v>
      </c>
      <c r="E110" s="19">
        <v>20</v>
      </c>
      <c r="G110" s="20" t="str">
        <f t="shared" si="11"/>
        <v>·</v>
      </c>
      <c r="H110" s="21" t="str">
        <f t="shared" si="12"/>
        <v>·</v>
      </c>
      <c r="I110" s="21" t="str">
        <f t="shared" si="13"/>
        <v>·</v>
      </c>
      <c r="J110" s="21" t="str">
        <f t="shared" si="14"/>
        <v>·</v>
      </c>
      <c r="K110" s="21" t="str">
        <f t="shared" si="15"/>
        <v>·</v>
      </c>
      <c r="L110" s="22"/>
      <c r="M110" s="23"/>
      <c r="N110" s="23"/>
      <c r="O110" s="23"/>
      <c r="P110" s="49"/>
      <c r="Q110" s="49"/>
      <c r="R110" s="49"/>
      <c r="S110" s="49"/>
      <c r="T110" s="49"/>
      <c r="U110" s="49"/>
      <c r="V110" s="49"/>
      <c r="W110" s="49"/>
      <c r="X110" s="24"/>
      <c r="Y110" s="24"/>
      <c r="AA110" s="20" t="str">
        <f t="shared" si="16"/>
        <v>·</v>
      </c>
      <c r="AB110" s="21" t="str">
        <f t="shared" si="17"/>
        <v>·</v>
      </c>
      <c r="AC110" s="21" t="str">
        <f t="shared" si="18"/>
        <v>·</v>
      </c>
      <c r="AD110" s="21" t="str">
        <f t="shared" si="19"/>
        <v>·</v>
      </c>
      <c r="AE110" s="21" t="str">
        <f t="shared" si="20"/>
        <v>·</v>
      </c>
      <c r="AF110" s="22"/>
      <c r="AG110" s="23"/>
      <c r="AH110" s="23"/>
      <c r="AI110" s="23"/>
      <c r="AJ110" s="49"/>
      <c r="AK110" s="49"/>
      <c r="AL110" s="49"/>
      <c r="AM110" s="49"/>
      <c r="AN110" s="49"/>
      <c r="AO110" s="49"/>
      <c r="AP110" s="49"/>
      <c r="AQ110" s="49"/>
      <c r="AR110" s="24"/>
      <c r="AS110" s="24"/>
      <c r="AU110" s="20" t="e">
        <f t="shared" si="21"/>
        <v>#DIV/0!</v>
      </c>
      <c r="AV110" s="20"/>
      <c r="AX110" s="50"/>
      <c r="AY110" s="50"/>
      <c r="AZ110" s="50"/>
      <c r="BA110" s="50"/>
      <c r="BB110" s="50"/>
      <c r="BD110" s="50"/>
      <c r="BE110" s="50"/>
      <c r="BF110" s="50"/>
      <c r="BH110" s="50"/>
      <c r="BI110" s="50"/>
      <c r="BJ110" s="50"/>
    </row>
    <row r="111" spans="1:62" outlineLevel="1" x14ac:dyDescent="0.25">
      <c r="A111" s="25"/>
      <c r="B111" s="32"/>
      <c r="C111" s="33" t="s">
        <v>429</v>
      </c>
      <c r="D111" s="32">
        <v>499886</v>
      </c>
      <c r="E111" s="33">
        <v>20</v>
      </c>
      <c r="G111" s="34" t="str">
        <f t="shared" si="11"/>
        <v>·</v>
      </c>
      <c r="H111" s="35" t="str">
        <f t="shared" si="12"/>
        <v>·</v>
      </c>
      <c r="I111" s="35" t="str">
        <f t="shared" si="13"/>
        <v>·</v>
      </c>
      <c r="J111" s="35" t="str">
        <f t="shared" si="14"/>
        <v>·</v>
      </c>
      <c r="K111" s="35" t="str">
        <f t="shared" si="15"/>
        <v>·</v>
      </c>
      <c r="L111" s="36"/>
      <c r="M111" s="37"/>
      <c r="N111" s="37"/>
      <c r="O111" s="37"/>
      <c r="P111" s="53"/>
      <c r="Q111" s="53"/>
      <c r="R111" s="53"/>
      <c r="S111" s="53"/>
      <c r="T111" s="53"/>
      <c r="U111" s="53"/>
      <c r="V111" s="53"/>
      <c r="W111" s="53"/>
      <c r="X111" s="38"/>
      <c r="Y111" s="38"/>
      <c r="AA111" s="34" t="str">
        <f t="shared" si="16"/>
        <v>·</v>
      </c>
      <c r="AB111" s="35" t="str">
        <f t="shared" si="17"/>
        <v>·</v>
      </c>
      <c r="AC111" s="35" t="str">
        <f t="shared" si="18"/>
        <v>·</v>
      </c>
      <c r="AD111" s="35" t="str">
        <f t="shared" si="19"/>
        <v>·</v>
      </c>
      <c r="AE111" s="35" t="str">
        <f t="shared" si="20"/>
        <v>·</v>
      </c>
      <c r="AF111" s="36"/>
      <c r="AG111" s="37"/>
      <c r="AH111" s="37"/>
      <c r="AI111" s="37"/>
      <c r="AJ111" s="53"/>
      <c r="AK111" s="53"/>
      <c r="AL111" s="53"/>
      <c r="AM111" s="53"/>
      <c r="AN111" s="53"/>
      <c r="AO111" s="53"/>
      <c r="AP111" s="53"/>
      <c r="AQ111" s="53"/>
      <c r="AR111" s="38"/>
      <c r="AS111" s="38"/>
      <c r="AU111" s="34" t="e">
        <f t="shared" si="21"/>
        <v>#DIV/0!</v>
      </c>
      <c r="AV111" s="34"/>
      <c r="AX111" s="54"/>
      <c r="AY111" s="54"/>
      <c r="AZ111" s="54"/>
      <c r="BA111" s="54"/>
      <c r="BB111" s="54"/>
      <c r="BD111" s="54"/>
      <c r="BE111" s="54"/>
      <c r="BF111" s="54"/>
      <c r="BH111" s="54"/>
      <c r="BI111" s="54"/>
      <c r="BJ111" s="54"/>
    </row>
    <row r="112" spans="1:62" collapsed="1" x14ac:dyDescent="0.25">
      <c r="A112" s="18"/>
      <c r="B112" s="18" t="s">
        <v>195</v>
      </c>
      <c r="C112" s="19" t="s">
        <v>310</v>
      </c>
      <c r="D112" s="18">
        <v>1995189</v>
      </c>
      <c r="E112" s="19">
        <v>13</v>
      </c>
      <c r="G112" s="20" t="str">
        <f t="shared" si="11"/>
        <v>·</v>
      </c>
      <c r="H112" s="21" t="str">
        <f t="shared" si="12"/>
        <v>·</v>
      </c>
      <c r="I112" s="21" t="str">
        <f t="shared" si="13"/>
        <v>·</v>
      </c>
      <c r="J112" s="21" t="str">
        <f t="shared" si="14"/>
        <v>·</v>
      </c>
      <c r="K112" s="21" t="str">
        <f t="shared" si="15"/>
        <v>·</v>
      </c>
      <c r="L112" s="22"/>
      <c r="M112" s="23"/>
      <c r="N112" s="23"/>
      <c r="O112" s="23"/>
      <c r="P112" s="49"/>
      <c r="Q112" s="49"/>
      <c r="R112" s="49"/>
      <c r="S112" s="49"/>
      <c r="T112" s="49"/>
      <c r="U112" s="49"/>
      <c r="V112" s="49"/>
      <c r="W112" s="49"/>
      <c r="X112" s="24"/>
      <c r="Y112" s="24"/>
      <c r="AA112" s="20" t="str">
        <f t="shared" si="16"/>
        <v>·</v>
      </c>
      <c r="AB112" s="21" t="str">
        <f t="shared" si="17"/>
        <v>·</v>
      </c>
      <c r="AC112" s="21" t="str">
        <f t="shared" si="18"/>
        <v>·</v>
      </c>
      <c r="AD112" s="21" t="str">
        <f t="shared" si="19"/>
        <v>·</v>
      </c>
      <c r="AE112" s="21" t="str">
        <f t="shared" si="20"/>
        <v>·</v>
      </c>
      <c r="AF112" s="22"/>
      <c r="AG112" s="23"/>
      <c r="AH112" s="23"/>
      <c r="AI112" s="23"/>
      <c r="AJ112" s="49"/>
      <c r="AK112" s="49"/>
      <c r="AL112" s="49"/>
      <c r="AM112" s="49"/>
      <c r="AN112" s="49"/>
      <c r="AO112" s="49"/>
      <c r="AP112" s="49"/>
      <c r="AQ112" s="49"/>
      <c r="AR112" s="24"/>
      <c r="AS112" s="24"/>
      <c r="AU112" s="20" t="e">
        <f t="shared" si="21"/>
        <v>#DIV/0!</v>
      </c>
      <c r="AV112" s="20" t="e">
        <f t="array" ref="AV112">AVERAGE(AH112:AH117/AG112:AG117) - AVERAGE(N112:N117/M112:M117)</f>
        <v>#DIV/0!</v>
      </c>
      <c r="AX112" s="50" t="e">
        <f>bdRateExtend( M112:M117,P112:P117, AG112:AG117,AJ112:AJ117)</f>
        <v>#VALUE!</v>
      </c>
      <c r="AY112" s="50" t="e">
        <f>bdRateExtend( M112:M117,Q112:Q117, AG112:AG117,AK112:AK117)</f>
        <v>#VALUE!</v>
      </c>
      <c r="AZ112" s="50" t="e">
        <f>bdRateExtend( M112:M117,R112:R117, AG112:AG117,AL112:AL117)</f>
        <v>#VALUE!</v>
      </c>
      <c r="BA112" s="50" t="e">
        <f>bdRateExtend( M112:M117,S112:S117, AG112:AG117,AM112:AM117)</f>
        <v>#VALUE!</v>
      </c>
      <c r="BB112" s="50" t="e">
        <f>bdRateExtend( M112:M117,T112:T117, AG112:AG117,AN112:AN117)</f>
        <v>#VALUE!</v>
      </c>
      <c r="BD112" s="50" t="e">
        <f>bdRateExtend( O112:O117,R112:R117, AI112:AI117,AL112:AL117)</f>
        <v>#VALUE!</v>
      </c>
      <c r="BE112" s="50" t="e">
        <f>bdRateExtend( O112:O117,S112:S117, AI112:AI117,AM112:AM117)</f>
        <v>#VALUE!</v>
      </c>
      <c r="BF112" s="50" t="e">
        <f>bdRateExtend( O112:O117,T112:T117, AI112:AI117,AN112:AN117)</f>
        <v>#VALUE!</v>
      </c>
      <c r="BH112" s="50" t="e">
        <f>bdRateExtend( O112:O117,U112:U117, AI112:AI117,AO112:AO117)</f>
        <v>#VALUE!</v>
      </c>
      <c r="BI112" s="50" t="e">
        <f>bdRateExtend( O112:O117,V112:V117, AI112:AI117,AP112:AP117)</f>
        <v>#VALUE!</v>
      </c>
      <c r="BJ112" s="50" t="e">
        <f>bdRateExtend( O112:O117,W112:W117, AI112:AI117,AQ112:AQ117)</f>
        <v>#VALUE!</v>
      </c>
    </row>
    <row r="113" spans="1:62" outlineLevel="1" x14ac:dyDescent="0.25">
      <c r="A113" s="25"/>
      <c r="B113" s="25"/>
      <c r="C113" s="26" t="s">
        <v>311</v>
      </c>
      <c r="D113" s="25">
        <v>1995189</v>
      </c>
      <c r="E113" s="26">
        <v>13</v>
      </c>
      <c r="G113" s="27" t="str">
        <f t="shared" si="11"/>
        <v>·</v>
      </c>
      <c r="H113" s="28" t="str">
        <f t="shared" si="12"/>
        <v>·</v>
      </c>
      <c r="I113" s="28" t="str">
        <f t="shared" si="13"/>
        <v>·</v>
      </c>
      <c r="J113" s="28" t="str">
        <f t="shared" si="14"/>
        <v>·</v>
      </c>
      <c r="K113" s="28" t="str">
        <f t="shared" si="15"/>
        <v>·</v>
      </c>
      <c r="L113" s="29"/>
      <c r="M113" s="30"/>
      <c r="N113" s="30"/>
      <c r="O113" s="30"/>
      <c r="P113" s="51"/>
      <c r="Q113" s="51"/>
      <c r="R113" s="51"/>
      <c r="S113" s="51"/>
      <c r="T113" s="51"/>
      <c r="U113" s="51"/>
      <c r="V113" s="51"/>
      <c r="W113" s="51"/>
      <c r="X113" s="31"/>
      <c r="Y113" s="31"/>
      <c r="AA113" s="27" t="str">
        <f t="shared" si="16"/>
        <v>·</v>
      </c>
      <c r="AB113" s="28" t="str">
        <f t="shared" si="17"/>
        <v>·</v>
      </c>
      <c r="AC113" s="28" t="str">
        <f t="shared" si="18"/>
        <v>·</v>
      </c>
      <c r="AD113" s="28" t="str">
        <f t="shared" si="19"/>
        <v>·</v>
      </c>
      <c r="AE113" s="28" t="str">
        <f t="shared" si="20"/>
        <v>·</v>
      </c>
      <c r="AF113" s="29"/>
      <c r="AG113" s="30"/>
      <c r="AH113" s="30"/>
      <c r="AI113" s="30"/>
      <c r="AJ113" s="51"/>
      <c r="AK113" s="51"/>
      <c r="AL113" s="51"/>
      <c r="AM113" s="51"/>
      <c r="AN113" s="51"/>
      <c r="AO113" s="51"/>
      <c r="AP113" s="51"/>
      <c r="AQ113" s="51"/>
      <c r="AR113" s="31"/>
      <c r="AS113" s="31"/>
      <c r="AU113" s="27" t="e">
        <f t="shared" si="21"/>
        <v>#DIV/0!</v>
      </c>
      <c r="AV113" s="27"/>
      <c r="AX113" s="52"/>
      <c r="AY113" s="52"/>
      <c r="AZ113" s="52"/>
      <c r="BA113" s="52"/>
      <c r="BB113" s="52"/>
      <c r="BD113" s="52"/>
      <c r="BE113" s="52"/>
      <c r="BF113" s="52"/>
      <c r="BH113" s="52"/>
      <c r="BI113" s="52"/>
      <c r="BJ113" s="52"/>
    </row>
    <row r="114" spans="1:62" outlineLevel="1" x14ac:dyDescent="0.25">
      <c r="A114" s="18"/>
      <c r="B114" s="18"/>
      <c r="C114" s="19" t="s">
        <v>312</v>
      </c>
      <c r="D114" s="18">
        <v>1995189</v>
      </c>
      <c r="E114" s="19">
        <v>13</v>
      </c>
      <c r="G114" s="20" t="str">
        <f t="shared" si="11"/>
        <v>·</v>
      </c>
      <c r="H114" s="21" t="str">
        <f t="shared" si="12"/>
        <v>·</v>
      </c>
      <c r="I114" s="21" t="str">
        <f t="shared" si="13"/>
        <v>·</v>
      </c>
      <c r="J114" s="21" t="str">
        <f t="shared" si="14"/>
        <v>·</v>
      </c>
      <c r="K114" s="21" t="str">
        <f t="shared" si="15"/>
        <v>·</v>
      </c>
      <c r="L114" s="22"/>
      <c r="M114" s="23"/>
      <c r="N114" s="23"/>
      <c r="O114" s="23"/>
      <c r="P114" s="49"/>
      <c r="Q114" s="49"/>
      <c r="R114" s="49"/>
      <c r="S114" s="49"/>
      <c r="T114" s="49"/>
      <c r="U114" s="49"/>
      <c r="V114" s="49"/>
      <c r="W114" s="49"/>
      <c r="X114" s="24"/>
      <c r="Y114" s="24"/>
      <c r="AA114" s="20" t="str">
        <f t="shared" si="16"/>
        <v>·</v>
      </c>
      <c r="AB114" s="21" t="str">
        <f t="shared" si="17"/>
        <v>·</v>
      </c>
      <c r="AC114" s="21" t="str">
        <f t="shared" si="18"/>
        <v>·</v>
      </c>
      <c r="AD114" s="21" t="str">
        <f t="shared" si="19"/>
        <v>·</v>
      </c>
      <c r="AE114" s="21" t="str">
        <f t="shared" si="20"/>
        <v>·</v>
      </c>
      <c r="AF114" s="22"/>
      <c r="AG114" s="23"/>
      <c r="AH114" s="23"/>
      <c r="AI114" s="23"/>
      <c r="AJ114" s="49"/>
      <c r="AK114" s="49"/>
      <c r="AL114" s="49"/>
      <c r="AM114" s="49"/>
      <c r="AN114" s="49"/>
      <c r="AO114" s="49"/>
      <c r="AP114" s="49"/>
      <c r="AQ114" s="49"/>
      <c r="AR114" s="24"/>
      <c r="AS114" s="24"/>
      <c r="AU114" s="20" t="e">
        <f t="shared" si="21"/>
        <v>#DIV/0!</v>
      </c>
      <c r="AV114" s="20"/>
      <c r="AX114" s="50"/>
      <c r="AY114" s="50"/>
      <c r="AZ114" s="50"/>
      <c r="BA114" s="50"/>
      <c r="BB114" s="50"/>
      <c r="BD114" s="50"/>
      <c r="BE114" s="50"/>
      <c r="BF114" s="50"/>
      <c r="BH114" s="50"/>
      <c r="BI114" s="50"/>
      <c r="BJ114" s="50"/>
    </row>
    <row r="115" spans="1:62" outlineLevel="1" x14ac:dyDescent="0.25">
      <c r="A115" s="25"/>
      <c r="B115" s="25"/>
      <c r="C115" s="26" t="s">
        <v>313</v>
      </c>
      <c r="D115" s="25">
        <v>1995189</v>
      </c>
      <c r="E115" s="26">
        <v>13</v>
      </c>
      <c r="G115" s="27" t="str">
        <f t="shared" si="11"/>
        <v>·</v>
      </c>
      <c r="H115" s="28" t="str">
        <f t="shared" si="12"/>
        <v>·</v>
      </c>
      <c r="I115" s="28" t="str">
        <f t="shared" si="13"/>
        <v>·</v>
      </c>
      <c r="J115" s="28" t="str">
        <f t="shared" si="14"/>
        <v>·</v>
      </c>
      <c r="K115" s="28" t="str">
        <f t="shared" si="15"/>
        <v>·</v>
      </c>
      <c r="L115" s="29"/>
      <c r="M115" s="30"/>
      <c r="N115" s="30"/>
      <c r="O115" s="30"/>
      <c r="P115" s="51"/>
      <c r="Q115" s="51"/>
      <c r="R115" s="51"/>
      <c r="S115" s="51"/>
      <c r="T115" s="51"/>
      <c r="U115" s="51"/>
      <c r="V115" s="51"/>
      <c r="W115" s="51"/>
      <c r="X115" s="31"/>
      <c r="Y115" s="31"/>
      <c r="AA115" s="27" t="str">
        <f t="shared" si="16"/>
        <v>·</v>
      </c>
      <c r="AB115" s="28" t="str">
        <f t="shared" si="17"/>
        <v>·</v>
      </c>
      <c r="AC115" s="28" t="str">
        <f t="shared" si="18"/>
        <v>·</v>
      </c>
      <c r="AD115" s="28" t="str">
        <f t="shared" si="19"/>
        <v>·</v>
      </c>
      <c r="AE115" s="28" t="str">
        <f t="shared" si="20"/>
        <v>·</v>
      </c>
      <c r="AF115" s="29"/>
      <c r="AG115" s="30"/>
      <c r="AH115" s="30"/>
      <c r="AI115" s="30"/>
      <c r="AJ115" s="51"/>
      <c r="AK115" s="51"/>
      <c r="AL115" s="51"/>
      <c r="AM115" s="51"/>
      <c r="AN115" s="51"/>
      <c r="AO115" s="51"/>
      <c r="AP115" s="51"/>
      <c r="AQ115" s="51"/>
      <c r="AR115" s="31"/>
      <c r="AS115" s="31"/>
      <c r="AU115" s="27" t="e">
        <f t="shared" si="21"/>
        <v>#DIV/0!</v>
      </c>
      <c r="AV115" s="27"/>
      <c r="AX115" s="52"/>
      <c r="AY115" s="52"/>
      <c r="AZ115" s="52"/>
      <c r="BA115" s="52"/>
      <c r="BB115" s="52"/>
      <c r="BD115" s="52"/>
      <c r="BE115" s="52"/>
      <c r="BF115" s="52"/>
      <c r="BH115" s="52"/>
      <c r="BI115" s="52"/>
      <c r="BJ115" s="52"/>
    </row>
    <row r="116" spans="1:62" outlineLevel="1" x14ac:dyDescent="0.25">
      <c r="A116" s="18"/>
      <c r="B116" s="18"/>
      <c r="C116" s="19" t="s">
        <v>428</v>
      </c>
      <c r="D116" s="18">
        <v>1995189</v>
      </c>
      <c r="E116" s="19">
        <v>13</v>
      </c>
      <c r="G116" s="20" t="str">
        <f t="shared" si="11"/>
        <v>·</v>
      </c>
      <c r="H116" s="21" t="str">
        <f t="shared" si="12"/>
        <v>·</v>
      </c>
      <c r="I116" s="21" t="str">
        <f t="shared" si="13"/>
        <v>·</v>
      </c>
      <c r="J116" s="21" t="str">
        <f t="shared" si="14"/>
        <v>·</v>
      </c>
      <c r="K116" s="21" t="str">
        <f t="shared" si="15"/>
        <v>·</v>
      </c>
      <c r="L116" s="22"/>
      <c r="M116" s="23"/>
      <c r="N116" s="23"/>
      <c r="O116" s="23"/>
      <c r="P116" s="49"/>
      <c r="Q116" s="49"/>
      <c r="R116" s="49"/>
      <c r="S116" s="49"/>
      <c r="T116" s="49"/>
      <c r="U116" s="49"/>
      <c r="V116" s="49"/>
      <c r="W116" s="49"/>
      <c r="X116" s="24"/>
      <c r="Y116" s="24"/>
      <c r="AA116" s="20" t="str">
        <f t="shared" si="16"/>
        <v>·</v>
      </c>
      <c r="AB116" s="21" t="str">
        <f t="shared" si="17"/>
        <v>·</v>
      </c>
      <c r="AC116" s="21" t="str">
        <f t="shared" si="18"/>
        <v>·</v>
      </c>
      <c r="AD116" s="21" t="str">
        <f t="shared" si="19"/>
        <v>·</v>
      </c>
      <c r="AE116" s="21" t="str">
        <f t="shared" si="20"/>
        <v>·</v>
      </c>
      <c r="AF116" s="22"/>
      <c r="AG116" s="23"/>
      <c r="AH116" s="23"/>
      <c r="AI116" s="23"/>
      <c r="AJ116" s="49"/>
      <c r="AK116" s="49"/>
      <c r="AL116" s="49"/>
      <c r="AM116" s="49"/>
      <c r="AN116" s="49"/>
      <c r="AO116" s="49"/>
      <c r="AP116" s="49"/>
      <c r="AQ116" s="49"/>
      <c r="AR116" s="24"/>
      <c r="AS116" s="24"/>
      <c r="AU116" s="20" t="e">
        <f t="shared" si="21"/>
        <v>#DIV/0!</v>
      </c>
      <c r="AV116" s="20"/>
      <c r="AX116" s="50"/>
      <c r="AY116" s="50"/>
      <c r="AZ116" s="50"/>
      <c r="BA116" s="50"/>
      <c r="BB116" s="50"/>
      <c r="BD116" s="50"/>
      <c r="BE116" s="50"/>
      <c r="BF116" s="50"/>
      <c r="BH116" s="50"/>
      <c r="BI116" s="50"/>
      <c r="BJ116" s="50"/>
    </row>
    <row r="117" spans="1:62" outlineLevel="1" x14ac:dyDescent="0.25">
      <c r="A117" s="25"/>
      <c r="B117" s="32"/>
      <c r="C117" s="33" t="s">
        <v>429</v>
      </c>
      <c r="D117" s="32">
        <v>1995189</v>
      </c>
      <c r="E117" s="33">
        <v>13</v>
      </c>
      <c r="G117" s="34" t="str">
        <f t="shared" si="11"/>
        <v>·</v>
      </c>
      <c r="H117" s="35" t="str">
        <f t="shared" si="12"/>
        <v>·</v>
      </c>
      <c r="I117" s="35" t="str">
        <f t="shared" si="13"/>
        <v>·</v>
      </c>
      <c r="J117" s="35" t="str">
        <f t="shared" si="14"/>
        <v>·</v>
      </c>
      <c r="K117" s="35" t="str">
        <f t="shared" si="15"/>
        <v>·</v>
      </c>
      <c r="L117" s="36"/>
      <c r="M117" s="37"/>
      <c r="N117" s="37"/>
      <c r="O117" s="37"/>
      <c r="P117" s="53"/>
      <c r="Q117" s="53"/>
      <c r="R117" s="53"/>
      <c r="S117" s="53"/>
      <c r="T117" s="53"/>
      <c r="U117" s="53"/>
      <c r="V117" s="53"/>
      <c r="W117" s="53"/>
      <c r="X117" s="38"/>
      <c r="Y117" s="38"/>
      <c r="AA117" s="34" t="str">
        <f t="shared" si="16"/>
        <v>·</v>
      </c>
      <c r="AB117" s="35" t="str">
        <f t="shared" si="17"/>
        <v>·</v>
      </c>
      <c r="AC117" s="35" t="str">
        <f t="shared" si="18"/>
        <v>·</v>
      </c>
      <c r="AD117" s="35" t="str">
        <f t="shared" si="19"/>
        <v>·</v>
      </c>
      <c r="AE117" s="35" t="str">
        <f t="shared" si="20"/>
        <v>·</v>
      </c>
      <c r="AF117" s="36"/>
      <c r="AG117" s="37"/>
      <c r="AH117" s="37"/>
      <c r="AI117" s="37"/>
      <c r="AJ117" s="53"/>
      <c r="AK117" s="53"/>
      <c r="AL117" s="53"/>
      <c r="AM117" s="53"/>
      <c r="AN117" s="53"/>
      <c r="AO117" s="53"/>
      <c r="AP117" s="53"/>
      <c r="AQ117" s="53"/>
      <c r="AR117" s="38"/>
      <c r="AS117" s="38"/>
      <c r="AU117" s="34" t="e">
        <f t="shared" si="21"/>
        <v>#DIV/0!</v>
      </c>
      <c r="AV117" s="34"/>
      <c r="AX117" s="54"/>
      <c r="AY117" s="54"/>
      <c r="AZ117" s="54"/>
      <c r="BA117" s="54"/>
      <c r="BB117" s="54"/>
      <c r="BD117" s="54"/>
      <c r="BE117" s="54"/>
      <c r="BF117" s="54"/>
      <c r="BH117" s="54"/>
      <c r="BI117" s="54"/>
      <c r="BJ117" s="54"/>
    </row>
    <row r="118" spans="1:62" collapsed="1" x14ac:dyDescent="0.25">
      <c r="A118" s="18"/>
      <c r="B118" s="18" t="s">
        <v>198</v>
      </c>
      <c r="C118" s="19" t="s">
        <v>310</v>
      </c>
      <c r="D118" s="18">
        <v>2000297</v>
      </c>
      <c r="E118" s="19">
        <v>20</v>
      </c>
      <c r="G118" s="20" t="str">
        <f t="shared" si="11"/>
        <v>·</v>
      </c>
      <c r="H118" s="21" t="str">
        <f t="shared" si="12"/>
        <v>·</v>
      </c>
      <c r="I118" s="21" t="str">
        <f t="shared" si="13"/>
        <v>·</v>
      </c>
      <c r="J118" s="21" t="str">
        <f t="shared" si="14"/>
        <v>·</v>
      </c>
      <c r="K118" s="21" t="str">
        <f t="shared" si="15"/>
        <v>·</v>
      </c>
      <c r="L118" s="22"/>
      <c r="M118" s="23"/>
      <c r="N118" s="23"/>
      <c r="O118" s="23"/>
      <c r="P118" s="49"/>
      <c r="Q118" s="49"/>
      <c r="R118" s="49"/>
      <c r="S118" s="49"/>
      <c r="T118" s="49"/>
      <c r="U118" s="49"/>
      <c r="V118" s="49"/>
      <c r="W118" s="49"/>
      <c r="X118" s="24"/>
      <c r="Y118" s="24"/>
      <c r="AA118" s="20" t="str">
        <f t="shared" si="16"/>
        <v>·</v>
      </c>
      <c r="AB118" s="21" t="str">
        <f t="shared" si="17"/>
        <v>·</v>
      </c>
      <c r="AC118" s="21" t="str">
        <f t="shared" si="18"/>
        <v>·</v>
      </c>
      <c r="AD118" s="21" t="str">
        <f t="shared" si="19"/>
        <v>·</v>
      </c>
      <c r="AE118" s="21" t="str">
        <f t="shared" si="20"/>
        <v>·</v>
      </c>
      <c r="AF118" s="22"/>
      <c r="AG118" s="23"/>
      <c r="AH118" s="23"/>
      <c r="AI118" s="23"/>
      <c r="AJ118" s="49"/>
      <c r="AK118" s="49"/>
      <c r="AL118" s="49"/>
      <c r="AM118" s="49"/>
      <c r="AN118" s="49"/>
      <c r="AO118" s="49"/>
      <c r="AP118" s="49"/>
      <c r="AQ118" s="49"/>
      <c r="AR118" s="24"/>
      <c r="AS118" s="24"/>
      <c r="AU118" s="20" t="e">
        <f t="shared" si="21"/>
        <v>#DIV/0!</v>
      </c>
      <c r="AV118" s="20" t="e">
        <f t="array" ref="AV118">AVERAGE(AH118:AH123/AG118:AG123) - AVERAGE(N118:N123/M118:M123)</f>
        <v>#DIV/0!</v>
      </c>
      <c r="AX118" s="50" t="e">
        <f>bdRateExtend( M118:M123,P118:P123, AG118:AG123,AJ118:AJ123)</f>
        <v>#VALUE!</v>
      </c>
      <c r="AY118" s="50" t="e">
        <f>bdRateExtend( M118:M123,Q118:Q123, AG118:AG123,AK118:AK123)</f>
        <v>#VALUE!</v>
      </c>
      <c r="AZ118" s="50" t="e">
        <f>bdRateExtend( M118:M123,R118:R123, AG118:AG123,AL118:AL123)</f>
        <v>#VALUE!</v>
      </c>
      <c r="BA118" s="50" t="e">
        <f>bdRateExtend( M118:M123,S118:S123, AG118:AG123,AM118:AM123)</f>
        <v>#VALUE!</v>
      </c>
      <c r="BB118" s="50" t="e">
        <f>bdRateExtend( M118:M123,T118:T123, AG118:AG123,AN118:AN123)</f>
        <v>#VALUE!</v>
      </c>
      <c r="BD118" s="50" t="e">
        <f>bdRateExtend( O118:O123,R118:R123, AI118:AI123,AL118:AL123)</f>
        <v>#VALUE!</v>
      </c>
      <c r="BE118" s="50" t="e">
        <f>bdRateExtend( O118:O123,S118:S123, AI118:AI123,AM118:AM123)</f>
        <v>#VALUE!</v>
      </c>
      <c r="BF118" s="50" t="e">
        <f>bdRateExtend( O118:O123,T118:T123, AI118:AI123,AN118:AN123)</f>
        <v>#VALUE!</v>
      </c>
      <c r="BH118" s="50" t="e">
        <f>bdRateExtend( O118:O123,U118:U123, AI118:AI123,AO118:AO123)</f>
        <v>#VALUE!</v>
      </c>
      <c r="BI118" s="50" t="e">
        <f>bdRateExtend( O118:O123,V118:V123, AI118:AI123,AP118:AP123)</f>
        <v>#VALUE!</v>
      </c>
      <c r="BJ118" s="50" t="e">
        <f>bdRateExtend( O118:O123,W118:W123, AI118:AI123,AQ118:AQ123)</f>
        <v>#VALUE!</v>
      </c>
    </row>
    <row r="119" spans="1:62" outlineLevel="1" x14ac:dyDescent="0.25">
      <c r="A119" s="25"/>
      <c r="B119" s="25"/>
      <c r="C119" s="26" t="s">
        <v>311</v>
      </c>
      <c r="D119" s="25">
        <v>2000297</v>
      </c>
      <c r="E119" s="26">
        <v>20</v>
      </c>
      <c r="G119" s="27" t="str">
        <f t="shared" si="11"/>
        <v>·</v>
      </c>
      <c r="H119" s="28" t="str">
        <f t="shared" si="12"/>
        <v>·</v>
      </c>
      <c r="I119" s="28" t="str">
        <f t="shared" si="13"/>
        <v>·</v>
      </c>
      <c r="J119" s="28" t="str">
        <f t="shared" si="14"/>
        <v>·</v>
      </c>
      <c r="K119" s="28" t="str">
        <f t="shared" si="15"/>
        <v>·</v>
      </c>
      <c r="L119" s="29"/>
      <c r="M119" s="30"/>
      <c r="N119" s="30"/>
      <c r="O119" s="30"/>
      <c r="P119" s="51"/>
      <c r="Q119" s="51"/>
      <c r="R119" s="51"/>
      <c r="S119" s="51"/>
      <c r="T119" s="51"/>
      <c r="U119" s="51"/>
      <c r="V119" s="51"/>
      <c r="W119" s="51"/>
      <c r="X119" s="31"/>
      <c r="Y119" s="31"/>
      <c r="AA119" s="27" t="str">
        <f t="shared" si="16"/>
        <v>·</v>
      </c>
      <c r="AB119" s="28" t="str">
        <f t="shared" si="17"/>
        <v>·</v>
      </c>
      <c r="AC119" s="28" t="str">
        <f t="shared" si="18"/>
        <v>·</v>
      </c>
      <c r="AD119" s="28" t="str">
        <f t="shared" si="19"/>
        <v>·</v>
      </c>
      <c r="AE119" s="28" t="str">
        <f t="shared" si="20"/>
        <v>·</v>
      </c>
      <c r="AF119" s="29"/>
      <c r="AG119" s="30"/>
      <c r="AH119" s="30"/>
      <c r="AI119" s="30"/>
      <c r="AJ119" s="51"/>
      <c r="AK119" s="51"/>
      <c r="AL119" s="51"/>
      <c r="AM119" s="51"/>
      <c r="AN119" s="51"/>
      <c r="AO119" s="51"/>
      <c r="AP119" s="51"/>
      <c r="AQ119" s="51"/>
      <c r="AR119" s="31"/>
      <c r="AS119" s="31"/>
      <c r="AU119" s="27" t="e">
        <f t="shared" si="21"/>
        <v>#DIV/0!</v>
      </c>
      <c r="AV119" s="27"/>
      <c r="AX119" s="52"/>
      <c r="AY119" s="52"/>
      <c r="AZ119" s="52"/>
      <c r="BA119" s="52"/>
      <c r="BB119" s="52"/>
      <c r="BD119" s="52"/>
      <c r="BE119" s="52"/>
      <c r="BF119" s="52"/>
      <c r="BH119" s="52"/>
      <c r="BI119" s="52"/>
      <c r="BJ119" s="52"/>
    </row>
    <row r="120" spans="1:62" outlineLevel="1" x14ac:dyDescent="0.25">
      <c r="A120" s="18"/>
      <c r="B120" s="18"/>
      <c r="C120" s="19" t="s">
        <v>312</v>
      </c>
      <c r="D120" s="18">
        <v>2000297</v>
      </c>
      <c r="E120" s="19">
        <v>20</v>
      </c>
      <c r="G120" s="20" t="str">
        <f t="shared" si="11"/>
        <v>·</v>
      </c>
      <c r="H120" s="21" t="str">
        <f t="shared" si="12"/>
        <v>·</v>
      </c>
      <c r="I120" s="21" t="str">
        <f t="shared" si="13"/>
        <v>·</v>
      </c>
      <c r="J120" s="21" t="str">
        <f t="shared" si="14"/>
        <v>·</v>
      </c>
      <c r="K120" s="21" t="str">
        <f t="shared" si="15"/>
        <v>·</v>
      </c>
      <c r="L120" s="22"/>
      <c r="M120" s="23"/>
      <c r="N120" s="23"/>
      <c r="O120" s="23"/>
      <c r="P120" s="49"/>
      <c r="Q120" s="49"/>
      <c r="R120" s="49"/>
      <c r="S120" s="49"/>
      <c r="T120" s="49"/>
      <c r="U120" s="49"/>
      <c r="V120" s="49"/>
      <c r="W120" s="49"/>
      <c r="X120" s="24"/>
      <c r="Y120" s="24"/>
      <c r="AA120" s="20" t="str">
        <f t="shared" si="16"/>
        <v>·</v>
      </c>
      <c r="AB120" s="21" t="str">
        <f t="shared" si="17"/>
        <v>·</v>
      </c>
      <c r="AC120" s="21" t="str">
        <f t="shared" si="18"/>
        <v>·</v>
      </c>
      <c r="AD120" s="21" t="str">
        <f t="shared" si="19"/>
        <v>·</v>
      </c>
      <c r="AE120" s="21" t="str">
        <f t="shared" si="20"/>
        <v>·</v>
      </c>
      <c r="AF120" s="22"/>
      <c r="AG120" s="23"/>
      <c r="AH120" s="23"/>
      <c r="AI120" s="23"/>
      <c r="AJ120" s="49"/>
      <c r="AK120" s="49"/>
      <c r="AL120" s="49"/>
      <c r="AM120" s="49"/>
      <c r="AN120" s="49"/>
      <c r="AO120" s="49"/>
      <c r="AP120" s="49"/>
      <c r="AQ120" s="49"/>
      <c r="AR120" s="24"/>
      <c r="AS120" s="24"/>
      <c r="AU120" s="20" t="e">
        <f t="shared" si="21"/>
        <v>#DIV/0!</v>
      </c>
      <c r="AV120" s="20"/>
      <c r="AX120" s="50"/>
      <c r="AY120" s="50"/>
      <c r="AZ120" s="50"/>
      <c r="BA120" s="50"/>
      <c r="BB120" s="50"/>
      <c r="BD120" s="50"/>
      <c r="BE120" s="50"/>
      <c r="BF120" s="50"/>
      <c r="BH120" s="50"/>
      <c r="BI120" s="50"/>
      <c r="BJ120" s="50"/>
    </row>
    <row r="121" spans="1:62" outlineLevel="1" x14ac:dyDescent="0.25">
      <c r="A121" s="25"/>
      <c r="B121" s="25"/>
      <c r="C121" s="26" t="s">
        <v>313</v>
      </c>
      <c r="D121" s="25">
        <v>2000297</v>
      </c>
      <c r="E121" s="26">
        <v>20</v>
      </c>
      <c r="G121" s="27" t="str">
        <f t="shared" si="11"/>
        <v>·</v>
      </c>
      <c r="H121" s="28" t="str">
        <f t="shared" si="12"/>
        <v>·</v>
      </c>
      <c r="I121" s="28" t="str">
        <f t="shared" si="13"/>
        <v>·</v>
      </c>
      <c r="J121" s="28" t="str">
        <f t="shared" si="14"/>
        <v>·</v>
      </c>
      <c r="K121" s="28" t="str">
        <f t="shared" si="15"/>
        <v>·</v>
      </c>
      <c r="L121" s="29"/>
      <c r="M121" s="30"/>
      <c r="N121" s="30"/>
      <c r="O121" s="30"/>
      <c r="P121" s="51"/>
      <c r="Q121" s="51"/>
      <c r="R121" s="51"/>
      <c r="S121" s="51"/>
      <c r="T121" s="51"/>
      <c r="U121" s="51"/>
      <c r="V121" s="51"/>
      <c r="W121" s="51"/>
      <c r="X121" s="31"/>
      <c r="Y121" s="31"/>
      <c r="AA121" s="27" t="str">
        <f t="shared" si="16"/>
        <v>·</v>
      </c>
      <c r="AB121" s="28" t="str">
        <f t="shared" si="17"/>
        <v>·</v>
      </c>
      <c r="AC121" s="28" t="str">
        <f t="shared" si="18"/>
        <v>·</v>
      </c>
      <c r="AD121" s="28" t="str">
        <f t="shared" si="19"/>
        <v>·</v>
      </c>
      <c r="AE121" s="28" t="str">
        <f t="shared" si="20"/>
        <v>·</v>
      </c>
      <c r="AF121" s="29"/>
      <c r="AG121" s="30"/>
      <c r="AH121" s="30"/>
      <c r="AI121" s="30"/>
      <c r="AJ121" s="51"/>
      <c r="AK121" s="51"/>
      <c r="AL121" s="51"/>
      <c r="AM121" s="51"/>
      <c r="AN121" s="51"/>
      <c r="AO121" s="51"/>
      <c r="AP121" s="51"/>
      <c r="AQ121" s="51"/>
      <c r="AR121" s="31"/>
      <c r="AS121" s="31"/>
      <c r="AU121" s="27" t="e">
        <f t="shared" si="21"/>
        <v>#DIV/0!</v>
      </c>
      <c r="AV121" s="27"/>
      <c r="AX121" s="52"/>
      <c r="AY121" s="52"/>
      <c r="AZ121" s="52"/>
      <c r="BA121" s="52"/>
      <c r="BB121" s="52"/>
      <c r="BD121" s="52"/>
      <c r="BE121" s="52"/>
      <c r="BF121" s="52"/>
      <c r="BH121" s="52"/>
      <c r="BI121" s="52"/>
      <c r="BJ121" s="52"/>
    </row>
    <row r="122" spans="1:62" outlineLevel="1" x14ac:dyDescent="0.25">
      <c r="A122" s="18"/>
      <c r="B122" s="18"/>
      <c r="C122" s="19" t="s">
        <v>428</v>
      </c>
      <c r="D122" s="18">
        <v>2000297</v>
      </c>
      <c r="E122" s="19">
        <v>20</v>
      </c>
      <c r="G122" s="20" t="str">
        <f t="shared" si="11"/>
        <v>·</v>
      </c>
      <c r="H122" s="21" t="str">
        <f t="shared" si="12"/>
        <v>·</v>
      </c>
      <c r="I122" s="21" t="str">
        <f t="shared" si="13"/>
        <v>·</v>
      </c>
      <c r="J122" s="21" t="str">
        <f t="shared" si="14"/>
        <v>·</v>
      </c>
      <c r="K122" s="21" t="str">
        <f t="shared" si="15"/>
        <v>·</v>
      </c>
      <c r="L122" s="22"/>
      <c r="M122" s="23"/>
      <c r="N122" s="23"/>
      <c r="O122" s="23"/>
      <c r="P122" s="49"/>
      <c r="Q122" s="49"/>
      <c r="R122" s="49"/>
      <c r="S122" s="49"/>
      <c r="T122" s="49"/>
      <c r="U122" s="49"/>
      <c r="V122" s="49"/>
      <c r="W122" s="49"/>
      <c r="X122" s="24"/>
      <c r="Y122" s="24"/>
      <c r="AA122" s="20" t="str">
        <f t="shared" si="16"/>
        <v>·</v>
      </c>
      <c r="AB122" s="21" t="str">
        <f t="shared" si="17"/>
        <v>·</v>
      </c>
      <c r="AC122" s="21" t="str">
        <f t="shared" si="18"/>
        <v>·</v>
      </c>
      <c r="AD122" s="21" t="str">
        <f t="shared" si="19"/>
        <v>·</v>
      </c>
      <c r="AE122" s="21" t="str">
        <f t="shared" si="20"/>
        <v>·</v>
      </c>
      <c r="AF122" s="22"/>
      <c r="AG122" s="23"/>
      <c r="AH122" s="23"/>
      <c r="AI122" s="23"/>
      <c r="AJ122" s="49"/>
      <c r="AK122" s="49"/>
      <c r="AL122" s="49"/>
      <c r="AM122" s="49"/>
      <c r="AN122" s="49"/>
      <c r="AO122" s="49"/>
      <c r="AP122" s="49"/>
      <c r="AQ122" s="49"/>
      <c r="AR122" s="24"/>
      <c r="AS122" s="24"/>
      <c r="AU122" s="20" t="e">
        <f t="shared" si="21"/>
        <v>#DIV/0!</v>
      </c>
      <c r="AV122" s="20"/>
      <c r="AX122" s="50"/>
      <c r="AY122" s="50"/>
      <c r="AZ122" s="50"/>
      <c r="BA122" s="50"/>
      <c r="BB122" s="50"/>
      <c r="BD122" s="50"/>
      <c r="BE122" s="50"/>
      <c r="BF122" s="50"/>
      <c r="BH122" s="50"/>
      <c r="BI122" s="50"/>
      <c r="BJ122" s="50"/>
    </row>
    <row r="123" spans="1:62" outlineLevel="1" x14ac:dyDescent="0.25">
      <c r="A123" s="32"/>
      <c r="B123" s="32"/>
      <c r="C123" s="33" t="s">
        <v>429</v>
      </c>
      <c r="D123" s="32">
        <v>2000297</v>
      </c>
      <c r="E123" s="33">
        <v>20</v>
      </c>
      <c r="G123" s="34" t="str">
        <f t="shared" si="11"/>
        <v>·</v>
      </c>
      <c r="H123" s="35" t="str">
        <f t="shared" si="12"/>
        <v>·</v>
      </c>
      <c r="I123" s="35" t="str">
        <f t="shared" si="13"/>
        <v>·</v>
      </c>
      <c r="J123" s="35" t="str">
        <f t="shared" si="14"/>
        <v>·</v>
      </c>
      <c r="K123" s="35" t="str">
        <f t="shared" si="15"/>
        <v>·</v>
      </c>
      <c r="L123" s="36"/>
      <c r="M123" s="37"/>
      <c r="N123" s="37"/>
      <c r="O123" s="37"/>
      <c r="P123" s="53"/>
      <c r="Q123" s="53"/>
      <c r="R123" s="53"/>
      <c r="S123" s="53"/>
      <c r="T123" s="53"/>
      <c r="U123" s="53"/>
      <c r="V123" s="53"/>
      <c r="W123" s="53"/>
      <c r="X123" s="38"/>
      <c r="Y123" s="38"/>
      <c r="AA123" s="34" t="str">
        <f t="shared" si="16"/>
        <v>·</v>
      </c>
      <c r="AB123" s="35" t="str">
        <f t="shared" si="17"/>
        <v>·</v>
      </c>
      <c r="AC123" s="35" t="str">
        <f t="shared" si="18"/>
        <v>·</v>
      </c>
      <c r="AD123" s="35" t="str">
        <f t="shared" si="19"/>
        <v>·</v>
      </c>
      <c r="AE123" s="35" t="str">
        <f t="shared" si="20"/>
        <v>·</v>
      </c>
      <c r="AF123" s="36"/>
      <c r="AG123" s="37"/>
      <c r="AH123" s="37"/>
      <c r="AI123" s="37"/>
      <c r="AJ123" s="53"/>
      <c r="AK123" s="53"/>
      <c r="AL123" s="53"/>
      <c r="AM123" s="53"/>
      <c r="AN123" s="53"/>
      <c r="AO123" s="53"/>
      <c r="AP123" s="53"/>
      <c r="AQ123" s="53"/>
      <c r="AR123" s="38"/>
      <c r="AS123" s="38"/>
      <c r="AU123" s="34" t="e">
        <f t="shared" si="21"/>
        <v>#DIV/0!</v>
      </c>
      <c r="AV123" s="34"/>
      <c r="AX123" s="54"/>
      <c r="AY123" s="54"/>
      <c r="AZ123" s="54"/>
      <c r="BA123" s="54"/>
      <c r="BB123" s="54"/>
      <c r="BD123" s="54"/>
      <c r="BE123" s="54"/>
      <c r="BF123" s="54"/>
      <c r="BH123" s="54"/>
      <c r="BI123" s="54"/>
      <c r="BJ123" s="54"/>
    </row>
    <row r="124" spans="1:62" collapsed="1" x14ac:dyDescent="0.25">
      <c r="A124" s="18" t="s">
        <v>229</v>
      </c>
      <c r="B124" s="18" t="s">
        <v>202</v>
      </c>
      <c r="C124" s="19" t="s">
        <v>310</v>
      </c>
      <c r="D124" s="18">
        <v>13903516</v>
      </c>
      <c r="E124" s="19">
        <v>12</v>
      </c>
      <c r="G124" s="20" t="str">
        <f t="shared" si="11"/>
        <v>·</v>
      </c>
      <c r="H124" s="21" t="str">
        <f t="shared" si="12"/>
        <v>·</v>
      </c>
      <c r="I124" s="21" t="str">
        <f t="shared" si="13"/>
        <v>·</v>
      </c>
      <c r="J124" s="21" t="str">
        <f t="shared" si="14"/>
        <v>·</v>
      </c>
      <c r="K124" s="21" t="str">
        <f t="shared" si="15"/>
        <v>·</v>
      </c>
      <c r="L124" s="22"/>
      <c r="M124" s="23"/>
      <c r="N124" s="23"/>
      <c r="O124" s="23"/>
      <c r="P124" s="49"/>
      <c r="Q124" s="49"/>
      <c r="R124" s="49"/>
      <c r="S124" s="49"/>
      <c r="T124" s="49"/>
      <c r="U124" s="49"/>
      <c r="V124" s="49"/>
      <c r="W124" s="49"/>
      <c r="X124" s="24"/>
      <c r="Y124" s="24"/>
      <c r="AA124" s="20" t="str">
        <f t="shared" si="16"/>
        <v>·</v>
      </c>
      <c r="AB124" s="21" t="str">
        <f t="shared" si="17"/>
        <v>·</v>
      </c>
      <c r="AC124" s="21" t="str">
        <f t="shared" si="18"/>
        <v>·</v>
      </c>
      <c r="AD124" s="21" t="str">
        <f t="shared" si="19"/>
        <v>·</v>
      </c>
      <c r="AE124" s="21" t="str">
        <f t="shared" si="20"/>
        <v>·</v>
      </c>
      <c r="AF124" s="22"/>
      <c r="AG124" s="23"/>
      <c r="AH124" s="23"/>
      <c r="AI124" s="23"/>
      <c r="AJ124" s="49"/>
      <c r="AK124" s="49"/>
      <c r="AL124" s="49"/>
      <c r="AM124" s="49"/>
      <c r="AN124" s="49"/>
      <c r="AO124" s="49"/>
      <c r="AP124" s="49"/>
      <c r="AQ124" s="49"/>
      <c r="AR124" s="24"/>
      <c r="AS124" s="24"/>
      <c r="AU124" s="20" t="e">
        <f t="shared" si="21"/>
        <v>#DIV/0!</v>
      </c>
      <c r="AV124" s="20" t="e">
        <f t="array" ref="AV124">AVERAGE(AH124:AH129/AG124:AG129) - AVERAGE(N124:N129/M124:M129)</f>
        <v>#DIV/0!</v>
      </c>
      <c r="AX124" s="50" t="e">
        <f>bdRateExtend( M124:M129,P124:P129, AG124:AG129,AJ124:AJ129)</f>
        <v>#VALUE!</v>
      </c>
      <c r="AY124" s="50" t="e">
        <f>bdRateExtend( M124:M129,Q124:Q129, AG124:AG129,AK124:AK129)</f>
        <v>#VALUE!</v>
      </c>
      <c r="AZ124" s="50" t="e">
        <f>bdRateExtend( M124:M129,R124:R129, AG124:AG129,AL124:AL129)</f>
        <v>#VALUE!</v>
      </c>
      <c r="BA124" s="50" t="e">
        <f>bdRateExtend( M124:M129,S124:S129, AG124:AG129,AM124:AM129)</f>
        <v>#VALUE!</v>
      </c>
      <c r="BB124" s="50" t="e">
        <f>bdRateExtend( M124:M129,T124:T129, AG124:AG129,AN124:AN129)</f>
        <v>#VALUE!</v>
      </c>
      <c r="BD124" s="50" t="e">
        <f>bdRateExtend( O124:O129,R124:R129, AI124:AI129,AL124:AL129)</f>
        <v>#VALUE!</v>
      </c>
      <c r="BE124" s="50" t="e">
        <f>bdRateExtend( O124:O129,S124:S129, AI124:AI129,AM124:AM129)</f>
        <v>#VALUE!</v>
      </c>
      <c r="BF124" s="50" t="e">
        <f>bdRateExtend( O124:O129,T124:T129, AI124:AI129,AN124:AN129)</f>
        <v>#VALUE!</v>
      </c>
      <c r="BH124" s="50" t="e">
        <f>bdRateExtend( O124:O129,U124:U129, AI124:AI129,AO124:AO129)</f>
        <v>#VALUE!</v>
      </c>
      <c r="BI124" s="50" t="e">
        <f>bdRateExtend( O124:O129,V124:V129, AI124:AI129,AP124:AP129)</f>
        <v>#VALUE!</v>
      </c>
      <c r="BJ124" s="50" t="e">
        <f>bdRateExtend( O124:O129,W124:W129, AI124:AI129,AQ124:AQ129)</f>
        <v>#VALUE!</v>
      </c>
    </row>
    <row r="125" spans="1:62" outlineLevel="1" x14ac:dyDescent="0.25">
      <c r="A125" s="25"/>
      <c r="B125" s="25"/>
      <c r="C125" s="26" t="s">
        <v>311</v>
      </c>
      <c r="D125" s="25">
        <v>13903516</v>
      </c>
      <c r="E125" s="26">
        <v>12</v>
      </c>
      <c r="G125" s="27" t="str">
        <f t="shared" si="11"/>
        <v>·</v>
      </c>
      <c r="H125" s="28" t="str">
        <f t="shared" si="12"/>
        <v>·</v>
      </c>
      <c r="I125" s="28" t="str">
        <f t="shared" si="13"/>
        <v>·</v>
      </c>
      <c r="J125" s="28" t="str">
        <f t="shared" si="14"/>
        <v>·</v>
      </c>
      <c r="K125" s="28" t="str">
        <f t="shared" si="15"/>
        <v>·</v>
      </c>
      <c r="L125" s="29"/>
      <c r="M125" s="30"/>
      <c r="N125" s="30"/>
      <c r="O125" s="30"/>
      <c r="P125" s="51"/>
      <c r="Q125" s="51"/>
      <c r="R125" s="51"/>
      <c r="S125" s="51"/>
      <c r="T125" s="51"/>
      <c r="U125" s="51"/>
      <c r="V125" s="51"/>
      <c r="W125" s="51"/>
      <c r="X125" s="31"/>
      <c r="Y125" s="31"/>
      <c r="AA125" s="27" t="str">
        <f t="shared" si="16"/>
        <v>·</v>
      </c>
      <c r="AB125" s="28" t="str">
        <f t="shared" si="17"/>
        <v>·</v>
      </c>
      <c r="AC125" s="28" t="str">
        <f t="shared" si="18"/>
        <v>·</v>
      </c>
      <c r="AD125" s="28" t="str">
        <f t="shared" si="19"/>
        <v>·</v>
      </c>
      <c r="AE125" s="28" t="str">
        <f t="shared" si="20"/>
        <v>·</v>
      </c>
      <c r="AF125" s="29"/>
      <c r="AG125" s="30"/>
      <c r="AH125" s="30"/>
      <c r="AI125" s="30"/>
      <c r="AJ125" s="51"/>
      <c r="AK125" s="51"/>
      <c r="AL125" s="51"/>
      <c r="AM125" s="51"/>
      <c r="AN125" s="51"/>
      <c r="AO125" s="51"/>
      <c r="AP125" s="51"/>
      <c r="AQ125" s="51"/>
      <c r="AR125" s="31"/>
      <c r="AS125" s="31"/>
      <c r="AU125" s="27" t="e">
        <f t="shared" si="21"/>
        <v>#DIV/0!</v>
      </c>
      <c r="AV125" s="27"/>
      <c r="AX125" s="52"/>
      <c r="AY125" s="52"/>
      <c r="AZ125" s="52"/>
      <c r="BA125" s="52"/>
      <c r="BB125" s="52"/>
      <c r="BD125" s="52"/>
      <c r="BE125" s="52"/>
      <c r="BF125" s="52"/>
      <c r="BH125" s="52"/>
      <c r="BI125" s="52"/>
      <c r="BJ125" s="52"/>
    </row>
    <row r="126" spans="1:62" outlineLevel="1" x14ac:dyDescent="0.25">
      <c r="A126" s="18"/>
      <c r="B126" s="18"/>
      <c r="C126" s="19" t="s">
        <v>312</v>
      </c>
      <c r="D126" s="18">
        <v>13903516</v>
      </c>
      <c r="E126" s="19">
        <v>12</v>
      </c>
      <c r="G126" s="20" t="str">
        <f t="shared" si="11"/>
        <v>·</v>
      </c>
      <c r="H126" s="21" t="str">
        <f t="shared" si="12"/>
        <v>·</v>
      </c>
      <c r="I126" s="21" t="str">
        <f t="shared" si="13"/>
        <v>·</v>
      </c>
      <c r="J126" s="21" t="str">
        <f t="shared" si="14"/>
        <v>·</v>
      </c>
      <c r="K126" s="21" t="str">
        <f t="shared" si="15"/>
        <v>·</v>
      </c>
      <c r="L126" s="22"/>
      <c r="M126" s="23"/>
      <c r="N126" s="23"/>
      <c r="O126" s="23"/>
      <c r="P126" s="49"/>
      <c r="Q126" s="49"/>
      <c r="R126" s="49"/>
      <c r="S126" s="49"/>
      <c r="T126" s="49"/>
      <c r="U126" s="49"/>
      <c r="V126" s="49"/>
      <c r="W126" s="49"/>
      <c r="X126" s="24"/>
      <c r="Y126" s="24"/>
      <c r="AA126" s="20" t="str">
        <f t="shared" si="16"/>
        <v>·</v>
      </c>
      <c r="AB126" s="21" t="str">
        <f t="shared" si="17"/>
        <v>·</v>
      </c>
      <c r="AC126" s="21" t="str">
        <f t="shared" si="18"/>
        <v>·</v>
      </c>
      <c r="AD126" s="21" t="str">
        <f t="shared" si="19"/>
        <v>·</v>
      </c>
      <c r="AE126" s="21" t="str">
        <f t="shared" si="20"/>
        <v>·</v>
      </c>
      <c r="AF126" s="22"/>
      <c r="AG126" s="23"/>
      <c r="AH126" s="23"/>
      <c r="AI126" s="23"/>
      <c r="AJ126" s="49"/>
      <c r="AK126" s="49"/>
      <c r="AL126" s="49"/>
      <c r="AM126" s="49"/>
      <c r="AN126" s="49"/>
      <c r="AO126" s="49"/>
      <c r="AP126" s="49"/>
      <c r="AQ126" s="49"/>
      <c r="AR126" s="24"/>
      <c r="AS126" s="24"/>
      <c r="AU126" s="20" t="e">
        <f t="shared" si="21"/>
        <v>#DIV/0!</v>
      </c>
      <c r="AV126" s="20"/>
      <c r="AX126" s="50"/>
      <c r="AY126" s="50"/>
      <c r="AZ126" s="50"/>
      <c r="BA126" s="50"/>
      <c r="BB126" s="50"/>
      <c r="BD126" s="50"/>
      <c r="BE126" s="50"/>
      <c r="BF126" s="50"/>
      <c r="BH126" s="50"/>
      <c r="BI126" s="50"/>
      <c r="BJ126" s="50"/>
    </row>
    <row r="127" spans="1:62" outlineLevel="1" x14ac:dyDescent="0.25">
      <c r="A127" s="25"/>
      <c r="B127" s="25"/>
      <c r="C127" s="26" t="s">
        <v>313</v>
      </c>
      <c r="D127" s="25">
        <v>13903516</v>
      </c>
      <c r="E127" s="26">
        <v>12</v>
      </c>
      <c r="G127" s="27" t="str">
        <f t="shared" si="11"/>
        <v>·</v>
      </c>
      <c r="H127" s="28" t="str">
        <f t="shared" si="12"/>
        <v>·</v>
      </c>
      <c r="I127" s="28" t="str">
        <f t="shared" si="13"/>
        <v>·</v>
      </c>
      <c r="J127" s="28" t="str">
        <f t="shared" si="14"/>
        <v>·</v>
      </c>
      <c r="K127" s="28" t="str">
        <f t="shared" si="15"/>
        <v>·</v>
      </c>
      <c r="L127" s="29"/>
      <c r="M127" s="30"/>
      <c r="N127" s="30"/>
      <c r="O127" s="30"/>
      <c r="P127" s="51"/>
      <c r="Q127" s="51"/>
      <c r="R127" s="51"/>
      <c r="S127" s="51"/>
      <c r="T127" s="51"/>
      <c r="U127" s="51"/>
      <c r="V127" s="51"/>
      <c r="W127" s="51"/>
      <c r="X127" s="31"/>
      <c r="Y127" s="31"/>
      <c r="AA127" s="27" t="str">
        <f t="shared" si="16"/>
        <v>·</v>
      </c>
      <c r="AB127" s="28" t="str">
        <f t="shared" si="17"/>
        <v>·</v>
      </c>
      <c r="AC127" s="28" t="str">
        <f t="shared" si="18"/>
        <v>·</v>
      </c>
      <c r="AD127" s="28" t="str">
        <f t="shared" si="19"/>
        <v>·</v>
      </c>
      <c r="AE127" s="28" t="str">
        <f t="shared" si="20"/>
        <v>·</v>
      </c>
      <c r="AF127" s="29"/>
      <c r="AG127" s="30"/>
      <c r="AH127" s="30"/>
      <c r="AI127" s="30"/>
      <c r="AJ127" s="51"/>
      <c r="AK127" s="51"/>
      <c r="AL127" s="51"/>
      <c r="AM127" s="51"/>
      <c r="AN127" s="51"/>
      <c r="AO127" s="51"/>
      <c r="AP127" s="51"/>
      <c r="AQ127" s="51"/>
      <c r="AR127" s="31"/>
      <c r="AS127" s="31"/>
      <c r="AU127" s="27" t="e">
        <f t="shared" si="21"/>
        <v>#DIV/0!</v>
      </c>
      <c r="AV127" s="27"/>
      <c r="AX127" s="52"/>
      <c r="AY127" s="52"/>
      <c r="AZ127" s="52"/>
      <c r="BA127" s="52"/>
      <c r="BB127" s="52"/>
      <c r="BD127" s="52"/>
      <c r="BE127" s="52"/>
      <c r="BF127" s="52"/>
      <c r="BH127" s="52"/>
      <c r="BI127" s="52"/>
      <c r="BJ127" s="52"/>
    </row>
    <row r="128" spans="1:62" outlineLevel="1" x14ac:dyDescent="0.25">
      <c r="A128" s="18"/>
      <c r="B128" s="18"/>
      <c r="C128" s="19" t="s">
        <v>428</v>
      </c>
      <c r="D128" s="18">
        <v>13903516</v>
      </c>
      <c r="E128" s="19">
        <v>12</v>
      </c>
      <c r="G128" s="20" t="str">
        <f t="shared" si="11"/>
        <v>·</v>
      </c>
      <c r="H128" s="21" t="str">
        <f t="shared" si="12"/>
        <v>·</v>
      </c>
      <c r="I128" s="21" t="str">
        <f t="shared" si="13"/>
        <v>·</v>
      </c>
      <c r="J128" s="21" t="str">
        <f t="shared" si="14"/>
        <v>·</v>
      </c>
      <c r="K128" s="21" t="str">
        <f t="shared" si="15"/>
        <v>·</v>
      </c>
      <c r="L128" s="22"/>
      <c r="M128" s="23"/>
      <c r="N128" s="23"/>
      <c r="O128" s="23"/>
      <c r="P128" s="49"/>
      <c r="Q128" s="49"/>
      <c r="R128" s="49"/>
      <c r="S128" s="49"/>
      <c r="T128" s="49"/>
      <c r="U128" s="49"/>
      <c r="V128" s="49"/>
      <c r="W128" s="49"/>
      <c r="X128" s="24"/>
      <c r="Y128" s="24"/>
      <c r="AA128" s="20" t="str">
        <f t="shared" si="16"/>
        <v>·</v>
      </c>
      <c r="AB128" s="21" t="str">
        <f t="shared" si="17"/>
        <v>·</v>
      </c>
      <c r="AC128" s="21" t="str">
        <f t="shared" si="18"/>
        <v>·</v>
      </c>
      <c r="AD128" s="21" t="str">
        <f t="shared" si="19"/>
        <v>·</v>
      </c>
      <c r="AE128" s="21" t="str">
        <f t="shared" si="20"/>
        <v>·</v>
      </c>
      <c r="AF128" s="22"/>
      <c r="AG128" s="23"/>
      <c r="AH128" s="23"/>
      <c r="AI128" s="23"/>
      <c r="AJ128" s="49"/>
      <c r="AK128" s="49"/>
      <c r="AL128" s="49"/>
      <c r="AM128" s="49"/>
      <c r="AN128" s="49"/>
      <c r="AO128" s="49"/>
      <c r="AP128" s="49"/>
      <c r="AQ128" s="49"/>
      <c r="AR128" s="24"/>
      <c r="AS128" s="24"/>
      <c r="AU128" s="20" t="e">
        <f t="shared" si="21"/>
        <v>#DIV/0!</v>
      </c>
      <c r="AV128" s="20"/>
      <c r="AX128" s="50"/>
      <c r="AY128" s="50"/>
      <c r="AZ128" s="50"/>
      <c r="BA128" s="50"/>
      <c r="BB128" s="50"/>
      <c r="BD128" s="50"/>
      <c r="BE128" s="50"/>
      <c r="BF128" s="50"/>
      <c r="BH128" s="50"/>
      <c r="BI128" s="50"/>
      <c r="BJ128" s="50"/>
    </row>
    <row r="129" spans="1:62" outlineLevel="1" x14ac:dyDescent="0.25">
      <c r="A129" s="25"/>
      <c r="B129" s="32"/>
      <c r="C129" s="33" t="s">
        <v>429</v>
      </c>
      <c r="D129" s="32">
        <v>13903516</v>
      </c>
      <c r="E129" s="33">
        <v>12</v>
      </c>
      <c r="G129" s="34" t="str">
        <f t="shared" si="11"/>
        <v>·</v>
      </c>
      <c r="H129" s="35" t="str">
        <f t="shared" si="12"/>
        <v>·</v>
      </c>
      <c r="I129" s="35" t="str">
        <f t="shared" si="13"/>
        <v>·</v>
      </c>
      <c r="J129" s="35" t="str">
        <f t="shared" si="14"/>
        <v>·</v>
      </c>
      <c r="K129" s="35" t="str">
        <f t="shared" si="15"/>
        <v>·</v>
      </c>
      <c r="L129" s="36"/>
      <c r="M129" s="37"/>
      <c r="N129" s="37"/>
      <c r="O129" s="37"/>
      <c r="P129" s="53"/>
      <c r="Q129" s="53"/>
      <c r="R129" s="53"/>
      <c r="S129" s="53"/>
      <c r="T129" s="53"/>
      <c r="U129" s="53"/>
      <c r="V129" s="53"/>
      <c r="W129" s="53"/>
      <c r="X129" s="38"/>
      <c r="Y129" s="38"/>
      <c r="AA129" s="34" t="str">
        <f t="shared" si="16"/>
        <v>·</v>
      </c>
      <c r="AB129" s="35" t="str">
        <f t="shared" si="17"/>
        <v>·</v>
      </c>
      <c r="AC129" s="35" t="str">
        <f t="shared" si="18"/>
        <v>·</v>
      </c>
      <c r="AD129" s="35" t="str">
        <f t="shared" si="19"/>
        <v>·</v>
      </c>
      <c r="AE129" s="35" t="str">
        <f t="shared" si="20"/>
        <v>·</v>
      </c>
      <c r="AF129" s="36"/>
      <c r="AG129" s="37"/>
      <c r="AH129" s="37"/>
      <c r="AI129" s="37"/>
      <c r="AJ129" s="53"/>
      <c r="AK129" s="53"/>
      <c r="AL129" s="53"/>
      <c r="AM129" s="53"/>
      <c r="AN129" s="53"/>
      <c r="AO129" s="53"/>
      <c r="AP129" s="53"/>
      <c r="AQ129" s="53"/>
      <c r="AR129" s="38"/>
      <c r="AS129" s="38"/>
      <c r="AU129" s="34" t="e">
        <f t="shared" si="21"/>
        <v>#DIV/0!</v>
      </c>
      <c r="AV129" s="34"/>
      <c r="AX129" s="54"/>
      <c r="AY129" s="54"/>
      <c r="AZ129" s="54"/>
      <c r="BA129" s="54"/>
      <c r="BB129" s="54"/>
      <c r="BD129" s="54"/>
      <c r="BE129" s="54"/>
      <c r="BF129" s="54"/>
      <c r="BH129" s="54"/>
      <c r="BI129" s="54"/>
      <c r="BJ129" s="54"/>
    </row>
    <row r="130" spans="1:62" collapsed="1" x14ac:dyDescent="0.25">
      <c r="A130" s="18"/>
      <c r="B130" s="18" t="s">
        <v>205</v>
      </c>
      <c r="C130" s="19" t="s">
        <v>310</v>
      </c>
      <c r="D130" s="18">
        <v>14025709</v>
      </c>
      <c r="E130" s="19">
        <v>20</v>
      </c>
      <c r="G130" s="20" t="str">
        <f t="shared" si="11"/>
        <v>·</v>
      </c>
      <c r="H130" s="21" t="str">
        <f t="shared" si="12"/>
        <v>·</v>
      </c>
      <c r="I130" s="21" t="str">
        <f t="shared" si="13"/>
        <v>·</v>
      </c>
      <c r="J130" s="21" t="str">
        <f t="shared" si="14"/>
        <v>·</v>
      </c>
      <c r="K130" s="21" t="str">
        <f t="shared" si="15"/>
        <v>·</v>
      </c>
      <c r="L130" s="22"/>
      <c r="M130" s="23"/>
      <c r="N130" s="23"/>
      <c r="O130" s="23"/>
      <c r="P130" s="49"/>
      <c r="Q130" s="49"/>
      <c r="R130" s="49"/>
      <c r="S130" s="49"/>
      <c r="T130" s="49"/>
      <c r="U130" s="49"/>
      <c r="V130" s="49"/>
      <c r="W130" s="49"/>
      <c r="X130" s="24"/>
      <c r="Y130" s="24"/>
      <c r="AA130" s="20" t="str">
        <f t="shared" si="16"/>
        <v>·</v>
      </c>
      <c r="AB130" s="21" t="str">
        <f t="shared" si="17"/>
        <v>·</v>
      </c>
      <c r="AC130" s="21" t="str">
        <f t="shared" si="18"/>
        <v>·</v>
      </c>
      <c r="AD130" s="21" t="str">
        <f t="shared" si="19"/>
        <v>·</v>
      </c>
      <c r="AE130" s="21" t="str">
        <f t="shared" si="20"/>
        <v>·</v>
      </c>
      <c r="AF130" s="22"/>
      <c r="AG130" s="23"/>
      <c r="AH130" s="23"/>
      <c r="AI130" s="23"/>
      <c r="AJ130" s="49"/>
      <c r="AK130" s="49"/>
      <c r="AL130" s="49"/>
      <c r="AM130" s="49"/>
      <c r="AN130" s="49"/>
      <c r="AO130" s="49"/>
      <c r="AP130" s="49"/>
      <c r="AQ130" s="49"/>
      <c r="AR130" s="24"/>
      <c r="AS130" s="24"/>
      <c r="AU130" s="20" t="e">
        <f t="shared" si="21"/>
        <v>#DIV/0!</v>
      </c>
      <c r="AV130" s="20" t="e">
        <f t="array" ref="AV130">AVERAGE(AH130:AH135/AG130:AG135) - AVERAGE(N130:N135/M130:M135)</f>
        <v>#DIV/0!</v>
      </c>
      <c r="AX130" s="50" t="e">
        <f>bdRateExtend( M130:M135,P130:P135, AG130:AG135,AJ130:AJ135)</f>
        <v>#VALUE!</v>
      </c>
      <c r="AY130" s="50" t="e">
        <f>bdRateExtend( M130:M135,Q130:Q135, AG130:AG135,AK130:AK135)</f>
        <v>#VALUE!</v>
      </c>
      <c r="AZ130" s="50" t="e">
        <f>bdRateExtend( M130:M135,R130:R135, AG130:AG135,AL130:AL135)</f>
        <v>#VALUE!</v>
      </c>
      <c r="BA130" s="50" t="e">
        <f>bdRateExtend( M130:M135,S130:S135, AG130:AG135,AM130:AM135)</f>
        <v>#VALUE!</v>
      </c>
      <c r="BB130" s="50" t="e">
        <f>bdRateExtend( M130:M135,T130:T135, AG130:AG135,AN130:AN135)</f>
        <v>#VALUE!</v>
      </c>
      <c r="BD130" s="50" t="e">
        <f>bdRateExtend( O130:O135,R130:R135, AI130:AI135,AL130:AL135)</f>
        <v>#VALUE!</v>
      </c>
      <c r="BE130" s="50" t="e">
        <f>bdRateExtend( O130:O135,S130:S135, AI130:AI135,AM130:AM135)</f>
        <v>#VALUE!</v>
      </c>
      <c r="BF130" s="50" t="e">
        <f>bdRateExtend( O130:O135,T130:T135, AI130:AI135,AN130:AN135)</f>
        <v>#VALUE!</v>
      </c>
      <c r="BH130" s="50" t="e">
        <f>bdRateExtend( O130:O135,U130:U135, AI130:AI135,AO130:AO135)</f>
        <v>#VALUE!</v>
      </c>
      <c r="BI130" s="50" t="e">
        <f>bdRateExtend( O130:O135,V130:V135, AI130:AI135,AP130:AP135)</f>
        <v>#VALUE!</v>
      </c>
      <c r="BJ130" s="50" t="e">
        <f>bdRateExtend( O130:O135,W130:W135, AI130:AI135,AQ130:AQ135)</f>
        <v>#VALUE!</v>
      </c>
    </row>
    <row r="131" spans="1:62" outlineLevel="1" x14ac:dyDescent="0.25">
      <c r="A131" s="25"/>
      <c r="B131" s="25"/>
      <c r="C131" s="26" t="s">
        <v>311</v>
      </c>
      <c r="D131" s="25">
        <v>14025709</v>
      </c>
      <c r="E131" s="26">
        <v>20</v>
      </c>
      <c r="G131" s="27" t="str">
        <f t="shared" si="11"/>
        <v>·</v>
      </c>
      <c r="H131" s="28" t="str">
        <f t="shared" si="12"/>
        <v>·</v>
      </c>
      <c r="I131" s="28" t="str">
        <f t="shared" si="13"/>
        <v>·</v>
      </c>
      <c r="J131" s="28" t="str">
        <f t="shared" si="14"/>
        <v>·</v>
      </c>
      <c r="K131" s="28" t="str">
        <f t="shared" si="15"/>
        <v>·</v>
      </c>
      <c r="L131" s="29"/>
      <c r="M131" s="30"/>
      <c r="N131" s="30"/>
      <c r="O131" s="30"/>
      <c r="P131" s="51"/>
      <c r="Q131" s="51"/>
      <c r="R131" s="51"/>
      <c r="S131" s="51"/>
      <c r="T131" s="51"/>
      <c r="U131" s="51"/>
      <c r="V131" s="51"/>
      <c r="W131" s="51"/>
      <c r="X131" s="31"/>
      <c r="Y131" s="31"/>
      <c r="AA131" s="27" t="str">
        <f t="shared" si="16"/>
        <v>·</v>
      </c>
      <c r="AB131" s="28" t="str">
        <f t="shared" si="17"/>
        <v>·</v>
      </c>
      <c r="AC131" s="28" t="str">
        <f t="shared" si="18"/>
        <v>·</v>
      </c>
      <c r="AD131" s="28" t="str">
        <f t="shared" si="19"/>
        <v>·</v>
      </c>
      <c r="AE131" s="28" t="str">
        <f t="shared" si="20"/>
        <v>·</v>
      </c>
      <c r="AF131" s="29"/>
      <c r="AG131" s="30"/>
      <c r="AH131" s="30"/>
      <c r="AI131" s="30"/>
      <c r="AJ131" s="51"/>
      <c r="AK131" s="51"/>
      <c r="AL131" s="51"/>
      <c r="AM131" s="51"/>
      <c r="AN131" s="51"/>
      <c r="AO131" s="51"/>
      <c r="AP131" s="51"/>
      <c r="AQ131" s="51"/>
      <c r="AR131" s="31"/>
      <c r="AS131" s="31"/>
      <c r="AU131" s="27" t="e">
        <f t="shared" si="21"/>
        <v>#DIV/0!</v>
      </c>
      <c r="AV131" s="27"/>
      <c r="AX131" s="52"/>
      <c r="AY131" s="52"/>
      <c r="AZ131" s="52"/>
      <c r="BA131" s="52"/>
      <c r="BB131" s="52"/>
      <c r="BD131" s="52"/>
      <c r="BE131" s="52"/>
      <c r="BF131" s="52"/>
      <c r="BH131" s="52"/>
      <c r="BI131" s="52"/>
      <c r="BJ131" s="52"/>
    </row>
    <row r="132" spans="1:62" outlineLevel="1" x14ac:dyDescent="0.25">
      <c r="A132" s="18"/>
      <c r="B132" s="18"/>
      <c r="C132" s="19" t="s">
        <v>312</v>
      </c>
      <c r="D132" s="18">
        <v>14025709</v>
      </c>
      <c r="E132" s="19">
        <v>20</v>
      </c>
      <c r="G132" s="20" t="str">
        <f t="shared" ref="G132:G195" si="22">IF(ISBLANK(M132),"·",M132/(D132*E132*3))</f>
        <v>·</v>
      </c>
      <c r="H132" s="21" t="str">
        <f t="shared" ref="H132:H195" si="23">IF(ISBLANK(M132),"·",M132/D132)</f>
        <v>·</v>
      </c>
      <c r="I132" s="21" t="str">
        <f t="shared" ref="I132:I195" si="24">IF(N132="","·",N132/D132)</f>
        <v>·</v>
      </c>
      <c r="J132" s="21" t="str">
        <f t="shared" ref="J132:J195" si="25">IF(ISBLANK(O132),"·",O132/D132)</f>
        <v>·</v>
      </c>
      <c r="K132" s="21" t="str">
        <f t="shared" ref="K132:K195" si="26">IF(ISBLANK(M132),"·",M132/L132)</f>
        <v>·</v>
      </c>
      <c r="L132" s="22"/>
      <c r="M132" s="23"/>
      <c r="N132" s="23"/>
      <c r="O132" s="23"/>
      <c r="P132" s="49"/>
      <c r="Q132" s="49"/>
      <c r="R132" s="49"/>
      <c r="S132" s="49"/>
      <c r="T132" s="49"/>
      <c r="U132" s="49"/>
      <c r="V132" s="49"/>
      <c r="W132" s="49"/>
      <c r="X132" s="24"/>
      <c r="Y132" s="24"/>
      <c r="AA132" s="20" t="str">
        <f t="shared" ref="AA132:AA195" si="27">IF(ISBLANK(AG132),"·",AG132/(D132*E132*3))</f>
        <v>·</v>
      </c>
      <c r="AB132" s="21" t="str">
        <f t="shared" ref="AB132:AB195" si="28">IF(ISBLANK(AG132),"·",AG132/D132)</f>
        <v>·</v>
      </c>
      <c r="AC132" s="21" t="str">
        <f t="shared" ref="AC132:AC195" si="29">IF(AH132="","·",AH132/D132)</f>
        <v>·</v>
      </c>
      <c r="AD132" s="21" t="str">
        <f t="shared" ref="AD132:AD195" si="30">IF(ISBLANK(AI132),"·",AI132/D132)</f>
        <v>·</v>
      </c>
      <c r="AE132" s="21" t="str">
        <f t="shared" ref="AE132:AE195" si="31">IF(ISBLANK(AG132),"·",AG132/AF132)</f>
        <v>·</v>
      </c>
      <c r="AF132" s="22"/>
      <c r="AG132" s="23"/>
      <c r="AH132" s="23"/>
      <c r="AI132" s="23"/>
      <c r="AJ132" s="49"/>
      <c r="AK132" s="49"/>
      <c r="AL132" s="49"/>
      <c r="AM132" s="49"/>
      <c r="AN132" s="49"/>
      <c r="AO132" s="49"/>
      <c r="AP132" s="49"/>
      <c r="AQ132" s="49"/>
      <c r="AR132" s="24"/>
      <c r="AS132" s="24"/>
      <c r="AU132" s="20" t="e">
        <f t="shared" ref="AU132:AU195" si="32">(AH132/AG132) - (N132/M132)</f>
        <v>#DIV/0!</v>
      </c>
      <c r="AV132" s="20"/>
      <c r="AX132" s="50"/>
      <c r="AY132" s="50"/>
      <c r="AZ132" s="50"/>
      <c r="BA132" s="50"/>
      <c r="BB132" s="50"/>
      <c r="BD132" s="50"/>
      <c r="BE132" s="50"/>
      <c r="BF132" s="50"/>
      <c r="BH132" s="50"/>
      <c r="BI132" s="50"/>
      <c r="BJ132" s="50"/>
    </row>
    <row r="133" spans="1:62" outlineLevel="1" x14ac:dyDescent="0.25">
      <c r="A133" s="25"/>
      <c r="B133" s="25"/>
      <c r="C133" s="26" t="s">
        <v>313</v>
      </c>
      <c r="D133" s="25">
        <v>14025709</v>
      </c>
      <c r="E133" s="26">
        <v>20</v>
      </c>
      <c r="G133" s="27" t="str">
        <f t="shared" si="22"/>
        <v>·</v>
      </c>
      <c r="H133" s="28" t="str">
        <f t="shared" si="23"/>
        <v>·</v>
      </c>
      <c r="I133" s="28" t="str">
        <f t="shared" si="24"/>
        <v>·</v>
      </c>
      <c r="J133" s="28" t="str">
        <f t="shared" si="25"/>
        <v>·</v>
      </c>
      <c r="K133" s="28" t="str">
        <f t="shared" si="26"/>
        <v>·</v>
      </c>
      <c r="L133" s="29"/>
      <c r="M133" s="30"/>
      <c r="N133" s="30"/>
      <c r="O133" s="30"/>
      <c r="P133" s="51"/>
      <c r="Q133" s="51"/>
      <c r="R133" s="51"/>
      <c r="S133" s="51"/>
      <c r="T133" s="51"/>
      <c r="U133" s="51"/>
      <c r="V133" s="51"/>
      <c r="W133" s="51"/>
      <c r="X133" s="31"/>
      <c r="Y133" s="31"/>
      <c r="AA133" s="27" t="str">
        <f t="shared" si="27"/>
        <v>·</v>
      </c>
      <c r="AB133" s="28" t="str">
        <f t="shared" si="28"/>
        <v>·</v>
      </c>
      <c r="AC133" s="28" t="str">
        <f t="shared" si="29"/>
        <v>·</v>
      </c>
      <c r="AD133" s="28" t="str">
        <f t="shared" si="30"/>
        <v>·</v>
      </c>
      <c r="AE133" s="28" t="str">
        <f t="shared" si="31"/>
        <v>·</v>
      </c>
      <c r="AF133" s="29"/>
      <c r="AG133" s="30"/>
      <c r="AH133" s="30"/>
      <c r="AI133" s="30"/>
      <c r="AJ133" s="51"/>
      <c r="AK133" s="51"/>
      <c r="AL133" s="51"/>
      <c r="AM133" s="51"/>
      <c r="AN133" s="51"/>
      <c r="AO133" s="51"/>
      <c r="AP133" s="51"/>
      <c r="AQ133" s="51"/>
      <c r="AR133" s="31"/>
      <c r="AS133" s="31"/>
      <c r="AU133" s="27" t="e">
        <f t="shared" si="32"/>
        <v>#DIV/0!</v>
      </c>
      <c r="AV133" s="27"/>
      <c r="AX133" s="52"/>
      <c r="AY133" s="52"/>
      <c r="AZ133" s="52"/>
      <c r="BA133" s="52"/>
      <c r="BB133" s="52"/>
      <c r="BD133" s="52"/>
      <c r="BE133" s="52"/>
      <c r="BF133" s="52"/>
      <c r="BH133" s="52"/>
      <c r="BI133" s="52"/>
      <c r="BJ133" s="52"/>
    </row>
    <row r="134" spans="1:62" outlineLevel="1" x14ac:dyDescent="0.25">
      <c r="A134" s="18"/>
      <c r="B134" s="18"/>
      <c r="C134" s="19" t="s">
        <v>428</v>
      </c>
      <c r="D134" s="18">
        <v>14025709</v>
      </c>
      <c r="E134" s="19">
        <v>20</v>
      </c>
      <c r="G134" s="20" t="str">
        <f t="shared" si="22"/>
        <v>·</v>
      </c>
      <c r="H134" s="21" t="str">
        <f t="shared" si="23"/>
        <v>·</v>
      </c>
      <c r="I134" s="21" t="str">
        <f t="shared" si="24"/>
        <v>·</v>
      </c>
      <c r="J134" s="21" t="str">
        <f t="shared" si="25"/>
        <v>·</v>
      </c>
      <c r="K134" s="21" t="str">
        <f t="shared" si="26"/>
        <v>·</v>
      </c>
      <c r="L134" s="22"/>
      <c r="M134" s="23"/>
      <c r="N134" s="23"/>
      <c r="O134" s="23"/>
      <c r="P134" s="49"/>
      <c r="Q134" s="49"/>
      <c r="R134" s="49"/>
      <c r="S134" s="49"/>
      <c r="T134" s="49"/>
      <c r="U134" s="49"/>
      <c r="V134" s="49"/>
      <c r="W134" s="49"/>
      <c r="X134" s="24"/>
      <c r="Y134" s="24"/>
      <c r="AA134" s="20" t="str">
        <f t="shared" si="27"/>
        <v>·</v>
      </c>
      <c r="AB134" s="21" t="str">
        <f t="shared" si="28"/>
        <v>·</v>
      </c>
      <c r="AC134" s="21" t="str">
        <f t="shared" si="29"/>
        <v>·</v>
      </c>
      <c r="AD134" s="21" t="str">
        <f t="shared" si="30"/>
        <v>·</v>
      </c>
      <c r="AE134" s="21" t="str">
        <f t="shared" si="31"/>
        <v>·</v>
      </c>
      <c r="AF134" s="22"/>
      <c r="AG134" s="23"/>
      <c r="AH134" s="23"/>
      <c r="AI134" s="23"/>
      <c r="AJ134" s="49"/>
      <c r="AK134" s="49"/>
      <c r="AL134" s="49"/>
      <c r="AM134" s="49"/>
      <c r="AN134" s="49"/>
      <c r="AO134" s="49"/>
      <c r="AP134" s="49"/>
      <c r="AQ134" s="49"/>
      <c r="AR134" s="24"/>
      <c r="AS134" s="24"/>
      <c r="AU134" s="20" t="e">
        <f t="shared" si="32"/>
        <v>#DIV/0!</v>
      </c>
      <c r="AV134" s="20"/>
      <c r="AX134" s="50"/>
      <c r="AY134" s="50"/>
      <c r="AZ134" s="50"/>
      <c r="BA134" s="50"/>
      <c r="BB134" s="50"/>
      <c r="BD134" s="50"/>
      <c r="BE134" s="50"/>
      <c r="BF134" s="50"/>
      <c r="BH134" s="50"/>
      <c r="BI134" s="50"/>
      <c r="BJ134" s="50"/>
    </row>
    <row r="135" spans="1:62" outlineLevel="1" x14ac:dyDescent="0.25">
      <c r="A135" s="25"/>
      <c r="B135" s="32"/>
      <c r="C135" s="33" t="s">
        <v>429</v>
      </c>
      <c r="D135" s="32">
        <v>14025709</v>
      </c>
      <c r="E135" s="33">
        <v>20</v>
      </c>
      <c r="G135" s="34" t="str">
        <f t="shared" si="22"/>
        <v>·</v>
      </c>
      <c r="H135" s="35" t="str">
        <f t="shared" si="23"/>
        <v>·</v>
      </c>
      <c r="I135" s="35" t="str">
        <f t="shared" si="24"/>
        <v>·</v>
      </c>
      <c r="J135" s="35" t="str">
        <f t="shared" si="25"/>
        <v>·</v>
      </c>
      <c r="K135" s="35" t="str">
        <f t="shared" si="26"/>
        <v>·</v>
      </c>
      <c r="L135" s="36"/>
      <c r="M135" s="37"/>
      <c r="N135" s="37"/>
      <c r="O135" s="37"/>
      <c r="P135" s="53"/>
      <c r="Q135" s="53"/>
      <c r="R135" s="53"/>
      <c r="S135" s="53"/>
      <c r="T135" s="53"/>
      <c r="U135" s="53"/>
      <c r="V135" s="53"/>
      <c r="W135" s="53"/>
      <c r="X135" s="38"/>
      <c r="Y135" s="38"/>
      <c r="AA135" s="34" t="str">
        <f t="shared" si="27"/>
        <v>·</v>
      </c>
      <c r="AB135" s="35" t="str">
        <f t="shared" si="28"/>
        <v>·</v>
      </c>
      <c r="AC135" s="35" t="str">
        <f t="shared" si="29"/>
        <v>·</v>
      </c>
      <c r="AD135" s="35" t="str">
        <f t="shared" si="30"/>
        <v>·</v>
      </c>
      <c r="AE135" s="35" t="str">
        <f t="shared" si="31"/>
        <v>·</v>
      </c>
      <c r="AF135" s="36"/>
      <c r="AG135" s="37"/>
      <c r="AH135" s="37"/>
      <c r="AI135" s="37"/>
      <c r="AJ135" s="53"/>
      <c r="AK135" s="53"/>
      <c r="AL135" s="53"/>
      <c r="AM135" s="53"/>
      <c r="AN135" s="53"/>
      <c r="AO135" s="53"/>
      <c r="AP135" s="53"/>
      <c r="AQ135" s="53"/>
      <c r="AR135" s="38"/>
      <c r="AS135" s="38"/>
      <c r="AU135" s="34" t="e">
        <f t="shared" si="32"/>
        <v>#DIV/0!</v>
      </c>
      <c r="AV135" s="34"/>
      <c r="AX135" s="54"/>
      <c r="AY135" s="54"/>
      <c r="AZ135" s="54"/>
      <c r="BA135" s="54"/>
      <c r="BB135" s="54"/>
      <c r="BD135" s="54"/>
      <c r="BE135" s="54"/>
      <c r="BF135" s="54"/>
      <c r="BH135" s="54"/>
      <c r="BI135" s="54"/>
      <c r="BJ135" s="54"/>
    </row>
    <row r="136" spans="1:62" collapsed="1" x14ac:dyDescent="0.25">
      <c r="A136" s="18"/>
      <c r="B136" s="18" t="s">
        <v>208</v>
      </c>
      <c r="C136" s="19" t="s">
        <v>310</v>
      </c>
      <c r="D136" s="18">
        <v>4848745</v>
      </c>
      <c r="E136" s="19">
        <v>12</v>
      </c>
      <c r="G136" s="20" t="str">
        <f t="shared" si="22"/>
        <v>·</v>
      </c>
      <c r="H136" s="21" t="str">
        <f t="shared" si="23"/>
        <v>·</v>
      </c>
      <c r="I136" s="21" t="str">
        <f t="shared" si="24"/>
        <v>·</v>
      </c>
      <c r="J136" s="21" t="str">
        <f t="shared" si="25"/>
        <v>·</v>
      </c>
      <c r="K136" s="21" t="str">
        <f t="shared" si="26"/>
        <v>·</v>
      </c>
      <c r="L136" s="22"/>
      <c r="M136" s="23"/>
      <c r="N136" s="23"/>
      <c r="O136" s="23"/>
      <c r="P136" s="49"/>
      <c r="Q136" s="49"/>
      <c r="R136" s="49"/>
      <c r="S136" s="49"/>
      <c r="T136" s="49"/>
      <c r="U136" s="49"/>
      <c r="V136" s="49"/>
      <c r="W136" s="49"/>
      <c r="X136" s="24"/>
      <c r="Y136" s="24"/>
      <c r="AA136" s="20" t="str">
        <f t="shared" si="27"/>
        <v>·</v>
      </c>
      <c r="AB136" s="21" t="str">
        <f t="shared" si="28"/>
        <v>·</v>
      </c>
      <c r="AC136" s="21" t="str">
        <f t="shared" si="29"/>
        <v>·</v>
      </c>
      <c r="AD136" s="21" t="str">
        <f t="shared" si="30"/>
        <v>·</v>
      </c>
      <c r="AE136" s="21" t="str">
        <f t="shared" si="31"/>
        <v>·</v>
      </c>
      <c r="AF136" s="22"/>
      <c r="AG136" s="23"/>
      <c r="AH136" s="23"/>
      <c r="AI136" s="23"/>
      <c r="AJ136" s="49"/>
      <c r="AK136" s="49"/>
      <c r="AL136" s="49"/>
      <c r="AM136" s="49"/>
      <c r="AN136" s="49"/>
      <c r="AO136" s="49"/>
      <c r="AP136" s="49"/>
      <c r="AQ136" s="49"/>
      <c r="AR136" s="24"/>
      <c r="AS136" s="24"/>
      <c r="AU136" s="20" t="e">
        <f t="shared" si="32"/>
        <v>#DIV/0!</v>
      </c>
      <c r="AV136" s="20" t="e">
        <f t="array" ref="AV136">AVERAGE(AH136:AH141/AG136:AG141) - AVERAGE(N136:N141/M136:M141)</f>
        <v>#DIV/0!</v>
      </c>
      <c r="AX136" s="50" t="e">
        <f>bdRateExtend( M136:M141,P136:P141, AG136:AG141,AJ136:AJ141)</f>
        <v>#VALUE!</v>
      </c>
      <c r="AY136" s="50" t="e">
        <f>bdRateExtend( M136:M141,Q136:Q141, AG136:AG141,AK136:AK141)</f>
        <v>#VALUE!</v>
      </c>
      <c r="AZ136" s="50" t="e">
        <f>bdRateExtend( M136:M141,R136:R141, AG136:AG141,AL136:AL141)</f>
        <v>#VALUE!</v>
      </c>
      <c r="BA136" s="50" t="e">
        <f>bdRateExtend( M136:M141,S136:S141, AG136:AG141,AM136:AM141)</f>
        <v>#VALUE!</v>
      </c>
      <c r="BB136" s="50" t="e">
        <f>bdRateExtend( M136:M141,T136:T141, AG136:AG141,AN136:AN141)</f>
        <v>#VALUE!</v>
      </c>
      <c r="BD136" s="50" t="e">
        <f>bdRateExtend( O136:O141,R136:R141, AI136:AI141,AL136:AL141)</f>
        <v>#VALUE!</v>
      </c>
      <c r="BE136" s="50" t="e">
        <f>bdRateExtend( O136:O141,S136:S141, AI136:AI141,AM136:AM141)</f>
        <v>#VALUE!</v>
      </c>
      <c r="BF136" s="50" t="e">
        <f>bdRateExtend( O136:O141,T136:T141, AI136:AI141,AN136:AN141)</f>
        <v>#VALUE!</v>
      </c>
      <c r="BH136" s="50" t="e">
        <f>bdRateExtend( O136:O141,U136:U141, AI136:AI141,AO136:AO141)</f>
        <v>#VALUE!</v>
      </c>
      <c r="BI136" s="50" t="e">
        <f>bdRateExtend( O136:O141,V136:V141, AI136:AI141,AP136:AP141)</f>
        <v>#VALUE!</v>
      </c>
      <c r="BJ136" s="50" t="e">
        <f>bdRateExtend( O136:O141,W136:W141, AI136:AI141,AQ136:AQ141)</f>
        <v>#VALUE!</v>
      </c>
    </row>
    <row r="137" spans="1:62" outlineLevel="1" x14ac:dyDescent="0.25">
      <c r="A137" s="25"/>
      <c r="B137" s="25"/>
      <c r="C137" s="26" t="s">
        <v>311</v>
      </c>
      <c r="D137" s="25">
        <v>4848745</v>
      </c>
      <c r="E137" s="26">
        <v>12</v>
      </c>
      <c r="G137" s="27" t="str">
        <f t="shared" si="22"/>
        <v>·</v>
      </c>
      <c r="H137" s="28" t="str">
        <f t="shared" si="23"/>
        <v>·</v>
      </c>
      <c r="I137" s="28" t="str">
        <f t="shared" si="24"/>
        <v>·</v>
      </c>
      <c r="J137" s="28" t="str">
        <f t="shared" si="25"/>
        <v>·</v>
      </c>
      <c r="K137" s="28" t="str">
        <f t="shared" si="26"/>
        <v>·</v>
      </c>
      <c r="L137" s="29"/>
      <c r="M137" s="30"/>
      <c r="N137" s="30"/>
      <c r="O137" s="30"/>
      <c r="P137" s="51"/>
      <c r="Q137" s="51"/>
      <c r="R137" s="51"/>
      <c r="S137" s="51"/>
      <c r="T137" s="51"/>
      <c r="U137" s="51"/>
      <c r="V137" s="51"/>
      <c r="W137" s="51"/>
      <c r="X137" s="31"/>
      <c r="Y137" s="31"/>
      <c r="AA137" s="27" t="str">
        <f t="shared" si="27"/>
        <v>·</v>
      </c>
      <c r="AB137" s="28" t="str">
        <f t="shared" si="28"/>
        <v>·</v>
      </c>
      <c r="AC137" s="28" t="str">
        <f t="shared" si="29"/>
        <v>·</v>
      </c>
      <c r="AD137" s="28" t="str">
        <f t="shared" si="30"/>
        <v>·</v>
      </c>
      <c r="AE137" s="28" t="str">
        <f t="shared" si="31"/>
        <v>·</v>
      </c>
      <c r="AF137" s="29"/>
      <c r="AG137" s="30"/>
      <c r="AH137" s="30"/>
      <c r="AI137" s="30"/>
      <c r="AJ137" s="51"/>
      <c r="AK137" s="51"/>
      <c r="AL137" s="51"/>
      <c r="AM137" s="51"/>
      <c r="AN137" s="51"/>
      <c r="AO137" s="51"/>
      <c r="AP137" s="51"/>
      <c r="AQ137" s="51"/>
      <c r="AR137" s="31"/>
      <c r="AS137" s="31"/>
      <c r="AU137" s="27" t="e">
        <f t="shared" si="32"/>
        <v>#DIV/0!</v>
      </c>
      <c r="AV137" s="27"/>
      <c r="AX137" s="52"/>
      <c r="AY137" s="52"/>
      <c r="AZ137" s="52"/>
      <c r="BA137" s="52"/>
      <c r="BB137" s="52"/>
      <c r="BD137" s="52"/>
      <c r="BE137" s="52"/>
      <c r="BF137" s="52"/>
      <c r="BH137" s="52"/>
      <c r="BI137" s="52"/>
      <c r="BJ137" s="52"/>
    </row>
    <row r="138" spans="1:62" outlineLevel="1" x14ac:dyDescent="0.25">
      <c r="A138" s="18"/>
      <c r="B138" s="18"/>
      <c r="C138" s="19" t="s">
        <v>312</v>
      </c>
      <c r="D138" s="18">
        <v>4848745</v>
      </c>
      <c r="E138" s="19">
        <v>12</v>
      </c>
      <c r="G138" s="20" t="str">
        <f t="shared" si="22"/>
        <v>·</v>
      </c>
      <c r="H138" s="21" t="str">
        <f t="shared" si="23"/>
        <v>·</v>
      </c>
      <c r="I138" s="21" t="str">
        <f t="shared" si="24"/>
        <v>·</v>
      </c>
      <c r="J138" s="21" t="str">
        <f t="shared" si="25"/>
        <v>·</v>
      </c>
      <c r="K138" s="21" t="str">
        <f t="shared" si="26"/>
        <v>·</v>
      </c>
      <c r="L138" s="22"/>
      <c r="M138" s="23"/>
      <c r="N138" s="23"/>
      <c r="O138" s="23"/>
      <c r="P138" s="49"/>
      <c r="Q138" s="49"/>
      <c r="R138" s="49"/>
      <c r="S138" s="49"/>
      <c r="T138" s="49"/>
      <c r="U138" s="49"/>
      <c r="V138" s="49"/>
      <c r="W138" s="49"/>
      <c r="X138" s="24"/>
      <c r="Y138" s="24"/>
      <c r="AA138" s="20" t="str">
        <f t="shared" si="27"/>
        <v>·</v>
      </c>
      <c r="AB138" s="21" t="str">
        <f t="shared" si="28"/>
        <v>·</v>
      </c>
      <c r="AC138" s="21" t="str">
        <f t="shared" si="29"/>
        <v>·</v>
      </c>
      <c r="AD138" s="21" t="str">
        <f t="shared" si="30"/>
        <v>·</v>
      </c>
      <c r="AE138" s="21" t="str">
        <f t="shared" si="31"/>
        <v>·</v>
      </c>
      <c r="AF138" s="22"/>
      <c r="AG138" s="23"/>
      <c r="AH138" s="23"/>
      <c r="AI138" s="23"/>
      <c r="AJ138" s="49"/>
      <c r="AK138" s="49"/>
      <c r="AL138" s="49"/>
      <c r="AM138" s="49"/>
      <c r="AN138" s="49"/>
      <c r="AO138" s="49"/>
      <c r="AP138" s="49"/>
      <c r="AQ138" s="49"/>
      <c r="AR138" s="24"/>
      <c r="AS138" s="24"/>
      <c r="AU138" s="20" t="e">
        <f t="shared" si="32"/>
        <v>#DIV/0!</v>
      </c>
      <c r="AV138" s="20"/>
      <c r="AX138" s="50"/>
      <c r="AY138" s="50"/>
      <c r="AZ138" s="50"/>
      <c r="BA138" s="50"/>
      <c r="BB138" s="50"/>
      <c r="BD138" s="50"/>
      <c r="BE138" s="50"/>
      <c r="BF138" s="50"/>
      <c r="BH138" s="50"/>
      <c r="BI138" s="50"/>
      <c r="BJ138" s="50"/>
    </row>
    <row r="139" spans="1:62" outlineLevel="1" x14ac:dyDescent="0.25">
      <c r="A139" s="25"/>
      <c r="B139" s="25"/>
      <c r="C139" s="26" t="s">
        <v>313</v>
      </c>
      <c r="D139" s="25">
        <v>4848745</v>
      </c>
      <c r="E139" s="26">
        <v>12</v>
      </c>
      <c r="G139" s="27" t="str">
        <f t="shared" si="22"/>
        <v>·</v>
      </c>
      <c r="H139" s="28" t="str">
        <f t="shared" si="23"/>
        <v>·</v>
      </c>
      <c r="I139" s="28" t="str">
        <f t="shared" si="24"/>
        <v>·</v>
      </c>
      <c r="J139" s="28" t="str">
        <f t="shared" si="25"/>
        <v>·</v>
      </c>
      <c r="K139" s="28" t="str">
        <f t="shared" si="26"/>
        <v>·</v>
      </c>
      <c r="L139" s="29"/>
      <c r="M139" s="30"/>
      <c r="N139" s="30"/>
      <c r="O139" s="30"/>
      <c r="P139" s="51"/>
      <c r="Q139" s="51"/>
      <c r="R139" s="51"/>
      <c r="S139" s="51"/>
      <c r="T139" s="51"/>
      <c r="U139" s="51"/>
      <c r="V139" s="51"/>
      <c r="W139" s="51"/>
      <c r="X139" s="31"/>
      <c r="Y139" s="31"/>
      <c r="AA139" s="27" t="str">
        <f t="shared" si="27"/>
        <v>·</v>
      </c>
      <c r="AB139" s="28" t="str">
        <f t="shared" si="28"/>
        <v>·</v>
      </c>
      <c r="AC139" s="28" t="str">
        <f t="shared" si="29"/>
        <v>·</v>
      </c>
      <c r="AD139" s="28" t="str">
        <f t="shared" si="30"/>
        <v>·</v>
      </c>
      <c r="AE139" s="28" t="str">
        <f t="shared" si="31"/>
        <v>·</v>
      </c>
      <c r="AF139" s="29"/>
      <c r="AG139" s="30"/>
      <c r="AH139" s="30"/>
      <c r="AI139" s="30"/>
      <c r="AJ139" s="51"/>
      <c r="AK139" s="51"/>
      <c r="AL139" s="51"/>
      <c r="AM139" s="51"/>
      <c r="AN139" s="51"/>
      <c r="AO139" s="51"/>
      <c r="AP139" s="51"/>
      <c r="AQ139" s="51"/>
      <c r="AR139" s="31"/>
      <c r="AS139" s="31"/>
      <c r="AU139" s="27" t="e">
        <f t="shared" si="32"/>
        <v>#DIV/0!</v>
      </c>
      <c r="AV139" s="27"/>
      <c r="AX139" s="52"/>
      <c r="AY139" s="52"/>
      <c r="AZ139" s="52"/>
      <c r="BA139" s="52"/>
      <c r="BB139" s="52"/>
      <c r="BD139" s="52"/>
      <c r="BE139" s="52"/>
      <c r="BF139" s="52"/>
      <c r="BH139" s="52"/>
      <c r="BI139" s="52"/>
      <c r="BJ139" s="52"/>
    </row>
    <row r="140" spans="1:62" outlineLevel="1" x14ac:dyDescent="0.25">
      <c r="A140" s="18"/>
      <c r="B140" s="18"/>
      <c r="C140" s="19" t="s">
        <v>428</v>
      </c>
      <c r="D140" s="18">
        <v>4848745</v>
      </c>
      <c r="E140" s="19">
        <v>12</v>
      </c>
      <c r="G140" s="20" t="str">
        <f t="shared" si="22"/>
        <v>·</v>
      </c>
      <c r="H140" s="21" t="str">
        <f t="shared" si="23"/>
        <v>·</v>
      </c>
      <c r="I140" s="21" t="str">
        <f t="shared" si="24"/>
        <v>·</v>
      </c>
      <c r="J140" s="21" t="str">
        <f t="shared" si="25"/>
        <v>·</v>
      </c>
      <c r="K140" s="21" t="str">
        <f t="shared" si="26"/>
        <v>·</v>
      </c>
      <c r="L140" s="22"/>
      <c r="M140" s="23"/>
      <c r="N140" s="23"/>
      <c r="O140" s="23"/>
      <c r="P140" s="49"/>
      <c r="Q140" s="49"/>
      <c r="R140" s="49"/>
      <c r="S140" s="49"/>
      <c r="T140" s="49"/>
      <c r="U140" s="49"/>
      <c r="V140" s="49"/>
      <c r="W140" s="49"/>
      <c r="X140" s="24"/>
      <c r="Y140" s="24"/>
      <c r="AA140" s="20" t="str">
        <f t="shared" si="27"/>
        <v>·</v>
      </c>
      <c r="AB140" s="21" t="str">
        <f t="shared" si="28"/>
        <v>·</v>
      </c>
      <c r="AC140" s="21" t="str">
        <f t="shared" si="29"/>
        <v>·</v>
      </c>
      <c r="AD140" s="21" t="str">
        <f t="shared" si="30"/>
        <v>·</v>
      </c>
      <c r="AE140" s="21" t="str">
        <f t="shared" si="31"/>
        <v>·</v>
      </c>
      <c r="AF140" s="22"/>
      <c r="AG140" s="23"/>
      <c r="AH140" s="23"/>
      <c r="AI140" s="23"/>
      <c r="AJ140" s="49"/>
      <c r="AK140" s="49"/>
      <c r="AL140" s="49"/>
      <c r="AM140" s="49"/>
      <c r="AN140" s="49"/>
      <c r="AO140" s="49"/>
      <c r="AP140" s="49"/>
      <c r="AQ140" s="49"/>
      <c r="AR140" s="24"/>
      <c r="AS140" s="24"/>
      <c r="AU140" s="20" t="e">
        <f t="shared" si="32"/>
        <v>#DIV/0!</v>
      </c>
      <c r="AV140" s="20"/>
      <c r="AX140" s="50"/>
      <c r="AY140" s="50"/>
      <c r="AZ140" s="50"/>
      <c r="BA140" s="50"/>
      <c r="BB140" s="50"/>
      <c r="BD140" s="50"/>
      <c r="BE140" s="50"/>
      <c r="BF140" s="50"/>
      <c r="BH140" s="50"/>
      <c r="BI140" s="50"/>
      <c r="BJ140" s="50"/>
    </row>
    <row r="141" spans="1:62" outlineLevel="1" x14ac:dyDescent="0.25">
      <c r="A141" s="25"/>
      <c r="B141" s="32"/>
      <c r="C141" s="33" t="s">
        <v>429</v>
      </c>
      <c r="D141" s="32">
        <v>4848745</v>
      </c>
      <c r="E141" s="33">
        <v>12</v>
      </c>
      <c r="G141" s="34" t="str">
        <f t="shared" si="22"/>
        <v>·</v>
      </c>
      <c r="H141" s="35" t="str">
        <f t="shared" si="23"/>
        <v>·</v>
      </c>
      <c r="I141" s="35" t="str">
        <f t="shared" si="24"/>
        <v>·</v>
      </c>
      <c r="J141" s="35" t="str">
        <f t="shared" si="25"/>
        <v>·</v>
      </c>
      <c r="K141" s="35" t="str">
        <f t="shared" si="26"/>
        <v>·</v>
      </c>
      <c r="L141" s="36"/>
      <c r="M141" s="37"/>
      <c r="N141" s="37"/>
      <c r="O141" s="37"/>
      <c r="P141" s="53"/>
      <c r="Q141" s="53"/>
      <c r="R141" s="53"/>
      <c r="S141" s="53"/>
      <c r="T141" s="53"/>
      <c r="U141" s="53"/>
      <c r="V141" s="53"/>
      <c r="W141" s="53"/>
      <c r="X141" s="38"/>
      <c r="Y141" s="38"/>
      <c r="AA141" s="34" t="str">
        <f t="shared" si="27"/>
        <v>·</v>
      </c>
      <c r="AB141" s="35" t="str">
        <f t="shared" si="28"/>
        <v>·</v>
      </c>
      <c r="AC141" s="35" t="str">
        <f t="shared" si="29"/>
        <v>·</v>
      </c>
      <c r="AD141" s="35" t="str">
        <f t="shared" si="30"/>
        <v>·</v>
      </c>
      <c r="AE141" s="35" t="str">
        <f t="shared" si="31"/>
        <v>·</v>
      </c>
      <c r="AF141" s="36"/>
      <c r="AG141" s="37"/>
      <c r="AH141" s="37"/>
      <c r="AI141" s="37"/>
      <c r="AJ141" s="53"/>
      <c r="AK141" s="53"/>
      <c r="AL141" s="53"/>
      <c r="AM141" s="53"/>
      <c r="AN141" s="53"/>
      <c r="AO141" s="53"/>
      <c r="AP141" s="53"/>
      <c r="AQ141" s="53"/>
      <c r="AR141" s="38"/>
      <c r="AS141" s="38"/>
      <c r="AU141" s="34" t="e">
        <f t="shared" si="32"/>
        <v>#DIV/0!</v>
      </c>
      <c r="AV141" s="34"/>
      <c r="AX141" s="54"/>
      <c r="AY141" s="54"/>
      <c r="AZ141" s="54"/>
      <c r="BA141" s="54"/>
      <c r="BB141" s="54"/>
      <c r="BD141" s="54"/>
      <c r="BE141" s="54"/>
      <c r="BF141" s="54"/>
      <c r="BH141" s="54"/>
      <c r="BI141" s="54"/>
      <c r="BJ141" s="54"/>
    </row>
    <row r="142" spans="1:62" collapsed="1" x14ac:dyDescent="0.25">
      <c r="A142" s="18"/>
      <c r="B142" s="18" t="s">
        <v>211</v>
      </c>
      <c r="C142" s="19" t="s">
        <v>310</v>
      </c>
      <c r="D142" s="18">
        <v>5001077</v>
      </c>
      <c r="E142" s="19">
        <v>20</v>
      </c>
      <c r="G142" s="20" t="str">
        <f t="shared" si="22"/>
        <v>·</v>
      </c>
      <c r="H142" s="21" t="str">
        <f t="shared" si="23"/>
        <v>·</v>
      </c>
      <c r="I142" s="21" t="str">
        <f t="shared" si="24"/>
        <v>·</v>
      </c>
      <c r="J142" s="21" t="str">
        <f t="shared" si="25"/>
        <v>·</v>
      </c>
      <c r="K142" s="21" t="str">
        <f t="shared" si="26"/>
        <v>·</v>
      </c>
      <c r="L142" s="22"/>
      <c r="M142" s="23"/>
      <c r="N142" s="23"/>
      <c r="O142" s="23"/>
      <c r="P142" s="49"/>
      <c r="Q142" s="49"/>
      <c r="R142" s="49"/>
      <c r="S142" s="49"/>
      <c r="T142" s="49"/>
      <c r="U142" s="49"/>
      <c r="V142" s="49"/>
      <c r="W142" s="49"/>
      <c r="X142" s="24"/>
      <c r="Y142" s="24"/>
      <c r="AA142" s="20" t="str">
        <f t="shared" si="27"/>
        <v>·</v>
      </c>
      <c r="AB142" s="21" t="str">
        <f t="shared" si="28"/>
        <v>·</v>
      </c>
      <c r="AC142" s="21" t="str">
        <f t="shared" si="29"/>
        <v>·</v>
      </c>
      <c r="AD142" s="21" t="str">
        <f t="shared" si="30"/>
        <v>·</v>
      </c>
      <c r="AE142" s="21" t="str">
        <f t="shared" si="31"/>
        <v>·</v>
      </c>
      <c r="AF142" s="22"/>
      <c r="AG142" s="23"/>
      <c r="AH142" s="23"/>
      <c r="AI142" s="23"/>
      <c r="AJ142" s="49"/>
      <c r="AK142" s="49"/>
      <c r="AL142" s="49"/>
      <c r="AM142" s="49"/>
      <c r="AN142" s="49"/>
      <c r="AO142" s="49"/>
      <c r="AP142" s="49"/>
      <c r="AQ142" s="49"/>
      <c r="AR142" s="24"/>
      <c r="AS142" s="24"/>
      <c r="AU142" s="20" t="e">
        <f t="shared" si="32"/>
        <v>#DIV/0!</v>
      </c>
      <c r="AV142" s="20" t="e">
        <f t="array" ref="AV142">AVERAGE(AH142:AH147/AG142:AG147) - AVERAGE(N142:N147/M142:M147)</f>
        <v>#DIV/0!</v>
      </c>
      <c r="AX142" s="50" t="e">
        <f>bdRateExtend( M142:M147,P142:P147, AG142:AG147,AJ142:AJ147)</f>
        <v>#VALUE!</v>
      </c>
      <c r="AY142" s="50" t="e">
        <f>bdRateExtend( M142:M147,Q142:Q147, AG142:AG147,AK142:AK147)</f>
        <v>#VALUE!</v>
      </c>
      <c r="AZ142" s="50" t="e">
        <f>bdRateExtend( M142:M147,R142:R147, AG142:AG147,AL142:AL147)</f>
        <v>#VALUE!</v>
      </c>
      <c r="BA142" s="50" t="e">
        <f>bdRateExtend( M142:M147,S142:S147, AG142:AG147,AM142:AM147)</f>
        <v>#VALUE!</v>
      </c>
      <c r="BB142" s="50" t="e">
        <f>bdRateExtend( M142:M147,T142:T147, AG142:AG147,AN142:AN147)</f>
        <v>#VALUE!</v>
      </c>
      <c r="BD142" s="50" t="e">
        <f>bdRateExtend( O142:O147,R142:R147, AI142:AI147,AL142:AL147)</f>
        <v>#VALUE!</v>
      </c>
      <c r="BE142" s="50" t="e">
        <f>bdRateExtend( O142:O147,S142:S147, AI142:AI147,AM142:AM147)</f>
        <v>#VALUE!</v>
      </c>
      <c r="BF142" s="50" t="e">
        <f>bdRateExtend( O142:O147,T142:T147, AI142:AI147,AN142:AN147)</f>
        <v>#VALUE!</v>
      </c>
      <c r="BH142" s="50" t="e">
        <f>bdRateExtend( O142:O147,U142:U147, AI142:AI147,AO142:AO147)</f>
        <v>#VALUE!</v>
      </c>
      <c r="BI142" s="50" t="e">
        <f>bdRateExtend( O142:O147,V142:V147, AI142:AI147,AP142:AP147)</f>
        <v>#VALUE!</v>
      </c>
      <c r="BJ142" s="50" t="e">
        <f>bdRateExtend( O142:O147,W142:W147, AI142:AI147,AQ142:AQ147)</f>
        <v>#VALUE!</v>
      </c>
    </row>
    <row r="143" spans="1:62" outlineLevel="1" x14ac:dyDescent="0.25">
      <c r="A143" s="25"/>
      <c r="B143" s="25"/>
      <c r="C143" s="26" t="s">
        <v>311</v>
      </c>
      <c r="D143" s="25">
        <v>5001077</v>
      </c>
      <c r="E143" s="26">
        <v>20</v>
      </c>
      <c r="G143" s="27" t="str">
        <f t="shared" si="22"/>
        <v>·</v>
      </c>
      <c r="H143" s="28" t="str">
        <f t="shared" si="23"/>
        <v>·</v>
      </c>
      <c r="I143" s="28" t="str">
        <f t="shared" si="24"/>
        <v>·</v>
      </c>
      <c r="J143" s="28" t="str">
        <f t="shared" si="25"/>
        <v>·</v>
      </c>
      <c r="K143" s="28" t="str">
        <f t="shared" si="26"/>
        <v>·</v>
      </c>
      <c r="L143" s="29"/>
      <c r="M143" s="30"/>
      <c r="N143" s="30"/>
      <c r="O143" s="30"/>
      <c r="P143" s="51"/>
      <c r="Q143" s="51"/>
      <c r="R143" s="51"/>
      <c r="S143" s="51"/>
      <c r="T143" s="51"/>
      <c r="U143" s="51"/>
      <c r="V143" s="51"/>
      <c r="W143" s="51"/>
      <c r="X143" s="31"/>
      <c r="Y143" s="31"/>
      <c r="AA143" s="27" t="str">
        <f t="shared" si="27"/>
        <v>·</v>
      </c>
      <c r="AB143" s="28" t="str">
        <f t="shared" si="28"/>
        <v>·</v>
      </c>
      <c r="AC143" s="28" t="str">
        <f t="shared" si="29"/>
        <v>·</v>
      </c>
      <c r="AD143" s="28" t="str">
        <f t="shared" si="30"/>
        <v>·</v>
      </c>
      <c r="AE143" s="28" t="str">
        <f t="shared" si="31"/>
        <v>·</v>
      </c>
      <c r="AF143" s="29"/>
      <c r="AG143" s="30"/>
      <c r="AH143" s="30"/>
      <c r="AI143" s="30"/>
      <c r="AJ143" s="51"/>
      <c r="AK143" s="51"/>
      <c r="AL143" s="51"/>
      <c r="AM143" s="51"/>
      <c r="AN143" s="51"/>
      <c r="AO143" s="51"/>
      <c r="AP143" s="51"/>
      <c r="AQ143" s="51"/>
      <c r="AR143" s="31"/>
      <c r="AS143" s="31"/>
      <c r="AU143" s="27" t="e">
        <f t="shared" si="32"/>
        <v>#DIV/0!</v>
      </c>
      <c r="AV143" s="27"/>
      <c r="AX143" s="52"/>
      <c r="AY143" s="52"/>
      <c r="AZ143" s="52"/>
      <c r="BA143" s="52"/>
      <c r="BB143" s="52"/>
      <c r="BD143" s="52"/>
      <c r="BE143" s="52"/>
      <c r="BF143" s="52"/>
      <c r="BH143" s="52"/>
      <c r="BI143" s="52"/>
      <c r="BJ143" s="52"/>
    </row>
    <row r="144" spans="1:62" outlineLevel="1" x14ac:dyDescent="0.25">
      <c r="A144" s="18"/>
      <c r="B144" s="18"/>
      <c r="C144" s="19" t="s">
        <v>312</v>
      </c>
      <c r="D144" s="18">
        <v>5001077</v>
      </c>
      <c r="E144" s="19">
        <v>20</v>
      </c>
      <c r="G144" s="20" t="str">
        <f t="shared" si="22"/>
        <v>·</v>
      </c>
      <c r="H144" s="21" t="str">
        <f t="shared" si="23"/>
        <v>·</v>
      </c>
      <c r="I144" s="21" t="str">
        <f t="shared" si="24"/>
        <v>·</v>
      </c>
      <c r="J144" s="21" t="str">
        <f t="shared" si="25"/>
        <v>·</v>
      </c>
      <c r="K144" s="21" t="str">
        <f t="shared" si="26"/>
        <v>·</v>
      </c>
      <c r="L144" s="22"/>
      <c r="M144" s="23"/>
      <c r="N144" s="23"/>
      <c r="O144" s="23"/>
      <c r="P144" s="49"/>
      <c r="Q144" s="49"/>
      <c r="R144" s="49"/>
      <c r="S144" s="49"/>
      <c r="T144" s="49"/>
      <c r="U144" s="49"/>
      <c r="V144" s="49"/>
      <c r="W144" s="49"/>
      <c r="X144" s="24"/>
      <c r="Y144" s="24"/>
      <c r="AA144" s="20" t="str">
        <f t="shared" si="27"/>
        <v>·</v>
      </c>
      <c r="AB144" s="21" t="str">
        <f t="shared" si="28"/>
        <v>·</v>
      </c>
      <c r="AC144" s="21" t="str">
        <f t="shared" si="29"/>
        <v>·</v>
      </c>
      <c r="AD144" s="21" t="str">
        <f t="shared" si="30"/>
        <v>·</v>
      </c>
      <c r="AE144" s="21" t="str">
        <f t="shared" si="31"/>
        <v>·</v>
      </c>
      <c r="AF144" s="22"/>
      <c r="AG144" s="23"/>
      <c r="AH144" s="23"/>
      <c r="AI144" s="23"/>
      <c r="AJ144" s="49"/>
      <c r="AK144" s="49"/>
      <c r="AL144" s="49"/>
      <c r="AM144" s="49"/>
      <c r="AN144" s="49"/>
      <c r="AO144" s="49"/>
      <c r="AP144" s="49"/>
      <c r="AQ144" s="49"/>
      <c r="AR144" s="24"/>
      <c r="AS144" s="24"/>
      <c r="AU144" s="20" t="e">
        <f t="shared" si="32"/>
        <v>#DIV/0!</v>
      </c>
      <c r="AV144" s="20"/>
      <c r="AX144" s="50"/>
      <c r="AY144" s="50"/>
      <c r="AZ144" s="50"/>
      <c r="BA144" s="50"/>
      <c r="BB144" s="50"/>
      <c r="BD144" s="50"/>
      <c r="BE144" s="50"/>
      <c r="BF144" s="50"/>
      <c r="BH144" s="50"/>
      <c r="BI144" s="50"/>
      <c r="BJ144" s="50"/>
    </row>
    <row r="145" spans="1:62" outlineLevel="1" x14ac:dyDescent="0.25">
      <c r="A145" s="25"/>
      <c r="B145" s="25"/>
      <c r="C145" s="26" t="s">
        <v>313</v>
      </c>
      <c r="D145" s="25">
        <v>5001077</v>
      </c>
      <c r="E145" s="26">
        <v>20</v>
      </c>
      <c r="G145" s="27" t="str">
        <f t="shared" si="22"/>
        <v>·</v>
      </c>
      <c r="H145" s="28" t="str">
        <f t="shared" si="23"/>
        <v>·</v>
      </c>
      <c r="I145" s="28" t="str">
        <f t="shared" si="24"/>
        <v>·</v>
      </c>
      <c r="J145" s="28" t="str">
        <f t="shared" si="25"/>
        <v>·</v>
      </c>
      <c r="K145" s="28" t="str">
        <f t="shared" si="26"/>
        <v>·</v>
      </c>
      <c r="L145" s="29"/>
      <c r="M145" s="30"/>
      <c r="N145" s="30"/>
      <c r="O145" s="30"/>
      <c r="P145" s="51"/>
      <c r="Q145" s="51"/>
      <c r="R145" s="51"/>
      <c r="S145" s="51"/>
      <c r="T145" s="51"/>
      <c r="U145" s="51"/>
      <c r="V145" s="51"/>
      <c r="W145" s="51"/>
      <c r="X145" s="31"/>
      <c r="Y145" s="31"/>
      <c r="AA145" s="27" t="str">
        <f t="shared" si="27"/>
        <v>·</v>
      </c>
      <c r="AB145" s="28" t="str">
        <f t="shared" si="28"/>
        <v>·</v>
      </c>
      <c r="AC145" s="28" t="str">
        <f t="shared" si="29"/>
        <v>·</v>
      </c>
      <c r="AD145" s="28" t="str">
        <f t="shared" si="30"/>
        <v>·</v>
      </c>
      <c r="AE145" s="28" t="str">
        <f t="shared" si="31"/>
        <v>·</v>
      </c>
      <c r="AF145" s="29"/>
      <c r="AG145" s="30"/>
      <c r="AH145" s="30"/>
      <c r="AI145" s="30"/>
      <c r="AJ145" s="51"/>
      <c r="AK145" s="51"/>
      <c r="AL145" s="51"/>
      <c r="AM145" s="51"/>
      <c r="AN145" s="51"/>
      <c r="AO145" s="51"/>
      <c r="AP145" s="51"/>
      <c r="AQ145" s="51"/>
      <c r="AR145" s="31"/>
      <c r="AS145" s="31"/>
      <c r="AU145" s="27" t="e">
        <f t="shared" si="32"/>
        <v>#DIV/0!</v>
      </c>
      <c r="AV145" s="27"/>
      <c r="AX145" s="52"/>
      <c r="AY145" s="52"/>
      <c r="AZ145" s="52"/>
      <c r="BA145" s="52"/>
      <c r="BB145" s="52"/>
      <c r="BD145" s="52"/>
      <c r="BE145" s="52"/>
      <c r="BF145" s="52"/>
      <c r="BH145" s="52"/>
      <c r="BI145" s="52"/>
      <c r="BJ145" s="52"/>
    </row>
    <row r="146" spans="1:62" outlineLevel="1" x14ac:dyDescent="0.25">
      <c r="A146" s="18"/>
      <c r="B146" s="18"/>
      <c r="C146" s="19" t="s">
        <v>428</v>
      </c>
      <c r="D146" s="18">
        <v>5001077</v>
      </c>
      <c r="E146" s="19">
        <v>20</v>
      </c>
      <c r="G146" s="20" t="str">
        <f t="shared" si="22"/>
        <v>·</v>
      </c>
      <c r="H146" s="21" t="str">
        <f t="shared" si="23"/>
        <v>·</v>
      </c>
      <c r="I146" s="21" t="str">
        <f t="shared" si="24"/>
        <v>·</v>
      </c>
      <c r="J146" s="21" t="str">
        <f t="shared" si="25"/>
        <v>·</v>
      </c>
      <c r="K146" s="21" t="str">
        <f t="shared" si="26"/>
        <v>·</v>
      </c>
      <c r="L146" s="22"/>
      <c r="M146" s="23"/>
      <c r="N146" s="23"/>
      <c r="O146" s="23"/>
      <c r="P146" s="49"/>
      <c r="Q146" s="49"/>
      <c r="R146" s="49"/>
      <c r="S146" s="49"/>
      <c r="T146" s="49"/>
      <c r="U146" s="49"/>
      <c r="V146" s="49"/>
      <c r="W146" s="49"/>
      <c r="X146" s="24"/>
      <c r="Y146" s="24"/>
      <c r="AA146" s="20" t="str">
        <f t="shared" si="27"/>
        <v>·</v>
      </c>
      <c r="AB146" s="21" t="str">
        <f t="shared" si="28"/>
        <v>·</v>
      </c>
      <c r="AC146" s="21" t="str">
        <f t="shared" si="29"/>
        <v>·</v>
      </c>
      <c r="AD146" s="21" t="str">
        <f t="shared" si="30"/>
        <v>·</v>
      </c>
      <c r="AE146" s="21" t="str">
        <f t="shared" si="31"/>
        <v>·</v>
      </c>
      <c r="AF146" s="22"/>
      <c r="AG146" s="23"/>
      <c r="AH146" s="23"/>
      <c r="AI146" s="23"/>
      <c r="AJ146" s="49"/>
      <c r="AK146" s="49"/>
      <c r="AL146" s="49"/>
      <c r="AM146" s="49"/>
      <c r="AN146" s="49"/>
      <c r="AO146" s="49"/>
      <c r="AP146" s="49"/>
      <c r="AQ146" s="49"/>
      <c r="AR146" s="24"/>
      <c r="AS146" s="24"/>
      <c r="AU146" s="20" t="e">
        <f t="shared" si="32"/>
        <v>#DIV/0!</v>
      </c>
      <c r="AV146" s="20"/>
      <c r="AX146" s="50"/>
      <c r="AY146" s="50"/>
      <c r="AZ146" s="50"/>
      <c r="BA146" s="50"/>
      <c r="BB146" s="50"/>
      <c r="BD146" s="50"/>
      <c r="BE146" s="50"/>
      <c r="BF146" s="50"/>
      <c r="BH146" s="50"/>
      <c r="BI146" s="50"/>
      <c r="BJ146" s="50"/>
    </row>
    <row r="147" spans="1:62" outlineLevel="1" x14ac:dyDescent="0.25">
      <c r="A147" s="25"/>
      <c r="B147" s="32"/>
      <c r="C147" s="33" t="s">
        <v>429</v>
      </c>
      <c r="D147" s="32">
        <v>5001077</v>
      </c>
      <c r="E147" s="33">
        <v>20</v>
      </c>
      <c r="G147" s="34" t="str">
        <f t="shared" si="22"/>
        <v>·</v>
      </c>
      <c r="H147" s="35" t="str">
        <f t="shared" si="23"/>
        <v>·</v>
      </c>
      <c r="I147" s="35" t="str">
        <f t="shared" si="24"/>
        <v>·</v>
      </c>
      <c r="J147" s="35" t="str">
        <f t="shared" si="25"/>
        <v>·</v>
      </c>
      <c r="K147" s="35" t="str">
        <f t="shared" si="26"/>
        <v>·</v>
      </c>
      <c r="L147" s="36"/>
      <c r="M147" s="37"/>
      <c r="N147" s="37"/>
      <c r="O147" s="37"/>
      <c r="P147" s="53"/>
      <c r="Q147" s="53"/>
      <c r="R147" s="53"/>
      <c r="S147" s="53"/>
      <c r="T147" s="53"/>
      <c r="U147" s="53"/>
      <c r="V147" s="53"/>
      <c r="W147" s="53"/>
      <c r="X147" s="38"/>
      <c r="Y147" s="38"/>
      <c r="AA147" s="34" t="str">
        <f t="shared" si="27"/>
        <v>·</v>
      </c>
      <c r="AB147" s="35" t="str">
        <f t="shared" si="28"/>
        <v>·</v>
      </c>
      <c r="AC147" s="35" t="str">
        <f t="shared" si="29"/>
        <v>·</v>
      </c>
      <c r="AD147" s="35" t="str">
        <f t="shared" si="30"/>
        <v>·</v>
      </c>
      <c r="AE147" s="35" t="str">
        <f t="shared" si="31"/>
        <v>·</v>
      </c>
      <c r="AF147" s="36"/>
      <c r="AG147" s="37"/>
      <c r="AH147" s="37"/>
      <c r="AI147" s="37"/>
      <c r="AJ147" s="53"/>
      <c r="AK147" s="53"/>
      <c r="AL147" s="53"/>
      <c r="AM147" s="53"/>
      <c r="AN147" s="53"/>
      <c r="AO147" s="53"/>
      <c r="AP147" s="53"/>
      <c r="AQ147" s="53"/>
      <c r="AR147" s="38"/>
      <c r="AS147" s="38"/>
      <c r="AU147" s="34" t="e">
        <f t="shared" si="32"/>
        <v>#DIV/0!</v>
      </c>
      <c r="AV147" s="34"/>
      <c r="AX147" s="54"/>
      <c r="AY147" s="54"/>
      <c r="AZ147" s="54"/>
      <c r="BA147" s="54"/>
      <c r="BB147" s="54"/>
      <c r="BD147" s="54"/>
      <c r="BE147" s="54"/>
      <c r="BF147" s="54"/>
      <c r="BH147" s="54"/>
      <c r="BI147" s="54"/>
      <c r="BJ147" s="54"/>
    </row>
    <row r="148" spans="1:62" collapsed="1" x14ac:dyDescent="0.25">
      <c r="A148" s="18"/>
      <c r="B148" s="18" t="s">
        <v>214</v>
      </c>
      <c r="C148" s="19" t="s">
        <v>310</v>
      </c>
      <c r="D148" s="18">
        <v>857966</v>
      </c>
      <c r="E148" s="19">
        <v>10</v>
      </c>
      <c r="G148" s="20" t="str">
        <f t="shared" si="22"/>
        <v>·</v>
      </c>
      <c r="H148" s="21" t="str">
        <f t="shared" si="23"/>
        <v>·</v>
      </c>
      <c r="I148" s="21" t="str">
        <f t="shared" si="24"/>
        <v>·</v>
      </c>
      <c r="J148" s="21" t="str">
        <f t="shared" si="25"/>
        <v>·</v>
      </c>
      <c r="K148" s="21" t="str">
        <f t="shared" si="26"/>
        <v>·</v>
      </c>
      <c r="L148" s="22"/>
      <c r="M148" s="23"/>
      <c r="N148" s="23"/>
      <c r="O148" s="23"/>
      <c r="P148" s="49"/>
      <c r="Q148" s="49"/>
      <c r="R148" s="49"/>
      <c r="S148" s="49"/>
      <c r="T148" s="49"/>
      <c r="U148" s="49"/>
      <c r="V148" s="49"/>
      <c r="W148" s="49"/>
      <c r="X148" s="24"/>
      <c r="Y148" s="24"/>
      <c r="AA148" s="20" t="str">
        <f t="shared" si="27"/>
        <v>·</v>
      </c>
      <c r="AB148" s="21" t="str">
        <f t="shared" si="28"/>
        <v>·</v>
      </c>
      <c r="AC148" s="21" t="str">
        <f t="shared" si="29"/>
        <v>·</v>
      </c>
      <c r="AD148" s="21" t="str">
        <f t="shared" si="30"/>
        <v>·</v>
      </c>
      <c r="AE148" s="21" t="str">
        <f t="shared" si="31"/>
        <v>·</v>
      </c>
      <c r="AF148" s="22"/>
      <c r="AG148" s="23"/>
      <c r="AH148" s="23"/>
      <c r="AI148" s="23"/>
      <c r="AJ148" s="49"/>
      <c r="AK148" s="49"/>
      <c r="AL148" s="49"/>
      <c r="AM148" s="49"/>
      <c r="AN148" s="49"/>
      <c r="AO148" s="49"/>
      <c r="AP148" s="49"/>
      <c r="AQ148" s="49"/>
      <c r="AR148" s="24"/>
      <c r="AS148" s="24"/>
      <c r="AU148" s="20" t="e">
        <f t="shared" si="32"/>
        <v>#DIV/0!</v>
      </c>
      <c r="AV148" s="20" t="e">
        <f t="array" ref="AV148">AVERAGE(AH148:AH153/AG148:AG153) - AVERAGE(N148:N153/M148:M153)</f>
        <v>#DIV/0!</v>
      </c>
      <c r="AX148" s="50" t="e">
        <f>bdRateExtend( M148:M153,P148:P153, AG148:AG153,AJ148:AJ153)</f>
        <v>#VALUE!</v>
      </c>
      <c r="AY148" s="50" t="e">
        <f>bdRateExtend( M148:M153,Q148:Q153, AG148:AG153,AK148:AK153)</f>
        <v>#VALUE!</v>
      </c>
      <c r="AZ148" s="50" t="e">
        <f>bdRateExtend( M148:M153,R148:R153, AG148:AG153,AL148:AL153)</f>
        <v>#VALUE!</v>
      </c>
      <c r="BA148" s="50" t="e">
        <f>bdRateExtend( M148:M153,S148:S153, AG148:AG153,AM148:AM153)</f>
        <v>#VALUE!</v>
      </c>
      <c r="BB148" s="50" t="e">
        <f>bdRateExtend( M148:M153,T148:T153, AG148:AG153,AN148:AN153)</f>
        <v>#VALUE!</v>
      </c>
      <c r="BD148" s="50" t="e">
        <f>bdRateExtend( O148:O153,R148:R153, AI148:AI153,AL148:AL153)</f>
        <v>#VALUE!</v>
      </c>
      <c r="BE148" s="50" t="e">
        <f>bdRateExtend( O148:O153,S148:S153, AI148:AI153,AM148:AM153)</f>
        <v>#VALUE!</v>
      </c>
      <c r="BF148" s="50" t="e">
        <f>bdRateExtend( O148:O153,T148:T153, AI148:AI153,AN148:AN153)</f>
        <v>#VALUE!</v>
      </c>
      <c r="BH148" s="50" t="e">
        <f>bdRateExtend( O148:O153,U148:U153, AI148:AI153,AO148:AO153)</f>
        <v>#VALUE!</v>
      </c>
      <c r="BI148" s="50" t="e">
        <f>bdRateExtend( O148:O153,V148:V153, AI148:AI153,AP148:AP153)</f>
        <v>#VALUE!</v>
      </c>
      <c r="BJ148" s="50" t="e">
        <f>bdRateExtend( O148:O153,W148:W153, AI148:AI153,AQ148:AQ153)</f>
        <v>#VALUE!</v>
      </c>
    </row>
    <row r="149" spans="1:62" outlineLevel="1" x14ac:dyDescent="0.25">
      <c r="A149" s="25"/>
      <c r="B149" s="25"/>
      <c r="C149" s="26" t="s">
        <v>311</v>
      </c>
      <c r="D149" s="25">
        <v>857966</v>
      </c>
      <c r="E149" s="26">
        <v>10</v>
      </c>
      <c r="G149" s="27" t="str">
        <f t="shared" si="22"/>
        <v>·</v>
      </c>
      <c r="H149" s="28" t="str">
        <f t="shared" si="23"/>
        <v>·</v>
      </c>
      <c r="I149" s="28" t="str">
        <f t="shared" si="24"/>
        <v>·</v>
      </c>
      <c r="J149" s="28" t="str">
        <f t="shared" si="25"/>
        <v>·</v>
      </c>
      <c r="K149" s="28" t="str">
        <f t="shared" si="26"/>
        <v>·</v>
      </c>
      <c r="L149" s="29"/>
      <c r="M149" s="30"/>
      <c r="N149" s="30"/>
      <c r="O149" s="30"/>
      <c r="P149" s="51"/>
      <c r="Q149" s="51"/>
      <c r="R149" s="51"/>
      <c r="S149" s="51"/>
      <c r="T149" s="51"/>
      <c r="U149" s="51"/>
      <c r="V149" s="51"/>
      <c r="W149" s="51"/>
      <c r="X149" s="31"/>
      <c r="Y149" s="31"/>
      <c r="AA149" s="27" t="str">
        <f t="shared" si="27"/>
        <v>·</v>
      </c>
      <c r="AB149" s="28" t="str">
        <f t="shared" si="28"/>
        <v>·</v>
      </c>
      <c r="AC149" s="28" t="str">
        <f t="shared" si="29"/>
        <v>·</v>
      </c>
      <c r="AD149" s="28" t="str">
        <f t="shared" si="30"/>
        <v>·</v>
      </c>
      <c r="AE149" s="28" t="str">
        <f t="shared" si="31"/>
        <v>·</v>
      </c>
      <c r="AF149" s="29"/>
      <c r="AG149" s="30"/>
      <c r="AH149" s="30"/>
      <c r="AI149" s="30"/>
      <c r="AJ149" s="51"/>
      <c r="AK149" s="51"/>
      <c r="AL149" s="51"/>
      <c r="AM149" s="51"/>
      <c r="AN149" s="51"/>
      <c r="AO149" s="51"/>
      <c r="AP149" s="51"/>
      <c r="AQ149" s="51"/>
      <c r="AR149" s="31"/>
      <c r="AS149" s="31"/>
      <c r="AU149" s="27" t="e">
        <f t="shared" si="32"/>
        <v>#DIV/0!</v>
      </c>
      <c r="AV149" s="27"/>
      <c r="AX149" s="52"/>
      <c r="AY149" s="52"/>
      <c r="AZ149" s="52"/>
      <c r="BA149" s="52"/>
      <c r="BB149" s="52"/>
      <c r="BD149" s="52"/>
      <c r="BE149" s="52"/>
      <c r="BF149" s="52"/>
      <c r="BH149" s="52"/>
      <c r="BI149" s="52"/>
      <c r="BJ149" s="52"/>
    </row>
    <row r="150" spans="1:62" outlineLevel="1" x14ac:dyDescent="0.25">
      <c r="A150" s="18"/>
      <c r="B150" s="18"/>
      <c r="C150" s="19" t="s">
        <v>312</v>
      </c>
      <c r="D150" s="18">
        <v>857966</v>
      </c>
      <c r="E150" s="19">
        <v>10</v>
      </c>
      <c r="G150" s="20" t="str">
        <f t="shared" si="22"/>
        <v>·</v>
      </c>
      <c r="H150" s="21" t="str">
        <f t="shared" si="23"/>
        <v>·</v>
      </c>
      <c r="I150" s="21" t="str">
        <f t="shared" si="24"/>
        <v>·</v>
      </c>
      <c r="J150" s="21" t="str">
        <f t="shared" si="25"/>
        <v>·</v>
      </c>
      <c r="K150" s="21" t="str">
        <f t="shared" si="26"/>
        <v>·</v>
      </c>
      <c r="L150" s="22"/>
      <c r="M150" s="23"/>
      <c r="N150" s="23"/>
      <c r="O150" s="23"/>
      <c r="P150" s="49"/>
      <c r="Q150" s="49"/>
      <c r="R150" s="49"/>
      <c r="S150" s="49"/>
      <c r="T150" s="49"/>
      <c r="U150" s="49"/>
      <c r="V150" s="49"/>
      <c r="W150" s="49"/>
      <c r="X150" s="24"/>
      <c r="Y150" s="24"/>
      <c r="AA150" s="20" t="str">
        <f t="shared" si="27"/>
        <v>·</v>
      </c>
      <c r="AB150" s="21" t="str">
        <f t="shared" si="28"/>
        <v>·</v>
      </c>
      <c r="AC150" s="21" t="str">
        <f t="shared" si="29"/>
        <v>·</v>
      </c>
      <c r="AD150" s="21" t="str">
        <f t="shared" si="30"/>
        <v>·</v>
      </c>
      <c r="AE150" s="21" t="str">
        <f t="shared" si="31"/>
        <v>·</v>
      </c>
      <c r="AF150" s="22"/>
      <c r="AG150" s="23"/>
      <c r="AH150" s="23"/>
      <c r="AI150" s="23"/>
      <c r="AJ150" s="49"/>
      <c r="AK150" s="49"/>
      <c r="AL150" s="49"/>
      <c r="AM150" s="49"/>
      <c r="AN150" s="49"/>
      <c r="AO150" s="49"/>
      <c r="AP150" s="49"/>
      <c r="AQ150" s="49"/>
      <c r="AR150" s="24"/>
      <c r="AS150" s="24"/>
      <c r="AU150" s="20" t="e">
        <f t="shared" si="32"/>
        <v>#DIV/0!</v>
      </c>
      <c r="AV150" s="20"/>
      <c r="AX150" s="50"/>
      <c r="AY150" s="50"/>
      <c r="AZ150" s="50"/>
      <c r="BA150" s="50"/>
      <c r="BB150" s="50"/>
      <c r="BD150" s="50"/>
      <c r="BE150" s="50"/>
      <c r="BF150" s="50"/>
      <c r="BH150" s="50"/>
      <c r="BI150" s="50"/>
      <c r="BJ150" s="50"/>
    </row>
    <row r="151" spans="1:62" outlineLevel="1" x14ac:dyDescent="0.25">
      <c r="A151" s="25"/>
      <c r="B151" s="25"/>
      <c r="C151" s="26" t="s">
        <v>313</v>
      </c>
      <c r="D151" s="25">
        <v>857966</v>
      </c>
      <c r="E151" s="26">
        <v>10</v>
      </c>
      <c r="G151" s="27" t="str">
        <f t="shared" si="22"/>
        <v>·</v>
      </c>
      <c r="H151" s="28" t="str">
        <f t="shared" si="23"/>
        <v>·</v>
      </c>
      <c r="I151" s="28" t="str">
        <f t="shared" si="24"/>
        <v>·</v>
      </c>
      <c r="J151" s="28" t="str">
        <f t="shared" si="25"/>
        <v>·</v>
      </c>
      <c r="K151" s="28" t="str">
        <f t="shared" si="26"/>
        <v>·</v>
      </c>
      <c r="L151" s="29"/>
      <c r="M151" s="30"/>
      <c r="N151" s="30"/>
      <c r="O151" s="30"/>
      <c r="P151" s="51"/>
      <c r="Q151" s="51"/>
      <c r="R151" s="51"/>
      <c r="S151" s="51"/>
      <c r="T151" s="51"/>
      <c r="U151" s="51"/>
      <c r="V151" s="51"/>
      <c r="W151" s="51"/>
      <c r="X151" s="31"/>
      <c r="Y151" s="31"/>
      <c r="AA151" s="27" t="str">
        <f t="shared" si="27"/>
        <v>·</v>
      </c>
      <c r="AB151" s="28" t="str">
        <f t="shared" si="28"/>
        <v>·</v>
      </c>
      <c r="AC151" s="28" t="str">
        <f t="shared" si="29"/>
        <v>·</v>
      </c>
      <c r="AD151" s="28" t="str">
        <f t="shared" si="30"/>
        <v>·</v>
      </c>
      <c r="AE151" s="28" t="str">
        <f t="shared" si="31"/>
        <v>·</v>
      </c>
      <c r="AF151" s="29"/>
      <c r="AG151" s="30"/>
      <c r="AH151" s="30"/>
      <c r="AI151" s="30"/>
      <c r="AJ151" s="51"/>
      <c r="AK151" s="51"/>
      <c r="AL151" s="51"/>
      <c r="AM151" s="51"/>
      <c r="AN151" s="51"/>
      <c r="AO151" s="51"/>
      <c r="AP151" s="51"/>
      <c r="AQ151" s="51"/>
      <c r="AR151" s="31"/>
      <c r="AS151" s="31"/>
      <c r="AU151" s="27" t="e">
        <f t="shared" si="32"/>
        <v>#DIV/0!</v>
      </c>
      <c r="AV151" s="27"/>
      <c r="AX151" s="52"/>
      <c r="AY151" s="52"/>
      <c r="AZ151" s="52"/>
      <c r="BA151" s="52"/>
      <c r="BB151" s="52"/>
      <c r="BD151" s="52"/>
      <c r="BE151" s="52"/>
      <c r="BF151" s="52"/>
      <c r="BH151" s="52"/>
      <c r="BI151" s="52"/>
      <c r="BJ151" s="52"/>
    </row>
    <row r="152" spans="1:62" outlineLevel="1" x14ac:dyDescent="0.25">
      <c r="A152" s="18"/>
      <c r="B152" s="18"/>
      <c r="C152" s="19" t="s">
        <v>428</v>
      </c>
      <c r="D152" s="18">
        <v>857966</v>
      </c>
      <c r="E152" s="19">
        <v>10</v>
      </c>
      <c r="G152" s="20" t="str">
        <f t="shared" si="22"/>
        <v>·</v>
      </c>
      <c r="H152" s="21" t="str">
        <f t="shared" si="23"/>
        <v>·</v>
      </c>
      <c r="I152" s="21" t="str">
        <f t="shared" si="24"/>
        <v>·</v>
      </c>
      <c r="J152" s="21" t="str">
        <f t="shared" si="25"/>
        <v>·</v>
      </c>
      <c r="K152" s="21" t="str">
        <f t="shared" si="26"/>
        <v>·</v>
      </c>
      <c r="L152" s="22"/>
      <c r="M152" s="23"/>
      <c r="N152" s="23"/>
      <c r="O152" s="23"/>
      <c r="P152" s="49"/>
      <c r="Q152" s="49"/>
      <c r="R152" s="49"/>
      <c r="S152" s="49"/>
      <c r="T152" s="49"/>
      <c r="U152" s="49"/>
      <c r="V152" s="49"/>
      <c r="W152" s="49"/>
      <c r="X152" s="24"/>
      <c r="Y152" s="24"/>
      <c r="AA152" s="20" t="str">
        <f t="shared" si="27"/>
        <v>·</v>
      </c>
      <c r="AB152" s="21" t="str">
        <f t="shared" si="28"/>
        <v>·</v>
      </c>
      <c r="AC152" s="21" t="str">
        <f t="shared" si="29"/>
        <v>·</v>
      </c>
      <c r="AD152" s="21" t="str">
        <f t="shared" si="30"/>
        <v>·</v>
      </c>
      <c r="AE152" s="21" t="str">
        <f t="shared" si="31"/>
        <v>·</v>
      </c>
      <c r="AF152" s="22"/>
      <c r="AG152" s="23"/>
      <c r="AH152" s="23"/>
      <c r="AI152" s="23"/>
      <c r="AJ152" s="49"/>
      <c r="AK152" s="49"/>
      <c r="AL152" s="49"/>
      <c r="AM152" s="49"/>
      <c r="AN152" s="49"/>
      <c r="AO152" s="49"/>
      <c r="AP152" s="49"/>
      <c r="AQ152" s="49"/>
      <c r="AR152" s="24"/>
      <c r="AS152" s="24"/>
      <c r="AU152" s="20" t="e">
        <f t="shared" si="32"/>
        <v>#DIV/0!</v>
      </c>
      <c r="AV152" s="20"/>
      <c r="AX152" s="50"/>
      <c r="AY152" s="50"/>
      <c r="AZ152" s="50"/>
      <c r="BA152" s="50"/>
      <c r="BB152" s="50"/>
      <c r="BD152" s="50"/>
      <c r="BE152" s="50"/>
      <c r="BF152" s="50"/>
      <c r="BH152" s="50"/>
      <c r="BI152" s="50"/>
      <c r="BJ152" s="50"/>
    </row>
    <row r="153" spans="1:62" outlineLevel="1" x14ac:dyDescent="0.25">
      <c r="A153" s="25"/>
      <c r="B153" s="32"/>
      <c r="C153" s="33" t="s">
        <v>429</v>
      </c>
      <c r="D153" s="32">
        <v>857966</v>
      </c>
      <c r="E153" s="33">
        <v>10</v>
      </c>
      <c r="G153" s="34" t="str">
        <f t="shared" si="22"/>
        <v>·</v>
      </c>
      <c r="H153" s="35" t="str">
        <f t="shared" si="23"/>
        <v>·</v>
      </c>
      <c r="I153" s="35" t="str">
        <f t="shared" si="24"/>
        <v>·</v>
      </c>
      <c r="J153" s="35" t="str">
        <f t="shared" si="25"/>
        <v>·</v>
      </c>
      <c r="K153" s="35" t="str">
        <f t="shared" si="26"/>
        <v>·</v>
      </c>
      <c r="L153" s="36"/>
      <c r="M153" s="37"/>
      <c r="N153" s="37"/>
      <c r="O153" s="37"/>
      <c r="P153" s="53"/>
      <c r="Q153" s="53"/>
      <c r="R153" s="53"/>
      <c r="S153" s="53"/>
      <c r="T153" s="53"/>
      <c r="U153" s="53"/>
      <c r="V153" s="53"/>
      <c r="W153" s="53"/>
      <c r="X153" s="38"/>
      <c r="Y153" s="38"/>
      <c r="AA153" s="34" t="str">
        <f t="shared" si="27"/>
        <v>·</v>
      </c>
      <c r="AB153" s="35" t="str">
        <f t="shared" si="28"/>
        <v>·</v>
      </c>
      <c r="AC153" s="35" t="str">
        <f t="shared" si="29"/>
        <v>·</v>
      </c>
      <c r="AD153" s="35" t="str">
        <f t="shared" si="30"/>
        <v>·</v>
      </c>
      <c r="AE153" s="35" t="str">
        <f t="shared" si="31"/>
        <v>·</v>
      </c>
      <c r="AF153" s="36"/>
      <c r="AG153" s="37"/>
      <c r="AH153" s="37"/>
      <c r="AI153" s="37"/>
      <c r="AJ153" s="53"/>
      <c r="AK153" s="53"/>
      <c r="AL153" s="53"/>
      <c r="AM153" s="53"/>
      <c r="AN153" s="53"/>
      <c r="AO153" s="53"/>
      <c r="AP153" s="53"/>
      <c r="AQ153" s="53"/>
      <c r="AR153" s="38"/>
      <c r="AS153" s="38"/>
      <c r="AU153" s="34" t="e">
        <f t="shared" si="32"/>
        <v>#DIV/0!</v>
      </c>
      <c r="AV153" s="34"/>
      <c r="AX153" s="54"/>
      <c r="AY153" s="54"/>
      <c r="AZ153" s="54"/>
      <c r="BA153" s="54"/>
      <c r="BB153" s="54"/>
      <c r="BD153" s="54"/>
      <c r="BE153" s="54"/>
      <c r="BF153" s="54"/>
      <c r="BH153" s="54"/>
      <c r="BI153" s="54"/>
      <c r="BJ153" s="54"/>
    </row>
    <row r="154" spans="1:62" collapsed="1" x14ac:dyDescent="0.25">
      <c r="A154" s="18"/>
      <c r="B154" s="18" t="s">
        <v>217</v>
      </c>
      <c r="C154" s="19" t="s">
        <v>310</v>
      </c>
      <c r="D154" s="18">
        <v>4187594</v>
      </c>
      <c r="E154" s="19">
        <v>14</v>
      </c>
      <c r="G154" s="20" t="str">
        <f t="shared" si="22"/>
        <v>·</v>
      </c>
      <c r="H154" s="21" t="str">
        <f t="shared" si="23"/>
        <v>·</v>
      </c>
      <c r="I154" s="21" t="str">
        <f t="shared" si="24"/>
        <v>·</v>
      </c>
      <c r="J154" s="21" t="str">
        <f t="shared" si="25"/>
        <v>·</v>
      </c>
      <c r="K154" s="21" t="str">
        <f t="shared" si="26"/>
        <v>·</v>
      </c>
      <c r="L154" s="22"/>
      <c r="M154" s="23"/>
      <c r="N154" s="23"/>
      <c r="O154" s="23"/>
      <c r="P154" s="49"/>
      <c r="Q154" s="49"/>
      <c r="R154" s="49"/>
      <c r="S154" s="49"/>
      <c r="T154" s="49"/>
      <c r="U154" s="49"/>
      <c r="V154" s="49"/>
      <c r="W154" s="49"/>
      <c r="X154" s="24"/>
      <c r="Y154" s="24"/>
      <c r="AA154" s="20" t="str">
        <f t="shared" si="27"/>
        <v>·</v>
      </c>
      <c r="AB154" s="21" t="str">
        <f t="shared" si="28"/>
        <v>·</v>
      </c>
      <c r="AC154" s="21" t="str">
        <f t="shared" si="29"/>
        <v>·</v>
      </c>
      <c r="AD154" s="21" t="str">
        <f t="shared" si="30"/>
        <v>·</v>
      </c>
      <c r="AE154" s="21" t="str">
        <f t="shared" si="31"/>
        <v>·</v>
      </c>
      <c r="AF154" s="22"/>
      <c r="AG154" s="23"/>
      <c r="AH154" s="23"/>
      <c r="AI154" s="23"/>
      <c r="AJ154" s="49"/>
      <c r="AK154" s="49"/>
      <c r="AL154" s="49"/>
      <c r="AM154" s="49"/>
      <c r="AN154" s="49"/>
      <c r="AO154" s="49"/>
      <c r="AP154" s="49"/>
      <c r="AQ154" s="49"/>
      <c r="AR154" s="24"/>
      <c r="AS154" s="24"/>
      <c r="AU154" s="20" t="e">
        <f t="shared" si="32"/>
        <v>#DIV/0!</v>
      </c>
      <c r="AV154" s="20" t="e">
        <f t="array" ref="AV154">AVERAGE(AH154:AH159/AG154:AG159) - AVERAGE(N154:N159/M154:M159)</f>
        <v>#DIV/0!</v>
      </c>
      <c r="AX154" s="50" t="e">
        <f>bdRateExtend( M154:M159,P154:P159, AG154:AG159,AJ154:AJ159)</f>
        <v>#VALUE!</v>
      </c>
      <c r="AY154" s="50" t="e">
        <f>bdRateExtend( M154:M159,Q154:Q159, AG154:AG159,AK154:AK159)</f>
        <v>#VALUE!</v>
      </c>
      <c r="AZ154" s="50" t="e">
        <f>bdRateExtend( M154:M159,R154:R159, AG154:AG159,AL154:AL159)</f>
        <v>#VALUE!</v>
      </c>
      <c r="BA154" s="50" t="e">
        <f>bdRateExtend( M154:M159,S154:S159, AG154:AG159,AM154:AM159)</f>
        <v>#VALUE!</v>
      </c>
      <c r="BB154" s="50" t="e">
        <f>bdRateExtend( M154:M159,T154:T159, AG154:AG159,AN154:AN159)</f>
        <v>#VALUE!</v>
      </c>
      <c r="BD154" s="50" t="e">
        <f>bdRateExtend( O154:O159,R154:R159, AI154:AI159,AL154:AL159)</f>
        <v>#VALUE!</v>
      </c>
      <c r="BE154" s="50" t="e">
        <f>bdRateExtend( O154:O159,S154:S159, AI154:AI159,AM154:AM159)</f>
        <v>#VALUE!</v>
      </c>
      <c r="BF154" s="50" t="e">
        <f>bdRateExtend( O154:O159,T154:T159, AI154:AI159,AN154:AN159)</f>
        <v>#VALUE!</v>
      </c>
      <c r="BH154" s="50" t="e">
        <f>bdRateExtend( O154:O159,U154:U159, AI154:AI159,AO154:AO159)</f>
        <v>#VALUE!</v>
      </c>
      <c r="BI154" s="50" t="e">
        <f>bdRateExtend( O154:O159,V154:V159, AI154:AI159,AP154:AP159)</f>
        <v>#VALUE!</v>
      </c>
      <c r="BJ154" s="50" t="e">
        <f>bdRateExtend( O154:O159,W154:W159, AI154:AI159,AQ154:AQ159)</f>
        <v>#VALUE!</v>
      </c>
    </row>
    <row r="155" spans="1:62" outlineLevel="1" x14ac:dyDescent="0.25">
      <c r="A155" s="25"/>
      <c r="B155" s="25"/>
      <c r="C155" s="26" t="s">
        <v>311</v>
      </c>
      <c r="D155" s="25">
        <v>4187594</v>
      </c>
      <c r="E155" s="26">
        <v>14</v>
      </c>
      <c r="G155" s="27" t="str">
        <f t="shared" si="22"/>
        <v>·</v>
      </c>
      <c r="H155" s="28" t="str">
        <f t="shared" si="23"/>
        <v>·</v>
      </c>
      <c r="I155" s="28" t="str">
        <f t="shared" si="24"/>
        <v>·</v>
      </c>
      <c r="J155" s="28" t="str">
        <f t="shared" si="25"/>
        <v>·</v>
      </c>
      <c r="K155" s="28" t="str">
        <f t="shared" si="26"/>
        <v>·</v>
      </c>
      <c r="L155" s="29"/>
      <c r="M155" s="30"/>
      <c r="N155" s="30"/>
      <c r="O155" s="30"/>
      <c r="P155" s="51"/>
      <c r="Q155" s="51"/>
      <c r="R155" s="51"/>
      <c r="S155" s="51"/>
      <c r="T155" s="51"/>
      <c r="U155" s="51"/>
      <c r="V155" s="51"/>
      <c r="W155" s="51"/>
      <c r="X155" s="31"/>
      <c r="Y155" s="31"/>
      <c r="AA155" s="27" t="str">
        <f t="shared" si="27"/>
        <v>·</v>
      </c>
      <c r="AB155" s="28" t="str">
        <f t="shared" si="28"/>
        <v>·</v>
      </c>
      <c r="AC155" s="28" t="str">
        <f t="shared" si="29"/>
        <v>·</v>
      </c>
      <c r="AD155" s="28" t="str">
        <f t="shared" si="30"/>
        <v>·</v>
      </c>
      <c r="AE155" s="28" t="str">
        <f t="shared" si="31"/>
        <v>·</v>
      </c>
      <c r="AF155" s="29"/>
      <c r="AG155" s="30"/>
      <c r="AH155" s="30"/>
      <c r="AI155" s="30"/>
      <c r="AJ155" s="51"/>
      <c r="AK155" s="51"/>
      <c r="AL155" s="51"/>
      <c r="AM155" s="51"/>
      <c r="AN155" s="51"/>
      <c r="AO155" s="51"/>
      <c r="AP155" s="51"/>
      <c r="AQ155" s="51"/>
      <c r="AR155" s="31"/>
      <c r="AS155" s="31"/>
      <c r="AU155" s="27" t="e">
        <f t="shared" si="32"/>
        <v>#DIV/0!</v>
      </c>
      <c r="AV155" s="27"/>
      <c r="AX155" s="52"/>
      <c r="AY155" s="52"/>
      <c r="AZ155" s="52"/>
      <c r="BA155" s="52"/>
      <c r="BB155" s="52"/>
      <c r="BD155" s="52"/>
      <c r="BE155" s="52"/>
      <c r="BF155" s="52"/>
      <c r="BH155" s="52"/>
      <c r="BI155" s="52"/>
      <c r="BJ155" s="52"/>
    </row>
    <row r="156" spans="1:62" outlineLevel="1" x14ac:dyDescent="0.25">
      <c r="A156" s="18"/>
      <c r="B156" s="18"/>
      <c r="C156" s="19" t="s">
        <v>312</v>
      </c>
      <c r="D156" s="18">
        <v>4187594</v>
      </c>
      <c r="E156" s="19">
        <v>14</v>
      </c>
      <c r="G156" s="20" t="str">
        <f t="shared" si="22"/>
        <v>·</v>
      </c>
      <c r="H156" s="21" t="str">
        <f t="shared" si="23"/>
        <v>·</v>
      </c>
      <c r="I156" s="21" t="str">
        <f t="shared" si="24"/>
        <v>·</v>
      </c>
      <c r="J156" s="21" t="str">
        <f t="shared" si="25"/>
        <v>·</v>
      </c>
      <c r="K156" s="21" t="str">
        <f t="shared" si="26"/>
        <v>·</v>
      </c>
      <c r="L156" s="22"/>
      <c r="M156" s="23"/>
      <c r="N156" s="23"/>
      <c r="O156" s="23"/>
      <c r="P156" s="49"/>
      <c r="Q156" s="49"/>
      <c r="R156" s="49"/>
      <c r="S156" s="49"/>
      <c r="T156" s="49"/>
      <c r="U156" s="49"/>
      <c r="V156" s="49"/>
      <c r="W156" s="49"/>
      <c r="X156" s="24"/>
      <c r="Y156" s="24"/>
      <c r="AA156" s="20" t="str">
        <f t="shared" si="27"/>
        <v>·</v>
      </c>
      <c r="AB156" s="21" t="str">
        <f t="shared" si="28"/>
        <v>·</v>
      </c>
      <c r="AC156" s="21" t="str">
        <f t="shared" si="29"/>
        <v>·</v>
      </c>
      <c r="AD156" s="21" t="str">
        <f t="shared" si="30"/>
        <v>·</v>
      </c>
      <c r="AE156" s="21" t="str">
        <f t="shared" si="31"/>
        <v>·</v>
      </c>
      <c r="AF156" s="22"/>
      <c r="AG156" s="23"/>
      <c r="AH156" s="23"/>
      <c r="AI156" s="23"/>
      <c r="AJ156" s="49"/>
      <c r="AK156" s="49"/>
      <c r="AL156" s="49"/>
      <c r="AM156" s="49"/>
      <c r="AN156" s="49"/>
      <c r="AO156" s="49"/>
      <c r="AP156" s="49"/>
      <c r="AQ156" s="49"/>
      <c r="AR156" s="24"/>
      <c r="AS156" s="24"/>
      <c r="AU156" s="20" t="e">
        <f t="shared" si="32"/>
        <v>#DIV/0!</v>
      </c>
      <c r="AV156" s="20"/>
      <c r="AX156" s="50"/>
      <c r="AY156" s="50"/>
      <c r="AZ156" s="50"/>
      <c r="BA156" s="50"/>
      <c r="BB156" s="50"/>
      <c r="BD156" s="50"/>
      <c r="BE156" s="50"/>
      <c r="BF156" s="50"/>
      <c r="BH156" s="50"/>
      <c r="BI156" s="50"/>
      <c r="BJ156" s="50"/>
    </row>
    <row r="157" spans="1:62" outlineLevel="1" x14ac:dyDescent="0.25">
      <c r="A157" s="25"/>
      <c r="B157" s="25"/>
      <c r="C157" s="26" t="s">
        <v>313</v>
      </c>
      <c r="D157" s="25">
        <v>4187594</v>
      </c>
      <c r="E157" s="26">
        <v>14</v>
      </c>
      <c r="G157" s="27" t="str">
        <f t="shared" si="22"/>
        <v>·</v>
      </c>
      <c r="H157" s="28" t="str">
        <f t="shared" si="23"/>
        <v>·</v>
      </c>
      <c r="I157" s="28" t="str">
        <f t="shared" si="24"/>
        <v>·</v>
      </c>
      <c r="J157" s="28" t="str">
        <f t="shared" si="25"/>
        <v>·</v>
      </c>
      <c r="K157" s="28" t="str">
        <f t="shared" si="26"/>
        <v>·</v>
      </c>
      <c r="L157" s="29"/>
      <c r="M157" s="30"/>
      <c r="N157" s="30"/>
      <c r="O157" s="30"/>
      <c r="P157" s="51"/>
      <c r="Q157" s="51"/>
      <c r="R157" s="51"/>
      <c r="S157" s="51"/>
      <c r="T157" s="51"/>
      <c r="U157" s="51"/>
      <c r="V157" s="51"/>
      <c r="W157" s="51"/>
      <c r="X157" s="31"/>
      <c r="Y157" s="31"/>
      <c r="AA157" s="27" t="str">
        <f t="shared" si="27"/>
        <v>·</v>
      </c>
      <c r="AB157" s="28" t="str">
        <f t="shared" si="28"/>
        <v>·</v>
      </c>
      <c r="AC157" s="28" t="str">
        <f t="shared" si="29"/>
        <v>·</v>
      </c>
      <c r="AD157" s="28" t="str">
        <f t="shared" si="30"/>
        <v>·</v>
      </c>
      <c r="AE157" s="28" t="str">
        <f t="shared" si="31"/>
        <v>·</v>
      </c>
      <c r="AF157" s="29"/>
      <c r="AG157" s="30"/>
      <c r="AH157" s="30"/>
      <c r="AI157" s="30"/>
      <c r="AJ157" s="51"/>
      <c r="AK157" s="51"/>
      <c r="AL157" s="51"/>
      <c r="AM157" s="51"/>
      <c r="AN157" s="51"/>
      <c r="AO157" s="51"/>
      <c r="AP157" s="51"/>
      <c r="AQ157" s="51"/>
      <c r="AR157" s="31"/>
      <c r="AS157" s="31"/>
      <c r="AU157" s="27" t="e">
        <f t="shared" si="32"/>
        <v>#DIV/0!</v>
      </c>
      <c r="AV157" s="27"/>
      <c r="AX157" s="52"/>
      <c r="AY157" s="52"/>
      <c r="AZ157" s="52"/>
      <c r="BA157" s="52"/>
      <c r="BB157" s="52"/>
      <c r="BD157" s="52"/>
      <c r="BE157" s="52"/>
      <c r="BF157" s="52"/>
      <c r="BH157" s="52"/>
      <c r="BI157" s="52"/>
      <c r="BJ157" s="52"/>
    </row>
    <row r="158" spans="1:62" outlineLevel="1" x14ac:dyDescent="0.25">
      <c r="A158" s="18"/>
      <c r="B158" s="18"/>
      <c r="C158" s="19" t="s">
        <v>428</v>
      </c>
      <c r="D158" s="18">
        <v>4187594</v>
      </c>
      <c r="E158" s="19">
        <v>14</v>
      </c>
      <c r="G158" s="20" t="str">
        <f t="shared" si="22"/>
        <v>·</v>
      </c>
      <c r="H158" s="21" t="str">
        <f t="shared" si="23"/>
        <v>·</v>
      </c>
      <c r="I158" s="21" t="str">
        <f t="shared" si="24"/>
        <v>·</v>
      </c>
      <c r="J158" s="21" t="str">
        <f t="shared" si="25"/>
        <v>·</v>
      </c>
      <c r="K158" s="21" t="str">
        <f t="shared" si="26"/>
        <v>·</v>
      </c>
      <c r="L158" s="22"/>
      <c r="M158" s="23"/>
      <c r="N158" s="23"/>
      <c r="O158" s="23"/>
      <c r="P158" s="49"/>
      <c r="Q158" s="49"/>
      <c r="R158" s="49"/>
      <c r="S158" s="49"/>
      <c r="T158" s="49"/>
      <c r="U158" s="49"/>
      <c r="V158" s="49"/>
      <c r="W158" s="49"/>
      <c r="X158" s="24"/>
      <c r="Y158" s="24"/>
      <c r="AA158" s="20" t="str">
        <f t="shared" si="27"/>
        <v>·</v>
      </c>
      <c r="AB158" s="21" t="str">
        <f t="shared" si="28"/>
        <v>·</v>
      </c>
      <c r="AC158" s="21" t="str">
        <f t="shared" si="29"/>
        <v>·</v>
      </c>
      <c r="AD158" s="21" t="str">
        <f t="shared" si="30"/>
        <v>·</v>
      </c>
      <c r="AE158" s="21" t="str">
        <f t="shared" si="31"/>
        <v>·</v>
      </c>
      <c r="AF158" s="22"/>
      <c r="AG158" s="23"/>
      <c r="AH158" s="23"/>
      <c r="AI158" s="23"/>
      <c r="AJ158" s="49"/>
      <c r="AK158" s="49"/>
      <c r="AL158" s="49"/>
      <c r="AM158" s="49"/>
      <c r="AN158" s="49"/>
      <c r="AO158" s="49"/>
      <c r="AP158" s="49"/>
      <c r="AQ158" s="49"/>
      <c r="AR158" s="24"/>
      <c r="AS158" s="24"/>
      <c r="AU158" s="20" t="e">
        <f t="shared" si="32"/>
        <v>#DIV/0!</v>
      </c>
      <c r="AV158" s="20"/>
      <c r="AX158" s="50"/>
      <c r="AY158" s="50"/>
      <c r="AZ158" s="50"/>
      <c r="BA158" s="50"/>
      <c r="BB158" s="50"/>
      <c r="BD158" s="50"/>
      <c r="BE158" s="50"/>
      <c r="BF158" s="50"/>
      <c r="BH158" s="50"/>
      <c r="BI158" s="50"/>
      <c r="BJ158" s="50"/>
    </row>
    <row r="159" spans="1:62" outlineLevel="1" x14ac:dyDescent="0.25">
      <c r="A159" s="25"/>
      <c r="B159" s="32"/>
      <c r="C159" s="33" t="s">
        <v>429</v>
      </c>
      <c r="D159" s="32">
        <v>4187594</v>
      </c>
      <c r="E159" s="33">
        <v>14</v>
      </c>
      <c r="G159" s="34" t="str">
        <f t="shared" si="22"/>
        <v>·</v>
      </c>
      <c r="H159" s="35" t="str">
        <f t="shared" si="23"/>
        <v>·</v>
      </c>
      <c r="I159" s="35" t="str">
        <f t="shared" si="24"/>
        <v>·</v>
      </c>
      <c r="J159" s="35" t="str">
        <f t="shared" si="25"/>
        <v>·</v>
      </c>
      <c r="K159" s="35" t="str">
        <f t="shared" si="26"/>
        <v>·</v>
      </c>
      <c r="L159" s="36"/>
      <c r="M159" s="37"/>
      <c r="N159" s="37"/>
      <c r="O159" s="37"/>
      <c r="P159" s="53"/>
      <c r="Q159" s="53"/>
      <c r="R159" s="53"/>
      <c r="S159" s="53"/>
      <c r="T159" s="53"/>
      <c r="U159" s="53"/>
      <c r="V159" s="53"/>
      <c r="W159" s="53"/>
      <c r="X159" s="38"/>
      <c r="Y159" s="38"/>
      <c r="AA159" s="34" t="str">
        <f t="shared" si="27"/>
        <v>·</v>
      </c>
      <c r="AB159" s="35" t="str">
        <f t="shared" si="28"/>
        <v>·</v>
      </c>
      <c r="AC159" s="35" t="str">
        <f t="shared" si="29"/>
        <v>·</v>
      </c>
      <c r="AD159" s="35" t="str">
        <f t="shared" si="30"/>
        <v>·</v>
      </c>
      <c r="AE159" s="35" t="str">
        <f t="shared" si="31"/>
        <v>·</v>
      </c>
      <c r="AF159" s="36"/>
      <c r="AG159" s="37"/>
      <c r="AH159" s="37"/>
      <c r="AI159" s="37"/>
      <c r="AJ159" s="53"/>
      <c r="AK159" s="53"/>
      <c r="AL159" s="53"/>
      <c r="AM159" s="53"/>
      <c r="AN159" s="53"/>
      <c r="AO159" s="53"/>
      <c r="AP159" s="53"/>
      <c r="AQ159" s="53"/>
      <c r="AR159" s="38"/>
      <c r="AS159" s="38"/>
      <c r="AU159" s="34" t="e">
        <f t="shared" si="32"/>
        <v>#DIV/0!</v>
      </c>
      <c r="AV159" s="34"/>
      <c r="AX159" s="54"/>
      <c r="AY159" s="54"/>
      <c r="AZ159" s="54"/>
      <c r="BA159" s="54"/>
      <c r="BB159" s="54"/>
      <c r="BD159" s="54"/>
      <c r="BE159" s="54"/>
      <c r="BF159" s="54"/>
      <c r="BH159" s="54"/>
      <c r="BI159" s="54"/>
      <c r="BJ159" s="54"/>
    </row>
    <row r="160" spans="1:62" collapsed="1" x14ac:dyDescent="0.25">
      <c r="A160" s="18"/>
      <c r="B160" s="18" t="s">
        <v>220</v>
      </c>
      <c r="C160" s="19" t="s">
        <v>310</v>
      </c>
      <c r="D160" s="18">
        <v>4203962</v>
      </c>
      <c r="E160" s="19">
        <v>20</v>
      </c>
      <c r="G160" s="20" t="str">
        <f t="shared" si="22"/>
        <v>·</v>
      </c>
      <c r="H160" s="21" t="str">
        <f t="shared" si="23"/>
        <v>·</v>
      </c>
      <c r="I160" s="21" t="str">
        <f t="shared" si="24"/>
        <v>·</v>
      </c>
      <c r="J160" s="21" t="str">
        <f t="shared" si="25"/>
        <v>·</v>
      </c>
      <c r="K160" s="21" t="str">
        <f t="shared" si="26"/>
        <v>·</v>
      </c>
      <c r="L160" s="22"/>
      <c r="M160" s="23"/>
      <c r="N160" s="23"/>
      <c r="O160" s="23"/>
      <c r="P160" s="49"/>
      <c r="Q160" s="49"/>
      <c r="R160" s="49"/>
      <c r="S160" s="49"/>
      <c r="T160" s="49"/>
      <c r="U160" s="49"/>
      <c r="V160" s="49"/>
      <c r="W160" s="49"/>
      <c r="X160" s="24"/>
      <c r="Y160" s="24"/>
      <c r="AA160" s="20" t="str">
        <f t="shared" si="27"/>
        <v>·</v>
      </c>
      <c r="AB160" s="21" t="str">
        <f t="shared" si="28"/>
        <v>·</v>
      </c>
      <c r="AC160" s="21" t="str">
        <f t="shared" si="29"/>
        <v>·</v>
      </c>
      <c r="AD160" s="21" t="str">
        <f t="shared" si="30"/>
        <v>·</v>
      </c>
      <c r="AE160" s="21" t="str">
        <f t="shared" si="31"/>
        <v>·</v>
      </c>
      <c r="AF160" s="22"/>
      <c r="AG160" s="23"/>
      <c r="AH160" s="23"/>
      <c r="AI160" s="23"/>
      <c r="AJ160" s="49"/>
      <c r="AK160" s="49"/>
      <c r="AL160" s="49"/>
      <c r="AM160" s="49"/>
      <c r="AN160" s="49"/>
      <c r="AO160" s="49"/>
      <c r="AP160" s="49"/>
      <c r="AQ160" s="49"/>
      <c r="AR160" s="24"/>
      <c r="AS160" s="24"/>
      <c r="AU160" s="20" t="e">
        <f t="shared" si="32"/>
        <v>#DIV/0!</v>
      </c>
      <c r="AV160" s="20" t="e">
        <f t="array" ref="AV160">AVERAGE(AH160:AH165/AG160:AG165) - AVERAGE(N160:N165/M160:M165)</f>
        <v>#DIV/0!</v>
      </c>
      <c r="AX160" s="50" t="e">
        <f>bdRateExtend( M160:M165,P160:P165, AG160:AG165,AJ160:AJ165)</f>
        <v>#VALUE!</v>
      </c>
      <c r="AY160" s="50" t="e">
        <f>bdRateExtend( M160:M165,Q160:Q165, AG160:AG165,AK160:AK165)</f>
        <v>#VALUE!</v>
      </c>
      <c r="AZ160" s="50" t="e">
        <f>bdRateExtend( M160:M165,R160:R165, AG160:AG165,AL160:AL165)</f>
        <v>#VALUE!</v>
      </c>
      <c r="BA160" s="50" t="e">
        <f>bdRateExtend( M160:M165,S160:S165, AG160:AG165,AM160:AM165)</f>
        <v>#VALUE!</v>
      </c>
      <c r="BB160" s="50" t="e">
        <f>bdRateExtend( M160:M165,T160:T165, AG160:AG165,AN160:AN165)</f>
        <v>#VALUE!</v>
      </c>
      <c r="BD160" s="50" t="e">
        <f>bdRateExtend( O160:O165,R160:R165, AI160:AI165,AL160:AL165)</f>
        <v>#VALUE!</v>
      </c>
      <c r="BE160" s="50" t="e">
        <f>bdRateExtend( O160:O165,S160:S165, AI160:AI165,AM160:AM165)</f>
        <v>#VALUE!</v>
      </c>
      <c r="BF160" s="50" t="e">
        <f>bdRateExtend( O160:O165,T160:T165, AI160:AI165,AN160:AN165)</f>
        <v>#VALUE!</v>
      </c>
      <c r="BH160" s="50" t="e">
        <f>bdRateExtend( O160:O165,U160:U165, AI160:AI165,AO160:AO165)</f>
        <v>#VALUE!</v>
      </c>
      <c r="BI160" s="50" t="e">
        <f>bdRateExtend( O160:O165,V160:V165, AI160:AI165,AP160:AP165)</f>
        <v>#VALUE!</v>
      </c>
      <c r="BJ160" s="50" t="e">
        <f>bdRateExtend( O160:O165,W160:W165, AI160:AI165,AQ160:AQ165)</f>
        <v>#VALUE!</v>
      </c>
    </row>
    <row r="161" spans="1:62" outlineLevel="1" x14ac:dyDescent="0.25">
      <c r="A161" s="25"/>
      <c r="B161" s="25"/>
      <c r="C161" s="26" t="s">
        <v>311</v>
      </c>
      <c r="D161" s="25">
        <v>4203962</v>
      </c>
      <c r="E161" s="26">
        <v>20</v>
      </c>
      <c r="G161" s="27" t="str">
        <f t="shared" si="22"/>
        <v>·</v>
      </c>
      <c r="H161" s="28" t="str">
        <f t="shared" si="23"/>
        <v>·</v>
      </c>
      <c r="I161" s="28" t="str">
        <f t="shared" si="24"/>
        <v>·</v>
      </c>
      <c r="J161" s="28" t="str">
        <f t="shared" si="25"/>
        <v>·</v>
      </c>
      <c r="K161" s="28" t="str">
        <f t="shared" si="26"/>
        <v>·</v>
      </c>
      <c r="L161" s="29"/>
      <c r="M161" s="30"/>
      <c r="N161" s="30"/>
      <c r="O161" s="30"/>
      <c r="P161" s="51"/>
      <c r="Q161" s="51"/>
      <c r="R161" s="51"/>
      <c r="S161" s="51"/>
      <c r="T161" s="51"/>
      <c r="U161" s="51"/>
      <c r="V161" s="51"/>
      <c r="W161" s="51"/>
      <c r="X161" s="31"/>
      <c r="Y161" s="31"/>
      <c r="AA161" s="27" t="str">
        <f t="shared" si="27"/>
        <v>·</v>
      </c>
      <c r="AB161" s="28" t="str">
        <f t="shared" si="28"/>
        <v>·</v>
      </c>
      <c r="AC161" s="28" t="str">
        <f t="shared" si="29"/>
        <v>·</v>
      </c>
      <c r="AD161" s="28" t="str">
        <f t="shared" si="30"/>
        <v>·</v>
      </c>
      <c r="AE161" s="28" t="str">
        <f t="shared" si="31"/>
        <v>·</v>
      </c>
      <c r="AF161" s="29"/>
      <c r="AG161" s="30"/>
      <c r="AH161" s="30"/>
      <c r="AI161" s="30"/>
      <c r="AJ161" s="51"/>
      <c r="AK161" s="51"/>
      <c r="AL161" s="51"/>
      <c r="AM161" s="51"/>
      <c r="AN161" s="51"/>
      <c r="AO161" s="51"/>
      <c r="AP161" s="51"/>
      <c r="AQ161" s="51"/>
      <c r="AR161" s="31"/>
      <c r="AS161" s="31"/>
      <c r="AU161" s="27" t="e">
        <f t="shared" si="32"/>
        <v>#DIV/0!</v>
      </c>
      <c r="AV161" s="27"/>
      <c r="AX161" s="52"/>
      <c r="AY161" s="52"/>
      <c r="AZ161" s="52"/>
      <c r="BA161" s="52"/>
      <c r="BB161" s="52"/>
      <c r="BD161" s="52"/>
      <c r="BE161" s="52"/>
      <c r="BF161" s="52"/>
      <c r="BH161" s="52"/>
      <c r="BI161" s="52"/>
      <c r="BJ161" s="52"/>
    </row>
    <row r="162" spans="1:62" outlineLevel="1" x14ac:dyDescent="0.25">
      <c r="A162" s="18"/>
      <c r="B162" s="18"/>
      <c r="C162" s="19" t="s">
        <v>312</v>
      </c>
      <c r="D162" s="18">
        <v>4203962</v>
      </c>
      <c r="E162" s="19">
        <v>20</v>
      </c>
      <c r="G162" s="20" t="str">
        <f t="shared" si="22"/>
        <v>·</v>
      </c>
      <c r="H162" s="21" t="str">
        <f t="shared" si="23"/>
        <v>·</v>
      </c>
      <c r="I162" s="21" t="str">
        <f t="shared" si="24"/>
        <v>·</v>
      </c>
      <c r="J162" s="21" t="str">
        <f t="shared" si="25"/>
        <v>·</v>
      </c>
      <c r="K162" s="21" t="str">
        <f t="shared" si="26"/>
        <v>·</v>
      </c>
      <c r="L162" s="22"/>
      <c r="M162" s="23"/>
      <c r="N162" s="23"/>
      <c r="O162" s="23"/>
      <c r="P162" s="49"/>
      <c r="Q162" s="49"/>
      <c r="R162" s="49"/>
      <c r="S162" s="49"/>
      <c r="T162" s="49"/>
      <c r="U162" s="49"/>
      <c r="V162" s="49"/>
      <c r="W162" s="49"/>
      <c r="X162" s="24"/>
      <c r="Y162" s="24"/>
      <c r="AA162" s="20" t="str">
        <f t="shared" si="27"/>
        <v>·</v>
      </c>
      <c r="AB162" s="21" t="str">
        <f t="shared" si="28"/>
        <v>·</v>
      </c>
      <c r="AC162" s="21" t="str">
        <f t="shared" si="29"/>
        <v>·</v>
      </c>
      <c r="AD162" s="21" t="str">
        <f t="shared" si="30"/>
        <v>·</v>
      </c>
      <c r="AE162" s="21" t="str">
        <f t="shared" si="31"/>
        <v>·</v>
      </c>
      <c r="AF162" s="22"/>
      <c r="AG162" s="23"/>
      <c r="AH162" s="23"/>
      <c r="AI162" s="23"/>
      <c r="AJ162" s="49"/>
      <c r="AK162" s="49"/>
      <c r="AL162" s="49"/>
      <c r="AM162" s="49"/>
      <c r="AN162" s="49"/>
      <c r="AO162" s="49"/>
      <c r="AP162" s="49"/>
      <c r="AQ162" s="49"/>
      <c r="AR162" s="24"/>
      <c r="AS162" s="24"/>
      <c r="AU162" s="20" t="e">
        <f t="shared" si="32"/>
        <v>#DIV/0!</v>
      </c>
      <c r="AV162" s="20"/>
      <c r="AX162" s="50"/>
      <c r="AY162" s="50"/>
      <c r="AZ162" s="50"/>
      <c r="BA162" s="50"/>
      <c r="BB162" s="50"/>
      <c r="BD162" s="50"/>
      <c r="BE162" s="50"/>
      <c r="BF162" s="50"/>
      <c r="BH162" s="50"/>
      <c r="BI162" s="50"/>
      <c r="BJ162" s="50"/>
    </row>
    <row r="163" spans="1:62" outlineLevel="1" x14ac:dyDescent="0.25">
      <c r="A163" s="25"/>
      <c r="B163" s="25"/>
      <c r="C163" s="26" t="s">
        <v>313</v>
      </c>
      <c r="D163" s="25">
        <v>4203962</v>
      </c>
      <c r="E163" s="26">
        <v>20</v>
      </c>
      <c r="G163" s="27" t="str">
        <f t="shared" si="22"/>
        <v>·</v>
      </c>
      <c r="H163" s="28" t="str">
        <f t="shared" si="23"/>
        <v>·</v>
      </c>
      <c r="I163" s="28" t="str">
        <f t="shared" si="24"/>
        <v>·</v>
      </c>
      <c r="J163" s="28" t="str">
        <f t="shared" si="25"/>
        <v>·</v>
      </c>
      <c r="K163" s="28" t="str">
        <f t="shared" si="26"/>
        <v>·</v>
      </c>
      <c r="L163" s="29"/>
      <c r="M163" s="30"/>
      <c r="N163" s="30"/>
      <c r="O163" s="30"/>
      <c r="P163" s="51"/>
      <c r="Q163" s="51"/>
      <c r="R163" s="51"/>
      <c r="S163" s="51"/>
      <c r="T163" s="51"/>
      <c r="U163" s="51"/>
      <c r="V163" s="51"/>
      <c r="W163" s="51"/>
      <c r="X163" s="31"/>
      <c r="Y163" s="31"/>
      <c r="AA163" s="27" t="str">
        <f t="shared" si="27"/>
        <v>·</v>
      </c>
      <c r="AB163" s="28" t="str">
        <f t="shared" si="28"/>
        <v>·</v>
      </c>
      <c r="AC163" s="28" t="str">
        <f t="shared" si="29"/>
        <v>·</v>
      </c>
      <c r="AD163" s="28" t="str">
        <f t="shared" si="30"/>
        <v>·</v>
      </c>
      <c r="AE163" s="28" t="str">
        <f t="shared" si="31"/>
        <v>·</v>
      </c>
      <c r="AF163" s="29"/>
      <c r="AG163" s="30"/>
      <c r="AH163" s="30"/>
      <c r="AI163" s="30"/>
      <c r="AJ163" s="51"/>
      <c r="AK163" s="51"/>
      <c r="AL163" s="51"/>
      <c r="AM163" s="51"/>
      <c r="AN163" s="51"/>
      <c r="AO163" s="51"/>
      <c r="AP163" s="51"/>
      <c r="AQ163" s="51"/>
      <c r="AR163" s="31"/>
      <c r="AS163" s="31"/>
      <c r="AU163" s="27" t="e">
        <f t="shared" si="32"/>
        <v>#DIV/0!</v>
      </c>
      <c r="AV163" s="27"/>
      <c r="AX163" s="52"/>
      <c r="AY163" s="52"/>
      <c r="AZ163" s="52"/>
      <c r="BA163" s="52"/>
      <c r="BB163" s="52"/>
      <c r="BD163" s="52"/>
      <c r="BE163" s="52"/>
      <c r="BF163" s="52"/>
      <c r="BH163" s="52"/>
      <c r="BI163" s="52"/>
      <c r="BJ163" s="52"/>
    </row>
    <row r="164" spans="1:62" outlineLevel="1" x14ac:dyDescent="0.25">
      <c r="A164" s="18"/>
      <c r="B164" s="18"/>
      <c r="C164" s="19" t="s">
        <v>428</v>
      </c>
      <c r="D164" s="18">
        <v>4203962</v>
      </c>
      <c r="E164" s="19">
        <v>20</v>
      </c>
      <c r="G164" s="20" t="str">
        <f t="shared" si="22"/>
        <v>·</v>
      </c>
      <c r="H164" s="21" t="str">
        <f t="shared" si="23"/>
        <v>·</v>
      </c>
      <c r="I164" s="21" t="str">
        <f t="shared" si="24"/>
        <v>·</v>
      </c>
      <c r="J164" s="21" t="str">
        <f t="shared" si="25"/>
        <v>·</v>
      </c>
      <c r="K164" s="21" t="str">
        <f t="shared" si="26"/>
        <v>·</v>
      </c>
      <c r="L164" s="22"/>
      <c r="M164" s="23"/>
      <c r="N164" s="23"/>
      <c r="O164" s="23"/>
      <c r="P164" s="49"/>
      <c r="Q164" s="49"/>
      <c r="R164" s="49"/>
      <c r="S164" s="49"/>
      <c r="T164" s="49"/>
      <c r="U164" s="49"/>
      <c r="V164" s="49"/>
      <c r="W164" s="49"/>
      <c r="X164" s="24"/>
      <c r="Y164" s="24"/>
      <c r="AA164" s="20" t="str">
        <f t="shared" si="27"/>
        <v>·</v>
      </c>
      <c r="AB164" s="21" t="str">
        <f t="shared" si="28"/>
        <v>·</v>
      </c>
      <c r="AC164" s="21" t="str">
        <f t="shared" si="29"/>
        <v>·</v>
      </c>
      <c r="AD164" s="21" t="str">
        <f t="shared" si="30"/>
        <v>·</v>
      </c>
      <c r="AE164" s="21" t="str">
        <f t="shared" si="31"/>
        <v>·</v>
      </c>
      <c r="AF164" s="22"/>
      <c r="AG164" s="23"/>
      <c r="AH164" s="23"/>
      <c r="AI164" s="23"/>
      <c r="AJ164" s="49"/>
      <c r="AK164" s="49"/>
      <c r="AL164" s="49"/>
      <c r="AM164" s="49"/>
      <c r="AN164" s="49"/>
      <c r="AO164" s="49"/>
      <c r="AP164" s="49"/>
      <c r="AQ164" s="49"/>
      <c r="AR164" s="24"/>
      <c r="AS164" s="24"/>
      <c r="AU164" s="20" t="e">
        <f t="shared" si="32"/>
        <v>#DIV/0!</v>
      </c>
      <c r="AV164" s="20"/>
      <c r="AX164" s="50"/>
      <c r="AY164" s="50"/>
      <c r="AZ164" s="50"/>
      <c r="BA164" s="50"/>
      <c r="BB164" s="50"/>
      <c r="BD164" s="50"/>
      <c r="BE164" s="50"/>
      <c r="BF164" s="50"/>
      <c r="BH164" s="50"/>
      <c r="BI164" s="50"/>
      <c r="BJ164" s="50"/>
    </row>
    <row r="165" spans="1:62" outlineLevel="1" x14ac:dyDescent="0.25">
      <c r="A165" s="25"/>
      <c r="B165" s="32"/>
      <c r="C165" s="33" t="s">
        <v>429</v>
      </c>
      <c r="D165" s="32">
        <v>4203962</v>
      </c>
      <c r="E165" s="33">
        <v>20</v>
      </c>
      <c r="G165" s="34" t="str">
        <f t="shared" si="22"/>
        <v>·</v>
      </c>
      <c r="H165" s="35" t="str">
        <f t="shared" si="23"/>
        <v>·</v>
      </c>
      <c r="I165" s="35" t="str">
        <f t="shared" si="24"/>
        <v>·</v>
      </c>
      <c r="J165" s="35" t="str">
        <f t="shared" si="25"/>
        <v>·</v>
      </c>
      <c r="K165" s="35" t="str">
        <f t="shared" si="26"/>
        <v>·</v>
      </c>
      <c r="L165" s="36"/>
      <c r="M165" s="37"/>
      <c r="N165" s="37"/>
      <c r="O165" s="37"/>
      <c r="P165" s="53"/>
      <c r="Q165" s="53"/>
      <c r="R165" s="53"/>
      <c r="S165" s="53"/>
      <c r="T165" s="53"/>
      <c r="U165" s="53"/>
      <c r="V165" s="53"/>
      <c r="W165" s="53"/>
      <c r="X165" s="38"/>
      <c r="Y165" s="38"/>
      <c r="AA165" s="34" t="str">
        <f t="shared" si="27"/>
        <v>·</v>
      </c>
      <c r="AB165" s="35" t="str">
        <f t="shared" si="28"/>
        <v>·</v>
      </c>
      <c r="AC165" s="35" t="str">
        <f t="shared" si="29"/>
        <v>·</v>
      </c>
      <c r="AD165" s="35" t="str">
        <f t="shared" si="30"/>
        <v>·</v>
      </c>
      <c r="AE165" s="35" t="str">
        <f t="shared" si="31"/>
        <v>·</v>
      </c>
      <c r="AF165" s="36"/>
      <c r="AG165" s="37"/>
      <c r="AH165" s="37"/>
      <c r="AI165" s="37"/>
      <c r="AJ165" s="53"/>
      <c r="AK165" s="53"/>
      <c r="AL165" s="53"/>
      <c r="AM165" s="53"/>
      <c r="AN165" s="53"/>
      <c r="AO165" s="53"/>
      <c r="AP165" s="53"/>
      <c r="AQ165" s="53"/>
      <c r="AR165" s="38"/>
      <c r="AS165" s="38"/>
      <c r="AU165" s="34" t="e">
        <f t="shared" si="32"/>
        <v>#DIV/0!</v>
      </c>
      <c r="AV165" s="34"/>
      <c r="AX165" s="54"/>
      <c r="AY165" s="54"/>
      <c r="AZ165" s="54"/>
      <c r="BA165" s="54"/>
      <c r="BB165" s="54"/>
      <c r="BD165" s="54"/>
      <c r="BE165" s="54"/>
      <c r="BF165" s="54"/>
      <c r="BH165" s="54"/>
      <c r="BI165" s="54"/>
      <c r="BJ165" s="54"/>
    </row>
    <row r="166" spans="1:62" collapsed="1" x14ac:dyDescent="0.25">
      <c r="A166" s="18"/>
      <c r="B166" s="18" t="s">
        <v>223</v>
      </c>
      <c r="C166" s="19" t="s">
        <v>310</v>
      </c>
      <c r="D166" s="18">
        <v>1009132</v>
      </c>
      <c r="E166" s="19">
        <v>12</v>
      </c>
      <c r="G166" s="20" t="str">
        <f t="shared" si="22"/>
        <v>·</v>
      </c>
      <c r="H166" s="21" t="str">
        <f t="shared" si="23"/>
        <v>·</v>
      </c>
      <c r="I166" s="21" t="str">
        <f t="shared" si="24"/>
        <v>·</v>
      </c>
      <c r="J166" s="21" t="str">
        <f t="shared" si="25"/>
        <v>·</v>
      </c>
      <c r="K166" s="21" t="str">
        <f t="shared" si="26"/>
        <v>·</v>
      </c>
      <c r="L166" s="22"/>
      <c r="M166" s="23"/>
      <c r="N166" s="23"/>
      <c r="O166" s="23"/>
      <c r="P166" s="49"/>
      <c r="Q166" s="49"/>
      <c r="R166" s="49"/>
      <c r="S166" s="49"/>
      <c r="T166" s="49"/>
      <c r="U166" s="49"/>
      <c r="V166" s="49"/>
      <c r="W166" s="49"/>
      <c r="X166" s="24"/>
      <c r="Y166" s="24"/>
      <c r="AA166" s="20" t="str">
        <f t="shared" si="27"/>
        <v>·</v>
      </c>
      <c r="AB166" s="21" t="str">
        <f t="shared" si="28"/>
        <v>·</v>
      </c>
      <c r="AC166" s="21" t="str">
        <f t="shared" si="29"/>
        <v>·</v>
      </c>
      <c r="AD166" s="21" t="str">
        <f t="shared" si="30"/>
        <v>·</v>
      </c>
      <c r="AE166" s="21" t="str">
        <f t="shared" si="31"/>
        <v>·</v>
      </c>
      <c r="AF166" s="22"/>
      <c r="AG166" s="23"/>
      <c r="AH166" s="23"/>
      <c r="AI166" s="23"/>
      <c r="AJ166" s="49"/>
      <c r="AK166" s="49"/>
      <c r="AL166" s="49"/>
      <c r="AM166" s="49"/>
      <c r="AN166" s="49"/>
      <c r="AO166" s="49"/>
      <c r="AP166" s="49"/>
      <c r="AQ166" s="49"/>
      <c r="AR166" s="24"/>
      <c r="AS166" s="24"/>
      <c r="AU166" s="20" t="e">
        <f t="shared" si="32"/>
        <v>#DIV/0!</v>
      </c>
      <c r="AV166" s="20" t="e">
        <f t="array" ref="AV166">AVERAGE(AH166:AH171/AG166:AG171) - AVERAGE(N166:N171/M166:M171)</f>
        <v>#DIV/0!</v>
      </c>
      <c r="AX166" s="50" t="e">
        <f>bdRateExtend( M166:M171,P166:P171, AG166:AG171,AJ166:AJ171)</f>
        <v>#VALUE!</v>
      </c>
      <c r="AY166" s="50" t="e">
        <f>bdRateExtend( M166:M171,Q166:Q171, AG166:AG171,AK166:AK171)</f>
        <v>#VALUE!</v>
      </c>
      <c r="AZ166" s="50" t="e">
        <f>bdRateExtend( M166:M171,R166:R171, AG166:AG171,AL166:AL171)</f>
        <v>#VALUE!</v>
      </c>
      <c r="BA166" s="50" t="e">
        <f>bdRateExtend( M166:M171,S166:S171, AG166:AG171,AM166:AM171)</f>
        <v>#VALUE!</v>
      </c>
      <c r="BB166" s="50" t="e">
        <f>bdRateExtend( M166:M171,T166:T171, AG166:AG171,AN166:AN171)</f>
        <v>#VALUE!</v>
      </c>
      <c r="BD166" s="50" t="e">
        <f>bdRateExtend( O166:O171,R166:R171, AI166:AI171,AL166:AL171)</f>
        <v>#VALUE!</v>
      </c>
      <c r="BE166" s="50" t="e">
        <f>bdRateExtend( O166:O171,S166:S171, AI166:AI171,AM166:AM171)</f>
        <v>#VALUE!</v>
      </c>
      <c r="BF166" s="50" t="e">
        <f>bdRateExtend( O166:O171,T166:T171, AI166:AI171,AN166:AN171)</f>
        <v>#VALUE!</v>
      </c>
      <c r="BH166" s="50" t="e">
        <f>bdRateExtend( O166:O171,U166:U171, AI166:AI171,AO166:AO171)</f>
        <v>#VALUE!</v>
      </c>
      <c r="BI166" s="50" t="e">
        <f>bdRateExtend( O166:O171,V166:V171, AI166:AI171,AP166:AP171)</f>
        <v>#VALUE!</v>
      </c>
      <c r="BJ166" s="50" t="e">
        <f>bdRateExtend( O166:O171,W166:W171, AI166:AI171,AQ166:AQ171)</f>
        <v>#VALUE!</v>
      </c>
    </row>
    <row r="167" spans="1:62" outlineLevel="1" x14ac:dyDescent="0.25">
      <c r="A167" s="25"/>
      <c r="B167" s="25"/>
      <c r="C167" s="26" t="s">
        <v>311</v>
      </c>
      <c r="D167" s="25">
        <v>1009132</v>
      </c>
      <c r="E167" s="26">
        <v>12</v>
      </c>
      <c r="G167" s="27" t="str">
        <f t="shared" si="22"/>
        <v>·</v>
      </c>
      <c r="H167" s="28" t="str">
        <f t="shared" si="23"/>
        <v>·</v>
      </c>
      <c r="I167" s="28" t="str">
        <f t="shared" si="24"/>
        <v>·</v>
      </c>
      <c r="J167" s="28" t="str">
        <f t="shared" si="25"/>
        <v>·</v>
      </c>
      <c r="K167" s="28" t="str">
        <f t="shared" si="26"/>
        <v>·</v>
      </c>
      <c r="L167" s="29"/>
      <c r="M167" s="30"/>
      <c r="N167" s="30"/>
      <c r="O167" s="30"/>
      <c r="P167" s="51"/>
      <c r="Q167" s="51"/>
      <c r="R167" s="51"/>
      <c r="S167" s="51"/>
      <c r="T167" s="51"/>
      <c r="U167" s="51"/>
      <c r="V167" s="51"/>
      <c r="W167" s="51"/>
      <c r="X167" s="31"/>
      <c r="Y167" s="31"/>
      <c r="AA167" s="27" t="str">
        <f t="shared" si="27"/>
        <v>·</v>
      </c>
      <c r="AB167" s="28" t="str">
        <f t="shared" si="28"/>
        <v>·</v>
      </c>
      <c r="AC167" s="28" t="str">
        <f t="shared" si="29"/>
        <v>·</v>
      </c>
      <c r="AD167" s="28" t="str">
        <f t="shared" si="30"/>
        <v>·</v>
      </c>
      <c r="AE167" s="28" t="str">
        <f t="shared" si="31"/>
        <v>·</v>
      </c>
      <c r="AF167" s="29"/>
      <c r="AG167" s="30"/>
      <c r="AH167" s="30"/>
      <c r="AI167" s="30"/>
      <c r="AJ167" s="51"/>
      <c r="AK167" s="51"/>
      <c r="AL167" s="51"/>
      <c r="AM167" s="51"/>
      <c r="AN167" s="51"/>
      <c r="AO167" s="51"/>
      <c r="AP167" s="51"/>
      <c r="AQ167" s="51"/>
      <c r="AR167" s="31"/>
      <c r="AS167" s="31"/>
      <c r="AU167" s="27" t="e">
        <f t="shared" si="32"/>
        <v>#DIV/0!</v>
      </c>
      <c r="AV167" s="27"/>
      <c r="AX167" s="52"/>
      <c r="AY167" s="52"/>
      <c r="AZ167" s="52"/>
      <c r="BA167" s="52"/>
      <c r="BB167" s="52"/>
      <c r="BD167" s="52"/>
      <c r="BE167" s="52"/>
      <c r="BF167" s="52"/>
      <c r="BH167" s="52"/>
      <c r="BI167" s="52"/>
      <c r="BJ167" s="52"/>
    </row>
    <row r="168" spans="1:62" outlineLevel="1" x14ac:dyDescent="0.25">
      <c r="A168" s="18"/>
      <c r="B168" s="18"/>
      <c r="C168" s="19" t="s">
        <v>312</v>
      </c>
      <c r="D168" s="18">
        <v>1009132</v>
      </c>
      <c r="E168" s="19">
        <v>12</v>
      </c>
      <c r="G168" s="20" t="str">
        <f t="shared" si="22"/>
        <v>·</v>
      </c>
      <c r="H168" s="21" t="str">
        <f t="shared" si="23"/>
        <v>·</v>
      </c>
      <c r="I168" s="21" t="str">
        <f t="shared" si="24"/>
        <v>·</v>
      </c>
      <c r="J168" s="21" t="str">
        <f t="shared" si="25"/>
        <v>·</v>
      </c>
      <c r="K168" s="21" t="str">
        <f t="shared" si="26"/>
        <v>·</v>
      </c>
      <c r="L168" s="22"/>
      <c r="M168" s="23"/>
      <c r="N168" s="23"/>
      <c r="O168" s="23"/>
      <c r="P168" s="49"/>
      <c r="Q168" s="49"/>
      <c r="R168" s="49"/>
      <c r="S168" s="49"/>
      <c r="T168" s="49"/>
      <c r="U168" s="49"/>
      <c r="V168" s="49"/>
      <c r="W168" s="49"/>
      <c r="X168" s="24"/>
      <c r="Y168" s="24"/>
      <c r="AA168" s="20" t="str">
        <f t="shared" si="27"/>
        <v>·</v>
      </c>
      <c r="AB168" s="21" t="str">
        <f t="shared" si="28"/>
        <v>·</v>
      </c>
      <c r="AC168" s="21" t="str">
        <f t="shared" si="29"/>
        <v>·</v>
      </c>
      <c r="AD168" s="21" t="str">
        <f t="shared" si="30"/>
        <v>·</v>
      </c>
      <c r="AE168" s="21" t="str">
        <f t="shared" si="31"/>
        <v>·</v>
      </c>
      <c r="AF168" s="22"/>
      <c r="AG168" s="23"/>
      <c r="AH168" s="23"/>
      <c r="AI168" s="23"/>
      <c r="AJ168" s="49"/>
      <c r="AK168" s="49"/>
      <c r="AL168" s="49"/>
      <c r="AM168" s="49"/>
      <c r="AN168" s="49"/>
      <c r="AO168" s="49"/>
      <c r="AP168" s="49"/>
      <c r="AQ168" s="49"/>
      <c r="AR168" s="24"/>
      <c r="AS168" s="24"/>
      <c r="AU168" s="20" t="e">
        <f t="shared" si="32"/>
        <v>#DIV/0!</v>
      </c>
      <c r="AV168" s="20"/>
      <c r="AX168" s="50"/>
      <c r="AY168" s="50"/>
      <c r="AZ168" s="50"/>
      <c r="BA168" s="50"/>
      <c r="BB168" s="50"/>
      <c r="BD168" s="50"/>
      <c r="BE168" s="50"/>
      <c r="BF168" s="50"/>
      <c r="BH168" s="50"/>
      <c r="BI168" s="50"/>
      <c r="BJ168" s="50"/>
    </row>
    <row r="169" spans="1:62" outlineLevel="1" x14ac:dyDescent="0.25">
      <c r="A169" s="25"/>
      <c r="B169" s="25"/>
      <c r="C169" s="26" t="s">
        <v>313</v>
      </c>
      <c r="D169" s="25">
        <v>1009132</v>
      </c>
      <c r="E169" s="26">
        <v>12</v>
      </c>
      <c r="G169" s="27" t="str">
        <f t="shared" si="22"/>
        <v>·</v>
      </c>
      <c r="H169" s="28" t="str">
        <f t="shared" si="23"/>
        <v>·</v>
      </c>
      <c r="I169" s="28" t="str">
        <f t="shared" si="24"/>
        <v>·</v>
      </c>
      <c r="J169" s="28" t="str">
        <f t="shared" si="25"/>
        <v>·</v>
      </c>
      <c r="K169" s="28" t="str">
        <f t="shared" si="26"/>
        <v>·</v>
      </c>
      <c r="L169" s="29"/>
      <c r="M169" s="30"/>
      <c r="N169" s="30"/>
      <c r="O169" s="30"/>
      <c r="P169" s="51"/>
      <c r="Q169" s="51"/>
      <c r="R169" s="51"/>
      <c r="S169" s="51"/>
      <c r="T169" s="51"/>
      <c r="U169" s="51"/>
      <c r="V169" s="51"/>
      <c r="W169" s="51"/>
      <c r="X169" s="31"/>
      <c r="Y169" s="31"/>
      <c r="AA169" s="27" t="str">
        <f t="shared" si="27"/>
        <v>·</v>
      </c>
      <c r="AB169" s="28" t="str">
        <f t="shared" si="28"/>
        <v>·</v>
      </c>
      <c r="AC169" s="28" t="str">
        <f t="shared" si="29"/>
        <v>·</v>
      </c>
      <c r="AD169" s="28" t="str">
        <f t="shared" si="30"/>
        <v>·</v>
      </c>
      <c r="AE169" s="28" t="str">
        <f t="shared" si="31"/>
        <v>·</v>
      </c>
      <c r="AF169" s="29"/>
      <c r="AG169" s="30"/>
      <c r="AH169" s="30"/>
      <c r="AI169" s="30"/>
      <c r="AJ169" s="51"/>
      <c r="AK169" s="51"/>
      <c r="AL169" s="51"/>
      <c r="AM169" s="51"/>
      <c r="AN169" s="51"/>
      <c r="AO169" s="51"/>
      <c r="AP169" s="51"/>
      <c r="AQ169" s="51"/>
      <c r="AR169" s="31"/>
      <c r="AS169" s="31"/>
      <c r="AU169" s="27" t="e">
        <f t="shared" si="32"/>
        <v>#DIV/0!</v>
      </c>
      <c r="AV169" s="27"/>
      <c r="AX169" s="52"/>
      <c r="AY169" s="52"/>
      <c r="AZ169" s="52"/>
      <c r="BA169" s="52"/>
      <c r="BB169" s="52"/>
      <c r="BD169" s="52"/>
      <c r="BE169" s="52"/>
      <c r="BF169" s="52"/>
      <c r="BH169" s="52"/>
      <c r="BI169" s="52"/>
      <c r="BJ169" s="52"/>
    </row>
    <row r="170" spans="1:62" outlineLevel="1" x14ac:dyDescent="0.25">
      <c r="A170" s="18"/>
      <c r="B170" s="18"/>
      <c r="C170" s="19" t="s">
        <v>428</v>
      </c>
      <c r="D170" s="18">
        <v>1009132</v>
      </c>
      <c r="E170" s="19">
        <v>12</v>
      </c>
      <c r="G170" s="20" t="str">
        <f t="shared" si="22"/>
        <v>·</v>
      </c>
      <c r="H170" s="21" t="str">
        <f t="shared" si="23"/>
        <v>·</v>
      </c>
      <c r="I170" s="21" t="str">
        <f t="shared" si="24"/>
        <v>·</v>
      </c>
      <c r="J170" s="21" t="str">
        <f t="shared" si="25"/>
        <v>·</v>
      </c>
      <c r="K170" s="21" t="str">
        <f t="shared" si="26"/>
        <v>·</v>
      </c>
      <c r="L170" s="22"/>
      <c r="M170" s="23"/>
      <c r="N170" s="23"/>
      <c r="O170" s="23"/>
      <c r="P170" s="49"/>
      <c r="Q170" s="49"/>
      <c r="R170" s="49"/>
      <c r="S170" s="49"/>
      <c r="T170" s="49"/>
      <c r="U170" s="49"/>
      <c r="V170" s="49"/>
      <c r="W170" s="49"/>
      <c r="X170" s="24"/>
      <c r="Y170" s="24"/>
      <c r="AA170" s="20" t="str">
        <f t="shared" si="27"/>
        <v>·</v>
      </c>
      <c r="AB170" s="21" t="str">
        <f t="shared" si="28"/>
        <v>·</v>
      </c>
      <c r="AC170" s="21" t="str">
        <f t="shared" si="29"/>
        <v>·</v>
      </c>
      <c r="AD170" s="21" t="str">
        <f t="shared" si="30"/>
        <v>·</v>
      </c>
      <c r="AE170" s="21" t="str">
        <f t="shared" si="31"/>
        <v>·</v>
      </c>
      <c r="AF170" s="22"/>
      <c r="AG170" s="23"/>
      <c r="AH170" s="23"/>
      <c r="AI170" s="23"/>
      <c r="AJ170" s="49"/>
      <c r="AK170" s="49"/>
      <c r="AL170" s="49"/>
      <c r="AM170" s="49"/>
      <c r="AN170" s="49"/>
      <c r="AO170" s="49"/>
      <c r="AP170" s="49"/>
      <c r="AQ170" s="49"/>
      <c r="AR170" s="24"/>
      <c r="AS170" s="24"/>
      <c r="AU170" s="20" t="e">
        <f t="shared" si="32"/>
        <v>#DIV/0!</v>
      </c>
      <c r="AV170" s="20"/>
      <c r="AX170" s="50"/>
      <c r="AY170" s="50"/>
      <c r="AZ170" s="50"/>
      <c r="BA170" s="50"/>
      <c r="BB170" s="50"/>
      <c r="BD170" s="50"/>
      <c r="BE170" s="50"/>
      <c r="BF170" s="50"/>
      <c r="BH170" s="50"/>
      <c r="BI170" s="50"/>
      <c r="BJ170" s="50"/>
    </row>
    <row r="171" spans="1:62" outlineLevel="1" x14ac:dyDescent="0.25">
      <c r="A171" s="25"/>
      <c r="B171" s="32"/>
      <c r="C171" s="33" t="s">
        <v>429</v>
      </c>
      <c r="D171" s="32">
        <v>1009132</v>
      </c>
      <c r="E171" s="33">
        <v>12</v>
      </c>
      <c r="G171" s="34" t="str">
        <f t="shared" si="22"/>
        <v>·</v>
      </c>
      <c r="H171" s="35" t="str">
        <f t="shared" si="23"/>
        <v>·</v>
      </c>
      <c r="I171" s="35" t="str">
        <f t="shared" si="24"/>
        <v>·</v>
      </c>
      <c r="J171" s="35" t="str">
        <f t="shared" si="25"/>
        <v>·</v>
      </c>
      <c r="K171" s="35" t="str">
        <f t="shared" si="26"/>
        <v>·</v>
      </c>
      <c r="L171" s="36"/>
      <c r="M171" s="37"/>
      <c r="N171" s="37"/>
      <c r="O171" s="37"/>
      <c r="P171" s="53"/>
      <c r="Q171" s="53"/>
      <c r="R171" s="53"/>
      <c r="S171" s="53"/>
      <c r="T171" s="53"/>
      <c r="U171" s="53"/>
      <c r="V171" s="53"/>
      <c r="W171" s="53"/>
      <c r="X171" s="38"/>
      <c r="Y171" s="38"/>
      <c r="AA171" s="34" t="str">
        <f t="shared" si="27"/>
        <v>·</v>
      </c>
      <c r="AB171" s="35" t="str">
        <f t="shared" si="28"/>
        <v>·</v>
      </c>
      <c r="AC171" s="35" t="str">
        <f t="shared" si="29"/>
        <v>·</v>
      </c>
      <c r="AD171" s="35" t="str">
        <f t="shared" si="30"/>
        <v>·</v>
      </c>
      <c r="AE171" s="35" t="str">
        <f t="shared" si="31"/>
        <v>·</v>
      </c>
      <c r="AF171" s="36"/>
      <c r="AG171" s="37"/>
      <c r="AH171" s="37"/>
      <c r="AI171" s="37"/>
      <c r="AJ171" s="53"/>
      <c r="AK171" s="53"/>
      <c r="AL171" s="53"/>
      <c r="AM171" s="53"/>
      <c r="AN171" s="53"/>
      <c r="AO171" s="53"/>
      <c r="AP171" s="53"/>
      <c r="AQ171" s="53"/>
      <c r="AR171" s="38"/>
      <c r="AS171" s="38"/>
      <c r="AU171" s="34" t="e">
        <f t="shared" si="32"/>
        <v>#DIV/0!</v>
      </c>
      <c r="AV171" s="34"/>
      <c r="AX171" s="54"/>
      <c r="AY171" s="54"/>
      <c r="AZ171" s="54"/>
      <c r="BA171" s="54"/>
      <c r="BB171" s="54"/>
      <c r="BD171" s="54"/>
      <c r="BE171" s="54"/>
      <c r="BF171" s="54"/>
      <c r="BH171" s="54"/>
      <c r="BI171" s="54"/>
      <c r="BJ171" s="54"/>
    </row>
    <row r="172" spans="1:62" collapsed="1" x14ac:dyDescent="0.25">
      <c r="A172" s="18"/>
      <c r="B172" s="18" t="s">
        <v>226</v>
      </c>
      <c r="C172" s="19" t="s">
        <v>310</v>
      </c>
      <c r="D172" s="18">
        <v>1010591</v>
      </c>
      <c r="E172" s="19">
        <v>20</v>
      </c>
      <c r="G172" s="20" t="str">
        <f t="shared" si="22"/>
        <v>·</v>
      </c>
      <c r="H172" s="21" t="str">
        <f t="shared" si="23"/>
        <v>·</v>
      </c>
      <c r="I172" s="21" t="str">
        <f t="shared" si="24"/>
        <v>·</v>
      </c>
      <c r="J172" s="21" t="str">
        <f t="shared" si="25"/>
        <v>·</v>
      </c>
      <c r="K172" s="21" t="str">
        <f t="shared" si="26"/>
        <v>·</v>
      </c>
      <c r="L172" s="22"/>
      <c r="M172" s="23"/>
      <c r="N172" s="23"/>
      <c r="O172" s="23"/>
      <c r="P172" s="49"/>
      <c r="Q172" s="49"/>
      <c r="R172" s="49"/>
      <c r="S172" s="49"/>
      <c r="T172" s="49"/>
      <c r="U172" s="49"/>
      <c r="V172" s="49"/>
      <c r="W172" s="49"/>
      <c r="X172" s="24"/>
      <c r="Y172" s="24"/>
      <c r="AA172" s="20" t="str">
        <f t="shared" si="27"/>
        <v>·</v>
      </c>
      <c r="AB172" s="21" t="str">
        <f t="shared" si="28"/>
        <v>·</v>
      </c>
      <c r="AC172" s="21" t="str">
        <f t="shared" si="29"/>
        <v>·</v>
      </c>
      <c r="AD172" s="21" t="str">
        <f t="shared" si="30"/>
        <v>·</v>
      </c>
      <c r="AE172" s="21" t="str">
        <f t="shared" si="31"/>
        <v>·</v>
      </c>
      <c r="AF172" s="22"/>
      <c r="AG172" s="23"/>
      <c r="AH172" s="23"/>
      <c r="AI172" s="23"/>
      <c r="AJ172" s="49"/>
      <c r="AK172" s="49"/>
      <c r="AL172" s="49"/>
      <c r="AM172" s="49"/>
      <c r="AN172" s="49"/>
      <c r="AO172" s="49"/>
      <c r="AP172" s="49"/>
      <c r="AQ172" s="49"/>
      <c r="AR172" s="24"/>
      <c r="AS172" s="24"/>
      <c r="AU172" s="20" t="e">
        <f t="shared" si="32"/>
        <v>#DIV/0!</v>
      </c>
      <c r="AV172" s="20" t="e">
        <f t="array" ref="AV172">AVERAGE(AH172:AH177/AG172:AG177) - AVERAGE(N172:N177/M172:M177)</f>
        <v>#DIV/0!</v>
      </c>
      <c r="AX172" s="50" t="e">
        <f>bdRateExtend( M172:M177,P172:P177, AG172:AG177,AJ172:AJ177)</f>
        <v>#VALUE!</v>
      </c>
      <c r="AY172" s="50" t="e">
        <f>bdRateExtend( M172:M177,Q172:Q177, AG172:AG177,AK172:AK177)</f>
        <v>#VALUE!</v>
      </c>
      <c r="AZ172" s="50" t="e">
        <f>bdRateExtend( M172:M177,R172:R177, AG172:AG177,AL172:AL177)</f>
        <v>#VALUE!</v>
      </c>
      <c r="BA172" s="50" t="e">
        <f>bdRateExtend( M172:M177,S172:S177, AG172:AG177,AM172:AM177)</f>
        <v>#VALUE!</v>
      </c>
      <c r="BB172" s="50" t="e">
        <f>bdRateExtend( M172:M177,T172:T177, AG172:AG177,AN172:AN177)</f>
        <v>#VALUE!</v>
      </c>
      <c r="BD172" s="50" t="e">
        <f>bdRateExtend( O172:O177,R172:R177, AI172:AI177,AL172:AL177)</f>
        <v>#VALUE!</v>
      </c>
      <c r="BE172" s="50" t="e">
        <f>bdRateExtend( O172:O177,S172:S177, AI172:AI177,AM172:AM177)</f>
        <v>#VALUE!</v>
      </c>
      <c r="BF172" s="50" t="e">
        <f>bdRateExtend( O172:O177,T172:T177, AI172:AI177,AN172:AN177)</f>
        <v>#VALUE!</v>
      </c>
      <c r="BH172" s="50" t="e">
        <f>bdRateExtend( O172:O177,U172:U177, AI172:AI177,AO172:AO177)</f>
        <v>#VALUE!</v>
      </c>
      <c r="BI172" s="50" t="e">
        <f>bdRateExtend( O172:O177,V172:V177, AI172:AI177,AP172:AP177)</f>
        <v>#VALUE!</v>
      </c>
      <c r="BJ172" s="50" t="e">
        <f>bdRateExtend( O172:O177,W172:W177, AI172:AI177,AQ172:AQ177)</f>
        <v>#VALUE!</v>
      </c>
    </row>
    <row r="173" spans="1:62" outlineLevel="1" x14ac:dyDescent="0.25">
      <c r="A173" s="25"/>
      <c r="B173" s="25"/>
      <c r="C173" s="26" t="s">
        <v>311</v>
      </c>
      <c r="D173" s="25">
        <v>1010591</v>
      </c>
      <c r="E173" s="26">
        <v>20</v>
      </c>
      <c r="G173" s="27" t="str">
        <f t="shared" si="22"/>
        <v>·</v>
      </c>
      <c r="H173" s="28" t="str">
        <f t="shared" si="23"/>
        <v>·</v>
      </c>
      <c r="I173" s="28" t="str">
        <f t="shared" si="24"/>
        <v>·</v>
      </c>
      <c r="J173" s="28" t="str">
        <f t="shared" si="25"/>
        <v>·</v>
      </c>
      <c r="K173" s="28" t="str">
        <f t="shared" si="26"/>
        <v>·</v>
      </c>
      <c r="L173" s="29"/>
      <c r="M173" s="30"/>
      <c r="N173" s="30"/>
      <c r="O173" s="30"/>
      <c r="P173" s="51"/>
      <c r="Q173" s="51"/>
      <c r="R173" s="51"/>
      <c r="S173" s="51"/>
      <c r="T173" s="51"/>
      <c r="U173" s="51"/>
      <c r="V173" s="51"/>
      <c r="W173" s="51"/>
      <c r="X173" s="31"/>
      <c r="Y173" s="31"/>
      <c r="AA173" s="27" t="str">
        <f t="shared" si="27"/>
        <v>·</v>
      </c>
      <c r="AB173" s="28" t="str">
        <f t="shared" si="28"/>
        <v>·</v>
      </c>
      <c r="AC173" s="28" t="str">
        <f t="shared" si="29"/>
        <v>·</v>
      </c>
      <c r="AD173" s="28" t="str">
        <f t="shared" si="30"/>
        <v>·</v>
      </c>
      <c r="AE173" s="28" t="str">
        <f t="shared" si="31"/>
        <v>·</v>
      </c>
      <c r="AF173" s="29"/>
      <c r="AG173" s="30"/>
      <c r="AH173" s="30"/>
      <c r="AI173" s="30"/>
      <c r="AJ173" s="51"/>
      <c r="AK173" s="51"/>
      <c r="AL173" s="51"/>
      <c r="AM173" s="51"/>
      <c r="AN173" s="51"/>
      <c r="AO173" s="51"/>
      <c r="AP173" s="51"/>
      <c r="AQ173" s="51"/>
      <c r="AR173" s="31"/>
      <c r="AS173" s="31"/>
      <c r="AU173" s="27" t="e">
        <f t="shared" si="32"/>
        <v>#DIV/0!</v>
      </c>
      <c r="AV173" s="27"/>
      <c r="AX173" s="52"/>
      <c r="AY173" s="52"/>
      <c r="AZ173" s="52"/>
      <c r="BA173" s="52"/>
      <c r="BB173" s="52"/>
      <c r="BD173" s="52"/>
      <c r="BE173" s="52"/>
      <c r="BF173" s="52"/>
      <c r="BH173" s="52"/>
      <c r="BI173" s="52"/>
      <c r="BJ173" s="52"/>
    </row>
    <row r="174" spans="1:62" outlineLevel="1" x14ac:dyDescent="0.25">
      <c r="A174" s="18"/>
      <c r="B174" s="18"/>
      <c r="C174" s="19" t="s">
        <v>312</v>
      </c>
      <c r="D174" s="18">
        <v>1010591</v>
      </c>
      <c r="E174" s="19">
        <v>20</v>
      </c>
      <c r="G174" s="20" t="str">
        <f t="shared" si="22"/>
        <v>·</v>
      </c>
      <c r="H174" s="21" t="str">
        <f t="shared" si="23"/>
        <v>·</v>
      </c>
      <c r="I174" s="21" t="str">
        <f t="shared" si="24"/>
        <v>·</v>
      </c>
      <c r="J174" s="21" t="str">
        <f t="shared" si="25"/>
        <v>·</v>
      </c>
      <c r="K174" s="21" t="str">
        <f t="shared" si="26"/>
        <v>·</v>
      </c>
      <c r="L174" s="22"/>
      <c r="M174" s="23"/>
      <c r="N174" s="23"/>
      <c r="O174" s="23"/>
      <c r="P174" s="49"/>
      <c r="Q174" s="49"/>
      <c r="R174" s="49"/>
      <c r="S174" s="49"/>
      <c r="T174" s="49"/>
      <c r="U174" s="49"/>
      <c r="V174" s="49"/>
      <c r="W174" s="49"/>
      <c r="X174" s="24"/>
      <c r="Y174" s="24"/>
      <c r="AA174" s="20" t="str">
        <f t="shared" si="27"/>
        <v>·</v>
      </c>
      <c r="AB174" s="21" t="str">
        <f t="shared" si="28"/>
        <v>·</v>
      </c>
      <c r="AC174" s="21" t="str">
        <f t="shared" si="29"/>
        <v>·</v>
      </c>
      <c r="AD174" s="21" t="str">
        <f t="shared" si="30"/>
        <v>·</v>
      </c>
      <c r="AE174" s="21" t="str">
        <f t="shared" si="31"/>
        <v>·</v>
      </c>
      <c r="AF174" s="22"/>
      <c r="AG174" s="23"/>
      <c r="AH174" s="23"/>
      <c r="AI174" s="23"/>
      <c r="AJ174" s="49"/>
      <c r="AK174" s="49"/>
      <c r="AL174" s="49"/>
      <c r="AM174" s="49"/>
      <c r="AN174" s="49"/>
      <c r="AO174" s="49"/>
      <c r="AP174" s="49"/>
      <c r="AQ174" s="49"/>
      <c r="AR174" s="24"/>
      <c r="AS174" s="24"/>
      <c r="AU174" s="20" t="e">
        <f t="shared" si="32"/>
        <v>#DIV/0!</v>
      </c>
      <c r="AV174" s="20"/>
      <c r="AX174" s="50"/>
      <c r="AY174" s="50"/>
      <c r="AZ174" s="50"/>
      <c r="BA174" s="50"/>
      <c r="BB174" s="50"/>
      <c r="BD174" s="50"/>
      <c r="BE174" s="50"/>
      <c r="BF174" s="50"/>
      <c r="BH174" s="50"/>
      <c r="BI174" s="50"/>
      <c r="BJ174" s="50"/>
    </row>
    <row r="175" spans="1:62" outlineLevel="1" x14ac:dyDescent="0.25">
      <c r="A175" s="25"/>
      <c r="B175" s="25"/>
      <c r="C175" s="26" t="s">
        <v>313</v>
      </c>
      <c r="D175" s="25">
        <v>1010591</v>
      </c>
      <c r="E175" s="26">
        <v>20</v>
      </c>
      <c r="G175" s="27" t="str">
        <f t="shared" si="22"/>
        <v>·</v>
      </c>
      <c r="H175" s="28" t="str">
        <f t="shared" si="23"/>
        <v>·</v>
      </c>
      <c r="I175" s="28" t="str">
        <f t="shared" si="24"/>
        <v>·</v>
      </c>
      <c r="J175" s="28" t="str">
        <f t="shared" si="25"/>
        <v>·</v>
      </c>
      <c r="K175" s="28" t="str">
        <f t="shared" si="26"/>
        <v>·</v>
      </c>
      <c r="L175" s="29"/>
      <c r="M175" s="30"/>
      <c r="N175" s="30"/>
      <c r="O175" s="30"/>
      <c r="P175" s="51"/>
      <c r="Q175" s="51"/>
      <c r="R175" s="51"/>
      <c r="S175" s="51"/>
      <c r="T175" s="51"/>
      <c r="U175" s="51"/>
      <c r="V175" s="51"/>
      <c r="W175" s="51"/>
      <c r="X175" s="31"/>
      <c r="Y175" s="31"/>
      <c r="AA175" s="27" t="str">
        <f t="shared" si="27"/>
        <v>·</v>
      </c>
      <c r="AB175" s="28" t="str">
        <f t="shared" si="28"/>
        <v>·</v>
      </c>
      <c r="AC175" s="28" t="str">
        <f t="shared" si="29"/>
        <v>·</v>
      </c>
      <c r="AD175" s="28" t="str">
        <f t="shared" si="30"/>
        <v>·</v>
      </c>
      <c r="AE175" s="28" t="str">
        <f t="shared" si="31"/>
        <v>·</v>
      </c>
      <c r="AF175" s="29"/>
      <c r="AG175" s="30"/>
      <c r="AH175" s="30"/>
      <c r="AI175" s="30"/>
      <c r="AJ175" s="51"/>
      <c r="AK175" s="51"/>
      <c r="AL175" s="51"/>
      <c r="AM175" s="51"/>
      <c r="AN175" s="51"/>
      <c r="AO175" s="51"/>
      <c r="AP175" s="51"/>
      <c r="AQ175" s="51"/>
      <c r="AR175" s="31"/>
      <c r="AS175" s="31"/>
      <c r="AU175" s="27" t="e">
        <f t="shared" si="32"/>
        <v>#DIV/0!</v>
      </c>
      <c r="AV175" s="27"/>
      <c r="AX175" s="52"/>
      <c r="AY175" s="52"/>
      <c r="AZ175" s="52"/>
      <c r="BA175" s="52"/>
      <c r="BB175" s="52"/>
      <c r="BD175" s="52"/>
      <c r="BE175" s="52"/>
      <c r="BF175" s="52"/>
      <c r="BH175" s="52"/>
      <c r="BI175" s="52"/>
      <c r="BJ175" s="52"/>
    </row>
    <row r="176" spans="1:62" outlineLevel="1" x14ac:dyDescent="0.25">
      <c r="A176" s="18"/>
      <c r="B176" s="18"/>
      <c r="C176" s="19" t="s">
        <v>428</v>
      </c>
      <c r="D176" s="18">
        <v>1010591</v>
      </c>
      <c r="E176" s="19">
        <v>20</v>
      </c>
      <c r="G176" s="20" t="str">
        <f t="shared" si="22"/>
        <v>·</v>
      </c>
      <c r="H176" s="21" t="str">
        <f t="shared" si="23"/>
        <v>·</v>
      </c>
      <c r="I176" s="21" t="str">
        <f t="shared" si="24"/>
        <v>·</v>
      </c>
      <c r="J176" s="21" t="str">
        <f t="shared" si="25"/>
        <v>·</v>
      </c>
      <c r="K176" s="21" t="str">
        <f t="shared" si="26"/>
        <v>·</v>
      </c>
      <c r="L176" s="22"/>
      <c r="M176" s="23"/>
      <c r="N176" s="23"/>
      <c r="O176" s="23"/>
      <c r="P176" s="49"/>
      <c r="Q176" s="49"/>
      <c r="R176" s="49"/>
      <c r="S176" s="49"/>
      <c r="T176" s="49"/>
      <c r="U176" s="49"/>
      <c r="V176" s="49"/>
      <c r="W176" s="49"/>
      <c r="X176" s="24"/>
      <c r="Y176" s="24"/>
      <c r="AA176" s="20" t="str">
        <f t="shared" si="27"/>
        <v>·</v>
      </c>
      <c r="AB176" s="21" t="str">
        <f t="shared" si="28"/>
        <v>·</v>
      </c>
      <c r="AC176" s="21" t="str">
        <f t="shared" si="29"/>
        <v>·</v>
      </c>
      <c r="AD176" s="21" t="str">
        <f t="shared" si="30"/>
        <v>·</v>
      </c>
      <c r="AE176" s="21" t="str">
        <f t="shared" si="31"/>
        <v>·</v>
      </c>
      <c r="AF176" s="22"/>
      <c r="AG176" s="23"/>
      <c r="AH176" s="23"/>
      <c r="AI176" s="23"/>
      <c r="AJ176" s="49"/>
      <c r="AK176" s="49"/>
      <c r="AL176" s="49"/>
      <c r="AM176" s="49"/>
      <c r="AN176" s="49"/>
      <c r="AO176" s="49"/>
      <c r="AP176" s="49"/>
      <c r="AQ176" s="49"/>
      <c r="AR176" s="24"/>
      <c r="AS176" s="24"/>
      <c r="AU176" s="20" t="e">
        <f t="shared" si="32"/>
        <v>#DIV/0!</v>
      </c>
      <c r="AV176" s="20"/>
      <c r="AX176" s="50"/>
      <c r="AY176" s="50"/>
      <c r="AZ176" s="50"/>
      <c r="BA176" s="50"/>
      <c r="BB176" s="50"/>
      <c r="BD176" s="50"/>
      <c r="BE176" s="50"/>
      <c r="BF176" s="50"/>
      <c r="BH176" s="50"/>
      <c r="BI176" s="50"/>
      <c r="BJ176" s="50"/>
    </row>
    <row r="177" spans="1:62" outlineLevel="1" x14ac:dyDescent="0.25">
      <c r="A177" s="32"/>
      <c r="B177" s="32"/>
      <c r="C177" s="33" t="s">
        <v>429</v>
      </c>
      <c r="D177" s="32">
        <v>1010591</v>
      </c>
      <c r="E177" s="33">
        <v>20</v>
      </c>
      <c r="G177" s="34" t="str">
        <f t="shared" si="22"/>
        <v>·</v>
      </c>
      <c r="H177" s="35" t="str">
        <f t="shared" si="23"/>
        <v>·</v>
      </c>
      <c r="I177" s="35" t="str">
        <f t="shared" si="24"/>
        <v>·</v>
      </c>
      <c r="J177" s="35" t="str">
        <f t="shared" si="25"/>
        <v>·</v>
      </c>
      <c r="K177" s="35" t="str">
        <f t="shared" si="26"/>
        <v>·</v>
      </c>
      <c r="L177" s="36"/>
      <c r="M177" s="37"/>
      <c r="N177" s="37"/>
      <c r="O177" s="37"/>
      <c r="P177" s="53"/>
      <c r="Q177" s="53"/>
      <c r="R177" s="53"/>
      <c r="S177" s="53"/>
      <c r="T177" s="53"/>
      <c r="U177" s="53"/>
      <c r="V177" s="53"/>
      <c r="W177" s="53"/>
      <c r="X177" s="38"/>
      <c r="Y177" s="38"/>
      <c r="AA177" s="34" t="str">
        <f t="shared" si="27"/>
        <v>·</v>
      </c>
      <c r="AB177" s="35" t="str">
        <f t="shared" si="28"/>
        <v>·</v>
      </c>
      <c r="AC177" s="35" t="str">
        <f t="shared" si="29"/>
        <v>·</v>
      </c>
      <c r="AD177" s="35" t="str">
        <f t="shared" si="30"/>
        <v>·</v>
      </c>
      <c r="AE177" s="35" t="str">
        <f t="shared" si="31"/>
        <v>·</v>
      </c>
      <c r="AF177" s="36"/>
      <c r="AG177" s="37"/>
      <c r="AH177" s="37"/>
      <c r="AI177" s="37"/>
      <c r="AJ177" s="53"/>
      <c r="AK177" s="53"/>
      <c r="AL177" s="53"/>
      <c r="AM177" s="53"/>
      <c r="AN177" s="53"/>
      <c r="AO177" s="53"/>
      <c r="AP177" s="53"/>
      <c r="AQ177" s="53"/>
      <c r="AR177" s="38"/>
      <c r="AS177" s="38"/>
      <c r="AU177" s="34" t="e">
        <f t="shared" si="32"/>
        <v>#DIV/0!</v>
      </c>
      <c r="AV177" s="34"/>
      <c r="AX177" s="54"/>
      <c r="AY177" s="54"/>
      <c r="AZ177" s="54"/>
      <c r="BA177" s="54"/>
      <c r="BB177" s="54"/>
      <c r="BD177" s="54"/>
      <c r="BE177" s="54"/>
      <c r="BF177" s="54"/>
      <c r="BH177" s="54"/>
      <c r="BI177" s="54"/>
      <c r="BJ177" s="54"/>
    </row>
    <row r="178" spans="1:62" collapsed="1" x14ac:dyDescent="0.25">
      <c r="A178" s="18" t="s">
        <v>254</v>
      </c>
      <c r="B178" s="18" t="s">
        <v>230</v>
      </c>
      <c r="C178" s="19" t="s">
        <v>310</v>
      </c>
      <c r="D178" s="18">
        <v>71948094</v>
      </c>
      <c r="E178" s="19">
        <v>14</v>
      </c>
      <c r="G178" s="20" t="str">
        <f t="shared" si="22"/>
        <v>·</v>
      </c>
      <c r="H178" s="21" t="str">
        <f t="shared" si="23"/>
        <v>·</v>
      </c>
      <c r="I178" s="21" t="str">
        <f t="shared" si="24"/>
        <v>·</v>
      </c>
      <c r="J178" s="21" t="str">
        <f t="shared" si="25"/>
        <v>·</v>
      </c>
      <c r="K178" s="21" t="str">
        <f t="shared" si="26"/>
        <v>·</v>
      </c>
      <c r="L178" s="22"/>
      <c r="M178" s="23"/>
      <c r="N178" s="23"/>
      <c r="O178" s="23"/>
      <c r="P178" s="49"/>
      <c r="Q178" s="49"/>
      <c r="R178" s="49"/>
      <c r="S178" s="49"/>
      <c r="T178" s="49"/>
      <c r="U178" s="49"/>
      <c r="V178" s="49"/>
      <c r="W178" s="49"/>
      <c r="X178" s="24"/>
      <c r="Y178" s="24"/>
      <c r="AA178" s="20" t="str">
        <f t="shared" si="27"/>
        <v>·</v>
      </c>
      <c r="AB178" s="21" t="str">
        <f t="shared" si="28"/>
        <v>·</v>
      </c>
      <c r="AC178" s="21" t="str">
        <f t="shared" si="29"/>
        <v>·</v>
      </c>
      <c r="AD178" s="21" t="str">
        <f t="shared" si="30"/>
        <v>·</v>
      </c>
      <c r="AE178" s="21" t="str">
        <f t="shared" si="31"/>
        <v>·</v>
      </c>
      <c r="AF178" s="22"/>
      <c r="AG178" s="23"/>
      <c r="AH178" s="23"/>
      <c r="AI178" s="23"/>
      <c r="AJ178" s="49"/>
      <c r="AK178" s="49"/>
      <c r="AL178" s="49"/>
      <c r="AM178" s="49"/>
      <c r="AN178" s="49"/>
      <c r="AO178" s="49"/>
      <c r="AP178" s="49"/>
      <c r="AQ178" s="49"/>
      <c r="AR178" s="24"/>
      <c r="AS178" s="24"/>
      <c r="AU178" s="20" t="e">
        <f t="shared" si="32"/>
        <v>#DIV/0!</v>
      </c>
      <c r="AV178" s="20" t="e">
        <f t="array" ref="AV178">AVERAGE(AH178:AH183/AG178:AG183) - AVERAGE(N178:N183/M178:M183)</f>
        <v>#DIV/0!</v>
      </c>
      <c r="AX178" s="50" t="e">
        <f>bdRateExtend( M178:M183,P178:P183, AG178:AG183,AJ178:AJ183)</f>
        <v>#VALUE!</v>
      </c>
      <c r="AY178" s="50" t="e">
        <f>bdRateExtend( M178:M183,Q178:Q183, AG178:AG183,AK178:AK183)</f>
        <v>#VALUE!</v>
      </c>
      <c r="AZ178" s="50" t="e">
        <f>bdRateExtend( M178:M183,R178:R183, AG178:AG183,AL178:AL183)</f>
        <v>#VALUE!</v>
      </c>
      <c r="BA178" s="50" t="e">
        <f>bdRateExtend( M178:M183,S178:S183, AG178:AG183,AM178:AM183)</f>
        <v>#VALUE!</v>
      </c>
      <c r="BB178" s="50" t="e">
        <f>bdRateExtend( M178:M183,T178:T183, AG178:AG183,AN178:AN183)</f>
        <v>#VALUE!</v>
      </c>
      <c r="BD178" s="50" t="e">
        <f>bdRateExtend( O178:O183,R178:R183, AI178:AI183,AL178:AL183)</f>
        <v>#VALUE!</v>
      </c>
      <c r="BE178" s="50" t="e">
        <f>bdRateExtend( O178:O183,S178:S183, AI178:AI183,AM178:AM183)</f>
        <v>#VALUE!</v>
      </c>
      <c r="BF178" s="50" t="e">
        <f>bdRateExtend( O178:O183,T178:T183, AI178:AI183,AN178:AN183)</f>
        <v>#VALUE!</v>
      </c>
      <c r="BH178" s="50" t="e">
        <f>bdRateExtend( O178:O183,U178:U183, AI178:AI183,AO178:AO183)</f>
        <v>#VALUE!</v>
      </c>
      <c r="BI178" s="50" t="e">
        <f>bdRateExtend( O178:O183,V178:V183, AI178:AI183,AP178:AP183)</f>
        <v>#VALUE!</v>
      </c>
      <c r="BJ178" s="50" t="e">
        <f>bdRateExtend( O178:O183,W178:W183, AI178:AI183,AQ178:AQ183)</f>
        <v>#VALUE!</v>
      </c>
    </row>
    <row r="179" spans="1:62" outlineLevel="1" x14ac:dyDescent="0.25">
      <c r="A179" s="25"/>
      <c r="B179" s="25"/>
      <c r="C179" s="26" t="s">
        <v>311</v>
      </c>
      <c r="D179" s="25">
        <v>71948094</v>
      </c>
      <c r="E179" s="26">
        <v>14</v>
      </c>
      <c r="G179" s="27" t="str">
        <f t="shared" si="22"/>
        <v>·</v>
      </c>
      <c r="H179" s="28" t="str">
        <f t="shared" si="23"/>
        <v>·</v>
      </c>
      <c r="I179" s="28" t="str">
        <f t="shared" si="24"/>
        <v>·</v>
      </c>
      <c r="J179" s="28" t="str">
        <f t="shared" si="25"/>
        <v>·</v>
      </c>
      <c r="K179" s="28" t="str">
        <f t="shared" si="26"/>
        <v>·</v>
      </c>
      <c r="L179" s="29"/>
      <c r="M179" s="30"/>
      <c r="N179" s="30"/>
      <c r="O179" s="30"/>
      <c r="P179" s="51"/>
      <c r="Q179" s="51"/>
      <c r="R179" s="51"/>
      <c r="S179" s="51"/>
      <c r="T179" s="51"/>
      <c r="U179" s="51"/>
      <c r="V179" s="51"/>
      <c r="W179" s="51"/>
      <c r="X179" s="31"/>
      <c r="Y179" s="31"/>
      <c r="AA179" s="27" t="str">
        <f t="shared" si="27"/>
        <v>·</v>
      </c>
      <c r="AB179" s="28" t="str">
        <f t="shared" si="28"/>
        <v>·</v>
      </c>
      <c r="AC179" s="28" t="str">
        <f t="shared" si="29"/>
        <v>·</v>
      </c>
      <c r="AD179" s="28" t="str">
        <f t="shared" si="30"/>
        <v>·</v>
      </c>
      <c r="AE179" s="28" t="str">
        <f t="shared" si="31"/>
        <v>·</v>
      </c>
      <c r="AF179" s="29"/>
      <c r="AG179" s="30"/>
      <c r="AH179" s="30"/>
      <c r="AI179" s="30"/>
      <c r="AJ179" s="51"/>
      <c r="AK179" s="51"/>
      <c r="AL179" s="51"/>
      <c r="AM179" s="51"/>
      <c r="AN179" s="51"/>
      <c r="AO179" s="51"/>
      <c r="AP179" s="51"/>
      <c r="AQ179" s="51"/>
      <c r="AR179" s="31"/>
      <c r="AS179" s="31"/>
      <c r="AU179" s="27" t="e">
        <f t="shared" si="32"/>
        <v>#DIV/0!</v>
      </c>
      <c r="AV179" s="27"/>
      <c r="AX179" s="52"/>
      <c r="AY179" s="52"/>
      <c r="AZ179" s="52"/>
      <c r="BA179" s="52"/>
      <c r="BB179" s="52"/>
      <c r="BD179" s="52"/>
      <c r="BE179" s="52"/>
      <c r="BF179" s="52"/>
      <c r="BH179" s="52"/>
      <c r="BI179" s="52"/>
      <c r="BJ179" s="52"/>
    </row>
    <row r="180" spans="1:62" outlineLevel="1" x14ac:dyDescent="0.25">
      <c r="A180" s="18"/>
      <c r="B180" s="18"/>
      <c r="C180" s="19" t="s">
        <v>312</v>
      </c>
      <c r="D180" s="18">
        <v>71948094</v>
      </c>
      <c r="E180" s="19">
        <v>14</v>
      </c>
      <c r="G180" s="20" t="str">
        <f t="shared" si="22"/>
        <v>·</v>
      </c>
      <c r="H180" s="21" t="str">
        <f t="shared" si="23"/>
        <v>·</v>
      </c>
      <c r="I180" s="21" t="str">
        <f t="shared" si="24"/>
        <v>·</v>
      </c>
      <c r="J180" s="21" t="str">
        <f t="shared" si="25"/>
        <v>·</v>
      </c>
      <c r="K180" s="21" t="str">
        <f t="shared" si="26"/>
        <v>·</v>
      </c>
      <c r="L180" s="22"/>
      <c r="M180" s="23"/>
      <c r="N180" s="23"/>
      <c r="O180" s="23"/>
      <c r="P180" s="49"/>
      <c r="Q180" s="49"/>
      <c r="R180" s="49"/>
      <c r="S180" s="49"/>
      <c r="T180" s="49"/>
      <c r="U180" s="49"/>
      <c r="V180" s="49"/>
      <c r="W180" s="49"/>
      <c r="X180" s="24"/>
      <c r="Y180" s="24"/>
      <c r="AA180" s="20" t="str">
        <f t="shared" si="27"/>
        <v>·</v>
      </c>
      <c r="AB180" s="21" t="str">
        <f t="shared" si="28"/>
        <v>·</v>
      </c>
      <c r="AC180" s="21" t="str">
        <f t="shared" si="29"/>
        <v>·</v>
      </c>
      <c r="AD180" s="21" t="str">
        <f t="shared" si="30"/>
        <v>·</v>
      </c>
      <c r="AE180" s="21" t="str">
        <f t="shared" si="31"/>
        <v>·</v>
      </c>
      <c r="AF180" s="22"/>
      <c r="AG180" s="23"/>
      <c r="AH180" s="23"/>
      <c r="AI180" s="23"/>
      <c r="AJ180" s="49"/>
      <c r="AK180" s="49"/>
      <c r="AL180" s="49"/>
      <c r="AM180" s="49"/>
      <c r="AN180" s="49"/>
      <c r="AO180" s="49"/>
      <c r="AP180" s="49"/>
      <c r="AQ180" s="49"/>
      <c r="AR180" s="24"/>
      <c r="AS180" s="24"/>
      <c r="AU180" s="20" t="e">
        <f t="shared" si="32"/>
        <v>#DIV/0!</v>
      </c>
      <c r="AV180" s="20"/>
      <c r="AX180" s="50"/>
      <c r="AY180" s="50"/>
      <c r="AZ180" s="50"/>
      <c r="BA180" s="50"/>
      <c r="BB180" s="50"/>
      <c r="BD180" s="50"/>
      <c r="BE180" s="50"/>
      <c r="BF180" s="50"/>
      <c r="BH180" s="50"/>
      <c r="BI180" s="50"/>
      <c r="BJ180" s="50"/>
    </row>
    <row r="181" spans="1:62" outlineLevel="1" x14ac:dyDescent="0.25">
      <c r="A181" s="25"/>
      <c r="B181" s="25"/>
      <c r="C181" s="26" t="s">
        <v>313</v>
      </c>
      <c r="D181" s="25">
        <v>71948094</v>
      </c>
      <c r="E181" s="26">
        <v>14</v>
      </c>
      <c r="G181" s="27" t="str">
        <f t="shared" si="22"/>
        <v>·</v>
      </c>
      <c r="H181" s="28" t="str">
        <f t="shared" si="23"/>
        <v>·</v>
      </c>
      <c r="I181" s="28" t="str">
        <f t="shared" si="24"/>
        <v>·</v>
      </c>
      <c r="J181" s="28" t="str">
        <f t="shared" si="25"/>
        <v>·</v>
      </c>
      <c r="K181" s="28" t="str">
        <f t="shared" si="26"/>
        <v>·</v>
      </c>
      <c r="L181" s="29"/>
      <c r="M181" s="30"/>
      <c r="N181" s="30"/>
      <c r="O181" s="30"/>
      <c r="P181" s="51"/>
      <c r="Q181" s="51"/>
      <c r="R181" s="51"/>
      <c r="S181" s="51"/>
      <c r="T181" s="51"/>
      <c r="U181" s="51"/>
      <c r="V181" s="51"/>
      <c r="W181" s="51"/>
      <c r="X181" s="31"/>
      <c r="Y181" s="31"/>
      <c r="AA181" s="27" t="str">
        <f t="shared" si="27"/>
        <v>·</v>
      </c>
      <c r="AB181" s="28" t="str">
        <f t="shared" si="28"/>
        <v>·</v>
      </c>
      <c r="AC181" s="28" t="str">
        <f t="shared" si="29"/>
        <v>·</v>
      </c>
      <c r="AD181" s="28" t="str">
        <f t="shared" si="30"/>
        <v>·</v>
      </c>
      <c r="AE181" s="28" t="str">
        <f t="shared" si="31"/>
        <v>·</v>
      </c>
      <c r="AF181" s="29"/>
      <c r="AG181" s="30"/>
      <c r="AH181" s="30"/>
      <c r="AI181" s="30"/>
      <c r="AJ181" s="51"/>
      <c r="AK181" s="51"/>
      <c r="AL181" s="51"/>
      <c r="AM181" s="51"/>
      <c r="AN181" s="51"/>
      <c r="AO181" s="51"/>
      <c r="AP181" s="51"/>
      <c r="AQ181" s="51"/>
      <c r="AR181" s="31"/>
      <c r="AS181" s="31"/>
      <c r="AU181" s="27" t="e">
        <f t="shared" si="32"/>
        <v>#DIV/0!</v>
      </c>
      <c r="AV181" s="27"/>
      <c r="AX181" s="52"/>
      <c r="AY181" s="52"/>
      <c r="AZ181" s="52"/>
      <c r="BA181" s="52"/>
      <c r="BB181" s="52"/>
      <c r="BD181" s="52"/>
      <c r="BE181" s="52"/>
      <c r="BF181" s="52"/>
      <c r="BH181" s="52"/>
      <c r="BI181" s="52"/>
      <c r="BJ181" s="52"/>
    </row>
    <row r="182" spans="1:62" outlineLevel="1" x14ac:dyDescent="0.25">
      <c r="A182" s="18"/>
      <c r="B182" s="18"/>
      <c r="C182" s="19" t="s">
        <v>428</v>
      </c>
      <c r="D182" s="18">
        <v>71948094</v>
      </c>
      <c r="E182" s="19">
        <v>14</v>
      </c>
      <c r="G182" s="20" t="str">
        <f t="shared" si="22"/>
        <v>·</v>
      </c>
      <c r="H182" s="21" t="str">
        <f t="shared" si="23"/>
        <v>·</v>
      </c>
      <c r="I182" s="21" t="str">
        <f t="shared" si="24"/>
        <v>·</v>
      </c>
      <c r="J182" s="21" t="str">
        <f t="shared" si="25"/>
        <v>·</v>
      </c>
      <c r="K182" s="21" t="str">
        <f t="shared" si="26"/>
        <v>·</v>
      </c>
      <c r="L182" s="22"/>
      <c r="M182" s="23"/>
      <c r="N182" s="23"/>
      <c r="O182" s="23"/>
      <c r="P182" s="49"/>
      <c r="Q182" s="49"/>
      <c r="R182" s="49"/>
      <c r="S182" s="49"/>
      <c r="T182" s="49"/>
      <c r="U182" s="49"/>
      <c r="V182" s="49"/>
      <c r="W182" s="49"/>
      <c r="X182" s="24"/>
      <c r="Y182" s="24"/>
      <c r="AA182" s="20" t="str">
        <f t="shared" si="27"/>
        <v>·</v>
      </c>
      <c r="AB182" s="21" t="str">
        <f t="shared" si="28"/>
        <v>·</v>
      </c>
      <c r="AC182" s="21" t="str">
        <f t="shared" si="29"/>
        <v>·</v>
      </c>
      <c r="AD182" s="21" t="str">
        <f t="shared" si="30"/>
        <v>·</v>
      </c>
      <c r="AE182" s="21" t="str">
        <f t="shared" si="31"/>
        <v>·</v>
      </c>
      <c r="AF182" s="22"/>
      <c r="AG182" s="23"/>
      <c r="AH182" s="23"/>
      <c r="AI182" s="23"/>
      <c r="AJ182" s="49"/>
      <c r="AK182" s="49"/>
      <c r="AL182" s="49"/>
      <c r="AM182" s="49"/>
      <c r="AN182" s="49"/>
      <c r="AO182" s="49"/>
      <c r="AP182" s="49"/>
      <c r="AQ182" s="49"/>
      <c r="AR182" s="24"/>
      <c r="AS182" s="24"/>
      <c r="AU182" s="20" t="e">
        <f t="shared" si="32"/>
        <v>#DIV/0!</v>
      </c>
      <c r="AV182" s="20"/>
      <c r="AX182" s="50"/>
      <c r="AY182" s="50"/>
      <c r="AZ182" s="50"/>
      <c r="BA182" s="50"/>
      <c r="BB182" s="50"/>
      <c r="BD182" s="50"/>
      <c r="BE182" s="50"/>
      <c r="BF182" s="50"/>
      <c r="BH182" s="50"/>
      <c r="BI182" s="50"/>
      <c r="BJ182" s="50"/>
    </row>
    <row r="183" spans="1:62" outlineLevel="1" x14ac:dyDescent="0.25">
      <c r="A183" s="25"/>
      <c r="B183" s="32"/>
      <c r="C183" s="33" t="s">
        <v>429</v>
      </c>
      <c r="D183" s="32">
        <v>71948094</v>
      </c>
      <c r="E183" s="33">
        <v>14</v>
      </c>
      <c r="G183" s="34" t="str">
        <f t="shared" si="22"/>
        <v>·</v>
      </c>
      <c r="H183" s="35" t="str">
        <f t="shared" si="23"/>
        <v>·</v>
      </c>
      <c r="I183" s="35" t="str">
        <f t="shared" si="24"/>
        <v>·</v>
      </c>
      <c r="J183" s="35" t="str">
        <f t="shared" si="25"/>
        <v>·</v>
      </c>
      <c r="K183" s="35" t="str">
        <f t="shared" si="26"/>
        <v>·</v>
      </c>
      <c r="L183" s="36"/>
      <c r="M183" s="37"/>
      <c r="N183" s="37"/>
      <c r="O183" s="37"/>
      <c r="P183" s="53"/>
      <c r="Q183" s="53"/>
      <c r="R183" s="53"/>
      <c r="S183" s="53"/>
      <c r="T183" s="53"/>
      <c r="U183" s="53"/>
      <c r="V183" s="53"/>
      <c r="W183" s="53"/>
      <c r="X183" s="38"/>
      <c r="Y183" s="38"/>
      <c r="AA183" s="34" t="str">
        <f t="shared" si="27"/>
        <v>·</v>
      </c>
      <c r="AB183" s="35" t="str">
        <f t="shared" si="28"/>
        <v>·</v>
      </c>
      <c r="AC183" s="35" t="str">
        <f t="shared" si="29"/>
        <v>·</v>
      </c>
      <c r="AD183" s="35" t="str">
        <f t="shared" si="30"/>
        <v>·</v>
      </c>
      <c r="AE183" s="35" t="str">
        <f t="shared" si="31"/>
        <v>·</v>
      </c>
      <c r="AF183" s="36"/>
      <c r="AG183" s="37"/>
      <c r="AH183" s="37"/>
      <c r="AI183" s="37"/>
      <c r="AJ183" s="53"/>
      <c r="AK183" s="53"/>
      <c r="AL183" s="53"/>
      <c r="AM183" s="53"/>
      <c r="AN183" s="53"/>
      <c r="AO183" s="53"/>
      <c r="AP183" s="53"/>
      <c r="AQ183" s="53"/>
      <c r="AR183" s="38"/>
      <c r="AS183" s="38"/>
      <c r="AU183" s="34" t="e">
        <f t="shared" si="32"/>
        <v>#DIV/0!</v>
      </c>
      <c r="AV183" s="34"/>
      <c r="AX183" s="54"/>
      <c r="AY183" s="54"/>
      <c r="AZ183" s="54"/>
      <c r="BA183" s="54"/>
      <c r="BB183" s="54"/>
      <c r="BD183" s="54"/>
      <c r="BE183" s="54"/>
      <c r="BF183" s="54"/>
      <c r="BH183" s="54"/>
      <c r="BI183" s="54"/>
      <c r="BJ183" s="54"/>
    </row>
    <row r="184" spans="1:62" collapsed="1" x14ac:dyDescent="0.25">
      <c r="A184" s="18"/>
      <c r="B184" s="18" t="s">
        <v>233</v>
      </c>
      <c r="C184" s="19" t="s">
        <v>310</v>
      </c>
      <c r="D184" s="18">
        <v>72145549</v>
      </c>
      <c r="E184" s="19">
        <v>20</v>
      </c>
      <c r="G184" s="20" t="str">
        <f t="shared" si="22"/>
        <v>·</v>
      </c>
      <c r="H184" s="21" t="str">
        <f t="shared" si="23"/>
        <v>·</v>
      </c>
      <c r="I184" s="21" t="str">
        <f t="shared" si="24"/>
        <v>·</v>
      </c>
      <c r="J184" s="21" t="str">
        <f t="shared" si="25"/>
        <v>·</v>
      </c>
      <c r="K184" s="21" t="str">
        <f t="shared" si="26"/>
        <v>·</v>
      </c>
      <c r="L184" s="22"/>
      <c r="M184" s="23"/>
      <c r="N184" s="23"/>
      <c r="O184" s="23"/>
      <c r="P184" s="49"/>
      <c r="Q184" s="49"/>
      <c r="R184" s="49"/>
      <c r="S184" s="49"/>
      <c r="T184" s="49"/>
      <c r="U184" s="49"/>
      <c r="V184" s="49"/>
      <c r="W184" s="49"/>
      <c r="X184" s="24"/>
      <c r="Y184" s="24"/>
      <c r="AA184" s="20" t="str">
        <f t="shared" si="27"/>
        <v>·</v>
      </c>
      <c r="AB184" s="21" t="str">
        <f t="shared" si="28"/>
        <v>·</v>
      </c>
      <c r="AC184" s="21" t="str">
        <f t="shared" si="29"/>
        <v>·</v>
      </c>
      <c r="AD184" s="21" t="str">
        <f t="shared" si="30"/>
        <v>·</v>
      </c>
      <c r="AE184" s="21" t="str">
        <f t="shared" si="31"/>
        <v>·</v>
      </c>
      <c r="AF184" s="22"/>
      <c r="AG184" s="23"/>
      <c r="AH184" s="23"/>
      <c r="AI184" s="23"/>
      <c r="AJ184" s="49"/>
      <c r="AK184" s="49"/>
      <c r="AL184" s="49"/>
      <c r="AM184" s="49"/>
      <c r="AN184" s="49"/>
      <c r="AO184" s="49"/>
      <c r="AP184" s="49"/>
      <c r="AQ184" s="49"/>
      <c r="AR184" s="24"/>
      <c r="AS184" s="24"/>
      <c r="AU184" s="20" t="e">
        <f t="shared" si="32"/>
        <v>#DIV/0!</v>
      </c>
      <c r="AV184" s="20" t="e">
        <f t="array" ref="AV184">AVERAGE(AH184:AH189/AG184:AG189) - AVERAGE(N184:N189/M184:M189)</f>
        <v>#DIV/0!</v>
      </c>
      <c r="AX184" s="50" t="e">
        <f>bdRateExtend( M184:M189,P184:P189, AG184:AG189,AJ184:AJ189)</f>
        <v>#VALUE!</v>
      </c>
      <c r="AY184" s="50" t="e">
        <f>bdRateExtend( M184:M189,Q184:Q189, AG184:AG189,AK184:AK189)</f>
        <v>#VALUE!</v>
      </c>
      <c r="AZ184" s="50" t="e">
        <f>bdRateExtend( M184:M189,R184:R189, AG184:AG189,AL184:AL189)</f>
        <v>#VALUE!</v>
      </c>
      <c r="BA184" s="50" t="e">
        <f>bdRateExtend( M184:M189,S184:S189, AG184:AG189,AM184:AM189)</f>
        <v>#VALUE!</v>
      </c>
      <c r="BB184" s="50" t="e">
        <f>bdRateExtend( M184:M189,T184:T189, AG184:AG189,AN184:AN189)</f>
        <v>#VALUE!</v>
      </c>
      <c r="BD184" s="50" t="e">
        <f>bdRateExtend( O184:O189,R184:R189, AI184:AI189,AL184:AL189)</f>
        <v>#VALUE!</v>
      </c>
      <c r="BE184" s="50" t="e">
        <f>bdRateExtend( O184:O189,S184:S189, AI184:AI189,AM184:AM189)</f>
        <v>#VALUE!</v>
      </c>
      <c r="BF184" s="50" t="e">
        <f>bdRateExtend( O184:O189,T184:T189, AI184:AI189,AN184:AN189)</f>
        <v>#VALUE!</v>
      </c>
      <c r="BH184" s="50" t="e">
        <f>bdRateExtend( O184:O189,U184:U189, AI184:AI189,AO184:AO189)</f>
        <v>#VALUE!</v>
      </c>
      <c r="BI184" s="50" t="e">
        <f>bdRateExtend( O184:O189,V184:V189, AI184:AI189,AP184:AP189)</f>
        <v>#VALUE!</v>
      </c>
      <c r="BJ184" s="50" t="e">
        <f>bdRateExtend( O184:O189,W184:W189, AI184:AI189,AQ184:AQ189)</f>
        <v>#VALUE!</v>
      </c>
    </row>
    <row r="185" spans="1:62" outlineLevel="1" x14ac:dyDescent="0.25">
      <c r="A185" s="25"/>
      <c r="B185" s="25"/>
      <c r="C185" s="26" t="s">
        <v>311</v>
      </c>
      <c r="D185" s="25">
        <v>72145549</v>
      </c>
      <c r="E185" s="26">
        <v>20</v>
      </c>
      <c r="G185" s="27" t="str">
        <f t="shared" si="22"/>
        <v>·</v>
      </c>
      <c r="H185" s="28" t="str">
        <f t="shared" si="23"/>
        <v>·</v>
      </c>
      <c r="I185" s="28" t="str">
        <f t="shared" si="24"/>
        <v>·</v>
      </c>
      <c r="J185" s="28" t="str">
        <f t="shared" si="25"/>
        <v>·</v>
      </c>
      <c r="K185" s="28" t="str">
        <f t="shared" si="26"/>
        <v>·</v>
      </c>
      <c r="L185" s="29"/>
      <c r="M185" s="30"/>
      <c r="N185" s="30"/>
      <c r="O185" s="30"/>
      <c r="P185" s="51"/>
      <c r="Q185" s="51"/>
      <c r="R185" s="51"/>
      <c r="S185" s="51"/>
      <c r="T185" s="51"/>
      <c r="U185" s="51"/>
      <c r="V185" s="51"/>
      <c r="W185" s="51"/>
      <c r="X185" s="31"/>
      <c r="Y185" s="31"/>
      <c r="AA185" s="27" t="str">
        <f t="shared" si="27"/>
        <v>·</v>
      </c>
      <c r="AB185" s="28" t="str">
        <f t="shared" si="28"/>
        <v>·</v>
      </c>
      <c r="AC185" s="28" t="str">
        <f t="shared" si="29"/>
        <v>·</v>
      </c>
      <c r="AD185" s="28" t="str">
        <f t="shared" si="30"/>
        <v>·</v>
      </c>
      <c r="AE185" s="28" t="str">
        <f t="shared" si="31"/>
        <v>·</v>
      </c>
      <c r="AF185" s="29"/>
      <c r="AG185" s="30"/>
      <c r="AH185" s="30"/>
      <c r="AI185" s="30"/>
      <c r="AJ185" s="51"/>
      <c r="AK185" s="51"/>
      <c r="AL185" s="51"/>
      <c r="AM185" s="51"/>
      <c r="AN185" s="51"/>
      <c r="AO185" s="51"/>
      <c r="AP185" s="51"/>
      <c r="AQ185" s="51"/>
      <c r="AR185" s="31"/>
      <c r="AS185" s="31"/>
      <c r="AU185" s="27" t="e">
        <f t="shared" si="32"/>
        <v>#DIV/0!</v>
      </c>
      <c r="AV185" s="27"/>
      <c r="AX185" s="52"/>
      <c r="AY185" s="52"/>
      <c r="AZ185" s="52"/>
      <c r="BA185" s="52"/>
      <c r="BB185" s="52"/>
      <c r="BD185" s="52"/>
      <c r="BE185" s="52"/>
      <c r="BF185" s="52"/>
      <c r="BH185" s="52"/>
      <c r="BI185" s="52"/>
      <c r="BJ185" s="52"/>
    </row>
    <row r="186" spans="1:62" outlineLevel="1" x14ac:dyDescent="0.25">
      <c r="A186" s="18"/>
      <c r="B186" s="18"/>
      <c r="C186" s="19" t="s">
        <v>312</v>
      </c>
      <c r="D186" s="18">
        <v>72145549</v>
      </c>
      <c r="E186" s="19">
        <v>20</v>
      </c>
      <c r="G186" s="20" t="str">
        <f t="shared" si="22"/>
        <v>·</v>
      </c>
      <c r="H186" s="21" t="str">
        <f t="shared" si="23"/>
        <v>·</v>
      </c>
      <c r="I186" s="21" t="str">
        <f t="shared" si="24"/>
        <v>·</v>
      </c>
      <c r="J186" s="21" t="str">
        <f t="shared" si="25"/>
        <v>·</v>
      </c>
      <c r="K186" s="21" t="str">
        <f t="shared" si="26"/>
        <v>·</v>
      </c>
      <c r="L186" s="22"/>
      <c r="M186" s="23"/>
      <c r="N186" s="23"/>
      <c r="O186" s="23"/>
      <c r="P186" s="49"/>
      <c r="Q186" s="49"/>
      <c r="R186" s="49"/>
      <c r="S186" s="49"/>
      <c r="T186" s="49"/>
      <c r="U186" s="49"/>
      <c r="V186" s="49"/>
      <c r="W186" s="49"/>
      <c r="X186" s="24"/>
      <c r="Y186" s="24"/>
      <c r="AA186" s="20" t="str">
        <f t="shared" si="27"/>
        <v>·</v>
      </c>
      <c r="AB186" s="21" t="str">
        <f t="shared" si="28"/>
        <v>·</v>
      </c>
      <c r="AC186" s="21" t="str">
        <f t="shared" si="29"/>
        <v>·</v>
      </c>
      <c r="AD186" s="21" t="str">
        <f t="shared" si="30"/>
        <v>·</v>
      </c>
      <c r="AE186" s="21" t="str">
        <f t="shared" si="31"/>
        <v>·</v>
      </c>
      <c r="AF186" s="22"/>
      <c r="AG186" s="23"/>
      <c r="AH186" s="23"/>
      <c r="AI186" s="23"/>
      <c r="AJ186" s="49"/>
      <c r="AK186" s="49"/>
      <c r="AL186" s="49"/>
      <c r="AM186" s="49"/>
      <c r="AN186" s="49"/>
      <c r="AO186" s="49"/>
      <c r="AP186" s="49"/>
      <c r="AQ186" s="49"/>
      <c r="AR186" s="24"/>
      <c r="AS186" s="24"/>
      <c r="AU186" s="20" t="e">
        <f t="shared" si="32"/>
        <v>#DIV/0!</v>
      </c>
      <c r="AV186" s="20"/>
      <c r="AX186" s="50"/>
      <c r="AY186" s="50"/>
      <c r="AZ186" s="50"/>
      <c r="BA186" s="50"/>
      <c r="BB186" s="50"/>
      <c r="BD186" s="50"/>
      <c r="BE186" s="50"/>
      <c r="BF186" s="50"/>
      <c r="BH186" s="50"/>
      <c r="BI186" s="50"/>
      <c r="BJ186" s="50"/>
    </row>
    <row r="187" spans="1:62" outlineLevel="1" x14ac:dyDescent="0.25">
      <c r="A187" s="25"/>
      <c r="B187" s="25"/>
      <c r="C187" s="26" t="s">
        <v>313</v>
      </c>
      <c r="D187" s="25">
        <v>72145549</v>
      </c>
      <c r="E187" s="26">
        <v>20</v>
      </c>
      <c r="G187" s="27" t="str">
        <f t="shared" si="22"/>
        <v>·</v>
      </c>
      <c r="H187" s="28" t="str">
        <f t="shared" si="23"/>
        <v>·</v>
      </c>
      <c r="I187" s="28" t="str">
        <f t="shared" si="24"/>
        <v>·</v>
      </c>
      <c r="J187" s="28" t="str">
        <f t="shared" si="25"/>
        <v>·</v>
      </c>
      <c r="K187" s="28" t="str">
        <f t="shared" si="26"/>
        <v>·</v>
      </c>
      <c r="L187" s="29"/>
      <c r="M187" s="30"/>
      <c r="N187" s="30"/>
      <c r="O187" s="30"/>
      <c r="P187" s="51"/>
      <c r="Q187" s="51"/>
      <c r="R187" s="51"/>
      <c r="S187" s="51"/>
      <c r="T187" s="51"/>
      <c r="U187" s="51"/>
      <c r="V187" s="51"/>
      <c r="W187" s="51"/>
      <c r="X187" s="31"/>
      <c r="Y187" s="31"/>
      <c r="AA187" s="27" t="str">
        <f t="shared" si="27"/>
        <v>·</v>
      </c>
      <c r="AB187" s="28" t="str">
        <f t="shared" si="28"/>
        <v>·</v>
      </c>
      <c r="AC187" s="28" t="str">
        <f t="shared" si="29"/>
        <v>·</v>
      </c>
      <c r="AD187" s="28" t="str">
        <f t="shared" si="30"/>
        <v>·</v>
      </c>
      <c r="AE187" s="28" t="str">
        <f t="shared" si="31"/>
        <v>·</v>
      </c>
      <c r="AF187" s="29"/>
      <c r="AG187" s="30"/>
      <c r="AH187" s="30"/>
      <c r="AI187" s="30"/>
      <c r="AJ187" s="51"/>
      <c r="AK187" s="51"/>
      <c r="AL187" s="51"/>
      <c r="AM187" s="51"/>
      <c r="AN187" s="51"/>
      <c r="AO187" s="51"/>
      <c r="AP187" s="51"/>
      <c r="AQ187" s="51"/>
      <c r="AR187" s="31"/>
      <c r="AS187" s="31"/>
      <c r="AU187" s="27" t="e">
        <f t="shared" si="32"/>
        <v>#DIV/0!</v>
      </c>
      <c r="AV187" s="27"/>
      <c r="AX187" s="52"/>
      <c r="AY187" s="52"/>
      <c r="AZ187" s="52"/>
      <c r="BA187" s="52"/>
      <c r="BB187" s="52"/>
      <c r="BD187" s="52"/>
      <c r="BE187" s="52"/>
      <c r="BF187" s="52"/>
      <c r="BH187" s="52"/>
      <c r="BI187" s="52"/>
      <c r="BJ187" s="52"/>
    </row>
    <row r="188" spans="1:62" outlineLevel="1" x14ac:dyDescent="0.25">
      <c r="A188" s="18"/>
      <c r="B188" s="18"/>
      <c r="C188" s="19" t="s">
        <v>428</v>
      </c>
      <c r="D188" s="18">
        <v>72145549</v>
      </c>
      <c r="E188" s="19">
        <v>20</v>
      </c>
      <c r="G188" s="20" t="str">
        <f t="shared" si="22"/>
        <v>·</v>
      </c>
      <c r="H188" s="21" t="str">
        <f t="shared" si="23"/>
        <v>·</v>
      </c>
      <c r="I188" s="21" t="str">
        <f t="shared" si="24"/>
        <v>·</v>
      </c>
      <c r="J188" s="21" t="str">
        <f t="shared" si="25"/>
        <v>·</v>
      </c>
      <c r="K188" s="21" t="str">
        <f t="shared" si="26"/>
        <v>·</v>
      </c>
      <c r="L188" s="22"/>
      <c r="M188" s="23"/>
      <c r="N188" s="23"/>
      <c r="O188" s="23"/>
      <c r="P188" s="49"/>
      <c r="Q188" s="49"/>
      <c r="R188" s="49"/>
      <c r="S188" s="49"/>
      <c r="T188" s="49"/>
      <c r="U188" s="49"/>
      <c r="V188" s="49"/>
      <c r="W188" s="49"/>
      <c r="X188" s="24"/>
      <c r="Y188" s="24"/>
      <c r="AA188" s="20" t="str">
        <f t="shared" si="27"/>
        <v>·</v>
      </c>
      <c r="AB188" s="21" t="str">
        <f t="shared" si="28"/>
        <v>·</v>
      </c>
      <c r="AC188" s="21" t="str">
        <f t="shared" si="29"/>
        <v>·</v>
      </c>
      <c r="AD188" s="21" t="str">
        <f t="shared" si="30"/>
        <v>·</v>
      </c>
      <c r="AE188" s="21" t="str">
        <f t="shared" si="31"/>
        <v>·</v>
      </c>
      <c r="AF188" s="22"/>
      <c r="AG188" s="23"/>
      <c r="AH188" s="23"/>
      <c r="AI188" s="23"/>
      <c r="AJ188" s="49"/>
      <c r="AK188" s="49"/>
      <c r="AL188" s="49"/>
      <c r="AM188" s="49"/>
      <c r="AN188" s="49"/>
      <c r="AO188" s="49"/>
      <c r="AP188" s="49"/>
      <c r="AQ188" s="49"/>
      <c r="AR188" s="24"/>
      <c r="AS188" s="24"/>
      <c r="AU188" s="20" t="e">
        <f t="shared" si="32"/>
        <v>#DIV/0!</v>
      </c>
      <c r="AV188" s="20"/>
      <c r="AX188" s="50"/>
      <c r="AY188" s="50"/>
      <c r="AZ188" s="50"/>
      <c r="BA188" s="50"/>
      <c r="BB188" s="50"/>
      <c r="BD188" s="50"/>
      <c r="BE188" s="50"/>
      <c r="BF188" s="50"/>
      <c r="BH188" s="50"/>
      <c r="BI188" s="50"/>
      <c r="BJ188" s="50"/>
    </row>
    <row r="189" spans="1:62" outlineLevel="1" x14ac:dyDescent="0.25">
      <c r="A189" s="25"/>
      <c r="B189" s="32"/>
      <c r="C189" s="33" t="s">
        <v>429</v>
      </c>
      <c r="D189" s="32">
        <v>72145549</v>
      </c>
      <c r="E189" s="33">
        <v>20</v>
      </c>
      <c r="G189" s="34" t="str">
        <f t="shared" si="22"/>
        <v>·</v>
      </c>
      <c r="H189" s="35" t="str">
        <f t="shared" si="23"/>
        <v>·</v>
      </c>
      <c r="I189" s="35" t="str">
        <f t="shared" si="24"/>
        <v>·</v>
      </c>
      <c r="J189" s="35" t="str">
        <f t="shared" si="25"/>
        <v>·</v>
      </c>
      <c r="K189" s="35" t="str">
        <f t="shared" si="26"/>
        <v>·</v>
      </c>
      <c r="L189" s="36"/>
      <c r="M189" s="37"/>
      <c r="N189" s="37"/>
      <c r="O189" s="37"/>
      <c r="P189" s="53"/>
      <c r="Q189" s="53"/>
      <c r="R189" s="53"/>
      <c r="S189" s="53"/>
      <c r="T189" s="53"/>
      <c r="U189" s="53"/>
      <c r="V189" s="53"/>
      <c r="W189" s="53"/>
      <c r="X189" s="38"/>
      <c r="Y189" s="38"/>
      <c r="AA189" s="34" t="str">
        <f t="shared" si="27"/>
        <v>·</v>
      </c>
      <c r="AB189" s="35" t="str">
        <f t="shared" si="28"/>
        <v>·</v>
      </c>
      <c r="AC189" s="35" t="str">
        <f t="shared" si="29"/>
        <v>·</v>
      </c>
      <c r="AD189" s="35" t="str">
        <f t="shared" si="30"/>
        <v>·</v>
      </c>
      <c r="AE189" s="35" t="str">
        <f t="shared" si="31"/>
        <v>·</v>
      </c>
      <c r="AF189" s="36"/>
      <c r="AG189" s="37"/>
      <c r="AH189" s="37"/>
      <c r="AI189" s="37"/>
      <c r="AJ189" s="53"/>
      <c r="AK189" s="53"/>
      <c r="AL189" s="53"/>
      <c r="AM189" s="53"/>
      <c r="AN189" s="53"/>
      <c r="AO189" s="53"/>
      <c r="AP189" s="53"/>
      <c r="AQ189" s="53"/>
      <c r="AR189" s="38"/>
      <c r="AS189" s="38"/>
      <c r="AU189" s="34" t="e">
        <f t="shared" si="32"/>
        <v>#DIV/0!</v>
      </c>
      <c r="AV189" s="34"/>
      <c r="AX189" s="54"/>
      <c r="AY189" s="54"/>
      <c r="AZ189" s="54"/>
      <c r="BA189" s="54"/>
      <c r="BB189" s="54"/>
      <c r="BD189" s="54"/>
      <c r="BE189" s="54"/>
      <c r="BF189" s="54"/>
      <c r="BH189" s="54"/>
      <c r="BI189" s="54"/>
      <c r="BJ189" s="54"/>
    </row>
    <row r="190" spans="1:62" collapsed="1" x14ac:dyDescent="0.25">
      <c r="A190" s="18"/>
      <c r="B190" s="18" t="s">
        <v>236</v>
      </c>
      <c r="C190" s="19" t="s">
        <v>310</v>
      </c>
      <c r="D190" s="18">
        <v>47062002</v>
      </c>
      <c r="E190" s="19">
        <v>16</v>
      </c>
      <c r="G190" s="20" t="str">
        <f t="shared" si="22"/>
        <v>·</v>
      </c>
      <c r="H190" s="21" t="str">
        <f t="shared" si="23"/>
        <v>·</v>
      </c>
      <c r="I190" s="21" t="str">
        <f t="shared" si="24"/>
        <v>·</v>
      </c>
      <c r="J190" s="21" t="str">
        <f t="shared" si="25"/>
        <v>·</v>
      </c>
      <c r="K190" s="21" t="str">
        <f t="shared" si="26"/>
        <v>·</v>
      </c>
      <c r="L190" s="22"/>
      <c r="M190" s="23"/>
      <c r="N190" s="23"/>
      <c r="O190" s="23"/>
      <c r="P190" s="49"/>
      <c r="Q190" s="49"/>
      <c r="R190" s="49"/>
      <c r="S190" s="49"/>
      <c r="T190" s="49"/>
      <c r="U190" s="49"/>
      <c r="V190" s="49"/>
      <c r="W190" s="49"/>
      <c r="X190" s="24"/>
      <c r="Y190" s="24"/>
      <c r="AA190" s="20" t="str">
        <f t="shared" si="27"/>
        <v>·</v>
      </c>
      <c r="AB190" s="21" t="str">
        <f t="shared" si="28"/>
        <v>·</v>
      </c>
      <c r="AC190" s="21" t="str">
        <f t="shared" si="29"/>
        <v>·</v>
      </c>
      <c r="AD190" s="21" t="str">
        <f t="shared" si="30"/>
        <v>·</v>
      </c>
      <c r="AE190" s="21" t="str">
        <f t="shared" si="31"/>
        <v>·</v>
      </c>
      <c r="AF190" s="22"/>
      <c r="AG190" s="23"/>
      <c r="AH190" s="23"/>
      <c r="AI190" s="23"/>
      <c r="AJ190" s="49"/>
      <c r="AK190" s="49"/>
      <c r="AL190" s="49"/>
      <c r="AM190" s="49"/>
      <c r="AN190" s="49"/>
      <c r="AO190" s="49"/>
      <c r="AP190" s="49"/>
      <c r="AQ190" s="49"/>
      <c r="AR190" s="24"/>
      <c r="AS190" s="24"/>
      <c r="AU190" s="20" t="e">
        <f t="shared" si="32"/>
        <v>#DIV/0!</v>
      </c>
      <c r="AV190" s="20" t="e">
        <f t="array" ref="AV190">AVERAGE(AH190:AH195/AG190:AG195) - AVERAGE(N190:N195/M190:M195)</f>
        <v>#DIV/0!</v>
      </c>
      <c r="AX190" s="50" t="e">
        <f>bdRateExtend( M190:M195,P190:P195, AG190:AG195,AJ190:AJ195)</f>
        <v>#VALUE!</v>
      </c>
      <c r="AY190" s="50" t="e">
        <f>bdRateExtend( M190:M195,Q190:Q195, AG190:AG195,AK190:AK195)</f>
        <v>#VALUE!</v>
      </c>
      <c r="AZ190" s="50" t="e">
        <f>bdRateExtend( M190:M195,R190:R195, AG190:AG195,AL190:AL195)</f>
        <v>#VALUE!</v>
      </c>
      <c r="BA190" s="50" t="e">
        <f>bdRateExtend( M190:M195,S190:S195, AG190:AG195,AM190:AM195)</f>
        <v>#VALUE!</v>
      </c>
      <c r="BB190" s="50" t="e">
        <f>bdRateExtend( M190:M195,T190:T195, AG190:AG195,AN190:AN195)</f>
        <v>#VALUE!</v>
      </c>
      <c r="BD190" s="50" t="e">
        <f>bdRateExtend( O190:O195,R190:R195, AI190:AI195,AL190:AL195)</f>
        <v>#VALUE!</v>
      </c>
      <c r="BE190" s="50" t="e">
        <f>bdRateExtend( O190:O195,S190:S195, AI190:AI195,AM190:AM195)</f>
        <v>#VALUE!</v>
      </c>
      <c r="BF190" s="50" t="e">
        <f>bdRateExtend( O190:O195,T190:T195, AI190:AI195,AN190:AN195)</f>
        <v>#VALUE!</v>
      </c>
      <c r="BH190" s="50" t="e">
        <f>bdRateExtend( O190:O195,U190:U195, AI190:AI195,AO190:AO195)</f>
        <v>#VALUE!</v>
      </c>
      <c r="BI190" s="50" t="e">
        <f>bdRateExtend( O190:O195,V190:V195, AI190:AI195,AP190:AP195)</f>
        <v>#VALUE!</v>
      </c>
      <c r="BJ190" s="50" t="e">
        <f>bdRateExtend( O190:O195,W190:W195, AI190:AI195,AQ190:AQ195)</f>
        <v>#VALUE!</v>
      </c>
    </row>
    <row r="191" spans="1:62" outlineLevel="1" x14ac:dyDescent="0.25">
      <c r="A191" s="25"/>
      <c r="B191" s="25"/>
      <c r="C191" s="26" t="s">
        <v>311</v>
      </c>
      <c r="D191" s="25">
        <v>47062002</v>
      </c>
      <c r="E191" s="26">
        <v>16</v>
      </c>
      <c r="G191" s="27" t="str">
        <f t="shared" si="22"/>
        <v>·</v>
      </c>
      <c r="H191" s="28" t="str">
        <f t="shared" si="23"/>
        <v>·</v>
      </c>
      <c r="I191" s="28" t="str">
        <f t="shared" si="24"/>
        <v>·</v>
      </c>
      <c r="J191" s="28" t="str">
        <f t="shared" si="25"/>
        <v>·</v>
      </c>
      <c r="K191" s="28" t="str">
        <f t="shared" si="26"/>
        <v>·</v>
      </c>
      <c r="L191" s="29"/>
      <c r="M191" s="30"/>
      <c r="N191" s="30"/>
      <c r="O191" s="30"/>
      <c r="P191" s="51"/>
      <c r="Q191" s="51"/>
      <c r="R191" s="51"/>
      <c r="S191" s="51"/>
      <c r="T191" s="51"/>
      <c r="U191" s="51"/>
      <c r="V191" s="51"/>
      <c r="W191" s="51"/>
      <c r="X191" s="31"/>
      <c r="Y191" s="31"/>
      <c r="AA191" s="27" t="str">
        <f t="shared" si="27"/>
        <v>·</v>
      </c>
      <c r="AB191" s="28" t="str">
        <f t="shared" si="28"/>
        <v>·</v>
      </c>
      <c r="AC191" s="28" t="str">
        <f t="shared" si="29"/>
        <v>·</v>
      </c>
      <c r="AD191" s="28" t="str">
        <f t="shared" si="30"/>
        <v>·</v>
      </c>
      <c r="AE191" s="28" t="str">
        <f t="shared" si="31"/>
        <v>·</v>
      </c>
      <c r="AF191" s="29"/>
      <c r="AG191" s="30"/>
      <c r="AH191" s="30"/>
      <c r="AI191" s="30"/>
      <c r="AJ191" s="51"/>
      <c r="AK191" s="51"/>
      <c r="AL191" s="51"/>
      <c r="AM191" s="51"/>
      <c r="AN191" s="51"/>
      <c r="AO191" s="51"/>
      <c r="AP191" s="51"/>
      <c r="AQ191" s="51"/>
      <c r="AR191" s="31"/>
      <c r="AS191" s="31"/>
      <c r="AU191" s="27" t="e">
        <f t="shared" si="32"/>
        <v>#DIV/0!</v>
      </c>
      <c r="AV191" s="27"/>
      <c r="AX191" s="52"/>
      <c r="AY191" s="52"/>
      <c r="AZ191" s="52"/>
      <c r="BA191" s="52"/>
      <c r="BB191" s="52"/>
      <c r="BD191" s="52"/>
      <c r="BE191" s="52"/>
      <c r="BF191" s="52"/>
      <c r="BH191" s="52"/>
      <c r="BI191" s="52"/>
      <c r="BJ191" s="52"/>
    </row>
    <row r="192" spans="1:62" outlineLevel="1" x14ac:dyDescent="0.25">
      <c r="A192" s="18"/>
      <c r="B192" s="18"/>
      <c r="C192" s="19" t="s">
        <v>312</v>
      </c>
      <c r="D192" s="18">
        <v>47062002</v>
      </c>
      <c r="E192" s="19">
        <v>16</v>
      </c>
      <c r="G192" s="20" t="str">
        <f t="shared" si="22"/>
        <v>·</v>
      </c>
      <c r="H192" s="21" t="str">
        <f t="shared" si="23"/>
        <v>·</v>
      </c>
      <c r="I192" s="21" t="str">
        <f t="shared" si="24"/>
        <v>·</v>
      </c>
      <c r="J192" s="21" t="str">
        <f t="shared" si="25"/>
        <v>·</v>
      </c>
      <c r="K192" s="21" t="str">
        <f t="shared" si="26"/>
        <v>·</v>
      </c>
      <c r="L192" s="22"/>
      <c r="M192" s="23"/>
      <c r="N192" s="23"/>
      <c r="O192" s="23"/>
      <c r="P192" s="49"/>
      <c r="Q192" s="49"/>
      <c r="R192" s="49"/>
      <c r="S192" s="49"/>
      <c r="T192" s="49"/>
      <c r="U192" s="49"/>
      <c r="V192" s="49"/>
      <c r="W192" s="49"/>
      <c r="X192" s="24"/>
      <c r="Y192" s="24"/>
      <c r="AA192" s="20" t="str">
        <f t="shared" si="27"/>
        <v>·</v>
      </c>
      <c r="AB192" s="21" t="str">
        <f t="shared" si="28"/>
        <v>·</v>
      </c>
      <c r="AC192" s="21" t="str">
        <f t="shared" si="29"/>
        <v>·</v>
      </c>
      <c r="AD192" s="21" t="str">
        <f t="shared" si="30"/>
        <v>·</v>
      </c>
      <c r="AE192" s="21" t="str">
        <f t="shared" si="31"/>
        <v>·</v>
      </c>
      <c r="AF192" s="22"/>
      <c r="AG192" s="23"/>
      <c r="AH192" s="23"/>
      <c r="AI192" s="23"/>
      <c r="AJ192" s="49"/>
      <c r="AK192" s="49"/>
      <c r="AL192" s="49"/>
      <c r="AM192" s="49"/>
      <c r="AN192" s="49"/>
      <c r="AO192" s="49"/>
      <c r="AP192" s="49"/>
      <c r="AQ192" s="49"/>
      <c r="AR192" s="24"/>
      <c r="AS192" s="24"/>
      <c r="AU192" s="20" t="e">
        <f t="shared" si="32"/>
        <v>#DIV/0!</v>
      </c>
      <c r="AV192" s="20"/>
      <c r="AX192" s="50"/>
      <c r="AY192" s="50"/>
      <c r="AZ192" s="50"/>
      <c r="BA192" s="50"/>
      <c r="BB192" s="50"/>
      <c r="BD192" s="50"/>
      <c r="BE192" s="50"/>
      <c r="BF192" s="50"/>
      <c r="BH192" s="50"/>
      <c r="BI192" s="50"/>
      <c r="BJ192" s="50"/>
    </row>
    <row r="193" spans="1:62" outlineLevel="1" x14ac:dyDescent="0.25">
      <c r="A193" s="25"/>
      <c r="B193" s="25"/>
      <c r="C193" s="26" t="s">
        <v>313</v>
      </c>
      <c r="D193" s="25">
        <v>47062002</v>
      </c>
      <c r="E193" s="26">
        <v>16</v>
      </c>
      <c r="G193" s="27" t="str">
        <f t="shared" si="22"/>
        <v>·</v>
      </c>
      <c r="H193" s="28" t="str">
        <f t="shared" si="23"/>
        <v>·</v>
      </c>
      <c r="I193" s="28" t="str">
        <f t="shared" si="24"/>
        <v>·</v>
      </c>
      <c r="J193" s="28" t="str">
        <f t="shared" si="25"/>
        <v>·</v>
      </c>
      <c r="K193" s="28" t="str">
        <f t="shared" si="26"/>
        <v>·</v>
      </c>
      <c r="L193" s="29"/>
      <c r="M193" s="30"/>
      <c r="N193" s="30"/>
      <c r="O193" s="30"/>
      <c r="P193" s="51"/>
      <c r="Q193" s="51"/>
      <c r="R193" s="51"/>
      <c r="S193" s="51"/>
      <c r="T193" s="51"/>
      <c r="U193" s="51"/>
      <c r="V193" s="51"/>
      <c r="W193" s="51"/>
      <c r="X193" s="31"/>
      <c r="Y193" s="31"/>
      <c r="AA193" s="27" t="str">
        <f t="shared" si="27"/>
        <v>·</v>
      </c>
      <c r="AB193" s="28" t="str">
        <f t="shared" si="28"/>
        <v>·</v>
      </c>
      <c r="AC193" s="28" t="str">
        <f t="shared" si="29"/>
        <v>·</v>
      </c>
      <c r="AD193" s="28" t="str">
        <f t="shared" si="30"/>
        <v>·</v>
      </c>
      <c r="AE193" s="28" t="str">
        <f t="shared" si="31"/>
        <v>·</v>
      </c>
      <c r="AF193" s="29"/>
      <c r="AG193" s="30"/>
      <c r="AH193" s="30"/>
      <c r="AI193" s="30"/>
      <c r="AJ193" s="51"/>
      <c r="AK193" s="51"/>
      <c r="AL193" s="51"/>
      <c r="AM193" s="51"/>
      <c r="AN193" s="51"/>
      <c r="AO193" s="51"/>
      <c r="AP193" s="51"/>
      <c r="AQ193" s="51"/>
      <c r="AR193" s="31"/>
      <c r="AS193" s="31"/>
      <c r="AU193" s="27" t="e">
        <f t="shared" si="32"/>
        <v>#DIV/0!</v>
      </c>
      <c r="AV193" s="27"/>
      <c r="AX193" s="52"/>
      <c r="AY193" s="52"/>
      <c r="AZ193" s="52"/>
      <c r="BA193" s="52"/>
      <c r="BB193" s="52"/>
      <c r="BD193" s="52"/>
      <c r="BE193" s="52"/>
      <c r="BF193" s="52"/>
      <c r="BH193" s="52"/>
      <c r="BI193" s="52"/>
      <c r="BJ193" s="52"/>
    </row>
    <row r="194" spans="1:62" outlineLevel="1" x14ac:dyDescent="0.25">
      <c r="A194" s="18"/>
      <c r="B194" s="18"/>
      <c r="C194" s="19" t="s">
        <v>428</v>
      </c>
      <c r="D194" s="18">
        <v>47062002</v>
      </c>
      <c r="E194" s="19">
        <v>16</v>
      </c>
      <c r="G194" s="20" t="str">
        <f t="shared" si="22"/>
        <v>·</v>
      </c>
      <c r="H194" s="21" t="str">
        <f t="shared" si="23"/>
        <v>·</v>
      </c>
      <c r="I194" s="21" t="str">
        <f t="shared" si="24"/>
        <v>·</v>
      </c>
      <c r="J194" s="21" t="str">
        <f t="shared" si="25"/>
        <v>·</v>
      </c>
      <c r="K194" s="21" t="str">
        <f t="shared" si="26"/>
        <v>·</v>
      </c>
      <c r="L194" s="22"/>
      <c r="M194" s="23"/>
      <c r="N194" s="23"/>
      <c r="O194" s="23"/>
      <c r="P194" s="49"/>
      <c r="Q194" s="49"/>
      <c r="R194" s="49"/>
      <c r="S194" s="49"/>
      <c r="T194" s="49"/>
      <c r="U194" s="49"/>
      <c r="V194" s="49"/>
      <c r="W194" s="49"/>
      <c r="X194" s="24"/>
      <c r="Y194" s="24"/>
      <c r="AA194" s="20" t="str">
        <f t="shared" si="27"/>
        <v>·</v>
      </c>
      <c r="AB194" s="21" t="str">
        <f t="shared" si="28"/>
        <v>·</v>
      </c>
      <c r="AC194" s="21" t="str">
        <f t="shared" si="29"/>
        <v>·</v>
      </c>
      <c r="AD194" s="21" t="str">
        <f t="shared" si="30"/>
        <v>·</v>
      </c>
      <c r="AE194" s="21" t="str">
        <f t="shared" si="31"/>
        <v>·</v>
      </c>
      <c r="AF194" s="22"/>
      <c r="AG194" s="23"/>
      <c r="AH194" s="23"/>
      <c r="AI194" s="23"/>
      <c r="AJ194" s="49"/>
      <c r="AK194" s="49"/>
      <c r="AL194" s="49"/>
      <c r="AM194" s="49"/>
      <c r="AN194" s="49"/>
      <c r="AO194" s="49"/>
      <c r="AP194" s="49"/>
      <c r="AQ194" s="49"/>
      <c r="AR194" s="24"/>
      <c r="AS194" s="24"/>
      <c r="AU194" s="20" t="e">
        <f t="shared" si="32"/>
        <v>#DIV/0!</v>
      </c>
      <c r="AV194" s="20"/>
      <c r="AX194" s="50"/>
      <c r="AY194" s="50"/>
      <c r="AZ194" s="50"/>
      <c r="BA194" s="50"/>
      <c r="BB194" s="50"/>
      <c r="BD194" s="50"/>
      <c r="BE194" s="50"/>
      <c r="BF194" s="50"/>
      <c r="BH194" s="50"/>
      <c r="BI194" s="50"/>
      <c r="BJ194" s="50"/>
    </row>
    <row r="195" spans="1:62" outlineLevel="1" x14ac:dyDescent="0.25">
      <c r="A195" s="25"/>
      <c r="B195" s="32"/>
      <c r="C195" s="33" t="s">
        <v>429</v>
      </c>
      <c r="D195" s="32">
        <v>47062002</v>
      </c>
      <c r="E195" s="33">
        <v>16</v>
      </c>
      <c r="G195" s="34" t="str">
        <f t="shared" si="22"/>
        <v>·</v>
      </c>
      <c r="H195" s="35" t="str">
        <f t="shared" si="23"/>
        <v>·</v>
      </c>
      <c r="I195" s="35" t="str">
        <f t="shared" si="24"/>
        <v>·</v>
      </c>
      <c r="J195" s="35" t="str">
        <f t="shared" si="25"/>
        <v>·</v>
      </c>
      <c r="K195" s="35" t="str">
        <f t="shared" si="26"/>
        <v>·</v>
      </c>
      <c r="L195" s="36"/>
      <c r="M195" s="37"/>
      <c r="N195" s="37"/>
      <c r="O195" s="37"/>
      <c r="P195" s="53"/>
      <c r="Q195" s="53"/>
      <c r="R195" s="53"/>
      <c r="S195" s="53"/>
      <c r="T195" s="53"/>
      <c r="U195" s="53"/>
      <c r="V195" s="53"/>
      <c r="W195" s="53"/>
      <c r="X195" s="38"/>
      <c r="Y195" s="38"/>
      <c r="AA195" s="34" t="str">
        <f t="shared" si="27"/>
        <v>·</v>
      </c>
      <c r="AB195" s="35" t="str">
        <f t="shared" si="28"/>
        <v>·</v>
      </c>
      <c r="AC195" s="35" t="str">
        <f t="shared" si="29"/>
        <v>·</v>
      </c>
      <c r="AD195" s="35" t="str">
        <f t="shared" si="30"/>
        <v>·</v>
      </c>
      <c r="AE195" s="35" t="str">
        <f t="shared" si="31"/>
        <v>·</v>
      </c>
      <c r="AF195" s="36"/>
      <c r="AG195" s="37"/>
      <c r="AH195" s="37"/>
      <c r="AI195" s="37"/>
      <c r="AJ195" s="53"/>
      <c r="AK195" s="53"/>
      <c r="AL195" s="53"/>
      <c r="AM195" s="53"/>
      <c r="AN195" s="53"/>
      <c r="AO195" s="53"/>
      <c r="AP195" s="53"/>
      <c r="AQ195" s="53"/>
      <c r="AR195" s="38"/>
      <c r="AS195" s="38"/>
      <c r="AU195" s="34" t="e">
        <f t="shared" si="32"/>
        <v>#DIV/0!</v>
      </c>
      <c r="AV195" s="34"/>
      <c r="AX195" s="54"/>
      <c r="AY195" s="54"/>
      <c r="AZ195" s="54"/>
      <c r="BA195" s="54"/>
      <c r="BB195" s="54"/>
      <c r="BD195" s="54"/>
      <c r="BE195" s="54"/>
      <c r="BF195" s="54"/>
      <c r="BH195" s="54"/>
      <c r="BI195" s="54"/>
      <c r="BJ195" s="54"/>
    </row>
    <row r="196" spans="1:62" collapsed="1" x14ac:dyDescent="0.25">
      <c r="A196" s="18"/>
      <c r="B196" s="18" t="s">
        <v>239</v>
      </c>
      <c r="C196" s="19" t="s">
        <v>310</v>
      </c>
      <c r="D196" s="18">
        <v>47062018</v>
      </c>
      <c r="E196" s="19">
        <v>20</v>
      </c>
      <c r="G196" s="20" t="str">
        <f t="shared" ref="G196:G225" si="33">IF(ISBLANK(M196),"·",M196/(D196*E196*3))</f>
        <v>·</v>
      </c>
      <c r="H196" s="21" t="str">
        <f t="shared" ref="H196:H225" si="34">IF(ISBLANK(M196),"·",M196/D196)</f>
        <v>·</v>
      </c>
      <c r="I196" s="21" t="str">
        <f t="shared" ref="I196:I225" si="35">IF(N196="","·",N196/D196)</f>
        <v>·</v>
      </c>
      <c r="J196" s="21" t="str">
        <f t="shared" ref="J196:J225" si="36">IF(ISBLANK(O196),"·",O196/D196)</f>
        <v>·</v>
      </c>
      <c r="K196" s="21" t="str">
        <f t="shared" ref="K196:K225" si="37">IF(ISBLANK(M196),"·",M196/L196)</f>
        <v>·</v>
      </c>
      <c r="L196" s="22"/>
      <c r="M196" s="23"/>
      <c r="N196" s="23"/>
      <c r="O196" s="23"/>
      <c r="P196" s="49"/>
      <c r="Q196" s="49"/>
      <c r="R196" s="49"/>
      <c r="S196" s="49"/>
      <c r="T196" s="49"/>
      <c r="U196" s="49"/>
      <c r="V196" s="49"/>
      <c r="W196" s="49"/>
      <c r="X196" s="24"/>
      <c r="Y196" s="24"/>
      <c r="AA196" s="20" t="str">
        <f t="shared" ref="AA196:AA225" si="38">IF(ISBLANK(AG196),"·",AG196/(D196*E196*3))</f>
        <v>·</v>
      </c>
      <c r="AB196" s="21" t="str">
        <f t="shared" ref="AB196:AB225" si="39">IF(ISBLANK(AG196),"·",AG196/D196)</f>
        <v>·</v>
      </c>
      <c r="AC196" s="21" t="str">
        <f t="shared" ref="AC196:AC225" si="40">IF(AH196="","·",AH196/D196)</f>
        <v>·</v>
      </c>
      <c r="AD196" s="21" t="str">
        <f t="shared" ref="AD196:AD225" si="41">IF(ISBLANK(AI196),"·",AI196/D196)</f>
        <v>·</v>
      </c>
      <c r="AE196" s="21" t="str">
        <f t="shared" ref="AE196:AE225" si="42">IF(ISBLANK(AG196),"·",AG196/AF196)</f>
        <v>·</v>
      </c>
      <c r="AF196" s="22"/>
      <c r="AG196" s="23"/>
      <c r="AH196" s="23"/>
      <c r="AI196" s="23"/>
      <c r="AJ196" s="49"/>
      <c r="AK196" s="49"/>
      <c r="AL196" s="49"/>
      <c r="AM196" s="49"/>
      <c r="AN196" s="49"/>
      <c r="AO196" s="49"/>
      <c r="AP196" s="49"/>
      <c r="AQ196" s="49"/>
      <c r="AR196" s="24"/>
      <c r="AS196" s="24"/>
      <c r="AU196" s="20" t="e">
        <f t="shared" ref="AU196:AU225" si="43">(AH196/AG196) - (N196/M196)</f>
        <v>#DIV/0!</v>
      </c>
      <c r="AV196" s="20" t="e">
        <f t="array" ref="AV196">AVERAGE(AH196:AH201/AG196:AG201) - AVERAGE(N196:N201/M196:M201)</f>
        <v>#DIV/0!</v>
      </c>
      <c r="AX196" s="50" t="e">
        <f>bdRateExtend( M196:M201,P196:P201, AG196:AG201,AJ196:AJ201)</f>
        <v>#VALUE!</v>
      </c>
      <c r="AY196" s="50" t="e">
        <f>bdRateExtend( M196:M201,Q196:Q201, AG196:AG201,AK196:AK201)</f>
        <v>#VALUE!</v>
      </c>
      <c r="AZ196" s="50" t="e">
        <f>bdRateExtend( M196:M201,R196:R201, AG196:AG201,AL196:AL201)</f>
        <v>#VALUE!</v>
      </c>
      <c r="BA196" s="50" t="e">
        <f>bdRateExtend( M196:M201,S196:S201, AG196:AG201,AM196:AM201)</f>
        <v>#VALUE!</v>
      </c>
      <c r="BB196" s="50" t="e">
        <f>bdRateExtend( M196:M201,T196:T201, AG196:AG201,AN196:AN201)</f>
        <v>#VALUE!</v>
      </c>
      <c r="BD196" s="50" t="e">
        <f>bdRateExtend( O196:O201,R196:R201, AI196:AI201,AL196:AL201)</f>
        <v>#VALUE!</v>
      </c>
      <c r="BE196" s="50" t="e">
        <f>bdRateExtend( O196:O201,S196:S201, AI196:AI201,AM196:AM201)</f>
        <v>#VALUE!</v>
      </c>
      <c r="BF196" s="50" t="e">
        <f>bdRateExtend( O196:O201,T196:T201, AI196:AI201,AN196:AN201)</f>
        <v>#VALUE!</v>
      </c>
      <c r="BH196" s="50" t="e">
        <f>bdRateExtend( O196:O201,U196:U201, AI196:AI201,AO196:AO201)</f>
        <v>#VALUE!</v>
      </c>
      <c r="BI196" s="50" t="e">
        <f>bdRateExtend( O196:O201,V196:V201, AI196:AI201,AP196:AP201)</f>
        <v>#VALUE!</v>
      </c>
      <c r="BJ196" s="50" t="e">
        <f>bdRateExtend( O196:O201,W196:W201, AI196:AI201,AQ196:AQ201)</f>
        <v>#VALUE!</v>
      </c>
    </row>
    <row r="197" spans="1:62" outlineLevel="1" x14ac:dyDescent="0.25">
      <c r="A197" s="25"/>
      <c r="B197" s="25"/>
      <c r="C197" s="26" t="s">
        <v>311</v>
      </c>
      <c r="D197" s="25">
        <v>47062018</v>
      </c>
      <c r="E197" s="26">
        <v>20</v>
      </c>
      <c r="G197" s="27" t="str">
        <f t="shared" si="33"/>
        <v>·</v>
      </c>
      <c r="H197" s="28" t="str">
        <f t="shared" si="34"/>
        <v>·</v>
      </c>
      <c r="I197" s="28" t="str">
        <f t="shared" si="35"/>
        <v>·</v>
      </c>
      <c r="J197" s="28" t="str">
        <f t="shared" si="36"/>
        <v>·</v>
      </c>
      <c r="K197" s="28" t="str">
        <f t="shared" si="37"/>
        <v>·</v>
      </c>
      <c r="L197" s="29"/>
      <c r="M197" s="30"/>
      <c r="N197" s="30"/>
      <c r="O197" s="30"/>
      <c r="P197" s="51"/>
      <c r="Q197" s="51"/>
      <c r="R197" s="51"/>
      <c r="S197" s="51"/>
      <c r="T197" s="51"/>
      <c r="U197" s="51"/>
      <c r="V197" s="51"/>
      <c r="W197" s="51"/>
      <c r="X197" s="31"/>
      <c r="Y197" s="31"/>
      <c r="AA197" s="27" t="str">
        <f t="shared" si="38"/>
        <v>·</v>
      </c>
      <c r="AB197" s="28" t="str">
        <f t="shared" si="39"/>
        <v>·</v>
      </c>
      <c r="AC197" s="28" t="str">
        <f t="shared" si="40"/>
        <v>·</v>
      </c>
      <c r="AD197" s="28" t="str">
        <f t="shared" si="41"/>
        <v>·</v>
      </c>
      <c r="AE197" s="28" t="str">
        <f t="shared" si="42"/>
        <v>·</v>
      </c>
      <c r="AF197" s="29"/>
      <c r="AG197" s="30"/>
      <c r="AH197" s="30"/>
      <c r="AI197" s="30"/>
      <c r="AJ197" s="51"/>
      <c r="AK197" s="51"/>
      <c r="AL197" s="51"/>
      <c r="AM197" s="51"/>
      <c r="AN197" s="51"/>
      <c r="AO197" s="51"/>
      <c r="AP197" s="51"/>
      <c r="AQ197" s="51"/>
      <c r="AR197" s="31"/>
      <c r="AS197" s="31"/>
      <c r="AU197" s="27" t="e">
        <f t="shared" si="43"/>
        <v>#DIV/0!</v>
      </c>
      <c r="AV197" s="27"/>
      <c r="AX197" s="52"/>
      <c r="AY197" s="52"/>
      <c r="AZ197" s="52"/>
      <c r="BA197" s="52"/>
      <c r="BB197" s="52"/>
      <c r="BD197" s="52"/>
      <c r="BE197" s="52"/>
      <c r="BF197" s="52"/>
      <c r="BH197" s="52"/>
      <c r="BI197" s="52"/>
      <c r="BJ197" s="52"/>
    </row>
    <row r="198" spans="1:62" outlineLevel="1" x14ac:dyDescent="0.25">
      <c r="A198" s="18"/>
      <c r="B198" s="18"/>
      <c r="C198" s="19" t="s">
        <v>312</v>
      </c>
      <c r="D198" s="18">
        <v>47062018</v>
      </c>
      <c r="E198" s="19">
        <v>20</v>
      </c>
      <c r="G198" s="20" t="str">
        <f t="shared" si="33"/>
        <v>·</v>
      </c>
      <c r="H198" s="21" t="str">
        <f t="shared" si="34"/>
        <v>·</v>
      </c>
      <c r="I198" s="21" t="str">
        <f t="shared" si="35"/>
        <v>·</v>
      </c>
      <c r="J198" s="21" t="str">
        <f t="shared" si="36"/>
        <v>·</v>
      </c>
      <c r="K198" s="21" t="str">
        <f t="shared" si="37"/>
        <v>·</v>
      </c>
      <c r="L198" s="22"/>
      <c r="M198" s="23"/>
      <c r="N198" s="23"/>
      <c r="O198" s="23"/>
      <c r="P198" s="49"/>
      <c r="Q198" s="49"/>
      <c r="R198" s="49"/>
      <c r="S198" s="49"/>
      <c r="T198" s="49"/>
      <c r="U198" s="49"/>
      <c r="V198" s="49"/>
      <c r="W198" s="49"/>
      <c r="X198" s="24"/>
      <c r="Y198" s="24"/>
      <c r="AA198" s="20" t="str">
        <f t="shared" si="38"/>
        <v>·</v>
      </c>
      <c r="AB198" s="21" t="str">
        <f t="shared" si="39"/>
        <v>·</v>
      </c>
      <c r="AC198" s="21" t="str">
        <f t="shared" si="40"/>
        <v>·</v>
      </c>
      <c r="AD198" s="21" t="str">
        <f t="shared" si="41"/>
        <v>·</v>
      </c>
      <c r="AE198" s="21" t="str">
        <f t="shared" si="42"/>
        <v>·</v>
      </c>
      <c r="AF198" s="22"/>
      <c r="AG198" s="23"/>
      <c r="AH198" s="23"/>
      <c r="AI198" s="23"/>
      <c r="AJ198" s="49"/>
      <c r="AK198" s="49"/>
      <c r="AL198" s="49"/>
      <c r="AM198" s="49"/>
      <c r="AN198" s="49"/>
      <c r="AO198" s="49"/>
      <c r="AP198" s="49"/>
      <c r="AQ198" s="49"/>
      <c r="AR198" s="24"/>
      <c r="AS198" s="24"/>
      <c r="AU198" s="20" t="e">
        <f t="shared" si="43"/>
        <v>#DIV/0!</v>
      </c>
      <c r="AV198" s="20"/>
      <c r="AX198" s="50"/>
      <c r="AY198" s="50"/>
      <c r="AZ198" s="50"/>
      <c r="BA198" s="50"/>
      <c r="BB198" s="50"/>
      <c r="BD198" s="50"/>
      <c r="BE198" s="50"/>
      <c r="BF198" s="50"/>
      <c r="BH198" s="50"/>
      <c r="BI198" s="50"/>
      <c r="BJ198" s="50"/>
    </row>
    <row r="199" spans="1:62" outlineLevel="1" x14ac:dyDescent="0.25">
      <c r="A199" s="25"/>
      <c r="B199" s="25"/>
      <c r="C199" s="26" t="s">
        <v>313</v>
      </c>
      <c r="D199" s="25">
        <v>47062018</v>
      </c>
      <c r="E199" s="26">
        <v>20</v>
      </c>
      <c r="G199" s="27" t="str">
        <f t="shared" si="33"/>
        <v>·</v>
      </c>
      <c r="H199" s="28" t="str">
        <f t="shared" si="34"/>
        <v>·</v>
      </c>
      <c r="I199" s="28" t="str">
        <f t="shared" si="35"/>
        <v>·</v>
      </c>
      <c r="J199" s="28" t="str">
        <f t="shared" si="36"/>
        <v>·</v>
      </c>
      <c r="K199" s="28" t="str">
        <f t="shared" si="37"/>
        <v>·</v>
      </c>
      <c r="L199" s="29"/>
      <c r="M199" s="30"/>
      <c r="N199" s="30"/>
      <c r="O199" s="30"/>
      <c r="P199" s="51"/>
      <c r="Q199" s="51"/>
      <c r="R199" s="51"/>
      <c r="S199" s="51"/>
      <c r="T199" s="51"/>
      <c r="U199" s="51"/>
      <c r="V199" s="51"/>
      <c r="W199" s="51"/>
      <c r="X199" s="31"/>
      <c r="Y199" s="31"/>
      <c r="AA199" s="27" t="str">
        <f t="shared" si="38"/>
        <v>·</v>
      </c>
      <c r="AB199" s="28" t="str">
        <f t="shared" si="39"/>
        <v>·</v>
      </c>
      <c r="AC199" s="28" t="str">
        <f t="shared" si="40"/>
        <v>·</v>
      </c>
      <c r="AD199" s="28" t="str">
        <f t="shared" si="41"/>
        <v>·</v>
      </c>
      <c r="AE199" s="28" t="str">
        <f t="shared" si="42"/>
        <v>·</v>
      </c>
      <c r="AF199" s="29"/>
      <c r="AG199" s="30"/>
      <c r="AH199" s="30"/>
      <c r="AI199" s="30"/>
      <c r="AJ199" s="51"/>
      <c r="AK199" s="51"/>
      <c r="AL199" s="51"/>
      <c r="AM199" s="51"/>
      <c r="AN199" s="51"/>
      <c r="AO199" s="51"/>
      <c r="AP199" s="51"/>
      <c r="AQ199" s="51"/>
      <c r="AR199" s="31"/>
      <c r="AS199" s="31"/>
      <c r="AU199" s="27" t="e">
        <f t="shared" si="43"/>
        <v>#DIV/0!</v>
      </c>
      <c r="AV199" s="27"/>
      <c r="AX199" s="52"/>
      <c r="AY199" s="52"/>
      <c r="AZ199" s="52"/>
      <c r="BA199" s="52"/>
      <c r="BB199" s="52"/>
      <c r="BD199" s="52"/>
      <c r="BE199" s="52"/>
      <c r="BF199" s="52"/>
      <c r="BH199" s="52"/>
      <c r="BI199" s="52"/>
      <c r="BJ199" s="52"/>
    </row>
    <row r="200" spans="1:62" outlineLevel="1" x14ac:dyDescent="0.25">
      <c r="A200" s="18"/>
      <c r="B200" s="18"/>
      <c r="C200" s="19" t="s">
        <v>428</v>
      </c>
      <c r="D200" s="18">
        <v>47062018</v>
      </c>
      <c r="E200" s="19">
        <v>20</v>
      </c>
      <c r="G200" s="20" t="str">
        <f t="shared" si="33"/>
        <v>·</v>
      </c>
      <c r="H200" s="21" t="str">
        <f t="shared" si="34"/>
        <v>·</v>
      </c>
      <c r="I200" s="21" t="str">
        <f t="shared" si="35"/>
        <v>·</v>
      </c>
      <c r="J200" s="21" t="str">
        <f t="shared" si="36"/>
        <v>·</v>
      </c>
      <c r="K200" s="21" t="str">
        <f t="shared" si="37"/>
        <v>·</v>
      </c>
      <c r="L200" s="22"/>
      <c r="M200" s="23"/>
      <c r="N200" s="23"/>
      <c r="O200" s="23"/>
      <c r="P200" s="49"/>
      <c r="Q200" s="49"/>
      <c r="R200" s="49"/>
      <c r="S200" s="49"/>
      <c r="T200" s="49"/>
      <c r="U200" s="49"/>
      <c r="V200" s="49"/>
      <c r="W200" s="49"/>
      <c r="X200" s="24"/>
      <c r="Y200" s="24"/>
      <c r="AA200" s="20" t="str">
        <f t="shared" si="38"/>
        <v>·</v>
      </c>
      <c r="AB200" s="21" t="str">
        <f t="shared" si="39"/>
        <v>·</v>
      </c>
      <c r="AC200" s="21" t="str">
        <f t="shared" si="40"/>
        <v>·</v>
      </c>
      <c r="AD200" s="21" t="str">
        <f t="shared" si="41"/>
        <v>·</v>
      </c>
      <c r="AE200" s="21" t="str">
        <f t="shared" si="42"/>
        <v>·</v>
      </c>
      <c r="AF200" s="22"/>
      <c r="AG200" s="23"/>
      <c r="AH200" s="23"/>
      <c r="AI200" s="23"/>
      <c r="AJ200" s="49"/>
      <c r="AK200" s="49"/>
      <c r="AL200" s="49"/>
      <c r="AM200" s="49"/>
      <c r="AN200" s="49"/>
      <c r="AO200" s="49"/>
      <c r="AP200" s="49"/>
      <c r="AQ200" s="49"/>
      <c r="AR200" s="24"/>
      <c r="AS200" s="24"/>
      <c r="AU200" s="20" t="e">
        <f t="shared" si="43"/>
        <v>#DIV/0!</v>
      </c>
      <c r="AV200" s="20"/>
      <c r="AX200" s="50"/>
      <c r="AY200" s="50"/>
      <c r="AZ200" s="50"/>
      <c r="BA200" s="50"/>
      <c r="BB200" s="50"/>
      <c r="BD200" s="50"/>
      <c r="BE200" s="50"/>
      <c r="BF200" s="50"/>
      <c r="BH200" s="50"/>
      <c r="BI200" s="50"/>
      <c r="BJ200" s="50"/>
    </row>
    <row r="201" spans="1:62" outlineLevel="1" x14ac:dyDescent="0.25">
      <c r="A201" s="25"/>
      <c r="B201" s="32"/>
      <c r="C201" s="33" t="s">
        <v>429</v>
      </c>
      <c r="D201" s="32">
        <v>47062018</v>
      </c>
      <c r="E201" s="33">
        <v>20</v>
      </c>
      <c r="G201" s="34" t="str">
        <f t="shared" si="33"/>
        <v>·</v>
      </c>
      <c r="H201" s="35" t="str">
        <f t="shared" si="34"/>
        <v>·</v>
      </c>
      <c r="I201" s="35" t="str">
        <f t="shared" si="35"/>
        <v>·</v>
      </c>
      <c r="J201" s="35" t="str">
        <f t="shared" si="36"/>
        <v>·</v>
      </c>
      <c r="K201" s="35" t="str">
        <f t="shared" si="37"/>
        <v>·</v>
      </c>
      <c r="L201" s="36"/>
      <c r="M201" s="37"/>
      <c r="N201" s="37"/>
      <c r="O201" s="37"/>
      <c r="P201" s="53"/>
      <c r="Q201" s="53"/>
      <c r="R201" s="53"/>
      <c r="S201" s="53"/>
      <c r="T201" s="53"/>
      <c r="U201" s="53"/>
      <c r="V201" s="53"/>
      <c r="W201" s="53"/>
      <c r="X201" s="38"/>
      <c r="Y201" s="38"/>
      <c r="AA201" s="34" t="str">
        <f t="shared" si="38"/>
        <v>·</v>
      </c>
      <c r="AB201" s="35" t="str">
        <f t="shared" si="39"/>
        <v>·</v>
      </c>
      <c r="AC201" s="35" t="str">
        <f t="shared" si="40"/>
        <v>·</v>
      </c>
      <c r="AD201" s="35" t="str">
        <f t="shared" si="41"/>
        <v>·</v>
      </c>
      <c r="AE201" s="35" t="str">
        <f t="shared" si="42"/>
        <v>·</v>
      </c>
      <c r="AF201" s="36"/>
      <c r="AG201" s="37"/>
      <c r="AH201" s="37"/>
      <c r="AI201" s="37"/>
      <c r="AJ201" s="53"/>
      <c r="AK201" s="53"/>
      <c r="AL201" s="53"/>
      <c r="AM201" s="53"/>
      <c r="AN201" s="53"/>
      <c r="AO201" s="53"/>
      <c r="AP201" s="53"/>
      <c r="AQ201" s="53"/>
      <c r="AR201" s="38"/>
      <c r="AS201" s="38"/>
      <c r="AU201" s="34" t="e">
        <f t="shared" si="43"/>
        <v>#DIV/0!</v>
      </c>
      <c r="AV201" s="34"/>
      <c r="AX201" s="54"/>
      <c r="AY201" s="54"/>
      <c r="AZ201" s="54"/>
      <c r="BA201" s="54"/>
      <c r="BB201" s="54"/>
      <c r="BD201" s="54"/>
      <c r="BE201" s="54"/>
      <c r="BF201" s="54"/>
      <c r="BH201" s="54"/>
      <c r="BI201" s="54"/>
      <c r="BJ201" s="54"/>
    </row>
    <row r="202" spans="1:62" collapsed="1" x14ac:dyDescent="0.25">
      <c r="A202" s="18"/>
      <c r="B202" s="18" t="s">
        <v>242</v>
      </c>
      <c r="C202" s="19" t="s">
        <v>310</v>
      </c>
      <c r="D202" s="18">
        <v>43399204</v>
      </c>
      <c r="E202" s="19">
        <v>16</v>
      </c>
      <c r="G202" s="20" t="str">
        <f t="shared" si="33"/>
        <v>·</v>
      </c>
      <c r="H202" s="21" t="str">
        <f t="shared" si="34"/>
        <v>·</v>
      </c>
      <c r="I202" s="21" t="str">
        <f t="shared" si="35"/>
        <v>·</v>
      </c>
      <c r="J202" s="21" t="str">
        <f t="shared" si="36"/>
        <v>·</v>
      </c>
      <c r="K202" s="21" t="str">
        <f t="shared" si="37"/>
        <v>·</v>
      </c>
      <c r="L202" s="22"/>
      <c r="M202" s="23"/>
      <c r="N202" s="23"/>
      <c r="O202" s="23"/>
      <c r="P202" s="49"/>
      <c r="Q202" s="49"/>
      <c r="R202" s="49"/>
      <c r="S202" s="49"/>
      <c r="T202" s="49"/>
      <c r="U202" s="49"/>
      <c r="V202" s="49"/>
      <c r="W202" s="49"/>
      <c r="X202" s="24"/>
      <c r="Y202" s="24"/>
      <c r="AA202" s="20" t="str">
        <f t="shared" si="38"/>
        <v>·</v>
      </c>
      <c r="AB202" s="21" t="str">
        <f t="shared" si="39"/>
        <v>·</v>
      </c>
      <c r="AC202" s="21" t="str">
        <f t="shared" si="40"/>
        <v>·</v>
      </c>
      <c r="AD202" s="21" t="str">
        <f t="shared" si="41"/>
        <v>·</v>
      </c>
      <c r="AE202" s="21" t="str">
        <f t="shared" si="42"/>
        <v>·</v>
      </c>
      <c r="AF202" s="22"/>
      <c r="AG202" s="23"/>
      <c r="AH202" s="23"/>
      <c r="AI202" s="23"/>
      <c r="AJ202" s="49"/>
      <c r="AK202" s="49"/>
      <c r="AL202" s="49"/>
      <c r="AM202" s="49"/>
      <c r="AN202" s="49"/>
      <c r="AO202" s="49"/>
      <c r="AP202" s="49"/>
      <c r="AQ202" s="49"/>
      <c r="AR202" s="24"/>
      <c r="AS202" s="24"/>
      <c r="AU202" s="20" t="e">
        <f t="shared" si="43"/>
        <v>#DIV/0!</v>
      </c>
      <c r="AV202" s="20" t="e">
        <f t="array" ref="AV202">AVERAGE(AH202:AH207/AG202:AG207) - AVERAGE(N202:N207/M202:M207)</f>
        <v>#DIV/0!</v>
      </c>
      <c r="AX202" s="50" t="e">
        <f>bdRateExtend( M202:M207,P202:P207, AG202:AG207,AJ202:AJ207)</f>
        <v>#VALUE!</v>
      </c>
      <c r="AY202" s="50" t="e">
        <f>bdRateExtend( M202:M207,Q202:Q207, AG202:AG207,AK202:AK207)</f>
        <v>#VALUE!</v>
      </c>
      <c r="AZ202" s="50" t="e">
        <f>bdRateExtend( M202:M207,R202:R207, AG202:AG207,AL202:AL207)</f>
        <v>#VALUE!</v>
      </c>
      <c r="BA202" s="50" t="e">
        <f>bdRateExtend( M202:M207,S202:S207, AG202:AG207,AM202:AM207)</f>
        <v>#VALUE!</v>
      </c>
      <c r="BB202" s="50" t="e">
        <f>bdRateExtend( M202:M207,T202:T207, AG202:AG207,AN202:AN207)</f>
        <v>#VALUE!</v>
      </c>
      <c r="BD202" s="50" t="e">
        <f>bdRateExtend( O202:O207,R202:R207, AI202:AI207,AL202:AL207)</f>
        <v>#VALUE!</v>
      </c>
      <c r="BE202" s="50" t="e">
        <f>bdRateExtend( O202:O207,S202:S207, AI202:AI207,AM202:AM207)</f>
        <v>#VALUE!</v>
      </c>
      <c r="BF202" s="50" t="e">
        <f>bdRateExtend( O202:O207,T202:T207, AI202:AI207,AN202:AN207)</f>
        <v>#VALUE!</v>
      </c>
      <c r="BH202" s="50" t="e">
        <f>bdRateExtend( O202:O207,U202:U207, AI202:AI207,AO202:AO207)</f>
        <v>#VALUE!</v>
      </c>
      <c r="BI202" s="50" t="e">
        <f>bdRateExtend( O202:O207,V202:V207, AI202:AI207,AP202:AP207)</f>
        <v>#VALUE!</v>
      </c>
      <c r="BJ202" s="50" t="e">
        <f>bdRateExtend( O202:O207,W202:W207, AI202:AI207,AQ202:AQ207)</f>
        <v>#VALUE!</v>
      </c>
    </row>
    <row r="203" spans="1:62" outlineLevel="1" x14ac:dyDescent="0.25">
      <c r="A203" s="25"/>
      <c r="B203" s="25"/>
      <c r="C203" s="26" t="s">
        <v>311</v>
      </c>
      <c r="D203" s="25">
        <v>43399204</v>
      </c>
      <c r="E203" s="26">
        <v>16</v>
      </c>
      <c r="G203" s="27" t="str">
        <f t="shared" si="33"/>
        <v>·</v>
      </c>
      <c r="H203" s="28" t="str">
        <f t="shared" si="34"/>
        <v>·</v>
      </c>
      <c r="I203" s="28" t="str">
        <f t="shared" si="35"/>
        <v>·</v>
      </c>
      <c r="J203" s="28" t="str">
        <f t="shared" si="36"/>
        <v>·</v>
      </c>
      <c r="K203" s="28" t="str">
        <f t="shared" si="37"/>
        <v>·</v>
      </c>
      <c r="L203" s="29"/>
      <c r="M203" s="30"/>
      <c r="N203" s="30"/>
      <c r="O203" s="30"/>
      <c r="P203" s="51"/>
      <c r="Q203" s="51"/>
      <c r="R203" s="51"/>
      <c r="S203" s="51"/>
      <c r="T203" s="51"/>
      <c r="U203" s="51"/>
      <c r="V203" s="51"/>
      <c r="W203" s="51"/>
      <c r="X203" s="31"/>
      <c r="Y203" s="31"/>
      <c r="AA203" s="27" t="str">
        <f t="shared" si="38"/>
        <v>·</v>
      </c>
      <c r="AB203" s="28" t="str">
        <f t="shared" si="39"/>
        <v>·</v>
      </c>
      <c r="AC203" s="28" t="str">
        <f t="shared" si="40"/>
        <v>·</v>
      </c>
      <c r="AD203" s="28" t="str">
        <f t="shared" si="41"/>
        <v>·</v>
      </c>
      <c r="AE203" s="28" t="str">
        <f t="shared" si="42"/>
        <v>·</v>
      </c>
      <c r="AF203" s="29"/>
      <c r="AG203" s="30"/>
      <c r="AH203" s="30"/>
      <c r="AI203" s="30"/>
      <c r="AJ203" s="51"/>
      <c r="AK203" s="51"/>
      <c r="AL203" s="51"/>
      <c r="AM203" s="51"/>
      <c r="AN203" s="51"/>
      <c r="AO203" s="51"/>
      <c r="AP203" s="51"/>
      <c r="AQ203" s="51"/>
      <c r="AR203" s="31"/>
      <c r="AS203" s="31"/>
      <c r="AU203" s="27" t="e">
        <f t="shared" si="43"/>
        <v>#DIV/0!</v>
      </c>
      <c r="AV203" s="27"/>
      <c r="AX203" s="52"/>
      <c r="AY203" s="52"/>
      <c r="AZ203" s="52"/>
      <c r="BA203" s="52"/>
      <c r="BB203" s="52"/>
      <c r="BD203" s="52"/>
      <c r="BE203" s="52"/>
      <c r="BF203" s="52"/>
      <c r="BH203" s="52"/>
      <c r="BI203" s="52"/>
      <c r="BJ203" s="52"/>
    </row>
    <row r="204" spans="1:62" outlineLevel="1" x14ac:dyDescent="0.25">
      <c r="A204" s="18"/>
      <c r="B204" s="18"/>
      <c r="C204" s="19" t="s">
        <v>312</v>
      </c>
      <c r="D204" s="18">
        <v>43399204</v>
      </c>
      <c r="E204" s="19">
        <v>16</v>
      </c>
      <c r="G204" s="20" t="str">
        <f t="shared" si="33"/>
        <v>·</v>
      </c>
      <c r="H204" s="21" t="str">
        <f t="shared" si="34"/>
        <v>·</v>
      </c>
      <c r="I204" s="21" t="str">
        <f t="shared" si="35"/>
        <v>·</v>
      </c>
      <c r="J204" s="21" t="str">
        <f t="shared" si="36"/>
        <v>·</v>
      </c>
      <c r="K204" s="21" t="str">
        <f t="shared" si="37"/>
        <v>·</v>
      </c>
      <c r="L204" s="22"/>
      <c r="M204" s="23"/>
      <c r="N204" s="23"/>
      <c r="O204" s="23"/>
      <c r="P204" s="49"/>
      <c r="Q204" s="49"/>
      <c r="R204" s="49"/>
      <c r="S204" s="49"/>
      <c r="T204" s="49"/>
      <c r="U204" s="49"/>
      <c r="V204" s="49"/>
      <c r="W204" s="49"/>
      <c r="X204" s="24"/>
      <c r="Y204" s="24"/>
      <c r="AA204" s="20" t="str">
        <f t="shared" si="38"/>
        <v>·</v>
      </c>
      <c r="AB204" s="21" t="str">
        <f t="shared" si="39"/>
        <v>·</v>
      </c>
      <c r="AC204" s="21" t="str">
        <f t="shared" si="40"/>
        <v>·</v>
      </c>
      <c r="AD204" s="21" t="str">
        <f t="shared" si="41"/>
        <v>·</v>
      </c>
      <c r="AE204" s="21" t="str">
        <f t="shared" si="42"/>
        <v>·</v>
      </c>
      <c r="AF204" s="22"/>
      <c r="AG204" s="23"/>
      <c r="AH204" s="23"/>
      <c r="AI204" s="23"/>
      <c r="AJ204" s="49"/>
      <c r="AK204" s="49"/>
      <c r="AL204" s="49"/>
      <c r="AM204" s="49"/>
      <c r="AN204" s="49"/>
      <c r="AO204" s="49"/>
      <c r="AP204" s="49"/>
      <c r="AQ204" s="49"/>
      <c r="AR204" s="24"/>
      <c r="AS204" s="24"/>
      <c r="AU204" s="20" t="e">
        <f t="shared" si="43"/>
        <v>#DIV/0!</v>
      </c>
      <c r="AV204" s="20"/>
      <c r="AX204" s="50"/>
      <c r="AY204" s="50"/>
      <c r="AZ204" s="50"/>
      <c r="BA204" s="50"/>
      <c r="BB204" s="50"/>
      <c r="BD204" s="50"/>
      <c r="BE204" s="50"/>
      <c r="BF204" s="50"/>
      <c r="BH204" s="50"/>
      <c r="BI204" s="50"/>
      <c r="BJ204" s="50"/>
    </row>
    <row r="205" spans="1:62" outlineLevel="1" x14ac:dyDescent="0.25">
      <c r="A205" s="25"/>
      <c r="B205" s="25"/>
      <c r="C205" s="26" t="s">
        <v>313</v>
      </c>
      <c r="D205" s="25">
        <v>43399204</v>
      </c>
      <c r="E205" s="26">
        <v>16</v>
      </c>
      <c r="G205" s="27" t="str">
        <f t="shared" si="33"/>
        <v>·</v>
      </c>
      <c r="H205" s="28" t="str">
        <f t="shared" si="34"/>
        <v>·</v>
      </c>
      <c r="I205" s="28" t="str">
        <f t="shared" si="35"/>
        <v>·</v>
      </c>
      <c r="J205" s="28" t="str">
        <f t="shared" si="36"/>
        <v>·</v>
      </c>
      <c r="K205" s="28" t="str">
        <f t="shared" si="37"/>
        <v>·</v>
      </c>
      <c r="L205" s="29"/>
      <c r="M205" s="30"/>
      <c r="N205" s="30"/>
      <c r="O205" s="30"/>
      <c r="P205" s="51"/>
      <c r="Q205" s="51"/>
      <c r="R205" s="51"/>
      <c r="S205" s="51"/>
      <c r="T205" s="51"/>
      <c r="U205" s="51"/>
      <c r="V205" s="51"/>
      <c r="W205" s="51"/>
      <c r="X205" s="31"/>
      <c r="Y205" s="31"/>
      <c r="AA205" s="27" t="str">
        <f t="shared" si="38"/>
        <v>·</v>
      </c>
      <c r="AB205" s="28" t="str">
        <f t="shared" si="39"/>
        <v>·</v>
      </c>
      <c r="AC205" s="28" t="str">
        <f t="shared" si="40"/>
        <v>·</v>
      </c>
      <c r="AD205" s="28" t="str">
        <f t="shared" si="41"/>
        <v>·</v>
      </c>
      <c r="AE205" s="28" t="str">
        <f t="shared" si="42"/>
        <v>·</v>
      </c>
      <c r="AF205" s="29"/>
      <c r="AG205" s="30"/>
      <c r="AH205" s="30"/>
      <c r="AI205" s="30"/>
      <c r="AJ205" s="51"/>
      <c r="AK205" s="51"/>
      <c r="AL205" s="51"/>
      <c r="AM205" s="51"/>
      <c r="AN205" s="51"/>
      <c r="AO205" s="51"/>
      <c r="AP205" s="51"/>
      <c r="AQ205" s="51"/>
      <c r="AR205" s="31"/>
      <c r="AS205" s="31"/>
      <c r="AU205" s="27" t="e">
        <f t="shared" si="43"/>
        <v>#DIV/0!</v>
      </c>
      <c r="AV205" s="27"/>
      <c r="AX205" s="52"/>
      <c r="AY205" s="52"/>
      <c r="AZ205" s="52"/>
      <c r="BA205" s="52"/>
      <c r="BB205" s="52"/>
      <c r="BD205" s="52"/>
      <c r="BE205" s="52"/>
      <c r="BF205" s="52"/>
      <c r="BH205" s="52"/>
      <c r="BI205" s="52"/>
      <c r="BJ205" s="52"/>
    </row>
    <row r="206" spans="1:62" outlineLevel="1" x14ac:dyDescent="0.25">
      <c r="A206" s="18"/>
      <c r="B206" s="18"/>
      <c r="C206" s="19" t="s">
        <v>428</v>
      </c>
      <c r="D206" s="18">
        <v>43399204</v>
      </c>
      <c r="E206" s="19">
        <v>16</v>
      </c>
      <c r="G206" s="20" t="str">
        <f t="shared" si="33"/>
        <v>·</v>
      </c>
      <c r="H206" s="21" t="str">
        <f t="shared" si="34"/>
        <v>·</v>
      </c>
      <c r="I206" s="21" t="str">
        <f t="shared" si="35"/>
        <v>·</v>
      </c>
      <c r="J206" s="21" t="str">
        <f t="shared" si="36"/>
        <v>·</v>
      </c>
      <c r="K206" s="21" t="str">
        <f t="shared" si="37"/>
        <v>·</v>
      </c>
      <c r="L206" s="22"/>
      <c r="M206" s="23"/>
      <c r="N206" s="23"/>
      <c r="O206" s="23"/>
      <c r="P206" s="49"/>
      <c r="Q206" s="49"/>
      <c r="R206" s="49"/>
      <c r="S206" s="49"/>
      <c r="T206" s="49"/>
      <c r="U206" s="49"/>
      <c r="V206" s="49"/>
      <c r="W206" s="49"/>
      <c r="X206" s="24"/>
      <c r="Y206" s="24"/>
      <c r="AA206" s="20" t="str">
        <f t="shared" si="38"/>
        <v>·</v>
      </c>
      <c r="AB206" s="21" t="str">
        <f t="shared" si="39"/>
        <v>·</v>
      </c>
      <c r="AC206" s="21" t="str">
        <f t="shared" si="40"/>
        <v>·</v>
      </c>
      <c r="AD206" s="21" t="str">
        <f t="shared" si="41"/>
        <v>·</v>
      </c>
      <c r="AE206" s="21" t="str">
        <f t="shared" si="42"/>
        <v>·</v>
      </c>
      <c r="AF206" s="22"/>
      <c r="AG206" s="23"/>
      <c r="AH206" s="23"/>
      <c r="AI206" s="23"/>
      <c r="AJ206" s="49"/>
      <c r="AK206" s="49"/>
      <c r="AL206" s="49"/>
      <c r="AM206" s="49"/>
      <c r="AN206" s="49"/>
      <c r="AO206" s="49"/>
      <c r="AP206" s="49"/>
      <c r="AQ206" s="49"/>
      <c r="AR206" s="24"/>
      <c r="AS206" s="24"/>
      <c r="AU206" s="20" t="e">
        <f t="shared" si="43"/>
        <v>#DIV/0!</v>
      </c>
      <c r="AV206" s="20"/>
      <c r="AX206" s="50"/>
      <c r="AY206" s="50"/>
      <c r="AZ206" s="50"/>
      <c r="BA206" s="50"/>
      <c r="BB206" s="50"/>
      <c r="BD206" s="50"/>
      <c r="BE206" s="50"/>
      <c r="BF206" s="50"/>
      <c r="BH206" s="50"/>
      <c r="BI206" s="50"/>
      <c r="BJ206" s="50"/>
    </row>
    <row r="207" spans="1:62" outlineLevel="1" x14ac:dyDescent="0.25">
      <c r="A207" s="25"/>
      <c r="B207" s="32"/>
      <c r="C207" s="33" t="s">
        <v>429</v>
      </c>
      <c r="D207" s="32">
        <v>43399204</v>
      </c>
      <c r="E207" s="33">
        <v>16</v>
      </c>
      <c r="G207" s="34" t="str">
        <f t="shared" si="33"/>
        <v>·</v>
      </c>
      <c r="H207" s="35" t="str">
        <f t="shared" si="34"/>
        <v>·</v>
      </c>
      <c r="I207" s="35" t="str">
        <f t="shared" si="35"/>
        <v>·</v>
      </c>
      <c r="J207" s="35" t="str">
        <f t="shared" si="36"/>
        <v>·</v>
      </c>
      <c r="K207" s="35" t="str">
        <f t="shared" si="37"/>
        <v>·</v>
      </c>
      <c r="L207" s="36"/>
      <c r="M207" s="37"/>
      <c r="N207" s="37"/>
      <c r="O207" s="37"/>
      <c r="P207" s="53"/>
      <c r="Q207" s="53"/>
      <c r="R207" s="53"/>
      <c r="S207" s="53"/>
      <c r="T207" s="53"/>
      <c r="U207" s="53"/>
      <c r="V207" s="53"/>
      <c r="W207" s="53"/>
      <c r="X207" s="38"/>
      <c r="Y207" s="38"/>
      <c r="AA207" s="34" t="str">
        <f t="shared" si="38"/>
        <v>·</v>
      </c>
      <c r="AB207" s="35" t="str">
        <f t="shared" si="39"/>
        <v>·</v>
      </c>
      <c r="AC207" s="35" t="str">
        <f t="shared" si="40"/>
        <v>·</v>
      </c>
      <c r="AD207" s="35" t="str">
        <f t="shared" si="41"/>
        <v>·</v>
      </c>
      <c r="AE207" s="35" t="str">
        <f t="shared" si="42"/>
        <v>·</v>
      </c>
      <c r="AF207" s="36"/>
      <c r="AG207" s="37"/>
      <c r="AH207" s="37"/>
      <c r="AI207" s="37"/>
      <c r="AJ207" s="53"/>
      <c r="AK207" s="53"/>
      <c r="AL207" s="53"/>
      <c r="AM207" s="53"/>
      <c r="AN207" s="53"/>
      <c r="AO207" s="53"/>
      <c r="AP207" s="53"/>
      <c r="AQ207" s="53"/>
      <c r="AR207" s="38"/>
      <c r="AS207" s="38"/>
      <c r="AU207" s="34" t="e">
        <f t="shared" si="43"/>
        <v>#DIV/0!</v>
      </c>
      <c r="AV207" s="34"/>
      <c r="AX207" s="54"/>
      <c r="AY207" s="54"/>
      <c r="AZ207" s="54"/>
      <c r="BA207" s="54"/>
      <c r="BB207" s="54"/>
      <c r="BD207" s="54"/>
      <c r="BE207" s="54"/>
      <c r="BF207" s="54"/>
      <c r="BH207" s="54"/>
      <c r="BI207" s="54"/>
      <c r="BJ207" s="54"/>
    </row>
    <row r="208" spans="1:62" collapsed="1" x14ac:dyDescent="0.25">
      <c r="A208" s="18"/>
      <c r="B208" s="18" t="s">
        <v>245</v>
      </c>
      <c r="C208" s="19" t="s">
        <v>310</v>
      </c>
      <c r="D208" s="18">
        <v>43399207</v>
      </c>
      <c r="E208" s="19">
        <v>20</v>
      </c>
      <c r="G208" s="20" t="str">
        <f t="shared" si="33"/>
        <v>·</v>
      </c>
      <c r="H208" s="21" t="str">
        <f t="shared" si="34"/>
        <v>·</v>
      </c>
      <c r="I208" s="21" t="str">
        <f t="shared" si="35"/>
        <v>·</v>
      </c>
      <c r="J208" s="21" t="str">
        <f t="shared" si="36"/>
        <v>·</v>
      </c>
      <c r="K208" s="21" t="str">
        <f t="shared" si="37"/>
        <v>·</v>
      </c>
      <c r="L208" s="22"/>
      <c r="M208" s="23"/>
      <c r="N208" s="23"/>
      <c r="O208" s="23"/>
      <c r="P208" s="49"/>
      <c r="Q208" s="49"/>
      <c r="R208" s="49"/>
      <c r="S208" s="49"/>
      <c r="T208" s="49"/>
      <c r="U208" s="49"/>
      <c r="V208" s="49"/>
      <c r="W208" s="49"/>
      <c r="X208" s="24"/>
      <c r="Y208" s="24"/>
      <c r="AA208" s="20" t="str">
        <f t="shared" si="38"/>
        <v>·</v>
      </c>
      <c r="AB208" s="21" t="str">
        <f t="shared" si="39"/>
        <v>·</v>
      </c>
      <c r="AC208" s="21" t="str">
        <f t="shared" si="40"/>
        <v>·</v>
      </c>
      <c r="AD208" s="21" t="str">
        <f t="shared" si="41"/>
        <v>·</v>
      </c>
      <c r="AE208" s="21" t="str">
        <f t="shared" si="42"/>
        <v>·</v>
      </c>
      <c r="AF208" s="22"/>
      <c r="AG208" s="23"/>
      <c r="AH208" s="23"/>
      <c r="AI208" s="23"/>
      <c r="AJ208" s="49"/>
      <c r="AK208" s="49"/>
      <c r="AL208" s="49"/>
      <c r="AM208" s="49"/>
      <c r="AN208" s="49"/>
      <c r="AO208" s="49"/>
      <c r="AP208" s="49"/>
      <c r="AQ208" s="49"/>
      <c r="AR208" s="24"/>
      <c r="AS208" s="24"/>
      <c r="AU208" s="20" t="e">
        <f t="shared" si="43"/>
        <v>#DIV/0!</v>
      </c>
      <c r="AV208" s="20" t="e">
        <f t="array" ref="AV208">AVERAGE(AH208:AH213/AG208:AG213) - AVERAGE(N208:N213/M208:M213)</f>
        <v>#DIV/0!</v>
      </c>
      <c r="AX208" s="50" t="e">
        <f>bdRateExtend( M208:M213,P208:P213, AG208:AG213,AJ208:AJ213)</f>
        <v>#VALUE!</v>
      </c>
      <c r="AY208" s="50" t="e">
        <f>bdRateExtend( M208:M213,Q208:Q213, AG208:AG213,AK208:AK213)</f>
        <v>#VALUE!</v>
      </c>
      <c r="AZ208" s="50" t="e">
        <f>bdRateExtend( M208:M213,R208:R213, AG208:AG213,AL208:AL213)</f>
        <v>#VALUE!</v>
      </c>
      <c r="BA208" s="50" t="e">
        <f>bdRateExtend( M208:M213,S208:S213, AG208:AG213,AM208:AM213)</f>
        <v>#VALUE!</v>
      </c>
      <c r="BB208" s="50" t="e">
        <f>bdRateExtend( M208:M213,T208:T213, AG208:AG213,AN208:AN213)</f>
        <v>#VALUE!</v>
      </c>
      <c r="BD208" s="50" t="e">
        <f>bdRateExtend( O208:O213,R208:R213, AI208:AI213,AL208:AL213)</f>
        <v>#VALUE!</v>
      </c>
      <c r="BE208" s="50" t="e">
        <f>bdRateExtend( O208:O213,S208:S213, AI208:AI213,AM208:AM213)</f>
        <v>#VALUE!</v>
      </c>
      <c r="BF208" s="50" t="e">
        <f>bdRateExtend( O208:O213,T208:T213, AI208:AI213,AN208:AN213)</f>
        <v>#VALUE!</v>
      </c>
      <c r="BH208" s="50" t="e">
        <f>bdRateExtend( O208:O213,U208:U213, AI208:AI213,AO208:AO213)</f>
        <v>#VALUE!</v>
      </c>
      <c r="BI208" s="50" t="e">
        <f>bdRateExtend( O208:O213,V208:V213, AI208:AI213,AP208:AP213)</f>
        <v>#VALUE!</v>
      </c>
      <c r="BJ208" s="50" t="e">
        <f>bdRateExtend( O208:O213,W208:W213, AI208:AI213,AQ208:AQ213)</f>
        <v>#VALUE!</v>
      </c>
    </row>
    <row r="209" spans="1:62" outlineLevel="1" x14ac:dyDescent="0.25">
      <c r="A209" s="25"/>
      <c r="B209" s="25"/>
      <c r="C209" s="26" t="s">
        <v>311</v>
      </c>
      <c r="D209" s="25">
        <v>43399207</v>
      </c>
      <c r="E209" s="26">
        <v>20</v>
      </c>
      <c r="G209" s="27" t="str">
        <f t="shared" si="33"/>
        <v>·</v>
      </c>
      <c r="H209" s="28" t="str">
        <f t="shared" si="34"/>
        <v>·</v>
      </c>
      <c r="I209" s="28" t="str">
        <f t="shared" si="35"/>
        <v>·</v>
      </c>
      <c r="J209" s="28" t="str">
        <f t="shared" si="36"/>
        <v>·</v>
      </c>
      <c r="K209" s="28" t="str">
        <f t="shared" si="37"/>
        <v>·</v>
      </c>
      <c r="L209" s="29"/>
      <c r="M209" s="30"/>
      <c r="N209" s="30"/>
      <c r="O209" s="30"/>
      <c r="P209" s="51"/>
      <c r="Q209" s="51"/>
      <c r="R209" s="51"/>
      <c r="S209" s="51"/>
      <c r="T209" s="51"/>
      <c r="U209" s="51"/>
      <c r="V209" s="51"/>
      <c r="W209" s="51"/>
      <c r="X209" s="31"/>
      <c r="Y209" s="31"/>
      <c r="AA209" s="27" t="str">
        <f t="shared" si="38"/>
        <v>·</v>
      </c>
      <c r="AB209" s="28" t="str">
        <f t="shared" si="39"/>
        <v>·</v>
      </c>
      <c r="AC209" s="28" t="str">
        <f t="shared" si="40"/>
        <v>·</v>
      </c>
      <c r="AD209" s="28" t="str">
        <f t="shared" si="41"/>
        <v>·</v>
      </c>
      <c r="AE209" s="28" t="str">
        <f t="shared" si="42"/>
        <v>·</v>
      </c>
      <c r="AF209" s="29"/>
      <c r="AG209" s="30"/>
      <c r="AH209" s="30"/>
      <c r="AI209" s="30"/>
      <c r="AJ209" s="51"/>
      <c r="AK209" s="51"/>
      <c r="AL209" s="51"/>
      <c r="AM209" s="51"/>
      <c r="AN209" s="51"/>
      <c r="AO209" s="51"/>
      <c r="AP209" s="51"/>
      <c r="AQ209" s="51"/>
      <c r="AR209" s="31"/>
      <c r="AS209" s="31"/>
      <c r="AU209" s="27" t="e">
        <f t="shared" si="43"/>
        <v>#DIV/0!</v>
      </c>
      <c r="AV209" s="27"/>
      <c r="AX209" s="52"/>
      <c r="AY209" s="52"/>
      <c r="AZ209" s="52"/>
      <c r="BA209" s="52"/>
      <c r="BB209" s="52"/>
      <c r="BD209" s="52"/>
      <c r="BE209" s="52"/>
      <c r="BF209" s="52"/>
      <c r="BH209" s="52"/>
      <c r="BI209" s="52"/>
      <c r="BJ209" s="52"/>
    </row>
    <row r="210" spans="1:62" outlineLevel="1" x14ac:dyDescent="0.25">
      <c r="A210" s="18"/>
      <c r="B210" s="18"/>
      <c r="C210" s="19" t="s">
        <v>312</v>
      </c>
      <c r="D210" s="18">
        <v>43399207</v>
      </c>
      <c r="E210" s="19">
        <v>20</v>
      </c>
      <c r="G210" s="20" t="str">
        <f t="shared" si="33"/>
        <v>·</v>
      </c>
      <c r="H210" s="21" t="str">
        <f t="shared" si="34"/>
        <v>·</v>
      </c>
      <c r="I210" s="21" t="str">
        <f t="shared" si="35"/>
        <v>·</v>
      </c>
      <c r="J210" s="21" t="str">
        <f t="shared" si="36"/>
        <v>·</v>
      </c>
      <c r="K210" s="21" t="str">
        <f t="shared" si="37"/>
        <v>·</v>
      </c>
      <c r="L210" s="22"/>
      <c r="M210" s="23"/>
      <c r="N210" s="23"/>
      <c r="O210" s="23"/>
      <c r="P210" s="49"/>
      <c r="Q210" s="49"/>
      <c r="R210" s="49"/>
      <c r="S210" s="49"/>
      <c r="T210" s="49"/>
      <c r="U210" s="49"/>
      <c r="V210" s="49"/>
      <c r="W210" s="49"/>
      <c r="X210" s="24"/>
      <c r="Y210" s="24"/>
      <c r="AA210" s="20" t="str">
        <f t="shared" si="38"/>
        <v>·</v>
      </c>
      <c r="AB210" s="21" t="str">
        <f t="shared" si="39"/>
        <v>·</v>
      </c>
      <c r="AC210" s="21" t="str">
        <f t="shared" si="40"/>
        <v>·</v>
      </c>
      <c r="AD210" s="21" t="str">
        <f t="shared" si="41"/>
        <v>·</v>
      </c>
      <c r="AE210" s="21" t="str">
        <f t="shared" si="42"/>
        <v>·</v>
      </c>
      <c r="AF210" s="22"/>
      <c r="AG210" s="23"/>
      <c r="AH210" s="23"/>
      <c r="AI210" s="23"/>
      <c r="AJ210" s="49"/>
      <c r="AK210" s="49"/>
      <c r="AL210" s="49"/>
      <c r="AM210" s="49"/>
      <c r="AN210" s="49"/>
      <c r="AO210" s="49"/>
      <c r="AP210" s="49"/>
      <c r="AQ210" s="49"/>
      <c r="AR210" s="24"/>
      <c r="AS210" s="24"/>
      <c r="AU210" s="20" t="e">
        <f t="shared" si="43"/>
        <v>#DIV/0!</v>
      </c>
      <c r="AV210" s="20"/>
      <c r="AX210" s="50"/>
      <c r="AY210" s="50"/>
      <c r="AZ210" s="50"/>
      <c r="BA210" s="50"/>
      <c r="BB210" s="50"/>
      <c r="BD210" s="50"/>
      <c r="BE210" s="50"/>
      <c r="BF210" s="50"/>
      <c r="BH210" s="50"/>
      <c r="BI210" s="50"/>
      <c r="BJ210" s="50"/>
    </row>
    <row r="211" spans="1:62" outlineLevel="1" x14ac:dyDescent="0.25">
      <c r="A211" s="25"/>
      <c r="B211" s="25"/>
      <c r="C211" s="26" t="s">
        <v>313</v>
      </c>
      <c r="D211" s="25">
        <v>43399207</v>
      </c>
      <c r="E211" s="26">
        <v>20</v>
      </c>
      <c r="G211" s="27" t="str">
        <f t="shared" si="33"/>
        <v>·</v>
      </c>
      <c r="H211" s="28" t="str">
        <f t="shared" si="34"/>
        <v>·</v>
      </c>
      <c r="I211" s="28" t="str">
        <f t="shared" si="35"/>
        <v>·</v>
      </c>
      <c r="J211" s="28" t="str">
        <f t="shared" si="36"/>
        <v>·</v>
      </c>
      <c r="K211" s="28" t="str">
        <f t="shared" si="37"/>
        <v>·</v>
      </c>
      <c r="L211" s="29"/>
      <c r="M211" s="30"/>
      <c r="N211" s="30"/>
      <c r="O211" s="30"/>
      <c r="P211" s="51"/>
      <c r="Q211" s="51"/>
      <c r="R211" s="51"/>
      <c r="S211" s="51"/>
      <c r="T211" s="51"/>
      <c r="U211" s="51"/>
      <c r="V211" s="51"/>
      <c r="W211" s="51"/>
      <c r="X211" s="31"/>
      <c r="Y211" s="31"/>
      <c r="AA211" s="27" t="str">
        <f t="shared" si="38"/>
        <v>·</v>
      </c>
      <c r="AB211" s="28" t="str">
        <f t="shared" si="39"/>
        <v>·</v>
      </c>
      <c r="AC211" s="28" t="str">
        <f t="shared" si="40"/>
        <v>·</v>
      </c>
      <c r="AD211" s="28" t="str">
        <f t="shared" si="41"/>
        <v>·</v>
      </c>
      <c r="AE211" s="28" t="str">
        <f t="shared" si="42"/>
        <v>·</v>
      </c>
      <c r="AF211" s="29"/>
      <c r="AG211" s="30"/>
      <c r="AH211" s="30"/>
      <c r="AI211" s="30"/>
      <c r="AJ211" s="51"/>
      <c r="AK211" s="51"/>
      <c r="AL211" s="51"/>
      <c r="AM211" s="51"/>
      <c r="AN211" s="51"/>
      <c r="AO211" s="51"/>
      <c r="AP211" s="51"/>
      <c r="AQ211" s="51"/>
      <c r="AR211" s="31"/>
      <c r="AS211" s="31"/>
      <c r="AU211" s="27" t="e">
        <f t="shared" si="43"/>
        <v>#DIV/0!</v>
      </c>
      <c r="AV211" s="27"/>
      <c r="AX211" s="52"/>
      <c r="AY211" s="52"/>
      <c r="AZ211" s="52"/>
      <c r="BA211" s="52"/>
      <c r="BB211" s="52"/>
      <c r="BD211" s="52"/>
      <c r="BE211" s="52"/>
      <c r="BF211" s="52"/>
      <c r="BH211" s="52"/>
      <c r="BI211" s="52"/>
      <c r="BJ211" s="52"/>
    </row>
    <row r="212" spans="1:62" outlineLevel="1" x14ac:dyDescent="0.25">
      <c r="A212" s="18"/>
      <c r="B212" s="18"/>
      <c r="C212" s="19" t="s">
        <v>428</v>
      </c>
      <c r="D212" s="18">
        <v>43399207</v>
      </c>
      <c r="E212" s="19">
        <v>20</v>
      </c>
      <c r="G212" s="20" t="str">
        <f t="shared" si="33"/>
        <v>·</v>
      </c>
      <c r="H212" s="21" t="str">
        <f t="shared" si="34"/>
        <v>·</v>
      </c>
      <c r="I212" s="21" t="str">
        <f t="shared" si="35"/>
        <v>·</v>
      </c>
      <c r="J212" s="21" t="str">
        <f t="shared" si="36"/>
        <v>·</v>
      </c>
      <c r="K212" s="21" t="str">
        <f t="shared" si="37"/>
        <v>·</v>
      </c>
      <c r="L212" s="22"/>
      <c r="M212" s="23"/>
      <c r="N212" s="23"/>
      <c r="O212" s="23"/>
      <c r="P212" s="49"/>
      <c r="Q212" s="49"/>
      <c r="R212" s="49"/>
      <c r="S212" s="49"/>
      <c r="T212" s="49"/>
      <c r="U212" s="49"/>
      <c r="V212" s="49"/>
      <c r="W212" s="49"/>
      <c r="X212" s="24"/>
      <c r="Y212" s="24"/>
      <c r="AA212" s="20" t="str">
        <f t="shared" si="38"/>
        <v>·</v>
      </c>
      <c r="AB212" s="21" t="str">
        <f t="shared" si="39"/>
        <v>·</v>
      </c>
      <c r="AC212" s="21" t="str">
        <f t="shared" si="40"/>
        <v>·</v>
      </c>
      <c r="AD212" s="21" t="str">
        <f t="shared" si="41"/>
        <v>·</v>
      </c>
      <c r="AE212" s="21" t="str">
        <f t="shared" si="42"/>
        <v>·</v>
      </c>
      <c r="AF212" s="22"/>
      <c r="AG212" s="23"/>
      <c r="AH212" s="23"/>
      <c r="AI212" s="23"/>
      <c r="AJ212" s="49"/>
      <c r="AK212" s="49"/>
      <c r="AL212" s="49"/>
      <c r="AM212" s="49"/>
      <c r="AN212" s="49"/>
      <c r="AO212" s="49"/>
      <c r="AP212" s="49"/>
      <c r="AQ212" s="49"/>
      <c r="AR212" s="24"/>
      <c r="AS212" s="24"/>
      <c r="AU212" s="20" t="e">
        <f t="shared" si="43"/>
        <v>#DIV/0!</v>
      </c>
      <c r="AV212" s="20"/>
      <c r="AX212" s="50"/>
      <c r="AY212" s="50"/>
      <c r="AZ212" s="50"/>
      <c r="BA212" s="50"/>
      <c r="BB212" s="50"/>
      <c r="BD212" s="50"/>
      <c r="BE212" s="50"/>
      <c r="BF212" s="50"/>
      <c r="BH212" s="50"/>
      <c r="BI212" s="50"/>
      <c r="BJ212" s="50"/>
    </row>
    <row r="213" spans="1:62" outlineLevel="1" x14ac:dyDescent="0.25">
      <c r="A213" s="25"/>
      <c r="B213" s="32"/>
      <c r="C213" s="33" t="s">
        <v>429</v>
      </c>
      <c r="D213" s="32">
        <v>43399207</v>
      </c>
      <c r="E213" s="33">
        <v>20</v>
      </c>
      <c r="G213" s="34" t="str">
        <f t="shared" si="33"/>
        <v>·</v>
      </c>
      <c r="H213" s="35" t="str">
        <f t="shared" si="34"/>
        <v>·</v>
      </c>
      <c r="I213" s="35" t="str">
        <f t="shared" si="35"/>
        <v>·</v>
      </c>
      <c r="J213" s="35" t="str">
        <f t="shared" si="36"/>
        <v>·</v>
      </c>
      <c r="K213" s="35" t="str">
        <f t="shared" si="37"/>
        <v>·</v>
      </c>
      <c r="L213" s="36"/>
      <c r="M213" s="37"/>
      <c r="N213" s="37"/>
      <c r="O213" s="37"/>
      <c r="P213" s="53"/>
      <c r="Q213" s="53"/>
      <c r="R213" s="53"/>
      <c r="S213" s="53"/>
      <c r="T213" s="53"/>
      <c r="U213" s="53"/>
      <c r="V213" s="53"/>
      <c r="W213" s="53"/>
      <c r="X213" s="38"/>
      <c r="Y213" s="38"/>
      <c r="AA213" s="34" t="str">
        <f t="shared" si="38"/>
        <v>·</v>
      </c>
      <c r="AB213" s="35" t="str">
        <f t="shared" si="39"/>
        <v>·</v>
      </c>
      <c r="AC213" s="35" t="str">
        <f t="shared" si="40"/>
        <v>·</v>
      </c>
      <c r="AD213" s="35" t="str">
        <f t="shared" si="41"/>
        <v>·</v>
      </c>
      <c r="AE213" s="35" t="str">
        <f t="shared" si="42"/>
        <v>·</v>
      </c>
      <c r="AF213" s="36"/>
      <c r="AG213" s="37"/>
      <c r="AH213" s="37"/>
      <c r="AI213" s="37"/>
      <c r="AJ213" s="53"/>
      <c r="AK213" s="53"/>
      <c r="AL213" s="53"/>
      <c r="AM213" s="53"/>
      <c r="AN213" s="53"/>
      <c r="AO213" s="53"/>
      <c r="AP213" s="53"/>
      <c r="AQ213" s="53"/>
      <c r="AR213" s="38"/>
      <c r="AS213" s="38"/>
      <c r="AU213" s="34" t="e">
        <f t="shared" si="43"/>
        <v>#DIV/0!</v>
      </c>
      <c r="AV213" s="34"/>
      <c r="AX213" s="54"/>
      <c r="AY213" s="54"/>
      <c r="AZ213" s="54"/>
      <c r="BA213" s="54"/>
      <c r="BB213" s="54"/>
      <c r="BD213" s="54"/>
      <c r="BE213" s="54"/>
      <c r="BF213" s="54"/>
      <c r="BH213" s="54"/>
      <c r="BI213" s="54"/>
      <c r="BJ213" s="54"/>
    </row>
    <row r="214" spans="1:62" collapsed="1" x14ac:dyDescent="0.25">
      <c r="A214" s="18"/>
      <c r="B214" s="18" t="s">
        <v>248</v>
      </c>
      <c r="C214" s="19" t="s">
        <v>310</v>
      </c>
      <c r="D214" s="18">
        <v>63787119</v>
      </c>
      <c r="E214" s="19">
        <v>15</v>
      </c>
      <c r="G214" s="20" t="str">
        <f t="shared" si="33"/>
        <v>·</v>
      </c>
      <c r="H214" s="21" t="str">
        <f t="shared" si="34"/>
        <v>·</v>
      </c>
      <c r="I214" s="21" t="str">
        <f t="shared" si="35"/>
        <v>·</v>
      </c>
      <c r="J214" s="21" t="str">
        <f t="shared" si="36"/>
        <v>·</v>
      </c>
      <c r="K214" s="21" t="str">
        <f t="shared" si="37"/>
        <v>·</v>
      </c>
      <c r="L214" s="22"/>
      <c r="M214" s="23"/>
      <c r="N214" s="23"/>
      <c r="O214" s="23"/>
      <c r="P214" s="49"/>
      <c r="Q214" s="49"/>
      <c r="R214" s="49"/>
      <c r="S214" s="49"/>
      <c r="T214" s="49"/>
      <c r="U214" s="49"/>
      <c r="V214" s="49"/>
      <c r="W214" s="49"/>
      <c r="X214" s="24"/>
      <c r="Y214" s="24"/>
      <c r="AA214" s="20" t="str">
        <f t="shared" si="38"/>
        <v>·</v>
      </c>
      <c r="AB214" s="21" t="str">
        <f t="shared" si="39"/>
        <v>·</v>
      </c>
      <c r="AC214" s="21" t="str">
        <f t="shared" si="40"/>
        <v>·</v>
      </c>
      <c r="AD214" s="21" t="str">
        <f t="shared" si="41"/>
        <v>·</v>
      </c>
      <c r="AE214" s="21" t="str">
        <f t="shared" si="42"/>
        <v>·</v>
      </c>
      <c r="AF214" s="22"/>
      <c r="AG214" s="23"/>
      <c r="AH214" s="23"/>
      <c r="AI214" s="23"/>
      <c r="AJ214" s="49"/>
      <c r="AK214" s="49"/>
      <c r="AL214" s="49"/>
      <c r="AM214" s="49"/>
      <c r="AN214" s="49"/>
      <c r="AO214" s="49"/>
      <c r="AP214" s="49"/>
      <c r="AQ214" s="49"/>
      <c r="AR214" s="24"/>
      <c r="AS214" s="24"/>
      <c r="AU214" s="20" t="e">
        <f t="shared" si="43"/>
        <v>#DIV/0!</v>
      </c>
      <c r="AV214" s="20" t="e">
        <f t="array" ref="AV214">AVERAGE(AH214:AH219/AG214:AG219) - AVERAGE(N214:N219/M214:M219)</f>
        <v>#DIV/0!</v>
      </c>
      <c r="AX214" s="50" t="e">
        <f>bdRateExtend( M214:M219,P214:P219, AG214:AG219,AJ214:AJ219)</f>
        <v>#VALUE!</v>
      </c>
      <c r="AY214" s="50" t="e">
        <f>bdRateExtend( M214:M219,Q214:Q219, AG214:AG219,AK214:AK219)</f>
        <v>#VALUE!</v>
      </c>
      <c r="AZ214" s="50" t="e">
        <f>bdRateExtend( M214:M219,R214:R219, AG214:AG219,AL214:AL219)</f>
        <v>#VALUE!</v>
      </c>
      <c r="BA214" s="50" t="e">
        <f>bdRateExtend( M214:M219,S214:S219, AG214:AG219,AM214:AM219)</f>
        <v>#VALUE!</v>
      </c>
      <c r="BB214" s="50" t="e">
        <f>bdRateExtend( M214:M219,T214:T219, AG214:AG219,AN214:AN219)</f>
        <v>#VALUE!</v>
      </c>
      <c r="BD214" s="50" t="e">
        <f>bdRateExtend( O214:O219,R214:R219, AI214:AI219,AL214:AL219)</f>
        <v>#VALUE!</v>
      </c>
      <c r="BE214" s="50" t="e">
        <f>bdRateExtend( O214:O219,S214:S219, AI214:AI219,AM214:AM219)</f>
        <v>#VALUE!</v>
      </c>
      <c r="BF214" s="50" t="e">
        <f>bdRateExtend( O214:O219,T214:T219, AI214:AI219,AN214:AN219)</f>
        <v>#VALUE!</v>
      </c>
      <c r="BH214" s="50" t="e">
        <f>bdRateExtend( O214:O219,U214:U219, AI214:AI219,AO214:AO219)</f>
        <v>#VALUE!</v>
      </c>
      <c r="BI214" s="50" t="e">
        <f>bdRateExtend( O214:O219,V214:V219, AI214:AI219,AP214:AP219)</f>
        <v>#VALUE!</v>
      </c>
      <c r="BJ214" s="50" t="e">
        <f>bdRateExtend( O214:O219,W214:W219, AI214:AI219,AQ214:AQ219)</f>
        <v>#VALUE!</v>
      </c>
    </row>
    <row r="215" spans="1:62" outlineLevel="1" x14ac:dyDescent="0.25">
      <c r="A215" s="25"/>
      <c r="B215" s="25"/>
      <c r="C215" s="26" t="s">
        <v>311</v>
      </c>
      <c r="D215" s="25">
        <v>63787119</v>
      </c>
      <c r="E215" s="26">
        <v>15</v>
      </c>
      <c r="G215" s="27" t="str">
        <f t="shared" si="33"/>
        <v>·</v>
      </c>
      <c r="H215" s="28" t="str">
        <f t="shared" si="34"/>
        <v>·</v>
      </c>
      <c r="I215" s="28" t="str">
        <f t="shared" si="35"/>
        <v>·</v>
      </c>
      <c r="J215" s="28" t="str">
        <f t="shared" si="36"/>
        <v>·</v>
      </c>
      <c r="K215" s="28" t="str">
        <f t="shared" si="37"/>
        <v>·</v>
      </c>
      <c r="L215" s="29"/>
      <c r="M215" s="30"/>
      <c r="N215" s="30"/>
      <c r="O215" s="30"/>
      <c r="P215" s="51"/>
      <c r="Q215" s="51"/>
      <c r="R215" s="51"/>
      <c r="S215" s="51"/>
      <c r="T215" s="51"/>
      <c r="U215" s="51"/>
      <c r="V215" s="51"/>
      <c r="W215" s="51"/>
      <c r="X215" s="31"/>
      <c r="Y215" s="31"/>
      <c r="AA215" s="27" t="str">
        <f t="shared" si="38"/>
        <v>·</v>
      </c>
      <c r="AB215" s="28" t="str">
        <f t="shared" si="39"/>
        <v>·</v>
      </c>
      <c r="AC215" s="28" t="str">
        <f t="shared" si="40"/>
        <v>·</v>
      </c>
      <c r="AD215" s="28" t="str">
        <f t="shared" si="41"/>
        <v>·</v>
      </c>
      <c r="AE215" s="28" t="str">
        <f t="shared" si="42"/>
        <v>·</v>
      </c>
      <c r="AF215" s="29"/>
      <c r="AG215" s="30"/>
      <c r="AH215" s="30"/>
      <c r="AI215" s="30"/>
      <c r="AJ215" s="51"/>
      <c r="AK215" s="51"/>
      <c r="AL215" s="51"/>
      <c r="AM215" s="51"/>
      <c r="AN215" s="51"/>
      <c r="AO215" s="51"/>
      <c r="AP215" s="51"/>
      <c r="AQ215" s="51"/>
      <c r="AR215" s="31"/>
      <c r="AS215" s="31"/>
      <c r="AU215" s="27" t="e">
        <f t="shared" si="43"/>
        <v>#DIV/0!</v>
      </c>
      <c r="AV215" s="27"/>
      <c r="AX215" s="52"/>
      <c r="AY215" s="52"/>
      <c r="AZ215" s="52"/>
      <c r="BA215" s="52"/>
      <c r="BB215" s="52"/>
      <c r="BD215" s="52"/>
      <c r="BE215" s="52"/>
      <c r="BF215" s="52"/>
      <c r="BH215" s="52"/>
      <c r="BI215" s="52"/>
      <c r="BJ215" s="52"/>
    </row>
    <row r="216" spans="1:62" outlineLevel="1" x14ac:dyDescent="0.25">
      <c r="A216" s="18"/>
      <c r="B216" s="18"/>
      <c r="C216" s="19" t="s">
        <v>312</v>
      </c>
      <c r="D216" s="18">
        <v>63787119</v>
      </c>
      <c r="E216" s="19">
        <v>15</v>
      </c>
      <c r="G216" s="20" t="str">
        <f t="shared" si="33"/>
        <v>·</v>
      </c>
      <c r="H216" s="21" t="str">
        <f t="shared" si="34"/>
        <v>·</v>
      </c>
      <c r="I216" s="21" t="str">
        <f t="shared" si="35"/>
        <v>·</v>
      </c>
      <c r="J216" s="21" t="str">
        <f t="shared" si="36"/>
        <v>·</v>
      </c>
      <c r="K216" s="21" t="str">
        <f t="shared" si="37"/>
        <v>·</v>
      </c>
      <c r="L216" s="22"/>
      <c r="M216" s="23"/>
      <c r="N216" s="23"/>
      <c r="O216" s="23"/>
      <c r="P216" s="49"/>
      <c r="Q216" s="49"/>
      <c r="R216" s="49"/>
      <c r="S216" s="49"/>
      <c r="T216" s="49"/>
      <c r="U216" s="49"/>
      <c r="V216" s="49"/>
      <c r="W216" s="49"/>
      <c r="X216" s="24"/>
      <c r="Y216" s="24"/>
      <c r="AA216" s="20" t="str">
        <f t="shared" si="38"/>
        <v>·</v>
      </c>
      <c r="AB216" s="21" t="str">
        <f t="shared" si="39"/>
        <v>·</v>
      </c>
      <c r="AC216" s="21" t="str">
        <f t="shared" si="40"/>
        <v>·</v>
      </c>
      <c r="AD216" s="21" t="str">
        <f t="shared" si="41"/>
        <v>·</v>
      </c>
      <c r="AE216" s="21" t="str">
        <f t="shared" si="42"/>
        <v>·</v>
      </c>
      <c r="AF216" s="22"/>
      <c r="AG216" s="23"/>
      <c r="AH216" s="23"/>
      <c r="AI216" s="23"/>
      <c r="AJ216" s="49"/>
      <c r="AK216" s="49"/>
      <c r="AL216" s="49"/>
      <c r="AM216" s="49"/>
      <c r="AN216" s="49"/>
      <c r="AO216" s="49"/>
      <c r="AP216" s="49"/>
      <c r="AQ216" s="49"/>
      <c r="AR216" s="24"/>
      <c r="AS216" s="24"/>
      <c r="AU216" s="20" t="e">
        <f t="shared" si="43"/>
        <v>#DIV/0!</v>
      </c>
      <c r="AV216" s="20"/>
      <c r="AX216" s="50"/>
      <c r="AY216" s="50"/>
      <c r="AZ216" s="50"/>
      <c r="BA216" s="50"/>
      <c r="BB216" s="50"/>
      <c r="BD216" s="50"/>
      <c r="BE216" s="50"/>
      <c r="BF216" s="50"/>
      <c r="BH216" s="50"/>
      <c r="BI216" s="50"/>
      <c r="BJ216" s="50"/>
    </row>
    <row r="217" spans="1:62" outlineLevel="1" x14ac:dyDescent="0.25">
      <c r="A217" s="25"/>
      <c r="B217" s="25"/>
      <c r="C217" s="26" t="s">
        <v>313</v>
      </c>
      <c r="D217" s="25">
        <v>63787119</v>
      </c>
      <c r="E217" s="26">
        <v>15</v>
      </c>
      <c r="G217" s="27" t="str">
        <f t="shared" si="33"/>
        <v>·</v>
      </c>
      <c r="H217" s="28" t="str">
        <f t="shared" si="34"/>
        <v>·</v>
      </c>
      <c r="I217" s="28" t="str">
        <f t="shared" si="35"/>
        <v>·</v>
      </c>
      <c r="J217" s="28" t="str">
        <f t="shared" si="36"/>
        <v>·</v>
      </c>
      <c r="K217" s="28" t="str">
        <f t="shared" si="37"/>
        <v>·</v>
      </c>
      <c r="L217" s="29"/>
      <c r="M217" s="30"/>
      <c r="N217" s="30"/>
      <c r="O217" s="30"/>
      <c r="P217" s="51"/>
      <c r="Q217" s="51"/>
      <c r="R217" s="51"/>
      <c r="S217" s="51"/>
      <c r="T217" s="51"/>
      <c r="U217" s="51"/>
      <c r="V217" s="51"/>
      <c r="W217" s="51"/>
      <c r="X217" s="31"/>
      <c r="Y217" s="31"/>
      <c r="AA217" s="27" t="str">
        <f t="shared" si="38"/>
        <v>·</v>
      </c>
      <c r="AB217" s="28" t="str">
        <f t="shared" si="39"/>
        <v>·</v>
      </c>
      <c r="AC217" s="28" t="str">
        <f t="shared" si="40"/>
        <v>·</v>
      </c>
      <c r="AD217" s="28" t="str">
        <f t="shared" si="41"/>
        <v>·</v>
      </c>
      <c r="AE217" s="28" t="str">
        <f t="shared" si="42"/>
        <v>·</v>
      </c>
      <c r="AF217" s="29"/>
      <c r="AG217" s="30"/>
      <c r="AH217" s="30"/>
      <c r="AI217" s="30"/>
      <c r="AJ217" s="51"/>
      <c r="AK217" s="51"/>
      <c r="AL217" s="51"/>
      <c r="AM217" s="51"/>
      <c r="AN217" s="51"/>
      <c r="AO217" s="51"/>
      <c r="AP217" s="51"/>
      <c r="AQ217" s="51"/>
      <c r="AR217" s="31"/>
      <c r="AS217" s="31"/>
      <c r="AU217" s="27" t="e">
        <f t="shared" si="43"/>
        <v>#DIV/0!</v>
      </c>
      <c r="AV217" s="27"/>
      <c r="AX217" s="52"/>
      <c r="AY217" s="52"/>
      <c r="AZ217" s="52"/>
      <c r="BA217" s="52"/>
      <c r="BB217" s="52"/>
      <c r="BD217" s="52"/>
      <c r="BE217" s="52"/>
      <c r="BF217" s="52"/>
      <c r="BH217" s="52"/>
      <c r="BI217" s="52"/>
      <c r="BJ217" s="52"/>
    </row>
    <row r="218" spans="1:62" outlineLevel="1" x14ac:dyDescent="0.25">
      <c r="A218" s="18"/>
      <c r="B218" s="18"/>
      <c r="C218" s="19" t="s">
        <v>428</v>
      </c>
      <c r="D218" s="18">
        <v>63787119</v>
      </c>
      <c r="E218" s="19">
        <v>15</v>
      </c>
      <c r="G218" s="20" t="str">
        <f t="shared" si="33"/>
        <v>·</v>
      </c>
      <c r="H218" s="21" t="str">
        <f t="shared" si="34"/>
        <v>·</v>
      </c>
      <c r="I218" s="21" t="str">
        <f t="shared" si="35"/>
        <v>·</v>
      </c>
      <c r="J218" s="21" t="str">
        <f t="shared" si="36"/>
        <v>·</v>
      </c>
      <c r="K218" s="21" t="str">
        <f t="shared" si="37"/>
        <v>·</v>
      </c>
      <c r="L218" s="22"/>
      <c r="M218" s="23"/>
      <c r="N218" s="23"/>
      <c r="O218" s="23"/>
      <c r="P218" s="49"/>
      <c r="Q218" s="49"/>
      <c r="R218" s="49"/>
      <c r="S218" s="49"/>
      <c r="T218" s="49"/>
      <c r="U218" s="49"/>
      <c r="V218" s="49"/>
      <c r="W218" s="49"/>
      <c r="X218" s="24"/>
      <c r="Y218" s="24"/>
      <c r="AA218" s="20" t="str">
        <f t="shared" si="38"/>
        <v>·</v>
      </c>
      <c r="AB218" s="21" t="str">
        <f t="shared" si="39"/>
        <v>·</v>
      </c>
      <c r="AC218" s="21" t="str">
        <f t="shared" si="40"/>
        <v>·</v>
      </c>
      <c r="AD218" s="21" t="str">
        <f t="shared" si="41"/>
        <v>·</v>
      </c>
      <c r="AE218" s="21" t="str">
        <f t="shared" si="42"/>
        <v>·</v>
      </c>
      <c r="AF218" s="22"/>
      <c r="AG218" s="23"/>
      <c r="AH218" s="23"/>
      <c r="AI218" s="23"/>
      <c r="AJ218" s="49"/>
      <c r="AK218" s="49"/>
      <c r="AL218" s="49"/>
      <c r="AM218" s="49"/>
      <c r="AN218" s="49"/>
      <c r="AO218" s="49"/>
      <c r="AP218" s="49"/>
      <c r="AQ218" s="49"/>
      <c r="AR218" s="24"/>
      <c r="AS218" s="24"/>
      <c r="AU218" s="20" t="e">
        <f t="shared" si="43"/>
        <v>#DIV/0!</v>
      </c>
      <c r="AV218" s="20"/>
      <c r="AX218" s="50"/>
      <c r="AY218" s="50"/>
      <c r="AZ218" s="50"/>
      <c r="BA218" s="50"/>
      <c r="BB218" s="50"/>
      <c r="BD218" s="50"/>
      <c r="BE218" s="50"/>
      <c r="BF218" s="50"/>
      <c r="BH218" s="50"/>
      <c r="BI218" s="50"/>
      <c r="BJ218" s="50"/>
    </row>
    <row r="219" spans="1:62" outlineLevel="1" x14ac:dyDescent="0.25">
      <c r="A219" s="25"/>
      <c r="B219" s="32"/>
      <c r="C219" s="33" t="s">
        <v>429</v>
      </c>
      <c r="D219" s="32">
        <v>63787119</v>
      </c>
      <c r="E219" s="33">
        <v>15</v>
      </c>
      <c r="G219" s="34" t="str">
        <f t="shared" si="33"/>
        <v>·</v>
      </c>
      <c r="H219" s="35" t="str">
        <f t="shared" si="34"/>
        <v>·</v>
      </c>
      <c r="I219" s="35" t="str">
        <f t="shared" si="35"/>
        <v>·</v>
      </c>
      <c r="J219" s="35" t="str">
        <f t="shared" si="36"/>
        <v>·</v>
      </c>
      <c r="K219" s="35" t="str">
        <f t="shared" si="37"/>
        <v>·</v>
      </c>
      <c r="L219" s="36"/>
      <c r="M219" s="37"/>
      <c r="N219" s="37"/>
      <c r="O219" s="37"/>
      <c r="P219" s="53"/>
      <c r="Q219" s="53"/>
      <c r="R219" s="53"/>
      <c r="S219" s="53"/>
      <c r="T219" s="53"/>
      <c r="U219" s="53"/>
      <c r="V219" s="53"/>
      <c r="W219" s="53"/>
      <c r="X219" s="38"/>
      <c r="Y219" s="38"/>
      <c r="AA219" s="34" t="str">
        <f t="shared" si="38"/>
        <v>·</v>
      </c>
      <c r="AB219" s="35" t="str">
        <f t="shared" si="39"/>
        <v>·</v>
      </c>
      <c r="AC219" s="35" t="str">
        <f t="shared" si="40"/>
        <v>·</v>
      </c>
      <c r="AD219" s="35" t="str">
        <f t="shared" si="41"/>
        <v>·</v>
      </c>
      <c r="AE219" s="35" t="str">
        <f t="shared" si="42"/>
        <v>·</v>
      </c>
      <c r="AF219" s="36"/>
      <c r="AG219" s="37"/>
      <c r="AH219" s="37"/>
      <c r="AI219" s="37"/>
      <c r="AJ219" s="53"/>
      <c r="AK219" s="53"/>
      <c r="AL219" s="53"/>
      <c r="AM219" s="53"/>
      <c r="AN219" s="53"/>
      <c r="AO219" s="53"/>
      <c r="AP219" s="53"/>
      <c r="AQ219" s="53"/>
      <c r="AR219" s="38"/>
      <c r="AS219" s="38"/>
      <c r="AU219" s="34" t="e">
        <f t="shared" si="43"/>
        <v>#DIV/0!</v>
      </c>
      <c r="AV219" s="34"/>
      <c r="AX219" s="54"/>
      <c r="AY219" s="54"/>
      <c r="AZ219" s="54"/>
      <c r="BA219" s="54"/>
      <c r="BB219" s="54"/>
      <c r="BD219" s="54"/>
      <c r="BE219" s="54"/>
      <c r="BF219" s="54"/>
      <c r="BH219" s="54"/>
      <c r="BI219" s="54"/>
      <c r="BJ219" s="54"/>
    </row>
    <row r="220" spans="1:62" collapsed="1" x14ac:dyDescent="0.25">
      <c r="A220" s="18"/>
      <c r="B220" s="18" t="s">
        <v>251</v>
      </c>
      <c r="C220" s="19" t="s">
        <v>310</v>
      </c>
      <c r="D220" s="18">
        <v>63864641</v>
      </c>
      <c r="E220" s="19">
        <v>20</v>
      </c>
      <c r="G220" s="20" t="str">
        <f t="shared" si="33"/>
        <v>·</v>
      </c>
      <c r="H220" s="21" t="str">
        <f t="shared" si="34"/>
        <v>·</v>
      </c>
      <c r="I220" s="21" t="str">
        <f t="shared" si="35"/>
        <v>·</v>
      </c>
      <c r="J220" s="21" t="str">
        <f t="shared" si="36"/>
        <v>·</v>
      </c>
      <c r="K220" s="21" t="str">
        <f t="shared" si="37"/>
        <v>·</v>
      </c>
      <c r="L220" s="22"/>
      <c r="M220" s="23"/>
      <c r="N220" s="23"/>
      <c r="O220" s="23"/>
      <c r="P220" s="49"/>
      <c r="Q220" s="49"/>
      <c r="R220" s="49"/>
      <c r="S220" s="49"/>
      <c r="T220" s="49"/>
      <c r="U220" s="49"/>
      <c r="V220" s="49"/>
      <c r="W220" s="49"/>
      <c r="X220" s="24"/>
      <c r="Y220" s="24"/>
      <c r="AA220" s="20" t="str">
        <f t="shared" si="38"/>
        <v>·</v>
      </c>
      <c r="AB220" s="21" t="str">
        <f t="shared" si="39"/>
        <v>·</v>
      </c>
      <c r="AC220" s="21" t="str">
        <f t="shared" si="40"/>
        <v>·</v>
      </c>
      <c r="AD220" s="21" t="str">
        <f t="shared" si="41"/>
        <v>·</v>
      </c>
      <c r="AE220" s="21" t="str">
        <f t="shared" si="42"/>
        <v>·</v>
      </c>
      <c r="AF220" s="22"/>
      <c r="AG220" s="23"/>
      <c r="AH220" s="23"/>
      <c r="AI220" s="23"/>
      <c r="AJ220" s="49"/>
      <c r="AK220" s="49"/>
      <c r="AL220" s="49"/>
      <c r="AM220" s="49"/>
      <c r="AN220" s="49"/>
      <c r="AO220" s="49"/>
      <c r="AP220" s="49"/>
      <c r="AQ220" s="49"/>
      <c r="AR220" s="24"/>
      <c r="AS220" s="24"/>
      <c r="AU220" s="20" t="e">
        <f t="shared" si="43"/>
        <v>#DIV/0!</v>
      </c>
      <c r="AV220" s="20" t="e">
        <f t="array" ref="AV220">AVERAGE(AH220:AH225/AG220:AG225) - AVERAGE(N220:N225/M220:M225)</f>
        <v>#DIV/0!</v>
      </c>
      <c r="AX220" s="50" t="e">
        <f>bdRateExtend( M220:M225,P220:P225, AG220:AG225,AJ220:AJ225)</f>
        <v>#VALUE!</v>
      </c>
      <c r="AY220" s="50" t="e">
        <f>bdRateExtend( M220:M225,Q220:Q225, AG220:AG225,AK220:AK225)</f>
        <v>#VALUE!</v>
      </c>
      <c r="AZ220" s="50" t="e">
        <f>bdRateExtend( M220:M225,R220:R225, AG220:AG225,AL220:AL225)</f>
        <v>#VALUE!</v>
      </c>
      <c r="BA220" s="50" t="e">
        <f>bdRateExtend( M220:M225,S220:S225, AG220:AG225,AM220:AM225)</f>
        <v>#VALUE!</v>
      </c>
      <c r="BB220" s="50" t="e">
        <f>bdRateExtend( M220:M225,T220:T225, AG220:AG225,AN220:AN225)</f>
        <v>#VALUE!</v>
      </c>
      <c r="BD220" s="50" t="e">
        <f>bdRateExtend( O220:O225,R220:R225, AI220:AI225,AL220:AL225)</f>
        <v>#VALUE!</v>
      </c>
      <c r="BE220" s="50" t="e">
        <f>bdRateExtend( O220:O225,S220:S225, AI220:AI225,AM220:AM225)</f>
        <v>#VALUE!</v>
      </c>
      <c r="BF220" s="50" t="e">
        <f>bdRateExtend( O220:O225,T220:T225, AI220:AI225,AN220:AN225)</f>
        <v>#VALUE!</v>
      </c>
      <c r="BH220" s="50" t="e">
        <f>bdRateExtend( O220:O225,U220:U225, AI220:AI225,AO220:AO225)</f>
        <v>#VALUE!</v>
      </c>
      <c r="BI220" s="50" t="e">
        <f>bdRateExtend( O220:O225,V220:V225, AI220:AI225,AP220:AP225)</f>
        <v>#VALUE!</v>
      </c>
      <c r="BJ220" s="50" t="e">
        <f>bdRateExtend( O220:O225,W220:W225, AI220:AI225,AQ220:AQ225)</f>
        <v>#VALUE!</v>
      </c>
    </row>
    <row r="221" spans="1:62" outlineLevel="1" x14ac:dyDescent="0.25">
      <c r="A221" s="25"/>
      <c r="B221" s="25"/>
      <c r="C221" s="26" t="s">
        <v>311</v>
      </c>
      <c r="D221" s="25">
        <v>63864641</v>
      </c>
      <c r="E221" s="26">
        <v>20</v>
      </c>
      <c r="G221" s="27" t="str">
        <f t="shared" si="33"/>
        <v>·</v>
      </c>
      <c r="H221" s="28" t="str">
        <f t="shared" si="34"/>
        <v>·</v>
      </c>
      <c r="I221" s="28" t="str">
        <f t="shared" si="35"/>
        <v>·</v>
      </c>
      <c r="J221" s="28" t="str">
        <f t="shared" si="36"/>
        <v>·</v>
      </c>
      <c r="K221" s="28" t="str">
        <f t="shared" si="37"/>
        <v>·</v>
      </c>
      <c r="L221" s="29"/>
      <c r="M221" s="30"/>
      <c r="N221" s="30"/>
      <c r="O221" s="30"/>
      <c r="P221" s="51"/>
      <c r="Q221" s="51"/>
      <c r="R221" s="51"/>
      <c r="S221" s="51"/>
      <c r="T221" s="51"/>
      <c r="U221" s="51"/>
      <c r="V221" s="51"/>
      <c r="W221" s="51"/>
      <c r="X221" s="31"/>
      <c r="Y221" s="31"/>
      <c r="AA221" s="27" t="str">
        <f t="shared" si="38"/>
        <v>·</v>
      </c>
      <c r="AB221" s="28" t="str">
        <f t="shared" si="39"/>
        <v>·</v>
      </c>
      <c r="AC221" s="28" t="str">
        <f t="shared" si="40"/>
        <v>·</v>
      </c>
      <c r="AD221" s="28" t="str">
        <f t="shared" si="41"/>
        <v>·</v>
      </c>
      <c r="AE221" s="28" t="str">
        <f t="shared" si="42"/>
        <v>·</v>
      </c>
      <c r="AF221" s="29"/>
      <c r="AG221" s="30"/>
      <c r="AH221" s="30"/>
      <c r="AI221" s="30"/>
      <c r="AJ221" s="51"/>
      <c r="AK221" s="51"/>
      <c r="AL221" s="51"/>
      <c r="AM221" s="51"/>
      <c r="AN221" s="51"/>
      <c r="AO221" s="51"/>
      <c r="AP221" s="51"/>
      <c r="AQ221" s="51"/>
      <c r="AR221" s="31"/>
      <c r="AS221" s="31"/>
      <c r="AU221" s="27" t="e">
        <f t="shared" si="43"/>
        <v>#DIV/0!</v>
      </c>
      <c r="AV221" s="27"/>
      <c r="AX221" s="52"/>
      <c r="AY221" s="52"/>
      <c r="AZ221" s="52"/>
      <c r="BA221" s="52"/>
      <c r="BB221" s="52"/>
      <c r="BD221" s="52"/>
      <c r="BE221" s="52"/>
      <c r="BF221" s="52"/>
      <c r="BH221" s="52"/>
      <c r="BI221" s="52"/>
      <c r="BJ221" s="52"/>
    </row>
    <row r="222" spans="1:62" outlineLevel="1" x14ac:dyDescent="0.25">
      <c r="A222" s="18"/>
      <c r="B222" s="18"/>
      <c r="C222" s="19" t="s">
        <v>312</v>
      </c>
      <c r="D222" s="18">
        <v>63864641</v>
      </c>
      <c r="E222" s="19">
        <v>20</v>
      </c>
      <c r="G222" s="20" t="str">
        <f t="shared" si="33"/>
        <v>·</v>
      </c>
      <c r="H222" s="21" t="str">
        <f t="shared" si="34"/>
        <v>·</v>
      </c>
      <c r="I222" s="21" t="str">
        <f t="shared" si="35"/>
        <v>·</v>
      </c>
      <c r="J222" s="21" t="str">
        <f t="shared" si="36"/>
        <v>·</v>
      </c>
      <c r="K222" s="21" t="str">
        <f t="shared" si="37"/>
        <v>·</v>
      </c>
      <c r="L222" s="22"/>
      <c r="M222" s="23"/>
      <c r="N222" s="23"/>
      <c r="O222" s="23"/>
      <c r="P222" s="49"/>
      <c r="Q222" s="49"/>
      <c r="R222" s="49"/>
      <c r="S222" s="49"/>
      <c r="T222" s="49"/>
      <c r="U222" s="49"/>
      <c r="V222" s="49"/>
      <c r="W222" s="49"/>
      <c r="X222" s="24"/>
      <c r="Y222" s="24"/>
      <c r="AA222" s="20" t="str">
        <f t="shared" si="38"/>
        <v>·</v>
      </c>
      <c r="AB222" s="21" t="str">
        <f t="shared" si="39"/>
        <v>·</v>
      </c>
      <c r="AC222" s="21" t="str">
        <f t="shared" si="40"/>
        <v>·</v>
      </c>
      <c r="AD222" s="21" t="str">
        <f t="shared" si="41"/>
        <v>·</v>
      </c>
      <c r="AE222" s="21" t="str">
        <f t="shared" si="42"/>
        <v>·</v>
      </c>
      <c r="AF222" s="22"/>
      <c r="AG222" s="23"/>
      <c r="AH222" s="23"/>
      <c r="AI222" s="23"/>
      <c r="AJ222" s="49"/>
      <c r="AK222" s="49"/>
      <c r="AL222" s="49"/>
      <c r="AM222" s="49"/>
      <c r="AN222" s="49"/>
      <c r="AO222" s="49"/>
      <c r="AP222" s="49"/>
      <c r="AQ222" s="49"/>
      <c r="AR222" s="24"/>
      <c r="AS222" s="24"/>
      <c r="AU222" s="20" t="e">
        <f t="shared" si="43"/>
        <v>#DIV/0!</v>
      </c>
      <c r="AV222" s="20"/>
      <c r="AX222" s="50"/>
      <c r="AY222" s="50"/>
      <c r="AZ222" s="50"/>
      <c r="BA222" s="50"/>
      <c r="BB222" s="50"/>
      <c r="BD222" s="50"/>
      <c r="BE222" s="50"/>
      <c r="BF222" s="50"/>
      <c r="BH222" s="50"/>
      <c r="BI222" s="50"/>
      <c r="BJ222" s="50"/>
    </row>
    <row r="223" spans="1:62" outlineLevel="1" x14ac:dyDescent="0.25">
      <c r="A223" s="25"/>
      <c r="B223" s="25"/>
      <c r="C223" s="26" t="s">
        <v>313</v>
      </c>
      <c r="D223" s="25">
        <v>63864641</v>
      </c>
      <c r="E223" s="26">
        <v>20</v>
      </c>
      <c r="G223" s="27" t="str">
        <f t="shared" si="33"/>
        <v>·</v>
      </c>
      <c r="H223" s="28" t="str">
        <f t="shared" si="34"/>
        <v>·</v>
      </c>
      <c r="I223" s="28" t="str">
        <f t="shared" si="35"/>
        <v>·</v>
      </c>
      <c r="J223" s="28" t="str">
        <f t="shared" si="36"/>
        <v>·</v>
      </c>
      <c r="K223" s="28" t="str">
        <f t="shared" si="37"/>
        <v>·</v>
      </c>
      <c r="L223" s="29"/>
      <c r="M223" s="30"/>
      <c r="N223" s="30"/>
      <c r="O223" s="30"/>
      <c r="P223" s="51"/>
      <c r="Q223" s="51"/>
      <c r="R223" s="51"/>
      <c r="S223" s="51"/>
      <c r="T223" s="51"/>
      <c r="U223" s="51"/>
      <c r="V223" s="51"/>
      <c r="W223" s="51"/>
      <c r="X223" s="31"/>
      <c r="Y223" s="31"/>
      <c r="AA223" s="27" t="str">
        <f t="shared" si="38"/>
        <v>·</v>
      </c>
      <c r="AB223" s="28" t="str">
        <f t="shared" si="39"/>
        <v>·</v>
      </c>
      <c r="AC223" s="28" t="str">
        <f t="shared" si="40"/>
        <v>·</v>
      </c>
      <c r="AD223" s="28" t="str">
        <f t="shared" si="41"/>
        <v>·</v>
      </c>
      <c r="AE223" s="28" t="str">
        <f t="shared" si="42"/>
        <v>·</v>
      </c>
      <c r="AF223" s="29"/>
      <c r="AG223" s="30"/>
      <c r="AH223" s="30"/>
      <c r="AI223" s="30"/>
      <c r="AJ223" s="51"/>
      <c r="AK223" s="51"/>
      <c r="AL223" s="51"/>
      <c r="AM223" s="51"/>
      <c r="AN223" s="51"/>
      <c r="AO223" s="51"/>
      <c r="AP223" s="51"/>
      <c r="AQ223" s="51"/>
      <c r="AR223" s="31"/>
      <c r="AS223" s="31"/>
      <c r="AU223" s="27" t="e">
        <f t="shared" si="43"/>
        <v>#DIV/0!</v>
      </c>
      <c r="AV223" s="27"/>
      <c r="AX223" s="52"/>
      <c r="AY223" s="52"/>
      <c r="AZ223" s="52"/>
      <c r="BA223" s="52"/>
      <c r="BB223" s="52"/>
      <c r="BD223" s="52"/>
      <c r="BE223" s="52"/>
      <c r="BF223" s="52"/>
      <c r="BH223" s="52"/>
      <c r="BI223" s="52"/>
      <c r="BJ223" s="52"/>
    </row>
    <row r="224" spans="1:62" outlineLevel="1" x14ac:dyDescent="0.25">
      <c r="A224" s="18"/>
      <c r="B224" s="18"/>
      <c r="C224" s="19" t="s">
        <v>428</v>
      </c>
      <c r="D224" s="18">
        <v>63864641</v>
      </c>
      <c r="E224" s="19">
        <v>20</v>
      </c>
      <c r="G224" s="20" t="str">
        <f t="shared" si="33"/>
        <v>·</v>
      </c>
      <c r="H224" s="21" t="str">
        <f t="shared" si="34"/>
        <v>·</v>
      </c>
      <c r="I224" s="21" t="str">
        <f t="shared" si="35"/>
        <v>·</v>
      </c>
      <c r="J224" s="21" t="str">
        <f t="shared" si="36"/>
        <v>·</v>
      </c>
      <c r="K224" s="21" t="str">
        <f t="shared" si="37"/>
        <v>·</v>
      </c>
      <c r="L224" s="22"/>
      <c r="M224" s="23"/>
      <c r="N224" s="23"/>
      <c r="O224" s="23"/>
      <c r="P224" s="49"/>
      <c r="Q224" s="49"/>
      <c r="R224" s="49"/>
      <c r="S224" s="49"/>
      <c r="T224" s="49"/>
      <c r="U224" s="49"/>
      <c r="V224" s="49"/>
      <c r="W224" s="49"/>
      <c r="X224" s="24"/>
      <c r="Y224" s="24"/>
      <c r="AA224" s="20" t="str">
        <f t="shared" si="38"/>
        <v>·</v>
      </c>
      <c r="AB224" s="21" t="str">
        <f t="shared" si="39"/>
        <v>·</v>
      </c>
      <c r="AC224" s="21" t="str">
        <f t="shared" si="40"/>
        <v>·</v>
      </c>
      <c r="AD224" s="21" t="str">
        <f t="shared" si="41"/>
        <v>·</v>
      </c>
      <c r="AE224" s="21" t="str">
        <f t="shared" si="42"/>
        <v>·</v>
      </c>
      <c r="AF224" s="22"/>
      <c r="AG224" s="23"/>
      <c r="AH224" s="23"/>
      <c r="AI224" s="23"/>
      <c r="AJ224" s="49"/>
      <c r="AK224" s="49"/>
      <c r="AL224" s="49"/>
      <c r="AM224" s="49"/>
      <c r="AN224" s="49"/>
      <c r="AO224" s="49"/>
      <c r="AP224" s="49"/>
      <c r="AQ224" s="49"/>
      <c r="AR224" s="24"/>
      <c r="AS224" s="24"/>
      <c r="AU224" s="20" t="e">
        <f t="shared" si="43"/>
        <v>#DIV/0!</v>
      </c>
      <c r="AV224" s="20"/>
      <c r="AX224" s="50"/>
      <c r="AY224" s="50"/>
      <c r="AZ224" s="50"/>
      <c r="BA224" s="50"/>
      <c r="BB224" s="50"/>
      <c r="BD224" s="50"/>
      <c r="BE224" s="50"/>
      <c r="BF224" s="50"/>
      <c r="BH224" s="50"/>
      <c r="BI224" s="50"/>
      <c r="BJ224" s="50"/>
    </row>
    <row r="225" spans="1:62" outlineLevel="1" x14ac:dyDescent="0.25">
      <c r="A225" s="32"/>
      <c r="B225" s="32"/>
      <c r="C225" s="33" t="s">
        <v>429</v>
      </c>
      <c r="D225" s="32">
        <v>63864641</v>
      </c>
      <c r="E225" s="33">
        <v>20</v>
      </c>
      <c r="G225" s="34" t="str">
        <f t="shared" si="33"/>
        <v>·</v>
      </c>
      <c r="H225" s="35" t="str">
        <f t="shared" si="34"/>
        <v>·</v>
      </c>
      <c r="I225" s="35" t="str">
        <f t="shared" si="35"/>
        <v>·</v>
      </c>
      <c r="J225" s="35" t="str">
        <f t="shared" si="36"/>
        <v>·</v>
      </c>
      <c r="K225" s="35" t="str">
        <f t="shared" si="37"/>
        <v>·</v>
      </c>
      <c r="L225" s="36"/>
      <c r="M225" s="37"/>
      <c r="N225" s="37"/>
      <c r="O225" s="37"/>
      <c r="P225" s="53"/>
      <c r="Q225" s="53"/>
      <c r="R225" s="53"/>
      <c r="S225" s="53"/>
      <c r="T225" s="53"/>
      <c r="U225" s="53"/>
      <c r="V225" s="53"/>
      <c r="W225" s="53"/>
      <c r="X225" s="38"/>
      <c r="Y225" s="38"/>
      <c r="AA225" s="34" t="str">
        <f t="shared" si="38"/>
        <v>·</v>
      </c>
      <c r="AB225" s="35" t="str">
        <f t="shared" si="39"/>
        <v>·</v>
      </c>
      <c r="AC225" s="35" t="str">
        <f t="shared" si="40"/>
        <v>·</v>
      </c>
      <c r="AD225" s="35" t="str">
        <f t="shared" si="41"/>
        <v>·</v>
      </c>
      <c r="AE225" s="35" t="str">
        <f t="shared" si="42"/>
        <v>·</v>
      </c>
      <c r="AF225" s="36"/>
      <c r="AG225" s="37"/>
      <c r="AH225" s="37"/>
      <c r="AI225" s="37"/>
      <c r="AJ225" s="53"/>
      <c r="AK225" s="53"/>
      <c r="AL225" s="53"/>
      <c r="AM225" s="53"/>
      <c r="AN225" s="53"/>
      <c r="AO225" s="53"/>
      <c r="AP225" s="53"/>
      <c r="AQ225" s="53"/>
      <c r="AR225" s="38"/>
      <c r="AS225" s="38"/>
      <c r="AU225" s="34" t="e">
        <f t="shared" si="43"/>
        <v>#DIV/0!</v>
      </c>
      <c r="AV225" s="34"/>
      <c r="AX225" s="54"/>
      <c r="AY225" s="54"/>
      <c r="AZ225" s="54"/>
      <c r="BA225" s="54"/>
      <c r="BB225" s="54"/>
      <c r="BD225" s="54"/>
      <c r="BE225" s="54"/>
      <c r="BF225" s="54"/>
      <c r="BH225" s="54"/>
      <c r="BI225" s="54"/>
      <c r="BJ225" s="54"/>
    </row>
    <row r="226" spans="1:62" x14ac:dyDescent="0.25">
      <c r="B226" s="46" t="s">
        <v>255</v>
      </c>
      <c r="H226" s="47" t="e">
        <f>AVERAGE(H4:H123)</f>
        <v>#DIV/0!</v>
      </c>
      <c r="AB226" s="47" t="e">
        <f>AVERAGE(AB4:AB123)</f>
        <v>#DIV/0!</v>
      </c>
      <c r="AV226" s="6" t="e">
        <f>AVERAGE(AV4:AV123)</f>
        <v>#DIV/0!</v>
      </c>
      <c r="AX226" s="11" t="e">
        <f>AVERAGE(AX4:AX123)</f>
        <v>#VALUE!</v>
      </c>
      <c r="AY226" s="11" t="e">
        <f>AVERAGE(AY4:AY123)</f>
        <v>#VALUE!</v>
      </c>
      <c r="AZ226" s="11" t="e">
        <f>AVERAGE(AZ4:AZ123)</f>
        <v>#VALUE!</v>
      </c>
      <c r="BA226" s="11" t="e">
        <f>AVERAGE(BA4:BA123)</f>
        <v>#VALUE!</v>
      </c>
      <c r="BB226" s="11" t="e">
        <f>AVERAGE(BB4:BB123)</f>
        <v>#VALUE!</v>
      </c>
      <c r="BD226" s="11" t="e">
        <f>AVERAGE(BD4:BD123)</f>
        <v>#VALUE!</v>
      </c>
      <c r="BE226" s="11" t="e">
        <f>AVERAGE(BE4:BE123)</f>
        <v>#VALUE!</v>
      </c>
      <c r="BF226" s="11" t="e">
        <f>AVERAGE(BF4:BF123)</f>
        <v>#VALUE!</v>
      </c>
      <c r="BH226" s="11" t="e">
        <f>AVERAGE(BH4:BH123)</f>
        <v>#VALUE!</v>
      </c>
      <c r="BI226" s="11" t="e">
        <f>AVERAGE(BI4:BI123)</f>
        <v>#VALUE!</v>
      </c>
      <c r="BJ226" s="11" t="e">
        <f>AVERAGE(BJ4:BJ123)</f>
        <v>#VALUE!</v>
      </c>
    </row>
    <row r="227" spans="1:62" x14ac:dyDescent="0.25">
      <c r="B227" s="46" t="s">
        <v>256</v>
      </c>
      <c r="H227" s="47" t="e">
        <f>AVERAGE(H124:H177)</f>
        <v>#DIV/0!</v>
      </c>
      <c r="AB227" s="47" t="e">
        <f>AVERAGE(AB124:AB177)</f>
        <v>#DIV/0!</v>
      </c>
      <c r="AV227" s="6" t="e">
        <f>AVERAGE(AV124:AV177)</f>
        <v>#DIV/0!</v>
      </c>
      <c r="AX227" s="11" t="e">
        <f>AVERAGE(AX124:AX177)</f>
        <v>#VALUE!</v>
      </c>
      <c r="AY227" s="11" t="e">
        <f>AVERAGE(AY124:AY177)</f>
        <v>#VALUE!</v>
      </c>
      <c r="AZ227" s="11" t="e">
        <f>AVERAGE(AZ124:AZ177)</f>
        <v>#VALUE!</v>
      </c>
      <c r="BA227" s="11" t="e">
        <f>AVERAGE(BA124:BA177)</f>
        <v>#VALUE!</v>
      </c>
      <c r="BB227" s="11" t="e">
        <f>AVERAGE(BB124:BB177)</f>
        <v>#VALUE!</v>
      </c>
      <c r="BD227" s="11" t="e">
        <f>AVERAGE(BD124:BD177)</f>
        <v>#VALUE!</v>
      </c>
      <c r="BE227" s="11" t="e">
        <f>AVERAGE(BE124:BE177)</f>
        <v>#VALUE!</v>
      </c>
      <c r="BF227" s="11" t="e">
        <f>AVERAGE(BF124:BF177)</f>
        <v>#VALUE!</v>
      </c>
      <c r="BH227" s="11" t="e">
        <f>AVERAGE(BH124:BH177)</f>
        <v>#VALUE!</v>
      </c>
      <c r="BI227" s="11" t="e">
        <f>AVERAGE(BI124:BI177)</f>
        <v>#VALUE!</v>
      </c>
      <c r="BJ227" s="11" t="e">
        <f>AVERAGE(BJ124:BJ177)</f>
        <v>#VALUE!</v>
      </c>
    </row>
    <row r="228" spans="1:62" x14ac:dyDescent="0.25">
      <c r="B228" s="46" t="s">
        <v>257</v>
      </c>
      <c r="H228" s="47" t="e">
        <f>AVERAGE(H178:H225)</f>
        <v>#DIV/0!</v>
      </c>
      <c r="AB228" s="47" t="e">
        <f>AVERAGE(AB178:AB225)</f>
        <v>#DIV/0!</v>
      </c>
      <c r="AV228" s="6" t="e">
        <f>AVERAGE(AV178:AV225)</f>
        <v>#DIV/0!</v>
      </c>
      <c r="AX228" s="11" t="e">
        <f>AVERAGE(AX178:AX225)</f>
        <v>#VALUE!</v>
      </c>
      <c r="AY228" s="11" t="e">
        <f>AVERAGE(AY178:AY225)</f>
        <v>#VALUE!</v>
      </c>
      <c r="AZ228" s="11" t="e">
        <f>AVERAGE(AZ178:AZ225)</f>
        <v>#VALUE!</v>
      </c>
      <c r="BA228" s="11" t="e">
        <f>AVERAGE(BA178:BA225)</f>
        <v>#VALUE!</v>
      </c>
      <c r="BB228" s="11" t="e">
        <f>AVERAGE(BB178:BB225)</f>
        <v>#VALUE!</v>
      </c>
      <c r="BD228" s="11" t="e">
        <f>AVERAGE(BD178:BD225)</f>
        <v>#VALUE!</v>
      </c>
      <c r="BE228" s="11" t="e">
        <f>AVERAGE(BE178:BE225)</f>
        <v>#VALUE!</v>
      </c>
      <c r="BF228" s="11" t="e">
        <f>AVERAGE(BF178:BF225)</f>
        <v>#VALUE!</v>
      </c>
      <c r="BH228" s="11" t="e">
        <f>AVERAGE(BH178:BH225)</f>
        <v>#VALUE!</v>
      </c>
      <c r="BI228" s="11" t="e">
        <f>AVERAGE(BI178:BI225)</f>
        <v>#VALUE!</v>
      </c>
      <c r="BJ228" s="11" t="e">
        <f>AVERAGE(BJ178:BJ225)</f>
        <v>#VALUE!</v>
      </c>
    </row>
    <row r="229" spans="1:62" x14ac:dyDescent="0.25">
      <c r="B229" s="46" t="s">
        <v>258</v>
      </c>
      <c r="H229" s="47" t="e">
        <f>AVERAGE(H4:H123,H124:H177,H178:H225)</f>
        <v>#DIV/0!</v>
      </c>
      <c r="AB229" s="47" t="e">
        <f>AVERAGE(AB4:AB123,AB124:AB177,AB178:AB225)</f>
        <v>#DIV/0!</v>
      </c>
      <c r="AV229" s="6" t="e">
        <f>AVERAGE(AV4:AV123,AV124:AV177,AV178:AV225)</f>
        <v>#DIV/0!</v>
      </c>
      <c r="AX229" s="11" t="e">
        <f>AVERAGE(AX4:AX123,AX124:AX177,AX178:AX225)</f>
        <v>#VALUE!</v>
      </c>
      <c r="AY229" s="11" t="e">
        <f>AVERAGE(AY4:AY123,AY124:AY177,AY178:AY225)</f>
        <v>#VALUE!</v>
      </c>
      <c r="AZ229" s="11" t="e">
        <f>AVERAGE(AZ4:AZ123,AZ124:AZ177,AZ178:AZ225)</f>
        <v>#VALUE!</v>
      </c>
      <c r="BA229" s="11" t="e">
        <f>AVERAGE(BA4:BA123,BA124:BA177,BA178:BA225)</f>
        <v>#VALUE!</v>
      </c>
      <c r="BB229" s="11" t="e">
        <f>AVERAGE(BB4:BB123,BB124:BB177,BB178:BB225)</f>
        <v>#VALUE!</v>
      </c>
      <c r="BD229" s="11" t="e">
        <f>AVERAGE(BD4:BD123,BD124:BD177,BD178:BD225)</f>
        <v>#VALUE!</v>
      </c>
      <c r="BE229" s="11" t="e">
        <f>AVERAGE(BE4:BE123,BE124:BE177,BE178:BE225)</f>
        <v>#VALUE!</v>
      </c>
      <c r="BF229" s="11" t="e">
        <f>AVERAGE(BF4:BF123,BF124:BF177,BF178:BF225)</f>
        <v>#VALUE!</v>
      </c>
      <c r="BH229" s="11" t="e">
        <f>AVERAGE(BH4:BH123,BH124:BH177,BH178:BH225)</f>
        <v>#VALUE!</v>
      </c>
      <c r="BI229" s="11" t="e">
        <f>AVERAGE(BI4:BI123,BI124:BI177,BI178:BI225)</f>
        <v>#VALUE!</v>
      </c>
      <c r="BJ229" s="11" t="e">
        <f>AVERAGE(BJ4:BJ123,BJ124:BJ177,BJ178:BJ225)</f>
        <v>#VALUE!</v>
      </c>
    </row>
    <row r="230" spans="1:62" hidden="1" outlineLevel="2" x14ac:dyDescent="0.25">
      <c r="A230" s="46" t="s">
        <v>259</v>
      </c>
      <c r="B230" s="46" t="s">
        <v>260</v>
      </c>
      <c r="X230" s="48">
        <f>SUM(X4:X123,X124:X177,X178:X225)</f>
        <v>0</v>
      </c>
      <c r="Y230" s="48">
        <f>SUM(Y4:Y123,Y124:Y177,Y178:Y225)</f>
        <v>0</v>
      </c>
      <c r="AR230" s="48">
        <f>SUM(AR4:AR123,AR124:AR177,AR178:AR225)</f>
        <v>0</v>
      </c>
      <c r="AS230" s="48">
        <f>SUM(AS4:AS123,AS124:AS177,AS178:AS225)</f>
        <v>0</v>
      </c>
    </row>
    <row r="231" spans="1:62" hidden="1" outlineLevel="2" x14ac:dyDescent="0.25">
      <c r="B231" s="46" t="s">
        <v>261</v>
      </c>
      <c r="AR231" s="6" t="e">
        <f>AR230/X230</f>
        <v>#DIV/0!</v>
      </c>
      <c r="AS231" s="6" t="e">
        <f>AS230/Y230</f>
        <v>#DIV/0!</v>
      </c>
    </row>
    <row r="232" spans="1:62" hidden="1" outlineLevel="2" x14ac:dyDescent="0.25">
      <c r="B232" s="46" t="s">
        <v>262</v>
      </c>
      <c r="X232" s="48" t="e">
        <f>GEOMEAN(X4:X123,X124:X177,X178:X225)</f>
        <v>#NUM!</v>
      </c>
      <c r="Y232" s="48" t="e">
        <f>GEOMEAN(Y4:Y123,Y124:Y177,Y178:Y225)</f>
        <v>#NUM!</v>
      </c>
      <c r="AR232" s="48" t="e">
        <f>GEOMEAN(AR4:AR123,AR124:AR177,AR178:AR225)</f>
        <v>#NUM!</v>
      </c>
      <c r="AS232" s="48" t="e">
        <f>GEOMEAN(AS4:AS123,AS124:AS177,AS178:AS225)</f>
        <v>#NUM!</v>
      </c>
    </row>
    <row r="233" spans="1:62" outlineLevel="2" collapsed="1" x14ac:dyDescent="0.25">
      <c r="B233" s="46" t="s">
        <v>263</v>
      </c>
      <c r="AR233" s="6" t="e">
        <f>AR232/X232</f>
        <v>#NUM!</v>
      </c>
      <c r="AS233" s="6" t="e">
        <f>AS232/Y232</f>
        <v>#NUM!</v>
      </c>
    </row>
  </sheetData>
  <mergeCells count="34">
    <mergeCell ref="BH2:BJ2"/>
    <mergeCell ref="A1:E1"/>
    <mergeCell ref="G1:Y1"/>
    <mergeCell ref="AA1:AS1"/>
    <mergeCell ref="AU2:AU3"/>
    <mergeCell ref="AV2:AV3"/>
    <mergeCell ref="AX2:AY2"/>
    <mergeCell ref="AZ2:BB2"/>
    <mergeCell ref="BD2:BF2"/>
    <mergeCell ref="AJ2:AK2"/>
    <mergeCell ref="AL2:AN2"/>
    <mergeCell ref="AO2:AQ2"/>
    <mergeCell ref="AR2:AR3"/>
    <mergeCell ref="AS2:AS3"/>
    <mergeCell ref="AA2:AA3"/>
    <mergeCell ref="AB2:AD2"/>
    <mergeCell ref="AE2:AE3"/>
    <mergeCell ref="AF2:AF3"/>
    <mergeCell ref="AG2:AI2"/>
    <mergeCell ref="P2:Q2"/>
    <mergeCell ref="R2:T2"/>
    <mergeCell ref="U2:W2"/>
    <mergeCell ref="X2:X3"/>
    <mergeCell ref="Y2:Y3"/>
    <mergeCell ref="G2:G3"/>
    <mergeCell ref="H2:J2"/>
    <mergeCell ref="K2:K3"/>
    <mergeCell ref="L2:L3"/>
    <mergeCell ref="M2:O2"/>
    <mergeCell ref="A2:A3"/>
    <mergeCell ref="B2:B3"/>
    <mergeCell ref="C2:C3"/>
    <mergeCell ref="D2:D3"/>
    <mergeCell ref="E2:E3"/>
  </mergeCells>
  <conditionalFormatting sqref="AX4 AX5 AX6 AX7 AX8 AX9 AX10 AX11 AX12 AX13 AX14 AX15 AX16 AX17 AX18 AX19 AX20 AX21 AX22 AX23 AX24 AX25 AX26 AX27 AX28 AX29 AX30 AX31 AX32 AX33 AX34 AX35 AX36 AX37 AX38 AX39 AX40 AX41 AX42 AX43 AX44 AX45 AX46 AX47 AX48 AX49 AX50 AX51 AX52 AX53 AX54 AX55 AX56 AX57 AX58 AX59 AX60 AX61 AX62 AX63 AX64 AX65 AX66 AX67 AX68 AX69 AX70 AX71 AX72 AX73 AX74 AX75 AX76 AX77 AX78 AX79 AX80 AX81 AX82 AX83 AX84 AX85 AX86 AX87 AX88 AX89 AX90 AX91 AX92 AX93 AX94 AX95 AX96 AX97 AX98 AX99 AX100 AX101 AX102 AX103 AX104 AX105 AX106 AX107 AX108 AX109 AX110 AX111 AX112 AX113 AX114 AX115 AX116 AX117 AX118 AX119 AX120 AX121 AX122 AX123 AX124 AX125 AX126 AX127 AX128 AX129 AX130 AX131 AX132 AX133 AX134 AX135 AX136 AX137 AX138 AX139 AX140 AX141 AX142 AX143 AX144 AX145 AX146 AX147 AX148 AX149 AX150 AX151 AX152 AX153 AX154 AX155 AX156 AX157 AX158 AX159 AX160 AX161 AX162 AX163 AX164 AX165 AX166 AX167 AX168 AX169 AX170 AX171 AX172 AX173 AX174 AX175 AX176 AX177 AX178 AX179 AX180 AX181 AX182 AX183 AX184 AX185 AX186 AX187 AX188 AX189 AX190 AX191 AX192 AX193 AX194 AX195 AX196 AX197 AX198 AX199 AX200 AX201 AX202 AX203 AX204 AX205 AX206 AX207 AX208 AX209 AX210 AX211 AX212 AX213 AX214 AX215 AX216 AX217 AX218 AX219 AX220 AX221 AX222 AX223 AX224 AX225 AX226 AX227 AX228 AX229">
    <cfRule type="cellIs" dxfId="127" priority="7" operator="greaterThanOrEqual">
      <formula>0.03</formula>
    </cfRule>
    <cfRule type="cellIs" dxfId="126" priority="8" operator="lessThanOrEqual">
      <formula>-0.03</formula>
    </cfRule>
  </conditionalFormatting>
  <conditionalFormatting sqref="AY4 AY5 AY6 AY7 AY8 AY9 AY10 AY11 AY12 AY13 AY14 AY15 AY16 AY17 AY18 AY19 AY20 AY21 AY22 AY23 AY24 AY25 AY26 AY27 AY28 AY29 AY30 AY31 AY32 AY33 AY34 AY35 AY36 AY37 AY38 AY39 AY40 AY41 AY42 AY43 AY44 AY45 AY46 AY47 AY48 AY49 AY50 AY51 AY52 AY53 AY54 AY55 AY56 AY57 AY58 AY59 AY60 AY61 AY62 AY63 AY64 AY65 AY66 AY67 AY68 AY69 AY70 AY71 AY72 AY73 AY74 AY75 AY76 AY77 AY78 AY79 AY80 AY81 AY82 AY83 AY84 AY85 AY86 AY87 AY88 AY89 AY90 AY91 AY92 AY93 AY94 AY95 AY96 AY97 AY98 AY99 AY100 AY101 AY102 AY103 AY104 AY105 AY106 AY107 AY108 AY109 AY110 AY111 AY112 AY113 AY114 AY115 AY116 AY117 AY118 AY119 AY120 AY121 AY122 AY123 AY124 AY125 AY126 AY127 AY128 AY129 AY130 AY131 AY132 AY133 AY134 AY135 AY136 AY137 AY138 AY139 AY140 AY141 AY142 AY143 AY144 AY145 AY146 AY147 AY148 AY149 AY150 AY151 AY152 AY153 AY154 AY155 AY156 AY157 AY158 AY159 AY160 AY161 AY162 AY163 AY164 AY165 AY166 AY167 AY168 AY169 AY170 AY171 AY172 AY173 AY174 AY175 AY176 AY177 AY178 AY179 AY180 AY181 AY182 AY183 AY184 AY185 AY186 AY187 AY188 AY189 AY190 AY191 AY192 AY193 AY194 AY195 AY196 AY197 AY198 AY199 AY200 AY201 AY202 AY203 AY204 AY205 AY206 AY207 AY208 AY209 AY210 AY211 AY212 AY213 AY214 AY215 AY216 AY217 AY218 AY219 AY220 AY221 AY222 AY223 AY224 AY225 AY226 AY227 AY228 AY229">
    <cfRule type="cellIs" dxfId="125" priority="5" operator="greaterThanOrEqual">
      <formula>0.03</formula>
    </cfRule>
    <cfRule type="cellIs" dxfId="124" priority="6" operator="lessThanOrEqual">
      <formula>-0.03</formula>
    </cfRule>
  </conditionalFormatting>
  <conditionalFormatting sqref="AZ4 AZ5 AZ6 AZ7 AZ8 AZ9 AZ10 AZ11 AZ12 AZ13 AZ14 AZ15 AZ16 AZ17 AZ18 AZ19 AZ20 AZ21 AZ22 AZ23 AZ24 AZ25 AZ26 AZ27 AZ28 AZ29 AZ30 AZ31 AZ32 AZ33 AZ34 AZ35 AZ36 AZ37 AZ38 AZ39 AZ40 AZ41 AZ42 AZ43 AZ44 AZ45 AZ46 AZ47 AZ48 AZ49 AZ50 AZ51 AZ52 AZ53 AZ54 AZ55 AZ56 AZ57 AZ58 AZ59 AZ60 AZ61 AZ62 AZ63 AZ64 AZ65 AZ66 AZ67 AZ68 AZ69 AZ70 AZ71 AZ72 AZ73 AZ74 AZ75 AZ76 AZ77 AZ78 AZ79 AZ80 AZ81 AZ82 AZ83 AZ84 AZ85 AZ86 AZ87 AZ88 AZ89 AZ90 AZ91 AZ92 AZ93 AZ94 AZ95 AZ96 AZ97 AZ98 AZ99 AZ100 AZ101 AZ102 AZ103 AZ104 AZ105 AZ106 AZ107 AZ108 AZ109 AZ110 AZ111 AZ112 AZ113 AZ114 AZ115 AZ116 AZ117 AZ118 AZ119 AZ120 AZ121 AZ122 AZ123 AZ124 AZ125 AZ126 AZ127 AZ128 AZ129 AZ130 AZ131 AZ132 AZ133 AZ134 AZ135 AZ136 AZ137 AZ138 AZ139 AZ140 AZ141 AZ142 AZ143 AZ144 AZ145 AZ146 AZ147 AZ148 AZ149 AZ150 AZ151 AZ152 AZ153 AZ154 AZ155 AZ156 AZ157 AZ158 AZ159 AZ160 AZ161 AZ162 AZ163 AZ164 AZ165 AZ166 AZ167 AZ168 AZ169 AZ170 AZ171 AZ172 AZ173 AZ174 AZ175 AZ176 AZ177 AZ178 AZ179 AZ180 AZ181 AZ182 AZ183 AZ184 AZ185 AZ186 AZ187 AZ188 AZ189 AZ190 AZ191 AZ192 AZ193 AZ194 AZ195 AZ196 AZ197 AZ198 AZ199 AZ200 AZ201 AZ202 AZ203 AZ204 AZ205 AZ206 AZ207 AZ208 AZ209 AZ210 AZ211 AZ212 AZ213 AZ214 AZ215 AZ216 AZ217 AZ218 AZ219 AZ220 AZ221 AZ222 AZ223 AZ224 AZ225 AZ226 AZ227 AZ228 AZ229">
    <cfRule type="cellIs" dxfId="123" priority="3" operator="greaterThanOrEqual">
      <formula>0.03</formula>
    </cfRule>
    <cfRule type="cellIs" dxfId="122" priority="4" operator="lessThanOrEqual">
      <formula>-0.03</formula>
    </cfRule>
  </conditionalFormatting>
  <conditionalFormatting sqref="BA4 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cfRule type="cellIs" dxfId="121" priority="13" operator="greaterThanOrEqual">
      <formula>0.03</formula>
    </cfRule>
    <cfRule type="cellIs" dxfId="120" priority="14" operator="lessThanOrEqual">
      <formula>-0.03</formula>
    </cfRule>
  </conditionalFormatting>
  <conditionalFormatting sqref="BB4 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cfRule type="cellIs" dxfId="119" priority="1" operator="greaterThanOrEqual">
      <formula>0.03</formula>
    </cfRule>
    <cfRule type="cellIs" dxfId="118" priority="2" operator="lessThanOrEqual">
      <formula>-0.03</formula>
    </cfRule>
  </conditionalFormatting>
  <conditionalFormatting sqref="BD4 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cfRule type="cellIs" dxfId="117" priority="21" operator="greaterThanOrEqual">
      <formula>0.03</formula>
    </cfRule>
    <cfRule type="cellIs" dxfId="116" priority="22" operator="lessThanOrEqual">
      <formula>-0.03</formula>
    </cfRule>
  </conditionalFormatting>
  <conditionalFormatting sqref="BE4 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cfRule type="cellIs" dxfId="115" priority="17" operator="greaterThanOrEqual">
      <formula>0.03</formula>
    </cfRule>
    <cfRule type="cellIs" dxfId="114" priority="18" operator="lessThanOrEqual">
      <formula>-0.03</formula>
    </cfRule>
  </conditionalFormatting>
  <conditionalFormatting sqref="BF4 BF5 BF6 BF7 BF8 BF9 BF10 BF11 BF12 BF13 BF14 BF15 BF16 BF17 BF18 BF19 BF20 BF21 BF22 BF23 BF24 BF25 BF26 BF27 BF28 BF29 BF30 BF31 BF32 BF33 BF34 BF35 BF36 BF37 BF38 BF39 BF40 BF41 BF42 BF43 BF44 BF45 BF46 BF47 BF48 BF49 BF50 BF51 BF52 BF53 BF54 BF55 BF56 BF57 BF58 BF59 BF60 BF61 BF62 BF63 BF64 BF65 BF66 BF67 BF68 BF69 BF70 BF71 BF72 BF73 BF74 BF75 BF76 BF77 BF78 BF79 BF80 BF81 BF82 BF83 BF84 BF85 BF86 BF87 BF88 BF89 BF90 BF91 BF92 BF93 BF94 BF95 BF96 BF97 BF98 BF99 BF100 BF101 BF102 BF103 BF104 BF105 BF106 BF107 BF108 BF109 BF110 BF111 BF112 BF113 BF114 BF115 BF116 BF117 BF118 BF119 BF120 BF121 BF122 BF123 BF124 BF125 BF126 BF127 BF128 BF129 BF130 BF131 BF132 BF133 BF134 BF135 BF136 BF137 BF138 BF139 BF140 BF141 BF142 BF143 BF144 BF145 BF146 BF147 BF148 BF149 BF150 BF151 BF152 BF153 BF154 BF155 BF156 BF157 BF158 BF159 BF160 BF161 BF162 BF163 BF164 BF165 BF166 BF167 BF168 BF169 BF170 BF171 BF172 BF173 BF174 BF175 BF176 BF177 BF178 BF179 BF180 BF181 BF182 BF183 BF184 BF185 BF186 BF187 BF188 BF189 BF190 BF191 BF192 BF193 BF194 BF195 BF196 BF197 BF198 BF199 BF200 BF201 BF202 BF203 BF204 BF205 BF206 BF207 BF208 BF209 BF210 BF211 BF212 BF213 BF214 BF215 BF216 BF217 BF218 BF219 BF220 BF221 BF222 BF223 BF224 BF225 BF226 BF227 BF228 BF229">
    <cfRule type="cellIs" dxfId="113" priority="11" operator="greaterThanOrEqual">
      <formula>0.03</formula>
    </cfRule>
    <cfRule type="cellIs" dxfId="112" priority="12" operator="lessThanOrEqual">
      <formula>-0.03</formula>
    </cfRule>
  </conditionalFormatting>
  <conditionalFormatting sqref="BH4 BH5 BH6 BH7 BH8 BH9 BH10 BH11 BH12 BH13 BH14 BH15 BH16 BH17 BH18 BH19 BH20 BH21 BH22 BH23 BH24 BH25 BH26 BH27 BH28 BH29 BH30 BH31 BH32 BH33 BH34 BH35 BH36 BH37 BH38 BH39 BH40 BH41 BH42 BH43 BH44 BH45 BH46 BH47 BH48 BH49 BH50 BH51 BH52 BH53 BH54 BH55 BH56 BH57 BH58 BH59 BH60 BH61 BH62 BH63 BH64 BH65 BH66 BH67 BH68 BH69 BH70 BH71 BH72 BH73 BH74 BH75 BH76 BH77 BH78 BH79 BH80 BH81 BH82 BH83 BH84 BH85 BH86 BH87 BH88 BH89 BH90 BH91 BH92 BH93 BH94 BH95 BH96 BH97 BH98 BH99 BH100 BH101 BH102 BH103 BH104 BH105 BH106 BH107 BH108 BH109 BH110 BH111 BH112 BH113 BH114 BH115 BH116 BH117 BH118 BH119 BH120 BH121 BH122 BH123 BH124 BH125 BH126 BH127 BH128 BH129 BH130 BH131 BH132 BH133 BH134 BH135 BH136 BH137 BH138 BH139 BH140 BH141 BH142 BH143 BH144 BH145 BH146 BH147 BH148 BH149 BH150 BH151 BH152 BH153 BH154 BH155 BH156 BH157 BH158 BH159 BH160 BH161 BH162 BH163 BH164 BH165 BH166 BH167 BH168 BH169 BH170 BH171 BH172 BH173 BH174 BH175 BH176 BH177 BH178 BH179 BH180 BH181 BH182 BH183 BH184 BH185 BH186 BH187 BH188 BH189 BH190 BH191 BH192 BH193 BH194 BH195 BH196 BH197 BH198 BH199 BH200 BH201 BH202 BH203 BH204 BH205 BH206 BH207 BH208 BH209 BH210 BH211 BH212 BH213 BH214 BH215 BH216 BH217 BH218 BH219 BH220 BH221 BH222 BH223 BH224 BH225 BH226 BH227 BH228 BH229">
    <cfRule type="cellIs" dxfId="111" priority="19" operator="greaterThanOrEqual">
      <formula>0.03</formula>
    </cfRule>
    <cfRule type="cellIs" dxfId="110" priority="20" operator="lessThanOrEqual">
      <formula>-0.03</formula>
    </cfRule>
  </conditionalFormatting>
  <conditionalFormatting sqref="BI4 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cfRule type="cellIs" dxfId="109" priority="9" operator="greaterThanOrEqual">
      <formula>0.03</formula>
    </cfRule>
    <cfRule type="cellIs" dxfId="108" priority="10" operator="lessThanOrEqual">
      <formula>-0.03</formula>
    </cfRule>
  </conditionalFormatting>
  <conditionalFormatting sqref="BJ4 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cfRule type="cellIs" dxfId="107" priority="15" operator="greaterThanOrEqual">
      <formula>0.03</formula>
    </cfRule>
    <cfRule type="cellIs" dxfId="106" priority="16" operator="lessThanOrEqual">
      <formula>-0.03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H17"/>
  <sheetViews>
    <sheetView zoomScale="85" zoomScaleNormal="85" workbookViewId="0">
      <pane xSplit="2" topLeftCell="G1" activePane="topRight" state="frozen"/>
      <selection pane="topRight" activeCell="Y4" sqref="Y4:AB8"/>
    </sheetView>
  </sheetViews>
  <sheetFormatPr defaultRowHeight="15" outlineLevelRow="2" x14ac:dyDescent="0.25"/>
  <cols>
    <col min="2" max="2" width="24.7109375" customWidth="1"/>
    <col min="3" max="4" width="10.7109375" customWidth="1"/>
    <col min="7" max="7" width="1.7109375" customWidth="1"/>
    <col min="10" max="10" width="10.7109375" customWidth="1"/>
    <col min="11" max="11" width="12.7109375" customWidth="1"/>
    <col min="12" max="12" width="10.7109375" customWidth="1"/>
    <col min="13" max="13" width="12.7109375" customWidth="1"/>
    <col min="14" max="15" width="11.7109375" customWidth="1"/>
    <col min="20" max="20" width="1.7109375" customWidth="1"/>
    <col min="23" max="23" width="10.7109375" customWidth="1"/>
    <col min="24" max="24" width="12.7109375" customWidth="1"/>
    <col min="25" max="25" width="10.7109375" customWidth="1"/>
    <col min="26" max="26" width="12.7109375" customWidth="1"/>
    <col min="27" max="28" width="11.7109375" customWidth="1"/>
    <col min="33" max="33" width="1.7109375" customWidth="1"/>
    <col min="35" max="35" width="1.7109375" customWidth="1"/>
  </cols>
  <sheetData>
    <row r="1" spans="1:34" x14ac:dyDescent="0.25">
      <c r="A1" s="76" t="s">
        <v>549</v>
      </c>
      <c r="B1" s="76"/>
      <c r="C1" s="76"/>
      <c r="D1" s="76"/>
      <c r="E1" s="76"/>
      <c r="F1" s="76"/>
      <c r="H1" s="65" t="s">
        <v>1477</v>
      </c>
      <c r="I1" s="65"/>
      <c r="J1" s="65"/>
      <c r="K1" s="65"/>
      <c r="L1" s="65"/>
      <c r="M1" s="65"/>
      <c r="N1" s="65"/>
      <c r="O1" s="65"/>
      <c r="P1" s="65"/>
      <c r="Q1" s="65"/>
      <c r="R1" s="65"/>
      <c r="S1" s="65"/>
      <c r="U1" s="66"/>
      <c r="V1" s="66"/>
      <c r="W1" s="66"/>
      <c r="X1" s="66"/>
      <c r="Y1" s="66"/>
      <c r="Z1" s="66"/>
      <c r="AA1" s="66"/>
      <c r="AB1" s="66"/>
      <c r="AC1" s="66"/>
      <c r="AD1" s="66"/>
      <c r="AE1" s="66"/>
      <c r="AF1" s="66"/>
    </row>
    <row r="2" spans="1:34" ht="30" customHeight="1" x14ac:dyDescent="0.25">
      <c r="A2" s="75" t="s">
        <v>97</v>
      </c>
      <c r="B2" s="73" t="s">
        <v>99</v>
      </c>
      <c r="C2" s="75" t="s">
        <v>101</v>
      </c>
      <c r="D2" s="73" t="s">
        <v>103</v>
      </c>
      <c r="E2" s="75" t="s">
        <v>513</v>
      </c>
      <c r="F2" s="73" t="s">
        <v>515</v>
      </c>
      <c r="H2" s="75" t="s">
        <v>105</v>
      </c>
      <c r="I2" s="73" t="s">
        <v>518</v>
      </c>
      <c r="J2" s="75" t="s">
        <v>520</v>
      </c>
      <c r="K2" s="73" t="s">
        <v>112</v>
      </c>
      <c r="L2" s="75" t="s">
        <v>26</v>
      </c>
      <c r="M2" s="73" t="s">
        <v>524</v>
      </c>
      <c r="N2" s="74" t="s">
        <v>374</v>
      </c>
      <c r="O2" s="74"/>
      <c r="P2" s="77" t="s">
        <v>528</v>
      </c>
      <c r="Q2" s="77"/>
      <c r="R2" s="74" t="s">
        <v>533</v>
      </c>
      <c r="S2" s="74"/>
      <c r="U2" s="73" t="s">
        <v>105</v>
      </c>
      <c r="V2" s="75" t="s">
        <v>518</v>
      </c>
      <c r="W2" s="73" t="s">
        <v>520</v>
      </c>
      <c r="X2" s="75" t="s">
        <v>112</v>
      </c>
      <c r="Y2" s="73" t="s">
        <v>26</v>
      </c>
      <c r="Z2" s="75" t="s">
        <v>524</v>
      </c>
      <c r="AA2" s="77" t="s">
        <v>374</v>
      </c>
      <c r="AB2" s="77"/>
      <c r="AC2" s="74" t="s">
        <v>528</v>
      </c>
      <c r="AD2" s="74"/>
      <c r="AE2" s="77" t="s">
        <v>533</v>
      </c>
      <c r="AF2" s="77"/>
      <c r="AH2" s="75" t="s">
        <v>131</v>
      </c>
    </row>
    <row r="3" spans="1:34" ht="15.75" thickBot="1" x14ac:dyDescent="0.3">
      <c r="A3" s="75"/>
      <c r="B3" s="73"/>
      <c r="C3" s="75"/>
      <c r="D3" s="73"/>
      <c r="E3" s="75"/>
      <c r="F3" s="73"/>
      <c r="H3" s="75"/>
      <c r="I3" s="73"/>
      <c r="J3" s="75"/>
      <c r="K3" s="73"/>
      <c r="L3" s="75"/>
      <c r="M3" s="73"/>
      <c r="N3" s="16" t="s">
        <v>375</v>
      </c>
      <c r="O3" s="16" t="s">
        <v>377</v>
      </c>
      <c r="P3" s="17" t="s">
        <v>529</v>
      </c>
      <c r="Q3" s="17" t="s">
        <v>531</v>
      </c>
      <c r="R3" s="16" t="s">
        <v>529</v>
      </c>
      <c r="S3" s="16" t="s">
        <v>531</v>
      </c>
      <c r="U3" s="73"/>
      <c r="V3" s="75"/>
      <c r="W3" s="73"/>
      <c r="X3" s="75"/>
      <c r="Y3" s="73"/>
      <c r="Z3" s="75"/>
      <c r="AA3" s="17" t="s">
        <v>375</v>
      </c>
      <c r="AB3" s="17" t="s">
        <v>377</v>
      </c>
      <c r="AC3" s="16" t="s">
        <v>529</v>
      </c>
      <c r="AD3" s="16" t="s">
        <v>531</v>
      </c>
      <c r="AE3" s="17" t="s">
        <v>529</v>
      </c>
      <c r="AF3" s="17" t="s">
        <v>531</v>
      </c>
      <c r="AH3" s="75"/>
    </row>
    <row r="4" spans="1:34" collapsed="1" x14ac:dyDescent="0.25">
      <c r="A4" s="18" t="s">
        <v>566</v>
      </c>
      <c r="B4" s="18" t="s">
        <v>554</v>
      </c>
      <c r="C4" s="18">
        <v>238146391</v>
      </c>
      <c r="D4" s="19">
        <v>10</v>
      </c>
      <c r="E4" s="19">
        <v>300</v>
      </c>
      <c r="F4" s="19">
        <v>30</v>
      </c>
      <c r="H4" s="20">
        <f>IF(ISBLANK(M4),"·",M4/(C4*D4*3))</f>
        <v>6.398045589809785E-3</v>
      </c>
      <c r="I4" s="55">
        <f>IF(OR(ISBLANK(M4),ISBLANK(F4)),"·",M4*F4/E4/1000000)</f>
        <v>4.5710144000000001</v>
      </c>
      <c r="J4" s="21">
        <f>IF(ISBLANK(M4),"·",M4/C4)</f>
        <v>0.19194136769429354</v>
      </c>
      <c r="K4" s="21">
        <f>IF(ISBLANK(M4),"·",M4/L4)</f>
        <v>1.2651638305884818</v>
      </c>
      <c r="L4" s="22">
        <v>36129822</v>
      </c>
      <c r="M4" s="23">
        <v>45710144</v>
      </c>
      <c r="N4" s="49" t="s">
        <v>1476</v>
      </c>
      <c r="O4" s="49" t="s">
        <v>1476</v>
      </c>
      <c r="P4" s="24"/>
      <c r="Q4" s="24"/>
      <c r="R4" s="24"/>
      <c r="S4" s="24"/>
      <c r="U4" s="20" t="str">
        <f>IF(ISBLANK(Z4),"·",Z4/(C4*D4*3))</f>
        <v>·</v>
      </c>
      <c r="V4" s="55" t="str">
        <f>IF(OR(ISBLANK(Z4),ISBLANK(F4)),"·",Z4*F4/E4/1000000)</f>
        <v>·</v>
      </c>
      <c r="W4" s="21" t="str">
        <f>IF(ISBLANK(Z4),"·",Z4/C4)</f>
        <v>·</v>
      </c>
      <c r="X4" s="21" t="str">
        <f>IF(ISBLANK(Z4),"·",Z4/Y4)</f>
        <v>·</v>
      </c>
      <c r="Y4" s="22"/>
      <c r="Z4" s="23"/>
      <c r="AA4" s="49"/>
      <c r="AB4" s="49"/>
      <c r="AC4" s="24"/>
      <c r="AD4" s="24"/>
      <c r="AE4" s="24"/>
      <c r="AF4" s="24"/>
      <c r="AH4" s="20" t="e">
        <f t="shared" ref="AH4:AH11" si="0">W4/J4</f>
        <v>#VALUE!</v>
      </c>
    </row>
    <row r="5" spans="1:34" collapsed="1" x14ac:dyDescent="0.25">
      <c r="A5" s="25"/>
      <c r="B5" s="25" t="s">
        <v>557</v>
      </c>
      <c r="C5" s="25">
        <v>218121242</v>
      </c>
      <c r="D5" s="26">
        <v>10</v>
      </c>
      <c r="E5" s="26">
        <v>300</v>
      </c>
      <c r="F5" s="26">
        <v>30</v>
      </c>
      <c r="H5" s="27">
        <f>IF(ISBLANK(M5),"·",M5/(C5*D5*3))</f>
        <v>8.0465462720346447E-3</v>
      </c>
      <c r="I5" s="56">
        <f>IF(OR(ISBLANK(M5),ISBLANK(F5)),"·",M5*F5/E5/1000000)</f>
        <v>5.2653679999999996</v>
      </c>
      <c r="J5" s="28">
        <f>IF(ISBLANK(M5),"·",M5/C5)</f>
        <v>0.24139638816103937</v>
      </c>
      <c r="K5" s="28">
        <f>IF(ISBLANK(M5),"·",M5/L5)</f>
        <v>1.646561054375872</v>
      </c>
      <c r="L5" s="29">
        <v>31977970</v>
      </c>
      <c r="M5" s="30">
        <v>52653680</v>
      </c>
      <c r="N5" s="51" t="s">
        <v>1476</v>
      </c>
      <c r="O5" s="51" t="s">
        <v>1476</v>
      </c>
      <c r="P5" s="31"/>
      <c r="Q5" s="31"/>
      <c r="R5" s="31"/>
      <c r="S5" s="31"/>
      <c r="U5" s="27" t="str">
        <f>IF(ISBLANK(Z5),"·",Z5/(C5*D5*3))</f>
        <v>·</v>
      </c>
      <c r="V5" s="56" t="str">
        <f>IF(OR(ISBLANK(Z5),ISBLANK(F5)),"·",Z5*F5/E5/1000000)</f>
        <v>·</v>
      </c>
      <c r="W5" s="28" t="str">
        <f>IF(ISBLANK(Z5),"·",Z5/C5)</f>
        <v>·</v>
      </c>
      <c r="X5" s="28" t="str">
        <f>IF(ISBLANK(Z5),"·",Z5/Y5)</f>
        <v>·</v>
      </c>
      <c r="Y5" s="29"/>
      <c r="Z5" s="30"/>
      <c r="AA5" s="51"/>
      <c r="AB5" s="51"/>
      <c r="AC5" s="31"/>
      <c r="AD5" s="31"/>
      <c r="AE5" s="31"/>
      <c r="AF5" s="31"/>
      <c r="AH5" s="27" t="e">
        <f t="shared" si="0"/>
        <v>#VALUE!</v>
      </c>
    </row>
    <row r="6" spans="1:34" collapsed="1" x14ac:dyDescent="0.25">
      <c r="A6" s="18"/>
      <c r="B6" s="18" t="s">
        <v>560</v>
      </c>
      <c r="C6" s="18">
        <v>322589704</v>
      </c>
      <c r="D6" s="19">
        <v>10</v>
      </c>
      <c r="E6" s="19">
        <v>300</v>
      </c>
      <c r="F6" s="19">
        <v>30</v>
      </c>
      <c r="H6" s="20">
        <f>IF(ISBLANK(M6),"·",M6/(C6*D6*3))</f>
        <v>7.8647147399347871E-3</v>
      </c>
      <c r="I6" s="55">
        <f>IF(OR(ISBLANK(M6),ISBLANK(F6)),"·",M6*F6/E6/1000000)</f>
        <v>7.6112279999999997</v>
      </c>
      <c r="J6" s="21">
        <f>IF(ISBLANK(M6),"·",M6/C6)</f>
        <v>0.23594144219804361</v>
      </c>
      <c r="K6" s="21">
        <f>IF(ISBLANK(M6),"·",M6/L6)</f>
        <v>1.6055246788603854</v>
      </c>
      <c r="L6" s="22">
        <v>47406484</v>
      </c>
      <c r="M6" s="23">
        <v>76112280</v>
      </c>
      <c r="N6" s="49" t="s">
        <v>1476</v>
      </c>
      <c r="O6" s="49" t="s">
        <v>1476</v>
      </c>
      <c r="P6" s="24"/>
      <c r="Q6" s="24"/>
      <c r="R6" s="24"/>
      <c r="S6" s="24"/>
      <c r="U6" s="20" t="str">
        <f>IF(ISBLANK(Z6),"·",Z6/(C6*D6*3))</f>
        <v>·</v>
      </c>
      <c r="V6" s="55" t="str">
        <f>IF(OR(ISBLANK(Z6),ISBLANK(F6)),"·",Z6*F6/E6/1000000)</f>
        <v>·</v>
      </c>
      <c r="W6" s="21" t="str">
        <f>IF(ISBLANK(Z6),"·",Z6/C6)</f>
        <v>·</v>
      </c>
      <c r="X6" s="21" t="str">
        <f>IF(ISBLANK(Z6),"·",Z6/Y6)</f>
        <v>·</v>
      </c>
      <c r="Y6" s="22"/>
      <c r="Z6" s="23"/>
      <c r="AA6" s="49"/>
      <c r="AB6" s="49"/>
      <c r="AC6" s="24"/>
      <c r="AD6" s="24"/>
      <c r="AE6" s="24"/>
      <c r="AF6" s="24"/>
      <c r="AH6" s="20" t="e">
        <f t="shared" si="0"/>
        <v>#VALUE!</v>
      </c>
    </row>
    <row r="7" spans="1:34" ht="15.75" collapsed="1" thickBot="1" x14ac:dyDescent="0.3">
      <c r="A7" s="32"/>
      <c r="B7" s="32" t="s">
        <v>563</v>
      </c>
      <c r="C7" s="32">
        <v>250602891</v>
      </c>
      <c r="D7" s="33">
        <v>10</v>
      </c>
      <c r="E7" s="33">
        <v>250</v>
      </c>
      <c r="F7" s="33">
        <v>50</v>
      </c>
      <c r="H7" s="34">
        <f>IF(ISBLANK(M7),"·",M7/(C7*D7*3))</f>
        <v>7.7885996933690603E-3</v>
      </c>
      <c r="I7" s="57">
        <f>IF(OR(ISBLANK(M7),ISBLANK(F7)),"·",M7*F7/E7/1000000)</f>
        <v>11.711073599999999</v>
      </c>
      <c r="J7" s="35">
        <f>IF(ISBLANK(M7),"·",M7/C7)</f>
        <v>0.2336579908010718</v>
      </c>
      <c r="K7" s="35">
        <f>IF(ISBLANK(M7),"·",M7/L7)</f>
        <v>1.5326521164351807</v>
      </c>
      <c r="L7" s="36">
        <v>38205257</v>
      </c>
      <c r="M7" s="37">
        <v>58555368</v>
      </c>
      <c r="N7" s="53" t="s">
        <v>1476</v>
      </c>
      <c r="O7" s="53" t="s">
        <v>1476</v>
      </c>
      <c r="P7" s="38"/>
      <c r="Q7" s="38"/>
      <c r="R7" s="38"/>
      <c r="S7" s="38"/>
      <c r="U7" s="34" t="str">
        <f>IF(ISBLANK(Z7),"·",Z7/(C7*D7*3))</f>
        <v>·</v>
      </c>
      <c r="V7" s="57" t="str">
        <f>IF(OR(ISBLANK(Z7),ISBLANK(F7)),"·",Z7*F7/E7/1000000)</f>
        <v>·</v>
      </c>
      <c r="W7" s="35" t="str">
        <f>IF(ISBLANK(Z7),"·",Z7/C7)</f>
        <v>·</v>
      </c>
      <c r="X7" s="35" t="str">
        <f>IF(ISBLANK(Z7),"·",Z7/Y7)</f>
        <v>·</v>
      </c>
      <c r="Y7" s="36"/>
      <c r="Z7" s="37"/>
      <c r="AA7" s="53"/>
      <c r="AB7" s="53"/>
      <c r="AC7" s="38"/>
      <c r="AD7" s="38"/>
      <c r="AE7" s="38"/>
      <c r="AF7" s="38"/>
      <c r="AH7" s="34" t="e">
        <f t="shared" si="0"/>
        <v>#VALUE!</v>
      </c>
    </row>
    <row r="8" spans="1:34" ht="15.75" collapsed="1" thickBot="1" x14ac:dyDescent="0.3">
      <c r="A8" s="39" t="s">
        <v>570</v>
      </c>
      <c r="B8" s="39" t="s">
        <v>567</v>
      </c>
      <c r="C8" s="39">
        <v>250294582</v>
      </c>
      <c r="D8" s="40">
        <v>10</v>
      </c>
      <c r="E8" s="40">
        <v>300</v>
      </c>
      <c r="F8" s="40">
        <v>30</v>
      </c>
      <c r="H8" s="41">
        <f>IF(ISBLANK(M8),"·",M8/(C8*D8*3))</f>
        <v>7.0896268941211043E-3</v>
      </c>
      <c r="I8" s="58">
        <f>IF(OR(ISBLANK(M8),ISBLANK(F8)),"·",M8*F8/E8/1000000)</f>
        <v>5.3234855999999997</v>
      </c>
      <c r="J8" s="42">
        <f>IF(ISBLANK(M8),"·",M8/C8)</f>
        <v>0.21268880682363311</v>
      </c>
      <c r="K8" s="42">
        <f>IF(ISBLANK(M8),"·",M8/L8)</f>
        <v>1.4870898961752286</v>
      </c>
      <c r="L8" s="43">
        <v>35798008</v>
      </c>
      <c r="M8" s="44">
        <v>53234856</v>
      </c>
      <c r="N8" s="59" t="s">
        <v>1476</v>
      </c>
      <c r="O8" s="59" t="s">
        <v>1476</v>
      </c>
      <c r="P8" s="45"/>
      <c r="Q8" s="45"/>
      <c r="R8" s="45"/>
      <c r="S8" s="45"/>
      <c r="U8" s="41" t="str">
        <f>IF(ISBLANK(Z8),"·",Z8/(C8*D8*3))</f>
        <v>·</v>
      </c>
      <c r="V8" s="58" t="str">
        <f>IF(OR(ISBLANK(Z8),ISBLANK(F8)),"·",Z8*F8/E8/1000000)</f>
        <v>·</v>
      </c>
      <c r="W8" s="42" t="str">
        <f>IF(ISBLANK(Z8),"·",Z8/C8)</f>
        <v>·</v>
      </c>
      <c r="X8" s="42" t="str">
        <f>IF(ISBLANK(Z8),"·",Z8/Y8)</f>
        <v>·</v>
      </c>
      <c r="Y8" s="43"/>
      <c r="Z8" s="44"/>
      <c r="AA8" s="59"/>
      <c r="AB8" s="59"/>
      <c r="AC8" s="45"/>
      <c r="AD8" s="45"/>
      <c r="AE8" s="45"/>
      <c r="AF8" s="45"/>
      <c r="AH8" s="41" t="e">
        <f t="shared" si="0"/>
        <v>#VALUE!</v>
      </c>
    </row>
    <row r="9" spans="1:34" x14ac:dyDescent="0.25">
      <c r="B9" s="46" t="s">
        <v>571</v>
      </c>
      <c r="J9" s="47">
        <f>AVERAGE(J4:J7)</f>
        <v>0.2257342972136121</v>
      </c>
      <c r="W9" s="47" t="e">
        <f>AVERAGE(W4:W7)</f>
        <v>#DIV/0!</v>
      </c>
      <c r="AH9" s="6" t="e">
        <f t="shared" si="0"/>
        <v>#DIV/0!</v>
      </c>
    </row>
    <row r="10" spans="1:34" x14ac:dyDescent="0.25">
      <c r="B10" s="46" t="s">
        <v>572</v>
      </c>
      <c r="J10" s="47">
        <f>AVERAGE(J8:J8)</f>
        <v>0.21268880682363311</v>
      </c>
      <c r="W10" s="47" t="e">
        <f>AVERAGE(W8:W8)</f>
        <v>#DIV/0!</v>
      </c>
      <c r="AH10" s="6" t="e">
        <f t="shared" si="0"/>
        <v>#DIV/0!</v>
      </c>
    </row>
    <row r="11" spans="1:34" collapsed="1" x14ac:dyDescent="0.25">
      <c r="B11" s="46" t="s">
        <v>258</v>
      </c>
      <c r="J11" s="47">
        <f>AVERAGE(J4:J7,J8:J8)</f>
        <v>0.22312519913561629</v>
      </c>
      <c r="W11" s="47" t="e">
        <f>AVERAGE(W4:W7,W8:W8)</f>
        <v>#DIV/0!</v>
      </c>
      <c r="AH11" s="6" t="e">
        <f t="shared" si="0"/>
        <v>#DIV/0!</v>
      </c>
    </row>
    <row r="12" spans="1:34" hidden="1" outlineLevel="2" x14ac:dyDescent="0.25">
      <c r="A12" s="46" t="s">
        <v>259</v>
      </c>
      <c r="B12" s="46" t="s">
        <v>260</v>
      </c>
      <c r="P12" s="48">
        <f>SUM(P4:P7,P8:P8)</f>
        <v>0</v>
      </c>
      <c r="Q12" s="48">
        <f>SUM(Q4:Q7,Q8:Q8)</f>
        <v>0</v>
      </c>
      <c r="R12" s="48">
        <f>SUM(R4:R7,R8:R8)</f>
        <v>0</v>
      </c>
      <c r="S12" s="48">
        <f>SUM(S4:S7,S8:S8)</f>
        <v>0</v>
      </c>
      <c r="AC12" s="48">
        <f>SUM(AC4:AC7,AC8:AC8)</f>
        <v>0</v>
      </c>
      <c r="AD12" s="48">
        <f>SUM(AD4:AD7,AD8:AD8)</f>
        <v>0</v>
      </c>
      <c r="AE12" s="48">
        <f>SUM(AE4:AE7,AE8:AE8)</f>
        <v>0</v>
      </c>
      <c r="AF12" s="48">
        <f>SUM(AF4:AF7,AF8:AF8)</f>
        <v>0</v>
      </c>
    </row>
    <row r="13" spans="1:34" hidden="1" outlineLevel="2" x14ac:dyDescent="0.25">
      <c r="B13" s="46" t="s">
        <v>261</v>
      </c>
      <c r="AC13" s="6" t="e">
        <f>AC12/P12</f>
        <v>#DIV/0!</v>
      </c>
      <c r="AD13" s="6" t="e">
        <f>AD12/Q12</f>
        <v>#DIV/0!</v>
      </c>
      <c r="AE13" s="6" t="e">
        <f>AE12/R12</f>
        <v>#DIV/0!</v>
      </c>
      <c r="AF13" s="6" t="e">
        <f>AF12/S12</f>
        <v>#DIV/0!</v>
      </c>
    </row>
    <row r="14" spans="1:34" hidden="1" outlineLevel="2" x14ac:dyDescent="0.25">
      <c r="B14" s="46" t="s">
        <v>262</v>
      </c>
      <c r="P14" s="48" t="e">
        <f>GEOMEAN(P4:P7,P8:P8)</f>
        <v>#NUM!</v>
      </c>
      <c r="Q14" s="48" t="e">
        <f>GEOMEAN(Q4:Q7,Q8:Q8)</f>
        <v>#NUM!</v>
      </c>
      <c r="R14" s="48" t="e">
        <f>GEOMEAN(R4:R7,R8:R8)</f>
        <v>#NUM!</v>
      </c>
      <c r="S14" s="48" t="e">
        <f>GEOMEAN(S4:S7,S8:S8)</f>
        <v>#NUM!</v>
      </c>
      <c r="AC14" s="48" t="e">
        <f>GEOMEAN(AC4:AC7,AC8:AC8)</f>
        <v>#NUM!</v>
      </c>
      <c r="AD14" s="48" t="e">
        <f>GEOMEAN(AD4:AD7,AD8:AD8)</f>
        <v>#NUM!</v>
      </c>
      <c r="AE14" s="48" t="e">
        <f>GEOMEAN(AE4:AE7,AE8:AE8)</f>
        <v>#NUM!</v>
      </c>
      <c r="AF14" s="48" t="e">
        <f>GEOMEAN(AF4:AF7,AF8:AF8)</f>
        <v>#NUM!</v>
      </c>
    </row>
    <row r="15" spans="1:34" outlineLevel="2" collapsed="1" x14ac:dyDescent="0.25">
      <c r="B15" s="46" t="s">
        <v>263</v>
      </c>
      <c r="AC15" s="6" t="e">
        <f>AC14/P14</f>
        <v>#NUM!</v>
      </c>
      <c r="AD15" s="6" t="e">
        <f>AD14/Q14</f>
        <v>#NUM!</v>
      </c>
      <c r="AE15" s="6" t="e">
        <f>AE14/R14</f>
        <v>#NUM!</v>
      </c>
      <c r="AF15" s="6" t="e">
        <f>AF14/S14</f>
        <v>#NUM!</v>
      </c>
    </row>
    <row r="17" spans="2:2" x14ac:dyDescent="0.25">
      <c r="B17" s="5"/>
    </row>
  </sheetData>
  <mergeCells count="28">
    <mergeCell ref="A1:F1"/>
    <mergeCell ref="H1:S1"/>
    <mergeCell ref="U1:AF1"/>
    <mergeCell ref="Z2:Z3"/>
    <mergeCell ref="AA2:AB2"/>
    <mergeCell ref="AC2:AD2"/>
    <mergeCell ref="AE2:AF2"/>
    <mergeCell ref="L2:L3"/>
    <mergeCell ref="M2:M3"/>
    <mergeCell ref="N2:O2"/>
    <mergeCell ref="P2:Q2"/>
    <mergeCell ref="R2:S2"/>
    <mergeCell ref="F2:F3"/>
    <mergeCell ref="H2:H3"/>
    <mergeCell ref="I2:I3"/>
    <mergeCell ref="J2:J3"/>
    <mergeCell ref="AH2:AH3"/>
    <mergeCell ref="U2:U3"/>
    <mergeCell ref="V2:V3"/>
    <mergeCell ref="W2:W3"/>
    <mergeCell ref="X2:X3"/>
    <mergeCell ref="Y2:Y3"/>
    <mergeCell ref="K2:K3"/>
    <mergeCell ref="A2:A3"/>
    <mergeCell ref="B2:B3"/>
    <mergeCell ref="C2:C3"/>
    <mergeCell ref="D2:D3"/>
    <mergeCell ref="E2:E3"/>
  </mergeCells>
  <conditionalFormatting sqref="AH9 AH10 AH11">
    <cfRule type="cellIs" dxfId="105" priority="1" operator="greaterThanOrEqual">
      <formula>1.03</formula>
    </cfRule>
    <cfRule type="cellIs" dxfId="104" priority="2" operator="lessThanOrEqual">
      <formula>0.97</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D20"/>
  <sheetViews>
    <sheetView zoomScale="85" zoomScaleNormal="85" workbookViewId="0">
      <pane xSplit="2" topLeftCell="AD1" activePane="topRight" state="frozen"/>
      <selection pane="topRight" activeCell="AK4" sqref="AK4:AT8"/>
    </sheetView>
  </sheetViews>
  <sheetFormatPr defaultRowHeight="15" outlineLevelRow="2" x14ac:dyDescent="0.25"/>
  <cols>
    <col min="2" max="2" width="24.7109375" customWidth="1"/>
    <col min="3" max="4" width="10.7109375" customWidth="1"/>
    <col min="7" max="7" width="1.7109375" customWidth="1"/>
    <col min="10" max="13" width="10.7109375" customWidth="1"/>
    <col min="14" max="14" width="12.7109375" customWidth="1"/>
    <col min="15" max="15" width="10.7109375" customWidth="1"/>
    <col min="16" max="19" width="12.7109375" customWidth="1"/>
    <col min="20" max="24" width="11.7109375" customWidth="1"/>
    <col min="29" max="29" width="1.7109375" customWidth="1"/>
    <col min="32" max="35" width="10.7109375" customWidth="1"/>
    <col min="36" max="36" width="12.7109375" customWidth="1"/>
    <col min="37" max="37" width="10.7109375" customWidth="1"/>
    <col min="38" max="41" width="12.7109375" customWidth="1"/>
    <col min="42" max="46" width="11.7109375" customWidth="1"/>
    <col min="51" max="51" width="1.7109375" customWidth="1"/>
    <col min="52" max="52" width="6.5703125" style="5" customWidth="1"/>
    <col min="53" max="53" width="5.7109375" style="5" customWidth="1"/>
    <col min="57" max="57" width="1.7109375" customWidth="1"/>
  </cols>
  <sheetData>
    <row r="1" spans="1:56" x14ac:dyDescent="0.25">
      <c r="A1" s="76" t="s">
        <v>635</v>
      </c>
      <c r="B1" s="76"/>
      <c r="C1" s="76"/>
      <c r="D1" s="76"/>
      <c r="E1" s="76"/>
      <c r="F1" s="76"/>
      <c r="H1" s="65" t="s">
        <v>1477</v>
      </c>
      <c r="I1" s="65"/>
      <c r="J1" s="65"/>
      <c r="K1" s="65"/>
      <c r="L1" s="65"/>
      <c r="M1" s="65"/>
      <c r="N1" s="65"/>
      <c r="O1" s="65"/>
      <c r="P1" s="65"/>
      <c r="Q1" s="65"/>
      <c r="R1" s="65"/>
      <c r="S1" s="65"/>
      <c r="T1" s="65"/>
      <c r="U1" s="65"/>
      <c r="V1" s="65"/>
      <c r="W1" s="65"/>
      <c r="X1" s="65"/>
      <c r="Y1" s="65"/>
      <c r="Z1" s="65"/>
      <c r="AA1" s="65"/>
      <c r="AB1" s="65"/>
      <c r="AD1" s="66"/>
      <c r="AE1" s="66"/>
      <c r="AF1" s="66"/>
      <c r="AG1" s="66"/>
      <c r="AH1" s="66"/>
      <c r="AI1" s="66"/>
      <c r="AJ1" s="66"/>
      <c r="AK1" s="66"/>
      <c r="AL1" s="66"/>
      <c r="AM1" s="66"/>
      <c r="AN1" s="66"/>
      <c r="AO1" s="66"/>
      <c r="AP1" s="66"/>
      <c r="AQ1" s="66"/>
      <c r="AR1" s="66"/>
      <c r="AS1" s="66"/>
      <c r="AT1" s="66"/>
      <c r="AU1" s="66"/>
      <c r="AV1" s="66"/>
      <c r="AW1" s="66"/>
      <c r="AX1" s="66"/>
    </row>
    <row r="2" spans="1:56" ht="30" customHeight="1" thickBot="1" x14ac:dyDescent="0.3">
      <c r="A2" s="75" t="s">
        <v>97</v>
      </c>
      <c r="B2" s="73" t="s">
        <v>99</v>
      </c>
      <c r="C2" s="75" t="s">
        <v>101</v>
      </c>
      <c r="D2" s="73" t="s">
        <v>103</v>
      </c>
      <c r="E2" s="75" t="s">
        <v>513</v>
      </c>
      <c r="F2" s="73" t="s">
        <v>515</v>
      </c>
      <c r="H2" s="75" t="s">
        <v>105</v>
      </c>
      <c r="I2" s="73" t="s">
        <v>518</v>
      </c>
      <c r="J2" s="74" t="s">
        <v>107</v>
      </c>
      <c r="K2" s="74"/>
      <c r="L2" s="74"/>
      <c r="M2" s="74"/>
      <c r="N2" s="73" t="s">
        <v>112</v>
      </c>
      <c r="O2" s="75" t="s">
        <v>26</v>
      </c>
      <c r="P2" s="77" t="s">
        <v>115</v>
      </c>
      <c r="Q2" s="77"/>
      <c r="R2" s="77"/>
      <c r="S2" s="77"/>
      <c r="T2" s="74" t="s">
        <v>374</v>
      </c>
      <c r="U2" s="74"/>
      <c r="V2" s="77" t="s">
        <v>284</v>
      </c>
      <c r="W2" s="77"/>
      <c r="X2" s="77"/>
      <c r="Y2" s="74" t="s">
        <v>528</v>
      </c>
      <c r="Z2" s="74"/>
      <c r="AA2" s="77" t="s">
        <v>533</v>
      </c>
      <c r="AB2" s="77"/>
      <c r="AD2" s="75" t="s">
        <v>105</v>
      </c>
      <c r="AE2" s="73" t="s">
        <v>518</v>
      </c>
      <c r="AF2" s="74" t="s">
        <v>107</v>
      </c>
      <c r="AG2" s="74"/>
      <c r="AH2" s="74"/>
      <c r="AI2" s="74"/>
      <c r="AJ2" s="73" t="s">
        <v>112</v>
      </c>
      <c r="AK2" s="75" t="s">
        <v>26</v>
      </c>
      <c r="AL2" s="77" t="s">
        <v>115</v>
      </c>
      <c r="AM2" s="77"/>
      <c r="AN2" s="77"/>
      <c r="AO2" s="77"/>
      <c r="AP2" s="74" t="s">
        <v>374</v>
      </c>
      <c r="AQ2" s="74"/>
      <c r="AR2" s="77" t="s">
        <v>284</v>
      </c>
      <c r="AS2" s="77"/>
      <c r="AT2" s="77"/>
      <c r="AU2" s="74" t="s">
        <v>528</v>
      </c>
      <c r="AV2" s="74"/>
      <c r="AW2" s="77" t="s">
        <v>533</v>
      </c>
      <c r="AX2" s="77"/>
      <c r="AZ2" s="73" t="s">
        <v>115</v>
      </c>
      <c r="BA2" s="73"/>
      <c r="BB2" s="75" t="s">
        <v>131</v>
      </c>
      <c r="BC2" s="73" t="s">
        <v>133</v>
      </c>
      <c r="BD2" s="75" t="s">
        <v>133</v>
      </c>
    </row>
    <row r="3" spans="1:56" ht="30" customHeight="1" thickBot="1" x14ac:dyDescent="0.3">
      <c r="A3" s="75"/>
      <c r="B3" s="73"/>
      <c r="C3" s="75"/>
      <c r="D3" s="73"/>
      <c r="E3" s="75"/>
      <c r="F3" s="73"/>
      <c r="H3" s="75"/>
      <c r="I3" s="73"/>
      <c r="J3" s="16" t="s">
        <v>108</v>
      </c>
      <c r="K3" s="16" t="s">
        <v>587</v>
      </c>
      <c r="L3" s="16" t="s">
        <v>110</v>
      </c>
      <c r="M3" s="16" t="s">
        <v>366</v>
      </c>
      <c r="N3" s="73"/>
      <c r="O3" s="75"/>
      <c r="P3" s="17" t="s">
        <v>108</v>
      </c>
      <c r="Q3" s="17" t="s">
        <v>110</v>
      </c>
      <c r="R3" s="17" t="s">
        <v>597</v>
      </c>
      <c r="S3" s="17" t="s">
        <v>372</v>
      </c>
      <c r="T3" s="16" t="s">
        <v>375</v>
      </c>
      <c r="U3" s="16" t="s">
        <v>377</v>
      </c>
      <c r="V3" s="17" t="s">
        <v>285</v>
      </c>
      <c r="W3" s="17" t="s">
        <v>287</v>
      </c>
      <c r="X3" s="17" t="s">
        <v>289</v>
      </c>
      <c r="Y3" s="16" t="s">
        <v>529</v>
      </c>
      <c r="Z3" s="16" t="s">
        <v>531</v>
      </c>
      <c r="AA3" s="17" t="s">
        <v>529</v>
      </c>
      <c r="AB3" s="17" t="s">
        <v>531</v>
      </c>
      <c r="AD3" s="75"/>
      <c r="AE3" s="73"/>
      <c r="AF3" s="16" t="s">
        <v>108</v>
      </c>
      <c r="AG3" s="16" t="s">
        <v>587</v>
      </c>
      <c r="AH3" s="16" t="s">
        <v>110</v>
      </c>
      <c r="AI3" s="16" t="s">
        <v>366</v>
      </c>
      <c r="AJ3" s="73"/>
      <c r="AK3" s="75"/>
      <c r="AL3" s="17" t="s">
        <v>108</v>
      </c>
      <c r="AM3" s="17" t="s">
        <v>110</v>
      </c>
      <c r="AN3" s="17" t="s">
        <v>597</v>
      </c>
      <c r="AO3" s="17" t="s">
        <v>372</v>
      </c>
      <c r="AP3" s="16" t="s">
        <v>375</v>
      </c>
      <c r="AQ3" s="16" t="s">
        <v>377</v>
      </c>
      <c r="AR3" s="17" t="s">
        <v>285</v>
      </c>
      <c r="AS3" s="17" t="s">
        <v>287</v>
      </c>
      <c r="AT3" s="17" t="s">
        <v>289</v>
      </c>
      <c r="AU3" s="16" t="s">
        <v>529</v>
      </c>
      <c r="AV3" s="16" t="s">
        <v>531</v>
      </c>
      <c r="AW3" s="17" t="s">
        <v>529</v>
      </c>
      <c r="AX3" s="17" t="s">
        <v>531</v>
      </c>
      <c r="AZ3" s="17" t="s">
        <v>595</v>
      </c>
      <c r="BA3" s="17" t="s">
        <v>619</v>
      </c>
      <c r="BB3" s="75"/>
      <c r="BC3" s="73"/>
      <c r="BD3" s="75"/>
    </row>
    <row r="4" spans="1:56" collapsed="1" x14ac:dyDescent="0.25">
      <c r="A4" s="18" t="s">
        <v>566</v>
      </c>
      <c r="B4" s="18" t="s">
        <v>554</v>
      </c>
      <c r="C4" s="18">
        <v>238146391</v>
      </c>
      <c r="D4" s="19">
        <v>10</v>
      </c>
      <c r="E4" s="19">
        <v>300</v>
      </c>
      <c r="F4" s="19">
        <v>30</v>
      </c>
      <c r="H4" s="20">
        <f>IF(ISBLANK(P4),"·",P4/(C4*D4*3))</f>
        <v>3.3898645140500998E-2</v>
      </c>
      <c r="I4" s="55">
        <f>IF(OR(ISBLANK(P4),ISBLANK(F4)),"·",P4*F4/E4/1000000)</f>
        <v>24.218520000000002</v>
      </c>
      <c r="J4" s="21">
        <f>IF(ISBLANK(P4),"·",P4/C4)</f>
        <v>1.0169593542150299</v>
      </c>
      <c r="K4" s="21">
        <f>IF(AZ4="","·",AZ4/C4)</f>
        <v>0.19194029272524227</v>
      </c>
      <c r="L4" s="21">
        <f>IF(Q4="","·",Q4/C4)</f>
        <v>0.18225488875873833</v>
      </c>
      <c r="M4" s="21">
        <f>IF(ISBLANK(S4),"·",S4/C4)</f>
        <v>0.82501798652073632</v>
      </c>
      <c r="N4" s="21">
        <f>IF(ISBLANK(P4),"·",P4/O4)</f>
        <v>6.7031938325076723</v>
      </c>
      <c r="O4" s="22">
        <v>36129822</v>
      </c>
      <c r="P4" s="23">
        <v>242185200</v>
      </c>
      <c r="Q4" s="23">
        <v>43403344</v>
      </c>
      <c r="R4" s="23">
        <v>2306544</v>
      </c>
      <c r="S4" s="23">
        <v>196475056</v>
      </c>
      <c r="T4" s="49" t="s">
        <v>1476</v>
      </c>
      <c r="U4" s="49" t="s">
        <v>1476</v>
      </c>
      <c r="V4" s="49" t="s">
        <v>1476</v>
      </c>
      <c r="W4" s="49" t="s">
        <v>1476</v>
      </c>
      <c r="X4" s="49" t="s">
        <v>1476</v>
      </c>
      <c r="Y4" s="24"/>
      <c r="Z4" s="24"/>
      <c r="AA4" s="24"/>
      <c r="AB4" s="24"/>
      <c r="AD4" s="20" t="str">
        <f>IF(ISBLANK(AL4),"·",AL4/(C4*D4*3))</f>
        <v>·</v>
      </c>
      <c r="AE4" s="55" t="str">
        <f>IF(OR(ISBLANK(AL4),ISBLANK(F4)),"·",AL4*F4/E4/1000000)</f>
        <v>·</v>
      </c>
      <c r="AF4" s="21" t="str">
        <f>IF(ISBLANK(AL4),"·",AL4/C4)</f>
        <v>·</v>
      </c>
      <c r="AG4" s="21" t="str">
        <f>IF(BA4="","·",BA4/C4)</f>
        <v>·</v>
      </c>
      <c r="AH4" s="21" t="str">
        <f>IF(AM4="","·",AM4/C4)</f>
        <v>·</v>
      </c>
      <c r="AI4" s="21" t="str">
        <f>IF(ISBLANK(AO4),"·",AO4/C4)</f>
        <v>·</v>
      </c>
      <c r="AJ4" s="21" t="str">
        <f>IF(ISBLANK(AL4),"·",AL4/AK4)</f>
        <v>·</v>
      </c>
      <c r="AK4" s="22"/>
      <c r="AL4" s="23"/>
      <c r="AM4" s="23"/>
      <c r="AN4" s="23"/>
      <c r="AO4" s="23"/>
      <c r="AP4" s="49"/>
      <c r="AQ4" s="49"/>
      <c r="AR4" s="49"/>
      <c r="AS4" s="49"/>
      <c r="AT4" s="49"/>
      <c r="AU4" s="24"/>
      <c r="AV4" s="24"/>
      <c r="AW4" s="24"/>
      <c r="AX4" s="24"/>
      <c r="AZ4" s="18">
        <f>IF(OR(ISBLANK(Q4),ISBLANK(R4)),"",Q4+R4)</f>
        <v>45709888</v>
      </c>
      <c r="BA4" s="18" t="str">
        <f>IF(OR(ISBLANK(AM4),ISBLANK(AN4)),"",AM4+AN4)</f>
        <v/>
      </c>
      <c r="BB4" s="20" t="e">
        <f t="shared" ref="BB4:BB11" si="0">AF4/J4</f>
        <v>#VALUE!</v>
      </c>
      <c r="BC4" s="20" t="e">
        <f>(BA4/AL4) - (AZ4/P4)</f>
        <v>#VALUE!</v>
      </c>
      <c r="BD4" s="20" t="e">
        <f t="array" ref="BD4">AVERAGE(BA4:BA4/AL4:AL4) - AVERAGE(AZ4:AZ4/P4:P4)</f>
        <v>#VALUE!</v>
      </c>
    </row>
    <row r="5" spans="1:56" collapsed="1" x14ac:dyDescent="0.25">
      <c r="A5" s="25"/>
      <c r="B5" s="25" t="s">
        <v>557</v>
      </c>
      <c r="C5" s="25">
        <v>218121242</v>
      </c>
      <c r="D5" s="26">
        <v>10</v>
      </c>
      <c r="E5" s="26">
        <v>300</v>
      </c>
      <c r="F5" s="26">
        <v>30</v>
      </c>
      <c r="H5" s="27">
        <f>IF(ISBLANK(P5),"·",P5/(C5*D5*3))</f>
        <v>4.8821852939935122E-2</v>
      </c>
      <c r="I5" s="56">
        <f>IF(OR(ISBLANK(P5),ISBLANK(F5)),"·",P5*F5/E5/1000000)</f>
        <v>31.947249600000003</v>
      </c>
      <c r="J5" s="28">
        <f>IF(ISBLANK(P5),"·",P5/C5)</f>
        <v>1.4646555881980536</v>
      </c>
      <c r="K5" s="28">
        <f>IF(AZ5="","·",AZ5/C5)</f>
        <v>0.24139521450185031</v>
      </c>
      <c r="L5" s="28">
        <f>IF(Q5="","·",Q5/C5)</f>
        <v>0.22668438684206649</v>
      </c>
      <c r="M5" s="28">
        <f>IF(ISBLANK(S5),"·",S5/C5)</f>
        <v>1.2232592000370144</v>
      </c>
      <c r="N5" s="28">
        <f>IF(ISBLANK(P5),"·",P5/O5)</f>
        <v>9.9903932613608681</v>
      </c>
      <c r="O5" s="29">
        <v>31977970</v>
      </c>
      <c r="P5" s="30">
        <v>319472496</v>
      </c>
      <c r="Q5" s="30">
        <v>49444680</v>
      </c>
      <c r="R5" s="30">
        <v>3208744</v>
      </c>
      <c r="S5" s="30">
        <v>266818816</v>
      </c>
      <c r="T5" s="51" t="s">
        <v>1476</v>
      </c>
      <c r="U5" s="51" t="s">
        <v>1476</v>
      </c>
      <c r="V5" s="51" t="s">
        <v>1476</v>
      </c>
      <c r="W5" s="51" t="s">
        <v>1476</v>
      </c>
      <c r="X5" s="51" t="s">
        <v>1476</v>
      </c>
      <c r="Y5" s="31"/>
      <c r="Z5" s="31"/>
      <c r="AA5" s="31"/>
      <c r="AB5" s="31"/>
      <c r="AD5" s="27" t="str">
        <f>IF(ISBLANK(AL5),"·",AL5/(C5*D5*3))</f>
        <v>·</v>
      </c>
      <c r="AE5" s="56" t="str">
        <f>IF(OR(ISBLANK(AL5),ISBLANK(F5)),"·",AL5*F5/E5/1000000)</f>
        <v>·</v>
      </c>
      <c r="AF5" s="28" t="str">
        <f>IF(ISBLANK(AL5),"·",AL5/C5)</f>
        <v>·</v>
      </c>
      <c r="AG5" s="28" t="str">
        <f>IF(BA5="","·",BA5/C5)</f>
        <v>·</v>
      </c>
      <c r="AH5" s="28" t="str">
        <f>IF(AM5="","·",AM5/C5)</f>
        <v>·</v>
      </c>
      <c r="AI5" s="28" t="str">
        <f>IF(ISBLANK(AO5),"·",AO5/C5)</f>
        <v>·</v>
      </c>
      <c r="AJ5" s="28" t="str">
        <f>IF(ISBLANK(AL5),"·",AL5/AK5)</f>
        <v>·</v>
      </c>
      <c r="AK5" s="29"/>
      <c r="AL5" s="30"/>
      <c r="AM5" s="30"/>
      <c r="AN5" s="30"/>
      <c r="AO5" s="30"/>
      <c r="AP5" s="51"/>
      <c r="AQ5" s="51"/>
      <c r="AR5" s="51"/>
      <c r="AS5" s="51"/>
      <c r="AT5" s="51"/>
      <c r="AU5" s="31"/>
      <c r="AV5" s="31"/>
      <c r="AW5" s="31"/>
      <c r="AX5" s="31"/>
      <c r="AZ5" s="25">
        <f>IF(OR(ISBLANK(Q5),ISBLANK(R5)),"",Q5+R5)</f>
        <v>52653424</v>
      </c>
      <c r="BA5" s="25" t="str">
        <f>IF(OR(ISBLANK(AM5),ISBLANK(AN5)),"",AM5+AN5)</f>
        <v/>
      </c>
      <c r="BB5" s="27" t="e">
        <f t="shared" si="0"/>
        <v>#VALUE!</v>
      </c>
      <c r="BC5" s="27" t="e">
        <f>(BA5/AL5) - (AZ5/P5)</f>
        <v>#VALUE!</v>
      </c>
      <c r="BD5" s="27" t="e">
        <f t="array" ref="BD5">AVERAGE(BA5:BA5/AL5:AL5) - AVERAGE(AZ5:AZ5/P5:P5)</f>
        <v>#VALUE!</v>
      </c>
    </row>
    <row r="6" spans="1:56" collapsed="1" x14ac:dyDescent="0.25">
      <c r="A6" s="18"/>
      <c r="B6" s="18" t="s">
        <v>560</v>
      </c>
      <c r="C6" s="18">
        <v>322589704</v>
      </c>
      <c r="D6" s="19">
        <v>10</v>
      </c>
      <c r="E6" s="19">
        <v>300</v>
      </c>
      <c r="F6" s="19">
        <v>30</v>
      </c>
      <c r="H6" s="20">
        <f>IF(ISBLANK(P6),"·",P6/(C6*D6*3))</f>
        <v>4.0289431349406407E-2</v>
      </c>
      <c r="I6" s="55">
        <f>IF(OR(ISBLANK(P6),ISBLANK(F6)),"·",P6*F6/E6/1000000)</f>
        <v>38.990867200000004</v>
      </c>
      <c r="J6" s="21">
        <f>IF(ISBLANK(P6),"·",P6/C6)</f>
        <v>1.2086829404821922</v>
      </c>
      <c r="K6" s="21">
        <f>IF(AZ6="","·",AZ6/C6)</f>
        <v>0.23594064862032918</v>
      </c>
      <c r="L6" s="21">
        <f>IF(Q6="","·",Q6/C6)</f>
        <v>0.22266037356232549</v>
      </c>
      <c r="M6" s="21">
        <f>IF(ISBLANK(S6),"·",S6/C6)</f>
        <v>0.97274149828414858</v>
      </c>
      <c r="N6" s="21">
        <f>IF(ISBLANK(P6),"·",P6/O6)</f>
        <v>8.2247962536095276</v>
      </c>
      <c r="O6" s="22">
        <v>47406484</v>
      </c>
      <c r="P6" s="23">
        <v>389908672</v>
      </c>
      <c r="Q6" s="23">
        <v>71827944</v>
      </c>
      <c r="R6" s="23">
        <v>4284080</v>
      </c>
      <c r="S6" s="23">
        <v>313796392</v>
      </c>
      <c r="T6" s="49" t="s">
        <v>1476</v>
      </c>
      <c r="U6" s="49" t="s">
        <v>1476</v>
      </c>
      <c r="V6" s="49" t="s">
        <v>1476</v>
      </c>
      <c r="W6" s="49" t="s">
        <v>1476</v>
      </c>
      <c r="X6" s="49" t="s">
        <v>1476</v>
      </c>
      <c r="Y6" s="24"/>
      <c r="Z6" s="24"/>
      <c r="AA6" s="24"/>
      <c r="AB6" s="24"/>
      <c r="AD6" s="20" t="str">
        <f>IF(ISBLANK(AL6),"·",AL6/(C6*D6*3))</f>
        <v>·</v>
      </c>
      <c r="AE6" s="55" t="str">
        <f>IF(OR(ISBLANK(AL6),ISBLANK(F6)),"·",AL6*F6/E6/1000000)</f>
        <v>·</v>
      </c>
      <c r="AF6" s="21" t="str">
        <f>IF(ISBLANK(AL6),"·",AL6/C6)</f>
        <v>·</v>
      </c>
      <c r="AG6" s="21" t="str">
        <f>IF(BA6="","·",BA6/C6)</f>
        <v>·</v>
      </c>
      <c r="AH6" s="21" t="str">
        <f>IF(AM6="","·",AM6/C6)</f>
        <v>·</v>
      </c>
      <c r="AI6" s="21" t="str">
        <f>IF(ISBLANK(AO6),"·",AO6/C6)</f>
        <v>·</v>
      </c>
      <c r="AJ6" s="21" t="str">
        <f>IF(ISBLANK(AL6),"·",AL6/AK6)</f>
        <v>·</v>
      </c>
      <c r="AK6" s="22"/>
      <c r="AL6" s="23"/>
      <c r="AM6" s="23"/>
      <c r="AN6" s="23"/>
      <c r="AO6" s="23"/>
      <c r="AP6" s="49"/>
      <c r="AQ6" s="49"/>
      <c r="AR6" s="49"/>
      <c r="AS6" s="49"/>
      <c r="AT6" s="49"/>
      <c r="AU6" s="24"/>
      <c r="AV6" s="24"/>
      <c r="AW6" s="24"/>
      <c r="AX6" s="24"/>
      <c r="AZ6" s="18">
        <f>IF(OR(ISBLANK(Q6),ISBLANK(R6)),"",Q6+R6)</f>
        <v>76112024</v>
      </c>
      <c r="BA6" s="18" t="str">
        <f>IF(OR(ISBLANK(AM6),ISBLANK(AN6)),"",AM6+AN6)</f>
        <v/>
      </c>
      <c r="BB6" s="20" t="e">
        <f t="shared" si="0"/>
        <v>#VALUE!</v>
      </c>
      <c r="BC6" s="20" t="e">
        <f>(BA6/AL6) - (AZ6/P6)</f>
        <v>#VALUE!</v>
      </c>
      <c r="BD6" s="20" t="e">
        <f t="array" ref="BD6">AVERAGE(BA6:BA6/AL6:AL6) - AVERAGE(AZ6:AZ6/P6:P6)</f>
        <v>#VALUE!</v>
      </c>
    </row>
    <row r="7" spans="1:56" ht="15.75" collapsed="1" thickBot="1" x14ac:dyDescent="0.3">
      <c r="A7" s="32"/>
      <c r="B7" s="32" t="s">
        <v>563</v>
      </c>
      <c r="C7" s="32">
        <v>250602891</v>
      </c>
      <c r="D7" s="33">
        <v>10</v>
      </c>
      <c r="E7" s="33">
        <v>250</v>
      </c>
      <c r="F7" s="33">
        <v>50</v>
      </c>
      <c r="H7" s="34">
        <f>IF(ISBLANK(P7),"·",P7/(C7*D7*3))</f>
        <v>4.0066522616452979E-2</v>
      </c>
      <c r="I7" s="57">
        <f>IF(OR(ISBLANK(P7),ISBLANK(F7)),"·",P7*F7/E7/1000000)</f>
        <v>60.244718399999996</v>
      </c>
      <c r="J7" s="35">
        <f>IF(ISBLANK(P7),"·",P7/C7)</f>
        <v>1.2019956784935892</v>
      </c>
      <c r="K7" s="35">
        <f>IF(AZ7="","·",AZ7/C7)</f>
        <v>0.23365696926457244</v>
      </c>
      <c r="L7" s="35">
        <f>IF(Q7="","·",Q7/C7)</f>
        <v>0.2168199089131817</v>
      </c>
      <c r="M7" s="35">
        <f>IF(ISBLANK(S7),"·",S7/C7)</f>
        <v>0.96833768769251749</v>
      </c>
      <c r="N7" s="35">
        <f>IF(ISBLANK(P7),"·",P7/O7)</f>
        <v>7.8843493187338067</v>
      </c>
      <c r="O7" s="36">
        <v>38205257</v>
      </c>
      <c r="P7" s="37">
        <v>301223592</v>
      </c>
      <c r="Q7" s="37">
        <v>54335696</v>
      </c>
      <c r="R7" s="37">
        <v>4219416</v>
      </c>
      <c r="S7" s="37">
        <v>242668224</v>
      </c>
      <c r="T7" s="53" t="s">
        <v>1476</v>
      </c>
      <c r="U7" s="53" t="s">
        <v>1476</v>
      </c>
      <c r="V7" s="53" t="s">
        <v>1476</v>
      </c>
      <c r="W7" s="53" t="s">
        <v>1476</v>
      </c>
      <c r="X7" s="53" t="s">
        <v>1476</v>
      </c>
      <c r="Y7" s="38"/>
      <c r="Z7" s="38"/>
      <c r="AA7" s="38"/>
      <c r="AB7" s="38"/>
      <c r="AD7" s="34" t="str">
        <f>IF(ISBLANK(AL7),"·",AL7/(C7*D7*3))</f>
        <v>·</v>
      </c>
      <c r="AE7" s="57" t="str">
        <f>IF(OR(ISBLANK(AL7),ISBLANK(F7)),"·",AL7*F7/E7/1000000)</f>
        <v>·</v>
      </c>
      <c r="AF7" s="35" t="str">
        <f>IF(ISBLANK(AL7),"·",AL7/C7)</f>
        <v>·</v>
      </c>
      <c r="AG7" s="35" t="str">
        <f>IF(BA7="","·",BA7/C7)</f>
        <v>·</v>
      </c>
      <c r="AH7" s="35" t="str">
        <f>IF(AM7="","·",AM7/C7)</f>
        <v>·</v>
      </c>
      <c r="AI7" s="35" t="str">
        <f>IF(ISBLANK(AO7),"·",AO7/C7)</f>
        <v>·</v>
      </c>
      <c r="AJ7" s="35" t="str">
        <f>IF(ISBLANK(AL7),"·",AL7/AK7)</f>
        <v>·</v>
      </c>
      <c r="AK7" s="36"/>
      <c r="AL7" s="37"/>
      <c r="AM7" s="37"/>
      <c r="AN7" s="37"/>
      <c r="AO7" s="37"/>
      <c r="AP7" s="53"/>
      <c r="AQ7" s="53"/>
      <c r="AR7" s="53"/>
      <c r="AS7" s="53"/>
      <c r="AT7" s="53"/>
      <c r="AU7" s="38"/>
      <c r="AV7" s="38"/>
      <c r="AW7" s="38"/>
      <c r="AX7" s="38"/>
      <c r="AZ7" s="32">
        <f>IF(OR(ISBLANK(Q7),ISBLANK(R7)),"",Q7+R7)</f>
        <v>58555112</v>
      </c>
      <c r="BA7" s="32" t="str">
        <f>IF(OR(ISBLANK(AM7),ISBLANK(AN7)),"",AM7+AN7)</f>
        <v/>
      </c>
      <c r="BB7" s="34" t="e">
        <f t="shared" si="0"/>
        <v>#VALUE!</v>
      </c>
      <c r="BC7" s="34" t="e">
        <f>(BA7/AL7) - (AZ7/P7)</f>
        <v>#VALUE!</v>
      </c>
      <c r="BD7" s="34" t="e">
        <f t="array" ref="BD7">AVERAGE(BA7:BA7/AL7:AL7) - AVERAGE(AZ7:AZ7/P7:P7)</f>
        <v>#VALUE!</v>
      </c>
    </row>
    <row r="8" spans="1:56" ht="15.75" collapsed="1" thickBot="1" x14ac:dyDescent="0.3">
      <c r="A8" s="39" t="s">
        <v>570</v>
      </c>
      <c r="B8" s="39" t="s">
        <v>567</v>
      </c>
      <c r="C8" s="39">
        <v>250294582</v>
      </c>
      <c r="D8" s="40">
        <v>10</v>
      </c>
      <c r="E8" s="40">
        <v>300</v>
      </c>
      <c r="F8" s="40">
        <v>30</v>
      </c>
      <c r="H8" s="41">
        <f>IF(ISBLANK(P8),"·",P8/(C8*D8*3))</f>
        <v>5.6079328157410936E-2</v>
      </c>
      <c r="I8" s="58">
        <f>IF(OR(ISBLANK(P8),ISBLANK(F8)),"·",P8*F8/E8/1000000)</f>
        <v>42.109056000000002</v>
      </c>
      <c r="J8" s="42">
        <f>IF(ISBLANK(P8),"·",P8/C8)</f>
        <v>1.6823798447223279</v>
      </c>
      <c r="K8" s="42">
        <f>IF(AZ8="","·",AZ8/C8)</f>
        <v>0.21268778402882088</v>
      </c>
      <c r="L8" s="42">
        <f>IF(Q8="","·",Q8/C8)</f>
        <v>0.20148351433352241</v>
      </c>
      <c r="M8" s="42">
        <f>IF(ISBLANK(S8),"·",S8/C8)</f>
        <v>1.4696910378986949</v>
      </c>
      <c r="N8" s="42">
        <f>IF(ISBLANK(P8),"·",P8/O8)</f>
        <v>11.762960665297355</v>
      </c>
      <c r="O8" s="43">
        <v>35798008</v>
      </c>
      <c r="P8" s="44">
        <v>421090560</v>
      </c>
      <c r="Q8" s="44">
        <v>50430232</v>
      </c>
      <c r="R8" s="44">
        <v>2804368</v>
      </c>
      <c r="S8" s="44">
        <v>367855704</v>
      </c>
      <c r="T8" s="59" t="s">
        <v>1476</v>
      </c>
      <c r="U8" s="59" t="s">
        <v>1476</v>
      </c>
      <c r="V8" s="59" t="s">
        <v>1476</v>
      </c>
      <c r="W8" s="59" t="s">
        <v>1476</v>
      </c>
      <c r="X8" s="59" t="s">
        <v>1476</v>
      </c>
      <c r="Y8" s="45"/>
      <c r="Z8" s="45"/>
      <c r="AA8" s="45"/>
      <c r="AB8" s="45"/>
      <c r="AD8" s="41" t="str">
        <f>IF(ISBLANK(AL8),"·",AL8/(C8*D8*3))</f>
        <v>·</v>
      </c>
      <c r="AE8" s="58" t="str">
        <f>IF(OR(ISBLANK(AL8),ISBLANK(F8)),"·",AL8*F8/E8/1000000)</f>
        <v>·</v>
      </c>
      <c r="AF8" s="42" t="str">
        <f>IF(ISBLANK(AL8),"·",AL8/C8)</f>
        <v>·</v>
      </c>
      <c r="AG8" s="42" t="str">
        <f>IF(BA8="","·",BA8/C8)</f>
        <v>·</v>
      </c>
      <c r="AH8" s="42" t="str">
        <f>IF(AM8="","·",AM8/C8)</f>
        <v>·</v>
      </c>
      <c r="AI8" s="42" t="str">
        <f>IF(ISBLANK(AO8),"·",AO8/C8)</f>
        <v>·</v>
      </c>
      <c r="AJ8" s="42" t="str">
        <f>IF(ISBLANK(AL8),"·",AL8/AK8)</f>
        <v>·</v>
      </c>
      <c r="AK8" s="43"/>
      <c r="AL8" s="44"/>
      <c r="AM8" s="44"/>
      <c r="AN8" s="44"/>
      <c r="AO8" s="44"/>
      <c r="AP8" s="59"/>
      <c r="AQ8" s="59"/>
      <c r="AR8" s="59"/>
      <c r="AS8" s="59"/>
      <c r="AT8" s="59"/>
      <c r="AU8" s="45"/>
      <c r="AV8" s="45"/>
      <c r="AW8" s="45"/>
      <c r="AX8" s="45"/>
      <c r="AZ8" s="39">
        <f>IF(OR(ISBLANK(Q8),ISBLANK(R8)),"",Q8+R8)</f>
        <v>53234600</v>
      </c>
      <c r="BA8" s="39" t="str">
        <f>IF(OR(ISBLANK(AM8),ISBLANK(AN8)),"",AM8+AN8)</f>
        <v/>
      </c>
      <c r="BB8" s="41" t="e">
        <f t="shared" si="0"/>
        <v>#VALUE!</v>
      </c>
      <c r="BC8" s="41" t="e">
        <f>(BA8/AL8) - (AZ8/P8)</f>
        <v>#VALUE!</v>
      </c>
      <c r="BD8" s="41" t="e">
        <f t="array" ref="BD8">AVERAGE(BA8:BA8/AL8:AL8) - AVERAGE(AZ8:AZ8/P8:P8)</f>
        <v>#VALUE!</v>
      </c>
    </row>
    <row r="9" spans="1:56" x14ac:dyDescent="0.25">
      <c r="B9" s="46" t="s">
        <v>571</v>
      </c>
      <c r="J9" s="47">
        <f>AVERAGE(J4:J7)</f>
        <v>1.2230733903472162</v>
      </c>
      <c r="AF9" s="47" t="e">
        <f>AVERAGE(AF4:AF7)</f>
        <v>#DIV/0!</v>
      </c>
      <c r="BB9" s="6" t="e">
        <f t="shared" si="0"/>
        <v>#DIV/0!</v>
      </c>
      <c r="BD9" s="6" t="e">
        <f>AVERAGE(BD4:BD7)</f>
        <v>#VALUE!</v>
      </c>
    </row>
    <row r="10" spans="1:56" x14ac:dyDescent="0.25">
      <c r="B10" s="46" t="s">
        <v>572</v>
      </c>
      <c r="J10" s="47">
        <f>AVERAGE(J8:J8)</f>
        <v>1.6823798447223279</v>
      </c>
      <c r="AF10" s="47" t="e">
        <f>AVERAGE(AF8:AF8)</f>
        <v>#DIV/0!</v>
      </c>
      <c r="BB10" s="6" t="e">
        <f t="shared" si="0"/>
        <v>#DIV/0!</v>
      </c>
      <c r="BD10" s="6" t="e">
        <f>AVERAGE(BD8:BD8)</f>
        <v>#VALUE!</v>
      </c>
    </row>
    <row r="11" spans="1:56" collapsed="1" x14ac:dyDescent="0.25">
      <c r="B11" s="46" t="s">
        <v>258</v>
      </c>
      <c r="J11" s="47">
        <f>AVERAGE(J4:J7,J8:J8)</f>
        <v>1.3149346812222384</v>
      </c>
      <c r="AF11" s="47" t="e">
        <f>AVERAGE(AF4:AF7,AF8:AF8)</f>
        <v>#DIV/0!</v>
      </c>
      <c r="BB11" s="6" t="e">
        <f t="shared" si="0"/>
        <v>#DIV/0!</v>
      </c>
      <c r="BD11" s="6" t="e">
        <f>AVERAGE(BD4:BD7,BD8:BD8)</f>
        <v>#VALUE!</v>
      </c>
    </row>
    <row r="12" spans="1:56" hidden="1" outlineLevel="2" x14ac:dyDescent="0.25">
      <c r="A12" s="46" t="s">
        <v>259</v>
      </c>
      <c r="B12" s="46" t="s">
        <v>260</v>
      </c>
      <c r="Y12" s="48">
        <f>SUM(Y4:Y7,Y8:Y8)</f>
        <v>0</v>
      </c>
      <c r="Z12" s="48">
        <f>SUM(Z4:Z7,Z8:Z8)</f>
        <v>0</v>
      </c>
      <c r="AA12" s="48">
        <f>SUM(AA4:AA7,AA8:AA8)</f>
        <v>0</v>
      </c>
      <c r="AB12" s="48">
        <f>SUM(AB4:AB7,AB8:AB8)</f>
        <v>0</v>
      </c>
      <c r="AU12" s="48">
        <f>SUM(AU4:AU7,AU8:AU8)</f>
        <v>0</v>
      </c>
      <c r="AV12" s="48">
        <f>SUM(AV4:AV7,AV8:AV8)</f>
        <v>0</v>
      </c>
      <c r="AW12" s="48">
        <f>SUM(AW4:AW7,AW8:AW8)</f>
        <v>0</v>
      </c>
      <c r="AX12" s="48">
        <f>SUM(AX4:AX7,AX8:AX8)</f>
        <v>0</v>
      </c>
    </row>
    <row r="13" spans="1:56" hidden="1" outlineLevel="2" x14ac:dyDescent="0.25">
      <c r="B13" s="46" t="s">
        <v>261</v>
      </c>
      <c r="AU13" s="6" t="e">
        <f>AU12/Y12</f>
        <v>#DIV/0!</v>
      </c>
      <c r="AV13" s="6" t="e">
        <f>AV12/Z12</f>
        <v>#DIV/0!</v>
      </c>
      <c r="AW13" s="6" t="e">
        <f>AW12/AA12</f>
        <v>#DIV/0!</v>
      </c>
      <c r="AX13" s="6" t="e">
        <f>AX12/AB12</f>
        <v>#DIV/0!</v>
      </c>
    </row>
    <row r="14" spans="1:56" hidden="1" outlineLevel="2" x14ac:dyDescent="0.25">
      <c r="B14" s="46" t="s">
        <v>262</v>
      </c>
      <c r="Y14" s="48" t="e">
        <f>GEOMEAN(Y4:Y7,Y8:Y8)</f>
        <v>#NUM!</v>
      </c>
      <c r="Z14" s="48" t="e">
        <f>GEOMEAN(Z4:Z7,Z8:Z8)</f>
        <v>#NUM!</v>
      </c>
      <c r="AA14" s="48" t="e">
        <f>GEOMEAN(AA4:AA7,AA8:AA8)</f>
        <v>#NUM!</v>
      </c>
      <c r="AB14" s="48" t="e">
        <f>GEOMEAN(AB4:AB7,AB8:AB8)</f>
        <v>#NUM!</v>
      </c>
      <c r="AU14" s="48" t="e">
        <f>GEOMEAN(AU4:AU7,AU8:AU8)</f>
        <v>#NUM!</v>
      </c>
      <c r="AV14" s="48" t="e">
        <f>GEOMEAN(AV4:AV7,AV8:AV8)</f>
        <v>#NUM!</v>
      </c>
      <c r="AW14" s="48" t="e">
        <f>GEOMEAN(AW4:AW7,AW8:AW8)</f>
        <v>#NUM!</v>
      </c>
      <c r="AX14" s="48" t="e">
        <f>GEOMEAN(AX4:AX7,AX8:AX8)</f>
        <v>#NUM!</v>
      </c>
    </row>
    <row r="15" spans="1:56" outlineLevel="2" collapsed="1" x14ac:dyDescent="0.25">
      <c r="B15" s="46" t="s">
        <v>263</v>
      </c>
      <c r="AU15" s="6" t="e">
        <f>AU14/Y14</f>
        <v>#NUM!</v>
      </c>
      <c r="AV15" s="6" t="e">
        <f>AV14/Z14</f>
        <v>#NUM!</v>
      </c>
      <c r="AW15" s="6" t="e">
        <f>AW14/AA14</f>
        <v>#NUM!</v>
      </c>
      <c r="AX15" s="6" t="e">
        <f>AX14/AB14</f>
        <v>#NUM!</v>
      </c>
    </row>
    <row r="17" spans="2:51" x14ac:dyDescent="0.25">
      <c r="B17" s="5"/>
    </row>
    <row r="20" spans="2:51" x14ac:dyDescent="0.2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row>
  </sheetData>
  <mergeCells count="33">
    <mergeCell ref="T2:U2"/>
    <mergeCell ref="O2:O3"/>
    <mergeCell ref="A1:F1"/>
    <mergeCell ref="H1:AB1"/>
    <mergeCell ref="AD1:AX1"/>
    <mergeCell ref="AK2:AK3"/>
    <mergeCell ref="AL2:AO2"/>
    <mergeCell ref="AP2:AQ2"/>
    <mergeCell ref="AR2:AT2"/>
    <mergeCell ref="AU2:AV2"/>
    <mergeCell ref="AA2:AB2"/>
    <mergeCell ref="AD2:AD3"/>
    <mergeCell ref="AE2:AE3"/>
    <mergeCell ref="AF2:AI2"/>
    <mergeCell ref="Y2:Z2"/>
    <mergeCell ref="AW2:AX2"/>
    <mergeCell ref="P2:S2"/>
    <mergeCell ref="F2:F3"/>
    <mergeCell ref="H2:H3"/>
    <mergeCell ref="I2:I3"/>
    <mergeCell ref="J2:M2"/>
    <mergeCell ref="N2:N3"/>
    <mergeCell ref="A2:A3"/>
    <mergeCell ref="B2:B3"/>
    <mergeCell ref="C2:C3"/>
    <mergeCell ref="D2:D3"/>
    <mergeCell ref="E2:E3"/>
    <mergeCell ref="V2:X2"/>
    <mergeCell ref="BB2:BB3"/>
    <mergeCell ref="BC2:BC3"/>
    <mergeCell ref="BD2:BD3"/>
    <mergeCell ref="AZ2:BA2"/>
    <mergeCell ref="AJ2:AJ3"/>
  </mergeCells>
  <conditionalFormatting sqref="BB9:BB11">
    <cfRule type="cellIs" dxfId="103" priority="1" operator="greaterThanOrEqual">
      <formula>1.03</formula>
    </cfRule>
    <cfRule type="cellIs" dxfId="102" priority="2" operator="lessThanOrEqual">
      <formula>0.97</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S65"/>
  <sheetViews>
    <sheetView zoomScale="60" zoomScaleNormal="60" workbookViewId="0">
      <pane xSplit="2" topLeftCell="AA1" activePane="topRight" state="frozen"/>
      <selection pane="topRight" activeCell="AF1" sqref="AF1:BA1"/>
    </sheetView>
  </sheetViews>
  <sheetFormatPr defaultRowHeight="15" outlineLevelRow="2" x14ac:dyDescent="0.25"/>
  <cols>
    <col min="2" max="2" width="24.7109375" customWidth="1"/>
    <col min="4" max="5" width="10.7109375" customWidth="1"/>
    <col min="8" max="8" width="1.7109375" customWidth="1"/>
    <col min="10" max="13" width="10.7109375" customWidth="1"/>
    <col min="14" max="14" width="12.7109375" customWidth="1"/>
    <col min="15" max="15" width="10.7109375" customWidth="1"/>
    <col min="18" max="21" width="12.7109375" customWidth="1"/>
    <col min="22" max="26" width="11.7109375" customWidth="1"/>
    <col min="31" max="31" width="11.5703125" customWidth="1"/>
    <col min="33" max="36" width="10.7109375" customWidth="1"/>
    <col min="37" max="37" width="12.7109375" customWidth="1"/>
    <col min="38" max="38" width="10.7109375" customWidth="1"/>
    <col min="41" max="44" width="12.7109375" customWidth="1"/>
    <col min="45" max="49" width="11.7109375" customWidth="1"/>
    <col min="54" max="54" width="5.28515625" customWidth="1"/>
    <col min="55" max="55" width="1.28515625" style="5" hidden="1" customWidth="1"/>
    <col min="56" max="56" width="1.7109375" style="5" hidden="1" customWidth="1"/>
    <col min="60" max="60" width="1.7109375" customWidth="1"/>
    <col min="63" max="65" width="11.7109375" customWidth="1"/>
    <col min="66" max="66" width="10.28515625" customWidth="1"/>
    <col min="69" max="71" width="11.7109375" customWidth="1"/>
    <col min="72" max="72" width="1.7109375" customWidth="1"/>
  </cols>
  <sheetData>
    <row r="1" spans="1:71" x14ac:dyDescent="0.25">
      <c r="A1" s="76" t="s">
        <v>723</v>
      </c>
      <c r="B1" s="76"/>
      <c r="C1" s="76"/>
      <c r="D1" s="76"/>
      <c r="E1" s="76"/>
      <c r="F1" s="76"/>
      <c r="G1" s="76"/>
      <c r="I1" s="65" t="s">
        <v>1477</v>
      </c>
      <c r="J1" s="65"/>
      <c r="K1" s="65"/>
      <c r="L1" s="65"/>
      <c r="M1" s="65"/>
      <c r="N1" s="65"/>
      <c r="O1" s="65"/>
      <c r="P1" s="65"/>
      <c r="Q1" s="65"/>
      <c r="R1" s="65"/>
      <c r="S1" s="65"/>
      <c r="T1" s="65"/>
      <c r="U1" s="65"/>
      <c r="V1" s="65"/>
      <c r="W1" s="65"/>
      <c r="X1" s="65"/>
      <c r="Y1" s="65"/>
      <c r="Z1" s="65"/>
      <c r="AA1" s="65"/>
      <c r="AB1" s="65"/>
      <c r="AC1" s="65"/>
      <c r="AD1" s="65"/>
      <c r="AF1" s="66" t="s">
        <v>1479</v>
      </c>
      <c r="AG1" s="66"/>
      <c r="AH1" s="66"/>
      <c r="AI1" s="66"/>
      <c r="AJ1" s="66"/>
      <c r="AK1" s="66"/>
      <c r="AL1" s="66"/>
      <c r="AM1" s="66"/>
      <c r="AN1" s="66"/>
      <c r="AO1" s="66"/>
      <c r="AP1" s="66"/>
      <c r="AQ1" s="66"/>
      <c r="AR1" s="66"/>
      <c r="AS1" s="66"/>
      <c r="AT1" s="66"/>
      <c r="AU1" s="66"/>
      <c r="AV1" s="66"/>
      <c r="AW1" s="66"/>
      <c r="AX1" s="66"/>
      <c r="AY1" s="66"/>
      <c r="AZ1" s="66"/>
      <c r="BA1" s="66"/>
    </row>
    <row r="2" spans="1:71" ht="30" customHeight="1" thickBot="1" x14ac:dyDescent="0.3">
      <c r="A2" s="75" t="s">
        <v>97</v>
      </c>
      <c r="B2" s="73" t="s">
        <v>99</v>
      </c>
      <c r="C2" s="75" t="s">
        <v>275</v>
      </c>
      <c r="D2" s="73" t="s">
        <v>101</v>
      </c>
      <c r="E2" s="75" t="s">
        <v>103</v>
      </c>
      <c r="F2" s="73" t="s">
        <v>513</v>
      </c>
      <c r="G2" s="75" t="s">
        <v>515</v>
      </c>
      <c r="I2" s="73" t="s">
        <v>518</v>
      </c>
      <c r="J2" s="74" t="s">
        <v>107</v>
      </c>
      <c r="K2" s="74"/>
      <c r="L2" s="74"/>
      <c r="M2" s="74"/>
      <c r="N2" s="73" t="s">
        <v>112</v>
      </c>
      <c r="O2" s="75" t="s">
        <v>26</v>
      </c>
      <c r="P2" s="73" t="s">
        <v>28</v>
      </c>
      <c r="Q2" s="75" t="s">
        <v>24</v>
      </c>
      <c r="R2" s="77" t="s">
        <v>115</v>
      </c>
      <c r="S2" s="77"/>
      <c r="T2" s="77"/>
      <c r="U2" s="77"/>
      <c r="V2" s="74" t="s">
        <v>374</v>
      </c>
      <c r="W2" s="74"/>
      <c r="X2" s="77" t="s">
        <v>284</v>
      </c>
      <c r="Y2" s="77"/>
      <c r="Z2" s="77"/>
      <c r="AA2" s="74" t="s">
        <v>528</v>
      </c>
      <c r="AB2" s="74"/>
      <c r="AC2" s="77" t="s">
        <v>533</v>
      </c>
      <c r="AD2" s="77"/>
      <c r="AF2" s="75" t="s">
        <v>518</v>
      </c>
      <c r="AG2" s="77" t="s">
        <v>107</v>
      </c>
      <c r="AH2" s="77"/>
      <c r="AI2" s="77"/>
      <c r="AJ2" s="77"/>
      <c r="AK2" s="75" t="s">
        <v>112</v>
      </c>
      <c r="AL2" s="73" t="s">
        <v>26</v>
      </c>
      <c r="AM2" s="75" t="s">
        <v>28</v>
      </c>
      <c r="AN2" s="73" t="s">
        <v>24</v>
      </c>
      <c r="AO2" s="74" t="s">
        <v>115</v>
      </c>
      <c r="AP2" s="74"/>
      <c r="AQ2" s="74"/>
      <c r="AR2" s="74"/>
      <c r="AS2" s="77" t="s">
        <v>374</v>
      </c>
      <c r="AT2" s="77"/>
      <c r="AU2" s="74" t="s">
        <v>284</v>
      </c>
      <c r="AV2" s="74"/>
      <c r="AW2" s="74"/>
      <c r="AX2" s="77" t="s">
        <v>528</v>
      </c>
      <c r="AY2" s="77"/>
      <c r="AZ2" s="74" t="s">
        <v>533</v>
      </c>
      <c r="BA2" s="74"/>
      <c r="BC2" s="73" t="s">
        <v>115</v>
      </c>
      <c r="BD2" s="73"/>
      <c r="BE2" s="73" t="s">
        <v>708</v>
      </c>
      <c r="BF2" s="75" t="s">
        <v>133</v>
      </c>
      <c r="BG2" s="73" t="s">
        <v>133</v>
      </c>
      <c r="BI2" s="74" t="s">
        <v>409</v>
      </c>
      <c r="BJ2" s="74"/>
      <c r="BK2" s="77" t="s">
        <v>412</v>
      </c>
      <c r="BL2" s="77"/>
      <c r="BM2" s="77"/>
      <c r="BO2" s="74" t="s">
        <v>717</v>
      </c>
      <c r="BP2" s="74"/>
      <c r="BQ2" s="77" t="s">
        <v>301</v>
      </c>
      <c r="BR2" s="77"/>
      <c r="BS2" s="77"/>
    </row>
    <row r="3" spans="1:71" ht="30" customHeight="1" thickBot="1" x14ac:dyDescent="0.3">
      <c r="A3" s="75"/>
      <c r="B3" s="73"/>
      <c r="C3" s="75"/>
      <c r="D3" s="73"/>
      <c r="E3" s="75"/>
      <c r="F3" s="73"/>
      <c r="G3" s="75"/>
      <c r="I3" s="73"/>
      <c r="J3" s="16" t="s">
        <v>108</v>
      </c>
      <c r="K3" s="16" t="s">
        <v>587</v>
      </c>
      <c r="L3" s="16" t="s">
        <v>110</v>
      </c>
      <c r="M3" s="16" t="s">
        <v>366</v>
      </c>
      <c r="N3" s="73"/>
      <c r="O3" s="75"/>
      <c r="P3" s="73"/>
      <c r="Q3" s="75"/>
      <c r="R3" s="17" t="s">
        <v>108</v>
      </c>
      <c r="S3" s="17" t="s">
        <v>110</v>
      </c>
      <c r="T3" s="17" t="s">
        <v>597</v>
      </c>
      <c r="U3" s="17" t="s">
        <v>372</v>
      </c>
      <c r="V3" s="16" t="s">
        <v>375</v>
      </c>
      <c r="W3" s="16" t="s">
        <v>377</v>
      </c>
      <c r="X3" s="17" t="s">
        <v>285</v>
      </c>
      <c r="Y3" s="17" t="s">
        <v>287</v>
      </c>
      <c r="Z3" s="17" t="s">
        <v>289</v>
      </c>
      <c r="AA3" s="16" t="s">
        <v>529</v>
      </c>
      <c r="AB3" s="16" t="s">
        <v>531</v>
      </c>
      <c r="AC3" s="17" t="s">
        <v>529</v>
      </c>
      <c r="AD3" s="17" t="s">
        <v>531</v>
      </c>
      <c r="AF3" s="75"/>
      <c r="AG3" s="17" t="s">
        <v>108</v>
      </c>
      <c r="AH3" s="17" t="s">
        <v>587</v>
      </c>
      <c r="AI3" s="17" t="s">
        <v>110</v>
      </c>
      <c r="AJ3" s="17" t="s">
        <v>366</v>
      </c>
      <c r="AK3" s="75"/>
      <c r="AL3" s="73"/>
      <c r="AM3" s="75"/>
      <c r="AN3" s="73"/>
      <c r="AO3" s="16" t="s">
        <v>108</v>
      </c>
      <c r="AP3" s="16" t="s">
        <v>110</v>
      </c>
      <c r="AQ3" s="16" t="s">
        <v>597</v>
      </c>
      <c r="AR3" s="16" t="s">
        <v>372</v>
      </c>
      <c r="AS3" s="17" t="s">
        <v>375</v>
      </c>
      <c r="AT3" s="17" t="s">
        <v>377</v>
      </c>
      <c r="AU3" s="16" t="s">
        <v>285</v>
      </c>
      <c r="AV3" s="16" t="s">
        <v>287</v>
      </c>
      <c r="AW3" s="16" t="s">
        <v>289</v>
      </c>
      <c r="AX3" s="17" t="s">
        <v>529</v>
      </c>
      <c r="AY3" s="17" t="s">
        <v>531</v>
      </c>
      <c r="AZ3" s="16" t="s">
        <v>529</v>
      </c>
      <c r="BA3" s="16" t="s">
        <v>531</v>
      </c>
      <c r="BC3" s="61" t="s">
        <v>595</v>
      </c>
      <c r="BD3" s="61" t="s">
        <v>619</v>
      </c>
      <c r="BE3" s="73"/>
      <c r="BF3" s="75"/>
      <c r="BG3" s="73"/>
      <c r="BI3" s="16" t="s">
        <v>375</v>
      </c>
      <c r="BJ3" s="16" t="s">
        <v>377</v>
      </c>
      <c r="BK3" s="17" t="s">
        <v>285</v>
      </c>
      <c r="BL3" s="17" t="s">
        <v>287</v>
      </c>
      <c r="BM3" s="17" t="s">
        <v>289</v>
      </c>
      <c r="BO3" s="16" t="s">
        <v>375</v>
      </c>
      <c r="BP3" s="16" t="s">
        <v>377</v>
      </c>
      <c r="BQ3" s="17" t="s">
        <v>285</v>
      </c>
      <c r="BR3" s="17" t="s">
        <v>287</v>
      </c>
      <c r="BS3" s="17" t="s">
        <v>289</v>
      </c>
    </row>
    <row r="4" spans="1:71" x14ac:dyDescent="0.25">
      <c r="A4" s="18" t="s">
        <v>566</v>
      </c>
      <c r="B4" s="18" t="s">
        <v>554</v>
      </c>
      <c r="C4" s="19" t="s">
        <v>310</v>
      </c>
      <c r="D4" s="18">
        <v>238146391</v>
      </c>
      <c r="E4" s="19">
        <v>10</v>
      </c>
      <c r="F4" s="19">
        <v>300</v>
      </c>
      <c r="G4" s="19">
        <v>30</v>
      </c>
      <c r="I4" s="55">
        <f t="shared" ref="I4:I28" si="0">IF(OR(ISBLANK(R4),ISBLANK(G4)),"·",R4*G4/F4/1000000)</f>
        <v>0.24825120000000001</v>
      </c>
      <c r="J4" s="21">
        <f t="shared" ref="J4:J28" si="1">IF(ISBLANK(R4),"·",R4/D4)</f>
        <v>1.0424310818130349E-2</v>
      </c>
      <c r="K4" s="21">
        <f t="shared" ref="K4:K28" si="2">IF(BC4="","·",BC4/D4)</f>
        <v>6.3327434594631334E-3</v>
      </c>
      <c r="L4" s="21">
        <f t="shared" ref="L4:L28" si="3">IF(S4="","·",S4/D4)</f>
        <v>3.5987612342191656E-3</v>
      </c>
      <c r="M4" s="21">
        <f t="shared" ref="M4:M28" si="4">IF(ISBLANK(U4),"·",U4/D4)</f>
        <v>4.0904587968330786E-3</v>
      </c>
      <c r="N4" s="21">
        <f t="shared" ref="N4:N28" si="5">IF(ISBLANK(R4),"·",R4/O4)</f>
        <v>6.4659526587764624E-2</v>
      </c>
      <c r="O4" s="5">
        <v>38393600</v>
      </c>
      <c r="P4" s="5">
        <v>1199800</v>
      </c>
      <c r="Q4" s="5">
        <v>508250.65625</v>
      </c>
      <c r="R4" s="5">
        <v>2482512</v>
      </c>
      <c r="S4" s="5">
        <v>857032</v>
      </c>
      <c r="T4" s="5">
        <v>651088</v>
      </c>
      <c r="U4" s="5">
        <v>974128</v>
      </c>
      <c r="V4" s="5">
        <v>66.253784374999995</v>
      </c>
      <c r="W4" s="5">
        <v>68.155709375000001</v>
      </c>
      <c r="X4" s="5">
        <v>32.218981249999999</v>
      </c>
      <c r="Y4" s="5">
        <v>44.237709375000001</v>
      </c>
      <c r="Z4" s="5">
        <v>43.960390625000002</v>
      </c>
      <c r="AA4" s="5"/>
      <c r="AB4" s="5"/>
      <c r="AC4" s="5"/>
      <c r="AD4" s="5"/>
      <c r="AF4" s="55">
        <f t="shared" ref="AF4:AF28" si="6">IF(OR(ISBLANK(AO4),ISBLANK(G4)),"·",AO4*G4/F4/1000000)</f>
        <v>0.2440416</v>
      </c>
      <c r="AG4" s="21">
        <f t="shared" ref="AG4:AG28" si="7">IF(ISBLANK(AO4),"·",AO4/D4)</f>
        <v>1.0247545594759822E-2</v>
      </c>
      <c r="AH4" s="21">
        <f t="shared" ref="AH4:AH28" si="8">IF(BD4="","·",BD4/D4)</f>
        <v>6.207946271165621E-3</v>
      </c>
      <c r="AI4" s="21">
        <f t="shared" ref="AI4:AI28" si="9">IF(AP4="","·",AP4/D4)</f>
        <v>3.4868300817542095E-3</v>
      </c>
      <c r="AJ4" s="21">
        <f t="shared" ref="AJ4:AJ28" si="10">IF(ISBLANK(AR4),"·",AR4/D4)</f>
        <v>4.0384907617600635E-3</v>
      </c>
      <c r="AK4" s="21">
        <f t="shared" ref="AK4:AK28" si="11">IF(ISBLANK(AO4),"·",AO4/AL4)</f>
        <v>6.3563093848974836E-2</v>
      </c>
      <c r="AL4" s="5">
        <v>38393600</v>
      </c>
      <c r="AM4" s="5">
        <v>1199800</v>
      </c>
      <c r="AN4" s="5">
        <v>544389.625</v>
      </c>
      <c r="AO4" s="5">
        <v>2440416</v>
      </c>
      <c r="AP4" s="5">
        <v>830376</v>
      </c>
      <c r="AQ4" s="5">
        <v>648024</v>
      </c>
      <c r="AR4" s="5">
        <v>961752</v>
      </c>
      <c r="AS4" s="5">
        <v>66.048556249999905</v>
      </c>
      <c r="AT4" s="5">
        <v>68.212106250000005</v>
      </c>
      <c r="AU4" s="5">
        <v>32.214896875000001</v>
      </c>
      <c r="AV4" s="5">
        <v>44.25016875</v>
      </c>
      <c r="AW4" s="5">
        <v>44.090990624999897</v>
      </c>
      <c r="AX4" s="5"/>
      <c r="AY4" s="5"/>
      <c r="AZ4" s="5"/>
      <c r="BA4" s="5"/>
      <c r="BC4" s="18">
        <f t="shared" ref="BC4:BC28" si="12">IF(OR(ISBLANK(S4),ISBLANK(T4)),"",S4+T4)</f>
        <v>1508120</v>
      </c>
      <c r="BD4" s="18">
        <f t="shared" ref="BD4:BD28" si="13">IF(OR(ISBLANK(AP4),ISBLANK(AQ4)),"",AP4+AQ4)</f>
        <v>1478400</v>
      </c>
      <c r="BE4" s="20">
        <f t="shared" ref="BE4:BE28" si="14">(AN4/AM4) - (Q4/P4)</f>
        <v>3.0120827429571562E-2</v>
      </c>
      <c r="BF4" s="20">
        <f t="shared" ref="BF4:BF28" si="15">(BD4/AO4) - (BC4/R4)</f>
        <v>-1.6992112903648771E-3</v>
      </c>
      <c r="BG4" s="20">
        <f t="array" ref="BG4">AVERAGE(BD4:BD8/AO4:AO8) - AVERAGE(BC4:BC8/R4:R8)</f>
        <v>-3.3066907780706645E-3</v>
      </c>
      <c r="BI4" s="50">
        <f>bdRateExtend( R4:R8,V4:V8, AO4:AO8,AS4:AS8)</f>
        <v>-2.1355175286776884E-2</v>
      </c>
      <c r="BJ4" s="50">
        <f>bdRateExtend( R4:R8,W4:W8, AO4:AO8,AT4:AT8)</f>
        <v>-4.7902500173615081E-2</v>
      </c>
      <c r="BK4" s="50">
        <f>bdRateExtend( R4:R8,X4:X8, AO4:AO8,AU4:AU8)</f>
        <v>-3.0711064390932297E-2</v>
      </c>
      <c r="BL4" s="50">
        <f>bdRateExtend( R4:R8,Y4:Y8, AO4:AO8,AV4:AV8)</f>
        <v>-5.310154778680809E-2</v>
      </c>
      <c r="BM4" s="50">
        <f>bdRateExtend( R4:R8,Z4:Z8, AO4:AO8,AW4:AW8)</f>
        <v>-5.9294974661733835E-2</v>
      </c>
      <c r="BO4" s="50">
        <f>bdRateExtend( BC4:BC8,V4:V8, BD4:BD8,AS4:AS8)</f>
        <v>-3.5912610494592712E-2</v>
      </c>
      <c r="BP4" s="50">
        <f>bdRateExtend( BC4:BC8,W4:W8, BD4:BD8,AT4:AT8)</f>
        <v>-4.9381270789821463E-2</v>
      </c>
      <c r="BQ4" s="50">
        <f>bdRateExtend( U4:U8,X4:X8, AR4:AR8,AU4:AU8)</f>
        <v>-2.5470335167301128E-2</v>
      </c>
      <c r="BR4" s="50">
        <f>bdRateExtend( U4:U8,Y4:Y8, AR4:AR8,AV4:AV8)</f>
        <v>-5.3998210842818528E-2</v>
      </c>
      <c r="BS4" s="50">
        <f>bdRateExtend( U4:U8,Z4:Z8, AR4:AR8,AW4:AW8)</f>
        <v>-6.2515590214790584E-2</v>
      </c>
    </row>
    <row r="5" spans="1:71" outlineLevel="1" x14ac:dyDescent="0.25">
      <c r="A5" s="25"/>
      <c r="B5" s="25"/>
      <c r="C5" s="26" t="s">
        <v>311</v>
      </c>
      <c r="D5" s="25">
        <v>238146391</v>
      </c>
      <c r="E5" s="26">
        <v>10</v>
      </c>
      <c r="F5" s="26">
        <v>300</v>
      </c>
      <c r="G5" s="26">
        <v>30</v>
      </c>
      <c r="I5" s="56">
        <f t="shared" si="0"/>
        <v>0.39386720000000003</v>
      </c>
      <c r="J5" s="28">
        <f t="shared" si="1"/>
        <v>1.6538869152965666E-2</v>
      </c>
      <c r="K5" s="28">
        <f t="shared" si="2"/>
        <v>7.9220516090038086E-3</v>
      </c>
      <c r="L5" s="28">
        <f t="shared" si="3"/>
        <v>5.1880693837598408E-3</v>
      </c>
      <c r="M5" s="28">
        <f t="shared" si="4"/>
        <v>8.6157089821277191E-3</v>
      </c>
      <c r="N5" s="28">
        <f t="shared" si="5"/>
        <v>0.10258668111351892</v>
      </c>
      <c r="O5" s="5">
        <v>38393600</v>
      </c>
      <c r="P5" s="5">
        <v>1199800</v>
      </c>
      <c r="Q5" s="5">
        <v>459961.78125</v>
      </c>
      <c r="R5" s="5">
        <v>3938672</v>
      </c>
      <c r="S5" s="5">
        <v>1235520</v>
      </c>
      <c r="T5" s="5">
        <v>651088</v>
      </c>
      <c r="U5" s="5">
        <v>2051800</v>
      </c>
      <c r="V5" s="5">
        <v>67.993778125000006</v>
      </c>
      <c r="W5" s="5">
        <v>70.104934374999999</v>
      </c>
      <c r="X5" s="5">
        <v>34.467840625000001</v>
      </c>
      <c r="Y5" s="5">
        <v>45.477253124999997</v>
      </c>
      <c r="Z5" s="5">
        <v>45.488743749999998</v>
      </c>
      <c r="AA5" s="5"/>
      <c r="AB5" s="5"/>
      <c r="AC5" s="5"/>
      <c r="AD5" s="5"/>
      <c r="AF5" s="56">
        <f t="shared" si="6"/>
        <v>0.38341120000000001</v>
      </c>
      <c r="AG5" s="28">
        <f t="shared" si="7"/>
        <v>1.6099811481081819E-2</v>
      </c>
      <c r="AH5" s="28">
        <f t="shared" si="8"/>
        <v>7.6880106908695503E-3</v>
      </c>
      <c r="AI5" s="28">
        <f t="shared" si="9"/>
        <v>4.9668945014581392E-3</v>
      </c>
      <c r="AJ5" s="28">
        <f t="shared" si="10"/>
        <v>8.4106922283781315E-3</v>
      </c>
      <c r="AK5" s="28">
        <f t="shared" si="11"/>
        <v>9.9863310551758622E-2</v>
      </c>
      <c r="AL5" s="5">
        <v>38393600</v>
      </c>
      <c r="AM5" s="5">
        <v>1199800</v>
      </c>
      <c r="AN5" s="5">
        <v>477362.3125</v>
      </c>
      <c r="AO5" s="5">
        <v>3834112</v>
      </c>
      <c r="AP5" s="5">
        <v>1182848</v>
      </c>
      <c r="AQ5" s="5">
        <v>648024</v>
      </c>
      <c r="AR5" s="5">
        <v>2002976</v>
      </c>
      <c r="AS5" s="5">
        <v>67.838396875000001</v>
      </c>
      <c r="AT5" s="5">
        <v>70.132146875000004</v>
      </c>
      <c r="AU5" s="5">
        <v>34.464862500000002</v>
      </c>
      <c r="AV5" s="5">
        <v>45.527574999999999</v>
      </c>
      <c r="AW5" s="5">
        <v>45.534937499999899</v>
      </c>
      <c r="AX5" s="5"/>
      <c r="AY5" s="5"/>
      <c r="AZ5" s="5"/>
      <c r="BA5" s="5"/>
      <c r="BC5" s="25">
        <f t="shared" si="12"/>
        <v>1886608</v>
      </c>
      <c r="BD5" s="25">
        <f t="shared" si="13"/>
        <v>1830872</v>
      </c>
      <c r="BE5" s="27">
        <f t="shared" si="14"/>
        <v>1.4502859851641958E-2</v>
      </c>
      <c r="BF5" s="27">
        <f t="shared" si="15"/>
        <v>-1.4741827518434669E-3</v>
      </c>
      <c r="BG5" s="27"/>
      <c r="BI5" s="52"/>
      <c r="BJ5" s="52"/>
      <c r="BK5" s="52"/>
      <c r="BL5" s="52"/>
      <c r="BM5" s="52"/>
      <c r="BO5" s="52"/>
      <c r="BP5" s="52"/>
      <c r="BQ5" s="52"/>
      <c r="BR5" s="52"/>
      <c r="BS5" s="52"/>
    </row>
    <row r="6" spans="1:71" outlineLevel="1" x14ac:dyDescent="0.25">
      <c r="A6" s="18"/>
      <c r="B6" s="18"/>
      <c r="C6" s="19" t="s">
        <v>312</v>
      </c>
      <c r="D6" s="18">
        <v>238146391</v>
      </c>
      <c r="E6" s="19">
        <v>10</v>
      </c>
      <c r="F6" s="19">
        <v>300</v>
      </c>
      <c r="G6" s="19">
        <v>30</v>
      </c>
      <c r="I6" s="55">
        <f t="shared" si="0"/>
        <v>0.65556480000000006</v>
      </c>
      <c r="J6" s="21">
        <f t="shared" si="1"/>
        <v>2.7527807465282984E-2</v>
      </c>
      <c r="K6" s="21">
        <f t="shared" si="2"/>
        <v>1.023091716724777E-2</v>
      </c>
      <c r="L6" s="21">
        <f t="shared" si="3"/>
        <v>7.4969349420038033E-3</v>
      </c>
      <c r="M6" s="21">
        <f t="shared" si="4"/>
        <v>1.7295781736201075E-2</v>
      </c>
      <c r="N6" s="21">
        <f t="shared" si="5"/>
        <v>0.17074845807634606</v>
      </c>
      <c r="O6" s="5">
        <v>38393600</v>
      </c>
      <c r="P6" s="5">
        <v>1199800</v>
      </c>
      <c r="Q6" s="5">
        <v>407488.78125</v>
      </c>
      <c r="R6" s="5">
        <v>6555648</v>
      </c>
      <c r="S6" s="5">
        <v>1785368</v>
      </c>
      <c r="T6" s="5">
        <v>651088</v>
      </c>
      <c r="U6" s="5">
        <v>4118928</v>
      </c>
      <c r="V6" s="5">
        <v>69.338753124999997</v>
      </c>
      <c r="W6" s="5">
        <v>71.811459374999998</v>
      </c>
      <c r="X6" s="5">
        <v>36.975740625</v>
      </c>
      <c r="Y6" s="5">
        <v>46.691356249999998</v>
      </c>
      <c r="Z6" s="5">
        <v>46.701371875</v>
      </c>
      <c r="AA6" s="5"/>
      <c r="AB6" s="5"/>
      <c r="AC6" s="5"/>
      <c r="AD6" s="5"/>
      <c r="AF6" s="55">
        <f t="shared" si="6"/>
        <v>0.63285360000000002</v>
      </c>
      <c r="AG6" s="21">
        <f t="shared" si="7"/>
        <v>2.6574141952879732E-2</v>
      </c>
      <c r="AH6" s="21">
        <f t="shared" si="8"/>
        <v>9.8326747265298671E-3</v>
      </c>
      <c r="AI6" s="21">
        <f t="shared" si="9"/>
        <v>7.1115585371184569E-3</v>
      </c>
      <c r="AJ6" s="21">
        <f t="shared" si="10"/>
        <v>1.6740358664515727E-2</v>
      </c>
      <c r="AK6" s="21">
        <f t="shared" si="11"/>
        <v>0.16483309718286382</v>
      </c>
      <c r="AL6" s="5">
        <v>38393600</v>
      </c>
      <c r="AM6" s="5">
        <v>1199800</v>
      </c>
      <c r="AN6" s="5">
        <v>423197.90625</v>
      </c>
      <c r="AO6" s="5">
        <v>6328536</v>
      </c>
      <c r="AP6" s="5">
        <v>1693592</v>
      </c>
      <c r="AQ6" s="5">
        <v>648024</v>
      </c>
      <c r="AR6" s="5">
        <v>3986656</v>
      </c>
      <c r="AS6" s="5">
        <v>69.396540625</v>
      </c>
      <c r="AT6" s="5">
        <v>71.884609374999997</v>
      </c>
      <c r="AU6" s="5">
        <v>36.962362499999898</v>
      </c>
      <c r="AV6" s="5">
        <v>46.764559374999997</v>
      </c>
      <c r="AW6" s="5">
        <v>46.776843749999898</v>
      </c>
      <c r="AX6" s="5"/>
      <c r="AY6" s="5"/>
      <c r="AZ6" s="5"/>
      <c r="BA6" s="5"/>
      <c r="BC6" s="18">
        <f t="shared" si="12"/>
        <v>2436456</v>
      </c>
      <c r="BD6" s="18">
        <f t="shared" si="13"/>
        <v>2341616</v>
      </c>
      <c r="BE6" s="20">
        <f t="shared" si="14"/>
        <v>1.3093119686614418E-2</v>
      </c>
      <c r="BF6" s="20">
        <f t="shared" si="15"/>
        <v>-1.6484243875514171E-3</v>
      </c>
      <c r="BG6" s="20"/>
      <c r="BI6" s="50"/>
      <c r="BJ6" s="50"/>
      <c r="BK6" s="50"/>
      <c r="BL6" s="50"/>
      <c r="BM6" s="50"/>
      <c r="BO6" s="50"/>
      <c r="BP6" s="50"/>
      <c r="BQ6" s="50"/>
      <c r="BR6" s="50"/>
      <c r="BS6" s="50"/>
    </row>
    <row r="7" spans="1:71" outlineLevel="1" x14ac:dyDescent="0.25">
      <c r="A7" s="25"/>
      <c r="B7" s="25"/>
      <c r="C7" s="26" t="s">
        <v>313</v>
      </c>
      <c r="D7" s="25">
        <v>238146391</v>
      </c>
      <c r="E7" s="26">
        <v>10</v>
      </c>
      <c r="F7" s="26">
        <v>300</v>
      </c>
      <c r="G7" s="26">
        <v>30</v>
      </c>
      <c r="I7" s="56">
        <f t="shared" si="0"/>
        <v>1.1496928</v>
      </c>
      <c r="J7" s="28">
        <f t="shared" si="1"/>
        <v>4.8276725722037082E-2</v>
      </c>
      <c r="K7" s="28">
        <f t="shared" si="2"/>
        <v>1.4129796323472313E-2</v>
      </c>
      <c r="L7" s="28">
        <f t="shared" si="3"/>
        <v>1.1395814098228346E-2</v>
      </c>
      <c r="M7" s="28">
        <f t="shared" si="4"/>
        <v>3.414582083673063E-2</v>
      </c>
      <c r="N7" s="28">
        <f t="shared" si="5"/>
        <v>0.29944907484580763</v>
      </c>
      <c r="O7" s="5">
        <v>38393600</v>
      </c>
      <c r="P7" s="5">
        <v>1199800</v>
      </c>
      <c r="Q7" s="5">
        <v>412398.34375</v>
      </c>
      <c r="R7" s="5">
        <v>11496928</v>
      </c>
      <c r="S7" s="5">
        <v>2713872</v>
      </c>
      <c r="T7" s="5">
        <v>651088</v>
      </c>
      <c r="U7" s="5">
        <v>8131704</v>
      </c>
      <c r="V7" s="5">
        <v>70.602696875000007</v>
      </c>
      <c r="W7" s="5">
        <v>73.491174999999998</v>
      </c>
      <c r="X7" s="5">
        <v>39.564253125</v>
      </c>
      <c r="Y7" s="5">
        <v>48.07433125</v>
      </c>
      <c r="Z7" s="5">
        <v>48.284962499999999</v>
      </c>
      <c r="AA7" s="5"/>
      <c r="AB7" s="5"/>
      <c r="AC7" s="5"/>
      <c r="AD7" s="5"/>
      <c r="AF7" s="56">
        <f t="shared" si="6"/>
        <v>1.1040391999999999</v>
      </c>
      <c r="AG7" s="28">
        <f t="shared" si="7"/>
        <v>4.6359686382986168E-2</v>
      </c>
      <c r="AH7" s="28">
        <f t="shared" si="8"/>
        <v>1.3329347493659898E-2</v>
      </c>
      <c r="AI7" s="28">
        <f t="shared" si="9"/>
        <v>1.0608231304248487E-2</v>
      </c>
      <c r="AJ7" s="28">
        <f t="shared" si="10"/>
        <v>3.3029230327492137E-2</v>
      </c>
      <c r="AK7" s="28">
        <f t="shared" si="11"/>
        <v>0.28755813468911484</v>
      </c>
      <c r="AL7" s="5">
        <v>38393600</v>
      </c>
      <c r="AM7" s="5">
        <v>1199800</v>
      </c>
      <c r="AN7" s="5">
        <v>418038.09375</v>
      </c>
      <c r="AO7" s="5">
        <v>11040392</v>
      </c>
      <c r="AP7" s="5">
        <v>2526312</v>
      </c>
      <c r="AQ7" s="5">
        <v>648024</v>
      </c>
      <c r="AR7" s="5">
        <v>7865792</v>
      </c>
      <c r="AS7" s="5">
        <v>70.644937499999997</v>
      </c>
      <c r="AT7" s="5">
        <v>73.552740624999998</v>
      </c>
      <c r="AU7" s="5">
        <v>39.543996874999898</v>
      </c>
      <c r="AV7" s="5">
        <v>48.127321875</v>
      </c>
      <c r="AW7" s="5">
        <v>48.372599999999899</v>
      </c>
      <c r="AX7" s="5"/>
      <c r="AY7" s="5"/>
      <c r="AZ7" s="5"/>
      <c r="BA7" s="5"/>
      <c r="BC7" s="25">
        <f t="shared" si="12"/>
        <v>3364960</v>
      </c>
      <c r="BD7" s="25">
        <f t="shared" si="13"/>
        <v>3174336</v>
      </c>
      <c r="BE7" s="27">
        <f t="shared" si="14"/>
        <v>4.7005750958493131E-3</v>
      </c>
      <c r="BF7" s="27">
        <f t="shared" si="15"/>
        <v>-5.1631763046284807E-3</v>
      </c>
      <c r="BG7" s="27"/>
      <c r="BI7" s="52"/>
      <c r="BJ7" s="52"/>
      <c r="BK7" s="52"/>
      <c r="BL7" s="52"/>
      <c r="BM7" s="52"/>
      <c r="BO7" s="52"/>
      <c r="BP7" s="52"/>
      <c r="BQ7" s="52"/>
      <c r="BR7" s="52"/>
      <c r="BS7" s="52"/>
    </row>
    <row r="8" spans="1:71" ht="15.75" outlineLevel="1" thickBot="1" x14ac:dyDescent="0.3">
      <c r="A8" s="18"/>
      <c r="B8" s="39"/>
      <c r="C8" s="40" t="s">
        <v>428</v>
      </c>
      <c r="D8" s="39">
        <v>238146391</v>
      </c>
      <c r="E8" s="40">
        <v>10</v>
      </c>
      <c r="F8" s="40">
        <v>300</v>
      </c>
      <c r="G8" s="40">
        <v>30</v>
      </c>
      <c r="I8" s="58">
        <f t="shared" si="0"/>
        <v>2.1007560000000001</v>
      </c>
      <c r="J8" s="42">
        <f t="shared" si="1"/>
        <v>8.8212800167943764E-2</v>
      </c>
      <c r="K8" s="42">
        <f t="shared" si="2"/>
        <v>2.110033235817544E-2</v>
      </c>
      <c r="L8" s="42">
        <f t="shared" si="3"/>
        <v>1.8366350132931471E-2</v>
      </c>
      <c r="M8" s="42">
        <f t="shared" si="4"/>
        <v>6.7111359247934183E-2</v>
      </c>
      <c r="N8" s="42">
        <f t="shared" si="5"/>
        <v>0.54716306884480748</v>
      </c>
      <c r="O8" s="5">
        <v>38393600</v>
      </c>
      <c r="P8" s="5">
        <v>1199800</v>
      </c>
      <c r="Q8" s="5">
        <v>407011.1875</v>
      </c>
      <c r="R8" s="5">
        <v>21007560</v>
      </c>
      <c r="S8" s="5">
        <v>4373880</v>
      </c>
      <c r="T8" s="5">
        <v>651088</v>
      </c>
      <c r="U8" s="5">
        <v>15982328</v>
      </c>
      <c r="V8" s="5">
        <v>71.649137499999995</v>
      </c>
      <c r="W8" s="5">
        <v>74.861978124999993</v>
      </c>
      <c r="X8" s="5">
        <v>42.194509375000003</v>
      </c>
      <c r="Y8" s="5">
        <v>49.657028124999997</v>
      </c>
      <c r="Z8" s="5">
        <v>49.859425000000002</v>
      </c>
      <c r="AA8" s="5"/>
      <c r="AB8" s="5"/>
      <c r="AC8" s="5"/>
      <c r="AD8" s="5"/>
      <c r="AF8" s="58">
        <f t="shared" si="6"/>
        <v>2.0182728000000001</v>
      </c>
      <c r="AG8" s="42">
        <f t="shared" si="7"/>
        <v>8.4749249884706418E-2</v>
      </c>
      <c r="AH8" s="42">
        <f t="shared" si="8"/>
        <v>1.9716880781955666E-2</v>
      </c>
      <c r="AI8" s="42">
        <f t="shared" si="9"/>
        <v>1.6995764592544257E-2</v>
      </c>
      <c r="AJ8" s="42">
        <f t="shared" si="10"/>
        <v>6.5031260540916611E-2</v>
      </c>
      <c r="AK8" s="42">
        <f t="shared" si="11"/>
        <v>0.52567948824804134</v>
      </c>
      <c r="AL8" s="5">
        <v>38393600</v>
      </c>
      <c r="AM8" s="5">
        <v>1199800</v>
      </c>
      <c r="AN8" s="5">
        <v>408575.125</v>
      </c>
      <c r="AO8" s="5">
        <v>20182728</v>
      </c>
      <c r="AP8" s="5">
        <v>4047480</v>
      </c>
      <c r="AQ8" s="5">
        <v>648024</v>
      </c>
      <c r="AR8" s="5">
        <v>15486960</v>
      </c>
      <c r="AS8" s="5">
        <v>71.676890624999999</v>
      </c>
      <c r="AT8" s="5">
        <v>74.910731249999898</v>
      </c>
      <c r="AU8" s="5">
        <v>42.190406249999903</v>
      </c>
      <c r="AV8" s="5">
        <v>49.706096874999901</v>
      </c>
      <c r="AW8" s="5">
        <v>49.950015624999999</v>
      </c>
      <c r="AX8" s="5"/>
      <c r="AY8" s="5"/>
      <c r="AZ8" s="5"/>
      <c r="BA8" s="5"/>
      <c r="BC8" s="39">
        <f t="shared" si="12"/>
        <v>5024968</v>
      </c>
      <c r="BD8" s="39">
        <f t="shared" si="13"/>
        <v>4695504</v>
      </c>
      <c r="BE8" s="41">
        <f t="shared" si="14"/>
        <v>1.3034984997499777E-3</v>
      </c>
      <c r="BF8" s="41">
        <f t="shared" si="15"/>
        <v>-6.5484591559652472E-3</v>
      </c>
      <c r="BG8" s="41"/>
      <c r="BI8" s="60"/>
      <c r="BJ8" s="60"/>
      <c r="BK8" s="60"/>
      <c r="BL8" s="60"/>
      <c r="BM8" s="60"/>
      <c r="BO8" s="60"/>
      <c r="BP8" s="60"/>
      <c r="BQ8" s="60"/>
      <c r="BR8" s="60"/>
      <c r="BS8" s="60"/>
    </row>
    <row r="9" spans="1:71" x14ac:dyDescent="0.25">
      <c r="A9" s="25"/>
      <c r="B9" s="25" t="s">
        <v>557</v>
      </c>
      <c r="C9" s="26" t="s">
        <v>310</v>
      </c>
      <c r="D9" s="25">
        <v>218121242</v>
      </c>
      <c r="E9" s="26">
        <v>10</v>
      </c>
      <c r="F9" s="26">
        <v>300</v>
      </c>
      <c r="G9" s="26">
        <v>30</v>
      </c>
      <c r="I9" s="56">
        <f t="shared" si="0"/>
        <v>0.35253040000000002</v>
      </c>
      <c r="J9" s="28">
        <f t="shared" si="1"/>
        <v>1.6162130600741766E-2</v>
      </c>
      <c r="K9" s="28">
        <f t="shared" si="2"/>
        <v>7.7362478983133611E-3</v>
      </c>
      <c r="L9" s="28">
        <f t="shared" si="3"/>
        <v>4.1425034614464553E-3</v>
      </c>
      <c r="M9" s="28">
        <f t="shared" si="4"/>
        <v>8.4246723663896975E-3</v>
      </c>
      <c r="N9" s="28">
        <f t="shared" si="5"/>
        <v>0.10264380656714638</v>
      </c>
      <c r="O9" s="5">
        <v>34345024</v>
      </c>
      <c r="P9" s="5">
        <v>1073282</v>
      </c>
      <c r="Q9" s="5">
        <v>431987.0625</v>
      </c>
      <c r="R9" s="5">
        <v>3525304</v>
      </c>
      <c r="S9" s="5">
        <v>903568</v>
      </c>
      <c r="T9" s="5">
        <v>783872</v>
      </c>
      <c r="U9" s="5">
        <v>1837600</v>
      </c>
      <c r="V9" s="5">
        <v>65.833606250000003</v>
      </c>
      <c r="W9" s="5">
        <v>67.816337500000003</v>
      </c>
      <c r="X9" s="5">
        <v>32.592378125000003</v>
      </c>
      <c r="Y9" s="5">
        <v>39.333868750000001</v>
      </c>
      <c r="Z9" s="5">
        <v>32.276715625000001</v>
      </c>
      <c r="AA9" s="5"/>
      <c r="AB9" s="5"/>
      <c r="AC9" s="5"/>
      <c r="AD9" s="5"/>
      <c r="AF9" s="56">
        <f t="shared" si="6"/>
        <v>0.34682079999999998</v>
      </c>
      <c r="AG9" s="28">
        <f t="shared" si="7"/>
        <v>1.5900367924734263E-2</v>
      </c>
      <c r="AH9" s="28">
        <f t="shared" si="8"/>
        <v>7.5446480357011722E-3</v>
      </c>
      <c r="AI9" s="28">
        <f t="shared" si="9"/>
        <v>3.9974831978996338E-3</v>
      </c>
      <c r="AJ9" s="28">
        <f t="shared" si="10"/>
        <v>8.3545095529943842E-3</v>
      </c>
      <c r="AK9" s="28">
        <f t="shared" si="11"/>
        <v>0.10098138233940381</v>
      </c>
      <c r="AL9" s="5">
        <v>34345024</v>
      </c>
      <c r="AM9" s="5">
        <v>1073282</v>
      </c>
      <c r="AN9" s="5">
        <v>461513.90625</v>
      </c>
      <c r="AO9" s="5">
        <v>3468208</v>
      </c>
      <c r="AP9" s="5">
        <v>871936</v>
      </c>
      <c r="AQ9" s="5">
        <v>773712</v>
      </c>
      <c r="AR9" s="5">
        <v>1822296</v>
      </c>
      <c r="AS9" s="5">
        <v>65.649331249999904</v>
      </c>
      <c r="AT9" s="5">
        <v>67.886368750000003</v>
      </c>
      <c r="AU9" s="5">
        <v>32.588818749999902</v>
      </c>
      <c r="AV9" s="5">
        <v>39.3578187499999</v>
      </c>
      <c r="AW9" s="5">
        <v>32.310524999999998</v>
      </c>
      <c r="AX9" s="5"/>
      <c r="AY9" s="5"/>
      <c r="AZ9" s="5"/>
      <c r="BA9" s="5"/>
      <c r="BC9" s="25">
        <f t="shared" si="12"/>
        <v>1687440</v>
      </c>
      <c r="BD9" s="25">
        <f t="shared" si="13"/>
        <v>1645648</v>
      </c>
      <c r="BE9" s="27">
        <f t="shared" si="14"/>
        <v>2.7510797488451311E-2</v>
      </c>
      <c r="BF9" s="27">
        <f t="shared" si="15"/>
        <v>-4.1699163705917752E-3</v>
      </c>
      <c r="BG9" s="27">
        <f t="array" ref="BG9">AVERAGE(BD9:BD13/AO9:AO13) - AVERAGE(BC9:BC13/R9:R13)</f>
        <v>-2.8484906204632177E-3</v>
      </c>
      <c r="BI9" s="52">
        <f>bdRateExtend( R9:R13,V9:V13, AO9:AO13,AS9:AS13)</f>
        <v>-2.495406349487872E-2</v>
      </c>
      <c r="BJ9" s="52">
        <f>bdRateExtend( R9:R13,W9:W13, AO9:AO13,AT9:AT13)</f>
        <v>-5.3331526363021076E-2</v>
      </c>
      <c r="BK9" s="52">
        <f>bdRateExtend( R9:R13,X9:X13, AO9:AO13,AU9:AU13)</f>
        <v>-3.0222741085191851E-2</v>
      </c>
      <c r="BL9" s="52">
        <f>bdRateExtend( R9:R13,Y9:Y13, AO9:AO13,AV9:AV13)</f>
        <v>-4.4422489859462844E-2</v>
      </c>
      <c r="BM9" s="52">
        <f>bdRateExtend( R9:R13,Z9:Z13, AO9:AO13,AW9:AW13)</f>
        <v>-4.2851973096043827E-2</v>
      </c>
      <c r="BO9" s="52">
        <f>bdRateExtend( BC9:BC13,V9:V13, BD9:BD13,AS9:AS13)</f>
        <v>-3.6490192334697302E-2</v>
      </c>
      <c r="BP9" s="52">
        <f>bdRateExtend( BC9:BC13,W9:W13, BD9:BD13,AT9:AT13)</f>
        <v>-5.2590731723151651E-2</v>
      </c>
      <c r="BQ9" s="52">
        <f>bdRateExtend( U9:U13,X9:X13, AR9:AR13,AU9:AU13)</f>
        <v>-2.5751684917232787E-2</v>
      </c>
      <c r="BR9" s="52">
        <f>bdRateExtend( U9:U13,Y9:Y13, AR9:AR13,AV9:AV13)</f>
        <v>-4.2747224743792556E-2</v>
      </c>
      <c r="BS9" s="52">
        <f>bdRateExtend( U9:U13,Z9:Z13, AR9:AR13,AW9:AW13)</f>
        <v>-4.0551413477505127E-2</v>
      </c>
    </row>
    <row r="10" spans="1:71" outlineLevel="1" x14ac:dyDescent="0.25">
      <c r="A10" s="18"/>
      <c r="B10" s="18"/>
      <c r="C10" s="19" t="s">
        <v>311</v>
      </c>
      <c r="D10" s="18">
        <v>218121242</v>
      </c>
      <c r="E10" s="19">
        <v>10</v>
      </c>
      <c r="F10" s="19">
        <v>300</v>
      </c>
      <c r="G10" s="19">
        <v>30</v>
      </c>
      <c r="I10" s="55">
        <f t="shared" si="0"/>
        <v>0.5215592</v>
      </c>
      <c r="J10" s="21">
        <f t="shared" si="1"/>
        <v>2.3911435457533291E-2</v>
      </c>
      <c r="K10" s="21">
        <f t="shared" si="2"/>
        <v>9.6859525492707394E-3</v>
      </c>
      <c r="L10" s="21">
        <f t="shared" si="3"/>
        <v>6.0922081124038345E-3</v>
      </c>
      <c r="M10" s="21">
        <f t="shared" si="4"/>
        <v>1.4224272572223846E-2</v>
      </c>
      <c r="N10" s="21">
        <f t="shared" si="5"/>
        <v>0.15185873796448651</v>
      </c>
      <c r="O10" s="5">
        <v>34345024</v>
      </c>
      <c r="P10" s="5">
        <v>1073282</v>
      </c>
      <c r="Q10" s="5">
        <v>388048.84375</v>
      </c>
      <c r="R10" s="5">
        <v>5215592</v>
      </c>
      <c r="S10" s="5">
        <v>1328840</v>
      </c>
      <c r="T10" s="5">
        <v>783872</v>
      </c>
      <c r="U10" s="5">
        <v>3102616</v>
      </c>
      <c r="V10" s="5">
        <v>67.505971875</v>
      </c>
      <c r="W10" s="5">
        <v>69.678178125000002</v>
      </c>
      <c r="X10" s="5">
        <v>34.433678125</v>
      </c>
      <c r="Y10" s="5">
        <v>40.212687500000001</v>
      </c>
      <c r="Z10" s="5">
        <v>34.021746874999998</v>
      </c>
      <c r="AA10" s="5"/>
      <c r="AB10" s="5"/>
      <c r="AC10" s="5"/>
      <c r="AD10" s="5"/>
      <c r="AF10" s="55">
        <f t="shared" si="6"/>
        <v>0.50783840000000002</v>
      </c>
      <c r="AG10" s="21">
        <f t="shared" si="7"/>
        <v>2.3282390809052884E-2</v>
      </c>
      <c r="AH10" s="21">
        <f t="shared" si="8"/>
        <v>9.3390995820572115E-3</v>
      </c>
      <c r="AI10" s="21">
        <f t="shared" si="9"/>
        <v>5.7919347442556739E-3</v>
      </c>
      <c r="AJ10" s="21">
        <f t="shared" si="10"/>
        <v>1.3942080890956965E-2</v>
      </c>
      <c r="AK10" s="21">
        <f t="shared" si="11"/>
        <v>0.1478637487631396</v>
      </c>
      <c r="AL10" s="5">
        <v>34345024</v>
      </c>
      <c r="AM10" s="5">
        <v>1073282</v>
      </c>
      <c r="AN10" s="5">
        <v>416073.53125</v>
      </c>
      <c r="AO10" s="5">
        <v>5078384</v>
      </c>
      <c r="AP10" s="5">
        <v>1263344</v>
      </c>
      <c r="AQ10" s="5">
        <v>773712</v>
      </c>
      <c r="AR10" s="5">
        <v>3041064</v>
      </c>
      <c r="AS10" s="5">
        <v>67.329671875000003</v>
      </c>
      <c r="AT10" s="5">
        <v>69.729556250000002</v>
      </c>
      <c r="AU10" s="5">
        <v>34.428449999999998</v>
      </c>
      <c r="AV10" s="5">
        <v>40.246440624999899</v>
      </c>
      <c r="AW10" s="5">
        <v>34.042553124999998</v>
      </c>
      <c r="AX10" s="5"/>
      <c r="AY10" s="5"/>
      <c r="AZ10" s="5"/>
      <c r="BA10" s="5"/>
      <c r="BC10" s="18">
        <f t="shared" si="12"/>
        <v>2112712</v>
      </c>
      <c r="BD10" s="18">
        <f t="shared" si="13"/>
        <v>2037056</v>
      </c>
      <c r="BE10" s="20">
        <f t="shared" si="14"/>
        <v>2.6111206094949879E-2</v>
      </c>
      <c r="BF10" s="20">
        <f t="shared" si="15"/>
        <v>-3.9532870493982908E-3</v>
      </c>
      <c r="BG10" s="20"/>
      <c r="BI10" s="50"/>
      <c r="BJ10" s="50"/>
      <c r="BK10" s="50"/>
      <c r="BL10" s="50"/>
      <c r="BM10" s="50"/>
      <c r="BO10" s="50"/>
      <c r="BP10" s="50"/>
      <c r="BQ10" s="50"/>
      <c r="BR10" s="50"/>
      <c r="BS10" s="50"/>
    </row>
    <row r="11" spans="1:71" outlineLevel="1" x14ac:dyDescent="0.25">
      <c r="A11" s="25"/>
      <c r="B11" s="25"/>
      <c r="C11" s="26" t="s">
        <v>312</v>
      </c>
      <c r="D11" s="25">
        <v>218121242</v>
      </c>
      <c r="E11" s="26">
        <v>10</v>
      </c>
      <c r="F11" s="26">
        <v>300</v>
      </c>
      <c r="G11" s="26">
        <v>30</v>
      </c>
      <c r="I11" s="56">
        <f t="shared" si="0"/>
        <v>0.82977919999999994</v>
      </c>
      <c r="J11" s="28">
        <f t="shared" si="1"/>
        <v>3.8042108709430512E-2</v>
      </c>
      <c r="K11" s="28">
        <f t="shared" si="2"/>
        <v>1.2542308923768185E-2</v>
      </c>
      <c r="L11" s="28">
        <f t="shared" si="3"/>
        <v>8.9485644869012806E-3</v>
      </c>
      <c r="M11" s="28">
        <f t="shared" si="4"/>
        <v>2.5498589449623618E-2</v>
      </c>
      <c r="N11" s="28">
        <f t="shared" si="5"/>
        <v>0.24160099582402389</v>
      </c>
      <c r="O11" s="5">
        <v>34345024</v>
      </c>
      <c r="P11" s="5">
        <v>1073282</v>
      </c>
      <c r="Q11" s="5">
        <v>360815.21875</v>
      </c>
      <c r="R11" s="5">
        <v>8297792</v>
      </c>
      <c r="S11" s="5">
        <v>1951872</v>
      </c>
      <c r="T11" s="5">
        <v>783872</v>
      </c>
      <c r="U11" s="5">
        <v>5561784</v>
      </c>
      <c r="V11" s="5">
        <v>68.837900000000005</v>
      </c>
      <c r="W11" s="5">
        <v>71.330234375000003</v>
      </c>
      <c r="X11" s="5">
        <v>36.536099999999998</v>
      </c>
      <c r="Y11" s="5">
        <v>41.107121874999997</v>
      </c>
      <c r="Z11" s="5">
        <v>35.785018749999999</v>
      </c>
      <c r="AA11" s="5"/>
      <c r="AB11" s="5"/>
      <c r="AC11" s="5"/>
      <c r="AD11" s="5"/>
      <c r="AF11" s="56">
        <f t="shared" si="6"/>
        <v>0.80194080000000001</v>
      </c>
      <c r="AG11" s="28">
        <f t="shared" si="7"/>
        <v>3.6765827695039444E-2</v>
      </c>
      <c r="AH11" s="28">
        <f t="shared" si="8"/>
        <v>1.2062612407094216E-2</v>
      </c>
      <c r="AI11" s="28">
        <f t="shared" si="9"/>
        <v>8.5154475692926779E-3</v>
      </c>
      <c r="AJ11" s="28">
        <f t="shared" si="10"/>
        <v>2.4702004951906519E-2</v>
      </c>
      <c r="AK11" s="28">
        <f t="shared" si="11"/>
        <v>0.23349548394550546</v>
      </c>
      <c r="AL11" s="5">
        <v>34345024</v>
      </c>
      <c r="AM11" s="5">
        <v>1073282</v>
      </c>
      <c r="AN11" s="5">
        <v>373210.75</v>
      </c>
      <c r="AO11" s="5">
        <v>8019408</v>
      </c>
      <c r="AP11" s="5">
        <v>1857400</v>
      </c>
      <c r="AQ11" s="5">
        <v>773712</v>
      </c>
      <c r="AR11" s="5">
        <v>5388032</v>
      </c>
      <c r="AS11" s="5">
        <v>68.893225000000001</v>
      </c>
      <c r="AT11" s="5">
        <v>71.412806250000003</v>
      </c>
      <c r="AU11" s="5">
        <v>36.526809374999999</v>
      </c>
      <c r="AV11" s="5">
        <v>41.116509375</v>
      </c>
      <c r="AW11" s="5">
        <v>35.822684374999902</v>
      </c>
      <c r="AX11" s="5"/>
      <c r="AY11" s="5"/>
      <c r="AZ11" s="5"/>
      <c r="BA11" s="5"/>
      <c r="BC11" s="25">
        <f t="shared" si="12"/>
        <v>2735744</v>
      </c>
      <c r="BD11" s="25">
        <f t="shared" si="13"/>
        <v>2631112</v>
      </c>
      <c r="BE11" s="27">
        <f t="shared" si="14"/>
        <v>1.1549183951654829E-2</v>
      </c>
      <c r="BF11" s="27">
        <f t="shared" si="15"/>
        <v>-1.6023714992183247E-3</v>
      </c>
      <c r="BG11" s="27"/>
      <c r="BI11" s="52"/>
      <c r="BJ11" s="52"/>
      <c r="BK11" s="52"/>
      <c r="BL11" s="52"/>
      <c r="BM11" s="52"/>
      <c r="BO11" s="52"/>
      <c r="BP11" s="52"/>
      <c r="BQ11" s="52"/>
      <c r="BR11" s="52"/>
      <c r="BS11" s="52"/>
    </row>
    <row r="12" spans="1:71" outlineLevel="1" x14ac:dyDescent="0.25">
      <c r="A12" s="18"/>
      <c r="B12" s="18"/>
      <c r="C12" s="19" t="s">
        <v>313</v>
      </c>
      <c r="D12" s="18">
        <v>218121242</v>
      </c>
      <c r="E12" s="19">
        <v>10</v>
      </c>
      <c r="F12" s="19">
        <v>300</v>
      </c>
      <c r="G12" s="19">
        <v>30</v>
      </c>
      <c r="I12" s="55">
        <f t="shared" si="0"/>
        <v>1.4652936000000001</v>
      </c>
      <c r="J12" s="21">
        <f t="shared" si="1"/>
        <v>6.7177941339615146E-2</v>
      </c>
      <c r="K12" s="21">
        <f t="shared" si="2"/>
        <v>1.7701861426224597E-2</v>
      </c>
      <c r="L12" s="21">
        <f t="shared" si="3"/>
        <v>1.410811698935769E-2</v>
      </c>
      <c r="M12" s="21">
        <f t="shared" si="4"/>
        <v>4.9474869577351845E-2</v>
      </c>
      <c r="N12" s="21">
        <f t="shared" si="5"/>
        <v>0.42663927094649867</v>
      </c>
      <c r="O12" s="5">
        <v>34345024</v>
      </c>
      <c r="P12" s="5">
        <v>1073282</v>
      </c>
      <c r="Q12" s="5">
        <v>365487.5625</v>
      </c>
      <c r="R12" s="5">
        <v>14652936</v>
      </c>
      <c r="S12" s="5">
        <v>3077280</v>
      </c>
      <c r="T12" s="5">
        <v>783872</v>
      </c>
      <c r="U12" s="5">
        <v>10791520</v>
      </c>
      <c r="V12" s="5">
        <v>70.010381249999995</v>
      </c>
      <c r="W12" s="5">
        <v>72.894028125000006</v>
      </c>
      <c r="X12" s="5">
        <v>38.843134374999998</v>
      </c>
      <c r="Y12" s="5">
        <v>42.274128124999997</v>
      </c>
      <c r="Z12" s="5">
        <v>37.822743750000001</v>
      </c>
      <c r="AA12" s="5"/>
      <c r="AB12" s="5"/>
      <c r="AC12" s="5"/>
      <c r="AD12" s="5"/>
      <c r="AF12" s="55">
        <f t="shared" si="6"/>
        <v>1.4063656</v>
      </c>
      <c r="AG12" s="21">
        <f t="shared" si="7"/>
        <v>6.4476324593823839E-2</v>
      </c>
      <c r="AH12" s="21">
        <f t="shared" si="8"/>
        <v>1.6857780408200684E-2</v>
      </c>
      <c r="AI12" s="21">
        <f t="shared" si="9"/>
        <v>1.3310615570399146E-2</v>
      </c>
      <c r="AJ12" s="21">
        <f t="shared" si="10"/>
        <v>4.7617333849584442E-2</v>
      </c>
      <c r="AK12" s="21">
        <f t="shared" si="11"/>
        <v>0.40948161806496336</v>
      </c>
      <c r="AL12" s="5">
        <v>34345024</v>
      </c>
      <c r="AM12" s="5">
        <v>1073282</v>
      </c>
      <c r="AN12" s="5">
        <v>374107.1875</v>
      </c>
      <c r="AO12" s="5">
        <v>14063656</v>
      </c>
      <c r="AP12" s="5">
        <v>2903328</v>
      </c>
      <c r="AQ12" s="5">
        <v>773712</v>
      </c>
      <c r="AR12" s="5">
        <v>10386352</v>
      </c>
      <c r="AS12" s="5">
        <v>70.071868749999993</v>
      </c>
      <c r="AT12" s="5">
        <v>72.979153124999996</v>
      </c>
      <c r="AU12" s="5">
        <v>38.821481249999998</v>
      </c>
      <c r="AV12" s="5">
        <v>42.298181249999999</v>
      </c>
      <c r="AW12" s="5">
        <v>37.863275000000002</v>
      </c>
      <c r="AX12" s="5"/>
      <c r="AY12" s="5"/>
      <c r="AZ12" s="5"/>
      <c r="BA12" s="5"/>
      <c r="BC12" s="18">
        <f t="shared" si="12"/>
        <v>3861152</v>
      </c>
      <c r="BD12" s="18">
        <f t="shared" si="13"/>
        <v>3677040</v>
      </c>
      <c r="BE12" s="20">
        <f t="shared" si="14"/>
        <v>8.0310906173773344E-3</v>
      </c>
      <c r="BF12" s="20">
        <f t="shared" si="15"/>
        <v>-2.0501470692136925E-3</v>
      </c>
      <c r="BG12" s="20"/>
      <c r="BI12" s="50"/>
      <c r="BJ12" s="50"/>
      <c r="BK12" s="50"/>
      <c r="BL12" s="50"/>
      <c r="BM12" s="50"/>
      <c r="BO12" s="50"/>
      <c r="BP12" s="50"/>
      <c r="BQ12" s="50"/>
      <c r="BR12" s="50"/>
      <c r="BS12" s="50"/>
    </row>
    <row r="13" spans="1:71" ht="15.75" outlineLevel="1" thickBot="1" x14ac:dyDescent="0.3">
      <c r="A13" s="25"/>
      <c r="B13" s="32"/>
      <c r="C13" s="33" t="s">
        <v>428</v>
      </c>
      <c r="D13" s="32">
        <v>218121242</v>
      </c>
      <c r="E13" s="33">
        <v>10</v>
      </c>
      <c r="F13" s="33">
        <v>300</v>
      </c>
      <c r="G13" s="33">
        <v>30</v>
      </c>
      <c r="I13" s="57">
        <f t="shared" si="0"/>
        <v>2.6807032000000004</v>
      </c>
      <c r="J13" s="35">
        <f t="shared" si="1"/>
        <v>0.12289968530437764</v>
      </c>
      <c r="K13" s="35">
        <f t="shared" si="2"/>
        <v>2.6724623179983545E-2</v>
      </c>
      <c r="L13" s="35">
        <f t="shared" si="3"/>
        <v>2.3130878743116638E-2</v>
      </c>
      <c r="M13" s="35">
        <f t="shared" si="4"/>
        <v>9.6173851788355399E-2</v>
      </c>
      <c r="N13" s="35">
        <f t="shared" si="5"/>
        <v>0.7805215684228376</v>
      </c>
      <c r="O13" s="5">
        <v>34345024</v>
      </c>
      <c r="P13" s="5">
        <v>1073282</v>
      </c>
      <c r="Q13" s="5">
        <v>362532.875</v>
      </c>
      <c r="R13" s="5">
        <v>26807032</v>
      </c>
      <c r="S13" s="5">
        <v>5045336</v>
      </c>
      <c r="T13" s="5">
        <v>783872</v>
      </c>
      <c r="U13" s="5">
        <v>20977560</v>
      </c>
      <c r="V13" s="5">
        <v>71.004506250000006</v>
      </c>
      <c r="W13" s="5">
        <v>74.198378125000005</v>
      </c>
      <c r="X13" s="5">
        <v>41.2995375</v>
      </c>
      <c r="Y13" s="5">
        <v>43.623684375000003</v>
      </c>
      <c r="Z13" s="5">
        <v>39.698618750000001</v>
      </c>
      <c r="AA13" s="5"/>
      <c r="AB13" s="5"/>
      <c r="AC13" s="5"/>
      <c r="AD13" s="5"/>
      <c r="AF13" s="57">
        <f t="shared" si="6"/>
        <v>2.5732560000000002</v>
      </c>
      <c r="AG13" s="35">
        <f t="shared" si="7"/>
        <v>0.11797365430369225</v>
      </c>
      <c r="AH13" s="35">
        <f t="shared" si="8"/>
        <v>2.5362444983693978E-2</v>
      </c>
      <c r="AI13" s="35">
        <f t="shared" si="9"/>
        <v>2.181528014589244E-2</v>
      </c>
      <c r="AJ13" s="35">
        <f t="shared" si="10"/>
        <v>9.2609998983959566E-2</v>
      </c>
      <c r="AK13" s="35">
        <f t="shared" si="11"/>
        <v>0.74923692002661002</v>
      </c>
      <c r="AL13" s="5">
        <v>34345024</v>
      </c>
      <c r="AM13" s="5">
        <v>1073282</v>
      </c>
      <c r="AN13" s="5">
        <v>366084</v>
      </c>
      <c r="AO13" s="5">
        <v>25732560</v>
      </c>
      <c r="AP13" s="5">
        <v>4758376</v>
      </c>
      <c r="AQ13" s="5">
        <v>773712</v>
      </c>
      <c r="AR13" s="5">
        <v>20200208</v>
      </c>
      <c r="AS13" s="5">
        <v>71.047071875</v>
      </c>
      <c r="AT13" s="5">
        <v>74.258475000000004</v>
      </c>
      <c r="AU13" s="5">
        <v>41.279899999999998</v>
      </c>
      <c r="AV13" s="5">
        <v>43.653887500000003</v>
      </c>
      <c r="AW13" s="5">
        <v>39.775628124999997</v>
      </c>
      <c r="AX13" s="5"/>
      <c r="AY13" s="5"/>
      <c r="AZ13" s="5"/>
      <c r="BA13" s="5"/>
      <c r="BC13" s="32">
        <f t="shared" si="12"/>
        <v>5829208</v>
      </c>
      <c r="BD13" s="32">
        <f t="shared" si="13"/>
        <v>5532088</v>
      </c>
      <c r="BE13" s="34">
        <f t="shared" si="14"/>
        <v>3.3086597930459538E-3</v>
      </c>
      <c r="BF13" s="34">
        <f t="shared" si="15"/>
        <v>-2.4667311138939774E-3</v>
      </c>
      <c r="BG13" s="34"/>
      <c r="BI13" s="54"/>
      <c r="BJ13" s="54"/>
      <c r="BK13" s="54"/>
      <c r="BL13" s="54"/>
      <c r="BM13" s="54"/>
      <c r="BO13" s="54"/>
      <c r="BP13" s="54"/>
      <c r="BQ13" s="54"/>
      <c r="BR13" s="54"/>
      <c r="BS13" s="54"/>
    </row>
    <row r="14" spans="1:71" x14ac:dyDescent="0.25">
      <c r="A14" s="18"/>
      <c r="B14" s="18" t="s">
        <v>560</v>
      </c>
      <c r="C14" s="19" t="s">
        <v>310</v>
      </c>
      <c r="D14" s="18">
        <v>322589704</v>
      </c>
      <c r="E14" s="19">
        <v>10</v>
      </c>
      <c r="F14" s="19">
        <v>300</v>
      </c>
      <c r="G14" s="19">
        <v>30</v>
      </c>
      <c r="I14" s="55">
        <f t="shared" si="0"/>
        <v>0.49462800000000001</v>
      </c>
      <c r="J14" s="21">
        <f t="shared" si="1"/>
        <v>1.5333037411510195E-2</v>
      </c>
      <c r="K14" s="21">
        <f t="shared" si="2"/>
        <v>7.5614564561552154E-3</v>
      </c>
      <c r="L14" s="21">
        <f t="shared" si="3"/>
        <v>4.2034819561383146E-3</v>
      </c>
      <c r="M14" s="21">
        <f t="shared" si="4"/>
        <v>7.77076257833697E-3</v>
      </c>
      <c r="N14" s="21">
        <f t="shared" si="5"/>
        <v>9.669701991415762E-2</v>
      </c>
      <c r="O14" s="5">
        <v>51152352</v>
      </c>
      <c r="P14" s="5">
        <v>1598511</v>
      </c>
      <c r="Q14" s="5">
        <v>643075.59375</v>
      </c>
      <c r="R14" s="5">
        <v>4946280</v>
      </c>
      <c r="S14" s="5">
        <v>1356000</v>
      </c>
      <c r="T14" s="5">
        <v>1083248</v>
      </c>
      <c r="U14" s="5">
        <v>2506768</v>
      </c>
      <c r="V14" s="5">
        <v>65.891424999999998</v>
      </c>
      <c r="W14" s="5">
        <v>67.765265624999998</v>
      </c>
      <c r="X14" s="5">
        <v>29.6486625</v>
      </c>
      <c r="Y14" s="5">
        <v>43.163418749999998</v>
      </c>
      <c r="Z14" s="5">
        <v>43.471553125</v>
      </c>
      <c r="AA14" s="5"/>
      <c r="AB14" s="5"/>
      <c r="AC14" s="5"/>
      <c r="AD14" s="5"/>
      <c r="AF14" s="55" t="str">
        <f t="shared" si="6"/>
        <v>·</v>
      </c>
      <c r="AG14" s="21" t="str">
        <f t="shared" si="7"/>
        <v>·</v>
      </c>
      <c r="AH14" s="21" t="str">
        <f t="shared" si="8"/>
        <v>·</v>
      </c>
      <c r="AI14" s="21" t="str">
        <f t="shared" si="9"/>
        <v>·</v>
      </c>
      <c r="AJ14" s="21" t="str">
        <f t="shared" si="10"/>
        <v>·</v>
      </c>
      <c r="AK14" s="21" t="str">
        <f t="shared" si="11"/>
        <v>·</v>
      </c>
      <c r="AL14" s="5"/>
      <c r="AM14" s="5"/>
      <c r="AN14" s="5"/>
      <c r="AO14" s="5"/>
      <c r="AP14" s="5"/>
      <c r="AQ14" s="5"/>
      <c r="AR14" s="5"/>
      <c r="AS14" s="5"/>
      <c r="AT14" s="5"/>
      <c r="AU14" s="5"/>
      <c r="AV14" s="5"/>
      <c r="AW14" s="5"/>
      <c r="AX14" s="5"/>
      <c r="AY14" s="5"/>
      <c r="AZ14" s="5"/>
      <c r="BA14" s="5"/>
      <c r="BC14" s="18">
        <f t="shared" si="12"/>
        <v>2439248</v>
      </c>
      <c r="BD14" s="18" t="str">
        <f t="shared" si="13"/>
        <v/>
      </c>
      <c r="BE14" s="20" t="e">
        <f t="shared" si="14"/>
        <v>#DIV/0!</v>
      </c>
      <c r="BF14" s="20" t="e">
        <f t="shared" si="15"/>
        <v>#VALUE!</v>
      </c>
      <c r="BG14" s="20" t="e">
        <f t="array" ref="BG14">AVERAGE(BD14:BD18/AO14:AO18) - AVERAGE(BC14:BC18/R14:R18)</f>
        <v>#VALUE!</v>
      </c>
      <c r="BI14" s="50">
        <f>bdRateExtend( R14:R18,V14:V18, AO14:AO18,AS14:AS18)</f>
        <v>1</v>
      </c>
      <c r="BJ14" s="50">
        <f>bdRateExtend( R14:R18,W14:W18, AO14:AO18,AT14:AT18)</f>
        <v>1</v>
      </c>
      <c r="BK14" s="50">
        <f>bdRateExtend( R14:R18,X14:X18, AO14:AO18,AU14:AU18)</f>
        <v>1</v>
      </c>
      <c r="BL14" s="50">
        <f>bdRateExtend( R14:R18,Y14:Y18, AO14:AO18,AV14:AV18)</f>
        <v>1</v>
      </c>
      <c r="BM14" s="50">
        <f>bdRateExtend( R14:R18,Z14:Z18, AO14:AO18,AW14:AW18)</f>
        <v>1</v>
      </c>
      <c r="BO14" s="50">
        <f>bdRateExtend( BC14:BC18,V14:V18, BD14:BD18,AS14:AS18)</f>
        <v>1</v>
      </c>
      <c r="BP14" s="50">
        <f>bdRateExtend( BC14:BC18,W14:W18, BD14:BD18,AT14:AT18)</f>
        <v>1</v>
      </c>
      <c r="BQ14" s="50">
        <f>bdRateExtend( U14:U18,X14:X18, AR14:AR18,AU14:AU18)</f>
        <v>1</v>
      </c>
      <c r="BR14" s="50">
        <f>bdRateExtend( U14:U18,Y14:Y18, AR14:AR18,AV14:AV18)</f>
        <v>1</v>
      </c>
      <c r="BS14" s="50">
        <f>bdRateExtend( U14:U18,Z14:Z18, AR14:AR18,AW14:AW18)</f>
        <v>1</v>
      </c>
    </row>
    <row r="15" spans="1:71" outlineLevel="1" x14ac:dyDescent="0.25">
      <c r="A15" s="25"/>
      <c r="B15" s="25"/>
      <c r="C15" s="26" t="s">
        <v>311</v>
      </c>
      <c r="D15" s="25">
        <v>322589704</v>
      </c>
      <c r="E15" s="26">
        <v>10</v>
      </c>
      <c r="F15" s="26">
        <v>300</v>
      </c>
      <c r="G15" s="26">
        <v>30</v>
      </c>
      <c r="I15" s="56">
        <f t="shared" si="0"/>
        <v>0.81876880000000007</v>
      </c>
      <c r="J15" s="28">
        <f t="shared" si="1"/>
        <v>2.5381120037234667E-2</v>
      </c>
      <c r="K15" s="28">
        <f t="shared" si="2"/>
        <v>9.5386057330583626E-3</v>
      </c>
      <c r="L15" s="28">
        <f t="shared" si="3"/>
        <v>6.1806312330414609E-3</v>
      </c>
      <c r="M15" s="28">
        <f t="shared" si="4"/>
        <v>1.5841695927158294E-2</v>
      </c>
      <c r="N15" s="28">
        <f t="shared" si="5"/>
        <v>0.1600647415000585</v>
      </c>
      <c r="O15" s="5">
        <v>51152352</v>
      </c>
      <c r="P15" s="5">
        <v>1598511</v>
      </c>
      <c r="Q15" s="5">
        <v>581847.5</v>
      </c>
      <c r="R15" s="5">
        <v>8187688</v>
      </c>
      <c r="S15" s="5">
        <v>1993808</v>
      </c>
      <c r="T15" s="5">
        <v>1083248</v>
      </c>
      <c r="U15" s="5">
        <v>5110368</v>
      </c>
      <c r="V15" s="5">
        <v>67.672506249999998</v>
      </c>
      <c r="W15" s="5">
        <v>69.796196875000007</v>
      </c>
      <c r="X15" s="5">
        <v>32.027940624999999</v>
      </c>
      <c r="Y15" s="5">
        <v>44.182981249999997</v>
      </c>
      <c r="Z15" s="5">
        <v>44.554737500000002</v>
      </c>
      <c r="AA15" s="5"/>
      <c r="AB15" s="5"/>
      <c r="AC15" s="5"/>
      <c r="AD15" s="5"/>
      <c r="AF15" s="56" t="str">
        <f t="shared" si="6"/>
        <v>·</v>
      </c>
      <c r="AG15" s="28" t="str">
        <f t="shared" si="7"/>
        <v>·</v>
      </c>
      <c r="AH15" s="28" t="str">
        <f t="shared" si="8"/>
        <v>·</v>
      </c>
      <c r="AI15" s="28" t="str">
        <f t="shared" si="9"/>
        <v>·</v>
      </c>
      <c r="AJ15" s="28" t="str">
        <f t="shared" si="10"/>
        <v>·</v>
      </c>
      <c r="AK15" s="28" t="str">
        <f t="shared" si="11"/>
        <v>·</v>
      </c>
      <c r="AL15" s="5"/>
      <c r="AM15" s="5"/>
      <c r="AN15" s="5"/>
      <c r="AO15" s="5"/>
      <c r="AP15" s="5"/>
      <c r="AQ15" s="5"/>
      <c r="AR15" s="5"/>
      <c r="AS15" s="5"/>
      <c r="AT15" s="5"/>
      <c r="AU15" s="5"/>
      <c r="AV15" s="5"/>
      <c r="AW15" s="5"/>
      <c r="AX15" s="5"/>
      <c r="AY15" s="5"/>
      <c r="AZ15" s="5"/>
      <c r="BA15" s="5"/>
      <c r="BC15" s="25">
        <f t="shared" si="12"/>
        <v>3077056</v>
      </c>
      <c r="BD15" s="25" t="str">
        <f t="shared" si="13"/>
        <v/>
      </c>
      <c r="BE15" s="27" t="e">
        <f t="shared" si="14"/>
        <v>#DIV/0!</v>
      </c>
      <c r="BF15" s="27" t="e">
        <f t="shared" si="15"/>
        <v>#VALUE!</v>
      </c>
      <c r="BG15" s="27"/>
      <c r="BI15" s="52"/>
      <c r="BJ15" s="52"/>
      <c r="BK15" s="52"/>
      <c r="BL15" s="52"/>
      <c r="BM15" s="52"/>
      <c r="BO15" s="52"/>
      <c r="BP15" s="52"/>
      <c r="BQ15" s="52"/>
      <c r="BR15" s="52"/>
      <c r="BS15" s="52"/>
    </row>
    <row r="16" spans="1:71" outlineLevel="1" x14ac:dyDescent="0.25">
      <c r="A16" s="18"/>
      <c r="B16" s="18"/>
      <c r="C16" s="19" t="s">
        <v>312</v>
      </c>
      <c r="D16" s="18">
        <v>322589704</v>
      </c>
      <c r="E16" s="19">
        <v>10</v>
      </c>
      <c r="F16" s="19">
        <v>300</v>
      </c>
      <c r="G16" s="19">
        <v>30</v>
      </c>
      <c r="I16" s="55">
        <f t="shared" si="0"/>
        <v>1.4190416000000001</v>
      </c>
      <c r="J16" s="21">
        <f t="shared" si="1"/>
        <v>4.3989054281782035E-2</v>
      </c>
      <c r="K16" s="21">
        <f t="shared" si="2"/>
        <v>1.2322550753200729E-2</v>
      </c>
      <c r="L16" s="21">
        <f t="shared" si="3"/>
        <v>8.9645762531838282E-3</v>
      </c>
      <c r="M16" s="21">
        <f t="shared" si="4"/>
        <v>3.1665685151563303E-2</v>
      </c>
      <c r="N16" s="21">
        <f t="shared" si="5"/>
        <v>0.27741473158458091</v>
      </c>
      <c r="O16" s="5">
        <v>51152352</v>
      </c>
      <c r="P16" s="5">
        <v>1598511</v>
      </c>
      <c r="Q16" s="5">
        <v>533697.375</v>
      </c>
      <c r="R16" s="5">
        <v>14190416</v>
      </c>
      <c r="S16" s="5">
        <v>2891880</v>
      </c>
      <c r="T16" s="5">
        <v>1083248</v>
      </c>
      <c r="U16" s="5">
        <v>10215024</v>
      </c>
      <c r="V16" s="5">
        <v>69.010446875</v>
      </c>
      <c r="W16" s="5">
        <v>71.556181249999995</v>
      </c>
      <c r="X16" s="5">
        <v>34.573387500000003</v>
      </c>
      <c r="Y16" s="5">
        <v>45.068278124999999</v>
      </c>
      <c r="Z16" s="5">
        <v>45.546578125000003</v>
      </c>
      <c r="AA16" s="5"/>
      <c r="AB16" s="5"/>
      <c r="AC16" s="5"/>
      <c r="AD16" s="5"/>
      <c r="AF16" s="55" t="str">
        <f t="shared" si="6"/>
        <v>·</v>
      </c>
      <c r="AG16" s="21" t="str">
        <f t="shared" si="7"/>
        <v>·</v>
      </c>
      <c r="AH16" s="21" t="str">
        <f t="shared" si="8"/>
        <v>·</v>
      </c>
      <c r="AI16" s="21" t="str">
        <f t="shared" si="9"/>
        <v>·</v>
      </c>
      <c r="AJ16" s="21" t="str">
        <f t="shared" si="10"/>
        <v>·</v>
      </c>
      <c r="AK16" s="21" t="str">
        <f t="shared" si="11"/>
        <v>·</v>
      </c>
      <c r="AL16" s="5"/>
      <c r="AM16" s="5"/>
      <c r="AN16" s="5"/>
      <c r="AO16" s="5"/>
      <c r="AP16" s="5"/>
      <c r="AQ16" s="5"/>
      <c r="AR16" s="5"/>
      <c r="AS16" s="5"/>
      <c r="AT16" s="5"/>
      <c r="AU16" s="5"/>
      <c r="AV16" s="5"/>
      <c r="AW16" s="5"/>
      <c r="AX16" s="5"/>
      <c r="AY16" s="5"/>
      <c r="AZ16" s="5"/>
      <c r="BA16" s="5"/>
      <c r="BC16" s="18">
        <f t="shared" si="12"/>
        <v>3975128</v>
      </c>
      <c r="BD16" s="18" t="str">
        <f t="shared" si="13"/>
        <v/>
      </c>
      <c r="BE16" s="20" t="e">
        <f t="shared" si="14"/>
        <v>#DIV/0!</v>
      </c>
      <c r="BF16" s="20" t="e">
        <f t="shared" si="15"/>
        <v>#VALUE!</v>
      </c>
      <c r="BG16" s="20"/>
      <c r="BI16" s="50"/>
      <c r="BJ16" s="50"/>
      <c r="BK16" s="50"/>
      <c r="BL16" s="50"/>
      <c r="BM16" s="50"/>
      <c r="BO16" s="50"/>
      <c r="BP16" s="50"/>
      <c r="BQ16" s="50"/>
      <c r="BR16" s="50"/>
      <c r="BS16" s="50"/>
    </row>
    <row r="17" spans="1:71" outlineLevel="1" x14ac:dyDescent="0.25">
      <c r="A17" s="25"/>
      <c r="B17" s="25"/>
      <c r="C17" s="26" t="s">
        <v>313</v>
      </c>
      <c r="D17" s="25">
        <v>322589704</v>
      </c>
      <c r="E17" s="26">
        <v>10</v>
      </c>
      <c r="F17" s="26">
        <v>300</v>
      </c>
      <c r="G17" s="26">
        <v>30</v>
      </c>
      <c r="I17" s="56">
        <f t="shared" si="0"/>
        <v>2.5852624</v>
      </c>
      <c r="J17" s="28">
        <f t="shared" si="1"/>
        <v>8.0140883851643321E-2</v>
      </c>
      <c r="K17" s="28">
        <f t="shared" si="2"/>
        <v>1.7161961250939366E-2</v>
      </c>
      <c r="L17" s="28">
        <f t="shared" si="3"/>
        <v>1.3803986750922466E-2</v>
      </c>
      <c r="M17" s="28">
        <f t="shared" si="4"/>
        <v>6.2978104223685952E-2</v>
      </c>
      <c r="N17" s="28">
        <f t="shared" si="5"/>
        <v>0.50540440447391355</v>
      </c>
      <c r="O17" s="5">
        <v>51152352</v>
      </c>
      <c r="P17" s="5">
        <v>1598511</v>
      </c>
      <c r="Q17" s="5">
        <v>537468.71875</v>
      </c>
      <c r="R17" s="5">
        <v>25852624</v>
      </c>
      <c r="S17" s="5">
        <v>4453024</v>
      </c>
      <c r="T17" s="5">
        <v>1083248</v>
      </c>
      <c r="U17" s="5">
        <v>20316088</v>
      </c>
      <c r="V17" s="5">
        <v>70.260975000000002</v>
      </c>
      <c r="W17" s="5">
        <v>73.213446875000002</v>
      </c>
      <c r="X17" s="5">
        <v>37.176384374999998</v>
      </c>
      <c r="Y17" s="5">
        <v>46.399968749999999</v>
      </c>
      <c r="Z17" s="5">
        <v>46.953353125</v>
      </c>
      <c r="AA17" s="5"/>
      <c r="AB17" s="5"/>
      <c r="AC17" s="5"/>
      <c r="AD17" s="5"/>
      <c r="AF17" s="56" t="str">
        <f t="shared" si="6"/>
        <v>·</v>
      </c>
      <c r="AG17" s="28" t="str">
        <f t="shared" si="7"/>
        <v>·</v>
      </c>
      <c r="AH17" s="28" t="str">
        <f t="shared" si="8"/>
        <v>·</v>
      </c>
      <c r="AI17" s="28" t="str">
        <f t="shared" si="9"/>
        <v>·</v>
      </c>
      <c r="AJ17" s="28" t="str">
        <f t="shared" si="10"/>
        <v>·</v>
      </c>
      <c r="AK17" s="28" t="str">
        <f t="shared" si="11"/>
        <v>·</v>
      </c>
      <c r="AL17" s="5"/>
      <c r="AM17" s="5"/>
      <c r="AN17" s="5"/>
      <c r="AO17" s="5"/>
      <c r="AP17" s="5"/>
      <c r="AQ17" s="5"/>
      <c r="AR17" s="5"/>
      <c r="AS17" s="5"/>
      <c r="AT17" s="5"/>
      <c r="AU17" s="5"/>
      <c r="AV17" s="5"/>
      <c r="AW17" s="5"/>
      <c r="AX17" s="5"/>
      <c r="AY17" s="5"/>
      <c r="AZ17" s="5"/>
      <c r="BA17" s="5"/>
      <c r="BC17" s="25">
        <f t="shared" si="12"/>
        <v>5536272</v>
      </c>
      <c r="BD17" s="25" t="str">
        <f t="shared" si="13"/>
        <v/>
      </c>
      <c r="BE17" s="27" t="e">
        <f t="shared" si="14"/>
        <v>#DIV/0!</v>
      </c>
      <c r="BF17" s="27" t="e">
        <f t="shared" si="15"/>
        <v>#VALUE!</v>
      </c>
      <c r="BG17" s="27"/>
      <c r="BI17" s="52"/>
      <c r="BJ17" s="52"/>
      <c r="BK17" s="52"/>
      <c r="BL17" s="52"/>
      <c r="BM17" s="52"/>
      <c r="BO17" s="52"/>
      <c r="BP17" s="52"/>
      <c r="BQ17" s="52"/>
      <c r="BR17" s="52"/>
      <c r="BS17" s="52"/>
    </row>
    <row r="18" spans="1:71" ht="15.75" outlineLevel="1" thickBot="1" x14ac:dyDescent="0.3">
      <c r="A18" s="18"/>
      <c r="B18" s="39"/>
      <c r="C18" s="40" t="s">
        <v>428</v>
      </c>
      <c r="D18" s="39">
        <v>322589704</v>
      </c>
      <c r="E18" s="40">
        <v>10</v>
      </c>
      <c r="F18" s="40">
        <v>300</v>
      </c>
      <c r="G18" s="40">
        <v>30</v>
      </c>
      <c r="I18" s="58">
        <f t="shared" si="0"/>
        <v>4.7351184000000002</v>
      </c>
      <c r="J18" s="42">
        <f t="shared" si="1"/>
        <v>0.14678454833759977</v>
      </c>
      <c r="K18" s="42">
        <f t="shared" si="2"/>
        <v>2.5482177199307017E-2</v>
      </c>
      <c r="L18" s="42">
        <f t="shared" si="3"/>
        <v>2.2124202699290118E-2</v>
      </c>
      <c r="M18" s="42">
        <f t="shared" si="4"/>
        <v>0.12130155276127473</v>
      </c>
      <c r="N18" s="42">
        <f t="shared" si="5"/>
        <v>0.92568928208814327</v>
      </c>
      <c r="O18" s="5">
        <v>51152352</v>
      </c>
      <c r="P18" s="5">
        <v>1598511</v>
      </c>
      <c r="Q18" s="5">
        <v>529290.78125</v>
      </c>
      <c r="R18" s="5">
        <v>47351184</v>
      </c>
      <c r="S18" s="5">
        <v>7137040</v>
      </c>
      <c r="T18" s="5">
        <v>1083248</v>
      </c>
      <c r="U18" s="5">
        <v>39130632</v>
      </c>
      <c r="V18" s="5">
        <v>71.268156250000004</v>
      </c>
      <c r="W18" s="5">
        <v>74.516315625000004</v>
      </c>
      <c r="X18" s="5">
        <v>39.518621875000001</v>
      </c>
      <c r="Y18" s="5">
        <v>48.224759374999998</v>
      </c>
      <c r="Z18" s="5">
        <v>48.85750625</v>
      </c>
      <c r="AA18" s="5"/>
      <c r="AB18" s="5"/>
      <c r="AC18" s="5"/>
      <c r="AD18" s="5"/>
      <c r="AF18" s="58" t="str">
        <f t="shared" si="6"/>
        <v>·</v>
      </c>
      <c r="AG18" s="42" t="str">
        <f t="shared" si="7"/>
        <v>·</v>
      </c>
      <c r="AH18" s="42" t="str">
        <f t="shared" si="8"/>
        <v>·</v>
      </c>
      <c r="AI18" s="42" t="str">
        <f t="shared" si="9"/>
        <v>·</v>
      </c>
      <c r="AJ18" s="42" t="str">
        <f t="shared" si="10"/>
        <v>·</v>
      </c>
      <c r="AK18" s="42" t="str">
        <f t="shared" si="11"/>
        <v>·</v>
      </c>
      <c r="AL18" s="5"/>
      <c r="AM18" s="5"/>
      <c r="AN18" s="5"/>
      <c r="AO18" s="5"/>
      <c r="AP18" s="5"/>
      <c r="AQ18" s="5"/>
      <c r="AR18" s="5"/>
      <c r="AS18" s="5"/>
      <c r="AT18" s="5"/>
      <c r="AU18" s="5"/>
      <c r="AV18" s="5"/>
      <c r="AW18" s="5"/>
      <c r="AX18" s="5"/>
      <c r="AY18" s="5"/>
      <c r="AZ18" s="5"/>
      <c r="BA18" s="5"/>
      <c r="BC18" s="39">
        <f t="shared" si="12"/>
        <v>8220288</v>
      </c>
      <c r="BD18" s="39" t="str">
        <f t="shared" si="13"/>
        <v/>
      </c>
      <c r="BE18" s="41" t="e">
        <f t="shared" si="14"/>
        <v>#DIV/0!</v>
      </c>
      <c r="BF18" s="41" t="e">
        <f t="shared" si="15"/>
        <v>#VALUE!</v>
      </c>
      <c r="BG18" s="41"/>
      <c r="BI18" s="60"/>
      <c r="BJ18" s="60"/>
      <c r="BK18" s="60"/>
      <c r="BL18" s="60"/>
      <c r="BM18" s="60"/>
      <c r="BO18" s="60"/>
      <c r="BP18" s="60"/>
      <c r="BQ18" s="60"/>
      <c r="BR18" s="60"/>
      <c r="BS18" s="60"/>
    </row>
    <row r="19" spans="1:71" x14ac:dyDescent="0.25">
      <c r="A19" s="25"/>
      <c r="B19" s="25" t="s">
        <v>563</v>
      </c>
      <c r="C19" s="26" t="s">
        <v>310</v>
      </c>
      <c r="D19" s="25">
        <v>250602891</v>
      </c>
      <c r="E19" s="26">
        <v>10</v>
      </c>
      <c r="F19" s="26">
        <v>250</v>
      </c>
      <c r="G19" s="26">
        <v>50</v>
      </c>
      <c r="I19" s="56">
        <f t="shared" si="0"/>
        <v>0.70956319999999995</v>
      </c>
      <c r="J19" s="28">
        <f t="shared" si="1"/>
        <v>1.4157123191368132E-2</v>
      </c>
      <c r="K19" s="28">
        <f t="shared" si="2"/>
        <v>7.0535818359733129E-3</v>
      </c>
      <c r="L19" s="28">
        <f t="shared" si="3"/>
        <v>3.7054321133110951E-3</v>
      </c>
      <c r="M19" s="28">
        <f t="shared" si="4"/>
        <v>7.1024878958798601E-3</v>
      </c>
      <c r="N19" s="28">
        <f t="shared" si="5"/>
        <v>8.8220772245320184E-2</v>
      </c>
      <c r="O19" s="5">
        <v>40215200</v>
      </c>
      <c r="P19" s="5">
        <v>1256725</v>
      </c>
      <c r="Q19" s="5">
        <v>291720.5</v>
      </c>
      <c r="R19" s="5">
        <v>3547816</v>
      </c>
      <c r="S19" s="5">
        <v>928592</v>
      </c>
      <c r="T19" s="5">
        <v>839056</v>
      </c>
      <c r="U19" s="5">
        <v>1779904</v>
      </c>
      <c r="V19" s="5">
        <v>66.799634374999997</v>
      </c>
      <c r="W19" s="5">
        <v>68.463306250000002</v>
      </c>
      <c r="X19" s="5">
        <v>30.264518750000001</v>
      </c>
      <c r="Y19" s="5">
        <v>39.134384375000003</v>
      </c>
      <c r="Z19" s="5">
        <v>37.941653125000002</v>
      </c>
      <c r="AA19" s="5"/>
      <c r="AB19" s="5"/>
      <c r="AC19" s="5"/>
      <c r="AD19" s="5"/>
      <c r="AF19" s="56">
        <f t="shared" si="6"/>
        <v>0.6918976</v>
      </c>
      <c r="AG19" s="28">
        <f t="shared" si="7"/>
        <v>1.3804661176075579E-2</v>
      </c>
      <c r="AH19" s="28">
        <f t="shared" si="8"/>
        <v>6.9797439008794197E-3</v>
      </c>
      <c r="AI19" s="28">
        <f t="shared" si="9"/>
        <v>3.6507479875800795E-3</v>
      </c>
      <c r="AJ19" s="28">
        <f t="shared" si="10"/>
        <v>6.8238638156812009E-3</v>
      </c>
      <c r="AK19" s="28">
        <f t="shared" si="11"/>
        <v>8.6024388788318848E-2</v>
      </c>
      <c r="AL19" s="5">
        <v>40215200</v>
      </c>
      <c r="AM19" s="5">
        <v>1256725</v>
      </c>
      <c r="AN19" s="5">
        <v>342487.4375</v>
      </c>
      <c r="AO19" s="5">
        <v>3459488</v>
      </c>
      <c r="AP19" s="5">
        <v>914888</v>
      </c>
      <c r="AQ19" s="5">
        <v>834256</v>
      </c>
      <c r="AR19" s="5">
        <v>1710080</v>
      </c>
      <c r="AS19" s="5">
        <v>66.676615624999997</v>
      </c>
      <c r="AT19" s="5">
        <v>68.578318749999994</v>
      </c>
      <c r="AU19" s="5">
        <v>30.147768749999901</v>
      </c>
      <c r="AV19" s="5">
        <v>39.126115624999997</v>
      </c>
      <c r="AW19" s="5">
        <v>37.8795</v>
      </c>
      <c r="AX19" s="5"/>
      <c r="AY19" s="5"/>
      <c r="AZ19" s="5"/>
      <c r="BA19" s="5"/>
      <c r="BC19" s="25">
        <f t="shared" si="12"/>
        <v>1767648</v>
      </c>
      <c r="BD19" s="25">
        <f t="shared" si="13"/>
        <v>1749144</v>
      </c>
      <c r="BE19" s="27">
        <f t="shared" si="14"/>
        <v>4.0396218345302298E-2</v>
      </c>
      <c r="BF19" s="27">
        <f t="shared" si="15"/>
        <v>7.3722320368607153E-3</v>
      </c>
      <c r="BG19" s="27">
        <f t="array" ref="BG19">AVERAGE(BD19:BD23/AO19:AO23) - AVERAGE(BC19:BC23/R19:R23)</f>
        <v>3.8575122271123363E-3</v>
      </c>
      <c r="BI19" s="52">
        <f>bdRateExtend( R19:R23,V19:V23, AO19:AO23,AS19:AS23)</f>
        <v>-4.6182090068955794E-3</v>
      </c>
      <c r="BJ19" s="52">
        <f>bdRateExtend( R19:R23,W19:W23, AO19:AO23,AT19:AT23)</f>
        <v>-6.1492192080970787E-2</v>
      </c>
      <c r="BK19" s="52">
        <f>bdRateExtend( R19:R23,X19:X23, AO19:AO23,AU19:AU23)</f>
        <v>-1.8973271344276843E-2</v>
      </c>
      <c r="BL19" s="52">
        <f>bdRateExtend( R19:R23,Y19:Y23, AO19:AO23,AV19:AV23)</f>
        <v>-3.7092570912857337E-2</v>
      </c>
      <c r="BM19" s="52">
        <f>bdRateExtend( R19:R23,Z19:Z23, AO19:AO23,AW19:AW23)</f>
        <v>-4.2812026694356686E-2</v>
      </c>
      <c r="BO19" s="52">
        <f>bdRateExtend( BC19:BC23,V19:V23, BD19:BD23,AS19:AS23)</f>
        <v>-4.33531971634038E-3</v>
      </c>
      <c r="BP19" s="52">
        <f>bdRateExtend( BC19:BC23,W19:W23, BD19:BD23,AT19:AT23)</f>
        <v>-3.8810408041002886E-2</v>
      </c>
      <c r="BQ19" s="52">
        <f>bdRateExtend( U19:U23,X19:X23, AR19:AR23,AU19:AU23)</f>
        <v>-2.1440484094793377E-2</v>
      </c>
      <c r="BR19" s="52">
        <f>bdRateExtend( U19:U23,Y19:Y23, AR19:AR23,AV19:AV23)</f>
        <v>-4.3294416801638147E-2</v>
      </c>
      <c r="BS19" s="52">
        <f>bdRateExtend( U19:U23,Z19:Z23, AR19:AR23,AW19:AW23)</f>
        <v>-4.9591503472112719E-2</v>
      </c>
    </row>
    <row r="20" spans="1:71" outlineLevel="1" x14ac:dyDescent="0.25">
      <c r="A20" s="18"/>
      <c r="B20" s="18"/>
      <c r="C20" s="19" t="s">
        <v>311</v>
      </c>
      <c r="D20" s="18">
        <v>250602891</v>
      </c>
      <c r="E20" s="19">
        <v>10</v>
      </c>
      <c r="F20" s="19">
        <v>250</v>
      </c>
      <c r="G20" s="19">
        <v>50</v>
      </c>
      <c r="I20" s="55">
        <f t="shared" si="0"/>
        <v>1.1822463999999999</v>
      </c>
      <c r="J20" s="21">
        <f t="shared" si="1"/>
        <v>2.3588043922446209E-2</v>
      </c>
      <c r="K20" s="21">
        <f t="shared" si="2"/>
        <v>8.8728106492594293E-3</v>
      </c>
      <c r="L20" s="21">
        <f t="shared" si="3"/>
        <v>5.5246609265972111E-3</v>
      </c>
      <c r="M20" s="21">
        <f t="shared" si="4"/>
        <v>1.4714179813671822E-2</v>
      </c>
      <c r="N20" s="21">
        <f t="shared" si="5"/>
        <v>0.14698999383317751</v>
      </c>
      <c r="O20" s="5">
        <v>40215200</v>
      </c>
      <c r="P20" s="5">
        <v>1256725</v>
      </c>
      <c r="Q20" s="5">
        <v>270442.53125</v>
      </c>
      <c r="R20" s="5">
        <v>5911232</v>
      </c>
      <c r="S20" s="5">
        <v>1384496</v>
      </c>
      <c r="T20" s="5">
        <v>839056</v>
      </c>
      <c r="U20" s="5">
        <v>3687416</v>
      </c>
      <c r="V20" s="5">
        <v>68.297399999999996</v>
      </c>
      <c r="W20" s="5">
        <v>70.390356249999996</v>
      </c>
      <c r="X20" s="5">
        <v>32.507693750000001</v>
      </c>
      <c r="Y20" s="5">
        <v>40.305128125000003</v>
      </c>
      <c r="Z20" s="5">
        <v>39.337556249999999</v>
      </c>
      <c r="AA20" s="5"/>
      <c r="AB20" s="5"/>
      <c r="AC20" s="5"/>
      <c r="AD20" s="5"/>
      <c r="AF20" s="55">
        <f t="shared" si="6"/>
        <v>1.1513183999999999</v>
      </c>
      <c r="AG20" s="21">
        <f t="shared" si="7"/>
        <v>2.2970972030805503E-2</v>
      </c>
      <c r="AH20" s="21">
        <f t="shared" si="8"/>
        <v>8.7793400595685862E-3</v>
      </c>
      <c r="AI20" s="21">
        <f t="shared" si="9"/>
        <v>5.450344146269246E-3</v>
      </c>
      <c r="AJ20" s="21">
        <f t="shared" si="10"/>
        <v>1.4190578511721957E-2</v>
      </c>
      <c r="AK20" s="21">
        <f t="shared" si="11"/>
        <v>0.14314468161292249</v>
      </c>
      <c r="AL20" s="5">
        <v>40215200</v>
      </c>
      <c r="AM20" s="5">
        <v>1256725</v>
      </c>
      <c r="AN20" s="5">
        <v>299317.46875</v>
      </c>
      <c r="AO20" s="5">
        <v>5756592</v>
      </c>
      <c r="AP20" s="5">
        <v>1365872</v>
      </c>
      <c r="AQ20" s="5">
        <v>834256</v>
      </c>
      <c r="AR20" s="5">
        <v>3556200</v>
      </c>
      <c r="AS20" s="5">
        <v>68.26556875</v>
      </c>
      <c r="AT20" s="5">
        <v>70.482825000000005</v>
      </c>
      <c r="AU20" s="5">
        <v>32.434856249999903</v>
      </c>
      <c r="AV20" s="5">
        <v>40.303678124999898</v>
      </c>
      <c r="AW20" s="5">
        <v>39.346656250000002</v>
      </c>
      <c r="AX20" s="5"/>
      <c r="AY20" s="5"/>
      <c r="AZ20" s="5"/>
      <c r="BA20" s="5"/>
      <c r="BC20" s="18">
        <f t="shared" si="12"/>
        <v>2223552</v>
      </c>
      <c r="BD20" s="18">
        <f t="shared" si="13"/>
        <v>2200128</v>
      </c>
      <c r="BE20" s="20">
        <f t="shared" si="14"/>
        <v>2.2976337305297495E-2</v>
      </c>
      <c r="BF20" s="20">
        <f t="shared" si="15"/>
        <v>6.0356782123809904E-3</v>
      </c>
      <c r="BG20" s="20"/>
      <c r="BI20" s="50"/>
      <c r="BJ20" s="50"/>
      <c r="BK20" s="50"/>
      <c r="BL20" s="50"/>
      <c r="BM20" s="50"/>
      <c r="BO20" s="50"/>
      <c r="BP20" s="50"/>
      <c r="BQ20" s="50"/>
      <c r="BR20" s="50"/>
      <c r="BS20" s="50"/>
    </row>
    <row r="21" spans="1:71" outlineLevel="1" x14ac:dyDescent="0.25">
      <c r="A21" s="25"/>
      <c r="B21" s="25"/>
      <c r="C21" s="26" t="s">
        <v>312</v>
      </c>
      <c r="D21" s="25">
        <v>250602891</v>
      </c>
      <c r="E21" s="26">
        <v>10</v>
      </c>
      <c r="F21" s="26">
        <v>250</v>
      </c>
      <c r="G21" s="26">
        <v>50</v>
      </c>
      <c r="I21" s="56">
        <f t="shared" si="0"/>
        <v>1.961776</v>
      </c>
      <c r="J21" s="28">
        <f t="shared" si="1"/>
        <v>3.9141128663196467E-2</v>
      </c>
      <c r="K21" s="28">
        <f t="shared" si="2"/>
        <v>1.155309896245371E-2</v>
      </c>
      <c r="L21" s="28">
        <f t="shared" si="3"/>
        <v>8.2049492397914918E-3</v>
      </c>
      <c r="M21" s="28">
        <f t="shared" si="4"/>
        <v>2.7586976241227801E-2</v>
      </c>
      <c r="N21" s="28">
        <f t="shared" si="5"/>
        <v>0.24390976546181542</v>
      </c>
      <c r="O21" s="5">
        <v>40215200</v>
      </c>
      <c r="P21" s="5">
        <v>1256725</v>
      </c>
      <c r="Q21" s="5">
        <v>268628.84375</v>
      </c>
      <c r="R21" s="5">
        <v>9808880</v>
      </c>
      <c r="S21" s="5">
        <v>2056184</v>
      </c>
      <c r="T21" s="5">
        <v>839056</v>
      </c>
      <c r="U21" s="5">
        <v>6913376</v>
      </c>
      <c r="V21" s="5">
        <v>69.555921874999996</v>
      </c>
      <c r="W21" s="5">
        <v>72.113778124999996</v>
      </c>
      <c r="X21" s="5">
        <v>34.320124999999997</v>
      </c>
      <c r="Y21" s="5">
        <v>41.384078125000002</v>
      </c>
      <c r="Z21" s="5">
        <v>40.497690624999997</v>
      </c>
      <c r="AA21" s="5"/>
      <c r="AB21" s="5"/>
      <c r="AC21" s="5"/>
      <c r="AD21" s="5"/>
      <c r="AF21" s="56">
        <f t="shared" si="6"/>
        <v>1.8939264</v>
      </c>
      <c r="AG21" s="28">
        <f t="shared" si="7"/>
        <v>3.7787401263459489E-2</v>
      </c>
      <c r="AH21" s="28">
        <f t="shared" si="8"/>
        <v>1.1300077140770096E-2</v>
      </c>
      <c r="AI21" s="28">
        <f t="shared" si="9"/>
        <v>7.9710812274707554E-3</v>
      </c>
      <c r="AJ21" s="28">
        <f t="shared" si="10"/>
        <v>2.6486270663174431E-2</v>
      </c>
      <c r="AK21" s="28">
        <f t="shared" si="11"/>
        <v>0.23547395014820266</v>
      </c>
      <c r="AL21" s="5">
        <v>40215200</v>
      </c>
      <c r="AM21" s="5">
        <v>1256725</v>
      </c>
      <c r="AN21" s="5">
        <v>287914.625</v>
      </c>
      <c r="AO21" s="5">
        <v>9469632</v>
      </c>
      <c r="AP21" s="5">
        <v>1997576</v>
      </c>
      <c r="AQ21" s="5">
        <v>834256</v>
      </c>
      <c r="AR21" s="5">
        <v>6637536</v>
      </c>
      <c r="AS21" s="5">
        <v>69.459643749999998</v>
      </c>
      <c r="AT21" s="5">
        <v>72.208803125000003</v>
      </c>
      <c r="AU21" s="5">
        <v>34.260253124999998</v>
      </c>
      <c r="AV21" s="5">
        <v>41.384034374999999</v>
      </c>
      <c r="AW21" s="5">
        <v>40.519434374999904</v>
      </c>
      <c r="AX21" s="5"/>
      <c r="AY21" s="5"/>
      <c r="AZ21" s="5"/>
      <c r="BA21" s="5"/>
      <c r="BC21" s="25">
        <f t="shared" si="12"/>
        <v>2895240</v>
      </c>
      <c r="BD21" s="25">
        <f t="shared" si="13"/>
        <v>2831832</v>
      </c>
      <c r="BE21" s="27">
        <f t="shared" si="14"/>
        <v>1.5346063180091102E-2</v>
      </c>
      <c r="BF21" s="27">
        <f t="shared" si="15"/>
        <v>3.8783136278804919E-3</v>
      </c>
      <c r="BG21" s="27"/>
      <c r="BI21" s="52"/>
      <c r="BJ21" s="52"/>
      <c r="BK21" s="52"/>
      <c r="BL21" s="52"/>
      <c r="BM21" s="52"/>
      <c r="BO21" s="52"/>
      <c r="BP21" s="52"/>
      <c r="BQ21" s="52"/>
      <c r="BR21" s="52"/>
      <c r="BS21" s="52"/>
    </row>
    <row r="22" spans="1:71" outlineLevel="1" x14ac:dyDescent="0.25">
      <c r="A22" s="18"/>
      <c r="B22" s="18"/>
      <c r="C22" s="19" t="s">
        <v>313</v>
      </c>
      <c r="D22" s="18">
        <v>250602891</v>
      </c>
      <c r="E22" s="19">
        <v>10</v>
      </c>
      <c r="F22" s="19">
        <v>250</v>
      </c>
      <c r="G22" s="19">
        <v>50</v>
      </c>
      <c r="I22" s="55">
        <f t="shared" si="0"/>
        <v>3.4054720000000001</v>
      </c>
      <c r="J22" s="21">
        <f t="shared" si="1"/>
        <v>6.7945584873559978E-2</v>
      </c>
      <c r="K22" s="21">
        <f t="shared" si="2"/>
        <v>1.6527024023836979E-2</v>
      </c>
      <c r="L22" s="21">
        <f t="shared" si="3"/>
        <v>1.3178874301174762E-2</v>
      </c>
      <c r="M22" s="21">
        <f t="shared" si="4"/>
        <v>5.1417507390208041E-2</v>
      </c>
      <c r="N22" s="21">
        <f t="shared" si="5"/>
        <v>0.42340607531480634</v>
      </c>
      <c r="O22" s="5">
        <v>40215200</v>
      </c>
      <c r="P22" s="5">
        <v>1256725</v>
      </c>
      <c r="Q22" s="5">
        <v>278078.53125</v>
      </c>
      <c r="R22" s="5">
        <v>17027360</v>
      </c>
      <c r="S22" s="5">
        <v>3302664</v>
      </c>
      <c r="T22" s="5">
        <v>839056</v>
      </c>
      <c r="U22" s="5">
        <v>12885376</v>
      </c>
      <c r="V22" s="5">
        <v>70.649096874999998</v>
      </c>
      <c r="W22" s="5">
        <v>73.670559374999996</v>
      </c>
      <c r="X22" s="5">
        <v>35.895443749999998</v>
      </c>
      <c r="Y22" s="5">
        <v>42.501021874999999</v>
      </c>
      <c r="Z22" s="5">
        <v>41.601996874999998</v>
      </c>
      <c r="AA22" s="5"/>
      <c r="AB22" s="5"/>
      <c r="AC22" s="5"/>
      <c r="AD22" s="5"/>
      <c r="AF22" s="55">
        <f t="shared" si="6"/>
        <v>3.2775583999999998</v>
      </c>
      <c r="AG22" s="21">
        <f t="shared" si="7"/>
        <v>6.5393467468018954E-2</v>
      </c>
      <c r="AH22" s="21">
        <f t="shared" si="8"/>
        <v>1.5988865826771326E-2</v>
      </c>
      <c r="AI22" s="21">
        <f t="shared" si="9"/>
        <v>1.2659869913471988E-2</v>
      </c>
      <c r="AJ22" s="21">
        <f t="shared" si="10"/>
        <v>4.9403548181732669E-2</v>
      </c>
      <c r="AK22" s="21">
        <f t="shared" si="11"/>
        <v>0.4075024368895343</v>
      </c>
      <c r="AL22" s="5">
        <v>40215200</v>
      </c>
      <c r="AM22" s="5">
        <v>1256725</v>
      </c>
      <c r="AN22" s="5">
        <v>287921.25</v>
      </c>
      <c r="AO22" s="5">
        <v>16387792</v>
      </c>
      <c r="AP22" s="5">
        <v>3172600</v>
      </c>
      <c r="AQ22" s="5">
        <v>834256</v>
      </c>
      <c r="AR22" s="5">
        <v>12380672</v>
      </c>
      <c r="AS22" s="5">
        <v>70.580993750000005</v>
      </c>
      <c r="AT22" s="5">
        <v>73.768196875000001</v>
      </c>
      <c r="AU22" s="5">
        <v>35.905271874999997</v>
      </c>
      <c r="AV22" s="5">
        <v>42.5232125</v>
      </c>
      <c r="AW22" s="5">
        <v>41.650053124999999</v>
      </c>
      <c r="AX22" s="5"/>
      <c r="AY22" s="5"/>
      <c r="AZ22" s="5"/>
      <c r="BA22" s="5"/>
      <c r="BC22" s="18">
        <f t="shared" si="12"/>
        <v>4141720</v>
      </c>
      <c r="BD22" s="18">
        <f t="shared" si="13"/>
        <v>4006856</v>
      </c>
      <c r="BE22" s="20">
        <f t="shared" si="14"/>
        <v>7.8320386321589774E-3</v>
      </c>
      <c r="BF22" s="20">
        <f t="shared" si="15"/>
        <v>1.2633767355129943E-3</v>
      </c>
      <c r="BG22" s="20"/>
      <c r="BI22" s="50"/>
      <c r="BJ22" s="50"/>
      <c r="BK22" s="50"/>
      <c r="BL22" s="50"/>
      <c r="BM22" s="50"/>
      <c r="BO22" s="50"/>
      <c r="BP22" s="50"/>
      <c r="BQ22" s="50"/>
      <c r="BR22" s="50"/>
      <c r="BS22" s="50"/>
    </row>
    <row r="23" spans="1:71" ht="15.75" outlineLevel="1" thickBot="1" x14ac:dyDescent="0.3">
      <c r="A23" s="32"/>
      <c r="B23" s="32"/>
      <c r="C23" s="33" t="s">
        <v>428</v>
      </c>
      <c r="D23" s="32">
        <v>250602891</v>
      </c>
      <c r="E23" s="33">
        <v>10</v>
      </c>
      <c r="F23" s="33">
        <v>250</v>
      </c>
      <c r="G23" s="33">
        <v>50</v>
      </c>
      <c r="I23" s="57">
        <f t="shared" si="0"/>
        <v>5.9598959999999996</v>
      </c>
      <c r="J23" s="35">
        <f t="shared" si="1"/>
        <v>0.11891115813185092</v>
      </c>
      <c r="K23" s="35">
        <f t="shared" si="2"/>
        <v>2.5699144867406976E-2</v>
      </c>
      <c r="L23" s="35">
        <f t="shared" si="3"/>
        <v>2.235099514474476E-2</v>
      </c>
      <c r="M23" s="35">
        <f t="shared" si="4"/>
        <v>9.3210959804928981E-2</v>
      </c>
      <c r="N23" s="35">
        <f t="shared" si="5"/>
        <v>0.74100041775249159</v>
      </c>
      <c r="O23" s="5">
        <v>40215200</v>
      </c>
      <c r="P23" s="5">
        <v>1256725</v>
      </c>
      <c r="Q23" s="5">
        <v>276706.59375</v>
      </c>
      <c r="R23" s="5">
        <v>29799480</v>
      </c>
      <c r="S23" s="5">
        <v>5601224</v>
      </c>
      <c r="T23" s="5">
        <v>839056</v>
      </c>
      <c r="U23" s="5">
        <v>23358936</v>
      </c>
      <c r="V23" s="5">
        <v>71.688637499999999</v>
      </c>
      <c r="W23" s="5">
        <v>75.056862499999994</v>
      </c>
      <c r="X23" s="5">
        <v>37.406912499999997</v>
      </c>
      <c r="Y23" s="5">
        <v>43.464740624999997</v>
      </c>
      <c r="Z23" s="5">
        <v>42.482553125000003</v>
      </c>
      <c r="AA23" s="5"/>
      <c r="AB23" s="5"/>
      <c r="AC23" s="5"/>
      <c r="AD23" s="5"/>
      <c r="AF23" s="57">
        <f t="shared" si="6"/>
        <v>5.7317520000000002</v>
      </c>
      <c r="AG23" s="35">
        <f t="shared" si="7"/>
        <v>0.11435925533676305</v>
      </c>
      <c r="AH23" s="35">
        <f t="shared" si="8"/>
        <v>2.4799777748773059E-2</v>
      </c>
      <c r="AI23" s="35">
        <f t="shared" si="9"/>
        <v>2.1470781835473719E-2</v>
      </c>
      <c r="AJ23" s="35">
        <f t="shared" si="10"/>
        <v>8.9558424128475034E-2</v>
      </c>
      <c r="AK23" s="35">
        <f t="shared" si="11"/>
        <v>0.71263502357317632</v>
      </c>
      <c r="AL23" s="5">
        <v>40215200</v>
      </c>
      <c r="AM23" s="5">
        <v>1256725</v>
      </c>
      <c r="AN23" s="5">
        <v>281735.15625</v>
      </c>
      <c r="AO23" s="5">
        <v>28658760</v>
      </c>
      <c r="AP23" s="5">
        <v>5380640</v>
      </c>
      <c r="AQ23" s="5">
        <v>834256</v>
      </c>
      <c r="AR23" s="5">
        <v>22443600</v>
      </c>
      <c r="AS23" s="5">
        <v>71.659171874999998</v>
      </c>
      <c r="AT23" s="5">
        <v>75.151668749999999</v>
      </c>
      <c r="AU23" s="5">
        <v>37.379212500000001</v>
      </c>
      <c r="AV23" s="5">
        <v>43.516343749999997</v>
      </c>
      <c r="AW23" s="5">
        <v>42.572331249999898</v>
      </c>
      <c r="AX23" s="5"/>
      <c r="AY23" s="5"/>
      <c r="AZ23" s="5"/>
      <c r="BA23" s="5"/>
      <c r="BC23" s="32">
        <f t="shared" si="12"/>
        <v>6440280</v>
      </c>
      <c r="BD23" s="32">
        <f t="shared" si="13"/>
        <v>6214896</v>
      </c>
      <c r="BE23" s="34">
        <f t="shared" si="14"/>
        <v>4.0013228828900405E-3</v>
      </c>
      <c r="BF23" s="34">
        <f t="shared" si="15"/>
        <v>7.3796052292637859E-4</v>
      </c>
      <c r="BG23" s="34"/>
      <c r="BI23" s="54"/>
      <c r="BJ23" s="54"/>
      <c r="BK23" s="54"/>
      <c r="BL23" s="54"/>
      <c r="BM23" s="54"/>
      <c r="BO23" s="54"/>
      <c r="BP23" s="54"/>
      <c r="BQ23" s="54"/>
      <c r="BR23" s="54"/>
      <c r="BS23" s="54"/>
    </row>
    <row r="24" spans="1:71" x14ac:dyDescent="0.25">
      <c r="A24" s="18" t="s">
        <v>570</v>
      </c>
      <c r="B24" s="18" t="s">
        <v>567</v>
      </c>
      <c r="C24" s="19" t="s">
        <v>310</v>
      </c>
      <c r="D24" s="18">
        <v>250294582</v>
      </c>
      <c r="E24" s="19">
        <v>10</v>
      </c>
      <c r="F24" s="19">
        <v>300</v>
      </c>
      <c r="G24" s="19">
        <v>30</v>
      </c>
      <c r="I24" s="55">
        <f t="shared" si="0"/>
        <v>0.5357288</v>
      </c>
      <c r="J24" s="21">
        <f t="shared" si="1"/>
        <v>2.1403931148617512E-2</v>
      </c>
      <c r="K24" s="21">
        <f t="shared" si="2"/>
        <v>6.6949591421839091E-3</v>
      </c>
      <c r="L24" s="21">
        <f t="shared" si="3"/>
        <v>3.7769894675546752E-3</v>
      </c>
      <c r="M24" s="21">
        <f t="shared" si="4"/>
        <v>1.4707917249283487E-2</v>
      </c>
      <c r="N24" s="21">
        <f t="shared" si="5"/>
        <v>0.14099527363561179</v>
      </c>
      <c r="O24" s="5">
        <v>37996224</v>
      </c>
      <c r="P24" s="5">
        <v>1187382</v>
      </c>
      <c r="Q24" s="5">
        <v>472518.40625</v>
      </c>
      <c r="R24" s="5">
        <v>5357288</v>
      </c>
      <c r="S24" s="5">
        <v>945360</v>
      </c>
      <c r="T24" s="5">
        <v>730352</v>
      </c>
      <c r="U24" s="5">
        <v>3681312</v>
      </c>
      <c r="V24" s="5">
        <v>66.109203124999993</v>
      </c>
      <c r="W24" s="5">
        <v>67.998446874999999</v>
      </c>
      <c r="X24" s="5">
        <v>27.499949999999998</v>
      </c>
      <c r="Y24" s="5">
        <v>33.338709375000001</v>
      </c>
      <c r="Z24" s="5">
        <v>32.76653125</v>
      </c>
      <c r="AA24" s="5"/>
      <c r="AB24" s="5"/>
      <c r="AC24" s="5"/>
      <c r="AD24" s="5"/>
      <c r="AF24" s="55" t="str">
        <f t="shared" si="6"/>
        <v>·</v>
      </c>
      <c r="AG24" s="21" t="str">
        <f t="shared" si="7"/>
        <v>·</v>
      </c>
      <c r="AH24" s="21" t="str">
        <f t="shared" si="8"/>
        <v>·</v>
      </c>
      <c r="AI24" s="21" t="str">
        <f t="shared" si="9"/>
        <v>·</v>
      </c>
      <c r="AJ24" s="21" t="str">
        <f t="shared" si="10"/>
        <v>·</v>
      </c>
      <c r="AK24" s="21" t="str">
        <f t="shared" si="11"/>
        <v>·</v>
      </c>
      <c r="AL24" s="5"/>
      <c r="AM24" s="5"/>
      <c r="AN24" s="5"/>
      <c r="AO24" s="5"/>
      <c r="AP24" s="5"/>
      <c r="AQ24" s="5"/>
      <c r="AR24" s="5"/>
      <c r="AS24" s="5"/>
      <c r="AT24" s="5"/>
      <c r="AU24" s="5"/>
      <c r="AV24" s="5"/>
      <c r="AW24" s="5"/>
      <c r="AX24" s="5"/>
      <c r="AY24" s="5"/>
      <c r="AZ24" s="5"/>
      <c r="BA24" s="5"/>
      <c r="BC24" s="18">
        <f t="shared" si="12"/>
        <v>1675712</v>
      </c>
      <c r="BD24" s="18" t="str">
        <f t="shared" si="13"/>
        <v/>
      </c>
      <c r="BE24" s="20" t="e">
        <f t="shared" si="14"/>
        <v>#DIV/0!</v>
      </c>
      <c r="BF24" s="20" t="e">
        <f t="shared" si="15"/>
        <v>#VALUE!</v>
      </c>
      <c r="BG24" s="20" t="e">
        <f t="array" ref="BG24">AVERAGE(BD24:BD28/AO24:AO28) - AVERAGE(BC24:BC28/R24:R28)</f>
        <v>#VALUE!</v>
      </c>
      <c r="BI24" s="50">
        <f>bdRateExtend( R24:R28,V24:V28, AO24:AO28,AS24:AS28)</f>
        <v>1</v>
      </c>
      <c r="BJ24" s="50">
        <f>bdRateExtend( R24:R28,W24:W28, AO24:AO28,AT24:AT28)</f>
        <v>1</v>
      </c>
      <c r="BK24" s="50">
        <f>bdRateExtend( R24:R28,X24:X28, AO24:AO28,AU24:AU28)</f>
        <v>1</v>
      </c>
      <c r="BL24" s="50">
        <f>bdRateExtend( R24:R28,Y24:Y28, AO24:AO28,AV24:AV28)</f>
        <v>1</v>
      </c>
      <c r="BM24" s="50">
        <f>bdRateExtend( R24:R28,Z24:Z28, AO24:AO28,AW24:AW28)</f>
        <v>1</v>
      </c>
      <c r="BO24" s="50">
        <f>bdRateExtend( BC24:BC28,V24:V28, BD24:BD28,AS24:AS28)</f>
        <v>1</v>
      </c>
      <c r="BP24" s="50">
        <f>bdRateExtend( BC24:BC28,W24:W28, BD24:BD28,AT24:AT28)</f>
        <v>1</v>
      </c>
      <c r="BQ24" s="50">
        <f>bdRateExtend( U24:U28,X24:X28, AR24:AR28,AU24:AU28)</f>
        <v>1</v>
      </c>
      <c r="BR24" s="50">
        <f>bdRateExtend( U24:U28,Y24:Y28, AR24:AR28,AV24:AV28)</f>
        <v>1</v>
      </c>
      <c r="BS24" s="50">
        <f>bdRateExtend( U24:U28,Z24:Z28, AR24:AR28,AW24:AW28)</f>
        <v>1</v>
      </c>
    </row>
    <row r="25" spans="1:71" outlineLevel="1" x14ac:dyDescent="0.25">
      <c r="A25" s="25"/>
      <c r="B25" s="25"/>
      <c r="C25" s="26" t="s">
        <v>311</v>
      </c>
      <c r="D25" s="25">
        <v>250294582</v>
      </c>
      <c r="E25" s="26">
        <v>10</v>
      </c>
      <c r="F25" s="26">
        <v>300</v>
      </c>
      <c r="G25" s="26">
        <v>30</v>
      </c>
      <c r="I25" s="56">
        <f t="shared" si="0"/>
        <v>0.93986800000000004</v>
      </c>
      <c r="J25" s="28">
        <f t="shared" si="1"/>
        <v>3.7550473225984572E-2</v>
      </c>
      <c r="K25" s="28">
        <f t="shared" si="2"/>
        <v>8.4139575981712622E-3</v>
      </c>
      <c r="L25" s="28">
        <f t="shared" si="3"/>
        <v>5.4959879235420284E-3</v>
      </c>
      <c r="M25" s="28">
        <f t="shared" si="4"/>
        <v>2.9135460870663193E-2</v>
      </c>
      <c r="N25" s="28">
        <f t="shared" si="5"/>
        <v>0.2473582638106355</v>
      </c>
      <c r="O25" s="5">
        <v>37996224</v>
      </c>
      <c r="P25" s="5">
        <v>1187382</v>
      </c>
      <c r="Q25" s="5">
        <v>427835.15625</v>
      </c>
      <c r="R25" s="5">
        <v>9398680</v>
      </c>
      <c r="S25" s="5">
        <v>1375616</v>
      </c>
      <c r="T25" s="5">
        <v>730352</v>
      </c>
      <c r="U25" s="5">
        <v>7292448</v>
      </c>
      <c r="V25" s="5">
        <v>67.814868750000002</v>
      </c>
      <c r="W25" s="5">
        <v>69.949540624999997</v>
      </c>
      <c r="X25" s="5">
        <v>29.8384125</v>
      </c>
      <c r="Y25" s="5">
        <v>34.492193749999998</v>
      </c>
      <c r="Z25" s="5">
        <v>34.073365625000001</v>
      </c>
      <c r="AA25" s="5"/>
      <c r="AB25" s="5"/>
      <c r="AC25" s="5"/>
      <c r="AD25" s="5"/>
      <c r="AF25" s="56" t="str">
        <f t="shared" si="6"/>
        <v>·</v>
      </c>
      <c r="AG25" s="28" t="str">
        <f t="shared" si="7"/>
        <v>·</v>
      </c>
      <c r="AH25" s="28" t="str">
        <f t="shared" si="8"/>
        <v>·</v>
      </c>
      <c r="AI25" s="28" t="str">
        <f t="shared" si="9"/>
        <v>·</v>
      </c>
      <c r="AJ25" s="28" t="str">
        <f t="shared" si="10"/>
        <v>·</v>
      </c>
      <c r="AK25" s="28" t="str">
        <f t="shared" si="11"/>
        <v>·</v>
      </c>
      <c r="AL25" s="5"/>
      <c r="AM25" s="5"/>
      <c r="AN25" s="5"/>
      <c r="AO25" s="5"/>
      <c r="AP25" s="5"/>
      <c r="AQ25" s="5"/>
      <c r="AR25" s="5"/>
      <c r="AS25" s="5"/>
      <c r="AT25" s="5"/>
      <c r="AU25" s="5"/>
      <c r="AV25" s="5"/>
      <c r="AW25" s="5"/>
      <c r="AX25" s="5"/>
      <c r="AY25" s="5"/>
      <c r="AZ25" s="5"/>
      <c r="BA25" s="5"/>
      <c r="BC25" s="25">
        <f t="shared" si="12"/>
        <v>2105968</v>
      </c>
      <c r="BD25" s="25" t="str">
        <f t="shared" si="13"/>
        <v/>
      </c>
      <c r="BE25" s="27" t="e">
        <f t="shared" si="14"/>
        <v>#DIV/0!</v>
      </c>
      <c r="BF25" s="27" t="e">
        <f t="shared" si="15"/>
        <v>#VALUE!</v>
      </c>
      <c r="BG25" s="27"/>
      <c r="BI25" s="52"/>
      <c r="BJ25" s="52"/>
      <c r="BK25" s="52"/>
      <c r="BL25" s="52"/>
      <c r="BM25" s="52"/>
      <c r="BO25" s="52"/>
      <c r="BP25" s="52"/>
      <c r="BQ25" s="52"/>
      <c r="BR25" s="52"/>
      <c r="BS25" s="52"/>
    </row>
    <row r="26" spans="1:71" outlineLevel="1" x14ac:dyDescent="0.25">
      <c r="A26" s="18"/>
      <c r="B26" s="18"/>
      <c r="C26" s="19" t="s">
        <v>312</v>
      </c>
      <c r="D26" s="18">
        <v>250294582</v>
      </c>
      <c r="E26" s="19">
        <v>10</v>
      </c>
      <c r="F26" s="19">
        <v>300</v>
      </c>
      <c r="G26" s="19">
        <v>30</v>
      </c>
      <c r="I26" s="55">
        <f t="shared" si="0"/>
        <v>1.7347736</v>
      </c>
      <c r="J26" s="21">
        <f t="shared" si="1"/>
        <v>6.9309274940677706E-2</v>
      </c>
      <c r="K26" s="21">
        <f t="shared" si="2"/>
        <v>1.0903887643880361E-2</v>
      </c>
      <c r="L26" s="21">
        <f t="shared" si="3"/>
        <v>7.9859179692511276E-3</v>
      </c>
      <c r="M26" s="21">
        <f t="shared" si="4"/>
        <v>5.8404332539647226E-2</v>
      </c>
      <c r="N26" s="21">
        <f t="shared" si="5"/>
        <v>0.4565647365380307</v>
      </c>
      <c r="O26" s="5">
        <v>37996224</v>
      </c>
      <c r="P26" s="5">
        <v>1187382</v>
      </c>
      <c r="Q26" s="5">
        <v>391191.78125</v>
      </c>
      <c r="R26" s="5">
        <v>17347736</v>
      </c>
      <c r="S26" s="5">
        <v>1998832</v>
      </c>
      <c r="T26" s="5">
        <v>730352</v>
      </c>
      <c r="U26" s="5">
        <v>14618288</v>
      </c>
      <c r="V26" s="5">
        <v>69.144087499999998</v>
      </c>
      <c r="W26" s="5">
        <v>71.664940625</v>
      </c>
      <c r="X26" s="5">
        <v>32.333671875</v>
      </c>
      <c r="Y26" s="5">
        <v>35.759203124999999</v>
      </c>
      <c r="Z26" s="5">
        <v>35.399637499999997</v>
      </c>
      <c r="AA26" s="5"/>
      <c r="AB26" s="5"/>
      <c r="AC26" s="5"/>
      <c r="AD26" s="5"/>
      <c r="AF26" s="55" t="str">
        <f t="shared" si="6"/>
        <v>·</v>
      </c>
      <c r="AG26" s="21" t="str">
        <f t="shared" si="7"/>
        <v>·</v>
      </c>
      <c r="AH26" s="21" t="str">
        <f t="shared" si="8"/>
        <v>·</v>
      </c>
      <c r="AI26" s="21" t="str">
        <f t="shared" si="9"/>
        <v>·</v>
      </c>
      <c r="AJ26" s="21" t="str">
        <f t="shared" si="10"/>
        <v>·</v>
      </c>
      <c r="AK26" s="21" t="str">
        <f t="shared" si="11"/>
        <v>·</v>
      </c>
      <c r="AL26" s="5"/>
      <c r="AM26" s="5"/>
      <c r="AN26" s="5"/>
      <c r="AO26" s="5"/>
      <c r="AP26" s="5"/>
      <c r="AQ26" s="5"/>
      <c r="AR26" s="5"/>
      <c r="AS26" s="5"/>
      <c r="AT26" s="5"/>
      <c r="AU26" s="5"/>
      <c r="AV26" s="5"/>
      <c r="AW26" s="5"/>
      <c r="AX26" s="5"/>
      <c r="AY26" s="5"/>
      <c r="AZ26" s="5"/>
      <c r="BA26" s="5"/>
      <c r="BC26" s="18">
        <f t="shared" si="12"/>
        <v>2729184</v>
      </c>
      <c r="BD26" s="18" t="str">
        <f t="shared" si="13"/>
        <v/>
      </c>
      <c r="BE26" s="20" t="e">
        <f t="shared" si="14"/>
        <v>#DIV/0!</v>
      </c>
      <c r="BF26" s="20" t="e">
        <f t="shared" si="15"/>
        <v>#VALUE!</v>
      </c>
      <c r="BG26" s="20"/>
      <c r="BI26" s="50"/>
      <c r="BJ26" s="50"/>
      <c r="BK26" s="50"/>
      <c r="BL26" s="50"/>
      <c r="BM26" s="50"/>
      <c r="BO26" s="50"/>
      <c r="BP26" s="50"/>
      <c r="BQ26" s="50"/>
      <c r="BR26" s="50"/>
      <c r="BS26" s="50"/>
    </row>
    <row r="27" spans="1:71" outlineLevel="1" x14ac:dyDescent="0.25">
      <c r="A27" s="25"/>
      <c r="B27" s="25"/>
      <c r="C27" s="26" t="s">
        <v>313</v>
      </c>
      <c r="D27" s="25">
        <v>250294582</v>
      </c>
      <c r="E27" s="26">
        <v>10</v>
      </c>
      <c r="F27" s="26">
        <v>300</v>
      </c>
      <c r="G27" s="26">
        <v>30</v>
      </c>
      <c r="I27" s="56">
        <f t="shared" si="0"/>
        <v>3.2569272000000002</v>
      </c>
      <c r="J27" s="28">
        <f t="shared" si="1"/>
        <v>0.13012375953067973</v>
      </c>
      <c r="K27" s="28">
        <f t="shared" si="2"/>
        <v>1.5253098846542351E-2</v>
      </c>
      <c r="L27" s="28">
        <f t="shared" si="3"/>
        <v>1.2335129171913118E-2</v>
      </c>
      <c r="M27" s="28">
        <f t="shared" si="4"/>
        <v>0.11486960592698726</v>
      </c>
      <c r="N27" s="28">
        <f t="shared" si="5"/>
        <v>0.85717128101992446</v>
      </c>
      <c r="O27" s="5">
        <v>37996224</v>
      </c>
      <c r="P27" s="5">
        <v>1187382</v>
      </c>
      <c r="Q27" s="5">
        <v>397767.59375</v>
      </c>
      <c r="R27" s="5">
        <v>32569272</v>
      </c>
      <c r="S27" s="5">
        <v>3087416</v>
      </c>
      <c r="T27" s="5">
        <v>730352</v>
      </c>
      <c r="U27" s="5">
        <v>28751240</v>
      </c>
      <c r="V27" s="5">
        <v>70.382068750000002</v>
      </c>
      <c r="W27" s="5">
        <v>73.316634375000007</v>
      </c>
      <c r="X27" s="5">
        <v>34.95349375</v>
      </c>
      <c r="Y27" s="5">
        <v>37.545731250000003</v>
      </c>
      <c r="Z27" s="5">
        <v>37.135987499999999</v>
      </c>
      <c r="AA27" s="5"/>
      <c r="AB27" s="5"/>
      <c r="AC27" s="5"/>
      <c r="AD27" s="5"/>
      <c r="AF27" s="56" t="str">
        <f t="shared" si="6"/>
        <v>·</v>
      </c>
      <c r="AG27" s="28" t="str">
        <f t="shared" si="7"/>
        <v>·</v>
      </c>
      <c r="AH27" s="28" t="str">
        <f t="shared" si="8"/>
        <v>·</v>
      </c>
      <c r="AI27" s="28" t="str">
        <f t="shared" si="9"/>
        <v>·</v>
      </c>
      <c r="AJ27" s="28" t="str">
        <f t="shared" si="10"/>
        <v>·</v>
      </c>
      <c r="AK27" s="28" t="str">
        <f t="shared" si="11"/>
        <v>·</v>
      </c>
      <c r="AL27" s="5"/>
      <c r="AM27" s="5"/>
      <c r="AN27" s="5"/>
      <c r="AO27" s="5"/>
      <c r="AP27" s="5"/>
      <c r="AQ27" s="5"/>
      <c r="AR27" s="5"/>
      <c r="AS27" s="5"/>
      <c r="AT27" s="5"/>
      <c r="AU27" s="5"/>
      <c r="AV27" s="5"/>
      <c r="AW27" s="5"/>
      <c r="AX27" s="5"/>
      <c r="AY27" s="5"/>
      <c r="AZ27" s="5"/>
      <c r="BA27" s="5"/>
      <c r="BC27" s="25">
        <f t="shared" si="12"/>
        <v>3817768</v>
      </c>
      <c r="BD27" s="25" t="str">
        <f t="shared" si="13"/>
        <v/>
      </c>
      <c r="BE27" s="27" t="e">
        <f t="shared" si="14"/>
        <v>#DIV/0!</v>
      </c>
      <c r="BF27" s="27" t="e">
        <f t="shared" si="15"/>
        <v>#VALUE!</v>
      </c>
      <c r="BG27" s="27"/>
      <c r="BI27" s="52"/>
      <c r="BJ27" s="52"/>
      <c r="BK27" s="52"/>
      <c r="BL27" s="52"/>
      <c r="BM27" s="52"/>
      <c r="BO27" s="52"/>
      <c r="BP27" s="52"/>
      <c r="BQ27" s="52"/>
      <c r="BR27" s="52"/>
      <c r="BS27" s="52"/>
    </row>
    <row r="28" spans="1:71" ht="15.75" outlineLevel="1" thickBot="1" x14ac:dyDescent="0.3">
      <c r="A28" s="39"/>
      <c r="B28" s="39"/>
      <c r="C28" s="40" t="s">
        <v>428</v>
      </c>
      <c r="D28" s="39">
        <v>250294582</v>
      </c>
      <c r="E28" s="40">
        <v>10</v>
      </c>
      <c r="F28" s="40">
        <v>300</v>
      </c>
      <c r="G28" s="40">
        <v>30</v>
      </c>
      <c r="I28" s="58">
        <f t="shared" si="0"/>
        <v>5.7366543999999999</v>
      </c>
      <c r="J28" s="42">
        <f t="shared" si="1"/>
        <v>0.22919610780867802</v>
      </c>
      <c r="K28" s="42">
        <f t="shared" si="2"/>
        <v>2.2695912770496967E-2</v>
      </c>
      <c r="L28" s="42">
        <f t="shared" si="3"/>
        <v>1.9777943095867733E-2</v>
      </c>
      <c r="M28" s="42">
        <f t="shared" si="4"/>
        <v>0.20649914028103095</v>
      </c>
      <c r="N28" s="42">
        <f t="shared" si="5"/>
        <v>1.5097959207736011</v>
      </c>
      <c r="O28" s="5">
        <v>37996224</v>
      </c>
      <c r="P28" s="5">
        <v>1187382</v>
      </c>
      <c r="Q28" s="5">
        <v>393729.75</v>
      </c>
      <c r="R28" s="5">
        <v>57366544</v>
      </c>
      <c r="S28" s="5">
        <v>4950312</v>
      </c>
      <c r="T28" s="5">
        <v>730352</v>
      </c>
      <c r="U28" s="5">
        <v>51685616</v>
      </c>
      <c r="V28" s="5">
        <v>71.407509375000004</v>
      </c>
      <c r="W28" s="5">
        <v>74.653009374999996</v>
      </c>
      <c r="X28" s="5">
        <v>36.836946875000002</v>
      </c>
      <c r="Y28" s="5">
        <v>39.636318750000001</v>
      </c>
      <c r="Z28" s="5">
        <v>39.033887499999999</v>
      </c>
      <c r="AA28" s="5"/>
      <c r="AB28" s="5"/>
      <c r="AC28" s="5"/>
      <c r="AD28" s="5"/>
      <c r="AF28" s="58" t="str">
        <f t="shared" si="6"/>
        <v>·</v>
      </c>
      <c r="AG28" s="42" t="str">
        <f t="shared" si="7"/>
        <v>·</v>
      </c>
      <c r="AH28" s="42" t="str">
        <f t="shared" si="8"/>
        <v>·</v>
      </c>
      <c r="AI28" s="42" t="str">
        <f t="shared" si="9"/>
        <v>·</v>
      </c>
      <c r="AJ28" s="42" t="str">
        <f t="shared" si="10"/>
        <v>·</v>
      </c>
      <c r="AK28" s="42" t="str">
        <f t="shared" si="11"/>
        <v>·</v>
      </c>
      <c r="AL28" s="5"/>
      <c r="AM28" s="5"/>
      <c r="AN28" s="5"/>
      <c r="AO28" s="5"/>
      <c r="AP28" s="5"/>
      <c r="AQ28" s="5"/>
      <c r="AR28" s="5"/>
      <c r="AS28" s="5"/>
      <c r="AT28" s="5"/>
      <c r="AU28" s="5"/>
      <c r="AV28" s="5"/>
      <c r="AW28" s="5"/>
      <c r="AX28" s="5"/>
      <c r="AY28" s="5"/>
      <c r="AZ28" s="5"/>
      <c r="BA28" s="5"/>
      <c r="BC28" s="39">
        <f t="shared" si="12"/>
        <v>5680664</v>
      </c>
      <c r="BD28" s="39" t="str">
        <f t="shared" si="13"/>
        <v/>
      </c>
      <c r="BE28" s="41" t="e">
        <f t="shared" si="14"/>
        <v>#DIV/0!</v>
      </c>
      <c r="BF28" s="41" t="e">
        <f t="shared" si="15"/>
        <v>#VALUE!</v>
      </c>
      <c r="BG28" s="41"/>
      <c r="BI28" s="60"/>
      <c r="BJ28" s="60"/>
      <c r="BK28" s="60"/>
      <c r="BL28" s="60"/>
      <c r="BM28" s="60"/>
      <c r="BO28" s="60"/>
      <c r="BP28" s="60"/>
      <c r="BQ28" s="60"/>
      <c r="BR28" s="60"/>
      <c r="BS28" s="60"/>
    </row>
    <row r="29" spans="1:71" x14ac:dyDescent="0.25">
      <c r="B29" s="46" t="s">
        <v>571</v>
      </c>
      <c r="J29" s="47">
        <f>AVERAGE(J4:J23)</f>
        <v>5.1727274872012487E-2</v>
      </c>
      <c r="AG29" s="47">
        <f>AVERAGE(AG4:AG23)</f>
        <v>4.6449650526525291E-2</v>
      </c>
      <c r="BG29" s="6" t="e">
        <f>AVERAGE(BG4:BG23)</f>
        <v>#VALUE!</v>
      </c>
      <c r="BI29" s="11">
        <f>AVERAGE(BI4:BI23)</f>
        <v>0.2372681380528622</v>
      </c>
      <c r="BJ29" s="11">
        <f>AVERAGE(BJ4:BJ23)</f>
        <v>0.20931844534559826</v>
      </c>
      <c r="BK29" s="11">
        <f>AVERAGE(BK4:BK23)</f>
        <v>0.23002323079489975</v>
      </c>
      <c r="BL29" s="11">
        <f>AVERAGE(BL4:BL23)</f>
        <v>0.21634584786021793</v>
      </c>
      <c r="BM29" s="11">
        <f>AVERAGE(BM4:BM23)</f>
        <v>0.21376025638696641</v>
      </c>
      <c r="BO29" s="11">
        <f>AVERAGE(BO4:BO23)</f>
        <v>0.2308154693635924</v>
      </c>
      <c r="BP29" s="11">
        <f>AVERAGE(BP4:BP23)</f>
        <v>0.214804397361506</v>
      </c>
      <c r="BQ29" s="11">
        <f>AVERAGE(BQ4:BQ23)</f>
        <v>0.23183437395516818</v>
      </c>
      <c r="BR29" s="11">
        <f>AVERAGE(BR4:BR23)</f>
        <v>0.21499003690293769</v>
      </c>
      <c r="BS29" s="11">
        <f>AVERAGE(BS4:BS23)</f>
        <v>0.21183537320889789</v>
      </c>
    </row>
    <row r="30" spans="1:71" x14ac:dyDescent="0.25">
      <c r="B30" s="46" t="s">
        <v>572</v>
      </c>
      <c r="J30" s="47">
        <f>AVERAGE(J24:J28)</f>
        <v>9.7516709330927515E-2</v>
      </c>
      <c r="AG30" s="47" t="e">
        <f>AVERAGE(AG24:AG28)</f>
        <v>#DIV/0!</v>
      </c>
      <c r="BG30" s="6" t="e">
        <f>AVERAGE(BG24:BG28)</f>
        <v>#VALUE!</v>
      </c>
      <c r="BI30" s="11">
        <f>AVERAGE(BI24:BI28)</f>
        <v>1</v>
      </c>
      <c r="BJ30" s="11">
        <f>AVERAGE(BJ24:BJ28)</f>
        <v>1</v>
      </c>
      <c r="BK30" s="11">
        <f>AVERAGE(BK24:BK28)</f>
        <v>1</v>
      </c>
      <c r="BL30" s="11">
        <f>AVERAGE(BL24:BL28)</f>
        <v>1</v>
      </c>
      <c r="BM30" s="11">
        <f>AVERAGE(BM24:BM28)</f>
        <v>1</v>
      </c>
      <c r="BO30" s="11">
        <f>AVERAGE(BO24:BO28)</f>
        <v>1</v>
      </c>
      <c r="BP30" s="11">
        <f>AVERAGE(BP24:BP28)</f>
        <v>1</v>
      </c>
      <c r="BQ30" s="11">
        <f>AVERAGE(BQ24:BQ28)</f>
        <v>1</v>
      </c>
      <c r="BR30" s="11">
        <f>AVERAGE(BR24:BR28)</f>
        <v>1</v>
      </c>
      <c r="BS30" s="11">
        <f>AVERAGE(BS24:BS28)</f>
        <v>1</v>
      </c>
    </row>
    <row r="31" spans="1:71" collapsed="1" x14ac:dyDescent="0.25">
      <c r="B31" s="46" t="s">
        <v>258</v>
      </c>
      <c r="J31" s="47">
        <f>AVERAGE(J4:J23,J24:J28)</f>
        <v>6.0885161763795485E-2</v>
      </c>
      <c r="AG31" s="47">
        <f>AVERAGE(AG4:AG23,AG24:AG28)</f>
        <v>4.6449650526525291E-2</v>
      </c>
      <c r="BG31" s="6" t="e">
        <f>AVERAGE(BG4:BG23,BG24:BG28)</f>
        <v>#VALUE!</v>
      </c>
      <c r="BI31" s="11">
        <f>AVERAGE(BI4:BI23,BI24:BI28)</f>
        <v>0.38981451044228976</v>
      </c>
      <c r="BJ31" s="11">
        <f>AVERAGE(BJ4:BJ23,BJ24:BJ28)</f>
        <v>0.36745475627647861</v>
      </c>
      <c r="BK31" s="11">
        <f>AVERAGE(BK4:BK23,BK24:BK28)</f>
        <v>0.38401858463591976</v>
      </c>
      <c r="BL31" s="11">
        <f>AVERAGE(BL4:BL23,BL24:BL28)</f>
        <v>0.37307667828817437</v>
      </c>
      <c r="BM31" s="11">
        <f>AVERAGE(BM4:BM23,BM24:BM28)</f>
        <v>0.37100820510957311</v>
      </c>
      <c r="BO31" s="11">
        <f>AVERAGE(BO4:BO23,BO24:BO28)</f>
        <v>0.38465237549087394</v>
      </c>
      <c r="BP31" s="11">
        <f>AVERAGE(BP4:BP23,BP24:BP28)</f>
        <v>0.37184351788920483</v>
      </c>
      <c r="BQ31" s="11">
        <f>AVERAGE(BQ4:BQ23,BQ24:BQ28)</f>
        <v>0.38546749916413453</v>
      </c>
      <c r="BR31" s="11">
        <f>AVERAGE(BR4:BR23,BR24:BR28)</f>
        <v>0.37199202952235016</v>
      </c>
      <c r="BS31" s="11">
        <f>AVERAGE(BS4:BS23,BS24:BS28)</f>
        <v>0.36946829856711833</v>
      </c>
    </row>
    <row r="32" spans="1:71" hidden="1" outlineLevel="2" x14ac:dyDescent="0.25">
      <c r="A32" s="46" t="s">
        <v>259</v>
      </c>
      <c r="B32" s="46" t="s">
        <v>260</v>
      </c>
      <c r="AA32" s="48">
        <f>SUM(AA4:AA23,AA24:AA28)</f>
        <v>0</v>
      </c>
      <c r="AB32" s="48">
        <f>SUM(AB4:AB23,AB24:AB28)</f>
        <v>0</v>
      </c>
      <c r="AC32" s="48">
        <f>SUM(AC4:AC23,AC24:AC28)</f>
        <v>0</v>
      </c>
      <c r="AD32" s="48">
        <f>SUM(AD4:AD23,AD24:AD28)</f>
        <v>0</v>
      </c>
      <c r="AX32" s="48">
        <f>SUM(AX4:AX23,AX24:AX28)</f>
        <v>0</v>
      </c>
      <c r="AY32" s="48">
        <f>SUM(AY4:AY23,AY24:AY28)</f>
        <v>0</v>
      </c>
      <c r="AZ32" s="48">
        <f>SUM(AZ4:AZ23,AZ24:AZ28)</f>
        <v>0</v>
      </c>
      <c r="BA32" s="48">
        <f>SUM(BA4:BA23,BA24:BA28)</f>
        <v>0</v>
      </c>
    </row>
    <row r="33" spans="2:71" hidden="1" outlineLevel="2" x14ac:dyDescent="0.25">
      <c r="B33" s="46" t="s">
        <v>261</v>
      </c>
      <c r="AX33" s="6" t="e">
        <f>AX32/AA32</f>
        <v>#DIV/0!</v>
      </c>
      <c r="AY33" s="6" t="e">
        <f>AY32/AB32</f>
        <v>#DIV/0!</v>
      </c>
      <c r="AZ33" s="6" t="e">
        <f>AZ32/AC32</f>
        <v>#DIV/0!</v>
      </c>
      <c r="BA33" s="6" t="e">
        <f>BA32/AD32</f>
        <v>#DIV/0!</v>
      </c>
    </row>
    <row r="34" spans="2:71" hidden="1" outlineLevel="2" x14ac:dyDescent="0.25">
      <c r="B34" s="46" t="s">
        <v>262</v>
      </c>
      <c r="AA34" s="48" t="e">
        <f>GEOMEAN(AA4:AA23,AA24:AA28)</f>
        <v>#NUM!</v>
      </c>
      <c r="AB34" s="48" t="e">
        <f>GEOMEAN(AB4:AB23,AB24:AB28)</f>
        <v>#NUM!</v>
      </c>
      <c r="AC34" s="48" t="e">
        <f>GEOMEAN(AC4:AC23,AC24:AC28)</f>
        <v>#NUM!</v>
      </c>
      <c r="AD34" s="48" t="e">
        <f>GEOMEAN(AD4:AD23,AD24:AD28)</f>
        <v>#NUM!</v>
      </c>
      <c r="AX34" s="48" t="e">
        <f>GEOMEAN(AX4:AX23,AX24:AX28)</f>
        <v>#NUM!</v>
      </c>
      <c r="AY34" s="48" t="e">
        <f>GEOMEAN(AY4:AY23,AY24:AY28)</f>
        <v>#NUM!</v>
      </c>
      <c r="AZ34" s="48" t="e">
        <f>GEOMEAN(AZ4:AZ23,AZ24:AZ28)</f>
        <v>#NUM!</v>
      </c>
      <c r="BA34" s="48" t="e">
        <f>GEOMEAN(BA4:BA23,BA24:BA28)</f>
        <v>#NUM!</v>
      </c>
    </row>
    <row r="35" spans="2:71" outlineLevel="2" collapsed="1" x14ac:dyDescent="0.25">
      <c r="B35" s="46" t="s">
        <v>263</v>
      </c>
      <c r="AX35" s="6" t="e">
        <f>AX34/AA34</f>
        <v>#NUM!</v>
      </c>
      <c r="AY35" s="6" t="e">
        <f>AY34/AB34</f>
        <v>#NUM!</v>
      </c>
      <c r="AZ35" s="6" t="e">
        <f>AZ34/AC34</f>
        <v>#NUM!</v>
      </c>
      <c r="BA35" s="6" t="e">
        <f>BA34/AD34</f>
        <v>#NUM!</v>
      </c>
    </row>
    <row r="37" spans="2:71" x14ac:dyDescent="0.25">
      <c r="B37" s="5"/>
    </row>
    <row r="38" spans="2:71" x14ac:dyDescent="0.2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row>
    <row r="39" spans="2:71" x14ac:dyDescent="0.2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E39" s="5"/>
      <c r="BF39" s="5"/>
      <c r="BG39" s="5"/>
      <c r="BH39" s="5"/>
      <c r="BI39" s="5"/>
      <c r="BJ39" s="5"/>
      <c r="BK39" s="5"/>
      <c r="BL39" s="5"/>
      <c r="BM39" s="5"/>
      <c r="BN39" s="5"/>
      <c r="BO39" s="5"/>
      <c r="BP39" s="5"/>
      <c r="BQ39" s="5"/>
      <c r="BR39" s="5"/>
      <c r="BS39" s="5"/>
    </row>
    <row r="40" spans="2:71" x14ac:dyDescent="0.25">
      <c r="N40" s="5"/>
      <c r="O40" s="5"/>
      <c r="P40" s="5"/>
      <c r="Q40" s="5"/>
      <c r="R40" s="5"/>
      <c r="S40" s="5"/>
      <c r="T40" s="5"/>
      <c r="U40" s="5"/>
      <c r="V40" s="5"/>
      <c r="W40" s="5"/>
      <c r="X40" s="5"/>
      <c r="Y40" s="5"/>
      <c r="Z40" s="5"/>
      <c r="AA40" s="5"/>
      <c r="AB40" s="5"/>
      <c r="AC40" s="5"/>
      <c r="AD40" s="5"/>
      <c r="AK40" s="5"/>
      <c r="AL40" s="5"/>
      <c r="AM40" s="5"/>
      <c r="AN40" s="5"/>
      <c r="AO40" s="5"/>
      <c r="AP40" s="5"/>
      <c r="AQ40" s="5"/>
      <c r="AR40" s="5"/>
      <c r="AS40" s="5"/>
      <c r="AT40" s="5"/>
      <c r="AU40" s="5"/>
      <c r="AV40" s="5"/>
      <c r="AW40" s="5"/>
      <c r="AX40" s="5"/>
      <c r="AY40" s="5"/>
      <c r="AZ40" s="5"/>
      <c r="BA40" s="5"/>
    </row>
    <row r="41" spans="2:71" x14ac:dyDescent="0.25">
      <c r="N41" s="5"/>
      <c r="O41" s="5"/>
      <c r="P41" s="5"/>
      <c r="Q41" s="5"/>
      <c r="R41" s="5"/>
      <c r="S41" s="5"/>
      <c r="T41" s="5"/>
      <c r="U41" s="5"/>
      <c r="V41" s="5"/>
      <c r="W41" s="5"/>
      <c r="X41" s="5"/>
      <c r="Y41" s="5"/>
      <c r="Z41" s="5"/>
      <c r="AA41" s="5"/>
      <c r="AB41" s="5"/>
      <c r="AC41" s="5"/>
      <c r="AD41" s="5"/>
      <c r="AK41" s="5"/>
      <c r="AL41" s="5"/>
      <c r="AM41" s="5"/>
      <c r="AN41" s="5"/>
      <c r="AO41" s="5"/>
      <c r="AP41" s="5"/>
      <c r="AQ41" s="5"/>
      <c r="AR41" s="5"/>
      <c r="AS41" s="5"/>
      <c r="AT41" s="5"/>
      <c r="AU41" s="5"/>
      <c r="AV41" s="5"/>
      <c r="AW41" s="5"/>
      <c r="AX41" s="5"/>
      <c r="AY41" s="5"/>
      <c r="AZ41" s="5"/>
      <c r="BA41" s="5"/>
    </row>
    <row r="42" spans="2:71" x14ac:dyDescent="0.25">
      <c r="N42" s="5"/>
      <c r="O42" s="5"/>
      <c r="P42" s="5"/>
      <c r="Q42" s="5"/>
      <c r="R42" s="5"/>
      <c r="S42" s="5"/>
      <c r="T42" s="5"/>
      <c r="U42" s="5"/>
      <c r="V42" s="5"/>
      <c r="W42" s="5"/>
      <c r="X42" s="5"/>
      <c r="Y42" s="5"/>
      <c r="Z42" s="5"/>
      <c r="AA42" s="5"/>
      <c r="AB42" s="5"/>
      <c r="AC42" s="5"/>
      <c r="AD42" s="5"/>
      <c r="AK42" s="5"/>
      <c r="AL42" s="5"/>
      <c r="AM42" s="5"/>
      <c r="AN42" s="5"/>
      <c r="AO42" s="5"/>
      <c r="AP42" s="5"/>
      <c r="AQ42" s="5"/>
      <c r="AR42" s="5"/>
      <c r="AS42" s="5"/>
      <c r="AT42" s="5"/>
      <c r="AU42" s="5"/>
      <c r="AV42" s="5"/>
      <c r="AW42" s="5"/>
      <c r="AX42" s="5"/>
      <c r="AY42" s="5"/>
      <c r="AZ42" s="5"/>
      <c r="BA42" s="5"/>
    </row>
    <row r="43" spans="2:71" x14ac:dyDescent="0.25">
      <c r="N43" s="5"/>
      <c r="O43" s="5"/>
      <c r="P43" s="5"/>
      <c r="Q43" s="5"/>
      <c r="R43" s="5"/>
      <c r="S43" s="5"/>
      <c r="T43" s="5"/>
      <c r="U43" s="5"/>
      <c r="V43" s="5"/>
      <c r="W43" s="5"/>
      <c r="X43" s="5"/>
      <c r="Y43" s="5"/>
      <c r="Z43" s="5"/>
      <c r="AA43" s="5"/>
      <c r="AB43" s="5"/>
      <c r="AC43" s="5"/>
      <c r="AD43" s="5"/>
      <c r="AK43" s="5"/>
      <c r="AL43" s="5"/>
      <c r="AM43" s="5"/>
      <c r="AN43" s="5"/>
      <c r="AO43" s="5"/>
      <c r="AP43" s="5"/>
      <c r="AQ43" s="5"/>
      <c r="AR43" s="5"/>
      <c r="AS43" s="5"/>
      <c r="AT43" s="5"/>
      <c r="AU43" s="5"/>
      <c r="AV43" s="5"/>
      <c r="AW43" s="5"/>
      <c r="AX43" s="5"/>
      <c r="AY43" s="5"/>
      <c r="AZ43" s="5"/>
      <c r="BA43" s="5"/>
    </row>
    <row r="44" spans="2:71" x14ac:dyDescent="0.25">
      <c r="N44" s="5"/>
      <c r="O44" s="5"/>
      <c r="P44" s="5"/>
      <c r="Q44" s="5"/>
      <c r="R44" s="5"/>
      <c r="S44" s="5"/>
      <c r="T44" s="5"/>
      <c r="U44" s="5"/>
      <c r="V44" s="5"/>
      <c r="W44" s="5"/>
      <c r="X44" s="5"/>
      <c r="Y44" s="5"/>
      <c r="Z44" s="5"/>
      <c r="AA44" s="5"/>
      <c r="AB44" s="5"/>
      <c r="AC44" s="5"/>
      <c r="AD44" s="5"/>
      <c r="AK44" s="5"/>
      <c r="AL44" s="5"/>
      <c r="AM44" s="5"/>
      <c r="AN44" s="5"/>
      <c r="AO44" s="5"/>
      <c r="AP44" s="5"/>
      <c r="AQ44" s="5"/>
      <c r="AR44" s="5"/>
      <c r="AS44" s="5"/>
      <c r="AT44" s="5"/>
      <c r="AU44" s="5"/>
      <c r="AV44" s="5"/>
      <c r="AW44" s="5"/>
      <c r="AX44" s="5"/>
      <c r="AY44" s="5"/>
      <c r="AZ44" s="5"/>
      <c r="BA44" s="5"/>
    </row>
    <row r="45" spans="2:71" x14ac:dyDescent="0.25">
      <c r="N45" s="5"/>
      <c r="O45" s="5"/>
      <c r="P45" s="5"/>
      <c r="Q45" s="5"/>
      <c r="R45" s="5"/>
      <c r="S45" s="5"/>
      <c r="T45" s="5"/>
      <c r="U45" s="5"/>
      <c r="V45" s="5"/>
      <c r="W45" s="5"/>
      <c r="X45" s="5"/>
      <c r="Y45" s="5"/>
      <c r="Z45" s="5"/>
      <c r="AA45" s="5"/>
      <c r="AB45" s="5"/>
      <c r="AC45" s="5"/>
      <c r="AD45" s="5"/>
      <c r="AK45" s="5"/>
      <c r="AL45" s="5"/>
      <c r="AM45" s="5"/>
      <c r="AN45" s="5"/>
      <c r="AO45" s="5"/>
      <c r="AP45" s="5"/>
      <c r="AQ45" s="5"/>
      <c r="AR45" s="5"/>
      <c r="AS45" s="5"/>
      <c r="AT45" s="5"/>
      <c r="AU45" s="5"/>
      <c r="AV45" s="5"/>
      <c r="AW45" s="5"/>
      <c r="AX45" s="5"/>
      <c r="AY45" s="5"/>
      <c r="AZ45" s="5"/>
      <c r="BA45" s="5"/>
    </row>
    <row r="46" spans="2:71" x14ac:dyDescent="0.25">
      <c r="N46" s="5"/>
      <c r="O46" s="5"/>
      <c r="P46" s="5"/>
      <c r="Q46" s="5"/>
      <c r="R46" s="5"/>
      <c r="S46" s="5"/>
      <c r="T46" s="5"/>
      <c r="U46" s="5"/>
      <c r="V46" s="5"/>
      <c r="W46" s="5"/>
      <c r="X46" s="5"/>
      <c r="Y46" s="5"/>
      <c r="Z46" s="5"/>
      <c r="AA46" s="5"/>
      <c r="AB46" s="5"/>
      <c r="AC46" s="5"/>
      <c r="AD46" s="5"/>
      <c r="AK46" s="5"/>
      <c r="AL46" s="5"/>
      <c r="AM46" s="5"/>
      <c r="AN46" s="5"/>
      <c r="AO46" s="5"/>
      <c r="AP46" s="5"/>
      <c r="AQ46" s="5"/>
      <c r="AR46" s="5"/>
      <c r="AS46" s="5"/>
      <c r="AT46" s="5"/>
      <c r="AU46" s="5"/>
      <c r="AV46" s="5"/>
      <c r="AW46" s="5"/>
      <c r="AX46" s="5"/>
      <c r="AY46" s="5"/>
      <c r="AZ46" s="5"/>
      <c r="BA46" s="5"/>
    </row>
    <row r="47" spans="2:71" x14ac:dyDescent="0.25">
      <c r="N47" s="5"/>
      <c r="O47" s="5"/>
      <c r="P47" s="5"/>
      <c r="Q47" s="5"/>
      <c r="R47" s="5"/>
      <c r="S47" s="5"/>
      <c r="T47" s="5"/>
      <c r="U47" s="5"/>
      <c r="V47" s="5"/>
      <c r="W47" s="5"/>
      <c r="X47" s="5"/>
      <c r="Y47" s="5"/>
      <c r="Z47" s="5"/>
      <c r="AA47" s="5"/>
      <c r="AB47" s="5"/>
      <c r="AC47" s="5"/>
      <c r="AD47" s="5"/>
      <c r="AK47" s="5"/>
      <c r="AL47" s="5"/>
      <c r="AM47" s="5"/>
      <c r="AN47" s="5"/>
      <c r="AO47" s="5"/>
      <c r="AP47" s="5"/>
      <c r="AQ47" s="5"/>
      <c r="AR47" s="5"/>
      <c r="AS47" s="5"/>
      <c r="AT47" s="5"/>
      <c r="AU47" s="5"/>
      <c r="AV47" s="5"/>
      <c r="AW47" s="5"/>
      <c r="AX47" s="5"/>
      <c r="AY47" s="5"/>
      <c r="AZ47" s="5"/>
      <c r="BA47" s="5"/>
    </row>
    <row r="48" spans="2:71" x14ac:dyDescent="0.25">
      <c r="N48" s="5"/>
      <c r="O48" s="5"/>
      <c r="P48" s="5"/>
      <c r="Q48" s="5"/>
      <c r="R48" s="5"/>
      <c r="S48" s="5"/>
      <c r="T48" s="5"/>
      <c r="U48" s="5"/>
      <c r="V48" s="5"/>
      <c r="W48" s="5"/>
      <c r="X48" s="5"/>
      <c r="Y48" s="5"/>
      <c r="Z48" s="5"/>
      <c r="AA48" s="5"/>
      <c r="AB48" s="5"/>
      <c r="AC48" s="5"/>
      <c r="AD48" s="5"/>
      <c r="AK48" s="5"/>
      <c r="AL48" s="5"/>
      <c r="AM48" s="5"/>
      <c r="AN48" s="5"/>
      <c r="AO48" s="5"/>
      <c r="AP48" s="5"/>
      <c r="AQ48" s="5"/>
      <c r="AR48" s="5"/>
      <c r="AS48" s="5"/>
      <c r="AT48" s="5"/>
      <c r="AU48" s="5"/>
      <c r="AV48" s="5"/>
      <c r="AW48" s="5"/>
      <c r="AX48" s="5"/>
      <c r="AY48" s="5"/>
      <c r="AZ48" s="5"/>
      <c r="BA48" s="5"/>
    </row>
    <row r="49" spans="14:53" x14ac:dyDescent="0.25">
      <c r="N49" s="5"/>
      <c r="O49" s="5"/>
      <c r="P49" s="5"/>
      <c r="Q49" s="5"/>
      <c r="R49" s="5"/>
      <c r="S49" s="5"/>
      <c r="T49" s="5"/>
      <c r="U49" s="5"/>
      <c r="V49" s="5"/>
      <c r="W49" s="5"/>
      <c r="X49" s="5"/>
      <c r="Y49" s="5"/>
      <c r="Z49" s="5"/>
      <c r="AA49" s="5"/>
      <c r="AB49" s="5"/>
      <c r="AC49" s="5"/>
      <c r="AD49" s="5"/>
      <c r="AK49" s="5"/>
      <c r="AL49" s="5"/>
      <c r="AM49" s="5"/>
      <c r="AN49" s="5"/>
      <c r="AO49" s="5"/>
      <c r="AP49" s="5"/>
      <c r="AQ49" s="5"/>
      <c r="AR49" s="5"/>
      <c r="AS49" s="5"/>
      <c r="AT49" s="5"/>
      <c r="AU49" s="5"/>
      <c r="AV49" s="5"/>
      <c r="AW49" s="5"/>
      <c r="AX49" s="5"/>
      <c r="AY49" s="5"/>
      <c r="AZ49" s="5"/>
      <c r="BA49" s="5"/>
    </row>
    <row r="50" spans="14:53" x14ac:dyDescent="0.25">
      <c r="N50" s="5"/>
      <c r="O50" s="5"/>
      <c r="P50" s="5"/>
      <c r="Q50" s="5"/>
      <c r="R50" s="5"/>
      <c r="S50" s="5"/>
      <c r="T50" s="5"/>
      <c r="U50" s="5"/>
      <c r="V50" s="5"/>
      <c r="W50" s="5"/>
      <c r="X50" s="5"/>
      <c r="Y50" s="5"/>
      <c r="Z50" s="5"/>
      <c r="AA50" s="5"/>
      <c r="AB50" s="5"/>
      <c r="AC50" s="5"/>
      <c r="AD50" s="5"/>
      <c r="AK50" s="5"/>
      <c r="AL50" s="5"/>
      <c r="AM50" s="5"/>
      <c r="AN50" s="5"/>
      <c r="AO50" s="5"/>
      <c r="AP50" s="5"/>
      <c r="AQ50" s="5"/>
      <c r="AR50" s="5"/>
      <c r="AS50" s="5"/>
      <c r="AT50" s="5"/>
      <c r="AU50" s="5"/>
      <c r="AV50" s="5"/>
      <c r="AW50" s="5"/>
      <c r="AX50" s="5"/>
      <c r="AY50" s="5"/>
      <c r="AZ50" s="5"/>
      <c r="BA50" s="5"/>
    </row>
    <row r="51" spans="14:53" x14ac:dyDescent="0.25">
      <c r="N51" s="5"/>
      <c r="O51" s="5"/>
      <c r="P51" s="5"/>
      <c r="Q51" s="5"/>
      <c r="R51" s="5"/>
      <c r="S51" s="5"/>
      <c r="T51" s="5"/>
      <c r="U51" s="5"/>
      <c r="V51" s="5"/>
      <c r="W51" s="5"/>
      <c r="X51" s="5"/>
      <c r="Y51" s="5"/>
      <c r="Z51" s="5"/>
      <c r="AA51" s="5"/>
      <c r="AB51" s="5"/>
      <c r="AC51" s="5"/>
      <c r="AD51" s="5"/>
      <c r="AK51" s="5"/>
      <c r="AL51" s="5"/>
      <c r="AM51" s="5"/>
      <c r="AN51" s="5"/>
      <c r="AO51" s="5"/>
      <c r="AP51" s="5"/>
      <c r="AQ51" s="5"/>
      <c r="AR51" s="5"/>
      <c r="AS51" s="5"/>
      <c r="AT51" s="5"/>
      <c r="AU51" s="5"/>
      <c r="AV51" s="5"/>
      <c r="AW51" s="5"/>
      <c r="AX51" s="5"/>
      <c r="AY51" s="5"/>
      <c r="AZ51" s="5"/>
      <c r="BA51" s="5"/>
    </row>
    <row r="52" spans="14:53" x14ac:dyDescent="0.25">
      <c r="N52" s="5"/>
      <c r="O52" s="5"/>
      <c r="P52" s="5"/>
      <c r="Q52" s="5"/>
      <c r="R52" s="5"/>
      <c r="S52" s="5"/>
      <c r="T52" s="5"/>
      <c r="U52" s="5"/>
      <c r="V52" s="5"/>
      <c r="W52" s="5"/>
      <c r="X52" s="5"/>
      <c r="Y52" s="5"/>
      <c r="Z52" s="5"/>
      <c r="AA52" s="5"/>
      <c r="AB52" s="5"/>
      <c r="AC52" s="5"/>
      <c r="AD52" s="5"/>
      <c r="AK52" s="5"/>
      <c r="AL52" s="5"/>
      <c r="AM52" s="5"/>
      <c r="AN52" s="5"/>
      <c r="AO52" s="5"/>
      <c r="AP52" s="5"/>
      <c r="AQ52" s="5"/>
      <c r="AR52" s="5"/>
      <c r="AS52" s="5"/>
      <c r="AT52" s="5"/>
      <c r="AU52" s="5"/>
      <c r="AV52" s="5"/>
      <c r="AW52" s="5"/>
      <c r="AX52" s="5"/>
      <c r="AY52" s="5"/>
      <c r="AZ52" s="5"/>
      <c r="BA52" s="5"/>
    </row>
    <row r="53" spans="14:53" x14ac:dyDescent="0.25">
      <c r="N53" s="5"/>
      <c r="O53" s="5"/>
      <c r="P53" s="5"/>
      <c r="Q53" s="5"/>
      <c r="R53" s="5"/>
      <c r="S53" s="5"/>
      <c r="T53" s="5"/>
      <c r="U53" s="5"/>
      <c r="V53" s="5"/>
      <c r="W53" s="5"/>
      <c r="X53" s="5"/>
      <c r="Y53" s="5"/>
      <c r="Z53" s="5"/>
      <c r="AA53" s="5"/>
      <c r="AB53" s="5"/>
      <c r="AC53" s="5"/>
      <c r="AD53" s="5"/>
      <c r="AK53" s="5"/>
      <c r="AL53" s="5"/>
      <c r="AM53" s="5"/>
      <c r="AN53" s="5"/>
      <c r="AO53" s="5"/>
      <c r="AP53" s="5"/>
      <c r="AQ53" s="5"/>
      <c r="AR53" s="5"/>
      <c r="AS53" s="5"/>
      <c r="AT53" s="5"/>
      <c r="AU53" s="5"/>
      <c r="AV53" s="5"/>
      <c r="AW53" s="5"/>
      <c r="AX53" s="5"/>
      <c r="AY53" s="5"/>
      <c r="AZ53" s="5"/>
      <c r="BA53" s="5"/>
    </row>
    <row r="54" spans="14:53" x14ac:dyDescent="0.25">
      <c r="N54" s="5"/>
      <c r="O54" s="5"/>
      <c r="P54" s="5"/>
      <c r="Q54" s="5"/>
      <c r="R54" s="5"/>
      <c r="S54" s="5"/>
      <c r="T54" s="5"/>
      <c r="U54" s="5"/>
      <c r="V54" s="5"/>
      <c r="W54" s="5"/>
      <c r="X54" s="5"/>
      <c r="Y54" s="5"/>
      <c r="Z54" s="5"/>
      <c r="AA54" s="5"/>
      <c r="AB54" s="5"/>
      <c r="AC54" s="5"/>
      <c r="AD54" s="5"/>
      <c r="AK54" s="5"/>
      <c r="AL54" s="5"/>
      <c r="AM54" s="5"/>
      <c r="AN54" s="5"/>
      <c r="AO54" s="5"/>
      <c r="AP54" s="5"/>
      <c r="AQ54" s="5"/>
      <c r="AR54" s="5"/>
      <c r="AS54" s="5"/>
      <c r="AT54" s="5"/>
      <c r="AU54" s="5"/>
      <c r="AV54" s="5"/>
      <c r="AW54" s="5"/>
      <c r="AX54" s="5"/>
      <c r="AY54" s="5"/>
      <c r="AZ54" s="5"/>
      <c r="BA54" s="5"/>
    </row>
    <row r="55" spans="14:53" x14ac:dyDescent="0.25">
      <c r="N55" s="5"/>
      <c r="O55" s="5"/>
      <c r="P55" s="5"/>
      <c r="Q55" s="5"/>
      <c r="R55" s="5"/>
      <c r="S55" s="5"/>
      <c r="T55" s="5"/>
      <c r="U55" s="5"/>
      <c r="V55" s="5"/>
      <c r="W55" s="5"/>
      <c r="X55" s="5"/>
      <c r="Y55" s="5"/>
      <c r="Z55" s="5"/>
      <c r="AA55" s="5"/>
      <c r="AB55" s="5"/>
      <c r="AC55" s="5"/>
      <c r="AD55" s="5"/>
      <c r="AK55" s="5"/>
      <c r="AL55" s="5"/>
      <c r="AM55" s="5"/>
      <c r="AN55" s="5"/>
      <c r="AO55" s="5"/>
      <c r="AP55" s="5"/>
      <c r="AQ55" s="5"/>
      <c r="AR55" s="5"/>
      <c r="AS55" s="5"/>
      <c r="AT55" s="5"/>
      <c r="AU55" s="5"/>
      <c r="AV55" s="5"/>
      <c r="AW55" s="5"/>
      <c r="AX55" s="5"/>
      <c r="AY55" s="5"/>
      <c r="AZ55" s="5"/>
      <c r="BA55" s="5"/>
    </row>
    <row r="56" spans="14:53" x14ac:dyDescent="0.25">
      <c r="N56" s="5"/>
      <c r="O56" s="5"/>
      <c r="P56" s="5"/>
      <c r="Q56" s="5"/>
      <c r="R56" s="5"/>
      <c r="S56" s="5"/>
      <c r="T56" s="5"/>
      <c r="U56" s="5"/>
      <c r="V56" s="5"/>
      <c r="W56" s="5"/>
      <c r="X56" s="5"/>
      <c r="Y56" s="5"/>
      <c r="Z56" s="5"/>
      <c r="AA56" s="5"/>
      <c r="AB56" s="5"/>
      <c r="AC56" s="5"/>
      <c r="AD56" s="5"/>
      <c r="AK56" s="5"/>
      <c r="AL56" s="5"/>
      <c r="AM56" s="5"/>
      <c r="AN56" s="5"/>
      <c r="AO56" s="5"/>
      <c r="AP56" s="5"/>
      <c r="AQ56" s="5"/>
      <c r="AR56" s="5"/>
      <c r="AS56" s="5"/>
      <c r="AT56" s="5"/>
      <c r="AU56" s="5"/>
      <c r="AV56" s="5"/>
      <c r="AW56" s="5"/>
      <c r="AX56" s="5"/>
      <c r="AY56" s="5"/>
      <c r="AZ56" s="5"/>
      <c r="BA56" s="5"/>
    </row>
    <row r="57" spans="14:53" x14ac:dyDescent="0.25">
      <c r="N57" s="5"/>
      <c r="O57" s="5"/>
      <c r="P57" s="5"/>
      <c r="Q57" s="5"/>
      <c r="R57" s="5"/>
      <c r="S57" s="5"/>
      <c r="T57" s="5"/>
      <c r="U57" s="5"/>
      <c r="V57" s="5"/>
      <c r="W57" s="5"/>
      <c r="X57" s="5"/>
      <c r="Y57" s="5"/>
      <c r="Z57" s="5"/>
      <c r="AA57" s="5"/>
      <c r="AB57" s="5"/>
      <c r="AC57" s="5"/>
      <c r="AD57" s="5"/>
      <c r="AK57" s="5"/>
      <c r="AL57" s="5"/>
      <c r="AM57" s="5"/>
      <c r="AN57" s="5"/>
      <c r="AO57" s="5"/>
      <c r="AP57" s="5"/>
      <c r="AQ57" s="5"/>
      <c r="AR57" s="5"/>
      <c r="AS57" s="5"/>
      <c r="AT57" s="5"/>
      <c r="AU57" s="5"/>
      <c r="AV57" s="5"/>
      <c r="AW57" s="5"/>
      <c r="AX57" s="5"/>
      <c r="AY57" s="5"/>
      <c r="AZ57" s="5"/>
      <c r="BA57" s="5"/>
    </row>
    <row r="58" spans="14:53" x14ac:dyDescent="0.25">
      <c r="N58" s="5"/>
      <c r="O58" s="5"/>
      <c r="P58" s="5"/>
      <c r="Q58" s="5"/>
      <c r="R58" s="5"/>
      <c r="S58" s="5"/>
      <c r="T58" s="5"/>
      <c r="U58" s="5"/>
      <c r="V58" s="5"/>
      <c r="W58" s="5"/>
      <c r="X58" s="5"/>
      <c r="Y58" s="5"/>
      <c r="Z58" s="5"/>
      <c r="AA58" s="5"/>
      <c r="AB58" s="5"/>
      <c r="AC58" s="5"/>
      <c r="AD58" s="5"/>
      <c r="AK58" s="5"/>
      <c r="AL58" s="5"/>
      <c r="AM58" s="5"/>
      <c r="AN58" s="5"/>
      <c r="AO58" s="5"/>
      <c r="AP58" s="5"/>
      <c r="AQ58" s="5"/>
      <c r="AR58" s="5"/>
      <c r="AS58" s="5"/>
      <c r="AT58" s="5"/>
      <c r="AU58" s="5"/>
      <c r="AV58" s="5"/>
      <c r="AW58" s="5"/>
      <c r="AX58" s="5"/>
      <c r="AY58" s="5"/>
      <c r="AZ58" s="5"/>
      <c r="BA58" s="5"/>
    </row>
    <row r="59" spans="14:53" x14ac:dyDescent="0.25">
      <c r="N59" s="5"/>
      <c r="O59" s="5"/>
      <c r="P59" s="5"/>
      <c r="Q59" s="5"/>
      <c r="R59" s="5"/>
      <c r="S59" s="5"/>
      <c r="T59" s="5"/>
      <c r="U59" s="5"/>
      <c r="V59" s="5"/>
      <c r="W59" s="5"/>
      <c r="X59" s="5"/>
      <c r="Y59" s="5"/>
      <c r="Z59" s="5"/>
      <c r="AA59" s="5"/>
      <c r="AB59" s="5"/>
      <c r="AC59" s="5"/>
      <c r="AD59" s="5"/>
      <c r="AK59" s="5"/>
      <c r="AL59" s="5"/>
      <c r="AM59" s="5"/>
      <c r="AN59" s="5"/>
      <c r="AO59" s="5"/>
      <c r="AP59" s="5"/>
      <c r="AQ59" s="5"/>
      <c r="AR59" s="5"/>
      <c r="AS59" s="5"/>
      <c r="AT59" s="5"/>
      <c r="AU59" s="5"/>
      <c r="AV59" s="5"/>
      <c r="AW59" s="5"/>
      <c r="AX59" s="5"/>
      <c r="AY59" s="5"/>
      <c r="AZ59" s="5"/>
      <c r="BA59" s="5"/>
    </row>
    <row r="60" spans="14:53" x14ac:dyDescent="0.25">
      <c r="N60" s="5"/>
      <c r="O60" s="5"/>
      <c r="P60" s="5"/>
      <c r="Q60" s="5"/>
      <c r="R60" s="5"/>
      <c r="S60" s="5"/>
      <c r="T60" s="5"/>
      <c r="U60" s="5"/>
      <c r="V60" s="5"/>
      <c r="W60" s="5"/>
      <c r="X60" s="5"/>
      <c r="Y60" s="5"/>
      <c r="Z60" s="5"/>
      <c r="AA60" s="5"/>
      <c r="AB60" s="5"/>
      <c r="AC60" s="5"/>
      <c r="AD60" s="5"/>
      <c r="AK60" s="5"/>
      <c r="AL60" s="5"/>
      <c r="AM60" s="5"/>
      <c r="AN60" s="5"/>
      <c r="AO60" s="5"/>
      <c r="AP60" s="5"/>
      <c r="AQ60" s="5"/>
      <c r="AR60" s="5"/>
      <c r="AS60" s="5"/>
      <c r="AT60" s="5"/>
      <c r="AU60" s="5"/>
      <c r="AV60" s="5"/>
      <c r="AW60" s="5"/>
      <c r="AX60" s="5"/>
      <c r="AY60" s="5"/>
      <c r="AZ60" s="5"/>
      <c r="BA60" s="5"/>
    </row>
    <row r="61" spans="14:53" x14ac:dyDescent="0.25">
      <c r="N61" s="5"/>
      <c r="O61" s="5"/>
      <c r="P61" s="5"/>
      <c r="Q61" s="5"/>
      <c r="R61" s="5"/>
      <c r="S61" s="5"/>
      <c r="T61" s="5"/>
      <c r="U61" s="5"/>
      <c r="V61" s="5"/>
      <c r="W61" s="5"/>
      <c r="X61" s="5"/>
      <c r="Y61" s="5"/>
      <c r="Z61" s="5"/>
      <c r="AA61" s="5"/>
      <c r="AB61" s="5"/>
      <c r="AC61" s="5"/>
      <c r="AD61" s="5"/>
      <c r="AK61" s="5"/>
      <c r="AL61" s="5"/>
      <c r="AM61" s="5"/>
      <c r="AN61" s="5"/>
      <c r="AO61" s="5"/>
      <c r="AP61" s="5"/>
      <c r="AQ61" s="5"/>
      <c r="AR61" s="5"/>
      <c r="AS61" s="5"/>
      <c r="AT61" s="5"/>
      <c r="AU61" s="5"/>
      <c r="AV61" s="5"/>
      <c r="AW61" s="5"/>
      <c r="AX61" s="5"/>
      <c r="AY61" s="5"/>
      <c r="AZ61" s="5"/>
      <c r="BA61" s="5"/>
    </row>
    <row r="62" spans="14:53" x14ac:dyDescent="0.25">
      <c r="N62" s="5"/>
      <c r="O62" s="5"/>
      <c r="P62" s="5"/>
      <c r="Q62" s="5"/>
      <c r="R62" s="5"/>
      <c r="S62" s="5"/>
      <c r="T62" s="5"/>
      <c r="U62" s="5"/>
      <c r="V62" s="5"/>
      <c r="W62" s="5"/>
      <c r="X62" s="5"/>
      <c r="Y62" s="5"/>
      <c r="Z62" s="5"/>
      <c r="AA62" s="5"/>
      <c r="AB62" s="5"/>
      <c r="AC62" s="5"/>
      <c r="AD62" s="5"/>
      <c r="AK62" s="5"/>
      <c r="AL62" s="5"/>
      <c r="AM62" s="5"/>
      <c r="AN62" s="5"/>
      <c r="AO62" s="5"/>
      <c r="AP62" s="5"/>
      <c r="AQ62" s="5"/>
      <c r="AR62" s="5"/>
      <c r="AS62" s="5"/>
      <c r="AT62" s="5"/>
      <c r="AU62" s="5"/>
      <c r="AV62" s="5"/>
      <c r="AW62" s="5"/>
      <c r="AX62" s="5"/>
      <c r="AY62" s="5"/>
      <c r="AZ62" s="5"/>
      <c r="BA62" s="5"/>
    </row>
    <row r="63" spans="14:53" x14ac:dyDescent="0.25">
      <c r="N63" s="5"/>
      <c r="O63" s="5"/>
      <c r="P63" s="5"/>
      <c r="Q63" s="5"/>
      <c r="R63" s="5"/>
      <c r="S63" s="5"/>
      <c r="T63" s="5"/>
      <c r="U63" s="5"/>
      <c r="V63" s="5"/>
      <c r="W63" s="5"/>
      <c r="X63" s="5"/>
      <c r="Y63" s="5"/>
      <c r="Z63" s="5"/>
      <c r="AA63" s="5"/>
      <c r="AB63" s="5"/>
      <c r="AC63" s="5"/>
      <c r="AD63" s="5"/>
      <c r="AK63" s="5"/>
      <c r="AL63" s="5"/>
      <c r="AM63" s="5"/>
      <c r="AN63" s="5"/>
      <c r="AO63" s="5"/>
      <c r="AP63" s="5"/>
      <c r="AQ63" s="5"/>
      <c r="AR63" s="5"/>
      <c r="AS63" s="5"/>
      <c r="AT63" s="5"/>
      <c r="AU63" s="5"/>
      <c r="AV63" s="5"/>
      <c r="AW63" s="5"/>
      <c r="AX63" s="5"/>
      <c r="AY63" s="5"/>
      <c r="AZ63" s="5"/>
      <c r="BA63" s="5"/>
    </row>
    <row r="64" spans="14:53" x14ac:dyDescent="0.25">
      <c r="N64" s="5"/>
      <c r="O64" s="5"/>
      <c r="P64" s="5"/>
      <c r="Q64" s="5"/>
      <c r="R64" s="5"/>
      <c r="S64" s="5"/>
      <c r="T64" s="5"/>
      <c r="U64" s="5"/>
      <c r="V64" s="5"/>
      <c r="W64" s="5"/>
      <c r="X64" s="5"/>
      <c r="Y64" s="5"/>
      <c r="Z64" s="5"/>
      <c r="AA64" s="5"/>
      <c r="AB64" s="5"/>
      <c r="AC64" s="5"/>
      <c r="AD64" s="5"/>
      <c r="AK64" s="5"/>
      <c r="AL64" s="5"/>
      <c r="AM64" s="5"/>
      <c r="AN64" s="5"/>
      <c r="AO64" s="5"/>
      <c r="AP64" s="5"/>
      <c r="AQ64" s="5"/>
      <c r="AR64" s="5"/>
      <c r="AS64" s="5"/>
      <c r="AT64" s="5"/>
      <c r="AU64" s="5"/>
      <c r="AV64" s="5"/>
      <c r="AW64" s="5"/>
      <c r="AX64" s="5"/>
      <c r="AY64" s="5"/>
      <c r="AZ64" s="5"/>
      <c r="BA64" s="5"/>
    </row>
    <row r="65" spans="14:53" x14ac:dyDescent="0.25">
      <c r="N65" s="5"/>
      <c r="O65" s="5"/>
      <c r="P65" s="5"/>
      <c r="Q65" s="5"/>
      <c r="R65" s="5"/>
      <c r="S65" s="5"/>
      <c r="T65" s="5"/>
      <c r="U65" s="5"/>
      <c r="V65" s="5"/>
      <c r="W65" s="5"/>
      <c r="X65" s="5"/>
      <c r="Y65" s="5"/>
      <c r="Z65" s="5"/>
      <c r="AA65" s="5"/>
      <c r="AB65" s="5"/>
      <c r="AC65" s="5"/>
      <c r="AD65" s="5"/>
      <c r="AK65" s="5"/>
      <c r="AL65" s="5"/>
      <c r="AM65" s="5"/>
      <c r="AN65" s="5"/>
      <c r="AO65" s="5"/>
      <c r="AP65" s="5"/>
      <c r="AQ65" s="5"/>
      <c r="AR65" s="5"/>
      <c r="AS65" s="5"/>
      <c r="AT65" s="5"/>
      <c r="AU65" s="5"/>
      <c r="AV65" s="5"/>
      <c r="AW65" s="5"/>
      <c r="AX65" s="5"/>
      <c r="AY65" s="5"/>
      <c r="AZ65" s="5"/>
      <c r="BA65" s="5"/>
    </row>
  </sheetData>
  <mergeCells count="40">
    <mergeCell ref="BQ2:BS2"/>
    <mergeCell ref="A1:G1"/>
    <mergeCell ref="I1:AD1"/>
    <mergeCell ref="AF1:BA1"/>
    <mergeCell ref="BF2:BF3"/>
    <mergeCell ref="BG2:BG3"/>
    <mergeCell ref="BI2:BJ2"/>
    <mergeCell ref="BK2:BM2"/>
    <mergeCell ref="BO2:BP2"/>
    <mergeCell ref="AS2:AT2"/>
    <mergeCell ref="AU2:AW2"/>
    <mergeCell ref="AX2:AY2"/>
    <mergeCell ref="AZ2:BA2"/>
    <mergeCell ref="BE2:BE3"/>
    <mergeCell ref="AK2:AK3"/>
    <mergeCell ref="AL2:AL3"/>
    <mergeCell ref="AM2:AM3"/>
    <mergeCell ref="AN2:AN3"/>
    <mergeCell ref="AO2:AR2"/>
    <mergeCell ref="X2:Z2"/>
    <mergeCell ref="AA2:AB2"/>
    <mergeCell ref="AC2:AD2"/>
    <mergeCell ref="AF2:AF3"/>
    <mergeCell ref="AG2:AJ2"/>
    <mergeCell ref="BC2:BD2"/>
    <mergeCell ref="A2:A3"/>
    <mergeCell ref="B2:B3"/>
    <mergeCell ref="C2:C3"/>
    <mergeCell ref="D2:D3"/>
    <mergeCell ref="E2:E3"/>
    <mergeCell ref="F2:F3"/>
    <mergeCell ref="G2:G3"/>
    <mergeCell ref="I2:I3"/>
    <mergeCell ref="J2:M2"/>
    <mergeCell ref="N2:N3"/>
    <mergeCell ref="O2:O3"/>
    <mergeCell ref="P2:P3"/>
    <mergeCell ref="Q2:Q3"/>
    <mergeCell ref="R2:U2"/>
    <mergeCell ref="V2:W2"/>
  </mergeCells>
  <conditionalFormatting sqref="BI4:BI31">
    <cfRule type="cellIs" dxfId="101" priority="7" operator="greaterThanOrEqual">
      <formula>0.03</formula>
    </cfRule>
    <cfRule type="cellIs" dxfId="100" priority="8" operator="lessThanOrEqual">
      <formula>-0.03</formula>
    </cfRule>
  </conditionalFormatting>
  <conditionalFormatting sqref="BJ4:BJ31">
    <cfRule type="cellIs" dxfId="99" priority="9" operator="greaterThanOrEqual">
      <formula>0.03</formula>
    </cfRule>
    <cfRule type="cellIs" dxfId="98" priority="10" operator="lessThanOrEqual">
      <formula>-0.03</formula>
    </cfRule>
  </conditionalFormatting>
  <conditionalFormatting sqref="BK4:BK31">
    <cfRule type="cellIs" dxfId="97" priority="11" operator="greaterThanOrEqual">
      <formula>0.03</formula>
    </cfRule>
    <cfRule type="cellIs" dxfId="96" priority="12" operator="lessThanOrEqual">
      <formula>-0.03</formula>
    </cfRule>
  </conditionalFormatting>
  <conditionalFormatting sqref="BL4:BL31">
    <cfRule type="cellIs" dxfId="95" priority="5" operator="greaterThanOrEqual">
      <formula>0.03</formula>
    </cfRule>
    <cfRule type="cellIs" dxfId="94" priority="6" operator="lessThanOrEqual">
      <formula>-0.03</formula>
    </cfRule>
  </conditionalFormatting>
  <conditionalFormatting sqref="BM4:BM31">
    <cfRule type="cellIs" dxfId="93" priority="1" operator="greaterThanOrEqual">
      <formula>0.03</formula>
    </cfRule>
    <cfRule type="cellIs" dxfId="92" priority="2" operator="lessThanOrEqual">
      <formula>-0.03</formula>
    </cfRule>
  </conditionalFormatting>
  <conditionalFormatting sqref="BO4:BO31">
    <cfRule type="cellIs" dxfId="91" priority="13" operator="greaterThanOrEqual">
      <formula>0.03</formula>
    </cfRule>
    <cfRule type="cellIs" dxfId="90" priority="14" operator="lessThanOrEqual">
      <formula>-0.03</formula>
    </cfRule>
  </conditionalFormatting>
  <conditionalFormatting sqref="BP4:BP31">
    <cfRule type="cellIs" dxfId="89" priority="19" operator="greaterThanOrEqual">
      <formula>0.03</formula>
    </cfRule>
    <cfRule type="cellIs" dxfId="88" priority="20" operator="lessThanOrEqual">
      <formula>-0.03</formula>
    </cfRule>
  </conditionalFormatting>
  <conditionalFormatting sqref="BQ4:BQ31">
    <cfRule type="cellIs" dxfId="87" priority="17" operator="greaterThanOrEqual">
      <formula>0.03</formula>
    </cfRule>
    <cfRule type="cellIs" dxfId="86" priority="18" operator="lessThanOrEqual">
      <formula>-0.03</formula>
    </cfRule>
  </conditionalFormatting>
  <conditionalFormatting sqref="BR4:BR31">
    <cfRule type="cellIs" dxfId="85" priority="15" operator="greaterThanOrEqual">
      <formula>0.03</formula>
    </cfRule>
    <cfRule type="cellIs" dxfId="84" priority="16" operator="lessThanOrEqual">
      <formula>-0.03</formula>
    </cfRule>
  </conditionalFormatting>
  <conditionalFormatting sqref="BS4:BS31">
    <cfRule type="cellIs" dxfId="83" priority="3" operator="greaterThanOrEqual">
      <formula>0.03</formula>
    </cfRule>
    <cfRule type="cellIs" dxfId="82" priority="4" operator="lessThanOrEqual">
      <formula>-0.03</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S69"/>
  <sheetViews>
    <sheetView tabSelected="1" zoomScale="60" zoomScaleNormal="60" workbookViewId="0">
      <pane xSplit="2" topLeftCell="AC1" activePane="topRight" state="frozen"/>
      <selection pane="topRight" activeCell="AL24" sqref="AL24:AW28"/>
    </sheetView>
  </sheetViews>
  <sheetFormatPr defaultRowHeight="15" outlineLevelRow="2" x14ac:dyDescent="0.25"/>
  <cols>
    <col min="2" max="2" width="24.7109375" customWidth="1"/>
    <col min="4" max="5" width="10.7109375" customWidth="1"/>
    <col min="8" max="8" width="1.7109375" customWidth="1"/>
    <col min="10" max="13" width="10.7109375" customWidth="1"/>
    <col min="14" max="14" width="12.7109375" customWidth="1"/>
    <col min="15" max="15" width="10.7109375" customWidth="1"/>
    <col min="18" max="21" width="12.7109375" customWidth="1"/>
    <col min="22" max="26" width="11.7109375" customWidth="1"/>
    <col min="31" max="31" width="1.7109375" customWidth="1"/>
    <col min="33" max="36" width="10.7109375" customWidth="1"/>
    <col min="37" max="37" width="12.7109375" customWidth="1"/>
    <col min="38" max="38" width="10.7109375" customWidth="1"/>
    <col min="41" max="44" width="12.7109375" customWidth="1"/>
    <col min="45" max="49" width="11.7109375" customWidth="1"/>
    <col min="54" max="54" width="1.7109375" customWidth="1"/>
    <col min="55" max="56" width="0.140625" style="5" customWidth="1"/>
    <col min="60" max="60" width="1.7109375" customWidth="1"/>
    <col min="63" max="65" width="11.7109375" customWidth="1"/>
    <col min="66" max="66" width="1.7109375" customWidth="1"/>
    <col min="69" max="71" width="11.7109375" customWidth="1"/>
    <col min="72" max="72" width="1.7109375" customWidth="1"/>
  </cols>
  <sheetData>
    <row r="1" spans="1:71" x14ac:dyDescent="0.25">
      <c r="A1" s="76" t="s">
        <v>809</v>
      </c>
      <c r="B1" s="76"/>
      <c r="C1" s="76"/>
      <c r="D1" s="76"/>
      <c r="E1" s="76"/>
      <c r="F1" s="76"/>
      <c r="G1" s="76"/>
      <c r="I1" s="65" t="s">
        <v>1477</v>
      </c>
      <c r="J1" s="65"/>
      <c r="K1" s="65"/>
      <c r="L1" s="65"/>
      <c r="M1" s="65"/>
      <c r="N1" s="65"/>
      <c r="O1" s="65"/>
      <c r="P1" s="65"/>
      <c r="Q1" s="65"/>
      <c r="R1" s="65"/>
      <c r="S1" s="65"/>
      <c r="T1" s="65"/>
      <c r="U1" s="65"/>
      <c r="V1" s="65"/>
      <c r="W1" s="65"/>
      <c r="X1" s="65"/>
      <c r="Y1" s="65"/>
      <c r="Z1" s="65"/>
      <c r="AA1" s="65"/>
      <c r="AB1" s="65"/>
      <c r="AC1" s="65"/>
      <c r="AD1" s="65"/>
      <c r="AF1" s="66" t="s">
        <v>1479</v>
      </c>
      <c r="AG1" s="66"/>
      <c r="AH1" s="66"/>
      <c r="AI1" s="66"/>
      <c r="AJ1" s="66"/>
      <c r="AK1" s="66"/>
      <c r="AL1" s="66"/>
      <c r="AM1" s="66"/>
      <c r="AN1" s="66"/>
      <c r="AO1" s="66"/>
      <c r="AP1" s="66"/>
      <c r="AQ1" s="66"/>
      <c r="AR1" s="66"/>
      <c r="AS1" s="66"/>
      <c r="AT1" s="66"/>
      <c r="AU1" s="66"/>
      <c r="AV1" s="66"/>
      <c r="AW1" s="66"/>
      <c r="AX1" s="66"/>
      <c r="AY1" s="66"/>
      <c r="AZ1" s="66"/>
      <c r="BA1" s="66"/>
      <c r="BC1" s="63" t="s">
        <v>2</v>
      </c>
      <c r="BD1" s="62" t="s">
        <v>3</v>
      </c>
    </row>
    <row r="2" spans="1:71" ht="30" customHeight="1" thickBot="1" x14ac:dyDescent="0.3">
      <c r="A2" s="75" t="s">
        <v>97</v>
      </c>
      <c r="B2" s="73" t="s">
        <v>99</v>
      </c>
      <c r="C2" s="75" t="s">
        <v>275</v>
      </c>
      <c r="D2" s="73" t="s">
        <v>101</v>
      </c>
      <c r="E2" s="75" t="s">
        <v>103</v>
      </c>
      <c r="F2" s="73" t="s">
        <v>513</v>
      </c>
      <c r="G2" s="75" t="s">
        <v>515</v>
      </c>
      <c r="I2" s="73" t="s">
        <v>518</v>
      </c>
      <c r="J2" s="74" t="s">
        <v>107</v>
      </c>
      <c r="K2" s="74"/>
      <c r="L2" s="74"/>
      <c r="M2" s="74"/>
      <c r="N2" s="73" t="s">
        <v>112</v>
      </c>
      <c r="O2" s="75" t="s">
        <v>26</v>
      </c>
      <c r="P2" s="73" t="s">
        <v>28</v>
      </c>
      <c r="Q2" s="75" t="s">
        <v>24</v>
      </c>
      <c r="R2" s="77" t="s">
        <v>115</v>
      </c>
      <c r="S2" s="77"/>
      <c r="T2" s="77"/>
      <c r="U2" s="77"/>
      <c r="V2" s="74" t="s">
        <v>374</v>
      </c>
      <c r="W2" s="74"/>
      <c r="X2" s="77" t="s">
        <v>284</v>
      </c>
      <c r="Y2" s="77"/>
      <c r="Z2" s="77"/>
      <c r="AA2" s="74" t="s">
        <v>528</v>
      </c>
      <c r="AB2" s="74"/>
      <c r="AC2" s="77" t="s">
        <v>533</v>
      </c>
      <c r="AD2" s="77"/>
      <c r="AF2" s="75" t="s">
        <v>518</v>
      </c>
      <c r="AG2" s="77" t="s">
        <v>107</v>
      </c>
      <c r="AH2" s="77"/>
      <c r="AI2" s="77"/>
      <c r="AJ2" s="77"/>
      <c r="AK2" s="75" t="s">
        <v>112</v>
      </c>
      <c r="AL2" s="73" t="s">
        <v>26</v>
      </c>
      <c r="AM2" s="75" t="s">
        <v>28</v>
      </c>
      <c r="AN2" s="73" t="s">
        <v>24</v>
      </c>
      <c r="AO2" s="74" t="s">
        <v>115</v>
      </c>
      <c r="AP2" s="74"/>
      <c r="AQ2" s="74"/>
      <c r="AR2" s="74"/>
      <c r="AS2" s="77" t="s">
        <v>374</v>
      </c>
      <c r="AT2" s="77"/>
      <c r="AU2" s="74" t="s">
        <v>284</v>
      </c>
      <c r="AV2" s="74"/>
      <c r="AW2" s="74"/>
      <c r="AX2" s="77" t="s">
        <v>528</v>
      </c>
      <c r="AY2" s="77"/>
      <c r="AZ2" s="74" t="s">
        <v>533</v>
      </c>
      <c r="BA2" s="74"/>
      <c r="BC2" s="73" t="s">
        <v>115</v>
      </c>
      <c r="BD2" s="73"/>
      <c r="BE2" s="73" t="s">
        <v>708</v>
      </c>
      <c r="BF2" s="75" t="s">
        <v>133</v>
      </c>
      <c r="BG2" s="73" t="s">
        <v>133</v>
      </c>
      <c r="BI2" s="74" t="s">
        <v>409</v>
      </c>
      <c r="BJ2" s="74"/>
      <c r="BK2" s="77" t="s">
        <v>412</v>
      </c>
      <c r="BL2" s="77"/>
      <c r="BM2" s="77"/>
      <c r="BO2" s="74" t="s">
        <v>717</v>
      </c>
      <c r="BP2" s="74"/>
      <c r="BQ2" s="77" t="s">
        <v>301</v>
      </c>
      <c r="BR2" s="77"/>
      <c r="BS2" s="77"/>
    </row>
    <row r="3" spans="1:71" ht="30" customHeight="1" thickBot="1" x14ac:dyDescent="0.3">
      <c r="A3" s="75"/>
      <c r="B3" s="73"/>
      <c r="C3" s="75"/>
      <c r="D3" s="73"/>
      <c r="E3" s="75"/>
      <c r="F3" s="73"/>
      <c r="G3" s="75"/>
      <c r="I3" s="73"/>
      <c r="J3" s="16" t="s">
        <v>108</v>
      </c>
      <c r="K3" s="16" t="s">
        <v>587</v>
      </c>
      <c r="L3" s="16" t="s">
        <v>110</v>
      </c>
      <c r="M3" s="16" t="s">
        <v>366</v>
      </c>
      <c r="N3" s="73"/>
      <c r="O3" s="75"/>
      <c r="P3" s="73"/>
      <c r="Q3" s="75"/>
      <c r="R3" s="17" t="s">
        <v>108</v>
      </c>
      <c r="S3" s="17" t="s">
        <v>110</v>
      </c>
      <c r="T3" s="17" t="s">
        <v>597</v>
      </c>
      <c r="U3" s="17" t="s">
        <v>372</v>
      </c>
      <c r="V3" s="16" t="s">
        <v>375</v>
      </c>
      <c r="W3" s="16" t="s">
        <v>377</v>
      </c>
      <c r="X3" s="17" t="s">
        <v>285</v>
      </c>
      <c r="Y3" s="17" t="s">
        <v>287</v>
      </c>
      <c r="Z3" s="17" t="s">
        <v>289</v>
      </c>
      <c r="AA3" s="16" t="s">
        <v>529</v>
      </c>
      <c r="AB3" s="16" t="s">
        <v>531</v>
      </c>
      <c r="AC3" s="17" t="s">
        <v>529</v>
      </c>
      <c r="AD3" s="17" t="s">
        <v>531</v>
      </c>
      <c r="AF3" s="75"/>
      <c r="AG3" s="17" t="s">
        <v>108</v>
      </c>
      <c r="AH3" s="17" t="s">
        <v>587</v>
      </c>
      <c r="AI3" s="17" t="s">
        <v>110</v>
      </c>
      <c r="AJ3" s="17" t="s">
        <v>366</v>
      </c>
      <c r="AK3" s="75"/>
      <c r="AL3" s="73"/>
      <c r="AM3" s="75"/>
      <c r="AN3" s="73"/>
      <c r="AO3" s="16" t="s">
        <v>108</v>
      </c>
      <c r="AP3" s="16" t="s">
        <v>110</v>
      </c>
      <c r="AQ3" s="16" t="s">
        <v>597</v>
      </c>
      <c r="AR3" s="16" t="s">
        <v>372</v>
      </c>
      <c r="AS3" s="17" t="s">
        <v>375</v>
      </c>
      <c r="AT3" s="17" t="s">
        <v>377</v>
      </c>
      <c r="AU3" s="16" t="s">
        <v>285</v>
      </c>
      <c r="AV3" s="16" t="s">
        <v>287</v>
      </c>
      <c r="AW3" s="16" t="s">
        <v>289</v>
      </c>
      <c r="AX3" s="17" t="s">
        <v>529</v>
      </c>
      <c r="AY3" s="17" t="s">
        <v>531</v>
      </c>
      <c r="AZ3" s="16" t="s">
        <v>529</v>
      </c>
      <c r="BA3" s="16" t="s">
        <v>531</v>
      </c>
      <c r="BC3" s="61" t="s">
        <v>595</v>
      </c>
      <c r="BD3" s="61" t="s">
        <v>619</v>
      </c>
      <c r="BE3" s="73"/>
      <c r="BF3" s="75"/>
      <c r="BG3" s="73"/>
      <c r="BI3" s="16" t="s">
        <v>375</v>
      </c>
      <c r="BJ3" s="16" t="s">
        <v>377</v>
      </c>
      <c r="BK3" s="17" t="s">
        <v>285</v>
      </c>
      <c r="BL3" s="17" t="s">
        <v>287</v>
      </c>
      <c r="BM3" s="17" t="s">
        <v>289</v>
      </c>
      <c r="BO3" s="16" t="s">
        <v>375</v>
      </c>
      <c r="BP3" s="16" t="s">
        <v>377</v>
      </c>
      <c r="BQ3" s="17" t="s">
        <v>285</v>
      </c>
      <c r="BR3" s="17" t="s">
        <v>287</v>
      </c>
      <c r="BS3" s="17" t="s">
        <v>289</v>
      </c>
    </row>
    <row r="4" spans="1:71" x14ac:dyDescent="0.25">
      <c r="A4" s="18" t="s">
        <v>566</v>
      </c>
      <c r="B4" s="18" t="s">
        <v>554</v>
      </c>
      <c r="C4" s="19" t="s">
        <v>310</v>
      </c>
      <c r="D4" s="18">
        <v>238146391</v>
      </c>
      <c r="E4" s="19">
        <v>10</v>
      </c>
      <c r="F4" s="19">
        <v>300</v>
      </c>
      <c r="G4" s="19">
        <v>30</v>
      </c>
      <c r="I4" s="55">
        <f t="shared" ref="I4:I28" si="0">IF(OR(ISBLANK(R4),ISBLANK(G4)),"·",R4*G4/F4/1000000)</f>
        <v>0.19498560000000001</v>
      </c>
      <c r="J4" s="21">
        <f t="shared" ref="J4:J28" si="1">IF(ISBLANK(R4),"·",R4/D4)</f>
        <v>8.1876361502366841E-3</v>
      </c>
      <c r="K4" s="21">
        <f t="shared" ref="K4:K28" si="2">IF(BC4="","·",BC4/D4)</f>
        <v>5.7607591458314397E-3</v>
      </c>
      <c r="L4" s="21">
        <f t="shared" ref="L4:L28" si="3">IF(S4="","·",S4/D4)</f>
        <v>3.0267769205874718E-3</v>
      </c>
      <c r="M4" s="21">
        <f t="shared" ref="M4:M28" si="4">IF(ISBLANK(U4),"·",U4/D4)</f>
        <v>2.4257684425711074E-3</v>
      </c>
      <c r="N4" s="21">
        <f t="shared" ref="N4:N28" si="5">IF(ISBLANK(R4),"·",R4/O4)</f>
        <v>5.0785964327387897E-2</v>
      </c>
      <c r="O4" s="5">
        <v>38393600</v>
      </c>
      <c r="P4" s="5">
        <v>1199800</v>
      </c>
      <c r="Q4" s="5">
        <v>475463.625</v>
      </c>
      <c r="R4" s="5">
        <v>1949856</v>
      </c>
      <c r="S4" s="5">
        <v>720816</v>
      </c>
      <c r="T4" s="5">
        <v>651088</v>
      </c>
      <c r="U4" s="5">
        <v>577688</v>
      </c>
      <c r="V4" s="5">
        <v>66.269562500000006</v>
      </c>
      <c r="W4" s="5">
        <v>67.826503125000002</v>
      </c>
      <c r="X4" s="5">
        <v>32.385878124999998</v>
      </c>
      <c r="Y4" s="5">
        <v>44.748800000000003</v>
      </c>
      <c r="Z4" s="5">
        <v>44.496090625000001</v>
      </c>
      <c r="AA4" s="5"/>
      <c r="AB4" s="5"/>
      <c r="AC4" s="5"/>
      <c r="AD4" s="5"/>
      <c r="AF4" s="55">
        <f t="shared" ref="AF4:AF28" si="6">IF(OR(ISBLANK(AO4),ISBLANK(G4)),"·",AO4*G4/F4/1000000)</f>
        <v>0.1909768</v>
      </c>
      <c r="AG4" s="21">
        <f t="shared" ref="AG4:AG28" si="7">IF(ISBLANK(AO4),"·",AO4/D4)</f>
        <v>8.0193027153621661E-3</v>
      </c>
      <c r="AH4" s="21">
        <f t="shared" ref="AH4:AH28" si="8">IF(BD4="","·",BD4/D4)</f>
        <v>5.6638103745187554E-3</v>
      </c>
      <c r="AI4" s="21">
        <f t="shared" ref="AI4:AI28" si="9">IF(AP4="","·",AP4/D4)</f>
        <v>2.929828149274788E-3</v>
      </c>
      <c r="AJ4" s="21">
        <f t="shared" ref="AJ4:AJ28" si="10">IF(ISBLANK(AR4),"·",AR4/D4)</f>
        <v>2.3543837790092731E-3</v>
      </c>
      <c r="AK4" s="21">
        <f t="shared" ref="AK4:AK28" si="11">IF(ISBLANK(AO4),"·",AO4/AL4)</f>
        <v>4.9741831971995332E-2</v>
      </c>
      <c r="AL4" s="5">
        <v>38393600</v>
      </c>
      <c r="AM4" s="5">
        <v>1199800</v>
      </c>
      <c r="AN4" s="5">
        <v>507319.03125</v>
      </c>
      <c r="AO4" s="5">
        <v>1909768</v>
      </c>
      <c r="AP4" s="5">
        <v>697728</v>
      </c>
      <c r="AQ4" s="5">
        <v>651088</v>
      </c>
      <c r="AR4" s="5">
        <v>560688</v>
      </c>
      <c r="AS4" s="5">
        <v>66.136581250000006</v>
      </c>
      <c r="AT4" s="5">
        <v>67.872699999999995</v>
      </c>
      <c r="AU4" s="5">
        <v>32.395546875000001</v>
      </c>
      <c r="AV4" s="5">
        <v>44.723309374999999</v>
      </c>
      <c r="AW4" s="5">
        <v>44.728259374999901</v>
      </c>
      <c r="AX4" s="5"/>
      <c r="AY4" s="5"/>
      <c r="AZ4" s="5"/>
      <c r="BA4" s="5"/>
      <c r="BC4" s="18">
        <f t="shared" ref="BC4:BC28" si="12">IF(OR(ISBLANK(S4),ISBLANK(T4)),"",S4+T4)</f>
        <v>1371904</v>
      </c>
      <c r="BD4" s="18">
        <f t="shared" ref="BD4:BD28" si="13">IF(OR(ISBLANK(AP4),ISBLANK(AQ4)),"",AP4+AQ4)</f>
        <v>1348816</v>
      </c>
      <c r="BE4" s="20">
        <f t="shared" ref="BE4:BE28" si="14">(AN4/AM4) - (Q4/P4)</f>
        <v>2.6550596974495744E-2</v>
      </c>
      <c r="BF4" s="20">
        <f t="shared" ref="BF4:BF28" si="15">(BD4/AO4) - (BC4/R4)</f>
        <v>2.6797050501056185E-3</v>
      </c>
      <c r="BG4" s="20">
        <f t="array" ref="BG4">AVERAGE(BD4:BD8/AO4:AO8) - AVERAGE(BC4:BC8/R4:R8)</f>
        <v>1.7145664030689955E-3</v>
      </c>
      <c r="BI4" s="50">
        <f>bdRateExtend( R4:R8,V4:V8, AO4:AO8,AS4:AS8)</f>
        <v>-5.3059871416624715E-2</v>
      </c>
      <c r="BJ4" s="50">
        <f>bdRateExtend( R4:R8,W4:W8, AO4:AO8,AT4:AT8)</f>
        <v>-6.2015597021755853E-2</v>
      </c>
      <c r="BK4" s="50">
        <f>bdRateExtend( R4:R8,X4:X8, AO4:AO8,AU4:AU8)</f>
        <v>-4.7397906596756134E-2</v>
      </c>
      <c r="BL4" s="50">
        <f>bdRateExtend( R4:R8,Y4:Y8, AO4:AO8,AV4:AV8)</f>
        <v>-7.5240772926656874E-2</v>
      </c>
      <c r="BM4" s="50">
        <f>bdRateExtend( R4:R8,Z4:Z8, AO4:AO8,AW4:AW8)</f>
        <v>-8.3524138012955218E-2</v>
      </c>
      <c r="BO4" s="50">
        <f>bdRateExtend( BC4:BC8,V4:V8, BD4:BD8,AS4:AS8)</f>
        <v>-4.5494126433804571E-2</v>
      </c>
      <c r="BP4" s="50">
        <f>bdRateExtend( BC4:BC8,W4:W8, BD4:BD8,AT4:AT8)</f>
        <v>-5.1281952897527461E-2</v>
      </c>
      <c r="BQ4" s="50">
        <f>bdRateExtend( U4:U8,X4:X8, AR4:AR8,AU4:AU8)</f>
        <v>-5.3932112512190211E-2</v>
      </c>
      <c r="BR4" s="50">
        <f>bdRateExtend( U4:U8,Y4:Y8, AR4:AR8,AV4:AV8)</f>
        <v>-9.4149195268893315E-2</v>
      </c>
      <c r="BS4" s="50">
        <f>bdRateExtend( U4:U8,Z4:Z8, AR4:AR8,AW4:AW8)</f>
        <v>-0.10338029786778113</v>
      </c>
    </row>
    <row r="5" spans="1:71" outlineLevel="1" x14ac:dyDescent="0.25">
      <c r="A5" s="25"/>
      <c r="B5" s="25"/>
      <c r="C5" s="26" t="s">
        <v>311</v>
      </c>
      <c r="D5" s="25">
        <v>238146391</v>
      </c>
      <c r="E5" s="26">
        <v>10</v>
      </c>
      <c r="F5" s="26">
        <v>300</v>
      </c>
      <c r="G5" s="26">
        <v>30</v>
      </c>
      <c r="I5" s="56">
        <f t="shared" si="0"/>
        <v>0.27428720000000001</v>
      </c>
      <c r="J5" s="28">
        <f t="shared" si="1"/>
        <v>1.1517587936069121E-2</v>
      </c>
      <c r="K5" s="28">
        <f t="shared" si="2"/>
        <v>7.1706146493733768E-3</v>
      </c>
      <c r="L5" s="28">
        <f t="shared" si="3"/>
        <v>4.4366324241294089E-3</v>
      </c>
      <c r="M5" s="28">
        <f t="shared" si="4"/>
        <v>4.3458647248616087E-3</v>
      </c>
      <c r="N5" s="28">
        <f t="shared" si="5"/>
        <v>7.1440865144190693E-2</v>
      </c>
      <c r="O5" s="5">
        <v>38393600</v>
      </c>
      <c r="P5" s="5">
        <v>1199800</v>
      </c>
      <c r="Q5" s="5">
        <v>426976.59375</v>
      </c>
      <c r="R5" s="5">
        <v>2742872</v>
      </c>
      <c r="S5" s="5">
        <v>1056568</v>
      </c>
      <c r="T5" s="5">
        <v>651088</v>
      </c>
      <c r="U5" s="5">
        <v>1034952</v>
      </c>
      <c r="V5" s="5">
        <v>67.885971874999996</v>
      </c>
      <c r="W5" s="5">
        <v>69.870931249999998</v>
      </c>
      <c r="X5" s="5">
        <v>34.607296875000003</v>
      </c>
      <c r="Y5" s="5">
        <v>45.862946874999999</v>
      </c>
      <c r="Z5" s="5">
        <v>45.86285625</v>
      </c>
      <c r="AA5" s="5"/>
      <c r="AB5" s="5"/>
      <c r="AC5" s="5"/>
      <c r="AD5" s="5"/>
      <c r="AF5" s="56">
        <f t="shared" si="6"/>
        <v>0.26364879999999996</v>
      </c>
      <c r="AG5" s="28">
        <f t="shared" si="7"/>
        <v>1.1070871109694876E-2</v>
      </c>
      <c r="AH5" s="28">
        <f t="shared" si="8"/>
        <v>6.9582746689619158E-3</v>
      </c>
      <c r="AI5" s="28">
        <f t="shared" si="9"/>
        <v>4.224292443717948E-3</v>
      </c>
      <c r="AJ5" s="28">
        <f t="shared" si="10"/>
        <v>4.111487878898824E-3</v>
      </c>
      <c r="AK5" s="28">
        <f t="shared" si="11"/>
        <v>6.8669986664444072E-2</v>
      </c>
      <c r="AL5" s="5">
        <v>38393600</v>
      </c>
      <c r="AM5" s="5">
        <v>1199800</v>
      </c>
      <c r="AN5" s="5">
        <v>446982.0625</v>
      </c>
      <c r="AO5" s="5">
        <v>2636488</v>
      </c>
      <c r="AP5" s="5">
        <v>1006000</v>
      </c>
      <c r="AQ5" s="5">
        <v>651088</v>
      </c>
      <c r="AR5" s="5">
        <v>979136</v>
      </c>
      <c r="AS5" s="5">
        <v>67.856687500000007</v>
      </c>
      <c r="AT5" s="5">
        <v>69.918709374999906</v>
      </c>
      <c r="AU5" s="5">
        <v>34.614065625000002</v>
      </c>
      <c r="AV5" s="5">
        <v>46.082537500000001</v>
      </c>
      <c r="AW5" s="5">
        <v>45.952653124999998</v>
      </c>
      <c r="AX5" s="5"/>
      <c r="AY5" s="5"/>
      <c r="AZ5" s="5"/>
      <c r="BA5" s="5"/>
      <c r="BC5" s="25">
        <f t="shared" si="12"/>
        <v>1707656</v>
      </c>
      <c r="BD5" s="25">
        <f t="shared" si="13"/>
        <v>1657088</v>
      </c>
      <c r="BE5" s="27">
        <f t="shared" si="14"/>
        <v>1.6674002958826484E-2</v>
      </c>
      <c r="BF5" s="27">
        <f t="shared" si="15"/>
        <v>5.9414274774924891E-3</v>
      </c>
      <c r="BG5" s="27"/>
      <c r="BI5" s="52"/>
      <c r="BJ5" s="52"/>
      <c r="BK5" s="52"/>
      <c r="BL5" s="52"/>
      <c r="BM5" s="52"/>
      <c r="BO5" s="52"/>
      <c r="BP5" s="52"/>
      <c r="BQ5" s="52"/>
      <c r="BR5" s="52"/>
      <c r="BS5" s="52"/>
    </row>
    <row r="6" spans="1:71" outlineLevel="1" x14ac:dyDescent="0.25">
      <c r="A6" s="18"/>
      <c r="B6" s="18"/>
      <c r="C6" s="19" t="s">
        <v>312</v>
      </c>
      <c r="D6" s="18">
        <v>238146391</v>
      </c>
      <c r="E6" s="19">
        <v>10</v>
      </c>
      <c r="F6" s="19">
        <v>300</v>
      </c>
      <c r="G6" s="19">
        <v>30</v>
      </c>
      <c r="I6" s="55">
        <f t="shared" si="0"/>
        <v>0.42163200000000001</v>
      </c>
      <c r="J6" s="21">
        <f t="shared" si="1"/>
        <v>1.7704740274648967E-2</v>
      </c>
      <c r="K6" s="21">
        <f t="shared" si="2"/>
        <v>8.9911083305058356E-3</v>
      </c>
      <c r="L6" s="21">
        <f t="shared" si="3"/>
        <v>6.2571261052618678E-3</v>
      </c>
      <c r="M6" s="21">
        <f t="shared" si="4"/>
        <v>8.7125233823089933E-3</v>
      </c>
      <c r="N6" s="21">
        <f t="shared" si="5"/>
        <v>0.10981830305050842</v>
      </c>
      <c r="O6" s="5">
        <v>38393600</v>
      </c>
      <c r="P6" s="5">
        <v>1199800</v>
      </c>
      <c r="Q6" s="5">
        <v>401866.59375</v>
      </c>
      <c r="R6" s="5">
        <v>4216320</v>
      </c>
      <c r="S6" s="5">
        <v>1490112</v>
      </c>
      <c r="T6" s="5">
        <v>651088</v>
      </c>
      <c r="U6" s="5">
        <v>2074856</v>
      </c>
      <c r="V6" s="5">
        <v>69.134437500000004</v>
      </c>
      <c r="W6" s="5">
        <v>71.533903124999995</v>
      </c>
      <c r="X6" s="5">
        <v>37.167468749999998</v>
      </c>
      <c r="Y6" s="5">
        <v>47.205943750000003</v>
      </c>
      <c r="Z6" s="5">
        <v>47.181756249999999</v>
      </c>
      <c r="AA6" s="5"/>
      <c r="AB6" s="5"/>
      <c r="AC6" s="5"/>
      <c r="AD6" s="5"/>
      <c r="AF6" s="55">
        <f t="shared" si="6"/>
        <v>0.3998312</v>
      </c>
      <c r="AG6" s="21">
        <f t="shared" si="7"/>
        <v>1.6789303349132007E-2</v>
      </c>
      <c r="AH6" s="21">
        <f t="shared" si="8"/>
        <v>8.6172878429217926E-3</v>
      </c>
      <c r="AI6" s="21">
        <f t="shared" si="9"/>
        <v>5.8833056176778257E-3</v>
      </c>
      <c r="AJ6" s="21">
        <f t="shared" si="10"/>
        <v>8.1709069443760742E-3</v>
      </c>
      <c r="AK6" s="21">
        <f t="shared" si="11"/>
        <v>0.10414006501083514</v>
      </c>
      <c r="AL6" s="5">
        <v>38393600</v>
      </c>
      <c r="AM6" s="5">
        <v>1199800</v>
      </c>
      <c r="AN6" s="5">
        <v>415551</v>
      </c>
      <c r="AO6" s="5">
        <v>3998312</v>
      </c>
      <c r="AP6" s="5">
        <v>1401088</v>
      </c>
      <c r="AQ6" s="5">
        <v>651088</v>
      </c>
      <c r="AR6" s="5">
        <v>1945872</v>
      </c>
      <c r="AS6" s="5">
        <v>69.181065625000002</v>
      </c>
      <c r="AT6" s="5">
        <v>71.590281250000004</v>
      </c>
      <c r="AU6" s="5">
        <v>37.155587500000003</v>
      </c>
      <c r="AV6" s="5">
        <v>47.171368749999999</v>
      </c>
      <c r="AW6" s="5">
        <v>47.248699999999999</v>
      </c>
      <c r="AX6" s="5"/>
      <c r="AY6" s="5"/>
      <c r="AZ6" s="5"/>
      <c r="BA6" s="5"/>
      <c r="BC6" s="18">
        <f t="shared" si="12"/>
        <v>2141200</v>
      </c>
      <c r="BD6" s="18">
        <f t="shared" si="13"/>
        <v>2052176</v>
      </c>
      <c r="BE6" s="20">
        <f t="shared" si="14"/>
        <v>1.1405572803800612E-2</v>
      </c>
      <c r="BF6" s="20">
        <f t="shared" si="15"/>
        <v>5.4243786065940602E-3</v>
      </c>
      <c r="BG6" s="20"/>
      <c r="BI6" s="50"/>
      <c r="BJ6" s="50"/>
      <c r="BK6" s="50"/>
      <c r="BL6" s="50"/>
      <c r="BM6" s="50"/>
      <c r="BO6" s="50"/>
      <c r="BP6" s="50"/>
      <c r="BQ6" s="50"/>
      <c r="BR6" s="50"/>
      <c r="BS6" s="50"/>
    </row>
    <row r="7" spans="1:71" outlineLevel="1" x14ac:dyDescent="0.25">
      <c r="A7" s="25"/>
      <c r="B7" s="25"/>
      <c r="C7" s="26" t="s">
        <v>313</v>
      </c>
      <c r="D7" s="25">
        <v>238146391</v>
      </c>
      <c r="E7" s="26">
        <v>10</v>
      </c>
      <c r="F7" s="26">
        <v>300</v>
      </c>
      <c r="G7" s="26">
        <v>30</v>
      </c>
      <c r="I7" s="56">
        <f t="shared" si="0"/>
        <v>0.80391360000000001</v>
      </c>
      <c r="J7" s="28">
        <f t="shared" si="1"/>
        <v>3.3757118746342872E-2</v>
      </c>
      <c r="K7" s="28">
        <f t="shared" si="2"/>
        <v>1.2874937920012401E-2</v>
      </c>
      <c r="L7" s="28">
        <f t="shared" si="3"/>
        <v>1.0140955694768434E-2</v>
      </c>
      <c r="M7" s="28">
        <f t="shared" si="4"/>
        <v>2.0881072264496335E-2</v>
      </c>
      <c r="N7" s="28">
        <f t="shared" si="5"/>
        <v>0.20938739789964994</v>
      </c>
      <c r="O7" s="5">
        <v>38393600</v>
      </c>
      <c r="P7" s="5">
        <v>1199800</v>
      </c>
      <c r="Q7" s="5">
        <v>410735.125</v>
      </c>
      <c r="R7" s="5">
        <v>8039136</v>
      </c>
      <c r="S7" s="5">
        <v>2415032</v>
      </c>
      <c r="T7" s="5">
        <v>651088</v>
      </c>
      <c r="U7" s="5">
        <v>4972752</v>
      </c>
      <c r="V7" s="5">
        <v>70.408112500000001</v>
      </c>
      <c r="W7" s="5">
        <v>73.225959375000002</v>
      </c>
      <c r="X7" s="5">
        <v>39.681818749999998</v>
      </c>
      <c r="Y7" s="5">
        <v>48.367865625</v>
      </c>
      <c r="Z7" s="5">
        <v>48.514768750000002</v>
      </c>
      <c r="AA7" s="5"/>
      <c r="AB7" s="5"/>
      <c r="AC7" s="5"/>
      <c r="AD7" s="5"/>
      <c r="AF7" s="56">
        <f t="shared" si="6"/>
        <v>0.75585360000000001</v>
      </c>
      <c r="AG7" s="28">
        <f t="shared" si="7"/>
        <v>3.1739032316471259E-2</v>
      </c>
      <c r="AH7" s="28">
        <f t="shared" si="8"/>
        <v>1.2099045414465256E-2</v>
      </c>
      <c r="AI7" s="28">
        <f t="shared" si="9"/>
        <v>9.3650631892212895E-3</v>
      </c>
      <c r="AJ7" s="28">
        <f t="shared" si="10"/>
        <v>1.9638878340171865E-2</v>
      </c>
      <c r="AK7" s="28">
        <f t="shared" si="11"/>
        <v>0.19686968661443574</v>
      </c>
      <c r="AL7" s="5">
        <v>38393600</v>
      </c>
      <c r="AM7" s="5">
        <v>1199800</v>
      </c>
      <c r="AN7" s="5">
        <v>416331.65625</v>
      </c>
      <c r="AO7" s="5">
        <v>7558536</v>
      </c>
      <c r="AP7" s="5">
        <v>2230256</v>
      </c>
      <c r="AQ7" s="5">
        <v>651088</v>
      </c>
      <c r="AR7" s="5">
        <v>4676928</v>
      </c>
      <c r="AS7" s="5">
        <v>70.448974999999905</v>
      </c>
      <c r="AT7" s="5">
        <v>73.283649999999994</v>
      </c>
      <c r="AU7" s="5">
        <v>39.672321874999902</v>
      </c>
      <c r="AV7" s="5">
        <v>48.446853124999997</v>
      </c>
      <c r="AW7" s="5">
        <v>48.618118750000001</v>
      </c>
      <c r="AX7" s="5"/>
      <c r="AY7" s="5"/>
      <c r="AZ7" s="5"/>
      <c r="BA7" s="5"/>
      <c r="BC7" s="25">
        <f t="shared" si="12"/>
        <v>3066120</v>
      </c>
      <c r="BD7" s="25">
        <f t="shared" si="13"/>
        <v>2881344</v>
      </c>
      <c r="BE7" s="27">
        <f t="shared" si="14"/>
        <v>4.6645534672445366E-3</v>
      </c>
      <c r="BF7" s="27">
        <f t="shared" si="15"/>
        <v>-1.9521595411747805E-4</v>
      </c>
      <c r="BG7" s="27"/>
      <c r="BI7" s="52"/>
      <c r="BJ7" s="52"/>
      <c r="BK7" s="52"/>
      <c r="BL7" s="52"/>
      <c r="BM7" s="52"/>
      <c r="BO7" s="52"/>
      <c r="BP7" s="52"/>
      <c r="BQ7" s="52"/>
      <c r="BR7" s="52"/>
      <c r="BS7" s="52"/>
    </row>
    <row r="8" spans="1:71" ht="15.75" outlineLevel="1" thickBot="1" x14ac:dyDescent="0.3">
      <c r="A8" s="18"/>
      <c r="B8" s="39"/>
      <c r="C8" s="40" t="s">
        <v>428</v>
      </c>
      <c r="D8" s="39">
        <v>238146391</v>
      </c>
      <c r="E8" s="40">
        <v>10</v>
      </c>
      <c r="F8" s="40">
        <v>300</v>
      </c>
      <c r="G8" s="40">
        <v>30</v>
      </c>
      <c r="I8" s="58">
        <f t="shared" si="0"/>
        <v>1.6152392</v>
      </c>
      <c r="J8" s="42">
        <f t="shared" si="1"/>
        <v>6.7825474625815341E-2</v>
      </c>
      <c r="K8" s="42">
        <f t="shared" si="2"/>
        <v>2.0169341974197712E-2</v>
      </c>
      <c r="L8" s="42">
        <f t="shared" si="3"/>
        <v>1.7435359748953744E-2</v>
      </c>
      <c r="M8" s="42">
        <f t="shared" si="4"/>
        <v>4.7655024089783497E-2</v>
      </c>
      <c r="N8" s="42">
        <f t="shared" si="5"/>
        <v>0.42070532588764792</v>
      </c>
      <c r="O8" s="5">
        <v>38393600</v>
      </c>
      <c r="P8" s="5">
        <v>1199800</v>
      </c>
      <c r="Q8" s="5">
        <v>407327.46875</v>
      </c>
      <c r="R8" s="5">
        <v>16152392</v>
      </c>
      <c r="S8" s="5">
        <v>4152168</v>
      </c>
      <c r="T8" s="5">
        <v>651088</v>
      </c>
      <c r="U8" s="5">
        <v>11348872</v>
      </c>
      <c r="V8" s="5">
        <v>71.506918749999997</v>
      </c>
      <c r="W8" s="5">
        <v>74.669775000000001</v>
      </c>
      <c r="X8" s="5">
        <v>42.167787500000003</v>
      </c>
      <c r="Y8" s="5">
        <v>49.991206249999998</v>
      </c>
      <c r="Z8" s="5">
        <v>50.162418750000001</v>
      </c>
      <c r="AA8" s="5"/>
      <c r="AB8" s="5"/>
      <c r="AC8" s="5"/>
      <c r="AD8" s="5"/>
      <c r="AF8" s="58">
        <f t="shared" si="6"/>
        <v>1.5271920000000001</v>
      </c>
      <c r="AG8" s="42">
        <f t="shared" si="7"/>
        <v>6.4128286537837975E-2</v>
      </c>
      <c r="AH8" s="42">
        <f t="shared" si="8"/>
        <v>1.8731470089756681E-2</v>
      </c>
      <c r="AI8" s="42">
        <f t="shared" si="9"/>
        <v>1.5997487864512716E-2</v>
      </c>
      <c r="AJ8" s="42">
        <f t="shared" si="10"/>
        <v>4.5395707886247159E-2</v>
      </c>
      <c r="AK8" s="42">
        <f t="shared" si="11"/>
        <v>0.3977725454242374</v>
      </c>
      <c r="AL8" s="5">
        <v>38393600</v>
      </c>
      <c r="AM8" s="5">
        <v>1199800</v>
      </c>
      <c r="AN8" s="5">
        <v>409079.75</v>
      </c>
      <c r="AO8" s="5">
        <v>15271920</v>
      </c>
      <c r="AP8" s="5">
        <v>3809744</v>
      </c>
      <c r="AQ8" s="5">
        <v>651088</v>
      </c>
      <c r="AR8" s="5">
        <v>10810824</v>
      </c>
      <c r="AS8" s="5">
        <v>71.539609374999998</v>
      </c>
      <c r="AT8" s="5">
        <v>74.723331249999902</v>
      </c>
      <c r="AU8" s="5">
        <v>42.169625000000003</v>
      </c>
      <c r="AV8" s="5">
        <v>50.007634374999903</v>
      </c>
      <c r="AW8" s="5">
        <v>50.268637499999897</v>
      </c>
      <c r="AX8" s="5"/>
      <c r="AY8" s="5"/>
      <c r="AZ8" s="5"/>
      <c r="BA8" s="5"/>
      <c r="BC8" s="39">
        <f t="shared" si="12"/>
        <v>4803256</v>
      </c>
      <c r="BD8" s="39">
        <f t="shared" si="13"/>
        <v>4460832</v>
      </c>
      <c r="BE8" s="41">
        <f t="shared" si="14"/>
        <v>1.4604777879646536E-3</v>
      </c>
      <c r="BF8" s="41">
        <f t="shared" si="15"/>
        <v>-5.2774631647295456E-3</v>
      </c>
      <c r="BG8" s="41"/>
      <c r="BI8" s="60"/>
      <c r="BJ8" s="60"/>
      <c r="BK8" s="60"/>
      <c r="BL8" s="60"/>
      <c r="BM8" s="60"/>
      <c r="BO8" s="60"/>
      <c r="BP8" s="60"/>
      <c r="BQ8" s="60"/>
      <c r="BR8" s="60"/>
      <c r="BS8" s="60"/>
    </row>
    <row r="9" spans="1:71" x14ac:dyDescent="0.25">
      <c r="A9" s="25"/>
      <c r="B9" s="25" t="s">
        <v>557</v>
      </c>
      <c r="C9" s="26" t="s">
        <v>310</v>
      </c>
      <c r="D9" s="25">
        <v>218121242</v>
      </c>
      <c r="E9" s="26">
        <v>10</v>
      </c>
      <c r="F9" s="26">
        <v>300</v>
      </c>
      <c r="G9" s="26">
        <v>30</v>
      </c>
      <c r="I9" s="56">
        <f t="shared" si="0"/>
        <v>0.29871199999999998</v>
      </c>
      <c r="J9" s="28">
        <f t="shared" si="1"/>
        <v>1.3694768893714624E-2</v>
      </c>
      <c r="K9" s="28">
        <f t="shared" si="2"/>
        <v>7.7250247823180832E-3</v>
      </c>
      <c r="L9" s="28">
        <f t="shared" si="3"/>
        <v>4.1312803454511783E-3</v>
      </c>
      <c r="M9" s="28">
        <f t="shared" si="4"/>
        <v>5.9685337753578351E-3</v>
      </c>
      <c r="N9" s="28">
        <f t="shared" si="5"/>
        <v>8.697388011724784E-2</v>
      </c>
      <c r="O9" s="5">
        <v>34345024</v>
      </c>
      <c r="P9" s="5">
        <v>1073282</v>
      </c>
      <c r="Q9" s="5">
        <v>422493.0625</v>
      </c>
      <c r="R9" s="5">
        <v>2987120</v>
      </c>
      <c r="S9" s="5">
        <v>901120</v>
      </c>
      <c r="T9" s="5">
        <v>783872</v>
      </c>
      <c r="U9" s="5">
        <v>1301864</v>
      </c>
      <c r="V9" s="5">
        <v>65.871990624999995</v>
      </c>
      <c r="W9" s="5">
        <v>67.746165625000003</v>
      </c>
      <c r="X9" s="5">
        <v>32.620512499999997</v>
      </c>
      <c r="Y9" s="5">
        <v>39.547240625000001</v>
      </c>
      <c r="Z9" s="5">
        <v>32.229071875000002</v>
      </c>
      <c r="AA9" s="5"/>
      <c r="AB9" s="5"/>
      <c r="AC9" s="5"/>
      <c r="AD9" s="5"/>
      <c r="AF9" s="56" t="str">
        <f t="shared" si="6"/>
        <v>·</v>
      </c>
      <c r="AG9" s="28" t="str">
        <f t="shared" si="7"/>
        <v>·</v>
      </c>
      <c r="AH9" s="28" t="str">
        <f t="shared" si="8"/>
        <v>·</v>
      </c>
      <c r="AI9" s="28" t="str">
        <f t="shared" si="9"/>
        <v>·</v>
      </c>
      <c r="AJ9" s="28" t="str">
        <f t="shared" si="10"/>
        <v>·</v>
      </c>
      <c r="AK9" s="28" t="str">
        <f t="shared" si="11"/>
        <v>·</v>
      </c>
      <c r="AL9" s="5"/>
      <c r="AM9" s="5"/>
      <c r="AN9" s="5"/>
      <c r="AO9" s="5"/>
      <c r="AP9" s="5"/>
      <c r="AQ9" s="5"/>
      <c r="AR9" s="5"/>
      <c r="AS9" s="5"/>
      <c r="AT9" s="5"/>
      <c r="AU9" s="5"/>
      <c r="AV9" s="5"/>
      <c r="AW9" s="5"/>
      <c r="AX9" s="5"/>
      <c r="AY9" s="5"/>
      <c r="AZ9" s="5"/>
      <c r="BA9" s="5"/>
      <c r="BC9" s="25">
        <f t="shared" si="12"/>
        <v>1684992</v>
      </c>
      <c r="BD9" s="25" t="str">
        <f t="shared" si="13"/>
        <v/>
      </c>
      <c r="BE9" s="27" t="e">
        <f t="shared" si="14"/>
        <v>#DIV/0!</v>
      </c>
      <c r="BF9" s="27" t="e">
        <f t="shared" si="15"/>
        <v>#VALUE!</v>
      </c>
      <c r="BG9" s="27" t="e">
        <f t="array" ref="BG9">AVERAGE(BD9:BD13/AO9:AO13) - AVERAGE(BC9:BC13/R9:R13)</f>
        <v>#VALUE!</v>
      </c>
      <c r="BI9" s="52">
        <f>bdRateExtend( R9:R13,V9:V13, AO9:AO13,AS9:AS13)</f>
        <v>1</v>
      </c>
      <c r="BJ9" s="52">
        <f>bdRateExtend( R9:R13,W9:W13, AO9:AO13,AT9:AT13)</f>
        <v>1</v>
      </c>
      <c r="BK9" s="52">
        <f>bdRateExtend( R9:R13,X9:X13, AO9:AO13,AU9:AU13)</f>
        <v>1</v>
      </c>
      <c r="BL9" s="52">
        <f>bdRateExtend( R9:R13,Y9:Y13, AO9:AO13,AV9:AV13)</f>
        <v>1</v>
      </c>
      <c r="BM9" s="52">
        <f>bdRateExtend( R9:R13,Z9:Z13, AO9:AO13,AW9:AW13)</f>
        <v>1</v>
      </c>
      <c r="BO9" s="52">
        <f>bdRateExtend( BC9:BC13,V9:V13, BD9:BD13,AS9:AS13)</f>
        <v>1</v>
      </c>
      <c r="BP9" s="52">
        <f>bdRateExtend( BC9:BC13,W9:W13, BD9:BD13,AT9:AT13)</f>
        <v>1</v>
      </c>
      <c r="BQ9" s="52">
        <f>bdRateExtend( U9:U13,X9:X13, AR9:AR13,AU9:AU13)</f>
        <v>1</v>
      </c>
      <c r="BR9" s="52">
        <f>bdRateExtend( U9:U13,Y9:Y13, AR9:AR13,AV9:AV13)</f>
        <v>1</v>
      </c>
      <c r="BS9" s="52">
        <f>bdRateExtend( U9:U13,Z9:Z13, AR9:AR13,AW9:AW13)</f>
        <v>1</v>
      </c>
    </row>
    <row r="10" spans="1:71" outlineLevel="1" x14ac:dyDescent="0.25">
      <c r="A10" s="18"/>
      <c r="B10" s="18"/>
      <c r="C10" s="19" t="s">
        <v>311</v>
      </c>
      <c r="D10" s="18">
        <v>218121242</v>
      </c>
      <c r="E10" s="19">
        <v>10</v>
      </c>
      <c r="F10" s="19">
        <v>300</v>
      </c>
      <c r="G10" s="19">
        <v>30</v>
      </c>
      <c r="I10" s="55">
        <f t="shared" si="0"/>
        <v>0.4203616</v>
      </c>
      <c r="J10" s="21">
        <f t="shared" si="1"/>
        <v>1.92719240063744E-2</v>
      </c>
      <c r="K10" s="21">
        <f t="shared" si="2"/>
        <v>9.7011367650290566E-3</v>
      </c>
      <c r="L10" s="21">
        <f t="shared" si="3"/>
        <v>6.1073923281621508E-3</v>
      </c>
      <c r="M10" s="21">
        <f t="shared" si="4"/>
        <v>9.5695769053066367E-3</v>
      </c>
      <c r="N10" s="21">
        <f t="shared" si="5"/>
        <v>0.12239374181249663</v>
      </c>
      <c r="O10" s="5">
        <v>34345024</v>
      </c>
      <c r="P10" s="5">
        <v>1073282</v>
      </c>
      <c r="Q10" s="5">
        <v>385741.09375</v>
      </c>
      <c r="R10" s="5">
        <v>4203616</v>
      </c>
      <c r="S10" s="5">
        <v>1332152</v>
      </c>
      <c r="T10" s="5">
        <v>783872</v>
      </c>
      <c r="U10" s="5">
        <v>2087328</v>
      </c>
      <c r="V10" s="5">
        <v>67.508315624999994</v>
      </c>
      <c r="W10" s="5">
        <v>69.624300000000005</v>
      </c>
      <c r="X10" s="5">
        <v>34.506628124999999</v>
      </c>
      <c r="Y10" s="5">
        <v>40.397100000000002</v>
      </c>
      <c r="Z10" s="5">
        <v>33.94225625</v>
      </c>
      <c r="AA10" s="5"/>
      <c r="AB10" s="5"/>
      <c r="AC10" s="5"/>
      <c r="AD10" s="5"/>
      <c r="AF10" s="55" t="str">
        <f t="shared" si="6"/>
        <v>·</v>
      </c>
      <c r="AG10" s="21" t="str">
        <f t="shared" si="7"/>
        <v>·</v>
      </c>
      <c r="AH10" s="21" t="str">
        <f t="shared" si="8"/>
        <v>·</v>
      </c>
      <c r="AI10" s="21" t="str">
        <f t="shared" si="9"/>
        <v>·</v>
      </c>
      <c r="AJ10" s="21" t="str">
        <f t="shared" si="10"/>
        <v>·</v>
      </c>
      <c r="AK10" s="21" t="str">
        <f t="shared" si="11"/>
        <v>·</v>
      </c>
      <c r="AL10" s="5"/>
      <c r="AM10" s="5"/>
      <c r="AN10" s="5"/>
      <c r="AO10" s="5"/>
      <c r="AP10" s="5"/>
      <c r="AQ10" s="5"/>
      <c r="AR10" s="5"/>
      <c r="AS10" s="5"/>
      <c r="AT10" s="5"/>
      <c r="AU10" s="5"/>
      <c r="AV10" s="5"/>
      <c r="AW10" s="5"/>
      <c r="AX10" s="5"/>
      <c r="AY10" s="5"/>
      <c r="AZ10" s="5"/>
      <c r="BA10" s="5"/>
      <c r="BC10" s="18">
        <f t="shared" si="12"/>
        <v>2116024</v>
      </c>
      <c r="BD10" s="18" t="str">
        <f t="shared" si="13"/>
        <v/>
      </c>
      <c r="BE10" s="20" t="e">
        <f t="shared" si="14"/>
        <v>#DIV/0!</v>
      </c>
      <c r="BF10" s="20" t="e">
        <f t="shared" si="15"/>
        <v>#VALUE!</v>
      </c>
      <c r="BG10" s="20"/>
      <c r="BI10" s="50"/>
      <c r="BJ10" s="50"/>
      <c r="BK10" s="50"/>
      <c r="BL10" s="50"/>
      <c r="BM10" s="50"/>
      <c r="BO10" s="50"/>
      <c r="BP10" s="50"/>
      <c r="BQ10" s="50"/>
      <c r="BR10" s="50"/>
      <c r="BS10" s="50"/>
    </row>
    <row r="11" spans="1:71" outlineLevel="1" x14ac:dyDescent="0.25">
      <c r="A11" s="25"/>
      <c r="B11" s="25"/>
      <c r="C11" s="26" t="s">
        <v>312</v>
      </c>
      <c r="D11" s="25">
        <v>218121242</v>
      </c>
      <c r="E11" s="26">
        <v>10</v>
      </c>
      <c r="F11" s="26">
        <v>300</v>
      </c>
      <c r="G11" s="26">
        <v>30</v>
      </c>
      <c r="I11" s="56">
        <f t="shared" si="0"/>
        <v>0.65556559999999997</v>
      </c>
      <c r="J11" s="28">
        <f t="shared" si="1"/>
        <v>3.0055101190006976E-2</v>
      </c>
      <c r="K11" s="28">
        <f t="shared" si="2"/>
        <v>1.2508346160985092E-2</v>
      </c>
      <c r="L11" s="28">
        <f t="shared" si="3"/>
        <v>8.914601724118185E-3</v>
      </c>
      <c r="M11" s="28">
        <f t="shared" si="4"/>
        <v>1.7545544692983181E-2</v>
      </c>
      <c r="N11" s="28">
        <f t="shared" si="5"/>
        <v>0.19087644253793504</v>
      </c>
      <c r="O11" s="5">
        <v>34345024</v>
      </c>
      <c r="P11" s="5">
        <v>1073282</v>
      </c>
      <c r="Q11" s="5">
        <v>357398.1875</v>
      </c>
      <c r="R11" s="5">
        <v>6555656</v>
      </c>
      <c r="S11" s="5">
        <v>1944464</v>
      </c>
      <c r="T11" s="5">
        <v>783872</v>
      </c>
      <c r="U11" s="5">
        <v>3827056</v>
      </c>
      <c r="V11" s="5">
        <v>68.781321875000003</v>
      </c>
      <c r="W11" s="5">
        <v>71.254831249999995</v>
      </c>
      <c r="X11" s="5">
        <v>36.624259375000001</v>
      </c>
      <c r="Y11" s="5">
        <v>41.349571875000002</v>
      </c>
      <c r="Z11" s="5">
        <v>35.725368750000001</v>
      </c>
      <c r="AA11" s="5"/>
      <c r="AB11" s="5"/>
      <c r="AC11" s="5"/>
      <c r="AD11" s="5"/>
      <c r="AF11" s="56" t="str">
        <f t="shared" si="6"/>
        <v>·</v>
      </c>
      <c r="AG11" s="28" t="str">
        <f t="shared" si="7"/>
        <v>·</v>
      </c>
      <c r="AH11" s="28" t="str">
        <f t="shared" si="8"/>
        <v>·</v>
      </c>
      <c r="AI11" s="28" t="str">
        <f t="shared" si="9"/>
        <v>·</v>
      </c>
      <c r="AJ11" s="28" t="str">
        <f t="shared" si="10"/>
        <v>·</v>
      </c>
      <c r="AK11" s="28" t="str">
        <f t="shared" si="11"/>
        <v>·</v>
      </c>
      <c r="AL11" s="5"/>
      <c r="AM11" s="5"/>
      <c r="AN11" s="5"/>
      <c r="AO11" s="5"/>
      <c r="AP11" s="5"/>
      <c r="AQ11" s="5"/>
      <c r="AR11" s="5"/>
      <c r="AS11" s="5"/>
      <c r="AT11" s="5"/>
      <c r="AU11" s="5"/>
      <c r="AV11" s="5"/>
      <c r="AW11" s="5"/>
      <c r="AX11" s="5"/>
      <c r="AY11" s="5"/>
      <c r="AZ11" s="5"/>
      <c r="BA11" s="5"/>
      <c r="BC11" s="25">
        <f t="shared" si="12"/>
        <v>2728336</v>
      </c>
      <c r="BD11" s="25" t="str">
        <f t="shared" si="13"/>
        <v/>
      </c>
      <c r="BE11" s="27" t="e">
        <f t="shared" si="14"/>
        <v>#DIV/0!</v>
      </c>
      <c r="BF11" s="27" t="e">
        <f t="shared" si="15"/>
        <v>#VALUE!</v>
      </c>
      <c r="BG11" s="27"/>
      <c r="BI11" s="52"/>
      <c r="BJ11" s="52"/>
      <c r="BK11" s="52"/>
      <c r="BL11" s="52"/>
      <c r="BM11" s="52"/>
      <c r="BO11" s="52"/>
      <c r="BP11" s="52"/>
      <c r="BQ11" s="52"/>
      <c r="BR11" s="52"/>
      <c r="BS11" s="52"/>
    </row>
    <row r="12" spans="1:71" outlineLevel="1" x14ac:dyDescent="0.25">
      <c r="A12" s="18"/>
      <c r="B12" s="18"/>
      <c r="C12" s="19" t="s">
        <v>313</v>
      </c>
      <c r="D12" s="18">
        <v>218121242</v>
      </c>
      <c r="E12" s="19">
        <v>10</v>
      </c>
      <c r="F12" s="19">
        <v>300</v>
      </c>
      <c r="G12" s="19">
        <v>30</v>
      </c>
      <c r="I12" s="55">
        <f t="shared" si="0"/>
        <v>1.2113080000000001</v>
      </c>
      <c r="J12" s="21">
        <f t="shared" si="1"/>
        <v>5.5533701756567112E-2</v>
      </c>
      <c r="K12" s="21">
        <f t="shared" si="2"/>
        <v>1.781130514560338E-2</v>
      </c>
      <c r="L12" s="21">
        <f t="shared" si="3"/>
        <v>1.4217560708736475E-2</v>
      </c>
      <c r="M12" s="21">
        <f t="shared" si="4"/>
        <v>3.7721186274925024E-2</v>
      </c>
      <c r="N12" s="21">
        <f t="shared" si="5"/>
        <v>0.35268806334215985</v>
      </c>
      <c r="O12" s="5">
        <v>34345024</v>
      </c>
      <c r="P12" s="5">
        <v>1073282</v>
      </c>
      <c r="Q12" s="5">
        <v>364633.15625</v>
      </c>
      <c r="R12" s="5">
        <v>12113080</v>
      </c>
      <c r="S12" s="5">
        <v>3101152</v>
      </c>
      <c r="T12" s="5">
        <v>783872</v>
      </c>
      <c r="U12" s="5">
        <v>8227792</v>
      </c>
      <c r="V12" s="5">
        <v>69.946584375</v>
      </c>
      <c r="W12" s="5">
        <v>72.806884374999996</v>
      </c>
      <c r="X12" s="5">
        <v>38.888734374999999</v>
      </c>
      <c r="Y12" s="5">
        <v>42.424409375000003</v>
      </c>
      <c r="Z12" s="5">
        <v>37.746043749999998</v>
      </c>
      <c r="AA12" s="5"/>
      <c r="AB12" s="5"/>
      <c r="AC12" s="5"/>
      <c r="AD12" s="5"/>
      <c r="AF12" s="55" t="str">
        <f t="shared" si="6"/>
        <v>·</v>
      </c>
      <c r="AG12" s="21" t="str">
        <f t="shared" si="7"/>
        <v>·</v>
      </c>
      <c r="AH12" s="21" t="str">
        <f t="shared" si="8"/>
        <v>·</v>
      </c>
      <c r="AI12" s="21" t="str">
        <f t="shared" si="9"/>
        <v>·</v>
      </c>
      <c r="AJ12" s="21" t="str">
        <f t="shared" si="10"/>
        <v>·</v>
      </c>
      <c r="AK12" s="21" t="str">
        <f t="shared" si="11"/>
        <v>·</v>
      </c>
      <c r="AL12" s="5"/>
      <c r="AM12" s="5"/>
      <c r="AN12" s="5"/>
      <c r="AO12" s="5"/>
      <c r="AP12" s="5"/>
      <c r="AQ12" s="5"/>
      <c r="AR12" s="5"/>
      <c r="AS12" s="5"/>
      <c r="AT12" s="5"/>
      <c r="AU12" s="5"/>
      <c r="AV12" s="5"/>
      <c r="AW12" s="5"/>
      <c r="AX12" s="5"/>
      <c r="AY12" s="5"/>
      <c r="AZ12" s="5"/>
      <c r="BA12" s="5"/>
      <c r="BC12" s="18">
        <f t="shared" si="12"/>
        <v>3885024</v>
      </c>
      <c r="BD12" s="18" t="str">
        <f t="shared" si="13"/>
        <v/>
      </c>
      <c r="BE12" s="20" t="e">
        <f t="shared" si="14"/>
        <v>#DIV/0!</v>
      </c>
      <c r="BF12" s="20" t="e">
        <f t="shared" si="15"/>
        <v>#VALUE!</v>
      </c>
      <c r="BG12" s="20"/>
      <c r="BI12" s="50"/>
      <c r="BJ12" s="50"/>
      <c r="BK12" s="50"/>
      <c r="BL12" s="50"/>
      <c r="BM12" s="50"/>
      <c r="BO12" s="50"/>
      <c r="BP12" s="50"/>
      <c r="BQ12" s="50"/>
      <c r="BR12" s="50"/>
      <c r="BS12" s="50"/>
    </row>
    <row r="13" spans="1:71" ht="15.75" outlineLevel="1" thickBot="1" x14ac:dyDescent="0.3">
      <c r="A13" s="25"/>
      <c r="B13" s="32"/>
      <c r="C13" s="33" t="s">
        <v>428</v>
      </c>
      <c r="D13" s="32">
        <v>218121242</v>
      </c>
      <c r="E13" s="33">
        <v>10</v>
      </c>
      <c r="F13" s="33">
        <v>300</v>
      </c>
      <c r="G13" s="33">
        <v>30</v>
      </c>
      <c r="I13" s="57">
        <f t="shared" si="0"/>
        <v>2.3554664000000001</v>
      </c>
      <c r="J13" s="35">
        <f t="shared" si="1"/>
        <v>0.10798885878341001</v>
      </c>
      <c r="K13" s="35">
        <f t="shared" si="2"/>
        <v>2.7068541999224451E-2</v>
      </c>
      <c r="L13" s="35">
        <f t="shared" si="3"/>
        <v>2.3474797562357545E-2</v>
      </c>
      <c r="M13" s="35">
        <f t="shared" si="4"/>
        <v>8.0919106448146857E-2</v>
      </c>
      <c r="N13" s="35">
        <f t="shared" si="5"/>
        <v>0.6858246481353456</v>
      </c>
      <c r="O13" s="5">
        <v>34345024</v>
      </c>
      <c r="P13" s="5">
        <v>1073282</v>
      </c>
      <c r="Q13" s="5">
        <v>362078.8125</v>
      </c>
      <c r="R13" s="5">
        <v>23554664</v>
      </c>
      <c r="S13" s="5">
        <v>5120352</v>
      </c>
      <c r="T13" s="5">
        <v>783872</v>
      </c>
      <c r="U13" s="5">
        <v>17650176</v>
      </c>
      <c r="V13" s="5">
        <v>70.939449999999994</v>
      </c>
      <c r="W13" s="5">
        <v>74.1043375</v>
      </c>
      <c r="X13" s="5">
        <v>41.301409374999999</v>
      </c>
      <c r="Y13" s="5">
        <v>43.7074</v>
      </c>
      <c r="Z13" s="5">
        <v>39.667693749999998</v>
      </c>
      <c r="AA13" s="5"/>
      <c r="AB13" s="5"/>
      <c r="AC13" s="5"/>
      <c r="AD13" s="5"/>
      <c r="AF13" s="57" t="str">
        <f t="shared" si="6"/>
        <v>·</v>
      </c>
      <c r="AG13" s="35" t="str">
        <f t="shared" si="7"/>
        <v>·</v>
      </c>
      <c r="AH13" s="35" t="str">
        <f t="shared" si="8"/>
        <v>·</v>
      </c>
      <c r="AI13" s="35" t="str">
        <f t="shared" si="9"/>
        <v>·</v>
      </c>
      <c r="AJ13" s="35" t="str">
        <f t="shared" si="10"/>
        <v>·</v>
      </c>
      <c r="AK13" s="35" t="str">
        <f t="shared" si="11"/>
        <v>·</v>
      </c>
      <c r="AL13" s="5"/>
      <c r="AM13" s="5"/>
      <c r="AN13" s="5"/>
      <c r="AO13" s="5"/>
      <c r="AP13" s="5"/>
      <c r="AQ13" s="5"/>
      <c r="AR13" s="5"/>
      <c r="AS13" s="5"/>
      <c r="AT13" s="5"/>
      <c r="AU13" s="5"/>
      <c r="AV13" s="5"/>
      <c r="AW13" s="5"/>
      <c r="AX13" s="5"/>
      <c r="AY13" s="5"/>
      <c r="AZ13" s="5"/>
      <c r="BA13" s="5"/>
      <c r="BC13" s="32">
        <f t="shared" si="12"/>
        <v>5904224</v>
      </c>
      <c r="BD13" s="32" t="str">
        <f t="shared" si="13"/>
        <v/>
      </c>
      <c r="BE13" s="34" t="e">
        <f t="shared" si="14"/>
        <v>#DIV/0!</v>
      </c>
      <c r="BF13" s="34" t="e">
        <f t="shared" si="15"/>
        <v>#VALUE!</v>
      </c>
      <c r="BG13" s="34"/>
      <c r="BI13" s="54"/>
      <c r="BJ13" s="54"/>
      <c r="BK13" s="54"/>
      <c r="BL13" s="54"/>
      <c r="BM13" s="54"/>
      <c r="BO13" s="54"/>
      <c r="BP13" s="54"/>
      <c r="BQ13" s="54"/>
      <c r="BR13" s="54"/>
      <c r="BS13" s="54"/>
    </row>
    <row r="14" spans="1:71" x14ac:dyDescent="0.25">
      <c r="A14" s="18"/>
      <c r="B14" s="18" t="s">
        <v>560</v>
      </c>
      <c r="C14" s="19" t="s">
        <v>310</v>
      </c>
      <c r="D14" s="18">
        <v>322589704</v>
      </c>
      <c r="E14" s="19">
        <v>10</v>
      </c>
      <c r="F14" s="19">
        <v>300</v>
      </c>
      <c r="G14" s="19">
        <v>30</v>
      </c>
      <c r="I14" s="55">
        <f t="shared" si="0"/>
        <v>0.34814079999999997</v>
      </c>
      <c r="J14" s="21">
        <f t="shared" si="1"/>
        <v>1.0792061733005589E-2</v>
      </c>
      <c r="K14" s="21">
        <f t="shared" si="2"/>
        <v>6.593266845243145E-3</v>
      </c>
      <c r="L14" s="21">
        <f t="shared" si="3"/>
        <v>3.2352923452262446E-3</v>
      </c>
      <c r="M14" s="21">
        <f t="shared" si="4"/>
        <v>4.1979765107444346E-3</v>
      </c>
      <c r="N14" s="21">
        <f t="shared" si="5"/>
        <v>6.8059587954039727E-2</v>
      </c>
      <c r="O14" s="5">
        <v>51152352</v>
      </c>
      <c r="P14" s="5">
        <v>1598511</v>
      </c>
      <c r="Q14" s="5">
        <v>596532.96875</v>
      </c>
      <c r="R14" s="5">
        <v>3481408</v>
      </c>
      <c r="S14" s="5">
        <v>1043672</v>
      </c>
      <c r="T14" s="5">
        <v>1083248</v>
      </c>
      <c r="U14" s="5">
        <v>1354224</v>
      </c>
      <c r="V14" s="5">
        <v>66.059456249999997</v>
      </c>
      <c r="W14" s="5">
        <v>67.702784374999993</v>
      </c>
      <c r="X14" s="5">
        <v>29.8489875</v>
      </c>
      <c r="Y14" s="5">
        <v>43.540609375000003</v>
      </c>
      <c r="Z14" s="5">
        <v>43.801746874999999</v>
      </c>
      <c r="AA14" s="5"/>
      <c r="AB14" s="5"/>
      <c r="AC14" s="5"/>
      <c r="AD14" s="5"/>
      <c r="AF14" s="55" t="str">
        <f t="shared" si="6"/>
        <v>·</v>
      </c>
      <c r="AG14" s="21" t="str">
        <f t="shared" si="7"/>
        <v>·</v>
      </c>
      <c r="AH14" s="21" t="str">
        <f t="shared" si="8"/>
        <v>·</v>
      </c>
      <c r="AI14" s="21" t="str">
        <f t="shared" si="9"/>
        <v>·</v>
      </c>
      <c r="AJ14" s="21" t="str">
        <f t="shared" si="10"/>
        <v>·</v>
      </c>
      <c r="AK14" s="21" t="str">
        <f t="shared" si="11"/>
        <v>·</v>
      </c>
      <c r="AL14" s="5"/>
      <c r="AM14" s="5"/>
      <c r="AN14" s="5"/>
      <c r="AO14" s="5"/>
      <c r="AP14" s="5"/>
      <c r="AQ14" s="5"/>
      <c r="AR14" s="5"/>
      <c r="AS14" s="5"/>
      <c r="AT14" s="5"/>
      <c r="AU14" s="5"/>
      <c r="AV14" s="5"/>
      <c r="AW14" s="5"/>
      <c r="AX14" s="5"/>
      <c r="AY14" s="5"/>
      <c r="AZ14" s="5"/>
      <c r="BA14" s="5"/>
      <c r="BC14" s="18">
        <f t="shared" si="12"/>
        <v>2126920</v>
      </c>
      <c r="BD14" s="18" t="str">
        <f t="shared" si="13"/>
        <v/>
      </c>
      <c r="BE14" s="20" t="e">
        <f t="shared" si="14"/>
        <v>#DIV/0!</v>
      </c>
      <c r="BF14" s="20" t="e">
        <f t="shared" si="15"/>
        <v>#VALUE!</v>
      </c>
      <c r="BG14" s="20" t="e">
        <f t="array" ref="BG14">AVERAGE(BD14:BD18/AO14:AO18) - AVERAGE(BC14:BC18/R14:R18)</f>
        <v>#VALUE!</v>
      </c>
      <c r="BI14" s="50">
        <f>bdRateExtend( R14:R18,V14:V18, AO14:AO18,AS14:AS18)</f>
        <v>1</v>
      </c>
      <c r="BJ14" s="50">
        <f>bdRateExtend( R14:R18,W14:W18, AO14:AO18,AT14:AT18)</f>
        <v>1</v>
      </c>
      <c r="BK14" s="50">
        <f>bdRateExtend( R14:R18,X14:X18, AO14:AO18,AU14:AU18)</f>
        <v>1</v>
      </c>
      <c r="BL14" s="50">
        <f>bdRateExtend( R14:R18,Y14:Y18, AO14:AO18,AV14:AV18)</f>
        <v>1</v>
      </c>
      <c r="BM14" s="50">
        <f>bdRateExtend( R14:R18,Z14:Z18, AO14:AO18,AW14:AW18)</f>
        <v>1</v>
      </c>
      <c r="BO14" s="50">
        <f>bdRateExtend( BC14:BC18,V14:V18, BD14:BD18,AS14:AS18)</f>
        <v>1</v>
      </c>
      <c r="BP14" s="50">
        <f>bdRateExtend( BC14:BC18,W14:W18, BD14:BD18,AT14:AT18)</f>
        <v>1</v>
      </c>
      <c r="BQ14" s="50">
        <f>bdRateExtend( U14:U18,X14:X18, AR14:AR18,AU14:AU18)</f>
        <v>1</v>
      </c>
      <c r="BR14" s="50">
        <f>bdRateExtend( U14:U18,Y14:Y18, AR14:AR18,AV14:AV18)</f>
        <v>1</v>
      </c>
      <c r="BS14" s="50">
        <f>bdRateExtend( U14:U18,Z14:Z18, AR14:AR18,AW14:AW18)</f>
        <v>1</v>
      </c>
    </row>
    <row r="15" spans="1:71" outlineLevel="1" x14ac:dyDescent="0.25">
      <c r="A15" s="25"/>
      <c r="B15" s="25"/>
      <c r="C15" s="26" t="s">
        <v>311</v>
      </c>
      <c r="D15" s="25">
        <v>322589704</v>
      </c>
      <c r="E15" s="26">
        <v>10</v>
      </c>
      <c r="F15" s="26">
        <v>300</v>
      </c>
      <c r="G15" s="26">
        <v>30</v>
      </c>
      <c r="I15" s="56">
        <f t="shared" si="0"/>
        <v>0.51590320000000001</v>
      </c>
      <c r="J15" s="28">
        <f t="shared" si="1"/>
        <v>1.5992550090811328E-2</v>
      </c>
      <c r="K15" s="28">
        <f t="shared" si="2"/>
        <v>8.0082655086846782E-3</v>
      </c>
      <c r="L15" s="28">
        <f t="shared" si="3"/>
        <v>4.6502910086677783E-3</v>
      </c>
      <c r="M15" s="28">
        <f t="shared" si="4"/>
        <v>7.9834662051086417E-3</v>
      </c>
      <c r="N15" s="28">
        <f t="shared" si="5"/>
        <v>0.1008562030539671</v>
      </c>
      <c r="O15" s="5">
        <v>51152352</v>
      </c>
      <c r="P15" s="5">
        <v>1598511</v>
      </c>
      <c r="Q15" s="5">
        <v>570848.21875</v>
      </c>
      <c r="R15" s="5">
        <v>5159032</v>
      </c>
      <c r="S15" s="5">
        <v>1500136</v>
      </c>
      <c r="T15" s="5">
        <v>1083248</v>
      </c>
      <c r="U15" s="5">
        <v>2575384</v>
      </c>
      <c r="V15" s="5">
        <v>67.73165625</v>
      </c>
      <c r="W15" s="5">
        <v>69.833265624999996</v>
      </c>
      <c r="X15" s="5">
        <v>32.269734374999999</v>
      </c>
      <c r="Y15" s="5">
        <v>44.453618749999997</v>
      </c>
      <c r="Z15" s="5">
        <v>44.871193750000003</v>
      </c>
      <c r="AA15" s="5"/>
      <c r="AB15" s="5"/>
      <c r="AC15" s="5"/>
      <c r="AD15" s="5"/>
      <c r="AF15" s="56" t="str">
        <f t="shared" si="6"/>
        <v>·</v>
      </c>
      <c r="AG15" s="28" t="str">
        <f t="shared" si="7"/>
        <v>·</v>
      </c>
      <c r="AH15" s="28" t="str">
        <f t="shared" si="8"/>
        <v>·</v>
      </c>
      <c r="AI15" s="28" t="str">
        <f t="shared" si="9"/>
        <v>·</v>
      </c>
      <c r="AJ15" s="28" t="str">
        <f t="shared" si="10"/>
        <v>·</v>
      </c>
      <c r="AK15" s="28" t="str">
        <f t="shared" si="11"/>
        <v>·</v>
      </c>
      <c r="AL15" s="5"/>
      <c r="AM15" s="5"/>
      <c r="AN15" s="5"/>
      <c r="AO15" s="5"/>
      <c r="AP15" s="5"/>
      <c r="AQ15" s="5"/>
      <c r="AR15" s="5"/>
      <c r="AS15" s="5"/>
      <c r="AT15" s="5"/>
      <c r="AU15" s="5"/>
      <c r="AV15" s="5"/>
      <c r="AW15" s="5"/>
      <c r="AX15" s="5"/>
      <c r="AY15" s="5"/>
      <c r="AZ15" s="5"/>
      <c r="BA15" s="5"/>
      <c r="BC15" s="25">
        <f t="shared" si="12"/>
        <v>2583384</v>
      </c>
      <c r="BD15" s="25" t="str">
        <f t="shared" si="13"/>
        <v/>
      </c>
      <c r="BE15" s="27" t="e">
        <f t="shared" si="14"/>
        <v>#DIV/0!</v>
      </c>
      <c r="BF15" s="27" t="e">
        <f t="shared" si="15"/>
        <v>#VALUE!</v>
      </c>
      <c r="BG15" s="27"/>
      <c r="BI15" s="52"/>
      <c r="BJ15" s="52"/>
      <c r="BK15" s="52"/>
      <c r="BL15" s="52"/>
      <c r="BM15" s="52"/>
      <c r="BO15" s="52"/>
      <c r="BP15" s="52"/>
      <c r="BQ15" s="52"/>
      <c r="BR15" s="52"/>
      <c r="BS15" s="52"/>
    </row>
    <row r="16" spans="1:71" outlineLevel="1" x14ac:dyDescent="0.25">
      <c r="A16" s="18"/>
      <c r="B16" s="18"/>
      <c r="C16" s="19" t="s">
        <v>312</v>
      </c>
      <c r="D16" s="18">
        <v>322589704</v>
      </c>
      <c r="E16" s="19">
        <v>10</v>
      </c>
      <c r="F16" s="19">
        <v>300</v>
      </c>
      <c r="G16" s="19">
        <v>30</v>
      </c>
      <c r="I16" s="55">
        <f t="shared" si="0"/>
        <v>0.86684240000000001</v>
      </c>
      <c r="J16" s="21">
        <f t="shared" si="1"/>
        <v>2.6871359787725896E-2</v>
      </c>
      <c r="K16" s="21">
        <f t="shared" si="2"/>
        <v>9.8356021926849849E-3</v>
      </c>
      <c r="L16" s="21">
        <f t="shared" si="3"/>
        <v>6.4776276926680832E-3</v>
      </c>
      <c r="M16" s="21">
        <f t="shared" si="4"/>
        <v>1.7034939218022904E-2</v>
      </c>
      <c r="N16" s="21">
        <f t="shared" si="5"/>
        <v>0.16946286262653182</v>
      </c>
      <c r="O16" s="5">
        <v>51152352</v>
      </c>
      <c r="P16" s="5">
        <v>1598511</v>
      </c>
      <c r="Q16" s="5">
        <v>529561.125</v>
      </c>
      <c r="R16" s="5">
        <v>8668424</v>
      </c>
      <c r="S16" s="5">
        <v>2089616</v>
      </c>
      <c r="T16" s="5">
        <v>1083248</v>
      </c>
      <c r="U16" s="5">
        <v>5495296</v>
      </c>
      <c r="V16" s="5">
        <v>68.949493750000002</v>
      </c>
      <c r="W16" s="5">
        <v>71.469956249999996</v>
      </c>
      <c r="X16" s="5">
        <v>34.818568749999997</v>
      </c>
      <c r="Y16" s="5">
        <v>45.468506249999997</v>
      </c>
      <c r="Z16" s="5">
        <v>45.973350000000003</v>
      </c>
      <c r="AA16" s="5"/>
      <c r="AB16" s="5"/>
      <c r="AC16" s="5"/>
      <c r="AD16" s="5"/>
      <c r="AF16" s="55" t="str">
        <f t="shared" si="6"/>
        <v>·</v>
      </c>
      <c r="AG16" s="21" t="str">
        <f t="shared" si="7"/>
        <v>·</v>
      </c>
      <c r="AH16" s="21" t="str">
        <f t="shared" si="8"/>
        <v>·</v>
      </c>
      <c r="AI16" s="21" t="str">
        <f t="shared" si="9"/>
        <v>·</v>
      </c>
      <c r="AJ16" s="21" t="str">
        <f t="shared" si="10"/>
        <v>·</v>
      </c>
      <c r="AK16" s="21" t="str">
        <f t="shared" si="11"/>
        <v>·</v>
      </c>
      <c r="AL16" s="5"/>
      <c r="AM16" s="5"/>
      <c r="AN16" s="5"/>
      <c r="AO16" s="5"/>
      <c r="AP16" s="5"/>
      <c r="AQ16" s="5"/>
      <c r="AR16" s="5"/>
      <c r="AS16" s="5"/>
      <c r="AT16" s="5"/>
      <c r="AU16" s="5"/>
      <c r="AV16" s="5"/>
      <c r="AW16" s="5"/>
      <c r="AX16" s="5"/>
      <c r="AY16" s="5"/>
      <c r="AZ16" s="5"/>
      <c r="BA16" s="5"/>
      <c r="BC16" s="18">
        <f t="shared" si="12"/>
        <v>3172864</v>
      </c>
      <c r="BD16" s="18" t="str">
        <f t="shared" si="13"/>
        <v/>
      </c>
      <c r="BE16" s="20" t="e">
        <f t="shared" si="14"/>
        <v>#DIV/0!</v>
      </c>
      <c r="BF16" s="20" t="e">
        <f t="shared" si="15"/>
        <v>#VALUE!</v>
      </c>
      <c r="BG16" s="20"/>
      <c r="BI16" s="50"/>
      <c r="BJ16" s="50"/>
      <c r="BK16" s="50"/>
      <c r="BL16" s="50"/>
      <c r="BM16" s="50"/>
      <c r="BO16" s="50"/>
      <c r="BP16" s="50"/>
      <c r="BQ16" s="50"/>
      <c r="BR16" s="50"/>
      <c r="BS16" s="50"/>
    </row>
    <row r="17" spans="1:71" outlineLevel="1" x14ac:dyDescent="0.25">
      <c r="A17" s="25"/>
      <c r="B17" s="25"/>
      <c r="C17" s="26" t="s">
        <v>313</v>
      </c>
      <c r="D17" s="25">
        <v>322589704</v>
      </c>
      <c r="E17" s="26">
        <v>10</v>
      </c>
      <c r="F17" s="26">
        <v>300</v>
      </c>
      <c r="G17" s="26">
        <v>30</v>
      </c>
      <c r="I17" s="56">
        <f t="shared" si="0"/>
        <v>1.7620656000000001</v>
      </c>
      <c r="J17" s="28">
        <f t="shared" si="1"/>
        <v>5.4622499669115289E-2</v>
      </c>
      <c r="K17" s="28">
        <f t="shared" si="2"/>
        <v>1.3982715331794966E-2</v>
      </c>
      <c r="L17" s="28">
        <f t="shared" si="3"/>
        <v>1.0624740831778065E-2</v>
      </c>
      <c r="M17" s="28">
        <f t="shared" si="4"/>
        <v>4.0638965960302316E-2</v>
      </c>
      <c r="N17" s="28">
        <f t="shared" si="5"/>
        <v>0.34447401362893343</v>
      </c>
      <c r="O17" s="5">
        <v>51152352</v>
      </c>
      <c r="P17" s="5">
        <v>1598511</v>
      </c>
      <c r="Q17" s="5">
        <v>536708.03125</v>
      </c>
      <c r="R17" s="5">
        <v>17620656</v>
      </c>
      <c r="S17" s="5">
        <v>3427432</v>
      </c>
      <c r="T17" s="5">
        <v>1083248</v>
      </c>
      <c r="U17" s="5">
        <v>13109712</v>
      </c>
      <c r="V17" s="5">
        <v>70.125387500000002</v>
      </c>
      <c r="W17" s="5">
        <v>73.036337500000002</v>
      </c>
      <c r="X17" s="5">
        <v>37.288668749999999</v>
      </c>
      <c r="Y17" s="5">
        <v>46.802671875000001</v>
      </c>
      <c r="Z17" s="5">
        <v>47.275859375000003</v>
      </c>
      <c r="AA17" s="5"/>
      <c r="AB17" s="5"/>
      <c r="AC17" s="5"/>
      <c r="AD17" s="5"/>
      <c r="AF17" s="56" t="str">
        <f t="shared" si="6"/>
        <v>·</v>
      </c>
      <c r="AG17" s="28" t="str">
        <f t="shared" si="7"/>
        <v>·</v>
      </c>
      <c r="AH17" s="28" t="str">
        <f t="shared" si="8"/>
        <v>·</v>
      </c>
      <c r="AI17" s="28" t="str">
        <f t="shared" si="9"/>
        <v>·</v>
      </c>
      <c r="AJ17" s="28" t="str">
        <f t="shared" si="10"/>
        <v>·</v>
      </c>
      <c r="AK17" s="28" t="str">
        <f t="shared" si="11"/>
        <v>·</v>
      </c>
      <c r="AL17" s="5"/>
      <c r="AM17" s="5"/>
      <c r="AN17" s="5"/>
      <c r="AO17" s="5"/>
      <c r="AP17" s="5"/>
      <c r="AQ17" s="5"/>
      <c r="AR17" s="5"/>
      <c r="AS17" s="5"/>
      <c r="AT17" s="5"/>
      <c r="AU17" s="5"/>
      <c r="AV17" s="5"/>
      <c r="AW17" s="5"/>
      <c r="AX17" s="5"/>
      <c r="AY17" s="5"/>
      <c r="AZ17" s="5"/>
      <c r="BA17" s="5"/>
      <c r="BC17" s="25">
        <f t="shared" si="12"/>
        <v>4510680</v>
      </c>
      <c r="BD17" s="25" t="str">
        <f t="shared" si="13"/>
        <v/>
      </c>
      <c r="BE17" s="27" t="e">
        <f t="shared" si="14"/>
        <v>#DIV/0!</v>
      </c>
      <c r="BF17" s="27" t="e">
        <f t="shared" si="15"/>
        <v>#VALUE!</v>
      </c>
      <c r="BG17" s="27"/>
      <c r="BI17" s="52"/>
      <c r="BJ17" s="52"/>
      <c r="BK17" s="52"/>
      <c r="BL17" s="52"/>
      <c r="BM17" s="52"/>
      <c r="BO17" s="52"/>
      <c r="BP17" s="52"/>
      <c r="BQ17" s="52"/>
      <c r="BR17" s="52"/>
      <c r="BS17" s="52"/>
    </row>
    <row r="18" spans="1:71" ht="15.75" outlineLevel="1" thickBot="1" x14ac:dyDescent="0.3">
      <c r="A18" s="18"/>
      <c r="B18" s="39"/>
      <c r="C18" s="40" t="s">
        <v>428</v>
      </c>
      <c r="D18" s="39">
        <v>322589704</v>
      </c>
      <c r="E18" s="40">
        <v>10</v>
      </c>
      <c r="F18" s="40">
        <v>300</v>
      </c>
      <c r="G18" s="40">
        <v>30</v>
      </c>
      <c r="I18" s="58">
        <f t="shared" si="0"/>
        <v>3.5615023999999997</v>
      </c>
      <c r="J18" s="42">
        <f t="shared" si="1"/>
        <v>0.11040347400548159</v>
      </c>
      <c r="K18" s="42">
        <f t="shared" si="2"/>
        <v>2.1594762367245297E-2</v>
      </c>
      <c r="L18" s="42">
        <f t="shared" si="3"/>
        <v>1.8236787867228398E-2</v>
      </c>
      <c r="M18" s="42">
        <f t="shared" si="4"/>
        <v>8.8807893261218282E-2</v>
      </c>
      <c r="N18" s="42">
        <f t="shared" si="5"/>
        <v>0.69625388877524141</v>
      </c>
      <c r="O18" s="5">
        <v>51152352</v>
      </c>
      <c r="P18" s="5">
        <v>1598511</v>
      </c>
      <c r="Q18" s="5">
        <v>534794.40625</v>
      </c>
      <c r="R18" s="5">
        <v>35615024</v>
      </c>
      <c r="S18" s="5">
        <v>5883000</v>
      </c>
      <c r="T18" s="5">
        <v>1083248</v>
      </c>
      <c r="U18" s="5">
        <v>28648512</v>
      </c>
      <c r="V18" s="5">
        <v>71.131628125000006</v>
      </c>
      <c r="W18" s="5">
        <v>74.342675</v>
      </c>
      <c r="X18" s="5">
        <v>39.466412499999997</v>
      </c>
      <c r="Y18" s="5">
        <v>48.573009374999998</v>
      </c>
      <c r="Z18" s="5">
        <v>49.192203124999999</v>
      </c>
      <c r="AA18" s="5"/>
      <c r="AB18" s="5"/>
      <c r="AC18" s="5"/>
      <c r="AD18" s="5"/>
      <c r="AF18" s="58" t="str">
        <f t="shared" si="6"/>
        <v>·</v>
      </c>
      <c r="AG18" s="42" t="str">
        <f t="shared" si="7"/>
        <v>·</v>
      </c>
      <c r="AH18" s="42" t="str">
        <f t="shared" si="8"/>
        <v>·</v>
      </c>
      <c r="AI18" s="42" t="str">
        <f t="shared" si="9"/>
        <v>·</v>
      </c>
      <c r="AJ18" s="42" t="str">
        <f t="shared" si="10"/>
        <v>·</v>
      </c>
      <c r="AK18" s="42" t="str">
        <f t="shared" si="11"/>
        <v>·</v>
      </c>
      <c r="AL18" s="5"/>
      <c r="AM18" s="5"/>
      <c r="AN18" s="5"/>
      <c r="AO18" s="5"/>
      <c r="AP18" s="5"/>
      <c r="AQ18" s="5"/>
      <c r="AR18" s="5"/>
      <c r="AS18" s="5"/>
      <c r="AT18" s="5"/>
      <c r="AU18" s="5"/>
      <c r="AV18" s="5"/>
      <c r="AW18" s="5"/>
      <c r="AX18" s="5"/>
      <c r="AY18" s="5"/>
      <c r="AZ18" s="5"/>
      <c r="BA18" s="5"/>
      <c r="BC18" s="39">
        <f t="shared" si="12"/>
        <v>6966248</v>
      </c>
      <c r="BD18" s="39" t="str">
        <f t="shared" si="13"/>
        <v/>
      </c>
      <c r="BE18" s="41" t="e">
        <f t="shared" si="14"/>
        <v>#DIV/0!</v>
      </c>
      <c r="BF18" s="41" t="e">
        <f t="shared" si="15"/>
        <v>#VALUE!</v>
      </c>
      <c r="BG18" s="41"/>
      <c r="BI18" s="60"/>
      <c r="BJ18" s="60"/>
      <c r="BK18" s="60"/>
      <c r="BL18" s="60"/>
      <c r="BM18" s="60"/>
      <c r="BO18" s="60"/>
      <c r="BP18" s="60"/>
      <c r="BQ18" s="60"/>
      <c r="BR18" s="60"/>
      <c r="BS18" s="60"/>
    </row>
    <row r="19" spans="1:71" x14ac:dyDescent="0.25">
      <c r="A19" s="25"/>
      <c r="B19" s="25" t="s">
        <v>563</v>
      </c>
      <c r="C19" s="26" t="s">
        <v>310</v>
      </c>
      <c r="D19" s="25">
        <v>250602891</v>
      </c>
      <c r="E19" s="26">
        <v>10</v>
      </c>
      <c r="F19" s="26">
        <v>250</v>
      </c>
      <c r="G19" s="26">
        <v>50</v>
      </c>
      <c r="I19" s="56">
        <f t="shared" si="0"/>
        <v>0.58724959999999993</v>
      </c>
      <c r="J19" s="28">
        <f t="shared" si="1"/>
        <v>1.1716736340443894E-2</v>
      </c>
      <c r="K19" s="28">
        <f t="shared" si="2"/>
        <v>6.224636889763574E-3</v>
      </c>
      <c r="L19" s="28">
        <f t="shared" si="3"/>
        <v>2.8764871671013562E-3</v>
      </c>
      <c r="M19" s="28">
        <f t="shared" si="4"/>
        <v>5.4910459911653615E-3</v>
      </c>
      <c r="N19" s="28">
        <f t="shared" si="5"/>
        <v>7.3013387972706831E-2</v>
      </c>
      <c r="O19" s="5">
        <v>40215200</v>
      </c>
      <c r="P19" s="5">
        <v>1256725</v>
      </c>
      <c r="Q19" s="5">
        <v>290928.4375</v>
      </c>
      <c r="R19" s="5">
        <v>2936248</v>
      </c>
      <c r="S19" s="5">
        <v>720856</v>
      </c>
      <c r="T19" s="5">
        <v>839056</v>
      </c>
      <c r="U19" s="5">
        <v>1376072</v>
      </c>
      <c r="V19" s="5">
        <v>66.795406249999999</v>
      </c>
      <c r="W19" s="5">
        <v>68.464796875000005</v>
      </c>
      <c r="X19" s="5">
        <v>30.291812499999999</v>
      </c>
      <c r="Y19" s="5">
        <v>39.347296874999998</v>
      </c>
      <c r="Z19" s="5">
        <v>38.089746875000003</v>
      </c>
      <c r="AA19" s="5"/>
      <c r="AB19" s="5"/>
      <c r="AC19" s="5"/>
      <c r="AD19" s="5"/>
      <c r="AF19" s="56" t="str">
        <f t="shared" si="6"/>
        <v>·</v>
      </c>
      <c r="AG19" s="28" t="str">
        <f t="shared" si="7"/>
        <v>·</v>
      </c>
      <c r="AH19" s="28" t="str">
        <f t="shared" si="8"/>
        <v>·</v>
      </c>
      <c r="AI19" s="28" t="str">
        <f t="shared" si="9"/>
        <v>·</v>
      </c>
      <c r="AJ19" s="28" t="str">
        <f t="shared" si="10"/>
        <v>·</v>
      </c>
      <c r="AK19" s="28" t="str">
        <f t="shared" si="11"/>
        <v>·</v>
      </c>
      <c r="AL19" s="5"/>
      <c r="AM19" s="5"/>
      <c r="AN19" s="5"/>
      <c r="AO19" s="5"/>
      <c r="AP19" s="5"/>
      <c r="AQ19" s="5"/>
      <c r="AR19" s="5"/>
      <c r="AS19" s="5"/>
      <c r="AT19" s="5"/>
      <c r="AU19" s="5"/>
      <c r="AV19" s="5"/>
      <c r="AW19" s="5"/>
      <c r="AX19" s="5"/>
      <c r="AY19" s="5"/>
      <c r="AZ19" s="5"/>
      <c r="BA19" s="5"/>
      <c r="BC19" s="25">
        <f t="shared" si="12"/>
        <v>1559912</v>
      </c>
      <c r="BD19" s="25" t="str">
        <f t="shared" si="13"/>
        <v/>
      </c>
      <c r="BE19" s="27" t="e">
        <f t="shared" si="14"/>
        <v>#DIV/0!</v>
      </c>
      <c r="BF19" s="27" t="e">
        <f t="shared" si="15"/>
        <v>#VALUE!</v>
      </c>
      <c r="BG19" s="27" t="e">
        <f t="array" ref="BG19">AVERAGE(BD19:BD23/AO19:AO23) - AVERAGE(BC19:BC23/R19:R23)</f>
        <v>#VALUE!</v>
      </c>
      <c r="BI19" s="52">
        <f>bdRateExtend( R19:R23,V19:V23, AO19:AO23,AS19:AS23)</f>
        <v>1</v>
      </c>
      <c r="BJ19" s="52">
        <f>bdRateExtend( R19:R23,W19:W23, AO19:AO23,AT19:AT23)</f>
        <v>1</v>
      </c>
      <c r="BK19" s="52">
        <f>bdRateExtend( R19:R23,X19:X23, AO19:AO23,AU19:AU23)</f>
        <v>1</v>
      </c>
      <c r="BL19" s="52">
        <f>bdRateExtend( R19:R23,Y19:Y23, AO19:AO23,AV19:AV23)</f>
        <v>1</v>
      </c>
      <c r="BM19" s="52">
        <f>bdRateExtend( R19:R23,Z19:Z23, AO19:AO23,AW19:AW23)</f>
        <v>1</v>
      </c>
      <c r="BO19" s="52">
        <f>bdRateExtend( BC19:BC23,V19:V23, BD19:BD23,AS19:AS23)</f>
        <v>1</v>
      </c>
      <c r="BP19" s="52">
        <f>bdRateExtend( BC19:BC23,W19:W23, BD19:BD23,AT19:AT23)</f>
        <v>1</v>
      </c>
      <c r="BQ19" s="52">
        <f>bdRateExtend( U19:U23,X19:X23, AR19:AR23,AU19:AU23)</f>
        <v>1</v>
      </c>
      <c r="BR19" s="52">
        <f>bdRateExtend( U19:U23,Y19:Y23, AR19:AR23,AV19:AV23)</f>
        <v>1</v>
      </c>
      <c r="BS19" s="52">
        <f>bdRateExtend( U19:U23,Z19:Z23, AR19:AR23,AW19:AW23)</f>
        <v>1</v>
      </c>
    </row>
    <row r="20" spans="1:71" outlineLevel="1" x14ac:dyDescent="0.25">
      <c r="A20" s="18"/>
      <c r="B20" s="18"/>
      <c r="C20" s="19" t="s">
        <v>311</v>
      </c>
      <c r="D20" s="18">
        <v>250602891</v>
      </c>
      <c r="E20" s="19">
        <v>10</v>
      </c>
      <c r="F20" s="19">
        <v>250</v>
      </c>
      <c r="G20" s="19">
        <v>50</v>
      </c>
      <c r="I20" s="55">
        <f t="shared" si="0"/>
        <v>0.95119359999999997</v>
      </c>
      <c r="J20" s="21">
        <f t="shared" si="1"/>
        <v>1.8978105084988824E-2</v>
      </c>
      <c r="K20" s="21">
        <f t="shared" si="2"/>
        <v>7.6035515488127392E-3</v>
      </c>
      <c r="L20" s="21">
        <f t="shared" si="3"/>
        <v>4.2554018261505211E-3</v>
      </c>
      <c r="M20" s="21">
        <f t="shared" si="4"/>
        <v>1.1373500076661127E-2</v>
      </c>
      <c r="N20" s="21">
        <f t="shared" si="5"/>
        <v>0.11826294535399551</v>
      </c>
      <c r="O20" s="5">
        <v>40215200</v>
      </c>
      <c r="P20" s="5">
        <v>1256725</v>
      </c>
      <c r="Q20" s="5">
        <v>279247.75</v>
      </c>
      <c r="R20" s="5">
        <v>4755968</v>
      </c>
      <c r="S20" s="5">
        <v>1066416</v>
      </c>
      <c r="T20" s="5">
        <v>839056</v>
      </c>
      <c r="U20" s="5">
        <v>2850232</v>
      </c>
      <c r="V20" s="5">
        <v>68.335300000000004</v>
      </c>
      <c r="W20" s="5">
        <v>70.462868749999998</v>
      </c>
      <c r="X20" s="5">
        <v>32.597528124999997</v>
      </c>
      <c r="Y20" s="5">
        <v>40.458465625000002</v>
      </c>
      <c r="Z20" s="5">
        <v>39.531687499999997</v>
      </c>
      <c r="AA20" s="5"/>
      <c r="AB20" s="5"/>
      <c r="AC20" s="5"/>
      <c r="AD20" s="5"/>
      <c r="AF20" s="55" t="str">
        <f t="shared" si="6"/>
        <v>·</v>
      </c>
      <c r="AG20" s="21" t="str">
        <f t="shared" si="7"/>
        <v>·</v>
      </c>
      <c r="AH20" s="21" t="str">
        <f t="shared" si="8"/>
        <v>·</v>
      </c>
      <c r="AI20" s="21" t="str">
        <f t="shared" si="9"/>
        <v>·</v>
      </c>
      <c r="AJ20" s="21" t="str">
        <f t="shared" si="10"/>
        <v>·</v>
      </c>
      <c r="AK20" s="21" t="str">
        <f t="shared" si="11"/>
        <v>·</v>
      </c>
      <c r="AL20" s="5"/>
      <c r="AM20" s="5"/>
      <c r="AN20" s="5"/>
      <c r="AO20" s="5"/>
      <c r="AP20" s="5"/>
      <c r="AQ20" s="5"/>
      <c r="AR20" s="5"/>
      <c r="AS20" s="5"/>
      <c r="AT20" s="5"/>
      <c r="AU20" s="5"/>
      <c r="AV20" s="5"/>
      <c r="AW20" s="5"/>
      <c r="AX20" s="5"/>
      <c r="AY20" s="5"/>
      <c r="AZ20" s="5"/>
      <c r="BA20" s="5"/>
      <c r="BC20" s="18">
        <f t="shared" si="12"/>
        <v>1905472</v>
      </c>
      <c r="BD20" s="18" t="str">
        <f t="shared" si="13"/>
        <v/>
      </c>
      <c r="BE20" s="20" t="e">
        <f t="shared" si="14"/>
        <v>#DIV/0!</v>
      </c>
      <c r="BF20" s="20" t="e">
        <f t="shared" si="15"/>
        <v>#VALUE!</v>
      </c>
      <c r="BG20" s="20"/>
      <c r="BI20" s="50"/>
      <c r="BJ20" s="50"/>
      <c r="BK20" s="50"/>
      <c r="BL20" s="50"/>
      <c r="BM20" s="50"/>
      <c r="BO20" s="50"/>
      <c r="BP20" s="50"/>
      <c r="BQ20" s="50"/>
      <c r="BR20" s="50"/>
      <c r="BS20" s="50"/>
    </row>
    <row r="21" spans="1:71" outlineLevel="1" x14ac:dyDescent="0.25">
      <c r="A21" s="25"/>
      <c r="B21" s="25"/>
      <c r="C21" s="26" t="s">
        <v>312</v>
      </c>
      <c r="D21" s="25">
        <v>250602891</v>
      </c>
      <c r="E21" s="26">
        <v>10</v>
      </c>
      <c r="F21" s="26">
        <v>250</v>
      </c>
      <c r="G21" s="26">
        <v>50</v>
      </c>
      <c r="I21" s="56">
        <f t="shared" si="0"/>
        <v>1.500856</v>
      </c>
      <c r="J21" s="28">
        <f t="shared" si="1"/>
        <v>2.9944905942844848E-2</v>
      </c>
      <c r="K21" s="28">
        <f t="shared" si="2"/>
        <v>9.2914809989163294E-3</v>
      </c>
      <c r="L21" s="28">
        <f t="shared" si="3"/>
        <v>5.9433312762541112E-3</v>
      </c>
      <c r="M21" s="28">
        <f t="shared" si="4"/>
        <v>2.0652371484413561E-2</v>
      </c>
      <c r="N21" s="28">
        <f t="shared" si="5"/>
        <v>0.18660307545405716</v>
      </c>
      <c r="O21" s="5">
        <v>40215200</v>
      </c>
      <c r="P21" s="5">
        <v>1256725</v>
      </c>
      <c r="Q21" s="5">
        <v>273402.875</v>
      </c>
      <c r="R21" s="5">
        <v>7504280</v>
      </c>
      <c r="S21" s="5">
        <v>1489416</v>
      </c>
      <c r="T21" s="5">
        <v>839056</v>
      </c>
      <c r="U21" s="5">
        <v>5175544</v>
      </c>
      <c r="V21" s="5">
        <v>69.594946875000005</v>
      </c>
      <c r="W21" s="5">
        <v>72.1974625</v>
      </c>
      <c r="X21" s="5">
        <v>34.404034375000002</v>
      </c>
      <c r="Y21" s="5">
        <v>41.596112499999997</v>
      </c>
      <c r="Z21" s="5">
        <v>40.755274999999997</v>
      </c>
      <c r="AA21" s="5"/>
      <c r="AB21" s="5"/>
      <c r="AC21" s="5"/>
      <c r="AD21" s="5"/>
      <c r="AF21" s="56" t="str">
        <f t="shared" si="6"/>
        <v>·</v>
      </c>
      <c r="AG21" s="28" t="str">
        <f t="shared" si="7"/>
        <v>·</v>
      </c>
      <c r="AH21" s="28" t="str">
        <f t="shared" si="8"/>
        <v>·</v>
      </c>
      <c r="AI21" s="28" t="str">
        <f t="shared" si="9"/>
        <v>·</v>
      </c>
      <c r="AJ21" s="28" t="str">
        <f t="shared" si="10"/>
        <v>·</v>
      </c>
      <c r="AK21" s="28" t="str">
        <f t="shared" si="11"/>
        <v>·</v>
      </c>
      <c r="AL21" s="5"/>
      <c r="AM21" s="5"/>
      <c r="AN21" s="5"/>
      <c r="AO21" s="5"/>
      <c r="AP21" s="5"/>
      <c r="AQ21" s="5"/>
      <c r="AR21" s="5"/>
      <c r="AS21" s="5"/>
      <c r="AT21" s="5"/>
      <c r="AU21" s="5"/>
      <c r="AV21" s="5"/>
      <c r="AW21" s="5"/>
      <c r="AX21" s="5"/>
      <c r="AY21" s="5"/>
      <c r="AZ21" s="5"/>
      <c r="BA21" s="5"/>
      <c r="BC21" s="25">
        <f t="shared" si="12"/>
        <v>2328472</v>
      </c>
      <c r="BD21" s="25" t="str">
        <f t="shared" si="13"/>
        <v/>
      </c>
      <c r="BE21" s="27" t="e">
        <f t="shared" si="14"/>
        <v>#DIV/0!</v>
      </c>
      <c r="BF21" s="27" t="e">
        <f t="shared" si="15"/>
        <v>#VALUE!</v>
      </c>
      <c r="BG21" s="27"/>
      <c r="BI21" s="52"/>
      <c r="BJ21" s="52"/>
      <c r="BK21" s="52"/>
      <c r="BL21" s="52"/>
      <c r="BM21" s="52"/>
      <c r="BO21" s="52"/>
      <c r="BP21" s="52"/>
      <c r="BQ21" s="52"/>
      <c r="BR21" s="52"/>
      <c r="BS21" s="52"/>
    </row>
    <row r="22" spans="1:71" outlineLevel="1" x14ac:dyDescent="0.25">
      <c r="A22" s="18"/>
      <c r="B22" s="18"/>
      <c r="C22" s="19" t="s">
        <v>313</v>
      </c>
      <c r="D22" s="18">
        <v>250602891</v>
      </c>
      <c r="E22" s="19">
        <v>10</v>
      </c>
      <c r="F22" s="19">
        <v>250</v>
      </c>
      <c r="G22" s="19">
        <v>50</v>
      </c>
      <c r="I22" s="55">
        <f t="shared" si="0"/>
        <v>2.5473887999999998</v>
      </c>
      <c r="J22" s="21">
        <f t="shared" si="1"/>
        <v>5.0825207758676653E-2</v>
      </c>
      <c r="K22" s="21">
        <f t="shared" si="2"/>
        <v>1.3219608069086482E-2</v>
      </c>
      <c r="L22" s="21">
        <f t="shared" si="3"/>
        <v>9.8714583464242639E-3</v>
      </c>
      <c r="M22" s="21">
        <f t="shared" si="4"/>
        <v>3.7604546230075211E-2</v>
      </c>
      <c r="N22" s="21">
        <f t="shared" si="5"/>
        <v>0.31671964829218802</v>
      </c>
      <c r="O22" s="5">
        <v>40215200</v>
      </c>
      <c r="P22" s="5">
        <v>1256725</v>
      </c>
      <c r="Q22" s="5">
        <v>279650.375</v>
      </c>
      <c r="R22" s="5">
        <v>12736944</v>
      </c>
      <c r="S22" s="5">
        <v>2473816</v>
      </c>
      <c r="T22" s="5">
        <v>839056</v>
      </c>
      <c r="U22" s="5">
        <v>9423808</v>
      </c>
      <c r="V22" s="5">
        <v>70.675684375000003</v>
      </c>
      <c r="W22" s="5">
        <v>73.726103124999995</v>
      </c>
      <c r="X22" s="5">
        <v>36.037937499999998</v>
      </c>
      <c r="Y22" s="5">
        <v>42.662943749999997</v>
      </c>
      <c r="Z22" s="5">
        <v>41.746121875</v>
      </c>
      <c r="AA22" s="5"/>
      <c r="AB22" s="5"/>
      <c r="AC22" s="5"/>
      <c r="AD22" s="5"/>
      <c r="AF22" s="55" t="str">
        <f t="shared" si="6"/>
        <v>·</v>
      </c>
      <c r="AG22" s="21" t="str">
        <f t="shared" si="7"/>
        <v>·</v>
      </c>
      <c r="AH22" s="21" t="str">
        <f t="shared" si="8"/>
        <v>·</v>
      </c>
      <c r="AI22" s="21" t="str">
        <f t="shared" si="9"/>
        <v>·</v>
      </c>
      <c r="AJ22" s="21" t="str">
        <f t="shared" si="10"/>
        <v>·</v>
      </c>
      <c r="AK22" s="21" t="str">
        <f t="shared" si="11"/>
        <v>·</v>
      </c>
      <c r="AL22" s="5"/>
      <c r="AM22" s="5"/>
      <c r="AN22" s="5"/>
      <c r="AO22" s="5"/>
      <c r="AP22" s="5"/>
      <c r="AQ22" s="5"/>
      <c r="AR22" s="5"/>
      <c r="AS22" s="5"/>
      <c r="AT22" s="5"/>
      <c r="AU22" s="5"/>
      <c r="AV22" s="5"/>
      <c r="AW22" s="5"/>
      <c r="AX22" s="5"/>
      <c r="AY22" s="5"/>
      <c r="AZ22" s="5"/>
      <c r="BA22" s="5"/>
      <c r="BC22" s="18">
        <f t="shared" si="12"/>
        <v>3312872</v>
      </c>
      <c r="BD22" s="18" t="str">
        <f t="shared" si="13"/>
        <v/>
      </c>
      <c r="BE22" s="20" t="e">
        <f t="shared" si="14"/>
        <v>#DIV/0!</v>
      </c>
      <c r="BF22" s="20" t="e">
        <f t="shared" si="15"/>
        <v>#VALUE!</v>
      </c>
      <c r="BG22" s="20"/>
      <c r="BI22" s="50"/>
      <c r="BJ22" s="50"/>
      <c r="BK22" s="50"/>
      <c r="BL22" s="50"/>
      <c r="BM22" s="50"/>
      <c r="BO22" s="50"/>
      <c r="BP22" s="50"/>
      <c r="BQ22" s="50"/>
      <c r="BR22" s="50"/>
      <c r="BS22" s="50"/>
    </row>
    <row r="23" spans="1:71" ht="15.75" outlineLevel="1" thickBot="1" x14ac:dyDescent="0.3">
      <c r="A23" s="32"/>
      <c r="B23" s="32"/>
      <c r="C23" s="33" t="s">
        <v>428</v>
      </c>
      <c r="D23" s="32">
        <v>250602891</v>
      </c>
      <c r="E23" s="33">
        <v>10</v>
      </c>
      <c r="F23" s="33">
        <v>250</v>
      </c>
      <c r="G23" s="33">
        <v>50</v>
      </c>
      <c r="I23" s="57">
        <f t="shared" si="0"/>
        <v>4.3905887999999997</v>
      </c>
      <c r="J23" s="35">
        <f t="shared" si="1"/>
        <v>8.7600521735401685E-2</v>
      </c>
      <c r="K23" s="35">
        <f t="shared" si="2"/>
        <v>2.0604167730850321E-2</v>
      </c>
      <c r="L23" s="35">
        <f t="shared" si="3"/>
        <v>1.7256018008188101E-2</v>
      </c>
      <c r="M23" s="35">
        <f t="shared" si="4"/>
        <v>6.6995300545036413E-2</v>
      </c>
      <c r="N23" s="35">
        <f t="shared" si="5"/>
        <v>0.54588672939585037</v>
      </c>
      <c r="O23" s="5">
        <v>40215200</v>
      </c>
      <c r="P23" s="5">
        <v>1256725</v>
      </c>
      <c r="Q23" s="5">
        <v>278971.3125</v>
      </c>
      <c r="R23" s="5">
        <v>21952944</v>
      </c>
      <c r="S23" s="5">
        <v>4324408</v>
      </c>
      <c r="T23" s="5">
        <v>839056</v>
      </c>
      <c r="U23" s="5">
        <v>16789216</v>
      </c>
      <c r="V23" s="5">
        <v>71.711784374999993</v>
      </c>
      <c r="W23" s="5">
        <v>75.140881250000007</v>
      </c>
      <c r="X23" s="5">
        <v>37.475653125000001</v>
      </c>
      <c r="Y23" s="5">
        <v>43.552553125000003</v>
      </c>
      <c r="Z23" s="5">
        <v>42.555696875000002</v>
      </c>
      <c r="AA23" s="5"/>
      <c r="AB23" s="5"/>
      <c r="AC23" s="5"/>
      <c r="AD23" s="5"/>
      <c r="AF23" s="57" t="str">
        <f t="shared" si="6"/>
        <v>·</v>
      </c>
      <c r="AG23" s="35" t="str">
        <f t="shared" si="7"/>
        <v>·</v>
      </c>
      <c r="AH23" s="35" t="str">
        <f t="shared" si="8"/>
        <v>·</v>
      </c>
      <c r="AI23" s="35" t="str">
        <f t="shared" si="9"/>
        <v>·</v>
      </c>
      <c r="AJ23" s="35" t="str">
        <f t="shared" si="10"/>
        <v>·</v>
      </c>
      <c r="AK23" s="35" t="str">
        <f t="shared" si="11"/>
        <v>·</v>
      </c>
      <c r="AL23" s="5"/>
      <c r="AM23" s="5"/>
      <c r="AN23" s="5"/>
      <c r="AO23" s="5"/>
      <c r="AP23" s="5"/>
      <c r="AQ23" s="5"/>
      <c r="AR23" s="5"/>
      <c r="AS23" s="5"/>
      <c r="AT23" s="5"/>
      <c r="AU23" s="5"/>
      <c r="AV23" s="5"/>
      <c r="AW23" s="5"/>
      <c r="AX23" s="5"/>
      <c r="AY23" s="5"/>
      <c r="AZ23" s="5"/>
      <c r="BA23" s="5"/>
      <c r="BC23" s="32">
        <f t="shared" si="12"/>
        <v>5163464</v>
      </c>
      <c r="BD23" s="32" t="str">
        <f t="shared" si="13"/>
        <v/>
      </c>
      <c r="BE23" s="34" t="e">
        <f t="shared" si="14"/>
        <v>#DIV/0!</v>
      </c>
      <c r="BF23" s="34" t="e">
        <f t="shared" si="15"/>
        <v>#VALUE!</v>
      </c>
      <c r="BG23" s="34"/>
      <c r="BI23" s="54"/>
      <c r="BJ23" s="54"/>
      <c r="BK23" s="54"/>
      <c r="BL23" s="54"/>
      <c r="BM23" s="54"/>
      <c r="BO23" s="54"/>
      <c r="BP23" s="54"/>
      <c r="BQ23" s="54"/>
      <c r="BR23" s="54"/>
      <c r="BS23" s="54"/>
    </row>
    <row r="24" spans="1:71" x14ac:dyDescent="0.25">
      <c r="A24" s="18" t="s">
        <v>570</v>
      </c>
      <c r="B24" s="18" t="s">
        <v>567</v>
      </c>
      <c r="C24" s="19" t="s">
        <v>310</v>
      </c>
      <c r="D24" s="18">
        <v>250294582</v>
      </c>
      <c r="E24" s="19">
        <v>10</v>
      </c>
      <c r="F24" s="19">
        <v>300</v>
      </c>
      <c r="G24" s="19">
        <v>30</v>
      </c>
      <c r="I24" s="55">
        <f t="shared" si="0"/>
        <v>0.3984048</v>
      </c>
      <c r="J24" s="21">
        <f t="shared" si="1"/>
        <v>1.5917436039426535E-2</v>
      </c>
      <c r="K24" s="21">
        <f t="shared" si="2"/>
        <v>6.6374908586714831E-3</v>
      </c>
      <c r="L24" s="21">
        <f t="shared" si="3"/>
        <v>3.7195211840422497E-3</v>
      </c>
      <c r="M24" s="21">
        <f t="shared" si="4"/>
        <v>9.2788904236049338E-3</v>
      </c>
      <c r="N24" s="21">
        <f t="shared" si="5"/>
        <v>0.10485378757636549</v>
      </c>
      <c r="O24" s="5">
        <v>37996224</v>
      </c>
      <c r="P24" s="5">
        <v>1187382</v>
      </c>
      <c r="Q24" s="5">
        <v>463943.375</v>
      </c>
      <c r="R24" s="5">
        <v>3984048</v>
      </c>
      <c r="S24" s="5">
        <v>930976</v>
      </c>
      <c r="T24" s="5">
        <v>730352</v>
      </c>
      <c r="U24" s="5">
        <v>2322456</v>
      </c>
      <c r="V24" s="5">
        <v>66.10920625</v>
      </c>
      <c r="W24" s="5">
        <v>67.856090624999993</v>
      </c>
      <c r="X24" s="5">
        <v>27.587503125000001</v>
      </c>
      <c r="Y24" s="5">
        <v>33.513156250000002</v>
      </c>
      <c r="Z24" s="5">
        <v>32.891462500000003</v>
      </c>
      <c r="AA24" s="5"/>
      <c r="AB24" s="5"/>
      <c r="AC24" s="5"/>
      <c r="AD24" s="5"/>
      <c r="AF24" s="55">
        <f t="shared" si="6"/>
        <v>0.38954720000000004</v>
      </c>
      <c r="AG24" s="21">
        <f t="shared" si="7"/>
        <v>1.5563549034393401E-2</v>
      </c>
      <c r="AH24" s="21">
        <f t="shared" si="8"/>
        <v>6.5532700983515499E-3</v>
      </c>
      <c r="AI24" s="21">
        <f t="shared" si="9"/>
        <v>3.6353004237223161E-3</v>
      </c>
      <c r="AJ24" s="21">
        <f t="shared" si="10"/>
        <v>9.0092241788917345E-3</v>
      </c>
      <c r="AK24" s="21">
        <f t="shared" si="11"/>
        <v>0.10252260856236661</v>
      </c>
      <c r="AL24" s="5">
        <v>37996224</v>
      </c>
      <c r="AM24" s="5">
        <v>1187382</v>
      </c>
      <c r="AN24" s="5">
        <v>497242.3125</v>
      </c>
      <c r="AO24" s="5">
        <v>3895472</v>
      </c>
      <c r="AP24" s="5">
        <v>909896</v>
      </c>
      <c r="AQ24" s="5">
        <v>730352</v>
      </c>
      <c r="AR24" s="5">
        <v>2254960</v>
      </c>
      <c r="AS24" s="5">
        <v>65.905140625000001</v>
      </c>
      <c r="AT24" s="5">
        <v>67.900084375000006</v>
      </c>
      <c r="AU24" s="5">
        <v>27.593353125</v>
      </c>
      <c r="AV24" s="5">
        <v>33.536256250000001</v>
      </c>
      <c r="AW24" s="5">
        <v>32.9008437499999</v>
      </c>
      <c r="AX24" s="5"/>
      <c r="AY24" s="5"/>
      <c r="AZ24" s="5"/>
      <c r="BA24" s="5"/>
      <c r="BC24" s="18">
        <f t="shared" si="12"/>
        <v>1661328</v>
      </c>
      <c r="BD24" s="18">
        <f t="shared" si="13"/>
        <v>1640248</v>
      </c>
      <c r="BE24" s="20">
        <f t="shared" si="14"/>
        <v>2.804399721403894E-2</v>
      </c>
      <c r="BF24" s="20">
        <f t="shared" si="15"/>
        <v>4.0703018763836862E-3</v>
      </c>
      <c r="BG24" s="20">
        <f t="array" ref="BG24">AVERAGE(BD24:BD28/AO24:AO28) - AVERAGE(BC24:BC28/R24:R28)</f>
        <v>1.4859761329331089E-3</v>
      </c>
      <c r="BI24" s="50">
        <f>bdRateExtend( R24:R28,V24:V28, AO24:AO28,AS24:AS28)</f>
        <v>-3.4940814139537646E-2</v>
      </c>
      <c r="BJ24" s="50">
        <f>bdRateExtend( R24:R28,W24:W28, AO24:AO28,AT24:AT28)</f>
        <v>-5.388821670453714E-2</v>
      </c>
      <c r="BK24" s="50">
        <f>bdRateExtend( R24:R28,X24:X28, AO24:AO28,AU24:AU28)</f>
        <v>-2.9641037136045489E-2</v>
      </c>
      <c r="BL24" s="50">
        <f>bdRateExtend( R24:R28,Y24:Y28, AO24:AO28,AV24:AV28)</f>
        <v>-4.1142896629868586E-2</v>
      </c>
      <c r="BM24" s="50">
        <f>bdRateExtend( R24:R28,Z24:Z28, AO24:AO28,AW24:AW28)</f>
        <v>-4.1160383047893156E-2</v>
      </c>
      <c r="BO24" s="50">
        <f>bdRateExtend( BC24:BC28,V24:V28, BD24:BD28,AS24:AS28)</f>
        <v>-3.0383250076612023E-2</v>
      </c>
      <c r="BP24" s="50">
        <f>bdRateExtend( BC24:BC28,W24:W28, BD24:BD28,AT24:AT28)</f>
        <v>-3.8193575130711754E-2</v>
      </c>
      <c r="BQ24" s="50">
        <f>bdRateExtend( U24:U28,X24:X28, AR24:AR28,AU24:AU28)</f>
        <v>-3.154423421238195E-2</v>
      </c>
      <c r="BR24" s="50">
        <f>bdRateExtend( U24:U28,Y24:Y28, AR24:AR28,AV24:AV28)</f>
        <v>-4.3620391808062986E-2</v>
      </c>
      <c r="BS24" s="50">
        <f>bdRateExtend( U24:U28,Z24:Z28, AR24:AR28,AW24:AW28)</f>
        <v>-4.3770120578885074E-2</v>
      </c>
    </row>
    <row r="25" spans="1:71" outlineLevel="1" x14ac:dyDescent="0.25">
      <c r="A25" s="25"/>
      <c r="B25" s="25"/>
      <c r="C25" s="26" t="s">
        <v>311</v>
      </c>
      <c r="D25" s="25">
        <v>250294582</v>
      </c>
      <c r="E25" s="26">
        <v>10</v>
      </c>
      <c r="F25" s="26">
        <v>300</v>
      </c>
      <c r="G25" s="26">
        <v>30</v>
      </c>
      <c r="I25" s="56">
        <f t="shared" si="0"/>
        <v>0.70465359999999999</v>
      </c>
      <c r="J25" s="28">
        <f t="shared" si="1"/>
        <v>2.815297056649832E-2</v>
      </c>
      <c r="K25" s="28">
        <f t="shared" si="2"/>
        <v>8.3785752901355259E-3</v>
      </c>
      <c r="L25" s="28">
        <f t="shared" si="3"/>
        <v>5.4606056155062921E-3</v>
      </c>
      <c r="M25" s="28">
        <f t="shared" si="4"/>
        <v>1.9773340519212677E-2</v>
      </c>
      <c r="N25" s="28">
        <f t="shared" si="5"/>
        <v>0.18545358612476862</v>
      </c>
      <c r="O25" s="5">
        <v>37996224</v>
      </c>
      <c r="P25" s="5">
        <v>1187382</v>
      </c>
      <c r="Q25" s="5">
        <v>423667.3125</v>
      </c>
      <c r="R25" s="5">
        <v>7046536</v>
      </c>
      <c r="S25" s="5">
        <v>1366760</v>
      </c>
      <c r="T25" s="5">
        <v>730352</v>
      </c>
      <c r="U25" s="5">
        <v>4949160</v>
      </c>
      <c r="V25" s="5">
        <v>67.776509375000003</v>
      </c>
      <c r="W25" s="5">
        <v>69.882850000000005</v>
      </c>
      <c r="X25" s="5">
        <v>29.955040624999999</v>
      </c>
      <c r="Y25" s="5">
        <v>34.690281249999998</v>
      </c>
      <c r="Z25" s="5">
        <v>34.167059375000001</v>
      </c>
      <c r="AA25" s="5"/>
      <c r="AB25" s="5"/>
      <c r="AC25" s="5"/>
      <c r="AD25" s="5"/>
      <c r="AF25" s="56">
        <f t="shared" si="6"/>
        <v>0.68200000000000005</v>
      </c>
      <c r="AG25" s="28">
        <f t="shared" si="7"/>
        <v>2.7247893044684442E-2</v>
      </c>
      <c r="AH25" s="28">
        <f t="shared" si="8"/>
        <v>8.1966776252471972E-3</v>
      </c>
      <c r="AI25" s="28">
        <f t="shared" si="9"/>
        <v>5.2787079506179642E-3</v>
      </c>
      <c r="AJ25" s="28">
        <f t="shared" si="10"/>
        <v>1.9050160662287128E-2</v>
      </c>
      <c r="AK25" s="28">
        <f t="shared" si="11"/>
        <v>0.179491519999461</v>
      </c>
      <c r="AL25" s="5">
        <v>37996224</v>
      </c>
      <c r="AM25" s="5">
        <v>1187382</v>
      </c>
      <c r="AN25" s="5">
        <v>429916.28125</v>
      </c>
      <c r="AO25" s="5">
        <v>6820000</v>
      </c>
      <c r="AP25" s="5">
        <v>1321232</v>
      </c>
      <c r="AQ25" s="5">
        <v>730352</v>
      </c>
      <c r="AR25" s="5">
        <v>4768152</v>
      </c>
      <c r="AS25" s="5">
        <v>67.718228124999996</v>
      </c>
      <c r="AT25" s="5">
        <v>69.916725</v>
      </c>
      <c r="AU25" s="5">
        <v>29.946837500000001</v>
      </c>
      <c r="AV25" s="5">
        <v>34.693428124999997</v>
      </c>
      <c r="AW25" s="5">
        <v>34.174646875000001</v>
      </c>
      <c r="AX25" s="5"/>
      <c r="AY25" s="5"/>
      <c r="AZ25" s="5"/>
      <c r="BA25" s="5"/>
      <c r="BC25" s="25">
        <f t="shared" si="12"/>
        <v>2097112</v>
      </c>
      <c r="BD25" s="25">
        <f t="shared" si="13"/>
        <v>2051584</v>
      </c>
      <c r="BE25" s="27">
        <f t="shared" si="14"/>
        <v>5.2628124310457602E-3</v>
      </c>
      <c r="BF25" s="27">
        <f t="shared" si="15"/>
        <v>3.2098438867058654E-3</v>
      </c>
      <c r="BG25" s="27"/>
      <c r="BI25" s="52"/>
      <c r="BJ25" s="52"/>
      <c r="BK25" s="52"/>
      <c r="BL25" s="52"/>
      <c r="BM25" s="52"/>
      <c r="BO25" s="52"/>
      <c r="BP25" s="52"/>
      <c r="BQ25" s="52"/>
      <c r="BR25" s="52"/>
      <c r="BS25" s="52"/>
    </row>
    <row r="26" spans="1:71" outlineLevel="1" x14ac:dyDescent="0.25">
      <c r="A26" s="18"/>
      <c r="B26" s="18"/>
      <c r="C26" s="19" t="s">
        <v>312</v>
      </c>
      <c r="D26" s="18">
        <v>250294582</v>
      </c>
      <c r="E26" s="19">
        <v>10</v>
      </c>
      <c r="F26" s="19">
        <v>300</v>
      </c>
      <c r="G26" s="19">
        <v>30</v>
      </c>
      <c r="I26" s="55">
        <f t="shared" si="0"/>
        <v>1.4122928000000001</v>
      </c>
      <c r="J26" s="21">
        <f t="shared" si="1"/>
        <v>5.6425224577973485E-2</v>
      </c>
      <c r="K26" s="21">
        <f t="shared" si="2"/>
        <v>1.0824716932945835E-2</v>
      </c>
      <c r="L26" s="21">
        <f t="shared" si="3"/>
        <v>7.9067472583166029E-3</v>
      </c>
      <c r="M26" s="21">
        <f t="shared" si="4"/>
        <v>4.5599452887877534E-2</v>
      </c>
      <c r="N26" s="21">
        <f t="shared" si="5"/>
        <v>0.37169293454002167</v>
      </c>
      <c r="O26" s="5">
        <v>37996224</v>
      </c>
      <c r="P26" s="5">
        <v>1187382</v>
      </c>
      <c r="Q26" s="5">
        <v>390313.34375</v>
      </c>
      <c r="R26" s="5">
        <v>14122928</v>
      </c>
      <c r="S26" s="5">
        <v>1979016</v>
      </c>
      <c r="T26" s="5">
        <v>730352</v>
      </c>
      <c r="U26" s="5">
        <v>11413296</v>
      </c>
      <c r="V26" s="5">
        <v>69.090146875000002</v>
      </c>
      <c r="W26" s="5">
        <v>71.594106249999996</v>
      </c>
      <c r="X26" s="5">
        <v>32.410762499999997</v>
      </c>
      <c r="Y26" s="5">
        <v>35.969668749999997</v>
      </c>
      <c r="Z26" s="5">
        <v>35.531537499999999</v>
      </c>
      <c r="AA26" s="5"/>
      <c r="AB26" s="5"/>
      <c r="AC26" s="5"/>
      <c r="AD26" s="5"/>
      <c r="AF26" s="55">
        <f t="shared" si="6"/>
        <v>1.3615583999999998</v>
      </c>
      <c r="AG26" s="21">
        <f t="shared" si="7"/>
        <v>5.4398237034152024E-2</v>
      </c>
      <c r="AH26" s="21">
        <f t="shared" si="8"/>
        <v>1.0531909955605831E-2</v>
      </c>
      <c r="AI26" s="21">
        <f t="shared" si="9"/>
        <v>7.6139402809765975E-3</v>
      </c>
      <c r="AJ26" s="21">
        <f t="shared" si="10"/>
        <v>4.3865272321396073E-2</v>
      </c>
      <c r="AK26" s="21">
        <f t="shared" si="11"/>
        <v>0.35834044982996205</v>
      </c>
      <c r="AL26" s="5">
        <v>37996224</v>
      </c>
      <c r="AM26" s="5">
        <v>1187382</v>
      </c>
      <c r="AN26" s="5">
        <v>402789.96875</v>
      </c>
      <c r="AO26" s="5">
        <v>13615584</v>
      </c>
      <c r="AP26" s="5">
        <v>1905728</v>
      </c>
      <c r="AQ26" s="5">
        <v>730352</v>
      </c>
      <c r="AR26" s="5">
        <v>10979240</v>
      </c>
      <c r="AS26" s="5">
        <v>69.142221874999905</v>
      </c>
      <c r="AT26" s="5">
        <v>71.658840624999996</v>
      </c>
      <c r="AU26" s="5">
        <v>32.387878125</v>
      </c>
      <c r="AV26" s="5">
        <v>35.984749999999899</v>
      </c>
      <c r="AW26" s="5">
        <v>35.545653125000001</v>
      </c>
      <c r="AX26" s="5"/>
      <c r="AY26" s="5"/>
      <c r="AZ26" s="5"/>
      <c r="BA26" s="5"/>
      <c r="BC26" s="18">
        <f t="shared" si="12"/>
        <v>2709368</v>
      </c>
      <c r="BD26" s="18">
        <f t="shared" si="13"/>
        <v>2636080</v>
      </c>
      <c r="BE26" s="20">
        <f t="shared" si="14"/>
        <v>1.0507675710091646E-2</v>
      </c>
      <c r="BF26" s="20">
        <f t="shared" si="15"/>
        <v>1.7657552358600892E-3</v>
      </c>
      <c r="BG26" s="20"/>
      <c r="BI26" s="50"/>
      <c r="BJ26" s="50"/>
      <c r="BK26" s="50"/>
      <c r="BL26" s="50"/>
      <c r="BM26" s="50"/>
      <c r="BO26" s="50"/>
      <c r="BP26" s="50"/>
      <c r="BQ26" s="50"/>
      <c r="BR26" s="50"/>
      <c r="BS26" s="50"/>
    </row>
    <row r="27" spans="1:71" outlineLevel="1" x14ac:dyDescent="0.25">
      <c r="A27" s="25"/>
      <c r="B27" s="25"/>
      <c r="C27" s="26" t="s">
        <v>313</v>
      </c>
      <c r="D27" s="25">
        <v>250294582</v>
      </c>
      <c r="E27" s="26">
        <v>10</v>
      </c>
      <c r="F27" s="26">
        <v>300</v>
      </c>
      <c r="G27" s="26">
        <v>30</v>
      </c>
      <c r="I27" s="56">
        <f t="shared" si="0"/>
        <v>2.8342040000000002</v>
      </c>
      <c r="J27" s="28">
        <f t="shared" si="1"/>
        <v>0.1132347323443062</v>
      </c>
      <c r="K27" s="28">
        <f t="shared" si="2"/>
        <v>1.5266235367411988E-2</v>
      </c>
      <c r="L27" s="28">
        <f t="shared" si="3"/>
        <v>1.2348265692782755E-2</v>
      </c>
      <c r="M27" s="28">
        <f t="shared" si="4"/>
        <v>9.79674422197441E-2</v>
      </c>
      <c r="N27" s="28">
        <f t="shared" si="5"/>
        <v>0.7459172785169389</v>
      </c>
      <c r="O27" s="5">
        <v>37996224</v>
      </c>
      <c r="P27" s="5">
        <v>1187382</v>
      </c>
      <c r="Q27" s="5">
        <v>395881.96875</v>
      </c>
      <c r="R27" s="5">
        <v>28342040</v>
      </c>
      <c r="S27" s="5">
        <v>3090704</v>
      </c>
      <c r="T27" s="5">
        <v>730352</v>
      </c>
      <c r="U27" s="5">
        <v>24520720</v>
      </c>
      <c r="V27" s="5">
        <v>70.304653125000002</v>
      </c>
      <c r="W27" s="5">
        <v>73.211762500000006</v>
      </c>
      <c r="X27" s="5">
        <v>34.960953125000003</v>
      </c>
      <c r="Y27" s="5">
        <v>37.621837499999998</v>
      </c>
      <c r="Z27" s="5">
        <v>37.188487500000001</v>
      </c>
      <c r="AA27" s="5"/>
      <c r="AB27" s="5"/>
      <c r="AC27" s="5"/>
      <c r="AD27" s="5"/>
      <c r="AF27" s="56">
        <f t="shared" si="6"/>
        <v>2.7307992000000003</v>
      </c>
      <c r="AG27" s="28">
        <f t="shared" si="7"/>
        <v>0.10910340839898804</v>
      </c>
      <c r="AH27" s="28">
        <f t="shared" si="8"/>
        <v>1.469257532709997E-2</v>
      </c>
      <c r="AI27" s="28">
        <f t="shared" si="9"/>
        <v>1.1774605652470736E-2</v>
      </c>
      <c r="AJ27" s="28">
        <f t="shared" si="10"/>
        <v>9.4409778314737958E-2</v>
      </c>
      <c r="AK27" s="28">
        <f t="shared" si="11"/>
        <v>0.71870278478198257</v>
      </c>
      <c r="AL27" s="5">
        <v>37996224</v>
      </c>
      <c r="AM27" s="5">
        <v>1187382</v>
      </c>
      <c r="AN27" s="5">
        <v>404340.65625</v>
      </c>
      <c r="AO27" s="5">
        <v>27307992</v>
      </c>
      <c r="AP27" s="5">
        <v>2947120</v>
      </c>
      <c r="AQ27" s="5">
        <v>730352</v>
      </c>
      <c r="AR27" s="5">
        <v>23630256</v>
      </c>
      <c r="AS27" s="5">
        <v>70.359700000000004</v>
      </c>
      <c r="AT27" s="5">
        <v>73.283987499999995</v>
      </c>
      <c r="AU27" s="5">
        <v>34.936584374999903</v>
      </c>
      <c r="AV27" s="5">
        <v>37.646843750000002</v>
      </c>
      <c r="AW27" s="5">
        <v>37.2134031249999</v>
      </c>
      <c r="AX27" s="5"/>
      <c r="AY27" s="5"/>
      <c r="AZ27" s="5"/>
      <c r="BA27" s="5"/>
      <c r="BC27" s="25">
        <f t="shared" si="12"/>
        <v>3821056</v>
      </c>
      <c r="BD27" s="25">
        <f t="shared" si="13"/>
        <v>3677472</v>
      </c>
      <c r="BE27" s="27">
        <f t="shared" si="14"/>
        <v>7.1238131452219799E-3</v>
      </c>
      <c r="BF27" s="27">
        <f t="shared" si="15"/>
        <v>-1.5285998555220059E-4</v>
      </c>
      <c r="BG27" s="27"/>
      <c r="BI27" s="52"/>
      <c r="BJ27" s="52"/>
      <c r="BK27" s="52"/>
      <c r="BL27" s="52"/>
      <c r="BM27" s="52"/>
      <c r="BO27" s="52"/>
      <c r="BP27" s="52"/>
      <c r="BQ27" s="52"/>
      <c r="BR27" s="52"/>
      <c r="BS27" s="52"/>
    </row>
    <row r="28" spans="1:71" ht="15.75" outlineLevel="1" thickBot="1" x14ac:dyDescent="0.3">
      <c r="A28" s="39"/>
      <c r="B28" s="39"/>
      <c r="C28" s="40" t="s">
        <v>428</v>
      </c>
      <c r="D28" s="39">
        <v>250294582</v>
      </c>
      <c r="E28" s="40">
        <v>10</v>
      </c>
      <c r="F28" s="40">
        <v>300</v>
      </c>
      <c r="G28" s="40">
        <v>30</v>
      </c>
      <c r="I28" s="58">
        <f t="shared" si="0"/>
        <v>5.1802784000000006</v>
      </c>
      <c r="J28" s="42">
        <f t="shared" si="1"/>
        <v>0.2069672606816555</v>
      </c>
      <c r="K28" s="42">
        <f t="shared" si="2"/>
        <v>2.2944771533248771E-2</v>
      </c>
      <c r="L28" s="42">
        <f t="shared" si="3"/>
        <v>2.0026801858619537E-2</v>
      </c>
      <c r="M28" s="42">
        <f t="shared" si="4"/>
        <v>0.18402143439125662</v>
      </c>
      <c r="N28" s="42">
        <f t="shared" si="5"/>
        <v>1.3633666334844221</v>
      </c>
      <c r="O28" s="5">
        <v>37996224</v>
      </c>
      <c r="P28" s="5">
        <v>1187382</v>
      </c>
      <c r="Q28" s="5">
        <v>393211.21875</v>
      </c>
      <c r="R28" s="5">
        <v>51802784</v>
      </c>
      <c r="S28" s="5">
        <v>5012600</v>
      </c>
      <c r="T28" s="5">
        <v>730352</v>
      </c>
      <c r="U28" s="5">
        <v>46059568</v>
      </c>
      <c r="V28" s="5">
        <v>71.339443750000001</v>
      </c>
      <c r="W28" s="5">
        <v>74.554571874999993</v>
      </c>
      <c r="X28" s="5">
        <v>36.81465</v>
      </c>
      <c r="Y28" s="5">
        <v>39.633584374999998</v>
      </c>
      <c r="Z28" s="5">
        <v>39.030349999999999</v>
      </c>
      <c r="AA28" s="5"/>
      <c r="AB28" s="5"/>
      <c r="AC28" s="5"/>
      <c r="AD28" s="5"/>
      <c r="AF28" s="58">
        <f t="shared" si="6"/>
        <v>5.0035704000000001</v>
      </c>
      <c r="AG28" s="42">
        <f t="shared" si="7"/>
        <v>0.19990725967851752</v>
      </c>
      <c r="AH28" s="42">
        <f t="shared" si="8"/>
        <v>2.1869590449225144E-2</v>
      </c>
      <c r="AI28" s="42">
        <f t="shared" si="9"/>
        <v>1.8951620774595911E-2</v>
      </c>
      <c r="AJ28" s="42">
        <f t="shared" si="10"/>
        <v>0.17803661447214228</v>
      </c>
      <c r="AK28" s="42">
        <f t="shared" si="11"/>
        <v>1.3168599069212772</v>
      </c>
      <c r="AL28" s="5">
        <v>37996224</v>
      </c>
      <c r="AM28" s="5">
        <v>1187382</v>
      </c>
      <c r="AN28" s="5">
        <v>397206</v>
      </c>
      <c r="AO28" s="5">
        <v>50035704</v>
      </c>
      <c r="AP28" s="5">
        <v>4743488</v>
      </c>
      <c r="AQ28" s="5">
        <v>730352</v>
      </c>
      <c r="AR28" s="5">
        <v>44561600</v>
      </c>
      <c r="AS28" s="5">
        <v>71.395128124999999</v>
      </c>
      <c r="AT28" s="5">
        <v>74.629553125000001</v>
      </c>
      <c r="AU28" s="5">
        <v>36.820065624999998</v>
      </c>
      <c r="AV28" s="5">
        <v>39.676993749999902</v>
      </c>
      <c r="AW28" s="5">
        <v>39.081346875000001</v>
      </c>
      <c r="AX28" s="5"/>
      <c r="AY28" s="5"/>
      <c r="AZ28" s="5"/>
      <c r="BA28" s="5"/>
      <c r="BC28" s="39">
        <f t="shared" si="12"/>
        <v>5742952</v>
      </c>
      <c r="BD28" s="39">
        <f t="shared" si="13"/>
        <v>5473840</v>
      </c>
      <c r="BE28" s="41">
        <f t="shared" si="14"/>
        <v>3.3643606269928572E-3</v>
      </c>
      <c r="BF28" s="41">
        <f t="shared" si="15"/>
        <v>-1.463160348732076E-3</v>
      </c>
      <c r="BG28" s="41"/>
      <c r="BI28" s="60"/>
      <c r="BJ28" s="60"/>
      <c r="BK28" s="60"/>
      <c r="BL28" s="60"/>
      <c r="BM28" s="60"/>
      <c r="BO28" s="60"/>
      <c r="BP28" s="60"/>
      <c r="BQ28" s="60"/>
      <c r="BR28" s="60"/>
      <c r="BS28" s="60"/>
    </row>
    <row r="29" spans="1:71" x14ac:dyDescent="0.25">
      <c r="B29" s="46" t="s">
        <v>571</v>
      </c>
      <c r="J29" s="47">
        <f>AVERAGE(J4:J23)</f>
        <v>3.9164216725584088E-2</v>
      </c>
      <c r="AG29" s="47">
        <f>AVERAGE(AG4:AG23)</f>
        <v>2.6349359205699658E-2</v>
      </c>
      <c r="BG29" s="6" t="e">
        <f>AVERAGE(BG4:BG23)</f>
        <v>#VALUE!</v>
      </c>
      <c r="BI29" s="11">
        <f>AVERAGE(BI4:BI23)</f>
        <v>0.73673503214584379</v>
      </c>
      <c r="BJ29" s="11">
        <f>AVERAGE(BJ4:BJ23)</f>
        <v>0.73449610074456106</v>
      </c>
      <c r="BK29" s="11">
        <f>AVERAGE(BK4:BK23)</f>
        <v>0.73815052335081099</v>
      </c>
      <c r="BL29" s="11">
        <f>AVERAGE(BL4:BL23)</f>
        <v>0.73118980676833578</v>
      </c>
      <c r="BM29" s="11">
        <f>AVERAGE(BM4:BM23)</f>
        <v>0.72911896549676114</v>
      </c>
      <c r="BO29" s="11">
        <f>AVERAGE(BO4:BO23)</f>
        <v>0.73862646839154888</v>
      </c>
      <c r="BP29" s="11">
        <f>AVERAGE(BP4:BP23)</f>
        <v>0.73717951177561813</v>
      </c>
      <c r="BQ29" s="11">
        <f>AVERAGE(BQ4:BQ23)</f>
        <v>0.73651697187195242</v>
      </c>
      <c r="BR29" s="11">
        <f>AVERAGE(BR4:BR23)</f>
        <v>0.72646270118277667</v>
      </c>
      <c r="BS29" s="11">
        <f>AVERAGE(BS4:BS23)</f>
        <v>0.72415492553305472</v>
      </c>
    </row>
    <row r="30" spans="1:71" x14ac:dyDescent="0.25">
      <c r="B30" s="46" t="s">
        <v>572</v>
      </c>
      <c r="J30" s="47">
        <f>AVERAGE(J24:J28)</f>
        <v>8.4139524841971999E-2</v>
      </c>
      <c r="AG30" s="47">
        <f>AVERAGE(AG24:AG28)</f>
        <v>8.1244069438147076E-2</v>
      </c>
      <c r="BG30" s="6">
        <f>AVERAGE(BG24:BG28)</f>
        <v>1.4859761329331089E-3</v>
      </c>
      <c r="BI30" s="11">
        <f>AVERAGE(BI24:BI28)</f>
        <v>-3.4940814139537646E-2</v>
      </c>
      <c r="BJ30" s="11">
        <f>AVERAGE(BJ24:BJ28)</f>
        <v>-5.388821670453714E-2</v>
      </c>
      <c r="BK30" s="11">
        <f>AVERAGE(BK24:BK28)</f>
        <v>-2.9641037136045489E-2</v>
      </c>
      <c r="BL30" s="11">
        <f>AVERAGE(BL24:BL28)</f>
        <v>-4.1142896629868586E-2</v>
      </c>
      <c r="BM30" s="11">
        <f>AVERAGE(BM24:BM28)</f>
        <v>-4.1160383047893156E-2</v>
      </c>
      <c r="BO30" s="11">
        <f>AVERAGE(BO24:BO28)</f>
        <v>-3.0383250076612023E-2</v>
      </c>
      <c r="BP30" s="11">
        <f>AVERAGE(BP24:BP28)</f>
        <v>-3.8193575130711754E-2</v>
      </c>
      <c r="BQ30" s="11">
        <f>AVERAGE(BQ24:BQ28)</f>
        <v>-3.154423421238195E-2</v>
      </c>
      <c r="BR30" s="11">
        <f>AVERAGE(BR24:BR28)</f>
        <v>-4.3620391808062986E-2</v>
      </c>
      <c r="BS30" s="11">
        <f>AVERAGE(BS24:BS28)</f>
        <v>-4.3770120578885074E-2</v>
      </c>
    </row>
    <row r="31" spans="1:71" collapsed="1" x14ac:dyDescent="0.25">
      <c r="B31" s="46" t="s">
        <v>258</v>
      </c>
      <c r="J31" s="47">
        <f>AVERAGE(J4:J23,J24:J28)</f>
        <v>4.8159278348861675E-2</v>
      </c>
      <c r="AG31" s="47">
        <f>AVERAGE(AG4:AG23,AG24:AG28)</f>
        <v>5.3796714321923365E-2</v>
      </c>
      <c r="BG31" s="6" t="e">
        <f>AVERAGE(BG4:BG23,BG24:BG28)</f>
        <v>#VALUE!</v>
      </c>
      <c r="BI31" s="11">
        <f>AVERAGE(BI4:BI23,BI24:BI28)</f>
        <v>0.58239986288876744</v>
      </c>
      <c r="BJ31" s="11">
        <f>AVERAGE(BJ4:BJ23,BJ24:BJ28)</f>
        <v>0.57681923725474138</v>
      </c>
      <c r="BK31" s="11">
        <f>AVERAGE(BK4:BK23,BK24:BK28)</f>
        <v>0.58459221125343963</v>
      </c>
      <c r="BL31" s="11">
        <f>AVERAGE(BL4:BL23,BL24:BL28)</f>
        <v>0.57672326608869484</v>
      </c>
      <c r="BM31" s="11">
        <f>AVERAGE(BM4:BM23,BM24:BM28)</f>
        <v>0.57506309578783033</v>
      </c>
      <c r="BO31" s="11">
        <f>AVERAGE(BO4:BO23,BO24:BO28)</f>
        <v>0.58482452469791668</v>
      </c>
      <c r="BP31" s="11">
        <f>AVERAGE(BP4:BP23,BP24:BP28)</f>
        <v>0.5821048943943522</v>
      </c>
      <c r="BQ31" s="11">
        <f>AVERAGE(BQ4:BQ23,BQ24:BQ28)</f>
        <v>0.58290473065508552</v>
      </c>
      <c r="BR31" s="11">
        <f>AVERAGE(BR4:BR23,BR24:BR28)</f>
        <v>0.57244608258460872</v>
      </c>
      <c r="BS31" s="11">
        <f>AVERAGE(BS4:BS23,BS24:BS28)</f>
        <v>0.57056991631066678</v>
      </c>
    </row>
    <row r="32" spans="1:71" hidden="1" outlineLevel="2" x14ac:dyDescent="0.25">
      <c r="A32" s="46" t="s">
        <v>259</v>
      </c>
      <c r="B32" s="46" t="s">
        <v>260</v>
      </c>
      <c r="AA32" s="48">
        <f>SUM(AA4:AA23,AA24:AA28)</f>
        <v>0</v>
      </c>
      <c r="AB32" s="48">
        <f>SUM(AB4:AB23,AB24:AB28)</f>
        <v>0</v>
      </c>
      <c r="AC32" s="48">
        <f>SUM(AC4:AC23,AC24:AC28)</f>
        <v>0</v>
      </c>
      <c r="AD32" s="48">
        <f>SUM(AD4:AD23,AD24:AD28)</f>
        <v>0</v>
      </c>
      <c r="AX32" s="48">
        <f>SUM(AX4:AX23,AX24:AX28)</f>
        <v>0</v>
      </c>
      <c r="AY32" s="48">
        <f>SUM(AY4:AY23,AY24:AY28)</f>
        <v>0</v>
      </c>
      <c r="AZ32" s="48">
        <f>SUM(AZ4:AZ23,AZ24:AZ28)</f>
        <v>0</v>
      </c>
      <c r="BA32" s="48">
        <f>SUM(BA4:BA23,BA24:BA28)</f>
        <v>0</v>
      </c>
    </row>
    <row r="33" spans="2:53" hidden="1" outlineLevel="2" x14ac:dyDescent="0.25">
      <c r="B33" s="46" t="s">
        <v>261</v>
      </c>
      <c r="AX33" s="6" t="e">
        <f>AX32/AA32</f>
        <v>#DIV/0!</v>
      </c>
      <c r="AY33" s="6" t="e">
        <f>AY32/AB32</f>
        <v>#DIV/0!</v>
      </c>
      <c r="AZ33" s="6" t="e">
        <f>AZ32/AC32</f>
        <v>#DIV/0!</v>
      </c>
      <c r="BA33" s="6" t="e">
        <f>BA32/AD32</f>
        <v>#DIV/0!</v>
      </c>
    </row>
    <row r="34" spans="2:53" hidden="1" outlineLevel="2" x14ac:dyDescent="0.25">
      <c r="B34" s="46" t="s">
        <v>262</v>
      </c>
      <c r="AA34" s="48" t="e">
        <f>GEOMEAN(AA4:AA23,AA24:AA28)</f>
        <v>#NUM!</v>
      </c>
      <c r="AB34" s="48" t="e">
        <f>GEOMEAN(AB4:AB23,AB24:AB28)</f>
        <v>#NUM!</v>
      </c>
      <c r="AC34" s="48" t="e">
        <f>GEOMEAN(AC4:AC23,AC24:AC28)</f>
        <v>#NUM!</v>
      </c>
      <c r="AD34" s="48" t="e">
        <f>GEOMEAN(AD4:AD23,AD24:AD28)</f>
        <v>#NUM!</v>
      </c>
      <c r="AX34" s="48" t="e">
        <f>GEOMEAN(AX4:AX23,AX24:AX28)</f>
        <v>#NUM!</v>
      </c>
      <c r="AY34" s="48" t="e">
        <f>GEOMEAN(AY4:AY23,AY24:AY28)</f>
        <v>#NUM!</v>
      </c>
      <c r="AZ34" s="48" t="e">
        <f>GEOMEAN(AZ4:AZ23,AZ24:AZ28)</f>
        <v>#NUM!</v>
      </c>
      <c r="BA34" s="48" t="e">
        <f>GEOMEAN(BA4:BA23,BA24:BA28)</f>
        <v>#NUM!</v>
      </c>
    </row>
    <row r="35" spans="2:53" outlineLevel="2" collapsed="1" x14ac:dyDescent="0.25">
      <c r="B35" s="46" t="s">
        <v>263</v>
      </c>
      <c r="AX35" s="6" t="e">
        <f>AX34/AA34</f>
        <v>#NUM!</v>
      </c>
      <c r="AY35" s="6" t="e">
        <f>AY34/AB34</f>
        <v>#NUM!</v>
      </c>
      <c r="AZ35" s="6" t="e">
        <f>AZ34/AC34</f>
        <v>#NUM!</v>
      </c>
      <c r="BA35" s="6" t="e">
        <f>BA34/AD34</f>
        <v>#NUM!</v>
      </c>
    </row>
    <row r="37" spans="2:53" x14ac:dyDescent="0.25">
      <c r="B37" s="5"/>
    </row>
    <row r="40" spans="2:53" x14ac:dyDescent="0.25">
      <c r="N40" s="5"/>
      <c r="O40" s="5"/>
      <c r="P40" s="5"/>
      <c r="Q40" s="5"/>
      <c r="R40" s="5"/>
      <c r="S40" s="5"/>
      <c r="T40" s="5"/>
      <c r="U40" s="5"/>
      <c r="V40" s="5"/>
      <c r="W40" s="5"/>
      <c r="X40" s="5"/>
      <c r="Y40" s="5"/>
      <c r="Z40" s="5"/>
      <c r="AA40" s="5"/>
      <c r="AB40" s="5"/>
      <c r="AC40" s="5"/>
      <c r="AD40" s="5"/>
    </row>
    <row r="41" spans="2:53" x14ac:dyDescent="0.25">
      <c r="N41" s="5"/>
      <c r="O41" s="5"/>
      <c r="P41" s="5"/>
      <c r="Q41" s="5"/>
      <c r="R41" s="5"/>
      <c r="S41" s="5"/>
      <c r="T41" s="5"/>
      <c r="U41" s="5"/>
      <c r="V41" s="5"/>
      <c r="W41" s="5"/>
      <c r="X41" s="5"/>
      <c r="Y41" s="5"/>
      <c r="Z41" s="5"/>
      <c r="AA41" s="5"/>
      <c r="AB41" s="5"/>
      <c r="AC41" s="5"/>
      <c r="AD41" s="5"/>
      <c r="AK41" s="5"/>
      <c r="AL41" s="5"/>
      <c r="AM41" s="5"/>
      <c r="AN41" s="5"/>
      <c r="AO41" s="5"/>
      <c r="AP41" s="5"/>
      <c r="AQ41" s="5"/>
      <c r="AR41" s="5"/>
      <c r="AS41" s="5"/>
      <c r="AT41" s="5"/>
      <c r="AU41" s="5"/>
      <c r="AV41" s="5"/>
      <c r="AW41" s="5"/>
      <c r="AX41" s="5"/>
      <c r="AY41" s="5"/>
      <c r="AZ41" s="5"/>
      <c r="BA41" s="5"/>
    </row>
    <row r="42" spans="2:53" x14ac:dyDescent="0.25">
      <c r="N42" s="5"/>
      <c r="O42" s="5"/>
      <c r="P42" s="5"/>
      <c r="Q42" s="5"/>
      <c r="R42" s="5"/>
      <c r="S42" s="5"/>
      <c r="T42" s="5"/>
      <c r="U42" s="5"/>
      <c r="V42" s="5"/>
      <c r="W42" s="5"/>
      <c r="X42" s="5"/>
      <c r="Y42" s="5"/>
      <c r="Z42" s="5"/>
      <c r="AA42" s="5"/>
      <c r="AB42" s="5"/>
      <c r="AC42" s="5"/>
      <c r="AD42" s="5"/>
      <c r="AK42" s="5"/>
      <c r="AL42" s="5"/>
      <c r="AM42" s="5"/>
      <c r="AN42" s="5"/>
      <c r="AO42" s="5"/>
      <c r="AP42" s="5"/>
      <c r="AQ42" s="5"/>
      <c r="AR42" s="5"/>
      <c r="AS42" s="5"/>
      <c r="AT42" s="5"/>
      <c r="AU42" s="5"/>
      <c r="AV42" s="5"/>
      <c r="AW42" s="5"/>
      <c r="AX42" s="5"/>
      <c r="AY42" s="5"/>
      <c r="AZ42" s="5"/>
      <c r="BA42" s="5"/>
    </row>
    <row r="43" spans="2:53" x14ac:dyDescent="0.25">
      <c r="N43" s="5"/>
      <c r="O43" s="5"/>
      <c r="P43" s="5"/>
      <c r="Q43" s="5"/>
      <c r="R43" s="5"/>
      <c r="S43" s="5"/>
      <c r="T43" s="5"/>
      <c r="U43" s="5"/>
      <c r="V43" s="5"/>
      <c r="W43" s="5"/>
      <c r="X43" s="5"/>
      <c r="Y43" s="5"/>
      <c r="Z43" s="5"/>
      <c r="AA43" s="5"/>
      <c r="AB43" s="5"/>
      <c r="AC43" s="5"/>
      <c r="AD43" s="5"/>
      <c r="AK43" s="5"/>
      <c r="AL43" s="5"/>
      <c r="AM43" s="5"/>
      <c r="AN43" s="5"/>
      <c r="AO43" s="5"/>
      <c r="AP43" s="5"/>
      <c r="AQ43" s="5"/>
      <c r="AR43" s="5"/>
      <c r="AS43" s="5"/>
      <c r="AT43" s="5"/>
      <c r="AU43" s="5"/>
      <c r="AV43" s="5"/>
      <c r="AW43" s="5"/>
      <c r="AX43" s="5"/>
      <c r="AY43" s="5"/>
      <c r="AZ43" s="5"/>
      <c r="BA43" s="5"/>
    </row>
    <row r="44" spans="2:53" x14ac:dyDescent="0.25">
      <c r="N44" s="5"/>
      <c r="O44" s="5"/>
      <c r="P44" s="5"/>
      <c r="Q44" s="5"/>
      <c r="R44" s="5"/>
      <c r="S44" s="5"/>
      <c r="T44" s="5"/>
      <c r="U44" s="5"/>
      <c r="V44" s="5"/>
      <c r="W44" s="5"/>
      <c r="X44" s="5"/>
      <c r="Y44" s="5"/>
      <c r="Z44" s="5"/>
      <c r="AA44" s="5"/>
      <c r="AB44" s="5"/>
      <c r="AC44" s="5"/>
      <c r="AD44" s="5"/>
      <c r="AK44" s="5"/>
      <c r="AL44" s="5"/>
      <c r="AM44" s="5"/>
      <c r="AN44" s="5"/>
      <c r="AO44" s="5"/>
      <c r="AP44" s="5"/>
      <c r="AQ44" s="5"/>
      <c r="AR44" s="5"/>
      <c r="AS44" s="5"/>
      <c r="AT44" s="5"/>
      <c r="AU44" s="5"/>
      <c r="AV44" s="5"/>
      <c r="AW44" s="5"/>
      <c r="AX44" s="5"/>
      <c r="AY44" s="5"/>
      <c r="AZ44" s="5"/>
      <c r="BA44" s="5"/>
    </row>
    <row r="45" spans="2:53" x14ac:dyDescent="0.25">
      <c r="N45" s="5"/>
      <c r="O45" s="5"/>
      <c r="P45" s="5"/>
      <c r="Q45" s="5"/>
      <c r="R45" s="5"/>
      <c r="S45" s="5"/>
      <c r="T45" s="5"/>
      <c r="U45" s="5"/>
      <c r="V45" s="5"/>
      <c r="W45" s="5"/>
      <c r="X45" s="5"/>
      <c r="Y45" s="5"/>
      <c r="Z45" s="5"/>
      <c r="AA45" s="5"/>
      <c r="AB45" s="5"/>
      <c r="AC45" s="5"/>
      <c r="AD45" s="5"/>
      <c r="AK45" s="5"/>
      <c r="AL45" s="5"/>
      <c r="AM45" s="5"/>
      <c r="AN45" s="5"/>
      <c r="AO45" s="5"/>
      <c r="AP45" s="5"/>
      <c r="AQ45" s="5"/>
      <c r="AR45" s="5"/>
      <c r="AS45" s="5"/>
      <c r="AT45" s="5"/>
      <c r="AU45" s="5"/>
      <c r="AV45" s="5"/>
      <c r="AW45" s="5"/>
      <c r="AX45" s="5"/>
      <c r="AY45" s="5"/>
      <c r="AZ45" s="5"/>
      <c r="BA45" s="5"/>
    </row>
    <row r="46" spans="2:53" x14ac:dyDescent="0.25">
      <c r="N46" s="5"/>
      <c r="O46" s="5"/>
      <c r="P46" s="5"/>
      <c r="Q46" s="5"/>
      <c r="R46" s="5"/>
      <c r="S46" s="5"/>
      <c r="T46" s="5"/>
      <c r="U46" s="5"/>
      <c r="V46" s="5"/>
      <c r="W46" s="5"/>
      <c r="X46" s="5"/>
      <c r="Y46" s="5"/>
      <c r="Z46" s="5"/>
      <c r="AA46" s="5"/>
      <c r="AB46" s="5"/>
      <c r="AC46" s="5"/>
      <c r="AD46" s="5"/>
      <c r="AK46" s="5"/>
      <c r="AL46" s="5"/>
      <c r="AM46" s="5"/>
      <c r="AN46" s="5"/>
      <c r="AO46" s="5"/>
      <c r="AP46" s="5"/>
      <c r="AQ46" s="5"/>
      <c r="AR46" s="5"/>
      <c r="AS46" s="5"/>
      <c r="AT46" s="5"/>
      <c r="AU46" s="5"/>
      <c r="AV46" s="5"/>
      <c r="AW46" s="5"/>
      <c r="AX46" s="5"/>
      <c r="AY46" s="5"/>
      <c r="AZ46" s="5"/>
      <c r="BA46" s="5"/>
    </row>
    <row r="47" spans="2:53" x14ac:dyDescent="0.25">
      <c r="N47" s="5"/>
      <c r="O47" s="5"/>
      <c r="P47" s="5"/>
      <c r="Q47" s="5"/>
      <c r="R47" s="5"/>
      <c r="S47" s="5"/>
      <c r="T47" s="5"/>
      <c r="U47" s="5"/>
      <c r="V47" s="5"/>
      <c r="W47" s="5"/>
      <c r="X47" s="5"/>
      <c r="Y47" s="5"/>
      <c r="Z47" s="5"/>
      <c r="AA47" s="5"/>
      <c r="AB47" s="5"/>
      <c r="AC47" s="5"/>
      <c r="AD47" s="5"/>
      <c r="AK47" s="5"/>
      <c r="AL47" s="5"/>
      <c r="AM47" s="5"/>
      <c r="AN47" s="5"/>
      <c r="AO47" s="5"/>
      <c r="AP47" s="5"/>
      <c r="AQ47" s="5"/>
      <c r="AR47" s="5"/>
      <c r="AS47" s="5"/>
      <c r="AT47" s="5"/>
      <c r="AU47" s="5"/>
      <c r="AV47" s="5"/>
      <c r="AW47" s="5"/>
      <c r="AX47" s="5"/>
      <c r="AY47" s="5"/>
      <c r="AZ47" s="5"/>
      <c r="BA47" s="5"/>
    </row>
    <row r="48" spans="2:53" x14ac:dyDescent="0.25">
      <c r="B48" s="5"/>
      <c r="N48" s="5"/>
      <c r="O48" s="5"/>
      <c r="P48" s="5"/>
      <c r="Q48" s="5"/>
      <c r="R48" s="5"/>
      <c r="S48" s="5"/>
      <c r="T48" s="5"/>
      <c r="U48" s="5"/>
      <c r="V48" s="5"/>
      <c r="W48" s="5"/>
      <c r="X48" s="5"/>
      <c r="Y48" s="5"/>
      <c r="Z48" s="5"/>
      <c r="AA48" s="5"/>
      <c r="AB48" s="5"/>
      <c r="AC48" s="5"/>
      <c r="AD48" s="5"/>
      <c r="AK48" s="5"/>
      <c r="AL48" s="5"/>
      <c r="AM48" s="5"/>
      <c r="AN48" s="5"/>
      <c r="AO48" s="5"/>
      <c r="AP48" s="5"/>
      <c r="AQ48" s="5"/>
      <c r="AR48" s="5"/>
      <c r="AS48" s="5"/>
      <c r="AT48" s="5"/>
      <c r="AU48" s="5"/>
      <c r="AV48" s="5"/>
      <c r="AW48" s="5"/>
      <c r="AX48" s="5"/>
      <c r="AY48" s="5"/>
      <c r="AZ48" s="5"/>
      <c r="BA48" s="5"/>
    </row>
    <row r="49" spans="14:53" x14ac:dyDescent="0.25">
      <c r="N49" s="5"/>
      <c r="O49" s="5"/>
      <c r="P49" s="5"/>
      <c r="Q49" s="5"/>
      <c r="R49" s="5"/>
      <c r="S49" s="5"/>
      <c r="T49" s="5"/>
      <c r="U49" s="5"/>
      <c r="V49" s="5"/>
      <c r="W49" s="5"/>
      <c r="X49" s="5"/>
      <c r="Y49" s="5"/>
      <c r="Z49" s="5"/>
      <c r="AA49" s="5"/>
      <c r="AB49" s="5"/>
      <c r="AC49" s="5"/>
      <c r="AD49" s="5"/>
      <c r="AK49" s="5"/>
      <c r="AL49" s="5"/>
      <c r="AM49" s="5"/>
      <c r="AN49" s="5"/>
      <c r="AO49" s="5"/>
      <c r="AP49" s="5"/>
      <c r="AQ49" s="5"/>
      <c r="AR49" s="5"/>
      <c r="AS49" s="5"/>
      <c r="AT49" s="5"/>
      <c r="AU49" s="5"/>
      <c r="AV49" s="5"/>
      <c r="AW49" s="5"/>
      <c r="AX49" s="5"/>
      <c r="AY49" s="5"/>
      <c r="AZ49" s="5"/>
      <c r="BA49" s="5"/>
    </row>
    <row r="50" spans="14:53" x14ac:dyDescent="0.25">
      <c r="N50" s="5"/>
      <c r="O50" s="5"/>
      <c r="P50" s="5"/>
      <c r="Q50" s="5"/>
      <c r="R50" s="5"/>
      <c r="S50" s="5"/>
      <c r="T50" s="5"/>
      <c r="U50" s="5"/>
      <c r="V50" s="5"/>
      <c r="W50" s="5"/>
      <c r="X50" s="5"/>
      <c r="Y50" s="5"/>
      <c r="Z50" s="5"/>
      <c r="AA50" s="5"/>
      <c r="AB50" s="5"/>
      <c r="AC50" s="5"/>
      <c r="AD50" s="5"/>
      <c r="AK50" s="5"/>
      <c r="AL50" s="5"/>
      <c r="AM50" s="5"/>
      <c r="AN50" s="5"/>
      <c r="AO50" s="5"/>
      <c r="AP50" s="5"/>
      <c r="AQ50" s="5"/>
      <c r="AR50" s="5"/>
      <c r="AS50" s="5"/>
      <c r="AT50" s="5"/>
      <c r="AU50" s="5"/>
      <c r="AV50" s="5"/>
      <c r="AW50" s="5"/>
      <c r="AX50" s="5"/>
      <c r="AY50" s="5"/>
      <c r="AZ50" s="5"/>
      <c r="BA50" s="5"/>
    </row>
    <row r="51" spans="14:53" x14ac:dyDescent="0.25">
      <c r="N51" s="5"/>
      <c r="O51" s="5"/>
      <c r="P51" s="5"/>
      <c r="Q51" s="5"/>
      <c r="R51" s="5"/>
      <c r="S51" s="5"/>
      <c r="T51" s="5"/>
      <c r="U51" s="5"/>
      <c r="V51" s="5"/>
      <c r="W51" s="5"/>
      <c r="X51" s="5"/>
      <c r="Y51" s="5"/>
      <c r="Z51" s="5"/>
      <c r="AA51" s="5"/>
      <c r="AB51" s="5"/>
      <c r="AC51" s="5"/>
      <c r="AD51" s="5"/>
      <c r="AK51" s="5"/>
      <c r="AL51" s="5"/>
      <c r="AM51" s="5"/>
      <c r="AN51" s="5"/>
      <c r="AO51" s="5"/>
      <c r="AP51" s="5"/>
      <c r="AQ51" s="5"/>
      <c r="AR51" s="5"/>
      <c r="AS51" s="5"/>
      <c r="AT51" s="5"/>
      <c r="AU51" s="5"/>
      <c r="AV51" s="5"/>
      <c r="AW51" s="5"/>
      <c r="AX51" s="5"/>
      <c r="AY51" s="5"/>
      <c r="AZ51" s="5"/>
      <c r="BA51" s="5"/>
    </row>
    <row r="52" spans="14:53" x14ac:dyDescent="0.25">
      <c r="N52" s="5"/>
      <c r="O52" s="5"/>
      <c r="P52" s="5"/>
      <c r="Q52" s="5"/>
      <c r="R52" s="5"/>
      <c r="S52" s="5"/>
      <c r="T52" s="5"/>
      <c r="U52" s="5"/>
      <c r="V52" s="5"/>
      <c r="W52" s="5"/>
      <c r="X52" s="5"/>
      <c r="Y52" s="5"/>
      <c r="Z52" s="5"/>
      <c r="AA52" s="5"/>
      <c r="AB52" s="5"/>
      <c r="AC52" s="5"/>
      <c r="AD52" s="5"/>
      <c r="AK52" s="5"/>
      <c r="AL52" s="5"/>
      <c r="AM52" s="5"/>
      <c r="AN52" s="5"/>
      <c r="AO52" s="5"/>
      <c r="AP52" s="5"/>
      <c r="AQ52" s="5"/>
      <c r="AR52" s="5"/>
      <c r="AS52" s="5"/>
      <c r="AT52" s="5"/>
      <c r="AU52" s="5"/>
      <c r="AV52" s="5"/>
      <c r="AW52" s="5"/>
      <c r="AX52" s="5"/>
      <c r="AY52" s="5"/>
      <c r="AZ52" s="5"/>
      <c r="BA52" s="5"/>
    </row>
    <row r="53" spans="14:53" x14ac:dyDescent="0.25">
      <c r="N53" s="5"/>
      <c r="O53" s="5"/>
      <c r="P53" s="5"/>
      <c r="Q53" s="5"/>
      <c r="R53" s="5"/>
      <c r="S53" s="5"/>
      <c r="T53" s="5"/>
      <c r="U53" s="5"/>
      <c r="V53" s="5"/>
      <c r="W53" s="5"/>
      <c r="X53" s="5"/>
      <c r="Y53" s="5"/>
      <c r="Z53" s="5"/>
      <c r="AA53" s="5"/>
      <c r="AB53" s="5"/>
      <c r="AC53" s="5"/>
      <c r="AD53" s="5"/>
      <c r="AK53" s="5"/>
      <c r="AL53" s="5"/>
      <c r="AM53" s="5"/>
      <c r="AN53" s="5"/>
      <c r="AO53" s="5"/>
      <c r="AP53" s="5"/>
      <c r="AQ53" s="5"/>
      <c r="AR53" s="5"/>
      <c r="AS53" s="5"/>
      <c r="AT53" s="5"/>
      <c r="AU53" s="5"/>
      <c r="AV53" s="5"/>
      <c r="AW53" s="5"/>
      <c r="AX53" s="5"/>
      <c r="AY53" s="5"/>
      <c r="AZ53" s="5"/>
      <c r="BA53" s="5"/>
    </row>
    <row r="54" spans="14:53" x14ac:dyDescent="0.25">
      <c r="N54" s="5"/>
      <c r="O54" s="5"/>
      <c r="P54" s="5"/>
      <c r="Q54" s="5"/>
      <c r="R54" s="5"/>
      <c r="S54" s="5"/>
      <c r="T54" s="5"/>
      <c r="U54" s="5"/>
      <c r="V54" s="5"/>
      <c r="W54" s="5"/>
      <c r="X54" s="5"/>
      <c r="Y54" s="5"/>
      <c r="Z54" s="5"/>
      <c r="AA54" s="5"/>
      <c r="AB54" s="5"/>
      <c r="AC54" s="5"/>
      <c r="AD54" s="5"/>
      <c r="AK54" s="5"/>
      <c r="AL54" s="5"/>
      <c r="AM54" s="5"/>
      <c r="AN54" s="5"/>
      <c r="AO54" s="5"/>
      <c r="AP54" s="5"/>
      <c r="AQ54" s="5"/>
      <c r="AR54" s="5"/>
      <c r="AS54" s="5"/>
      <c r="AT54" s="5"/>
      <c r="AU54" s="5"/>
      <c r="AV54" s="5"/>
      <c r="AW54" s="5"/>
      <c r="AX54" s="5"/>
      <c r="AY54" s="5"/>
      <c r="AZ54" s="5"/>
      <c r="BA54" s="5"/>
    </row>
    <row r="55" spans="14:53" x14ac:dyDescent="0.25">
      <c r="N55" s="5"/>
      <c r="O55" s="5"/>
      <c r="P55" s="5"/>
      <c r="Q55" s="5"/>
      <c r="R55" s="5"/>
      <c r="S55" s="5"/>
      <c r="T55" s="5"/>
      <c r="U55" s="5"/>
      <c r="V55" s="5"/>
      <c r="W55" s="5"/>
      <c r="X55" s="5"/>
      <c r="Y55" s="5"/>
      <c r="Z55" s="5"/>
      <c r="AA55" s="5"/>
      <c r="AB55" s="5"/>
      <c r="AC55" s="5"/>
      <c r="AD55" s="5"/>
      <c r="AK55" s="5"/>
      <c r="AL55" s="5"/>
      <c r="AM55" s="5"/>
      <c r="AN55" s="5"/>
      <c r="AO55" s="5"/>
      <c r="AP55" s="5"/>
      <c r="AQ55" s="5"/>
      <c r="AR55" s="5"/>
      <c r="AS55" s="5"/>
      <c r="AT55" s="5"/>
      <c r="AU55" s="5"/>
      <c r="AV55" s="5"/>
      <c r="AW55" s="5"/>
      <c r="AX55" s="5"/>
      <c r="AY55" s="5"/>
      <c r="AZ55" s="5"/>
      <c r="BA55" s="5"/>
    </row>
    <row r="56" spans="14:53" x14ac:dyDescent="0.25">
      <c r="N56" s="5"/>
      <c r="O56" s="5"/>
      <c r="P56" s="5"/>
      <c r="Q56" s="5"/>
      <c r="R56" s="5"/>
      <c r="S56" s="5"/>
      <c r="T56" s="5"/>
      <c r="U56" s="5"/>
      <c r="V56" s="5"/>
      <c r="W56" s="5"/>
      <c r="X56" s="5"/>
      <c r="Y56" s="5"/>
      <c r="Z56" s="5"/>
      <c r="AA56" s="5"/>
      <c r="AB56" s="5"/>
      <c r="AC56" s="5"/>
      <c r="AD56" s="5"/>
      <c r="AK56" s="5"/>
      <c r="AL56" s="5"/>
      <c r="AM56" s="5"/>
      <c r="AN56" s="5"/>
      <c r="AO56" s="5"/>
      <c r="AP56" s="5"/>
      <c r="AQ56" s="5"/>
      <c r="AR56" s="5"/>
      <c r="AS56" s="5"/>
      <c r="AT56" s="5"/>
      <c r="AU56" s="5"/>
      <c r="AV56" s="5"/>
      <c r="AW56" s="5"/>
      <c r="AX56" s="5"/>
      <c r="AY56" s="5"/>
      <c r="AZ56" s="5"/>
      <c r="BA56" s="5"/>
    </row>
    <row r="57" spans="14:53" x14ac:dyDescent="0.25">
      <c r="N57" s="5"/>
      <c r="O57" s="5"/>
      <c r="P57" s="5"/>
      <c r="Q57" s="5"/>
      <c r="R57" s="5"/>
      <c r="S57" s="5"/>
      <c r="T57" s="5"/>
      <c r="U57" s="5"/>
      <c r="V57" s="5"/>
      <c r="W57" s="5"/>
      <c r="X57" s="5"/>
      <c r="Y57" s="5"/>
      <c r="Z57" s="5"/>
      <c r="AA57" s="5"/>
      <c r="AB57" s="5"/>
      <c r="AC57" s="5"/>
      <c r="AD57" s="5"/>
      <c r="AK57" s="5"/>
      <c r="AL57" s="5"/>
      <c r="AM57" s="5"/>
      <c r="AN57" s="5"/>
      <c r="AO57" s="5"/>
      <c r="AP57" s="5"/>
      <c r="AQ57" s="5"/>
      <c r="AR57" s="5"/>
      <c r="AS57" s="5"/>
      <c r="AT57" s="5"/>
      <c r="AU57" s="5"/>
      <c r="AV57" s="5"/>
      <c r="AW57" s="5"/>
      <c r="AX57" s="5"/>
      <c r="AY57" s="5"/>
      <c r="AZ57" s="5"/>
      <c r="BA57" s="5"/>
    </row>
    <row r="58" spans="14:53" x14ac:dyDescent="0.25">
      <c r="N58" s="5"/>
      <c r="O58" s="5"/>
      <c r="P58" s="5"/>
      <c r="Q58" s="5"/>
      <c r="R58" s="5"/>
      <c r="S58" s="5"/>
      <c r="T58" s="5"/>
      <c r="U58" s="5"/>
      <c r="V58" s="5"/>
      <c r="W58" s="5"/>
      <c r="X58" s="5"/>
      <c r="Y58" s="5"/>
      <c r="Z58" s="5"/>
      <c r="AA58" s="5"/>
      <c r="AB58" s="5"/>
      <c r="AC58" s="5"/>
      <c r="AD58" s="5"/>
      <c r="AK58" s="5"/>
      <c r="AL58" s="5"/>
      <c r="AM58" s="5"/>
      <c r="AN58" s="5"/>
      <c r="AO58" s="5"/>
      <c r="AP58" s="5"/>
      <c r="AQ58" s="5"/>
      <c r="AR58" s="5"/>
      <c r="AS58" s="5"/>
      <c r="AT58" s="5"/>
      <c r="AU58" s="5"/>
      <c r="AV58" s="5"/>
      <c r="AW58" s="5"/>
      <c r="AX58" s="5"/>
      <c r="AY58" s="5"/>
      <c r="AZ58" s="5"/>
      <c r="BA58" s="5"/>
    </row>
    <row r="59" spans="14:53" x14ac:dyDescent="0.25">
      <c r="N59" s="5"/>
      <c r="O59" s="5"/>
      <c r="P59" s="5"/>
      <c r="Q59" s="5"/>
      <c r="R59" s="5"/>
      <c r="S59" s="5"/>
      <c r="T59" s="5"/>
      <c r="U59" s="5"/>
      <c r="V59" s="5"/>
      <c r="W59" s="5"/>
      <c r="X59" s="5"/>
      <c r="Y59" s="5"/>
      <c r="Z59" s="5"/>
      <c r="AA59" s="5"/>
      <c r="AB59" s="5"/>
      <c r="AC59" s="5"/>
      <c r="AD59" s="5"/>
      <c r="AK59" s="5"/>
      <c r="AL59" s="5"/>
      <c r="AM59" s="5"/>
      <c r="AN59" s="5"/>
      <c r="AO59" s="5"/>
      <c r="AP59" s="5"/>
      <c r="AQ59" s="5"/>
      <c r="AR59" s="5"/>
      <c r="AS59" s="5"/>
      <c r="AT59" s="5"/>
      <c r="AU59" s="5"/>
      <c r="AV59" s="5"/>
      <c r="AW59" s="5"/>
      <c r="AX59" s="5"/>
      <c r="AY59" s="5"/>
      <c r="AZ59" s="5"/>
      <c r="BA59" s="5"/>
    </row>
    <row r="60" spans="14:53" x14ac:dyDescent="0.25">
      <c r="N60" s="5"/>
      <c r="O60" s="5"/>
      <c r="P60" s="5"/>
      <c r="Q60" s="5"/>
      <c r="R60" s="5"/>
      <c r="S60" s="5"/>
      <c r="T60" s="5"/>
      <c r="U60" s="5"/>
      <c r="V60" s="5"/>
      <c r="W60" s="5"/>
      <c r="X60" s="5"/>
      <c r="Y60" s="5"/>
      <c r="Z60" s="5"/>
      <c r="AA60" s="5"/>
      <c r="AB60" s="5"/>
      <c r="AC60" s="5"/>
      <c r="AD60" s="5"/>
      <c r="AK60" s="5"/>
      <c r="AL60" s="5"/>
      <c r="AM60" s="5"/>
      <c r="AN60" s="5"/>
      <c r="AO60" s="5"/>
      <c r="AP60" s="5"/>
      <c r="AQ60" s="5"/>
      <c r="AR60" s="5"/>
      <c r="AS60" s="5"/>
      <c r="AT60" s="5"/>
      <c r="AU60" s="5"/>
      <c r="AV60" s="5"/>
      <c r="AW60" s="5"/>
      <c r="AX60" s="5"/>
      <c r="AY60" s="5"/>
      <c r="AZ60" s="5"/>
      <c r="BA60" s="5"/>
    </row>
    <row r="61" spans="14:53" x14ac:dyDescent="0.25">
      <c r="N61" s="5"/>
      <c r="O61" s="5"/>
      <c r="P61" s="5"/>
      <c r="Q61" s="5"/>
      <c r="R61" s="5"/>
      <c r="S61" s="5"/>
      <c r="T61" s="5"/>
      <c r="U61" s="5"/>
      <c r="V61" s="5"/>
      <c r="W61" s="5"/>
      <c r="X61" s="5"/>
      <c r="Y61" s="5"/>
      <c r="Z61" s="5"/>
      <c r="AA61" s="5"/>
      <c r="AB61" s="5"/>
      <c r="AC61" s="5"/>
      <c r="AD61" s="5"/>
      <c r="AK61" s="5"/>
      <c r="AL61" s="5"/>
      <c r="AM61" s="5"/>
      <c r="AN61" s="5"/>
      <c r="AO61" s="5"/>
      <c r="AP61" s="5"/>
      <c r="AQ61" s="5"/>
      <c r="AR61" s="5"/>
      <c r="AS61" s="5"/>
      <c r="AT61" s="5"/>
      <c r="AU61" s="5"/>
      <c r="AV61" s="5"/>
      <c r="AW61" s="5"/>
      <c r="AX61" s="5"/>
      <c r="AY61" s="5"/>
      <c r="AZ61" s="5"/>
      <c r="BA61" s="5"/>
    </row>
    <row r="62" spans="14:53" x14ac:dyDescent="0.25">
      <c r="N62" s="5"/>
      <c r="O62" s="5"/>
      <c r="P62" s="5"/>
      <c r="Q62" s="5"/>
      <c r="R62" s="5"/>
      <c r="S62" s="5"/>
      <c r="T62" s="5"/>
      <c r="U62" s="5"/>
      <c r="V62" s="5"/>
      <c r="W62" s="5"/>
      <c r="X62" s="5"/>
      <c r="Y62" s="5"/>
      <c r="Z62" s="5"/>
      <c r="AA62" s="5"/>
      <c r="AB62" s="5"/>
      <c r="AC62" s="5"/>
      <c r="AD62" s="5"/>
      <c r="AK62" s="5"/>
      <c r="AL62" s="5"/>
      <c r="AM62" s="5"/>
      <c r="AN62" s="5"/>
      <c r="AO62" s="5"/>
      <c r="AP62" s="5"/>
      <c r="AQ62" s="5"/>
      <c r="AR62" s="5"/>
      <c r="AS62" s="5"/>
      <c r="AT62" s="5"/>
      <c r="AU62" s="5"/>
      <c r="AV62" s="5"/>
      <c r="AW62" s="5"/>
      <c r="AX62" s="5"/>
      <c r="AY62" s="5"/>
      <c r="AZ62" s="5"/>
      <c r="BA62" s="5"/>
    </row>
    <row r="63" spans="14:53" x14ac:dyDescent="0.25">
      <c r="N63" s="5"/>
      <c r="O63" s="5"/>
      <c r="P63" s="5"/>
      <c r="Q63" s="5"/>
      <c r="R63" s="5"/>
      <c r="S63" s="5"/>
      <c r="T63" s="5"/>
      <c r="U63" s="5"/>
      <c r="V63" s="5"/>
      <c r="W63" s="5"/>
      <c r="X63" s="5"/>
      <c r="Y63" s="5"/>
      <c r="Z63" s="5"/>
      <c r="AA63" s="5"/>
      <c r="AB63" s="5"/>
      <c r="AC63" s="5"/>
      <c r="AD63" s="5"/>
      <c r="AK63" s="5"/>
      <c r="AL63" s="5"/>
      <c r="AM63" s="5"/>
      <c r="AN63" s="5"/>
      <c r="AO63" s="5"/>
      <c r="AP63" s="5"/>
      <c r="AQ63" s="5"/>
      <c r="AR63" s="5"/>
      <c r="AS63" s="5"/>
      <c r="AT63" s="5"/>
      <c r="AU63" s="5"/>
      <c r="AV63" s="5"/>
      <c r="AW63" s="5"/>
      <c r="AX63" s="5"/>
      <c r="AY63" s="5"/>
      <c r="AZ63" s="5"/>
      <c r="BA63" s="5"/>
    </row>
    <row r="64" spans="14:53" x14ac:dyDescent="0.25">
      <c r="N64" s="5"/>
      <c r="O64" s="5"/>
      <c r="P64" s="5"/>
      <c r="Q64" s="5"/>
      <c r="R64" s="5"/>
      <c r="S64" s="5"/>
      <c r="T64" s="5"/>
      <c r="U64" s="5"/>
      <c r="V64" s="5"/>
      <c r="W64" s="5"/>
      <c r="X64" s="5"/>
      <c r="Y64" s="5"/>
      <c r="Z64" s="5"/>
      <c r="AA64" s="5"/>
      <c r="AB64" s="5"/>
      <c r="AC64" s="5"/>
      <c r="AD64" s="5"/>
      <c r="AK64" s="5"/>
      <c r="AL64" s="5"/>
      <c r="AM64" s="5"/>
      <c r="AN64" s="5"/>
      <c r="AO64" s="5"/>
      <c r="AP64" s="5"/>
      <c r="AQ64" s="5"/>
      <c r="AR64" s="5"/>
      <c r="AS64" s="5"/>
      <c r="AT64" s="5"/>
      <c r="AU64" s="5"/>
      <c r="AV64" s="5"/>
      <c r="AW64" s="5"/>
      <c r="AX64" s="5"/>
      <c r="AY64" s="5"/>
      <c r="AZ64" s="5"/>
      <c r="BA64" s="5"/>
    </row>
    <row r="65" spans="14:53" x14ac:dyDescent="0.25">
      <c r="N65" s="5"/>
      <c r="O65" s="5"/>
      <c r="P65" s="5"/>
      <c r="Q65" s="5"/>
      <c r="R65" s="5"/>
      <c r="S65" s="5"/>
      <c r="T65" s="5"/>
      <c r="U65" s="5"/>
      <c r="V65" s="5"/>
      <c r="W65" s="5"/>
      <c r="X65" s="5"/>
      <c r="Y65" s="5"/>
      <c r="Z65" s="5"/>
      <c r="AA65" s="5"/>
      <c r="AB65" s="5"/>
      <c r="AC65" s="5"/>
      <c r="AD65" s="5"/>
      <c r="AK65" s="5"/>
      <c r="AL65" s="5"/>
      <c r="AM65" s="5"/>
      <c r="AN65" s="5"/>
      <c r="AO65" s="5"/>
      <c r="AP65" s="5"/>
      <c r="AQ65" s="5"/>
      <c r="AR65" s="5"/>
      <c r="AS65" s="5"/>
      <c r="AT65" s="5"/>
      <c r="AU65" s="5"/>
      <c r="AV65" s="5"/>
      <c r="AW65" s="5"/>
      <c r="AX65" s="5"/>
      <c r="AY65" s="5"/>
      <c r="AZ65" s="5"/>
      <c r="BA65" s="5"/>
    </row>
    <row r="66" spans="14:53" x14ac:dyDescent="0.25">
      <c r="AK66" s="5"/>
      <c r="AL66" s="5"/>
      <c r="AM66" s="5"/>
      <c r="AN66" s="5"/>
      <c r="AO66" s="5"/>
      <c r="AP66" s="5"/>
      <c r="AQ66" s="5"/>
      <c r="AR66" s="5"/>
      <c r="AS66" s="5"/>
      <c r="AT66" s="5"/>
      <c r="AU66" s="5"/>
      <c r="AV66" s="5"/>
      <c r="AW66" s="5"/>
      <c r="AX66" s="5"/>
      <c r="AY66" s="5"/>
      <c r="AZ66" s="5"/>
      <c r="BA66" s="5"/>
    </row>
    <row r="67" spans="14:53" x14ac:dyDescent="0.25">
      <c r="AK67" s="5"/>
      <c r="AL67" s="5"/>
      <c r="AM67" s="5"/>
      <c r="AN67" s="5"/>
      <c r="AO67" s="5"/>
      <c r="AP67" s="5"/>
      <c r="AQ67" s="5"/>
      <c r="AR67" s="5"/>
      <c r="AS67" s="5"/>
      <c r="AT67" s="5"/>
      <c r="AU67" s="5"/>
      <c r="AV67" s="5"/>
      <c r="AW67" s="5"/>
      <c r="AX67" s="5"/>
      <c r="AY67" s="5"/>
      <c r="AZ67" s="5"/>
      <c r="BA67" s="5"/>
    </row>
    <row r="68" spans="14:53" x14ac:dyDescent="0.25">
      <c r="AK68" s="5"/>
      <c r="AL68" s="5"/>
      <c r="AM68" s="5"/>
      <c r="AN68" s="5"/>
      <c r="AO68" s="5"/>
      <c r="AP68" s="5"/>
      <c r="AQ68" s="5"/>
      <c r="AR68" s="5"/>
      <c r="AS68" s="5"/>
      <c r="AT68" s="5"/>
      <c r="AU68" s="5"/>
      <c r="AV68" s="5"/>
      <c r="AW68" s="5"/>
      <c r="AX68" s="5"/>
      <c r="AY68" s="5"/>
      <c r="AZ68" s="5"/>
      <c r="BA68" s="5"/>
    </row>
    <row r="69" spans="14:53" x14ac:dyDescent="0.25">
      <c r="AK69" s="5"/>
      <c r="AL69" s="5"/>
      <c r="AM69" s="5"/>
      <c r="AN69" s="5"/>
      <c r="AO69" s="5"/>
      <c r="AP69" s="5"/>
      <c r="AQ69" s="5"/>
      <c r="AR69" s="5"/>
      <c r="AS69" s="5"/>
      <c r="AT69" s="5"/>
      <c r="AU69" s="5"/>
      <c r="AV69" s="5"/>
      <c r="AW69" s="5"/>
      <c r="AX69" s="5"/>
      <c r="AY69" s="5"/>
      <c r="AZ69" s="5"/>
      <c r="BA69" s="5"/>
    </row>
  </sheetData>
  <mergeCells count="40">
    <mergeCell ref="BQ2:BS2"/>
    <mergeCell ref="A1:G1"/>
    <mergeCell ref="I1:AD1"/>
    <mergeCell ref="AF1:BA1"/>
    <mergeCell ref="BF2:BF3"/>
    <mergeCell ref="BG2:BG3"/>
    <mergeCell ref="BI2:BJ2"/>
    <mergeCell ref="BK2:BM2"/>
    <mergeCell ref="BO2:BP2"/>
    <mergeCell ref="AS2:AT2"/>
    <mergeCell ref="AU2:AW2"/>
    <mergeCell ref="AX2:AY2"/>
    <mergeCell ref="AZ2:BA2"/>
    <mergeCell ref="BE2:BE3"/>
    <mergeCell ref="AK2:AK3"/>
    <mergeCell ref="AL2:AL3"/>
    <mergeCell ref="AM2:AM3"/>
    <mergeCell ref="AN2:AN3"/>
    <mergeCell ref="AO2:AR2"/>
    <mergeCell ref="X2:Z2"/>
    <mergeCell ref="AA2:AB2"/>
    <mergeCell ref="AC2:AD2"/>
    <mergeCell ref="AF2:AF3"/>
    <mergeCell ref="AG2:AJ2"/>
    <mergeCell ref="BC2:BD2"/>
    <mergeCell ref="A2:A3"/>
    <mergeCell ref="B2:B3"/>
    <mergeCell ref="C2:C3"/>
    <mergeCell ref="D2:D3"/>
    <mergeCell ref="E2:E3"/>
    <mergeCell ref="F2:F3"/>
    <mergeCell ref="G2:G3"/>
    <mergeCell ref="I2:I3"/>
    <mergeCell ref="J2:M2"/>
    <mergeCell ref="N2:N3"/>
    <mergeCell ref="O2:O3"/>
    <mergeCell ref="P2:P3"/>
    <mergeCell ref="Q2:Q3"/>
    <mergeCell ref="R2:U2"/>
    <mergeCell ref="V2:W2"/>
  </mergeCells>
  <conditionalFormatting sqref="BI4:BI31">
    <cfRule type="cellIs" dxfId="81" priority="5" operator="greaterThanOrEqual">
      <formula>0.03</formula>
    </cfRule>
    <cfRule type="cellIs" dxfId="80" priority="6" operator="lessThanOrEqual">
      <formula>-0.03</formula>
    </cfRule>
  </conditionalFormatting>
  <conditionalFormatting sqref="BJ4:BJ31">
    <cfRule type="cellIs" dxfId="79" priority="7" operator="greaterThanOrEqual">
      <formula>0.03</formula>
    </cfRule>
    <cfRule type="cellIs" dxfId="78" priority="8" operator="lessThanOrEqual">
      <formula>-0.03</formula>
    </cfRule>
  </conditionalFormatting>
  <conditionalFormatting sqref="BK4:BK31">
    <cfRule type="cellIs" dxfId="77" priority="9" operator="greaterThanOrEqual">
      <formula>0.03</formula>
    </cfRule>
    <cfRule type="cellIs" dxfId="76" priority="10" operator="lessThanOrEqual">
      <formula>-0.03</formula>
    </cfRule>
  </conditionalFormatting>
  <conditionalFormatting sqref="BL4:BL31">
    <cfRule type="cellIs" dxfId="75" priority="3" operator="greaterThanOrEqual">
      <formula>0.03</formula>
    </cfRule>
    <cfRule type="cellIs" dxfId="74" priority="4" operator="lessThanOrEqual">
      <formula>-0.03</formula>
    </cfRule>
  </conditionalFormatting>
  <conditionalFormatting sqref="BM4:BM31">
    <cfRule type="cellIs" dxfId="73" priority="11" operator="greaterThanOrEqual">
      <formula>0.03</formula>
    </cfRule>
    <cfRule type="cellIs" dxfId="72" priority="12" operator="lessThanOrEqual">
      <formula>-0.03</formula>
    </cfRule>
  </conditionalFormatting>
  <conditionalFormatting sqref="BO4:BO31">
    <cfRule type="cellIs" dxfId="71" priority="17" operator="greaterThanOrEqual">
      <formula>0.03</formula>
    </cfRule>
    <cfRule type="cellIs" dxfId="70" priority="18" operator="lessThanOrEqual">
      <formula>-0.03</formula>
    </cfRule>
  </conditionalFormatting>
  <conditionalFormatting sqref="BP4:BP31">
    <cfRule type="cellIs" dxfId="69" priority="13" operator="greaterThanOrEqual">
      <formula>0.03</formula>
    </cfRule>
    <cfRule type="cellIs" dxfId="68" priority="14" operator="lessThanOrEqual">
      <formula>-0.03</formula>
    </cfRule>
  </conditionalFormatting>
  <conditionalFormatting sqref="BQ4:BQ31">
    <cfRule type="cellIs" dxfId="67" priority="15" operator="greaterThanOrEqual">
      <formula>0.03</formula>
    </cfRule>
    <cfRule type="cellIs" dxfId="66" priority="16" operator="lessThanOrEqual">
      <formula>-0.03</formula>
    </cfRule>
  </conditionalFormatting>
  <conditionalFormatting sqref="BR4:BR31">
    <cfRule type="cellIs" dxfId="65" priority="19" operator="greaterThanOrEqual">
      <formula>0.03</formula>
    </cfRule>
    <cfRule type="cellIs" dxfId="64" priority="20" operator="lessThanOrEqual">
      <formula>-0.03</formula>
    </cfRule>
  </conditionalFormatting>
  <conditionalFormatting sqref="BS4:BS31">
    <cfRule type="cellIs" dxfId="63" priority="1" operator="greaterThanOrEqual">
      <formula>0.03</formula>
    </cfRule>
    <cfRule type="cellIs" dxfId="62" priority="2" operator="lessThanOrEqual">
      <formula>-0.03</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H17"/>
  <sheetViews>
    <sheetView zoomScale="85" zoomScaleNormal="85" workbookViewId="0">
      <pane xSplit="2" topLeftCell="G1" activePane="topRight" state="frozen"/>
      <selection pane="topRight" activeCell="Y4" sqref="Y4:AB8"/>
    </sheetView>
  </sheetViews>
  <sheetFormatPr defaultRowHeight="15" outlineLevelRow="2" x14ac:dyDescent="0.25"/>
  <cols>
    <col min="2" max="2" width="24.7109375" customWidth="1"/>
    <col min="3" max="4" width="10.7109375" customWidth="1"/>
    <col min="7" max="7" width="1.7109375" customWidth="1"/>
    <col min="10" max="10" width="10.7109375" customWidth="1"/>
    <col min="11" max="11" width="12.7109375" customWidth="1"/>
    <col min="12" max="12" width="10.7109375" customWidth="1"/>
    <col min="13" max="13" width="12.7109375" customWidth="1"/>
    <col min="14" max="15" width="11.7109375" customWidth="1"/>
    <col min="20" max="20" width="1.7109375" customWidth="1"/>
    <col min="23" max="23" width="10.7109375" customWidth="1"/>
    <col min="24" max="24" width="12.7109375" customWidth="1"/>
    <col min="25" max="25" width="10.7109375" customWidth="1"/>
    <col min="26" max="26" width="12.7109375" customWidth="1"/>
    <col min="27" max="28" width="11.7109375" customWidth="1"/>
    <col min="33" max="33" width="1.7109375" customWidth="1"/>
    <col min="35" max="35" width="1.7109375" customWidth="1"/>
  </cols>
  <sheetData>
    <row r="1" spans="1:34" x14ac:dyDescent="0.25">
      <c r="A1" s="76" t="s">
        <v>860</v>
      </c>
      <c r="B1" s="76"/>
      <c r="C1" s="76"/>
      <c r="D1" s="76"/>
      <c r="E1" s="76"/>
      <c r="F1" s="76"/>
      <c r="H1" s="65" t="s">
        <v>1477</v>
      </c>
      <c r="I1" s="65"/>
      <c r="J1" s="65"/>
      <c r="K1" s="65"/>
      <c r="L1" s="65"/>
      <c r="M1" s="65"/>
      <c r="N1" s="65"/>
      <c r="O1" s="65"/>
      <c r="P1" s="65"/>
      <c r="Q1" s="65"/>
      <c r="R1" s="65"/>
      <c r="S1" s="65"/>
      <c r="U1" s="66"/>
      <c r="V1" s="66"/>
      <c r="W1" s="66"/>
      <c r="X1" s="66"/>
      <c r="Y1" s="66"/>
      <c r="Z1" s="66"/>
      <c r="AA1" s="66"/>
      <c r="AB1" s="66"/>
      <c r="AC1" s="66"/>
      <c r="AD1" s="66"/>
      <c r="AE1" s="66"/>
      <c r="AF1" s="66"/>
    </row>
    <row r="2" spans="1:34" ht="30" customHeight="1" x14ac:dyDescent="0.25">
      <c r="A2" s="75" t="s">
        <v>97</v>
      </c>
      <c r="B2" s="73" t="s">
        <v>99</v>
      </c>
      <c r="C2" s="75" t="s">
        <v>101</v>
      </c>
      <c r="D2" s="73" t="s">
        <v>103</v>
      </c>
      <c r="E2" s="75" t="s">
        <v>513</v>
      </c>
      <c r="F2" s="73" t="s">
        <v>515</v>
      </c>
      <c r="H2" s="75" t="s">
        <v>105</v>
      </c>
      <c r="I2" s="73" t="s">
        <v>518</v>
      </c>
      <c r="J2" s="75" t="s">
        <v>520</v>
      </c>
      <c r="K2" s="73" t="s">
        <v>112</v>
      </c>
      <c r="L2" s="75" t="s">
        <v>26</v>
      </c>
      <c r="M2" s="73" t="s">
        <v>524</v>
      </c>
      <c r="N2" s="74" t="s">
        <v>374</v>
      </c>
      <c r="O2" s="74"/>
      <c r="P2" s="77" t="s">
        <v>528</v>
      </c>
      <c r="Q2" s="77"/>
      <c r="R2" s="74" t="s">
        <v>533</v>
      </c>
      <c r="S2" s="74"/>
      <c r="U2" s="73" t="s">
        <v>105</v>
      </c>
      <c r="V2" s="75" t="s">
        <v>518</v>
      </c>
      <c r="W2" s="73" t="s">
        <v>520</v>
      </c>
      <c r="X2" s="75" t="s">
        <v>112</v>
      </c>
      <c r="Y2" s="73" t="s">
        <v>26</v>
      </c>
      <c r="Z2" s="75" t="s">
        <v>524</v>
      </c>
      <c r="AA2" s="77" t="s">
        <v>374</v>
      </c>
      <c r="AB2" s="77"/>
      <c r="AC2" s="74" t="s">
        <v>528</v>
      </c>
      <c r="AD2" s="74"/>
      <c r="AE2" s="77" t="s">
        <v>533</v>
      </c>
      <c r="AF2" s="77"/>
      <c r="AH2" s="75" t="s">
        <v>131</v>
      </c>
    </row>
    <row r="3" spans="1:34" ht="15.75" thickBot="1" x14ac:dyDescent="0.3">
      <c r="A3" s="75"/>
      <c r="B3" s="73"/>
      <c r="C3" s="75"/>
      <c r="D3" s="73"/>
      <c r="E3" s="75"/>
      <c r="F3" s="73"/>
      <c r="H3" s="75"/>
      <c r="I3" s="73"/>
      <c r="J3" s="75"/>
      <c r="K3" s="73"/>
      <c r="L3" s="75"/>
      <c r="M3" s="73"/>
      <c r="N3" s="16" t="s">
        <v>375</v>
      </c>
      <c r="O3" s="16" t="s">
        <v>377</v>
      </c>
      <c r="P3" s="17" t="s">
        <v>529</v>
      </c>
      <c r="Q3" s="17" t="s">
        <v>531</v>
      </c>
      <c r="R3" s="16" t="s">
        <v>529</v>
      </c>
      <c r="S3" s="16" t="s">
        <v>531</v>
      </c>
      <c r="U3" s="73"/>
      <c r="V3" s="75"/>
      <c r="W3" s="73"/>
      <c r="X3" s="75"/>
      <c r="Y3" s="73"/>
      <c r="Z3" s="75"/>
      <c r="AA3" s="17" t="s">
        <v>375</v>
      </c>
      <c r="AB3" s="17" t="s">
        <v>377</v>
      </c>
      <c r="AC3" s="16" t="s">
        <v>529</v>
      </c>
      <c r="AD3" s="16" t="s">
        <v>531</v>
      </c>
      <c r="AE3" s="17" t="s">
        <v>529</v>
      </c>
      <c r="AF3" s="17" t="s">
        <v>531</v>
      </c>
      <c r="AH3" s="75"/>
    </row>
    <row r="4" spans="1:34" collapsed="1" x14ac:dyDescent="0.25">
      <c r="A4" s="18" t="s">
        <v>566</v>
      </c>
      <c r="B4" s="18" t="s">
        <v>554</v>
      </c>
      <c r="C4" s="18">
        <v>238146391</v>
      </c>
      <c r="D4" s="19">
        <v>10</v>
      </c>
      <c r="E4" s="19">
        <v>300</v>
      </c>
      <c r="F4" s="19">
        <v>30</v>
      </c>
      <c r="H4" s="20">
        <f>IF(ISBLANK(M4),"·",M4/(C4*D4*3))</f>
        <v>6.2684222383757784E-3</v>
      </c>
      <c r="I4" s="55">
        <f>IF(OR(ISBLANK(M4),ISBLANK(F4)),"·",M4*F4/E4/1000000)</f>
        <v>4.4784064000000008</v>
      </c>
      <c r="J4" s="21">
        <f>IF(ISBLANK(M4),"·",M4/C4)</f>
        <v>0.18805266715127336</v>
      </c>
      <c r="K4" s="21">
        <f>IF(ISBLANK(M4),"·",M4/L4)</f>
        <v>1.239531819448211</v>
      </c>
      <c r="L4" s="22">
        <v>36129822</v>
      </c>
      <c r="M4" s="23">
        <v>44784064</v>
      </c>
      <c r="N4" s="49" t="s">
        <v>1476</v>
      </c>
      <c r="O4" s="49" t="s">
        <v>1476</v>
      </c>
      <c r="P4" s="24"/>
      <c r="Q4" s="24"/>
      <c r="R4" s="24"/>
      <c r="S4" s="24"/>
      <c r="U4" s="20" t="str">
        <f>IF(ISBLANK(Z4),"·",Z4/(C4*D4*3))</f>
        <v>·</v>
      </c>
      <c r="V4" s="55" t="str">
        <f>IF(OR(ISBLANK(Z4),ISBLANK(F4)),"·",Z4*F4/E4/1000000)</f>
        <v>·</v>
      </c>
      <c r="W4" s="21" t="str">
        <f>IF(ISBLANK(Z4),"·",Z4/C4)</f>
        <v>·</v>
      </c>
      <c r="X4" s="21" t="str">
        <f>IF(ISBLANK(Z4),"·",Z4/Y4)</f>
        <v>·</v>
      </c>
      <c r="Y4" s="22"/>
      <c r="Z4" s="23"/>
      <c r="AA4" s="49"/>
      <c r="AB4" s="49"/>
      <c r="AC4" s="24"/>
      <c r="AD4" s="24"/>
      <c r="AE4" s="24"/>
      <c r="AF4" s="24"/>
      <c r="AH4" s="20" t="e">
        <f t="shared" ref="AH4:AH11" si="0">W4/J4</f>
        <v>#VALUE!</v>
      </c>
    </row>
    <row r="5" spans="1:34" collapsed="1" x14ac:dyDescent="0.25">
      <c r="A5" s="25"/>
      <c r="B5" s="25" t="s">
        <v>557</v>
      </c>
      <c r="C5" s="25">
        <v>218121242</v>
      </c>
      <c r="D5" s="26">
        <v>10</v>
      </c>
      <c r="E5" s="26">
        <v>300</v>
      </c>
      <c r="F5" s="26">
        <v>30</v>
      </c>
      <c r="H5" s="27">
        <f>IF(ISBLANK(M5),"·",M5/(C5*D5*3))</f>
        <v>7.9640637048392863E-3</v>
      </c>
      <c r="I5" s="56">
        <f>IF(OR(ISBLANK(M5),ISBLANK(F5)),"·",M5*F5/E5/1000000)</f>
        <v>5.2113944000000005</v>
      </c>
      <c r="J5" s="28">
        <f>IF(ISBLANK(M5),"·",M5/C5)</f>
        <v>0.23892191114517861</v>
      </c>
      <c r="K5" s="28">
        <f>IF(ISBLANK(M5),"·",M5/L5)</f>
        <v>1.6296826846732297</v>
      </c>
      <c r="L5" s="29">
        <v>31977970</v>
      </c>
      <c r="M5" s="30">
        <v>52113944</v>
      </c>
      <c r="N5" s="51" t="s">
        <v>1476</v>
      </c>
      <c r="O5" s="51" t="s">
        <v>1476</v>
      </c>
      <c r="P5" s="31"/>
      <c r="Q5" s="31"/>
      <c r="R5" s="31"/>
      <c r="S5" s="31"/>
      <c r="U5" s="27" t="str">
        <f>IF(ISBLANK(Z5),"·",Z5/(C5*D5*3))</f>
        <v>·</v>
      </c>
      <c r="V5" s="56" t="str">
        <f>IF(OR(ISBLANK(Z5),ISBLANK(F5)),"·",Z5*F5/E5/1000000)</f>
        <v>·</v>
      </c>
      <c r="W5" s="28" t="str">
        <f>IF(ISBLANK(Z5),"·",Z5/C5)</f>
        <v>·</v>
      </c>
      <c r="X5" s="28" t="str">
        <f>IF(ISBLANK(Z5),"·",Z5/Y5)</f>
        <v>·</v>
      </c>
      <c r="Y5" s="29"/>
      <c r="Z5" s="30"/>
      <c r="AA5" s="51"/>
      <c r="AB5" s="51"/>
      <c r="AC5" s="31"/>
      <c r="AD5" s="31"/>
      <c r="AE5" s="31"/>
      <c r="AF5" s="31"/>
      <c r="AH5" s="27" t="e">
        <f t="shared" si="0"/>
        <v>#VALUE!</v>
      </c>
    </row>
    <row r="6" spans="1:34" collapsed="1" x14ac:dyDescent="0.25">
      <c r="A6" s="18"/>
      <c r="B6" s="18" t="s">
        <v>560</v>
      </c>
      <c r="C6" s="18">
        <v>322589704</v>
      </c>
      <c r="D6" s="19">
        <v>10</v>
      </c>
      <c r="E6" s="19">
        <v>300</v>
      </c>
      <c r="F6" s="19">
        <v>30</v>
      </c>
      <c r="H6" s="20">
        <f>IF(ISBLANK(M6),"·",M6/(C6*D6*3))</f>
        <v>7.441256711652521E-3</v>
      </c>
      <c r="I6" s="55">
        <f>IF(OR(ISBLANK(M6),ISBLANK(F6)),"·",M6*F6/E6/1000000)</f>
        <v>7.2014184000000006</v>
      </c>
      <c r="J6" s="21">
        <f>IF(ISBLANK(M6),"·",M6/C6)</f>
        <v>0.22323770134957563</v>
      </c>
      <c r="K6" s="21">
        <f>IF(ISBLANK(M6),"·",M6/L6)</f>
        <v>1.5190787825564114</v>
      </c>
      <c r="L6" s="22">
        <v>47406484</v>
      </c>
      <c r="M6" s="23">
        <v>72014184</v>
      </c>
      <c r="N6" s="49" t="s">
        <v>1476</v>
      </c>
      <c r="O6" s="49" t="s">
        <v>1476</v>
      </c>
      <c r="P6" s="24"/>
      <c r="Q6" s="24"/>
      <c r="R6" s="24"/>
      <c r="S6" s="24"/>
      <c r="U6" s="20" t="str">
        <f>IF(ISBLANK(Z6),"·",Z6/(C6*D6*3))</f>
        <v>·</v>
      </c>
      <c r="V6" s="55" t="str">
        <f>IF(OR(ISBLANK(Z6),ISBLANK(F6)),"·",Z6*F6/E6/1000000)</f>
        <v>·</v>
      </c>
      <c r="W6" s="21" t="str">
        <f>IF(ISBLANK(Z6),"·",Z6/C6)</f>
        <v>·</v>
      </c>
      <c r="X6" s="21" t="str">
        <f>IF(ISBLANK(Z6),"·",Z6/Y6)</f>
        <v>·</v>
      </c>
      <c r="Y6" s="22"/>
      <c r="Z6" s="23"/>
      <c r="AA6" s="49"/>
      <c r="AB6" s="49"/>
      <c r="AC6" s="24"/>
      <c r="AD6" s="24"/>
      <c r="AE6" s="24"/>
      <c r="AF6" s="24"/>
      <c r="AH6" s="20" t="e">
        <f t="shared" si="0"/>
        <v>#VALUE!</v>
      </c>
    </row>
    <row r="7" spans="1:34" ht="15.75" collapsed="1" thickBot="1" x14ac:dyDescent="0.3">
      <c r="A7" s="32"/>
      <c r="B7" s="32" t="s">
        <v>563</v>
      </c>
      <c r="C7" s="32">
        <v>250602891</v>
      </c>
      <c r="D7" s="33">
        <v>10</v>
      </c>
      <c r="E7" s="33">
        <v>250</v>
      </c>
      <c r="F7" s="33">
        <v>50</v>
      </c>
      <c r="H7" s="34">
        <f>IF(ISBLANK(M7),"·",M7/(C7*D7*3))</f>
        <v>6.6359798432386536E-3</v>
      </c>
      <c r="I7" s="57">
        <f>IF(OR(ISBLANK(M7),ISBLANK(F7)),"·",M7*F7/E7/1000000)</f>
        <v>9.9779744000000008</v>
      </c>
      <c r="J7" s="35">
        <f>IF(ISBLANK(M7),"·",M7/C7)</f>
        <v>0.19907939529715959</v>
      </c>
      <c r="K7" s="35">
        <f>IF(ISBLANK(M7),"·",M7/L7)</f>
        <v>1.3058378850847672</v>
      </c>
      <c r="L7" s="36">
        <v>38205257</v>
      </c>
      <c r="M7" s="37">
        <v>49889872</v>
      </c>
      <c r="N7" s="53" t="s">
        <v>1476</v>
      </c>
      <c r="O7" s="53" t="s">
        <v>1476</v>
      </c>
      <c r="P7" s="38"/>
      <c r="Q7" s="38"/>
      <c r="R7" s="38"/>
      <c r="S7" s="38"/>
      <c r="U7" s="34" t="str">
        <f>IF(ISBLANK(Z7),"·",Z7/(C7*D7*3))</f>
        <v>·</v>
      </c>
      <c r="V7" s="57" t="str">
        <f>IF(OR(ISBLANK(Z7),ISBLANK(F7)),"·",Z7*F7/E7/1000000)</f>
        <v>·</v>
      </c>
      <c r="W7" s="35" t="str">
        <f>IF(ISBLANK(Z7),"·",Z7/C7)</f>
        <v>·</v>
      </c>
      <c r="X7" s="35" t="str">
        <f>IF(ISBLANK(Z7),"·",Z7/Y7)</f>
        <v>·</v>
      </c>
      <c r="Y7" s="36"/>
      <c r="Z7" s="37"/>
      <c r="AA7" s="53"/>
      <c r="AB7" s="53"/>
      <c r="AC7" s="38"/>
      <c r="AD7" s="38"/>
      <c r="AE7" s="38"/>
      <c r="AF7" s="38"/>
      <c r="AH7" s="34" t="e">
        <f t="shared" si="0"/>
        <v>#VALUE!</v>
      </c>
    </row>
    <row r="8" spans="1:34" ht="15.75" collapsed="1" thickBot="1" x14ac:dyDescent="0.3">
      <c r="A8" s="39" t="s">
        <v>570</v>
      </c>
      <c r="B8" s="39" t="s">
        <v>567</v>
      </c>
      <c r="C8" s="39">
        <v>250294582</v>
      </c>
      <c r="D8" s="40">
        <v>10</v>
      </c>
      <c r="E8" s="40">
        <v>300</v>
      </c>
      <c r="F8" s="40">
        <v>30</v>
      </c>
      <c r="H8" s="41">
        <f>IF(ISBLANK(M8),"·",M8/(C8*D8*3))</f>
        <v>7.0090636906661712E-3</v>
      </c>
      <c r="I8" s="58">
        <f>IF(OR(ISBLANK(M8),ISBLANK(F8)),"·",M8*F8/E8/1000000)</f>
        <v>5.2629919999999997</v>
      </c>
      <c r="J8" s="42">
        <f>IF(ISBLANK(M8),"·",M8/C8)</f>
        <v>0.21027191071998513</v>
      </c>
      <c r="K8" s="42">
        <f>IF(ISBLANK(M8),"·",M8/L8)</f>
        <v>1.47019130226464</v>
      </c>
      <c r="L8" s="43">
        <v>35798008</v>
      </c>
      <c r="M8" s="44">
        <v>52629920</v>
      </c>
      <c r="N8" s="59" t="s">
        <v>1476</v>
      </c>
      <c r="O8" s="59" t="s">
        <v>1476</v>
      </c>
      <c r="P8" s="45"/>
      <c r="Q8" s="45"/>
      <c r="R8" s="45"/>
      <c r="S8" s="45"/>
      <c r="U8" s="41" t="str">
        <f>IF(ISBLANK(Z8),"·",Z8/(C8*D8*3))</f>
        <v>·</v>
      </c>
      <c r="V8" s="58" t="str">
        <f>IF(OR(ISBLANK(Z8),ISBLANK(F8)),"·",Z8*F8/E8/1000000)</f>
        <v>·</v>
      </c>
      <c r="W8" s="42" t="str">
        <f>IF(ISBLANK(Z8),"·",Z8/C8)</f>
        <v>·</v>
      </c>
      <c r="X8" s="42" t="str">
        <f>IF(ISBLANK(Z8),"·",Z8/Y8)</f>
        <v>·</v>
      </c>
      <c r="Y8" s="43"/>
      <c r="Z8" s="44"/>
      <c r="AA8" s="59"/>
      <c r="AB8" s="59"/>
      <c r="AC8" s="45"/>
      <c r="AD8" s="45"/>
      <c r="AE8" s="45"/>
      <c r="AF8" s="45"/>
      <c r="AH8" s="41" t="e">
        <f t="shared" si="0"/>
        <v>#VALUE!</v>
      </c>
    </row>
    <row r="9" spans="1:34" x14ac:dyDescent="0.25">
      <c r="B9" s="46" t="s">
        <v>571</v>
      </c>
      <c r="J9" s="47">
        <f>AVERAGE(J4:J7)</f>
        <v>0.21232291873579678</v>
      </c>
      <c r="W9" s="47" t="e">
        <f>AVERAGE(W4:W7)</f>
        <v>#DIV/0!</v>
      </c>
      <c r="AH9" s="6" t="e">
        <f t="shared" si="0"/>
        <v>#DIV/0!</v>
      </c>
    </row>
    <row r="10" spans="1:34" x14ac:dyDescent="0.25">
      <c r="B10" s="46" t="s">
        <v>572</v>
      </c>
      <c r="J10" s="47">
        <f>AVERAGE(J8:J8)</f>
        <v>0.21027191071998513</v>
      </c>
      <c r="W10" s="47" t="e">
        <f>AVERAGE(W8:W8)</f>
        <v>#DIV/0!</v>
      </c>
      <c r="AH10" s="6" t="e">
        <f t="shared" si="0"/>
        <v>#DIV/0!</v>
      </c>
    </row>
    <row r="11" spans="1:34" collapsed="1" x14ac:dyDescent="0.25">
      <c r="B11" s="46" t="s">
        <v>258</v>
      </c>
      <c r="J11" s="47">
        <f>AVERAGE(J4:J7,J8:J8)</f>
        <v>0.21191271713263443</v>
      </c>
      <c r="W11" s="47" t="e">
        <f>AVERAGE(W4:W7,W8:W8)</f>
        <v>#DIV/0!</v>
      </c>
      <c r="AH11" s="6" t="e">
        <f t="shared" si="0"/>
        <v>#DIV/0!</v>
      </c>
    </row>
    <row r="12" spans="1:34" hidden="1" outlineLevel="2" x14ac:dyDescent="0.25">
      <c r="A12" s="46" t="s">
        <v>259</v>
      </c>
      <c r="B12" s="46" t="s">
        <v>260</v>
      </c>
      <c r="P12" s="48">
        <f>SUM(P4:P7,P8:P8)</f>
        <v>0</v>
      </c>
      <c r="Q12" s="48">
        <f>SUM(Q4:Q7,Q8:Q8)</f>
        <v>0</v>
      </c>
      <c r="R12" s="48">
        <f>SUM(R4:R7,R8:R8)</f>
        <v>0</v>
      </c>
      <c r="S12" s="48">
        <f>SUM(S4:S7,S8:S8)</f>
        <v>0</v>
      </c>
      <c r="AC12" s="48">
        <f>SUM(AC4:AC7,AC8:AC8)</f>
        <v>0</v>
      </c>
      <c r="AD12" s="48">
        <f>SUM(AD4:AD7,AD8:AD8)</f>
        <v>0</v>
      </c>
      <c r="AE12" s="48">
        <f>SUM(AE4:AE7,AE8:AE8)</f>
        <v>0</v>
      </c>
      <c r="AF12" s="48">
        <f>SUM(AF4:AF7,AF8:AF8)</f>
        <v>0</v>
      </c>
    </row>
    <row r="13" spans="1:34" hidden="1" outlineLevel="2" x14ac:dyDescent="0.25">
      <c r="B13" s="46" t="s">
        <v>261</v>
      </c>
      <c r="AC13" s="6" t="e">
        <f>AC12/P12</f>
        <v>#DIV/0!</v>
      </c>
      <c r="AD13" s="6" t="e">
        <f>AD12/Q12</f>
        <v>#DIV/0!</v>
      </c>
      <c r="AE13" s="6" t="e">
        <f>AE12/R12</f>
        <v>#DIV/0!</v>
      </c>
      <c r="AF13" s="6" t="e">
        <f>AF12/S12</f>
        <v>#DIV/0!</v>
      </c>
    </row>
    <row r="14" spans="1:34" hidden="1" outlineLevel="2" x14ac:dyDescent="0.25">
      <c r="B14" s="46" t="s">
        <v>262</v>
      </c>
      <c r="P14" s="48" t="e">
        <f>GEOMEAN(P4:P7,P8:P8)</f>
        <v>#NUM!</v>
      </c>
      <c r="Q14" s="48" t="e">
        <f>GEOMEAN(Q4:Q7,Q8:Q8)</f>
        <v>#NUM!</v>
      </c>
      <c r="R14" s="48" t="e">
        <f>GEOMEAN(R4:R7,R8:R8)</f>
        <v>#NUM!</v>
      </c>
      <c r="S14" s="48" t="e">
        <f>GEOMEAN(S4:S7,S8:S8)</f>
        <v>#NUM!</v>
      </c>
      <c r="AC14" s="48" t="e">
        <f>GEOMEAN(AC4:AC7,AC8:AC8)</f>
        <v>#NUM!</v>
      </c>
      <c r="AD14" s="48" t="e">
        <f>GEOMEAN(AD4:AD7,AD8:AD8)</f>
        <v>#NUM!</v>
      </c>
      <c r="AE14" s="48" t="e">
        <f>GEOMEAN(AE4:AE7,AE8:AE8)</f>
        <v>#NUM!</v>
      </c>
      <c r="AF14" s="48" t="e">
        <f>GEOMEAN(AF4:AF7,AF8:AF8)</f>
        <v>#NUM!</v>
      </c>
    </row>
    <row r="15" spans="1:34" outlineLevel="2" collapsed="1" x14ac:dyDescent="0.25">
      <c r="B15" s="46" t="s">
        <v>263</v>
      </c>
      <c r="AC15" s="6" t="e">
        <f>AC14/P14</f>
        <v>#NUM!</v>
      </c>
      <c r="AD15" s="6" t="e">
        <f>AD14/Q14</f>
        <v>#NUM!</v>
      </c>
      <c r="AE15" s="6" t="e">
        <f>AE14/R14</f>
        <v>#NUM!</v>
      </c>
      <c r="AF15" s="6" t="e">
        <f>AF14/S14</f>
        <v>#NUM!</v>
      </c>
    </row>
    <row r="17" spans="2:2" x14ac:dyDescent="0.25">
      <c r="B17" s="5"/>
    </row>
  </sheetData>
  <mergeCells count="28">
    <mergeCell ref="A1:F1"/>
    <mergeCell ref="H1:S1"/>
    <mergeCell ref="U1:AF1"/>
    <mergeCell ref="Z2:Z3"/>
    <mergeCell ref="AA2:AB2"/>
    <mergeCell ref="AC2:AD2"/>
    <mergeCell ref="AE2:AF2"/>
    <mergeCell ref="L2:L3"/>
    <mergeCell ref="M2:M3"/>
    <mergeCell ref="N2:O2"/>
    <mergeCell ref="P2:Q2"/>
    <mergeCell ref="R2:S2"/>
    <mergeCell ref="F2:F3"/>
    <mergeCell ref="H2:H3"/>
    <mergeCell ref="I2:I3"/>
    <mergeCell ref="J2:J3"/>
    <mergeCell ref="AH2:AH3"/>
    <mergeCell ref="U2:U3"/>
    <mergeCell ref="V2:V3"/>
    <mergeCell ref="W2:W3"/>
    <mergeCell ref="X2:X3"/>
    <mergeCell ref="Y2:Y3"/>
    <mergeCell ref="K2:K3"/>
    <mergeCell ref="A2:A3"/>
    <mergeCell ref="B2:B3"/>
    <mergeCell ref="C2:C3"/>
    <mergeCell ref="D2:D3"/>
    <mergeCell ref="E2:E3"/>
  </mergeCells>
  <conditionalFormatting sqref="AH9 AH10 AH11">
    <cfRule type="cellIs" dxfId="61" priority="1" operator="greaterThanOrEqual">
      <formula>1.03</formula>
    </cfRule>
    <cfRule type="cellIs" dxfId="60" priority="2" operator="lessThanOrEqual">
      <formula>0.97</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D17"/>
  <sheetViews>
    <sheetView zoomScale="85" zoomScaleNormal="85" workbookViewId="0">
      <pane xSplit="2" topLeftCell="AB1" activePane="topRight" state="frozen"/>
      <selection pane="topRight" activeCell="AR19" sqref="AR19"/>
    </sheetView>
  </sheetViews>
  <sheetFormatPr defaultRowHeight="15" outlineLevelRow="2" x14ac:dyDescent="0.25"/>
  <cols>
    <col min="2" max="2" width="24.7109375" customWidth="1"/>
    <col min="3" max="4" width="10.7109375" customWidth="1"/>
    <col min="7" max="7" width="1.7109375" customWidth="1"/>
    <col min="10" max="13" width="10.7109375" customWidth="1"/>
    <col min="14" max="14" width="12.7109375" customWidth="1"/>
    <col min="15" max="15" width="10.7109375" customWidth="1"/>
    <col min="16" max="19" width="12.7109375" customWidth="1"/>
    <col min="20" max="24" width="11.7109375" customWidth="1"/>
    <col min="29" max="29" width="1.7109375" customWidth="1"/>
    <col min="32" max="35" width="10.7109375" customWidth="1"/>
    <col min="36" max="36" width="12.7109375" customWidth="1"/>
    <col min="37" max="37" width="10.7109375" customWidth="1"/>
    <col min="38" max="41" width="12.7109375" customWidth="1"/>
    <col min="42" max="46" width="11.7109375" customWidth="1"/>
    <col min="51" max="51" width="1.7109375" customWidth="1"/>
    <col min="52" max="53" width="0.140625" style="5" customWidth="1"/>
    <col min="57" max="57" width="1.7109375" customWidth="1"/>
  </cols>
  <sheetData>
    <row r="1" spans="1:56" x14ac:dyDescent="0.25">
      <c r="A1" s="76" t="s">
        <v>933</v>
      </c>
      <c r="B1" s="76"/>
      <c r="C1" s="76"/>
      <c r="D1" s="76"/>
      <c r="E1" s="76"/>
      <c r="F1" s="76"/>
      <c r="H1" s="65" t="s">
        <v>1477</v>
      </c>
      <c r="I1" s="65"/>
      <c r="J1" s="65"/>
      <c r="K1" s="65"/>
      <c r="L1" s="65"/>
      <c r="M1" s="65"/>
      <c r="N1" s="65"/>
      <c r="O1" s="65"/>
      <c r="P1" s="65"/>
      <c r="Q1" s="65"/>
      <c r="R1" s="65"/>
      <c r="S1" s="65"/>
      <c r="T1" s="65"/>
      <c r="U1" s="65"/>
      <c r="V1" s="65"/>
      <c r="W1" s="65"/>
      <c r="X1" s="65"/>
      <c r="Y1" s="65"/>
      <c r="Z1" s="65"/>
      <c r="AA1" s="65"/>
      <c r="AB1" s="65"/>
      <c r="AD1" s="66"/>
      <c r="AE1" s="66"/>
      <c r="AF1" s="66"/>
      <c r="AG1" s="66"/>
      <c r="AH1" s="66"/>
      <c r="AI1" s="66"/>
      <c r="AJ1" s="66"/>
      <c r="AK1" s="66"/>
      <c r="AL1" s="66"/>
      <c r="AM1" s="66"/>
      <c r="AN1" s="66"/>
      <c r="AO1" s="66"/>
      <c r="AP1" s="66"/>
      <c r="AQ1" s="66"/>
      <c r="AR1" s="66"/>
      <c r="AS1" s="66"/>
      <c r="AT1" s="66"/>
      <c r="AU1" s="66"/>
      <c r="AV1" s="66"/>
      <c r="AW1" s="66"/>
      <c r="AX1" s="66"/>
      <c r="AZ1" s="63" t="s">
        <v>2</v>
      </c>
      <c r="BA1" s="62" t="s">
        <v>3</v>
      </c>
    </row>
    <row r="2" spans="1:56" ht="30" customHeight="1" thickBot="1" x14ac:dyDescent="0.3">
      <c r="A2" s="75" t="s">
        <v>97</v>
      </c>
      <c r="B2" s="73" t="s">
        <v>99</v>
      </c>
      <c r="C2" s="75" t="s">
        <v>101</v>
      </c>
      <c r="D2" s="73" t="s">
        <v>103</v>
      </c>
      <c r="E2" s="75" t="s">
        <v>513</v>
      </c>
      <c r="F2" s="73" t="s">
        <v>515</v>
      </c>
      <c r="H2" s="75" t="s">
        <v>105</v>
      </c>
      <c r="I2" s="73" t="s">
        <v>518</v>
      </c>
      <c r="J2" s="74" t="s">
        <v>107</v>
      </c>
      <c r="K2" s="74"/>
      <c r="L2" s="74"/>
      <c r="M2" s="74"/>
      <c r="N2" s="73" t="s">
        <v>112</v>
      </c>
      <c r="O2" s="75" t="s">
        <v>26</v>
      </c>
      <c r="P2" s="77" t="s">
        <v>115</v>
      </c>
      <c r="Q2" s="77"/>
      <c r="R2" s="77"/>
      <c r="S2" s="77"/>
      <c r="T2" s="74" t="s">
        <v>374</v>
      </c>
      <c r="U2" s="74"/>
      <c r="V2" s="77" t="s">
        <v>284</v>
      </c>
      <c r="W2" s="77"/>
      <c r="X2" s="77"/>
      <c r="Y2" s="74" t="s">
        <v>528</v>
      </c>
      <c r="Z2" s="74"/>
      <c r="AA2" s="77" t="s">
        <v>533</v>
      </c>
      <c r="AB2" s="77"/>
      <c r="AD2" s="75" t="s">
        <v>105</v>
      </c>
      <c r="AE2" s="73" t="s">
        <v>518</v>
      </c>
      <c r="AF2" s="74" t="s">
        <v>107</v>
      </c>
      <c r="AG2" s="74"/>
      <c r="AH2" s="74"/>
      <c r="AI2" s="74"/>
      <c r="AJ2" s="73" t="s">
        <v>112</v>
      </c>
      <c r="AK2" s="75" t="s">
        <v>26</v>
      </c>
      <c r="AL2" s="77" t="s">
        <v>115</v>
      </c>
      <c r="AM2" s="77"/>
      <c r="AN2" s="77"/>
      <c r="AO2" s="77"/>
      <c r="AP2" s="74" t="s">
        <v>374</v>
      </c>
      <c r="AQ2" s="74"/>
      <c r="AR2" s="77" t="s">
        <v>284</v>
      </c>
      <c r="AS2" s="77"/>
      <c r="AT2" s="77"/>
      <c r="AU2" s="74" t="s">
        <v>528</v>
      </c>
      <c r="AV2" s="74"/>
      <c r="AW2" s="77" t="s">
        <v>533</v>
      </c>
      <c r="AX2" s="77"/>
      <c r="AZ2" s="73" t="s">
        <v>115</v>
      </c>
      <c r="BA2" s="73"/>
      <c r="BB2" s="75" t="s">
        <v>131</v>
      </c>
      <c r="BC2" s="73" t="s">
        <v>133</v>
      </c>
      <c r="BD2" s="75" t="s">
        <v>133</v>
      </c>
    </row>
    <row r="3" spans="1:56" ht="30" customHeight="1" thickBot="1" x14ac:dyDescent="0.3">
      <c r="A3" s="75"/>
      <c r="B3" s="73"/>
      <c r="C3" s="75"/>
      <c r="D3" s="73"/>
      <c r="E3" s="75"/>
      <c r="F3" s="73"/>
      <c r="H3" s="75"/>
      <c r="I3" s="73"/>
      <c r="J3" s="16" t="s">
        <v>108</v>
      </c>
      <c r="K3" s="16" t="s">
        <v>587</v>
      </c>
      <c r="L3" s="16" t="s">
        <v>110</v>
      </c>
      <c r="M3" s="16" t="s">
        <v>366</v>
      </c>
      <c r="N3" s="73"/>
      <c r="O3" s="75"/>
      <c r="P3" s="17" t="s">
        <v>108</v>
      </c>
      <c r="Q3" s="17" t="s">
        <v>110</v>
      </c>
      <c r="R3" s="17" t="s">
        <v>597</v>
      </c>
      <c r="S3" s="17" t="s">
        <v>372</v>
      </c>
      <c r="T3" s="16" t="s">
        <v>375</v>
      </c>
      <c r="U3" s="16" t="s">
        <v>377</v>
      </c>
      <c r="V3" s="17" t="s">
        <v>285</v>
      </c>
      <c r="W3" s="17" t="s">
        <v>287</v>
      </c>
      <c r="X3" s="17" t="s">
        <v>289</v>
      </c>
      <c r="Y3" s="16" t="s">
        <v>529</v>
      </c>
      <c r="Z3" s="16" t="s">
        <v>531</v>
      </c>
      <c r="AA3" s="17" t="s">
        <v>529</v>
      </c>
      <c r="AB3" s="17" t="s">
        <v>531</v>
      </c>
      <c r="AD3" s="75"/>
      <c r="AE3" s="73"/>
      <c r="AF3" s="16" t="s">
        <v>108</v>
      </c>
      <c r="AG3" s="16" t="s">
        <v>587</v>
      </c>
      <c r="AH3" s="16" t="s">
        <v>110</v>
      </c>
      <c r="AI3" s="16" t="s">
        <v>366</v>
      </c>
      <c r="AJ3" s="73"/>
      <c r="AK3" s="75"/>
      <c r="AL3" s="17" t="s">
        <v>108</v>
      </c>
      <c r="AM3" s="17" t="s">
        <v>110</v>
      </c>
      <c r="AN3" s="17" t="s">
        <v>597</v>
      </c>
      <c r="AO3" s="17" t="s">
        <v>372</v>
      </c>
      <c r="AP3" s="16" t="s">
        <v>375</v>
      </c>
      <c r="AQ3" s="16" t="s">
        <v>377</v>
      </c>
      <c r="AR3" s="17" t="s">
        <v>285</v>
      </c>
      <c r="AS3" s="17" t="s">
        <v>287</v>
      </c>
      <c r="AT3" s="17" t="s">
        <v>289</v>
      </c>
      <c r="AU3" s="16" t="s">
        <v>529</v>
      </c>
      <c r="AV3" s="16" t="s">
        <v>531</v>
      </c>
      <c r="AW3" s="17" t="s">
        <v>529</v>
      </c>
      <c r="AX3" s="17" t="s">
        <v>531</v>
      </c>
      <c r="AZ3" s="61" t="s">
        <v>595</v>
      </c>
      <c r="BA3" s="61" t="s">
        <v>619</v>
      </c>
      <c r="BB3" s="75"/>
      <c r="BC3" s="73"/>
      <c r="BD3" s="75"/>
    </row>
    <row r="4" spans="1:56" collapsed="1" x14ac:dyDescent="0.25">
      <c r="A4" s="18" t="s">
        <v>566</v>
      </c>
      <c r="B4" s="18" t="s">
        <v>554</v>
      </c>
      <c r="C4" s="18">
        <v>238146391</v>
      </c>
      <c r="D4" s="19">
        <v>10</v>
      </c>
      <c r="E4" s="19">
        <v>300</v>
      </c>
      <c r="F4" s="19">
        <v>30</v>
      </c>
      <c r="H4" s="20">
        <f>IF(ISBLANK(P4),"·",P4/(C4*D4*3))</f>
        <v>3.3539891016026356E-2</v>
      </c>
      <c r="I4" s="55">
        <f>IF(OR(ISBLANK(P4),ISBLANK(F4)),"·",P4*F4/E4/1000000)</f>
        <v>23.962212000000001</v>
      </c>
      <c r="J4" s="21">
        <f>IF(ISBLANK(P4),"·",P4/C4)</f>
        <v>1.0061967304807906</v>
      </c>
      <c r="K4" s="21">
        <f>IF(AZ4="","·",AZ4/C4)</f>
        <v>0.18805159218222206</v>
      </c>
      <c r="L4" s="21">
        <f>IF(Q4="","·",Q4/C4)</f>
        <v>0.17836618821571812</v>
      </c>
      <c r="M4" s="21">
        <f>IF(ISBLANK(S4),"·",S4/C4)</f>
        <v>0.81814406332951739</v>
      </c>
      <c r="N4" s="21">
        <f>IF(ISBLANK(P4),"·",P4/O4)</f>
        <v>6.632252990341331</v>
      </c>
      <c r="O4" s="22">
        <v>36129822</v>
      </c>
      <c r="P4" s="23">
        <v>239622120</v>
      </c>
      <c r="Q4" s="23">
        <v>42477264</v>
      </c>
      <c r="R4" s="23">
        <v>2306544</v>
      </c>
      <c r="S4" s="23">
        <v>194838056</v>
      </c>
      <c r="T4" s="49" t="s">
        <v>1476</v>
      </c>
      <c r="U4" s="49" t="s">
        <v>1476</v>
      </c>
      <c r="V4" s="49" t="s">
        <v>1476</v>
      </c>
      <c r="W4" s="49" t="s">
        <v>1476</v>
      </c>
      <c r="X4" s="49" t="s">
        <v>1476</v>
      </c>
      <c r="Y4" s="24"/>
      <c r="Z4" s="24"/>
      <c r="AA4" s="24"/>
      <c r="AB4" s="24"/>
      <c r="AD4" s="20" t="str">
        <f>IF(ISBLANK(AL4),"·",AL4/(C4*D4*3))</f>
        <v>·</v>
      </c>
      <c r="AE4" s="55" t="str">
        <f>IF(OR(ISBLANK(AL4),ISBLANK(F4)),"·",AL4*F4/E4/1000000)</f>
        <v>·</v>
      </c>
      <c r="AF4" s="21" t="str">
        <f>IF(ISBLANK(AL4),"·",AL4/C4)</f>
        <v>·</v>
      </c>
      <c r="AG4" s="21" t="str">
        <f>IF(BA4="","·",BA4/C4)</f>
        <v>·</v>
      </c>
      <c r="AH4" s="21" t="str">
        <f>IF(AM4="","·",AM4/C4)</f>
        <v>·</v>
      </c>
      <c r="AI4" s="21" t="str">
        <f>IF(ISBLANK(AO4),"·",AO4/C4)</f>
        <v>·</v>
      </c>
      <c r="AJ4" s="21" t="str">
        <f>IF(ISBLANK(AL4),"·",AL4/AK4)</f>
        <v>·</v>
      </c>
      <c r="AK4" s="22"/>
      <c r="AL4" s="23"/>
      <c r="AM4" s="23"/>
      <c r="AN4" s="23"/>
      <c r="AO4" s="23"/>
      <c r="AP4" s="49"/>
      <c r="AQ4" s="49"/>
      <c r="AR4" s="49"/>
      <c r="AS4" s="49"/>
      <c r="AT4" s="49"/>
      <c r="AU4" s="24"/>
      <c r="AV4" s="24"/>
      <c r="AW4" s="24"/>
      <c r="AX4" s="24"/>
      <c r="AZ4" s="18">
        <f>IF(OR(ISBLANK(Q4),ISBLANK(R4)),"",Q4+R4)</f>
        <v>44783808</v>
      </c>
      <c r="BA4" s="18" t="str">
        <f>IF(OR(ISBLANK(AM4),ISBLANK(AN4)),"",AM4+AN4)</f>
        <v/>
      </c>
      <c r="BB4" s="20" t="e">
        <f t="shared" ref="BB4:BB11" si="0">AF4/J4</f>
        <v>#VALUE!</v>
      </c>
      <c r="BC4" s="20" t="e">
        <f>(BA4/AL4) - (AZ4/P4)</f>
        <v>#VALUE!</v>
      </c>
      <c r="BD4" s="20" t="e">
        <f t="array" ref="BD4">AVERAGE(BA4:BA4/AL4:AL4) - AVERAGE(AZ4:AZ4/P4:P4)</f>
        <v>#VALUE!</v>
      </c>
    </row>
    <row r="5" spans="1:56" collapsed="1" x14ac:dyDescent="0.25">
      <c r="A5" s="25"/>
      <c r="B5" s="25" t="s">
        <v>557</v>
      </c>
      <c r="C5" s="25">
        <v>218121242</v>
      </c>
      <c r="D5" s="26">
        <v>10</v>
      </c>
      <c r="E5" s="26">
        <v>300</v>
      </c>
      <c r="F5" s="26">
        <v>30</v>
      </c>
      <c r="H5" s="27">
        <f>IF(ISBLANK(P5),"·",P5/(C5*D5*3))</f>
        <v>4.8477695721171436E-2</v>
      </c>
      <c r="I5" s="56">
        <f>IF(OR(ISBLANK(P5),ISBLANK(F5)),"·",P5*F5/E5/1000000)</f>
        <v>31.722045600000001</v>
      </c>
      <c r="J5" s="28">
        <f>IF(ISBLANK(P5),"·",P5/C5)</f>
        <v>1.4543308716351431</v>
      </c>
      <c r="K5" s="28">
        <f>IF(AZ5="","·",AZ5/C5)</f>
        <v>0.23892073748598955</v>
      </c>
      <c r="L5" s="28">
        <f>IF(Q5="","·",Q5/C5)</f>
        <v>0.22420990982620573</v>
      </c>
      <c r="M5" s="28">
        <f>IF(ISBLANK(S5),"·",S5/C5)</f>
        <v>1.2154089604899645</v>
      </c>
      <c r="N5" s="28">
        <f>IF(ISBLANK(P5),"·",P5/O5)</f>
        <v>9.9199685283337242</v>
      </c>
      <c r="O5" s="29">
        <v>31977970</v>
      </c>
      <c r="P5" s="30">
        <v>317220456</v>
      </c>
      <c r="Q5" s="30">
        <v>48904944</v>
      </c>
      <c r="R5" s="30">
        <v>3208744</v>
      </c>
      <c r="S5" s="30">
        <v>265106512</v>
      </c>
      <c r="T5" s="51" t="s">
        <v>1476</v>
      </c>
      <c r="U5" s="51" t="s">
        <v>1476</v>
      </c>
      <c r="V5" s="51" t="s">
        <v>1476</v>
      </c>
      <c r="W5" s="51" t="s">
        <v>1476</v>
      </c>
      <c r="X5" s="51" t="s">
        <v>1476</v>
      </c>
      <c r="Y5" s="31"/>
      <c r="Z5" s="31"/>
      <c r="AA5" s="31"/>
      <c r="AB5" s="31"/>
      <c r="AD5" s="27" t="str">
        <f>IF(ISBLANK(AL5),"·",AL5/(C5*D5*3))</f>
        <v>·</v>
      </c>
      <c r="AE5" s="56" t="str">
        <f>IF(OR(ISBLANK(AL5),ISBLANK(F5)),"·",AL5*F5/E5/1000000)</f>
        <v>·</v>
      </c>
      <c r="AF5" s="28" t="str">
        <f>IF(ISBLANK(AL5),"·",AL5/C5)</f>
        <v>·</v>
      </c>
      <c r="AG5" s="28" t="str">
        <f>IF(BA5="","·",BA5/C5)</f>
        <v>·</v>
      </c>
      <c r="AH5" s="28" t="str">
        <f>IF(AM5="","·",AM5/C5)</f>
        <v>·</v>
      </c>
      <c r="AI5" s="28" t="str">
        <f>IF(ISBLANK(AO5),"·",AO5/C5)</f>
        <v>·</v>
      </c>
      <c r="AJ5" s="28" t="str">
        <f>IF(ISBLANK(AL5),"·",AL5/AK5)</f>
        <v>·</v>
      </c>
      <c r="AK5" s="29"/>
      <c r="AL5" s="30"/>
      <c r="AM5" s="30"/>
      <c r="AN5" s="30"/>
      <c r="AO5" s="30"/>
      <c r="AP5" s="51"/>
      <c r="AQ5" s="51"/>
      <c r="AR5" s="51"/>
      <c r="AS5" s="51"/>
      <c r="AT5" s="51"/>
      <c r="AU5" s="31"/>
      <c r="AV5" s="31"/>
      <c r="AW5" s="31"/>
      <c r="AX5" s="31"/>
      <c r="AZ5" s="25">
        <f>IF(OR(ISBLANK(Q5),ISBLANK(R5)),"",Q5+R5)</f>
        <v>52113688</v>
      </c>
      <c r="BA5" s="25" t="str">
        <f>IF(OR(ISBLANK(AM5),ISBLANK(AN5)),"",AM5+AN5)</f>
        <v/>
      </c>
      <c r="BB5" s="27" t="e">
        <f t="shared" si="0"/>
        <v>#VALUE!</v>
      </c>
      <c r="BC5" s="27" t="e">
        <f>(BA5/AL5) - (AZ5/P5)</f>
        <v>#VALUE!</v>
      </c>
      <c r="BD5" s="27" t="e">
        <f t="array" ref="BD5">AVERAGE(BA5:BA5/AL5:AL5) - AVERAGE(AZ5:AZ5/P5:P5)</f>
        <v>#VALUE!</v>
      </c>
    </row>
    <row r="6" spans="1:56" collapsed="1" x14ac:dyDescent="0.25">
      <c r="A6" s="18"/>
      <c r="B6" s="18" t="s">
        <v>560</v>
      </c>
      <c r="C6" s="18">
        <v>322589704</v>
      </c>
      <c r="D6" s="19">
        <v>10</v>
      </c>
      <c r="E6" s="19">
        <v>300</v>
      </c>
      <c r="F6" s="19">
        <v>30</v>
      </c>
      <c r="H6" s="20">
        <f>IF(ISBLANK(P6),"·",P6/(C6*D6*3))</f>
        <v>3.8905873243038576E-2</v>
      </c>
      <c r="I6" s="55">
        <f>IF(OR(ISBLANK(P6),ISBLANK(F6)),"·",P6*F6/E6/1000000)</f>
        <v>37.651902399999997</v>
      </c>
      <c r="J6" s="21">
        <f>IF(ISBLANK(P6),"·",P6/C6)</f>
        <v>1.1671761972911572</v>
      </c>
      <c r="K6" s="21">
        <f>IF(AZ6="","·",AZ6/C6)</f>
        <v>0.2232369077718612</v>
      </c>
      <c r="L6" s="21">
        <f>IF(Q6="","·",Q6/C6)</f>
        <v>0.20995663271385748</v>
      </c>
      <c r="M6" s="21">
        <f>IF(ISBLANK(S6),"·",S6/C6)</f>
        <v>0.94393849594158152</v>
      </c>
      <c r="N6" s="21">
        <f>IF(ISBLANK(P6),"·",P6/O6)</f>
        <v>7.9423528646418919</v>
      </c>
      <c r="O6" s="22">
        <v>47406484</v>
      </c>
      <c r="P6" s="23">
        <v>376519024</v>
      </c>
      <c r="Q6" s="23">
        <v>67729848</v>
      </c>
      <c r="R6" s="23">
        <v>4284080</v>
      </c>
      <c r="S6" s="23">
        <v>304504840</v>
      </c>
      <c r="T6" s="49" t="s">
        <v>1476</v>
      </c>
      <c r="U6" s="49" t="s">
        <v>1476</v>
      </c>
      <c r="V6" s="49" t="s">
        <v>1476</v>
      </c>
      <c r="W6" s="49" t="s">
        <v>1476</v>
      </c>
      <c r="X6" s="49" t="s">
        <v>1476</v>
      </c>
      <c r="Y6" s="24"/>
      <c r="Z6" s="24"/>
      <c r="AA6" s="24"/>
      <c r="AB6" s="24"/>
      <c r="AD6" s="20" t="str">
        <f>IF(ISBLANK(AL6),"·",AL6/(C6*D6*3))</f>
        <v>·</v>
      </c>
      <c r="AE6" s="55" t="str">
        <f>IF(OR(ISBLANK(AL6),ISBLANK(F6)),"·",AL6*F6/E6/1000000)</f>
        <v>·</v>
      </c>
      <c r="AF6" s="21" t="str">
        <f>IF(ISBLANK(AL6),"·",AL6/C6)</f>
        <v>·</v>
      </c>
      <c r="AG6" s="21" t="str">
        <f>IF(BA6="","·",BA6/C6)</f>
        <v>·</v>
      </c>
      <c r="AH6" s="21" t="str">
        <f>IF(AM6="","·",AM6/C6)</f>
        <v>·</v>
      </c>
      <c r="AI6" s="21" t="str">
        <f>IF(ISBLANK(AO6),"·",AO6/C6)</f>
        <v>·</v>
      </c>
      <c r="AJ6" s="21" t="str">
        <f>IF(ISBLANK(AL6),"·",AL6/AK6)</f>
        <v>·</v>
      </c>
      <c r="AK6" s="22"/>
      <c r="AL6" s="23"/>
      <c r="AM6" s="23"/>
      <c r="AN6" s="23"/>
      <c r="AO6" s="23"/>
      <c r="AP6" s="49"/>
      <c r="AQ6" s="49"/>
      <c r="AR6" s="49"/>
      <c r="AS6" s="49"/>
      <c r="AT6" s="49"/>
      <c r="AU6" s="24"/>
      <c r="AV6" s="24"/>
      <c r="AW6" s="24"/>
      <c r="AX6" s="24"/>
      <c r="AZ6" s="18">
        <f>IF(OR(ISBLANK(Q6),ISBLANK(R6)),"",Q6+R6)</f>
        <v>72013928</v>
      </c>
      <c r="BA6" s="18" t="str">
        <f>IF(OR(ISBLANK(AM6),ISBLANK(AN6)),"",AM6+AN6)</f>
        <v/>
      </c>
      <c r="BB6" s="20" t="e">
        <f t="shared" si="0"/>
        <v>#VALUE!</v>
      </c>
      <c r="BC6" s="20" t="e">
        <f>(BA6/AL6) - (AZ6/P6)</f>
        <v>#VALUE!</v>
      </c>
      <c r="BD6" s="20" t="e">
        <f t="array" ref="BD6">AVERAGE(BA6:BA6/AL6:AL6) - AVERAGE(AZ6:AZ6/P6:P6)</f>
        <v>#VALUE!</v>
      </c>
    </row>
    <row r="7" spans="1:56" ht="15.75" collapsed="1" thickBot="1" x14ac:dyDescent="0.3">
      <c r="A7" s="32"/>
      <c r="B7" s="32" t="s">
        <v>563</v>
      </c>
      <c r="C7" s="32">
        <v>250602891</v>
      </c>
      <c r="D7" s="33">
        <v>10</v>
      </c>
      <c r="E7" s="33">
        <v>250</v>
      </c>
      <c r="F7" s="33">
        <v>50</v>
      </c>
      <c r="H7" s="34">
        <f>IF(ISBLANK(P7),"·",P7/(C7*D7*3))</f>
        <v>3.6883366999944149E-2</v>
      </c>
      <c r="I7" s="57">
        <f>IF(OR(ISBLANK(P7),ISBLANK(F7)),"·",P7*F7/E7/1000000)</f>
        <v>55.458470399999996</v>
      </c>
      <c r="J7" s="35">
        <f>IF(ISBLANK(P7),"·",P7/C7)</f>
        <v>1.1065010099983243</v>
      </c>
      <c r="K7" s="35">
        <f>IF(AZ7="","·",AZ7/C7)</f>
        <v>0.19907837376066026</v>
      </c>
      <c r="L7" s="35">
        <f>IF(Q7="","·",Q7/C7)</f>
        <v>0.1822413134092695</v>
      </c>
      <c r="M7" s="35">
        <f>IF(ISBLANK(S7),"·",S7/C7)</f>
        <v>0.90742161470116478</v>
      </c>
      <c r="N7" s="35">
        <f>IF(ISBLANK(P7),"·",P7/O7)</f>
        <v>7.2579632692956366</v>
      </c>
      <c r="O7" s="36">
        <v>38205257</v>
      </c>
      <c r="P7" s="37">
        <v>277292352</v>
      </c>
      <c r="Q7" s="37">
        <v>45670200</v>
      </c>
      <c r="R7" s="37">
        <v>4219416</v>
      </c>
      <c r="S7" s="37">
        <v>227402480</v>
      </c>
      <c r="T7" s="53" t="s">
        <v>1476</v>
      </c>
      <c r="U7" s="53" t="s">
        <v>1476</v>
      </c>
      <c r="V7" s="53" t="s">
        <v>1476</v>
      </c>
      <c r="W7" s="53" t="s">
        <v>1476</v>
      </c>
      <c r="X7" s="53" t="s">
        <v>1476</v>
      </c>
      <c r="Y7" s="38"/>
      <c r="Z7" s="38"/>
      <c r="AA7" s="38"/>
      <c r="AB7" s="38"/>
      <c r="AD7" s="34" t="str">
        <f>IF(ISBLANK(AL7),"·",AL7/(C7*D7*3))</f>
        <v>·</v>
      </c>
      <c r="AE7" s="57" t="str">
        <f>IF(OR(ISBLANK(AL7),ISBLANK(F7)),"·",AL7*F7/E7/1000000)</f>
        <v>·</v>
      </c>
      <c r="AF7" s="35" t="str">
        <f>IF(ISBLANK(AL7),"·",AL7/C7)</f>
        <v>·</v>
      </c>
      <c r="AG7" s="35" t="str">
        <f>IF(BA7="","·",BA7/C7)</f>
        <v>·</v>
      </c>
      <c r="AH7" s="35" t="str">
        <f>IF(AM7="","·",AM7/C7)</f>
        <v>·</v>
      </c>
      <c r="AI7" s="35" t="str">
        <f>IF(ISBLANK(AO7),"·",AO7/C7)</f>
        <v>·</v>
      </c>
      <c r="AJ7" s="35" t="str">
        <f>IF(ISBLANK(AL7),"·",AL7/AK7)</f>
        <v>·</v>
      </c>
      <c r="AK7" s="36"/>
      <c r="AL7" s="37"/>
      <c r="AM7" s="37"/>
      <c r="AN7" s="37"/>
      <c r="AO7" s="37"/>
      <c r="AP7" s="53"/>
      <c r="AQ7" s="53"/>
      <c r="AR7" s="53"/>
      <c r="AS7" s="53"/>
      <c r="AT7" s="53"/>
      <c r="AU7" s="38"/>
      <c r="AV7" s="38"/>
      <c r="AW7" s="38"/>
      <c r="AX7" s="38"/>
      <c r="AZ7" s="32">
        <f>IF(OR(ISBLANK(Q7),ISBLANK(R7)),"",Q7+R7)</f>
        <v>49889616</v>
      </c>
      <c r="BA7" s="32" t="str">
        <f>IF(OR(ISBLANK(AM7),ISBLANK(AN7)),"",AM7+AN7)</f>
        <v/>
      </c>
      <c r="BB7" s="34" t="e">
        <f t="shared" si="0"/>
        <v>#VALUE!</v>
      </c>
      <c r="BC7" s="34" t="e">
        <f>(BA7/AL7) - (AZ7/P7)</f>
        <v>#VALUE!</v>
      </c>
      <c r="BD7" s="34" t="e">
        <f t="array" ref="BD7">AVERAGE(BA7:BA7/AL7:AL7) - AVERAGE(AZ7:AZ7/P7:P7)</f>
        <v>#VALUE!</v>
      </c>
    </row>
    <row r="8" spans="1:56" ht="15.75" collapsed="1" thickBot="1" x14ac:dyDescent="0.3">
      <c r="A8" s="39" t="s">
        <v>570</v>
      </c>
      <c r="B8" s="39" t="s">
        <v>567</v>
      </c>
      <c r="C8" s="39">
        <v>250294582</v>
      </c>
      <c r="D8" s="40">
        <v>10</v>
      </c>
      <c r="E8" s="40">
        <v>300</v>
      </c>
      <c r="F8" s="40">
        <v>30</v>
      </c>
      <c r="H8" s="41">
        <f>IF(ISBLANK(P8),"·",P8/(C8*D8*3))</f>
        <v>5.5716589715606925E-2</v>
      </c>
      <c r="I8" s="58">
        <f>IF(OR(ISBLANK(P8),ISBLANK(F8)),"·",P8*F8/E8/1000000)</f>
        <v>41.836681599999999</v>
      </c>
      <c r="J8" s="42">
        <f>IF(ISBLANK(P8),"·",P8/C8)</f>
        <v>1.6714976914682076</v>
      </c>
      <c r="K8" s="42">
        <f>IF(AZ8="","·",AZ8/C8)</f>
        <v>0.2102708879251729</v>
      </c>
      <c r="L8" s="42">
        <f>IF(Q8="","·",Q8/C8)</f>
        <v>0.19906661822987443</v>
      </c>
      <c r="M8" s="42">
        <f>IF(ISBLANK(S8),"·",S8/C8)</f>
        <v>1.4612257807482225</v>
      </c>
      <c r="N8" s="42">
        <f>IF(ISBLANK(P8),"·",P8/O8)</f>
        <v>11.686874197022359</v>
      </c>
      <c r="O8" s="43">
        <v>35798008</v>
      </c>
      <c r="P8" s="44">
        <v>418366816</v>
      </c>
      <c r="Q8" s="44">
        <v>49825296</v>
      </c>
      <c r="R8" s="44">
        <v>2804368</v>
      </c>
      <c r="S8" s="44">
        <v>365736896</v>
      </c>
      <c r="T8" s="59" t="s">
        <v>1476</v>
      </c>
      <c r="U8" s="59" t="s">
        <v>1476</v>
      </c>
      <c r="V8" s="59" t="s">
        <v>1476</v>
      </c>
      <c r="W8" s="59" t="s">
        <v>1476</v>
      </c>
      <c r="X8" s="59" t="s">
        <v>1476</v>
      </c>
      <c r="Y8" s="45"/>
      <c r="Z8" s="45"/>
      <c r="AA8" s="45"/>
      <c r="AB8" s="45"/>
      <c r="AD8" s="41" t="str">
        <f>IF(ISBLANK(AL8),"·",AL8/(C8*D8*3))</f>
        <v>·</v>
      </c>
      <c r="AE8" s="58" t="str">
        <f>IF(OR(ISBLANK(AL8),ISBLANK(F8)),"·",AL8*F8/E8/1000000)</f>
        <v>·</v>
      </c>
      <c r="AF8" s="42" t="str">
        <f>IF(ISBLANK(AL8),"·",AL8/C8)</f>
        <v>·</v>
      </c>
      <c r="AG8" s="42" t="str">
        <f>IF(BA8="","·",BA8/C8)</f>
        <v>·</v>
      </c>
      <c r="AH8" s="42" t="str">
        <f>IF(AM8="","·",AM8/C8)</f>
        <v>·</v>
      </c>
      <c r="AI8" s="42" t="str">
        <f>IF(ISBLANK(AO8),"·",AO8/C8)</f>
        <v>·</v>
      </c>
      <c r="AJ8" s="42" t="str">
        <f>IF(ISBLANK(AL8),"·",AL8/AK8)</f>
        <v>·</v>
      </c>
      <c r="AK8" s="43"/>
      <c r="AL8" s="44"/>
      <c r="AM8" s="44"/>
      <c r="AN8" s="44"/>
      <c r="AO8" s="44"/>
      <c r="AP8" s="59"/>
      <c r="AQ8" s="59"/>
      <c r="AR8" s="59"/>
      <c r="AS8" s="59"/>
      <c r="AT8" s="59"/>
      <c r="AU8" s="45"/>
      <c r="AV8" s="45"/>
      <c r="AW8" s="45"/>
      <c r="AX8" s="45"/>
      <c r="AZ8" s="39">
        <f>IF(OR(ISBLANK(Q8),ISBLANK(R8)),"",Q8+R8)</f>
        <v>52629664</v>
      </c>
      <c r="BA8" s="39" t="str">
        <f>IF(OR(ISBLANK(AM8),ISBLANK(AN8)),"",AM8+AN8)</f>
        <v/>
      </c>
      <c r="BB8" s="41" t="e">
        <f t="shared" si="0"/>
        <v>#VALUE!</v>
      </c>
      <c r="BC8" s="41" t="e">
        <f>(BA8/AL8) - (AZ8/P8)</f>
        <v>#VALUE!</v>
      </c>
      <c r="BD8" s="41" t="e">
        <f t="array" ref="BD8">AVERAGE(BA8:BA8/AL8:AL8) - AVERAGE(AZ8:AZ8/P8:P8)</f>
        <v>#VALUE!</v>
      </c>
    </row>
    <row r="9" spans="1:56" x14ac:dyDescent="0.25">
      <c r="B9" s="46" t="s">
        <v>571</v>
      </c>
      <c r="J9" s="47">
        <f>AVERAGE(J4:J7)</f>
        <v>1.1835512023513539</v>
      </c>
      <c r="AF9" s="47" t="e">
        <f>AVERAGE(AF4:AF7)</f>
        <v>#DIV/0!</v>
      </c>
      <c r="BB9" s="6" t="e">
        <f t="shared" si="0"/>
        <v>#DIV/0!</v>
      </c>
      <c r="BD9" s="6" t="e">
        <f>AVERAGE(BD4:BD7)</f>
        <v>#VALUE!</v>
      </c>
    </row>
    <row r="10" spans="1:56" x14ac:dyDescent="0.25">
      <c r="B10" s="46" t="s">
        <v>572</v>
      </c>
      <c r="J10" s="47">
        <f>AVERAGE(J8:J8)</f>
        <v>1.6714976914682076</v>
      </c>
      <c r="AF10" s="47" t="e">
        <f>AVERAGE(AF8:AF8)</f>
        <v>#DIV/0!</v>
      </c>
      <c r="BB10" s="6" t="e">
        <f t="shared" si="0"/>
        <v>#DIV/0!</v>
      </c>
      <c r="BD10" s="6" t="e">
        <f>AVERAGE(BD8:BD8)</f>
        <v>#VALUE!</v>
      </c>
    </row>
    <row r="11" spans="1:56" collapsed="1" x14ac:dyDescent="0.25">
      <c r="B11" s="46" t="s">
        <v>258</v>
      </c>
      <c r="J11" s="47">
        <f>AVERAGE(J4:J7,J8:J8)</f>
        <v>1.2811405001747247</v>
      </c>
      <c r="AF11" s="47" t="e">
        <f>AVERAGE(AF4:AF7,AF8:AF8)</f>
        <v>#DIV/0!</v>
      </c>
      <c r="BB11" s="6" t="e">
        <f t="shared" si="0"/>
        <v>#DIV/0!</v>
      </c>
      <c r="BD11" s="6" t="e">
        <f>AVERAGE(BD4:BD7,BD8:BD8)</f>
        <v>#VALUE!</v>
      </c>
    </row>
    <row r="12" spans="1:56" hidden="1" outlineLevel="2" x14ac:dyDescent="0.25">
      <c r="A12" s="46" t="s">
        <v>259</v>
      </c>
      <c r="B12" s="46" t="s">
        <v>260</v>
      </c>
      <c r="Y12" s="48">
        <f>SUM(Y4:Y7,Y8:Y8)</f>
        <v>0</v>
      </c>
      <c r="Z12" s="48">
        <f>SUM(Z4:Z7,Z8:Z8)</f>
        <v>0</v>
      </c>
      <c r="AA12" s="48">
        <f>SUM(AA4:AA7,AA8:AA8)</f>
        <v>0</v>
      </c>
      <c r="AB12" s="48">
        <f>SUM(AB4:AB7,AB8:AB8)</f>
        <v>0</v>
      </c>
      <c r="AU12" s="48">
        <f>SUM(AU4:AU7,AU8:AU8)</f>
        <v>0</v>
      </c>
      <c r="AV12" s="48">
        <f>SUM(AV4:AV7,AV8:AV8)</f>
        <v>0</v>
      </c>
      <c r="AW12" s="48">
        <f>SUM(AW4:AW7,AW8:AW8)</f>
        <v>0</v>
      </c>
      <c r="AX12" s="48">
        <f>SUM(AX4:AX7,AX8:AX8)</f>
        <v>0</v>
      </c>
    </row>
    <row r="13" spans="1:56" hidden="1" outlineLevel="2" x14ac:dyDescent="0.25">
      <c r="B13" s="46" t="s">
        <v>261</v>
      </c>
      <c r="AU13" s="6" t="e">
        <f>AU12/Y12</f>
        <v>#DIV/0!</v>
      </c>
      <c r="AV13" s="6" t="e">
        <f>AV12/Z12</f>
        <v>#DIV/0!</v>
      </c>
      <c r="AW13" s="6" t="e">
        <f>AW12/AA12</f>
        <v>#DIV/0!</v>
      </c>
      <c r="AX13" s="6" t="e">
        <f>AX12/AB12</f>
        <v>#DIV/0!</v>
      </c>
    </row>
    <row r="14" spans="1:56" hidden="1" outlineLevel="2" x14ac:dyDescent="0.25">
      <c r="B14" s="46" t="s">
        <v>262</v>
      </c>
      <c r="Y14" s="48" t="e">
        <f>GEOMEAN(Y4:Y7,Y8:Y8)</f>
        <v>#NUM!</v>
      </c>
      <c r="Z14" s="48" t="e">
        <f>GEOMEAN(Z4:Z7,Z8:Z8)</f>
        <v>#NUM!</v>
      </c>
      <c r="AA14" s="48" t="e">
        <f>GEOMEAN(AA4:AA7,AA8:AA8)</f>
        <v>#NUM!</v>
      </c>
      <c r="AB14" s="48" t="e">
        <f>GEOMEAN(AB4:AB7,AB8:AB8)</f>
        <v>#NUM!</v>
      </c>
      <c r="AU14" s="48" t="e">
        <f>GEOMEAN(AU4:AU7,AU8:AU8)</f>
        <v>#NUM!</v>
      </c>
      <c r="AV14" s="48" t="e">
        <f>GEOMEAN(AV4:AV7,AV8:AV8)</f>
        <v>#NUM!</v>
      </c>
      <c r="AW14" s="48" t="e">
        <f>GEOMEAN(AW4:AW7,AW8:AW8)</f>
        <v>#NUM!</v>
      </c>
      <c r="AX14" s="48" t="e">
        <f>GEOMEAN(AX4:AX7,AX8:AX8)</f>
        <v>#NUM!</v>
      </c>
    </row>
    <row r="15" spans="1:56" outlineLevel="2" collapsed="1" x14ac:dyDescent="0.25">
      <c r="B15" s="46" t="s">
        <v>263</v>
      </c>
      <c r="AU15" s="6" t="e">
        <f>AU14/Y14</f>
        <v>#NUM!</v>
      </c>
      <c r="AV15" s="6" t="e">
        <f>AV14/Z14</f>
        <v>#NUM!</v>
      </c>
      <c r="AW15" s="6" t="e">
        <f>AW14/AA14</f>
        <v>#NUM!</v>
      </c>
      <c r="AX15" s="6" t="e">
        <f>AX14/AB14</f>
        <v>#NUM!</v>
      </c>
    </row>
    <row r="17" spans="2:2" x14ac:dyDescent="0.25">
      <c r="B17" s="5"/>
    </row>
  </sheetData>
  <mergeCells count="33">
    <mergeCell ref="T2:U2"/>
    <mergeCell ref="O2:O3"/>
    <mergeCell ref="A1:F1"/>
    <mergeCell ref="H1:AB1"/>
    <mergeCell ref="AD1:AX1"/>
    <mergeCell ref="AK2:AK3"/>
    <mergeCell ref="AL2:AO2"/>
    <mergeCell ref="AP2:AQ2"/>
    <mergeCell ref="AR2:AT2"/>
    <mergeCell ref="AU2:AV2"/>
    <mergeCell ref="AA2:AB2"/>
    <mergeCell ref="AD2:AD3"/>
    <mergeCell ref="AE2:AE3"/>
    <mergeCell ref="AF2:AI2"/>
    <mergeCell ref="Y2:Z2"/>
    <mergeCell ref="AW2:AX2"/>
    <mergeCell ref="P2:S2"/>
    <mergeCell ref="F2:F3"/>
    <mergeCell ref="H2:H3"/>
    <mergeCell ref="I2:I3"/>
    <mergeCell ref="J2:M2"/>
    <mergeCell ref="N2:N3"/>
    <mergeCell ref="A2:A3"/>
    <mergeCell ref="B2:B3"/>
    <mergeCell ref="C2:C3"/>
    <mergeCell ref="D2:D3"/>
    <mergeCell ref="E2:E3"/>
    <mergeCell ref="V2:X2"/>
    <mergeCell ref="BB2:BB3"/>
    <mergeCell ref="BC2:BC3"/>
    <mergeCell ref="BD2:BD3"/>
    <mergeCell ref="AZ2:BA2"/>
    <mergeCell ref="AJ2:AJ3"/>
  </mergeCells>
  <conditionalFormatting sqref="BB9:BB11">
    <cfRule type="cellIs" dxfId="59" priority="1" operator="greaterThanOrEqual">
      <formula>1.03</formula>
    </cfRule>
    <cfRule type="cellIs" dxfId="58" priority="2" operator="lessThanOrEqual">
      <formula>0.97</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Z16"/>
  <sheetViews>
    <sheetView workbookViewId="0">
      <pane xSplit="2" topLeftCell="C1" activePane="topRight" state="frozen"/>
      <selection pane="topRight" sqref="A1:F1"/>
    </sheetView>
  </sheetViews>
  <sheetFormatPr defaultRowHeight="15" outlineLevelRow="2" x14ac:dyDescent="0.25"/>
  <cols>
    <col min="2" max="2" width="24.7109375" customWidth="1"/>
    <col min="3" max="4" width="10.7109375" customWidth="1"/>
    <col min="7" max="7" width="1.7109375" customWidth="1"/>
    <col min="10" max="10" width="10.7109375" customWidth="1"/>
    <col min="11" max="11" width="12.7109375" customWidth="1"/>
    <col min="12" max="12" width="10.7109375" customWidth="1"/>
    <col min="13" max="13" width="12.7109375" customWidth="1"/>
    <col min="16" max="16" width="1.7109375" customWidth="1"/>
    <col min="19" max="19" width="10.7109375" customWidth="1"/>
    <col min="20" max="20" width="12.7109375" customWidth="1"/>
    <col min="21" max="21" width="10.7109375" customWidth="1"/>
    <col min="22" max="22" width="12.7109375" customWidth="1"/>
    <col min="25" max="25" width="1.7109375" customWidth="1"/>
    <col min="27" max="27" width="1.7109375" customWidth="1"/>
  </cols>
  <sheetData>
    <row r="1" spans="1:26" x14ac:dyDescent="0.25">
      <c r="A1" s="76" t="s">
        <v>976</v>
      </c>
      <c r="B1" s="76"/>
      <c r="C1" s="76"/>
      <c r="D1" s="76"/>
      <c r="E1" s="76"/>
      <c r="F1" s="76"/>
      <c r="H1" s="65" t="s">
        <v>2</v>
      </c>
      <c r="I1" s="65"/>
      <c r="J1" s="65"/>
      <c r="K1" s="65"/>
      <c r="L1" s="65"/>
      <c r="M1" s="65"/>
      <c r="N1" s="65"/>
      <c r="O1" s="65"/>
      <c r="Q1" s="66" t="s">
        <v>3</v>
      </c>
      <c r="R1" s="66"/>
      <c r="S1" s="66"/>
      <c r="T1" s="66"/>
      <c r="U1" s="66"/>
      <c r="V1" s="66"/>
      <c r="W1" s="66"/>
      <c r="X1" s="66"/>
    </row>
    <row r="2" spans="1:26" ht="30" customHeight="1" x14ac:dyDescent="0.25">
      <c r="A2" s="75" t="s">
        <v>97</v>
      </c>
      <c r="B2" s="73" t="s">
        <v>99</v>
      </c>
      <c r="C2" s="75" t="s">
        <v>101</v>
      </c>
      <c r="D2" s="73" t="s">
        <v>103</v>
      </c>
      <c r="E2" s="75" t="s">
        <v>513</v>
      </c>
      <c r="F2" s="73" t="s">
        <v>515</v>
      </c>
      <c r="H2" s="75" t="s">
        <v>105</v>
      </c>
      <c r="I2" s="73" t="s">
        <v>518</v>
      </c>
      <c r="J2" s="75" t="s">
        <v>520</v>
      </c>
      <c r="K2" s="73" t="s">
        <v>112</v>
      </c>
      <c r="L2" s="75" t="s">
        <v>26</v>
      </c>
      <c r="M2" s="73" t="s">
        <v>524</v>
      </c>
      <c r="N2" s="75" t="s">
        <v>118</v>
      </c>
      <c r="O2" s="73" t="s">
        <v>120</v>
      </c>
      <c r="Q2" s="75" t="s">
        <v>105</v>
      </c>
      <c r="R2" s="73" t="s">
        <v>518</v>
      </c>
      <c r="S2" s="75" t="s">
        <v>520</v>
      </c>
      <c r="T2" s="73" t="s">
        <v>112</v>
      </c>
      <c r="U2" s="75" t="s">
        <v>26</v>
      </c>
      <c r="V2" s="73" t="s">
        <v>524</v>
      </c>
      <c r="W2" s="75" t="s">
        <v>118</v>
      </c>
      <c r="X2" s="73" t="s">
        <v>120</v>
      </c>
      <c r="Z2" s="75" t="s">
        <v>131</v>
      </c>
    </row>
    <row r="3" spans="1:26" x14ac:dyDescent="0.25">
      <c r="A3" s="75"/>
      <c r="B3" s="73"/>
      <c r="C3" s="75"/>
      <c r="D3" s="73"/>
      <c r="E3" s="75"/>
      <c r="F3" s="73"/>
      <c r="H3" s="75"/>
      <c r="I3" s="73"/>
      <c r="J3" s="75"/>
      <c r="K3" s="73"/>
      <c r="L3" s="75"/>
      <c r="M3" s="73"/>
      <c r="N3" s="75"/>
      <c r="O3" s="73"/>
      <c r="Q3" s="75"/>
      <c r="R3" s="73"/>
      <c r="S3" s="75"/>
      <c r="T3" s="73"/>
      <c r="U3" s="75"/>
      <c r="V3" s="73"/>
      <c r="W3" s="75"/>
      <c r="X3" s="73"/>
      <c r="Z3" s="75"/>
    </row>
    <row r="4" spans="1:26" collapsed="1" x14ac:dyDescent="0.25">
      <c r="A4" s="18" t="s">
        <v>990</v>
      </c>
      <c r="B4" s="18" t="s">
        <v>981</v>
      </c>
      <c r="C4" s="18">
        <v>19948121</v>
      </c>
      <c r="D4" s="19">
        <v>21</v>
      </c>
      <c r="E4" s="19">
        <v>1</v>
      </c>
      <c r="F4" s="19"/>
      <c r="H4" s="20" t="str">
        <f t="shared" ref="H4:H9" si="0">IF(ISBLANK(M4),"·",M4/(C4*D4*3))</f>
        <v>·</v>
      </c>
      <c r="I4" s="55" t="str">
        <f t="shared" ref="I4:I9" si="1">IF(OR(ISBLANK(M4),ISBLANK(F4)),"·",M4*F4/E4/1000000)</f>
        <v>·</v>
      </c>
      <c r="J4" s="21" t="str">
        <f t="shared" ref="J4:J9" si="2">IF(ISBLANK(M4),"·",M4/C4)</f>
        <v>·</v>
      </c>
      <c r="K4" s="21" t="str">
        <f t="shared" ref="K4:K9" si="3">IF(ISBLANK(M4),"·",M4/L4)</f>
        <v>·</v>
      </c>
      <c r="L4" s="22"/>
      <c r="M4" s="23"/>
      <c r="N4" s="24"/>
      <c r="O4" s="24"/>
      <c r="Q4" s="20" t="str">
        <f t="shared" ref="Q4:Q9" si="4">IF(ISBLANK(V4),"·",V4/(C4*D4*3))</f>
        <v>·</v>
      </c>
      <c r="R4" s="55" t="str">
        <f t="shared" ref="R4:R9" si="5">IF(OR(ISBLANK(V4),ISBLANK(F4)),"·",V4*F4/E4/1000000)</f>
        <v>·</v>
      </c>
      <c r="S4" s="21" t="str">
        <f t="shared" ref="S4:S9" si="6">IF(ISBLANK(V4),"·",V4/C4)</f>
        <v>·</v>
      </c>
      <c r="T4" s="21" t="str">
        <f t="shared" ref="T4:T9" si="7">IF(ISBLANK(V4),"·",V4/U4)</f>
        <v>·</v>
      </c>
      <c r="U4" s="22"/>
      <c r="V4" s="23"/>
      <c r="W4" s="24"/>
      <c r="X4" s="24"/>
      <c r="Z4" s="20" t="e">
        <f t="shared" ref="Z4:Z12" si="8">S4/J4</f>
        <v>#VALUE!</v>
      </c>
    </row>
    <row r="5" spans="1:26" collapsed="1" x14ac:dyDescent="0.25">
      <c r="A5" s="25"/>
      <c r="B5" s="25" t="s">
        <v>984</v>
      </c>
      <c r="C5" s="25">
        <v>5255920</v>
      </c>
      <c r="D5" s="26">
        <v>20</v>
      </c>
      <c r="E5" s="26">
        <v>1</v>
      </c>
      <c r="F5" s="26"/>
      <c r="H5" s="27" t="str">
        <f t="shared" si="0"/>
        <v>·</v>
      </c>
      <c r="I5" s="56" t="str">
        <f t="shared" si="1"/>
        <v>·</v>
      </c>
      <c r="J5" s="28" t="str">
        <f t="shared" si="2"/>
        <v>·</v>
      </c>
      <c r="K5" s="28" t="str">
        <f t="shared" si="3"/>
        <v>·</v>
      </c>
      <c r="L5" s="29"/>
      <c r="M5" s="30"/>
      <c r="N5" s="31"/>
      <c r="O5" s="31"/>
      <c r="Q5" s="27" t="str">
        <f t="shared" si="4"/>
        <v>·</v>
      </c>
      <c r="R5" s="56" t="str">
        <f t="shared" si="5"/>
        <v>·</v>
      </c>
      <c r="S5" s="28" t="str">
        <f t="shared" si="6"/>
        <v>·</v>
      </c>
      <c r="T5" s="28" t="str">
        <f t="shared" si="7"/>
        <v>·</v>
      </c>
      <c r="U5" s="29"/>
      <c r="V5" s="30"/>
      <c r="W5" s="31"/>
      <c r="X5" s="31"/>
      <c r="Z5" s="27" t="e">
        <f t="shared" si="8"/>
        <v>#VALUE!</v>
      </c>
    </row>
    <row r="6" spans="1:26" collapsed="1" x14ac:dyDescent="0.25">
      <c r="A6" s="39"/>
      <c r="B6" s="39" t="s">
        <v>987</v>
      </c>
      <c r="C6" s="39">
        <v>7148516</v>
      </c>
      <c r="D6" s="40">
        <v>21</v>
      </c>
      <c r="E6" s="40">
        <v>1</v>
      </c>
      <c r="F6" s="40"/>
      <c r="H6" s="41" t="str">
        <f t="shared" si="0"/>
        <v>·</v>
      </c>
      <c r="I6" s="58" t="str">
        <f t="shared" si="1"/>
        <v>·</v>
      </c>
      <c r="J6" s="42" t="str">
        <f t="shared" si="2"/>
        <v>·</v>
      </c>
      <c r="K6" s="42" t="str">
        <f t="shared" si="3"/>
        <v>·</v>
      </c>
      <c r="L6" s="43"/>
      <c r="M6" s="44"/>
      <c r="N6" s="45"/>
      <c r="O6" s="45"/>
      <c r="Q6" s="41" t="str">
        <f t="shared" si="4"/>
        <v>·</v>
      </c>
      <c r="R6" s="58" t="str">
        <f t="shared" si="5"/>
        <v>·</v>
      </c>
      <c r="S6" s="42" t="str">
        <f t="shared" si="6"/>
        <v>·</v>
      </c>
      <c r="T6" s="42" t="str">
        <f t="shared" si="7"/>
        <v>·</v>
      </c>
      <c r="U6" s="43"/>
      <c r="V6" s="44"/>
      <c r="W6" s="45"/>
      <c r="X6" s="45"/>
      <c r="Z6" s="41" t="e">
        <f t="shared" si="8"/>
        <v>#VALUE!</v>
      </c>
    </row>
    <row r="7" spans="1:26" collapsed="1" x14ac:dyDescent="0.25">
      <c r="A7" s="25" t="s">
        <v>1000</v>
      </c>
      <c r="B7" s="25" t="s">
        <v>991</v>
      </c>
      <c r="C7" s="25">
        <v>123940658</v>
      </c>
      <c r="D7" s="26">
        <v>18</v>
      </c>
      <c r="E7" s="26">
        <v>1500</v>
      </c>
      <c r="F7" s="26">
        <v>10</v>
      </c>
      <c r="H7" s="27" t="str">
        <f t="shared" si="0"/>
        <v>·</v>
      </c>
      <c r="I7" s="56" t="str">
        <f t="shared" si="1"/>
        <v>·</v>
      </c>
      <c r="J7" s="28" t="str">
        <f t="shared" si="2"/>
        <v>·</v>
      </c>
      <c r="K7" s="28" t="str">
        <f t="shared" si="3"/>
        <v>·</v>
      </c>
      <c r="L7" s="29"/>
      <c r="M7" s="30"/>
      <c r="N7" s="31"/>
      <c r="O7" s="31"/>
      <c r="Q7" s="27" t="str">
        <f t="shared" si="4"/>
        <v>·</v>
      </c>
      <c r="R7" s="56" t="str">
        <f t="shared" si="5"/>
        <v>·</v>
      </c>
      <c r="S7" s="28" t="str">
        <f t="shared" si="6"/>
        <v>·</v>
      </c>
      <c r="T7" s="28" t="str">
        <f t="shared" si="7"/>
        <v>·</v>
      </c>
      <c r="U7" s="29"/>
      <c r="V7" s="30"/>
      <c r="W7" s="31"/>
      <c r="X7" s="31"/>
      <c r="Z7" s="27" t="e">
        <f t="shared" si="8"/>
        <v>#VALUE!</v>
      </c>
    </row>
    <row r="8" spans="1:26" collapsed="1" x14ac:dyDescent="0.25">
      <c r="A8" s="18"/>
      <c r="B8" s="18" t="s">
        <v>994</v>
      </c>
      <c r="C8" s="18">
        <v>125751705</v>
      </c>
      <c r="D8" s="19">
        <v>18</v>
      </c>
      <c r="E8" s="19">
        <v>1500</v>
      </c>
      <c r="F8" s="19">
        <v>10</v>
      </c>
      <c r="H8" s="20" t="str">
        <f t="shared" si="0"/>
        <v>·</v>
      </c>
      <c r="I8" s="55" t="str">
        <f t="shared" si="1"/>
        <v>·</v>
      </c>
      <c r="J8" s="21" t="str">
        <f t="shared" si="2"/>
        <v>·</v>
      </c>
      <c r="K8" s="21" t="str">
        <f t="shared" si="3"/>
        <v>·</v>
      </c>
      <c r="L8" s="22"/>
      <c r="M8" s="23"/>
      <c r="N8" s="24"/>
      <c r="O8" s="24"/>
      <c r="Q8" s="20" t="str">
        <f t="shared" si="4"/>
        <v>·</v>
      </c>
      <c r="R8" s="55" t="str">
        <f t="shared" si="5"/>
        <v>·</v>
      </c>
      <c r="S8" s="21" t="str">
        <f t="shared" si="6"/>
        <v>·</v>
      </c>
      <c r="T8" s="21" t="str">
        <f t="shared" si="7"/>
        <v>·</v>
      </c>
      <c r="U8" s="22"/>
      <c r="V8" s="23"/>
      <c r="W8" s="24"/>
      <c r="X8" s="24"/>
      <c r="Z8" s="20" t="e">
        <f t="shared" si="8"/>
        <v>#VALUE!</v>
      </c>
    </row>
    <row r="9" spans="1:26" collapsed="1" x14ac:dyDescent="0.25">
      <c r="A9" s="32"/>
      <c r="B9" s="32" t="s">
        <v>997</v>
      </c>
      <c r="C9" s="32">
        <v>126093865</v>
      </c>
      <c r="D9" s="33">
        <v>18</v>
      </c>
      <c r="E9" s="33">
        <v>1500</v>
      </c>
      <c r="F9" s="33">
        <v>10</v>
      </c>
      <c r="H9" s="34" t="str">
        <f t="shared" si="0"/>
        <v>·</v>
      </c>
      <c r="I9" s="57" t="str">
        <f t="shared" si="1"/>
        <v>·</v>
      </c>
      <c r="J9" s="35" t="str">
        <f t="shared" si="2"/>
        <v>·</v>
      </c>
      <c r="K9" s="35" t="str">
        <f t="shared" si="3"/>
        <v>·</v>
      </c>
      <c r="L9" s="36"/>
      <c r="M9" s="37"/>
      <c r="N9" s="38"/>
      <c r="O9" s="38"/>
      <c r="Q9" s="34" t="str">
        <f t="shared" si="4"/>
        <v>·</v>
      </c>
      <c r="R9" s="57" t="str">
        <f t="shared" si="5"/>
        <v>·</v>
      </c>
      <c r="S9" s="35" t="str">
        <f t="shared" si="6"/>
        <v>·</v>
      </c>
      <c r="T9" s="35" t="str">
        <f t="shared" si="7"/>
        <v>·</v>
      </c>
      <c r="U9" s="36"/>
      <c r="V9" s="37"/>
      <c r="W9" s="38"/>
      <c r="X9" s="38"/>
      <c r="Z9" s="34" t="e">
        <f t="shared" si="8"/>
        <v>#VALUE!</v>
      </c>
    </row>
    <row r="10" spans="1:26" x14ac:dyDescent="0.25">
      <c r="B10" s="46" t="s">
        <v>1001</v>
      </c>
      <c r="J10" s="47" t="e">
        <f>AVERAGE(J4:J6)</f>
        <v>#DIV/0!</v>
      </c>
      <c r="S10" s="47" t="e">
        <f>AVERAGE(S4:S6)</f>
        <v>#DIV/0!</v>
      </c>
      <c r="Z10" s="6" t="e">
        <f t="shared" si="8"/>
        <v>#DIV/0!</v>
      </c>
    </row>
    <row r="11" spans="1:26" x14ac:dyDescent="0.25">
      <c r="B11" s="46" t="s">
        <v>1002</v>
      </c>
      <c r="J11" s="47" t="e">
        <f>AVERAGE(J7:J9)</f>
        <v>#DIV/0!</v>
      </c>
      <c r="S11" s="47" t="e">
        <f>AVERAGE(S7:S9)</f>
        <v>#DIV/0!</v>
      </c>
      <c r="Z11" s="6" t="e">
        <f t="shared" si="8"/>
        <v>#DIV/0!</v>
      </c>
    </row>
    <row r="12" spans="1:26" x14ac:dyDescent="0.25">
      <c r="B12" s="46" t="s">
        <v>258</v>
      </c>
      <c r="J12" s="47" t="e">
        <f>AVERAGE(J4:J6,J7:J9)</f>
        <v>#DIV/0!</v>
      </c>
      <c r="S12" s="47" t="e">
        <f>AVERAGE(S4:S6,S7:S9)</f>
        <v>#DIV/0!</v>
      </c>
      <c r="Z12" s="6" t="e">
        <f t="shared" si="8"/>
        <v>#DIV/0!</v>
      </c>
    </row>
    <row r="13" spans="1:26" hidden="1" outlineLevel="2" x14ac:dyDescent="0.25">
      <c r="A13" s="46" t="s">
        <v>259</v>
      </c>
      <c r="B13" s="46" t="s">
        <v>260</v>
      </c>
      <c r="N13" s="48">
        <f>SUM(N4:N6,N7:N9)</f>
        <v>0</v>
      </c>
      <c r="O13" s="48">
        <f>SUM(O4:O6,O7:O9)</f>
        <v>0</v>
      </c>
      <c r="W13" s="48">
        <f>SUM(W4:W6,W7:W9)</f>
        <v>0</v>
      </c>
      <c r="X13" s="48">
        <f>SUM(X4:X6,X7:X9)</f>
        <v>0</v>
      </c>
    </row>
    <row r="14" spans="1:26" hidden="1" outlineLevel="2" x14ac:dyDescent="0.25">
      <c r="B14" s="46" t="s">
        <v>261</v>
      </c>
      <c r="W14" s="6" t="e">
        <f>W13/N13</f>
        <v>#DIV/0!</v>
      </c>
      <c r="X14" s="6" t="e">
        <f>X13/O13</f>
        <v>#DIV/0!</v>
      </c>
    </row>
    <row r="15" spans="1:26" hidden="1" outlineLevel="2" x14ac:dyDescent="0.25">
      <c r="B15" s="46" t="s">
        <v>262</v>
      </c>
      <c r="N15" s="48" t="e">
        <f>GEOMEAN(N4:N6,N7:N9)</f>
        <v>#NUM!</v>
      </c>
      <c r="O15" s="48" t="e">
        <f>GEOMEAN(O4:O6,O7:O9)</f>
        <v>#NUM!</v>
      </c>
      <c r="W15" s="48" t="e">
        <f>GEOMEAN(W4:W6,W7:W9)</f>
        <v>#NUM!</v>
      </c>
      <c r="X15" s="48" t="e">
        <f>GEOMEAN(X4:X6,X7:X9)</f>
        <v>#NUM!</v>
      </c>
    </row>
    <row r="16" spans="1:26" outlineLevel="2" collapsed="1" x14ac:dyDescent="0.25">
      <c r="B16" s="46" t="s">
        <v>263</v>
      </c>
      <c r="W16" s="6" t="e">
        <f>W15/N15</f>
        <v>#NUM!</v>
      </c>
      <c r="X16" s="6" t="e">
        <f>X15/O15</f>
        <v>#NUM!</v>
      </c>
    </row>
  </sheetData>
  <mergeCells count="26">
    <mergeCell ref="W2:W3"/>
    <mergeCell ref="X2:X3"/>
    <mergeCell ref="Z2:Z3"/>
    <mergeCell ref="A1:F1"/>
    <mergeCell ref="H1:O1"/>
    <mergeCell ref="Q1:X1"/>
    <mergeCell ref="R2:R3"/>
    <mergeCell ref="S2:S3"/>
    <mergeCell ref="T2:T3"/>
    <mergeCell ref="U2:U3"/>
    <mergeCell ref="V2:V3"/>
    <mergeCell ref="L2:L3"/>
    <mergeCell ref="M2:M3"/>
    <mergeCell ref="N2:N3"/>
    <mergeCell ref="O2:O3"/>
    <mergeCell ref="Q2:Q3"/>
    <mergeCell ref="F2:F3"/>
    <mergeCell ref="H2:H3"/>
    <mergeCell ref="I2:I3"/>
    <mergeCell ref="J2:J3"/>
    <mergeCell ref="K2:K3"/>
    <mergeCell ref="A2:A3"/>
    <mergeCell ref="B2:B3"/>
    <mergeCell ref="C2:C3"/>
    <mergeCell ref="D2:D3"/>
    <mergeCell ref="E2:E3"/>
  </mergeCells>
  <conditionalFormatting sqref="Z10 Z11 Z12">
    <cfRule type="cellIs" dxfId="57" priority="1" operator="greaterThanOrEqual">
      <formula>1.03</formula>
    </cfRule>
    <cfRule type="cellIs" dxfId="56" priority="2" operator="lessThanOrEqual">
      <formula>0.97</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O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1" width="10.7109375" customWidth="1"/>
    <col min="12" max="12" width="12.7109375" customWidth="1"/>
    <col min="13" max="13" width="10.7109375" customWidth="1"/>
    <col min="14" max="15" width="12.7109375" customWidth="1"/>
    <col min="16" max="18" width="11.7109375" customWidth="1"/>
    <col min="21" max="21" width="1.7109375" customWidth="1"/>
    <col min="23" max="24" width="10.7109375" customWidth="1"/>
    <col min="25" max="25" width="12.7109375" customWidth="1"/>
    <col min="26" max="26" width="10.7109375" customWidth="1"/>
    <col min="27" max="28" width="12.7109375" customWidth="1"/>
    <col min="29" max="31" width="11.7109375" customWidth="1"/>
    <col min="34" max="34" width="1.7109375" customWidth="1"/>
    <col min="35" max="37" width="11.7109375" customWidth="1"/>
    <col min="38" max="38" width="1.7109375" customWidth="1"/>
    <col min="39" max="41" width="11.7109375" customWidth="1"/>
    <col min="42" max="42" width="1.7109375" customWidth="1"/>
  </cols>
  <sheetData>
    <row r="1" spans="1:41" x14ac:dyDescent="0.25">
      <c r="A1" s="76" t="s">
        <v>1045</v>
      </c>
      <c r="B1" s="76"/>
      <c r="C1" s="76"/>
      <c r="D1" s="76"/>
      <c r="E1" s="76"/>
      <c r="F1" s="76"/>
      <c r="G1" s="76"/>
      <c r="I1" s="65" t="s">
        <v>2</v>
      </c>
      <c r="J1" s="65"/>
      <c r="K1" s="65"/>
      <c r="L1" s="65"/>
      <c r="M1" s="65"/>
      <c r="N1" s="65"/>
      <c r="O1" s="65"/>
      <c r="P1" s="65"/>
      <c r="Q1" s="65"/>
      <c r="R1" s="65"/>
      <c r="S1" s="65"/>
      <c r="T1" s="65"/>
      <c r="V1" s="66" t="s">
        <v>3</v>
      </c>
      <c r="W1" s="66"/>
      <c r="X1" s="66"/>
      <c r="Y1" s="66"/>
      <c r="Z1" s="66"/>
      <c r="AA1" s="66"/>
      <c r="AB1" s="66"/>
      <c r="AC1" s="66"/>
      <c r="AD1" s="66"/>
      <c r="AE1" s="66"/>
      <c r="AF1" s="66"/>
      <c r="AG1" s="66"/>
    </row>
    <row r="2" spans="1:41" ht="30" customHeight="1" x14ac:dyDescent="0.25">
      <c r="A2" s="75" t="s">
        <v>97</v>
      </c>
      <c r="B2" s="73" t="s">
        <v>99</v>
      </c>
      <c r="C2" s="75" t="s">
        <v>275</v>
      </c>
      <c r="D2" s="73" t="s">
        <v>101</v>
      </c>
      <c r="E2" s="75" t="s">
        <v>103</v>
      </c>
      <c r="F2" s="73" t="s">
        <v>513</v>
      </c>
      <c r="G2" s="75" t="s">
        <v>515</v>
      </c>
      <c r="I2" s="73" t="s">
        <v>518</v>
      </c>
      <c r="J2" s="74" t="s">
        <v>107</v>
      </c>
      <c r="K2" s="74"/>
      <c r="L2" s="73" t="s">
        <v>112</v>
      </c>
      <c r="M2" s="75" t="s">
        <v>26</v>
      </c>
      <c r="N2" s="77" t="s">
        <v>115</v>
      </c>
      <c r="O2" s="77"/>
      <c r="P2" s="74" t="s">
        <v>284</v>
      </c>
      <c r="Q2" s="74"/>
      <c r="R2" s="74"/>
      <c r="S2" s="73" t="s">
        <v>118</v>
      </c>
      <c r="T2" s="75" t="s">
        <v>120</v>
      </c>
      <c r="V2" s="73" t="s">
        <v>518</v>
      </c>
      <c r="W2" s="74" t="s">
        <v>107</v>
      </c>
      <c r="X2" s="74"/>
      <c r="Y2" s="73" t="s">
        <v>112</v>
      </c>
      <c r="Z2" s="75" t="s">
        <v>26</v>
      </c>
      <c r="AA2" s="77" t="s">
        <v>115</v>
      </c>
      <c r="AB2" s="77"/>
      <c r="AC2" s="74" t="s">
        <v>284</v>
      </c>
      <c r="AD2" s="74"/>
      <c r="AE2" s="74"/>
      <c r="AF2" s="73" t="s">
        <v>118</v>
      </c>
      <c r="AG2" s="75" t="s">
        <v>120</v>
      </c>
      <c r="AI2" s="77" t="s">
        <v>412</v>
      </c>
      <c r="AJ2" s="77"/>
      <c r="AK2" s="77"/>
      <c r="AM2" s="74" t="s">
        <v>301</v>
      </c>
      <c r="AN2" s="74"/>
      <c r="AO2" s="74"/>
    </row>
    <row r="3" spans="1:41" x14ac:dyDescent="0.25">
      <c r="A3" s="75"/>
      <c r="B3" s="73"/>
      <c r="C3" s="75"/>
      <c r="D3" s="73"/>
      <c r="E3" s="75"/>
      <c r="F3" s="73"/>
      <c r="G3" s="75"/>
      <c r="I3" s="73"/>
      <c r="J3" s="16" t="s">
        <v>108</v>
      </c>
      <c r="K3" s="16" t="s">
        <v>366</v>
      </c>
      <c r="L3" s="73"/>
      <c r="M3" s="75"/>
      <c r="N3" s="17" t="s">
        <v>108</v>
      </c>
      <c r="O3" s="17" t="s">
        <v>372</v>
      </c>
      <c r="P3" s="16" t="s">
        <v>285</v>
      </c>
      <c r="Q3" s="16" t="s">
        <v>287</v>
      </c>
      <c r="R3" s="16" t="s">
        <v>289</v>
      </c>
      <c r="S3" s="73"/>
      <c r="T3" s="75"/>
      <c r="V3" s="73"/>
      <c r="W3" s="16" t="s">
        <v>108</v>
      </c>
      <c r="X3" s="16" t="s">
        <v>366</v>
      </c>
      <c r="Y3" s="73"/>
      <c r="Z3" s="75"/>
      <c r="AA3" s="17" t="s">
        <v>108</v>
      </c>
      <c r="AB3" s="17" t="s">
        <v>372</v>
      </c>
      <c r="AC3" s="16" t="s">
        <v>285</v>
      </c>
      <c r="AD3" s="16" t="s">
        <v>287</v>
      </c>
      <c r="AE3" s="16" t="s">
        <v>289</v>
      </c>
      <c r="AF3" s="73"/>
      <c r="AG3" s="75"/>
      <c r="AI3" s="17" t="s">
        <v>285</v>
      </c>
      <c r="AJ3" s="17" t="s">
        <v>287</v>
      </c>
      <c r="AK3" s="17" t="s">
        <v>289</v>
      </c>
      <c r="AM3" s="16" t="s">
        <v>285</v>
      </c>
      <c r="AN3" s="16" t="s">
        <v>287</v>
      </c>
      <c r="AO3" s="16" t="s">
        <v>289</v>
      </c>
    </row>
    <row r="4" spans="1:41" collapsed="1" x14ac:dyDescent="0.25">
      <c r="A4" s="18" t="s">
        <v>990</v>
      </c>
      <c r="B4" s="18" t="s">
        <v>981</v>
      </c>
      <c r="C4" s="19" t="s">
        <v>310</v>
      </c>
      <c r="D4" s="18">
        <v>19948121</v>
      </c>
      <c r="E4" s="19">
        <v>21</v>
      </c>
      <c r="F4" s="19">
        <v>1</v>
      </c>
      <c r="G4" s="19"/>
      <c r="I4" s="55" t="str">
        <f t="shared" ref="I4:I21" si="0">IF(OR(ISBLANK(N4),ISBLANK(G4)),"·",N4*G4/F4/1000000)</f>
        <v>·</v>
      </c>
      <c r="J4" s="21" t="str">
        <f t="shared" ref="J4:J21" si="1">IF(ISBLANK(N4),"·",N4/D4)</f>
        <v>·</v>
      </c>
      <c r="K4" s="21" t="str">
        <f t="shared" ref="K4:K21" si="2">IF(ISBLANK(O4),"·",O4/D4)</f>
        <v>·</v>
      </c>
      <c r="L4" s="21" t="str">
        <f t="shared" ref="L4:L21" si="3">IF(ISBLANK(N4),"·",N4/M4)</f>
        <v>·</v>
      </c>
      <c r="M4" s="22"/>
      <c r="N4" s="23"/>
      <c r="O4" s="23"/>
      <c r="P4" s="49"/>
      <c r="Q4" s="49"/>
      <c r="R4" s="49"/>
      <c r="S4" s="24"/>
      <c r="T4" s="24"/>
      <c r="V4" s="55" t="str">
        <f t="shared" ref="V4:V21" si="4">IF(OR(ISBLANK(AA4),ISBLANK(G4)),"·",AA4*G4/F4/1000000)</f>
        <v>·</v>
      </c>
      <c r="W4" s="21" t="str">
        <f t="shared" ref="W4:W21" si="5">IF(ISBLANK(AA4),"·",AA4/D4)</f>
        <v>·</v>
      </c>
      <c r="X4" s="21" t="str">
        <f t="shared" ref="X4:X21" si="6">IF(ISBLANK(AB4),"·",AB4/D4)</f>
        <v>·</v>
      </c>
      <c r="Y4" s="21" t="str">
        <f t="shared" ref="Y4:Y21" si="7">IF(ISBLANK(AA4),"·",AA4/Z4)</f>
        <v>·</v>
      </c>
      <c r="Z4" s="22"/>
      <c r="AA4" s="23"/>
      <c r="AB4" s="23"/>
      <c r="AC4" s="49"/>
      <c r="AD4" s="49"/>
      <c r="AE4" s="49"/>
      <c r="AF4" s="24"/>
      <c r="AG4" s="24"/>
      <c r="AI4" s="50" t="e">
        <f>bdRateExtend( N4:N9,P4:P9, AA4:AA9,AC4:AC9)</f>
        <v>#VALUE!</v>
      </c>
      <c r="AJ4" s="50" t="e">
        <f>bdRateExtend( N4:N9,Q4:Q9, AA4:AA9,AD4:AD9)</f>
        <v>#VALUE!</v>
      </c>
      <c r="AK4" s="50" t="e">
        <f>bdRateExtend( N4:N9,R4:R9, AA4:AA9,AE4:AE9)</f>
        <v>#VALUE!</v>
      </c>
      <c r="AM4" s="50" t="e">
        <f>bdRateExtend( O4:O9,P4:P9, AB4:AB9,AC4:AC9)</f>
        <v>#VALUE!</v>
      </c>
      <c r="AN4" s="50" t="e">
        <f>bdRateExtend( O4:O9,Q4:Q9, AB4:AB9,AD4:AD9)</f>
        <v>#VALUE!</v>
      </c>
      <c r="AO4" s="50" t="e">
        <f>bdRateExtend( O4:O9,R4:R9, AB4:AB9,AE4:AE9)</f>
        <v>#VALUE!</v>
      </c>
    </row>
    <row r="5" spans="1:41" outlineLevel="1" x14ac:dyDescent="0.25">
      <c r="A5" s="25"/>
      <c r="B5" s="25"/>
      <c r="C5" s="26" t="s">
        <v>311</v>
      </c>
      <c r="D5" s="25">
        <v>19948121</v>
      </c>
      <c r="E5" s="26">
        <v>21</v>
      </c>
      <c r="F5" s="26">
        <v>1</v>
      </c>
      <c r="G5" s="26"/>
      <c r="I5" s="56" t="str">
        <f t="shared" si="0"/>
        <v>·</v>
      </c>
      <c r="J5" s="28" t="str">
        <f t="shared" si="1"/>
        <v>·</v>
      </c>
      <c r="K5" s="28" t="str">
        <f t="shared" si="2"/>
        <v>·</v>
      </c>
      <c r="L5" s="28" t="str">
        <f t="shared" si="3"/>
        <v>·</v>
      </c>
      <c r="M5" s="29"/>
      <c r="N5" s="30"/>
      <c r="O5" s="30"/>
      <c r="P5" s="51"/>
      <c r="Q5" s="51"/>
      <c r="R5" s="51"/>
      <c r="S5" s="31"/>
      <c r="T5" s="31"/>
      <c r="V5" s="56" t="str">
        <f t="shared" si="4"/>
        <v>·</v>
      </c>
      <c r="W5" s="28" t="str">
        <f t="shared" si="5"/>
        <v>·</v>
      </c>
      <c r="X5" s="28" t="str">
        <f t="shared" si="6"/>
        <v>·</v>
      </c>
      <c r="Y5" s="28" t="str">
        <f t="shared" si="7"/>
        <v>·</v>
      </c>
      <c r="Z5" s="29"/>
      <c r="AA5" s="30"/>
      <c r="AB5" s="30"/>
      <c r="AC5" s="51"/>
      <c r="AD5" s="51"/>
      <c r="AE5" s="51"/>
      <c r="AF5" s="31"/>
      <c r="AG5" s="31"/>
      <c r="AI5" s="52"/>
      <c r="AJ5" s="52"/>
      <c r="AK5" s="52"/>
      <c r="AM5" s="52"/>
      <c r="AN5" s="52"/>
      <c r="AO5" s="52"/>
    </row>
    <row r="6" spans="1:41" outlineLevel="1" x14ac:dyDescent="0.25">
      <c r="A6" s="18"/>
      <c r="B6" s="18"/>
      <c r="C6" s="19" t="s">
        <v>312</v>
      </c>
      <c r="D6" s="18">
        <v>19948121</v>
      </c>
      <c r="E6" s="19">
        <v>21</v>
      </c>
      <c r="F6" s="19">
        <v>1</v>
      </c>
      <c r="G6" s="19"/>
      <c r="I6" s="55" t="str">
        <f t="shared" si="0"/>
        <v>·</v>
      </c>
      <c r="J6" s="21" t="str">
        <f t="shared" si="1"/>
        <v>·</v>
      </c>
      <c r="K6" s="21" t="str">
        <f t="shared" si="2"/>
        <v>·</v>
      </c>
      <c r="L6" s="21" t="str">
        <f t="shared" si="3"/>
        <v>·</v>
      </c>
      <c r="M6" s="22"/>
      <c r="N6" s="23"/>
      <c r="O6" s="23"/>
      <c r="P6" s="49"/>
      <c r="Q6" s="49"/>
      <c r="R6" s="49"/>
      <c r="S6" s="24"/>
      <c r="T6" s="24"/>
      <c r="V6" s="55" t="str">
        <f t="shared" si="4"/>
        <v>·</v>
      </c>
      <c r="W6" s="21" t="str">
        <f t="shared" si="5"/>
        <v>·</v>
      </c>
      <c r="X6" s="21" t="str">
        <f t="shared" si="6"/>
        <v>·</v>
      </c>
      <c r="Y6" s="21" t="str">
        <f t="shared" si="7"/>
        <v>·</v>
      </c>
      <c r="Z6" s="22"/>
      <c r="AA6" s="23"/>
      <c r="AB6" s="23"/>
      <c r="AC6" s="49"/>
      <c r="AD6" s="49"/>
      <c r="AE6" s="49"/>
      <c r="AF6" s="24"/>
      <c r="AG6" s="24"/>
      <c r="AI6" s="50"/>
      <c r="AJ6" s="50"/>
      <c r="AK6" s="50"/>
      <c r="AM6" s="50"/>
      <c r="AN6" s="50"/>
      <c r="AO6" s="50"/>
    </row>
    <row r="7" spans="1:41" outlineLevel="1" x14ac:dyDescent="0.25">
      <c r="A7" s="25"/>
      <c r="B7" s="25"/>
      <c r="C7" s="26" t="s">
        <v>313</v>
      </c>
      <c r="D7" s="25">
        <v>19948121</v>
      </c>
      <c r="E7" s="26">
        <v>21</v>
      </c>
      <c r="F7" s="26">
        <v>1</v>
      </c>
      <c r="G7" s="26"/>
      <c r="I7" s="56" t="str">
        <f t="shared" si="0"/>
        <v>·</v>
      </c>
      <c r="J7" s="28" t="str">
        <f t="shared" si="1"/>
        <v>·</v>
      </c>
      <c r="K7" s="28" t="str">
        <f t="shared" si="2"/>
        <v>·</v>
      </c>
      <c r="L7" s="28" t="str">
        <f t="shared" si="3"/>
        <v>·</v>
      </c>
      <c r="M7" s="29"/>
      <c r="N7" s="30"/>
      <c r="O7" s="30"/>
      <c r="P7" s="51"/>
      <c r="Q7" s="51"/>
      <c r="R7" s="51"/>
      <c r="S7" s="31"/>
      <c r="T7" s="31"/>
      <c r="V7" s="56" t="str">
        <f t="shared" si="4"/>
        <v>·</v>
      </c>
      <c r="W7" s="28" t="str">
        <f t="shared" si="5"/>
        <v>·</v>
      </c>
      <c r="X7" s="28" t="str">
        <f t="shared" si="6"/>
        <v>·</v>
      </c>
      <c r="Y7" s="28" t="str">
        <f t="shared" si="7"/>
        <v>·</v>
      </c>
      <c r="Z7" s="29"/>
      <c r="AA7" s="30"/>
      <c r="AB7" s="30"/>
      <c r="AC7" s="51"/>
      <c r="AD7" s="51"/>
      <c r="AE7" s="51"/>
      <c r="AF7" s="31"/>
      <c r="AG7" s="31"/>
      <c r="AI7" s="52"/>
      <c r="AJ7" s="52"/>
      <c r="AK7" s="52"/>
      <c r="AM7" s="52"/>
      <c r="AN7" s="52"/>
      <c r="AO7" s="52"/>
    </row>
    <row r="8" spans="1:41" outlineLevel="1" x14ac:dyDescent="0.25">
      <c r="A8" s="18"/>
      <c r="B8" s="18"/>
      <c r="C8" s="19" t="s">
        <v>428</v>
      </c>
      <c r="D8" s="18">
        <v>19948121</v>
      </c>
      <c r="E8" s="19">
        <v>21</v>
      </c>
      <c r="F8" s="19">
        <v>1</v>
      </c>
      <c r="G8" s="19"/>
      <c r="I8" s="55" t="str">
        <f t="shared" si="0"/>
        <v>·</v>
      </c>
      <c r="J8" s="21" t="str">
        <f t="shared" si="1"/>
        <v>·</v>
      </c>
      <c r="K8" s="21" t="str">
        <f t="shared" si="2"/>
        <v>·</v>
      </c>
      <c r="L8" s="21" t="str">
        <f t="shared" si="3"/>
        <v>·</v>
      </c>
      <c r="M8" s="22"/>
      <c r="N8" s="23"/>
      <c r="O8" s="23"/>
      <c r="P8" s="49"/>
      <c r="Q8" s="49"/>
      <c r="R8" s="49"/>
      <c r="S8" s="24"/>
      <c r="T8" s="24"/>
      <c r="V8" s="55" t="str">
        <f t="shared" si="4"/>
        <v>·</v>
      </c>
      <c r="W8" s="21" t="str">
        <f t="shared" si="5"/>
        <v>·</v>
      </c>
      <c r="X8" s="21" t="str">
        <f t="shared" si="6"/>
        <v>·</v>
      </c>
      <c r="Y8" s="21" t="str">
        <f t="shared" si="7"/>
        <v>·</v>
      </c>
      <c r="Z8" s="22"/>
      <c r="AA8" s="23"/>
      <c r="AB8" s="23"/>
      <c r="AC8" s="49"/>
      <c r="AD8" s="49"/>
      <c r="AE8" s="49"/>
      <c r="AF8" s="24"/>
      <c r="AG8" s="24"/>
      <c r="AI8" s="50"/>
      <c r="AJ8" s="50"/>
      <c r="AK8" s="50"/>
      <c r="AM8" s="50"/>
      <c r="AN8" s="50"/>
      <c r="AO8" s="50"/>
    </row>
    <row r="9" spans="1:41" outlineLevel="1" x14ac:dyDescent="0.25">
      <c r="A9" s="25"/>
      <c r="B9" s="32"/>
      <c r="C9" s="33" t="s">
        <v>429</v>
      </c>
      <c r="D9" s="32">
        <v>19948121</v>
      </c>
      <c r="E9" s="33">
        <v>21</v>
      </c>
      <c r="F9" s="33">
        <v>1</v>
      </c>
      <c r="G9" s="33"/>
      <c r="I9" s="57" t="str">
        <f t="shared" si="0"/>
        <v>·</v>
      </c>
      <c r="J9" s="35" t="str">
        <f t="shared" si="1"/>
        <v>·</v>
      </c>
      <c r="K9" s="35" t="str">
        <f t="shared" si="2"/>
        <v>·</v>
      </c>
      <c r="L9" s="35" t="str">
        <f t="shared" si="3"/>
        <v>·</v>
      </c>
      <c r="M9" s="36"/>
      <c r="N9" s="37"/>
      <c r="O9" s="37"/>
      <c r="P9" s="53"/>
      <c r="Q9" s="53"/>
      <c r="R9" s="53"/>
      <c r="S9" s="38"/>
      <c r="T9" s="38"/>
      <c r="V9" s="57" t="str">
        <f t="shared" si="4"/>
        <v>·</v>
      </c>
      <c r="W9" s="35" t="str">
        <f t="shared" si="5"/>
        <v>·</v>
      </c>
      <c r="X9" s="35" t="str">
        <f t="shared" si="6"/>
        <v>·</v>
      </c>
      <c r="Y9" s="35" t="str">
        <f t="shared" si="7"/>
        <v>·</v>
      </c>
      <c r="Z9" s="36"/>
      <c r="AA9" s="37"/>
      <c r="AB9" s="37"/>
      <c r="AC9" s="53"/>
      <c r="AD9" s="53"/>
      <c r="AE9" s="53"/>
      <c r="AF9" s="38"/>
      <c r="AG9" s="38"/>
      <c r="AI9" s="54"/>
      <c r="AJ9" s="54"/>
      <c r="AK9" s="54"/>
      <c r="AM9" s="54"/>
      <c r="AN9" s="54"/>
      <c r="AO9" s="54"/>
    </row>
    <row r="10" spans="1:41" collapsed="1" x14ac:dyDescent="0.25">
      <c r="A10" s="18"/>
      <c r="B10" s="18" t="s">
        <v>984</v>
      </c>
      <c r="C10" s="19" t="s">
        <v>310</v>
      </c>
      <c r="D10" s="18">
        <v>5255920</v>
      </c>
      <c r="E10" s="19">
        <v>20</v>
      </c>
      <c r="F10" s="19">
        <v>1</v>
      </c>
      <c r="G10" s="19"/>
      <c r="I10" s="55" t="str">
        <f t="shared" si="0"/>
        <v>·</v>
      </c>
      <c r="J10" s="21" t="str">
        <f t="shared" si="1"/>
        <v>·</v>
      </c>
      <c r="K10" s="21" t="str">
        <f t="shared" si="2"/>
        <v>·</v>
      </c>
      <c r="L10" s="21" t="str">
        <f t="shared" si="3"/>
        <v>·</v>
      </c>
      <c r="M10" s="22"/>
      <c r="N10" s="23"/>
      <c r="O10" s="23"/>
      <c r="P10" s="49"/>
      <c r="Q10" s="49"/>
      <c r="R10" s="49"/>
      <c r="S10" s="24"/>
      <c r="T10" s="24"/>
      <c r="V10" s="55" t="str">
        <f t="shared" si="4"/>
        <v>·</v>
      </c>
      <c r="W10" s="21" t="str">
        <f t="shared" si="5"/>
        <v>·</v>
      </c>
      <c r="X10" s="21" t="str">
        <f t="shared" si="6"/>
        <v>·</v>
      </c>
      <c r="Y10" s="21" t="str">
        <f t="shared" si="7"/>
        <v>·</v>
      </c>
      <c r="Z10" s="22"/>
      <c r="AA10" s="23"/>
      <c r="AB10" s="23"/>
      <c r="AC10" s="49"/>
      <c r="AD10" s="49"/>
      <c r="AE10" s="49"/>
      <c r="AF10" s="24"/>
      <c r="AG10" s="24"/>
      <c r="AI10" s="50" t="e">
        <f>bdRateExtend( N10:N15,P10:P15, AA10:AA15,AC10:AC15)</f>
        <v>#VALUE!</v>
      </c>
      <c r="AJ10" s="50" t="e">
        <f>bdRateExtend( N10:N15,Q10:Q15, AA10:AA15,AD10:AD15)</f>
        <v>#VALUE!</v>
      </c>
      <c r="AK10" s="50" t="e">
        <f>bdRateExtend( N10:N15,R10:R15, AA10:AA15,AE10:AE15)</f>
        <v>#VALUE!</v>
      </c>
      <c r="AM10" s="50" t="e">
        <f>bdRateExtend( O10:O15,P10:P15, AB10:AB15,AC10:AC15)</f>
        <v>#VALUE!</v>
      </c>
      <c r="AN10" s="50" t="e">
        <f>bdRateExtend( O10:O15,Q10:Q15, AB10:AB15,AD10:AD15)</f>
        <v>#VALUE!</v>
      </c>
      <c r="AO10" s="50" t="e">
        <f>bdRateExtend( O10:O15,R10:R15, AB10:AB15,AE10:AE15)</f>
        <v>#VALUE!</v>
      </c>
    </row>
    <row r="11" spans="1:41" outlineLevel="1" x14ac:dyDescent="0.25">
      <c r="A11" s="25"/>
      <c r="B11" s="25"/>
      <c r="C11" s="26" t="s">
        <v>311</v>
      </c>
      <c r="D11" s="25">
        <v>5255920</v>
      </c>
      <c r="E11" s="26">
        <v>20</v>
      </c>
      <c r="F11" s="26">
        <v>1</v>
      </c>
      <c r="G11" s="26"/>
      <c r="I11" s="56" t="str">
        <f t="shared" si="0"/>
        <v>·</v>
      </c>
      <c r="J11" s="28" t="str">
        <f t="shared" si="1"/>
        <v>·</v>
      </c>
      <c r="K11" s="28" t="str">
        <f t="shared" si="2"/>
        <v>·</v>
      </c>
      <c r="L11" s="28" t="str">
        <f t="shared" si="3"/>
        <v>·</v>
      </c>
      <c r="M11" s="29"/>
      <c r="N11" s="30"/>
      <c r="O11" s="30"/>
      <c r="P11" s="51"/>
      <c r="Q11" s="51"/>
      <c r="R11" s="51"/>
      <c r="S11" s="31"/>
      <c r="T11" s="31"/>
      <c r="V11" s="56" t="str">
        <f t="shared" si="4"/>
        <v>·</v>
      </c>
      <c r="W11" s="28" t="str">
        <f t="shared" si="5"/>
        <v>·</v>
      </c>
      <c r="X11" s="28" t="str">
        <f t="shared" si="6"/>
        <v>·</v>
      </c>
      <c r="Y11" s="28" t="str">
        <f t="shared" si="7"/>
        <v>·</v>
      </c>
      <c r="Z11" s="29"/>
      <c r="AA11" s="30"/>
      <c r="AB11" s="30"/>
      <c r="AC11" s="51"/>
      <c r="AD11" s="51"/>
      <c r="AE11" s="51"/>
      <c r="AF11" s="31"/>
      <c r="AG11" s="31"/>
      <c r="AI11" s="52"/>
      <c r="AJ11" s="52"/>
      <c r="AK11" s="52"/>
      <c r="AM11" s="52"/>
      <c r="AN11" s="52"/>
      <c r="AO11" s="52"/>
    </row>
    <row r="12" spans="1:41" outlineLevel="1" x14ac:dyDescent="0.25">
      <c r="A12" s="18"/>
      <c r="B12" s="18"/>
      <c r="C12" s="19" t="s">
        <v>312</v>
      </c>
      <c r="D12" s="18">
        <v>5255920</v>
      </c>
      <c r="E12" s="19">
        <v>20</v>
      </c>
      <c r="F12" s="19">
        <v>1</v>
      </c>
      <c r="G12" s="19"/>
      <c r="I12" s="55" t="str">
        <f t="shared" si="0"/>
        <v>·</v>
      </c>
      <c r="J12" s="21" t="str">
        <f t="shared" si="1"/>
        <v>·</v>
      </c>
      <c r="K12" s="21" t="str">
        <f t="shared" si="2"/>
        <v>·</v>
      </c>
      <c r="L12" s="21" t="str">
        <f t="shared" si="3"/>
        <v>·</v>
      </c>
      <c r="M12" s="22"/>
      <c r="N12" s="23"/>
      <c r="O12" s="23"/>
      <c r="P12" s="49"/>
      <c r="Q12" s="49"/>
      <c r="R12" s="49"/>
      <c r="S12" s="24"/>
      <c r="T12" s="24"/>
      <c r="V12" s="55" t="str">
        <f t="shared" si="4"/>
        <v>·</v>
      </c>
      <c r="W12" s="21" t="str">
        <f t="shared" si="5"/>
        <v>·</v>
      </c>
      <c r="X12" s="21" t="str">
        <f t="shared" si="6"/>
        <v>·</v>
      </c>
      <c r="Y12" s="21" t="str">
        <f t="shared" si="7"/>
        <v>·</v>
      </c>
      <c r="Z12" s="22"/>
      <c r="AA12" s="23"/>
      <c r="AB12" s="23"/>
      <c r="AC12" s="49"/>
      <c r="AD12" s="49"/>
      <c r="AE12" s="49"/>
      <c r="AF12" s="24"/>
      <c r="AG12" s="24"/>
      <c r="AI12" s="50"/>
      <c r="AJ12" s="50"/>
      <c r="AK12" s="50"/>
      <c r="AM12" s="50"/>
      <c r="AN12" s="50"/>
      <c r="AO12" s="50"/>
    </row>
    <row r="13" spans="1:41" outlineLevel="1" x14ac:dyDescent="0.25">
      <c r="A13" s="25"/>
      <c r="B13" s="25"/>
      <c r="C13" s="26" t="s">
        <v>313</v>
      </c>
      <c r="D13" s="25">
        <v>5255920</v>
      </c>
      <c r="E13" s="26">
        <v>20</v>
      </c>
      <c r="F13" s="26">
        <v>1</v>
      </c>
      <c r="G13" s="26"/>
      <c r="I13" s="56" t="str">
        <f t="shared" si="0"/>
        <v>·</v>
      </c>
      <c r="J13" s="28" t="str">
        <f t="shared" si="1"/>
        <v>·</v>
      </c>
      <c r="K13" s="28" t="str">
        <f t="shared" si="2"/>
        <v>·</v>
      </c>
      <c r="L13" s="28" t="str">
        <f t="shared" si="3"/>
        <v>·</v>
      </c>
      <c r="M13" s="29"/>
      <c r="N13" s="30"/>
      <c r="O13" s="30"/>
      <c r="P13" s="51"/>
      <c r="Q13" s="51"/>
      <c r="R13" s="51"/>
      <c r="S13" s="31"/>
      <c r="T13" s="31"/>
      <c r="V13" s="56" t="str">
        <f t="shared" si="4"/>
        <v>·</v>
      </c>
      <c r="W13" s="28" t="str">
        <f t="shared" si="5"/>
        <v>·</v>
      </c>
      <c r="X13" s="28" t="str">
        <f t="shared" si="6"/>
        <v>·</v>
      </c>
      <c r="Y13" s="28" t="str">
        <f t="shared" si="7"/>
        <v>·</v>
      </c>
      <c r="Z13" s="29"/>
      <c r="AA13" s="30"/>
      <c r="AB13" s="30"/>
      <c r="AC13" s="51"/>
      <c r="AD13" s="51"/>
      <c r="AE13" s="51"/>
      <c r="AF13" s="31"/>
      <c r="AG13" s="31"/>
      <c r="AI13" s="52"/>
      <c r="AJ13" s="52"/>
      <c r="AK13" s="52"/>
      <c r="AM13" s="52"/>
      <c r="AN13" s="52"/>
      <c r="AO13" s="52"/>
    </row>
    <row r="14" spans="1:41" outlineLevel="1" x14ac:dyDescent="0.25">
      <c r="A14" s="18"/>
      <c r="B14" s="18"/>
      <c r="C14" s="19" t="s">
        <v>428</v>
      </c>
      <c r="D14" s="18">
        <v>5255920</v>
      </c>
      <c r="E14" s="19">
        <v>20</v>
      </c>
      <c r="F14" s="19">
        <v>1</v>
      </c>
      <c r="G14" s="19"/>
      <c r="I14" s="55" t="str">
        <f t="shared" si="0"/>
        <v>·</v>
      </c>
      <c r="J14" s="21" t="str">
        <f t="shared" si="1"/>
        <v>·</v>
      </c>
      <c r="K14" s="21" t="str">
        <f t="shared" si="2"/>
        <v>·</v>
      </c>
      <c r="L14" s="21" t="str">
        <f t="shared" si="3"/>
        <v>·</v>
      </c>
      <c r="M14" s="22"/>
      <c r="N14" s="23"/>
      <c r="O14" s="23"/>
      <c r="P14" s="49"/>
      <c r="Q14" s="49"/>
      <c r="R14" s="49"/>
      <c r="S14" s="24"/>
      <c r="T14" s="24"/>
      <c r="V14" s="55" t="str">
        <f t="shared" si="4"/>
        <v>·</v>
      </c>
      <c r="W14" s="21" t="str">
        <f t="shared" si="5"/>
        <v>·</v>
      </c>
      <c r="X14" s="21" t="str">
        <f t="shared" si="6"/>
        <v>·</v>
      </c>
      <c r="Y14" s="21" t="str">
        <f t="shared" si="7"/>
        <v>·</v>
      </c>
      <c r="Z14" s="22"/>
      <c r="AA14" s="23"/>
      <c r="AB14" s="23"/>
      <c r="AC14" s="49"/>
      <c r="AD14" s="49"/>
      <c r="AE14" s="49"/>
      <c r="AF14" s="24"/>
      <c r="AG14" s="24"/>
      <c r="AI14" s="50"/>
      <c r="AJ14" s="50"/>
      <c r="AK14" s="50"/>
      <c r="AM14" s="50"/>
      <c r="AN14" s="50"/>
      <c r="AO14" s="50"/>
    </row>
    <row r="15" spans="1:41" outlineLevel="1" x14ac:dyDescent="0.25">
      <c r="A15" s="25"/>
      <c r="B15" s="32"/>
      <c r="C15" s="33" t="s">
        <v>429</v>
      </c>
      <c r="D15" s="32">
        <v>5255920</v>
      </c>
      <c r="E15" s="33">
        <v>20</v>
      </c>
      <c r="F15" s="33">
        <v>1</v>
      </c>
      <c r="G15" s="33"/>
      <c r="I15" s="57" t="str">
        <f t="shared" si="0"/>
        <v>·</v>
      </c>
      <c r="J15" s="35" t="str">
        <f t="shared" si="1"/>
        <v>·</v>
      </c>
      <c r="K15" s="35" t="str">
        <f t="shared" si="2"/>
        <v>·</v>
      </c>
      <c r="L15" s="35" t="str">
        <f t="shared" si="3"/>
        <v>·</v>
      </c>
      <c r="M15" s="36"/>
      <c r="N15" s="37"/>
      <c r="O15" s="37"/>
      <c r="P15" s="53"/>
      <c r="Q15" s="53"/>
      <c r="R15" s="53"/>
      <c r="S15" s="38"/>
      <c r="T15" s="38"/>
      <c r="V15" s="57" t="str">
        <f t="shared" si="4"/>
        <v>·</v>
      </c>
      <c r="W15" s="35" t="str">
        <f t="shared" si="5"/>
        <v>·</v>
      </c>
      <c r="X15" s="35" t="str">
        <f t="shared" si="6"/>
        <v>·</v>
      </c>
      <c r="Y15" s="35" t="str">
        <f t="shared" si="7"/>
        <v>·</v>
      </c>
      <c r="Z15" s="36"/>
      <c r="AA15" s="37"/>
      <c r="AB15" s="37"/>
      <c r="AC15" s="53"/>
      <c r="AD15" s="53"/>
      <c r="AE15" s="53"/>
      <c r="AF15" s="38"/>
      <c r="AG15" s="38"/>
      <c r="AI15" s="54"/>
      <c r="AJ15" s="54"/>
      <c r="AK15" s="54"/>
      <c r="AM15" s="54"/>
      <c r="AN15" s="54"/>
      <c r="AO15" s="54"/>
    </row>
    <row r="16" spans="1:41" collapsed="1" x14ac:dyDescent="0.25">
      <c r="A16" s="18"/>
      <c r="B16" s="18" t="s">
        <v>987</v>
      </c>
      <c r="C16" s="19" t="s">
        <v>310</v>
      </c>
      <c r="D16" s="18">
        <v>7148516</v>
      </c>
      <c r="E16" s="19">
        <v>21</v>
      </c>
      <c r="F16" s="19">
        <v>1</v>
      </c>
      <c r="G16" s="19"/>
      <c r="I16" s="55" t="str">
        <f t="shared" si="0"/>
        <v>·</v>
      </c>
      <c r="J16" s="21" t="str">
        <f t="shared" si="1"/>
        <v>·</v>
      </c>
      <c r="K16" s="21" t="str">
        <f t="shared" si="2"/>
        <v>·</v>
      </c>
      <c r="L16" s="21" t="str">
        <f t="shared" si="3"/>
        <v>·</v>
      </c>
      <c r="M16" s="22"/>
      <c r="N16" s="23"/>
      <c r="O16" s="23"/>
      <c r="P16" s="49"/>
      <c r="Q16" s="49"/>
      <c r="R16" s="49"/>
      <c r="S16" s="24"/>
      <c r="T16" s="24"/>
      <c r="V16" s="55" t="str">
        <f t="shared" si="4"/>
        <v>·</v>
      </c>
      <c r="W16" s="21" t="str">
        <f t="shared" si="5"/>
        <v>·</v>
      </c>
      <c r="X16" s="21" t="str">
        <f t="shared" si="6"/>
        <v>·</v>
      </c>
      <c r="Y16" s="21" t="str">
        <f t="shared" si="7"/>
        <v>·</v>
      </c>
      <c r="Z16" s="22"/>
      <c r="AA16" s="23"/>
      <c r="AB16" s="23"/>
      <c r="AC16" s="49"/>
      <c r="AD16" s="49"/>
      <c r="AE16" s="49"/>
      <c r="AF16" s="24"/>
      <c r="AG16" s="24"/>
      <c r="AI16" s="50" t="e">
        <f>bdRateExtend( N16:N21,P16:P21, AA16:AA21,AC16:AC21)</f>
        <v>#VALUE!</v>
      </c>
      <c r="AJ16" s="50" t="e">
        <f>bdRateExtend( N16:N21,Q16:Q21, AA16:AA21,AD16:AD21)</f>
        <v>#VALUE!</v>
      </c>
      <c r="AK16" s="50" t="e">
        <f>bdRateExtend( N16:N21,R16:R21, AA16:AA21,AE16:AE21)</f>
        <v>#VALUE!</v>
      </c>
      <c r="AM16" s="50" t="e">
        <f>bdRateExtend( O16:O21,P16:P21, AB16:AB21,AC16:AC21)</f>
        <v>#VALUE!</v>
      </c>
      <c r="AN16" s="50" t="e">
        <f>bdRateExtend( O16:O21,Q16:Q21, AB16:AB21,AD16:AD21)</f>
        <v>#VALUE!</v>
      </c>
      <c r="AO16" s="50" t="e">
        <f>bdRateExtend( O16:O21,R16:R21, AB16:AB21,AE16:AE21)</f>
        <v>#VALUE!</v>
      </c>
    </row>
    <row r="17" spans="1:41" outlineLevel="1" x14ac:dyDescent="0.25">
      <c r="A17" s="25"/>
      <c r="B17" s="25"/>
      <c r="C17" s="26" t="s">
        <v>311</v>
      </c>
      <c r="D17" s="25">
        <v>7148516</v>
      </c>
      <c r="E17" s="26">
        <v>21</v>
      </c>
      <c r="F17" s="26">
        <v>1</v>
      </c>
      <c r="G17" s="26"/>
      <c r="I17" s="56" t="str">
        <f t="shared" si="0"/>
        <v>·</v>
      </c>
      <c r="J17" s="28" t="str">
        <f t="shared" si="1"/>
        <v>·</v>
      </c>
      <c r="K17" s="28" t="str">
        <f t="shared" si="2"/>
        <v>·</v>
      </c>
      <c r="L17" s="28" t="str">
        <f t="shared" si="3"/>
        <v>·</v>
      </c>
      <c r="M17" s="29"/>
      <c r="N17" s="30"/>
      <c r="O17" s="30"/>
      <c r="P17" s="51"/>
      <c r="Q17" s="51"/>
      <c r="R17" s="51"/>
      <c r="S17" s="31"/>
      <c r="T17" s="31"/>
      <c r="V17" s="56" t="str">
        <f t="shared" si="4"/>
        <v>·</v>
      </c>
      <c r="W17" s="28" t="str">
        <f t="shared" si="5"/>
        <v>·</v>
      </c>
      <c r="X17" s="28" t="str">
        <f t="shared" si="6"/>
        <v>·</v>
      </c>
      <c r="Y17" s="28" t="str">
        <f t="shared" si="7"/>
        <v>·</v>
      </c>
      <c r="Z17" s="29"/>
      <c r="AA17" s="30"/>
      <c r="AB17" s="30"/>
      <c r="AC17" s="51"/>
      <c r="AD17" s="51"/>
      <c r="AE17" s="51"/>
      <c r="AF17" s="31"/>
      <c r="AG17" s="31"/>
      <c r="AI17" s="52"/>
      <c r="AJ17" s="52"/>
      <c r="AK17" s="52"/>
      <c r="AM17" s="52"/>
      <c r="AN17" s="52"/>
      <c r="AO17" s="52"/>
    </row>
    <row r="18" spans="1:41" outlineLevel="1" x14ac:dyDescent="0.25">
      <c r="A18" s="18"/>
      <c r="B18" s="18"/>
      <c r="C18" s="19" t="s">
        <v>312</v>
      </c>
      <c r="D18" s="18">
        <v>7148516</v>
      </c>
      <c r="E18" s="19">
        <v>21</v>
      </c>
      <c r="F18" s="19">
        <v>1</v>
      </c>
      <c r="G18" s="19"/>
      <c r="I18" s="55" t="str">
        <f t="shared" si="0"/>
        <v>·</v>
      </c>
      <c r="J18" s="21" t="str">
        <f t="shared" si="1"/>
        <v>·</v>
      </c>
      <c r="K18" s="21" t="str">
        <f t="shared" si="2"/>
        <v>·</v>
      </c>
      <c r="L18" s="21" t="str">
        <f t="shared" si="3"/>
        <v>·</v>
      </c>
      <c r="M18" s="22"/>
      <c r="N18" s="23"/>
      <c r="O18" s="23"/>
      <c r="P18" s="49"/>
      <c r="Q18" s="49"/>
      <c r="R18" s="49"/>
      <c r="S18" s="24"/>
      <c r="T18" s="24"/>
      <c r="V18" s="55" t="str">
        <f t="shared" si="4"/>
        <v>·</v>
      </c>
      <c r="W18" s="21" t="str">
        <f t="shared" si="5"/>
        <v>·</v>
      </c>
      <c r="X18" s="21" t="str">
        <f t="shared" si="6"/>
        <v>·</v>
      </c>
      <c r="Y18" s="21" t="str">
        <f t="shared" si="7"/>
        <v>·</v>
      </c>
      <c r="Z18" s="22"/>
      <c r="AA18" s="23"/>
      <c r="AB18" s="23"/>
      <c r="AC18" s="49"/>
      <c r="AD18" s="49"/>
      <c r="AE18" s="49"/>
      <c r="AF18" s="24"/>
      <c r="AG18" s="24"/>
      <c r="AI18" s="50"/>
      <c r="AJ18" s="50"/>
      <c r="AK18" s="50"/>
      <c r="AM18" s="50"/>
      <c r="AN18" s="50"/>
      <c r="AO18" s="50"/>
    </row>
    <row r="19" spans="1:41" outlineLevel="1" x14ac:dyDescent="0.25">
      <c r="A19" s="25"/>
      <c r="B19" s="25"/>
      <c r="C19" s="26" t="s">
        <v>313</v>
      </c>
      <c r="D19" s="25">
        <v>7148516</v>
      </c>
      <c r="E19" s="26">
        <v>21</v>
      </c>
      <c r="F19" s="26">
        <v>1</v>
      </c>
      <c r="G19" s="26"/>
      <c r="I19" s="56" t="str">
        <f t="shared" si="0"/>
        <v>·</v>
      </c>
      <c r="J19" s="28" t="str">
        <f t="shared" si="1"/>
        <v>·</v>
      </c>
      <c r="K19" s="28" t="str">
        <f t="shared" si="2"/>
        <v>·</v>
      </c>
      <c r="L19" s="28" t="str">
        <f t="shared" si="3"/>
        <v>·</v>
      </c>
      <c r="M19" s="29"/>
      <c r="N19" s="30"/>
      <c r="O19" s="30"/>
      <c r="P19" s="51"/>
      <c r="Q19" s="51"/>
      <c r="R19" s="51"/>
      <c r="S19" s="31"/>
      <c r="T19" s="31"/>
      <c r="V19" s="56" t="str">
        <f t="shared" si="4"/>
        <v>·</v>
      </c>
      <c r="W19" s="28" t="str">
        <f t="shared" si="5"/>
        <v>·</v>
      </c>
      <c r="X19" s="28" t="str">
        <f t="shared" si="6"/>
        <v>·</v>
      </c>
      <c r="Y19" s="28" t="str">
        <f t="shared" si="7"/>
        <v>·</v>
      </c>
      <c r="Z19" s="29"/>
      <c r="AA19" s="30"/>
      <c r="AB19" s="30"/>
      <c r="AC19" s="51"/>
      <c r="AD19" s="51"/>
      <c r="AE19" s="51"/>
      <c r="AF19" s="31"/>
      <c r="AG19" s="31"/>
      <c r="AI19" s="52"/>
      <c r="AJ19" s="52"/>
      <c r="AK19" s="52"/>
      <c r="AM19" s="52"/>
      <c r="AN19" s="52"/>
      <c r="AO19" s="52"/>
    </row>
    <row r="20" spans="1:41" outlineLevel="1" x14ac:dyDescent="0.25">
      <c r="A20" s="18"/>
      <c r="B20" s="18"/>
      <c r="C20" s="19" t="s">
        <v>428</v>
      </c>
      <c r="D20" s="18">
        <v>7148516</v>
      </c>
      <c r="E20" s="19">
        <v>21</v>
      </c>
      <c r="F20" s="19">
        <v>1</v>
      </c>
      <c r="G20" s="19"/>
      <c r="I20" s="55" t="str">
        <f t="shared" si="0"/>
        <v>·</v>
      </c>
      <c r="J20" s="21" t="str">
        <f t="shared" si="1"/>
        <v>·</v>
      </c>
      <c r="K20" s="21" t="str">
        <f t="shared" si="2"/>
        <v>·</v>
      </c>
      <c r="L20" s="21" t="str">
        <f t="shared" si="3"/>
        <v>·</v>
      </c>
      <c r="M20" s="22"/>
      <c r="N20" s="23"/>
      <c r="O20" s="23"/>
      <c r="P20" s="49"/>
      <c r="Q20" s="49"/>
      <c r="R20" s="49"/>
      <c r="S20" s="24"/>
      <c r="T20" s="24"/>
      <c r="V20" s="55" t="str">
        <f t="shared" si="4"/>
        <v>·</v>
      </c>
      <c r="W20" s="21" t="str">
        <f t="shared" si="5"/>
        <v>·</v>
      </c>
      <c r="X20" s="21" t="str">
        <f t="shared" si="6"/>
        <v>·</v>
      </c>
      <c r="Y20" s="21" t="str">
        <f t="shared" si="7"/>
        <v>·</v>
      </c>
      <c r="Z20" s="22"/>
      <c r="AA20" s="23"/>
      <c r="AB20" s="23"/>
      <c r="AC20" s="49"/>
      <c r="AD20" s="49"/>
      <c r="AE20" s="49"/>
      <c r="AF20" s="24"/>
      <c r="AG20" s="24"/>
      <c r="AI20" s="50"/>
      <c r="AJ20" s="50"/>
      <c r="AK20" s="50"/>
      <c r="AM20" s="50"/>
      <c r="AN20" s="50"/>
      <c r="AO20" s="50"/>
    </row>
    <row r="21" spans="1:41" outlineLevel="1" x14ac:dyDescent="0.25">
      <c r="A21" s="32"/>
      <c r="B21" s="32"/>
      <c r="C21" s="33" t="s">
        <v>429</v>
      </c>
      <c r="D21" s="32">
        <v>7148516</v>
      </c>
      <c r="E21" s="33">
        <v>21</v>
      </c>
      <c r="F21" s="33">
        <v>1</v>
      </c>
      <c r="G21" s="33"/>
      <c r="I21" s="57" t="str">
        <f t="shared" si="0"/>
        <v>·</v>
      </c>
      <c r="J21" s="35" t="str">
        <f t="shared" si="1"/>
        <v>·</v>
      </c>
      <c r="K21" s="35" t="str">
        <f t="shared" si="2"/>
        <v>·</v>
      </c>
      <c r="L21" s="35" t="str">
        <f t="shared" si="3"/>
        <v>·</v>
      </c>
      <c r="M21" s="36"/>
      <c r="N21" s="37"/>
      <c r="O21" s="37"/>
      <c r="P21" s="53"/>
      <c r="Q21" s="53"/>
      <c r="R21" s="53"/>
      <c r="S21" s="38"/>
      <c r="T21" s="38"/>
      <c r="V21" s="57" t="str">
        <f t="shared" si="4"/>
        <v>·</v>
      </c>
      <c r="W21" s="35" t="str">
        <f t="shared" si="5"/>
        <v>·</v>
      </c>
      <c r="X21" s="35" t="str">
        <f t="shared" si="6"/>
        <v>·</v>
      </c>
      <c r="Y21" s="35" t="str">
        <f t="shared" si="7"/>
        <v>·</v>
      </c>
      <c r="Z21" s="36"/>
      <c r="AA21" s="37"/>
      <c r="AB21" s="37"/>
      <c r="AC21" s="53"/>
      <c r="AD21" s="53"/>
      <c r="AE21" s="53"/>
      <c r="AF21" s="38"/>
      <c r="AG21" s="38"/>
      <c r="AI21" s="54"/>
      <c r="AJ21" s="54"/>
      <c r="AK21" s="54"/>
      <c r="AM21" s="54"/>
      <c r="AN21" s="54"/>
      <c r="AO21" s="54"/>
    </row>
    <row r="22" spans="1:41" x14ac:dyDescent="0.25">
      <c r="B22" s="46" t="s">
        <v>258</v>
      </c>
      <c r="J22" s="47" t="e">
        <f>AVERAGE(J4:J21)</f>
        <v>#DIV/0!</v>
      </c>
      <c r="W22" s="47" t="e">
        <f>AVERAGE(W4:W21)</f>
        <v>#DIV/0!</v>
      </c>
      <c r="AI22" s="11" t="e">
        <f>AVERAGE(AI4:AI21)</f>
        <v>#VALUE!</v>
      </c>
      <c r="AJ22" s="11" t="e">
        <f>AVERAGE(AJ4:AJ21)</f>
        <v>#VALUE!</v>
      </c>
      <c r="AK22" s="11" t="e">
        <f>AVERAGE(AK4:AK21)</f>
        <v>#VALUE!</v>
      </c>
      <c r="AM22" s="11" t="e">
        <f>AVERAGE(AM4:AM21)</f>
        <v>#VALUE!</v>
      </c>
      <c r="AN22" s="11" t="e">
        <f>AVERAGE(AN4:AN21)</f>
        <v>#VALUE!</v>
      </c>
      <c r="AO22" s="11" t="e">
        <f>AVERAGE(AO4:AO21)</f>
        <v>#VALUE!</v>
      </c>
    </row>
    <row r="23" spans="1:41" hidden="1" outlineLevel="2" x14ac:dyDescent="0.25">
      <c r="A23" s="46" t="s">
        <v>259</v>
      </c>
      <c r="B23" s="46" t="s">
        <v>260</v>
      </c>
      <c r="S23" s="48">
        <f>SUM(S4:S21)</f>
        <v>0</v>
      </c>
      <c r="T23" s="48">
        <f>SUM(T4:T21)</f>
        <v>0</v>
      </c>
      <c r="AF23" s="48">
        <f>SUM(AF4:AF21)</f>
        <v>0</v>
      </c>
      <c r="AG23" s="48">
        <f>SUM(AG4:AG21)</f>
        <v>0</v>
      </c>
    </row>
    <row r="24" spans="1:41" hidden="1" outlineLevel="2" x14ac:dyDescent="0.25">
      <c r="B24" s="46" t="s">
        <v>261</v>
      </c>
      <c r="AF24" s="6" t="e">
        <f>AF23/S23</f>
        <v>#DIV/0!</v>
      </c>
      <c r="AG24" s="6" t="e">
        <f>AG23/T23</f>
        <v>#DIV/0!</v>
      </c>
    </row>
    <row r="25" spans="1:41" hidden="1" outlineLevel="2" x14ac:dyDescent="0.25">
      <c r="B25" s="46" t="s">
        <v>262</v>
      </c>
      <c r="S25" s="48" t="e">
        <f>GEOMEAN(S4:S21)</f>
        <v>#NUM!</v>
      </c>
      <c r="T25" s="48" t="e">
        <f>GEOMEAN(T4:T21)</f>
        <v>#NUM!</v>
      </c>
      <c r="AF25" s="48" t="e">
        <f>GEOMEAN(AF4:AF21)</f>
        <v>#NUM!</v>
      </c>
      <c r="AG25" s="48" t="e">
        <f>GEOMEAN(AG4:AG21)</f>
        <v>#NUM!</v>
      </c>
    </row>
    <row r="26" spans="1:41" outlineLevel="2" collapsed="1" x14ac:dyDescent="0.25">
      <c r="B26" s="46" t="s">
        <v>263</v>
      </c>
      <c r="AF26" s="6" t="e">
        <f>AF25/S25</f>
        <v>#NUM!</v>
      </c>
      <c r="AG26" s="6" t="e">
        <f>AG25/T25</f>
        <v>#NUM!</v>
      </c>
    </row>
  </sheetData>
  <mergeCells count="28">
    <mergeCell ref="A1:G1"/>
    <mergeCell ref="I1:T1"/>
    <mergeCell ref="V1:AG1"/>
    <mergeCell ref="AC2:AE2"/>
    <mergeCell ref="AF2:AF3"/>
    <mergeCell ref="AG2:AG3"/>
    <mergeCell ref="M2:M3"/>
    <mergeCell ref="N2:O2"/>
    <mergeCell ref="P2:R2"/>
    <mergeCell ref="S2:S3"/>
    <mergeCell ref="T2:T3"/>
    <mergeCell ref="F2:F3"/>
    <mergeCell ref="G2:G3"/>
    <mergeCell ref="I2:I3"/>
    <mergeCell ref="J2:K2"/>
    <mergeCell ref="L2:L3"/>
    <mergeCell ref="AI2:AK2"/>
    <mergeCell ref="AM2:AO2"/>
    <mergeCell ref="V2:V3"/>
    <mergeCell ref="W2:X2"/>
    <mergeCell ref="Y2:Y3"/>
    <mergeCell ref="Z2:Z3"/>
    <mergeCell ref="AA2:AB2"/>
    <mergeCell ref="A2:A3"/>
    <mergeCell ref="B2:B3"/>
    <mergeCell ref="C2:C3"/>
    <mergeCell ref="D2:D3"/>
    <mergeCell ref="E2:E3"/>
  </mergeCells>
  <conditionalFormatting sqref="AI4 AI5 AI6 AI7 AI8 AI9 AI10 AI11 AI12 AI13 AI14 AI15 AI16 AI17 AI18 AI19 AI20 AI21 AI22">
    <cfRule type="cellIs" dxfId="55" priority="5" operator="greaterThanOrEqual">
      <formula>0.03</formula>
    </cfRule>
    <cfRule type="cellIs" dxfId="54" priority="6" operator="lessThanOrEqual">
      <formula>-0.03</formula>
    </cfRule>
  </conditionalFormatting>
  <conditionalFormatting sqref="AJ4 AJ5 AJ6 AJ7 AJ8 AJ9 AJ10 AJ11 AJ12 AJ13 AJ14 AJ15 AJ16 AJ17 AJ18 AJ19 AJ20 AJ21 AJ22">
    <cfRule type="cellIs" dxfId="53" priority="3" operator="greaterThanOrEqual">
      <formula>0.03</formula>
    </cfRule>
    <cfRule type="cellIs" dxfId="52" priority="4" operator="lessThanOrEqual">
      <formula>-0.03</formula>
    </cfRule>
  </conditionalFormatting>
  <conditionalFormatting sqref="AK4 AK5 AK6 AK7 AK8 AK9 AK10 AK11 AK12 AK13 AK14 AK15 AK16 AK17 AK18 AK19 AK20 AK21 AK22">
    <cfRule type="cellIs" dxfId="51" priority="7" operator="greaterThanOrEqual">
      <formula>0.03</formula>
    </cfRule>
    <cfRule type="cellIs" dxfId="50" priority="8" operator="lessThanOrEqual">
      <formula>-0.03</formula>
    </cfRule>
  </conditionalFormatting>
  <conditionalFormatting sqref="AM4 AM5 AM6 AM7 AM8 AM9 AM10 AM11 AM12 AM13 AM14 AM15 AM16 AM17 AM18 AM19 AM20 AM21 AM22">
    <cfRule type="cellIs" dxfId="49" priority="9" operator="greaterThanOrEqual">
      <formula>0.03</formula>
    </cfRule>
    <cfRule type="cellIs" dxfId="48" priority="10" operator="lessThanOrEqual">
      <formula>-0.03</formula>
    </cfRule>
  </conditionalFormatting>
  <conditionalFormatting sqref="AN4 AN5 AN6 AN7 AN8 AN9 AN10 AN11 AN12 AN13 AN14 AN15 AN16 AN17 AN18 AN19 AN20 AN21 AN22">
    <cfRule type="cellIs" dxfId="47" priority="11" operator="greaterThanOrEqual">
      <formula>0.03</formula>
    </cfRule>
    <cfRule type="cellIs" dxfId="46" priority="12" operator="lessThanOrEqual">
      <formula>-0.03</formula>
    </cfRule>
  </conditionalFormatting>
  <conditionalFormatting sqref="AO4 AO5 AO6 AO7 AO8 AO9 AO10 AO11 AO12 AO13 AO14 AO15 AO16 AO17 AO18 AO19 AO20 AO21 AO22">
    <cfRule type="cellIs" dxfId="45" priority="1" operator="greaterThanOrEqual">
      <formula>0.03</formula>
    </cfRule>
    <cfRule type="cellIs" dxfId="44" priority="2" operator="lessThanOrEqual">
      <formula>-0.03</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E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4" width="12.7109375" customWidth="1"/>
    <col min="15" max="15" width="11.7109375" customWidth="1"/>
    <col min="18" max="18" width="1.7109375" customWidth="1"/>
    <col min="20" max="20" width="10.7109375" customWidth="1"/>
    <col min="21" max="21" width="12.7109375" customWidth="1"/>
    <col min="22" max="22" width="10.7109375" customWidth="1"/>
    <col min="23" max="24" width="12.7109375" customWidth="1"/>
    <col min="25" max="25" width="11.7109375" customWidth="1"/>
    <col min="28" max="28" width="1.7109375" customWidth="1"/>
    <col min="29" max="29" width="11.7109375" customWidth="1"/>
    <col min="30" max="30" width="1.7109375" customWidth="1"/>
    <col min="31" max="31" width="11.7109375" customWidth="1"/>
    <col min="32" max="32" width="1.7109375" customWidth="1"/>
  </cols>
  <sheetData>
    <row r="1" spans="1:31" x14ac:dyDescent="0.25">
      <c r="A1" s="76" t="s">
        <v>1091</v>
      </c>
      <c r="B1" s="76"/>
      <c r="C1" s="76"/>
      <c r="D1" s="76"/>
      <c r="E1" s="76"/>
      <c r="F1" s="76"/>
      <c r="G1" s="76"/>
      <c r="I1" s="65" t="s">
        <v>2</v>
      </c>
      <c r="J1" s="65"/>
      <c r="K1" s="65"/>
      <c r="L1" s="65"/>
      <c r="M1" s="65"/>
      <c r="N1" s="65"/>
      <c r="O1" s="65"/>
      <c r="P1" s="65"/>
      <c r="Q1" s="65"/>
      <c r="S1" s="66" t="s">
        <v>3</v>
      </c>
      <c r="T1" s="66"/>
      <c r="U1" s="66"/>
      <c r="V1" s="66"/>
      <c r="W1" s="66"/>
      <c r="X1" s="66"/>
      <c r="Y1" s="66"/>
      <c r="Z1" s="66"/>
      <c r="AA1" s="66"/>
    </row>
    <row r="2" spans="1:31" ht="30" customHeight="1" x14ac:dyDescent="0.25">
      <c r="A2" s="75" t="s">
        <v>97</v>
      </c>
      <c r="B2" s="73" t="s">
        <v>99</v>
      </c>
      <c r="C2" s="75" t="s">
        <v>275</v>
      </c>
      <c r="D2" s="73" t="s">
        <v>101</v>
      </c>
      <c r="E2" s="75" t="s">
        <v>103</v>
      </c>
      <c r="F2" s="73" t="s">
        <v>513</v>
      </c>
      <c r="G2" s="75" t="s">
        <v>515</v>
      </c>
      <c r="I2" s="73" t="s">
        <v>518</v>
      </c>
      <c r="J2" s="75" t="s">
        <v>520</v>
      </c>
      <c r="K2" s="73" t="s">
        <v>112</v>
      </c>
      <c r="L2" s="75" t="s">
        <v>26</v>
      </c>
      <c r="M2" s="77" t="s">
        <v>115</v>
      </c>
      <c r="N2" s="77"/>
      <c r="O2" s="75" t="s">
        <v>1074</v>
      </c>
      <c r="P2" s="73" t="s">
        <v>118</v>
      </c>
      <c r="Q2" s="75" t="s">
        <v>120</v>
      </c>
      <c r="S2" s="73" t="s">
        <v>518</v>
      </c>
      <c r="T2" s="75" t="s">
        <v>520</v>
      </c>
      <c r="U2" s="73" t="s">
        <v>112</v>
      </c>
      <c r="V2" s="75" t="s">
        <v>26</v>
      </c>
      <c r="W2" s="77" t="s">
        <v>115</v>
      </c>
      <c r="X2" s="77"/>
      <c r="Y2" s="75" t="s">
        <v>1074</v>
      </c>
      <c r="Z2" s="73" t="s">
        <v>118</v>
      </c>
      <c r="AA2" s="75" t="s">
        <v>120</v>
      </c>
      <c r="AC2" s="73" t="s">
        <v>1087</v>
      </c>
      <c r="AE2" s="75" t="s">
        <v>1089</v>
      </c>
    </row>
    <row r="3" spans="1:31" x14ac:dyDescent="0.25">
      <c r="A3" s="75"/>
      <c r="B3" s="73"/>
      <c r="C3" s="75"/>
      <c r="D3" s="73"/>
      <c r="E3" s="75"/>
      <c r="F3" s="73"/>
      <c r="G3" s="75"/>
      <c r="I3" s="73"/>
      <c r="J3" s="75"/>
      <c r="K3" s="73"/>
      <c r="L3" s="75"/>
      <c r="M3" s="17" t="s">
        <v>108</v>
      </c>
      <c r="N3" s="17" t="s">
        <v>1072</v>
      </c>
      <c r="O3" s="75"/>
      <c r="P3" s="73"/>
      <c r="Q3" s="75"/>
      <c r="S3" s="73"/>
      <c r="T3" s="75"/>
      <c r="U3" s="73"/>
      <c r="V3" s="75"/>
      <c r="W3" s="17" t="s">
        <v>108</v>
      </c>
      <c r="X3" s="17" t="s">
        <v>1072</v>
      </c>
      <c r="Y3" s="75"/>
      <c r="Z3" s="73"/>
      <c r="AA3" s="75"/>
      <c r="AC3" s="73"/>
      <c r="AE3" s="75"/>
    </row>
    <row r="4" spans="1:31" collapsed="1" x14ac:dyDescent="0.25">
      <c r="A4" s="18" t="s">
        <v>990</v>
      </c>
      <c r="B4" s="18" t="s">
        <v>981</v>
      </c>
      <c r="C4" s="19" t="s">
        <v>310</v>
      </c>
      <c r="D4" s="18">
        <v>19948121</v>
      </c>
      <c r="E4" s="19">
        <v>21</v>
      </c>
      <c r="F4" s="19">
        <v>1</v>
      </c>
      <c r="G4" s="19"/>
      <c r="I4" s="55" t="str">
        <f t="shared" ref="I4:I21" si="0">IF(OR(ISBLANK(M4),ISBLANK(G4)),"·",M4*G4/F4/1000000)</f>
        <v>·</v>
      </c>
      <c r="J4" s="21" t="str">
        <f t="shared" ref="J4:J21" si="1">IF(ISBLANK(M4),"·",M4/D4)</f>
        <v>·</v>
      </c>
      <c r="K4" s="21" t="str">
        <f t="shared" ref="K4:K21" si="2">IF(ISBLANK(M4),"·",M4/L4)</f>
        <v>·</v>
      </c>
      <c r="L4" s="22"/>
      <c r="M4" s="23"/>
      <c r="N4" s="23"/>
      <c r="O4" s="49"/>
      <c r="P4" s="24"/>
      <c r="Q4" s="24"/>
      <c r="S4" s="55" t="str">
        <f t="shared" ref="S4:S21" si="3">IF(OR(ISBLANK(W4),ISBLANK(G4)),"·",W4*G4/F4/1000000)</f>
        <v>·</v>
      </c>
      <c r="T4" s="21" t="str">
        <f t="shared" ref="T4:T21" si="4">IF(ISBLANK(W4),"·",W4/D4)</f>
        <v>·</v>
      </c>
      <c r="U4" s="21" t="str">
        <f t="shared" ref="U4:U21" si="5">IF(ISBLANK(W4),"·",W4/V4)</f>
        <v>·</v>
      </c>
      <c r="V4" s="22"/>
      <c r="W4" s="23"/>
      <c r="X4" s="23"/>
      <c r="Y4" s="49"/>
      <c r="Z4" s="24"/>
      <c r="AA4" s="24"/>
      <c r="AC4" s="50" t="e">
        <f>bdRateExtend( M4:M9,O4:O9, W4:W9,Y4:Y9)</f>
        <v>#VALUE!</v>
      </c>
      <c r="AE4" s="50" t="e">
        <f>bdRateExtend( N4:N9,O4:O9, X4:X9,Y4:Y9)</f>
        <v>#VALUE!</v>
      </c>
    </row>
    <row r="5" spans="1:31" outlineLevel="1" x14ac:dyDescent="0.25">
      <c r="A5" s="25"/>
      <c r="B5" s="25"/>
      <c r="C5" s="26" t="s">
        <v>311</v>
      </c>
      <c r="D5" s="25">
        <v>19948121</v>
      </c>
      <c r="E5" s="26">
        <v>21</v>
      </c>
      <c r="F5" s="26">
        <v>1</v>
      </c>
      <c r="G5" s="26"/>
      <c r="I5" s="56" t="str">
        <f t="shared" si="0"/>
        <v>·</v>
      </c>
      <c r="J5" s="28" t="str">
        <f t="shared" si="1"/>
        <v>·</v>
      </c>
      <c r="K5" s="28" t="str">
        <f t="shared" si="2"/>
        <v>·</v>
      </c>
      <c r="L5" s="29"/>
      <c r="M5" s="30"/>
      <c r="N5" s="30"/>
      <c r="O5" s="51"/>
      <c r="P5" s="31"/>
      <c r="Q5" s="31"/>
      <c r="S5" s="56" t="str">
        <f t="shared" si="3"/>
        <v>·</v>
      </c>
      <c r="T5" s="28" t="str">
        <f t="shared" si="4"/>
        <v>·</v>
      </c>
      <c r="U5" s="28" t="str">
        <f t="shared" si="5"/>
        <v>·</v>
      </c>
      <c r="V5" s="29"/>
      <c r="W5" s="30"/>
      <c r="X5" s="30"/>
      <c r="Y5" s="51"/>
      <c r="Z5" s="31"/>
      <c r="AA5" s="31"/>
      <c r="AC5" s="52"/>
      <c r="AE5" s="52"/>
    </row>
    <row r="6" spans="1:31" outlineLevel="1" x14ac:dyDescent="0.25">
      <c r="A6" s="18"/>
      <c r="B6" s="18"/>
      <c r="C6" s="19" t="s">
        <v>312</v>
      </c>
      <c r="D6" s="18">
        <v>19948121</v>
      </c>
      <c r="E6" s="19">
        <v>21</v>
      </c>
      <c r="F6" s="19">
        <v>1</v>
      </c>
      <c r="G6" s="19"/>
      <c r="I6" s="55" t="str">
        <f t="shared" si="0"/>
        <v>·</v>
      </c>
      <c r="J6" s="21" t="str">
        <f t="shared" si="1"/>
        <v>·</v>
      </c>
      <c r="K6" s="21" t="str">
        <f t="shared" si="2"/>
        <v>·</v>
      </c>
      <c r="L6" s="22"/>
      <c r="M6" s="23"/>
      <c r="N6" s="23"/>
      <c r="O6" s="49"/>
      <c r="P6" s="24"/>
      <c r="Q6" s="24"/>
      <c r="S6" s="55" t="str">
        <f t="shared" si="3"/>
        <v>·</v>
      </c>
      <c r="T6" s="21" t="str">
        <f t="shared" si="4"/>
        <v>·</v>
      </c>
      <c r="U6" s="21" t="str">
        <f t="shared" si="5"/>
        <v>·</v>
      </c>
      <c r="V6" s="22"/>
      <c r="W6" s="23"/>
      <c r="X6" s="23"/>
      <c r="Y6" s="49"/>
      <c r="Z6" s="24"/>
      <c r="AA6" s="24"/>
      <c r="AC6" s="50"/>
      <c r="AE6" s="50"/>
    </row>
    <row r="7" spans="1:31" outlineLevel="1" x14ac:dyDescent="0.25">
      <c r="A7" s="25"/>
      <c r="B7" s="25"/>
      <c r="C7" s="26" t="s">
        <v>313</v>
      </c>
      <c r="D7" s="25">
        <v>19948121</v>
      </c>
      <c r="E7" s="26">
        <v>21</v>
      </c>
      <c r="F7" s="26">
        <v>1</v>
      </c>
      <c r="G7" s="26"/>
      <c r="I7" s="56" t="str">
        <f t="shared" si="0"/>
        <v>·</v>
      </c>
      <c r="J7" s="28" t="str">
        <f t="shared" si="1"/>
        <v>·</v>
      </c>
      <c r="K7" s="28" t="str">
        <f t="shared" si="2"/>
        <v>·</v>
      </c>
      <c r="L7" s="29"/>
      <c r="M7" s="30"/>
      <c r="N7" s="30"/>
      <c r="O7" s="51"/>
      <c r="P7" s="31"/>
      <c r="Q7" s="31"/>
      <c r="S7" s="56" t="str">
        <f t="shared" si="3"/>
        <v>·</v>
      </c>
      <c r="T7" s="28" t="str">
        <f t="shared" si="4"/>
        <v>·</v>
      </c>
      <c r="U7" s="28" t="str">
        <f t="shared" si="5"/>
        <v>·</v>
      </c>
      <c r="V7" s="29"/>
      <c r="W7" s="30"/>
      <c r="X7" s="30"/>
      <c r="Y7" s="51"/>
      <c r="Z7" s="31"/>
      <c r="AA7" s="31"/>
      <c r="AC7" s="52"/>
      <c r="AE7" s="52"/>
    </row>
    <row r="8" spans="1:31" outlineLevel="1" x14ac:dyDescent="0.25">
      <c r="A8" s="18"/>
      <c r="B8" s="18"/>
      <c r="C8" s="19" t="s">
        <v>428</v>
      </c>
      <c r="D8" s="18">
        <v>19948121</v>
      </c>
      <c r="E8" s="19">
        <v>21</v>
      </c>
      <c r="F8" s="19">
        <v>1</v>
      </c>
      <c r="G8" s="19"/>
      <c r="I8" s="55" t="str">
        <f t="shared" si="0"/>
        <v>·</v>
      </c>
      <c r="J8" s="21" t="str">
        <f t="shared" si="1"/>
        <v>·</v>
      </c>
      <c r="K8" s="21" t="str">
        <f t="shared" si="2"/>
        <v>·</v>
      </c>
      <c r="L8" s="22"/>
      <c r="M8" s="23"/>
      <c r="N8" s="23"/>
      <c r="O8" s="49"/>
      <c r="P8" s="24"/>
      <c r="Q8" s="24"/>
      <c r="S8" s="55" t="str">
        <f t="shared" si="3"/>
        <v>·</v>
      </c>
      <c r="T8" s="21" t="str">
        <f t="shared" si="4"/>
        <v>·</v>
      </c>
      <c r="U8" s="21" t="str">
        <f t="shared" si="5"/>
        <v>·</v>
      </c>
      <c r="V8" s="22"/>
      <c r="W8" s="23"/>
      <c r="X8" s="23"/>
      <c r="Y8" s="49"/>
      <c r="Z8" s="24"/>
      <c r="AA8" s="24"/>
      <c r="AC8" s="50"/>
      <c r="AE8" s="50"/>
    </row>
    <row r="9" spans="1:31" outlineLevel="1" x14ac:dyDescent="0.25">
      <c r="A9" s="25"/>
      <c r="B9" s="32"/>
      <c r="C9" s="33" t="s">
        <v>429</v>
      </c>
      <c r="D9" s="32">
        <v>19948121</v>
      </c>
      <c r="E9" s="33">
        <v>21</v>
      </c>
      <c r="F9" s="33">
        <v>1</v>
      </c>
      <c r="G9" s="33"/>
      <c r="I9" s="57" t="str">
        <f t="shared" si="0"/>
        <v>·</v>
      </c>
      <c r="J9" s="35" t="str">
        <f t="shared" si="1"/>
        <v>·</v>
      </c>
      <c r="K9" s="35" t="str">
        <f t="shared" si="2"/>
        <v>·</v>
      </c>
      <c r="L9" s="36"/>
      <c r="M9" s="37"/>
      <c r="N9" s="37"/>
      <c r="O9" s="53"/>
      <c r="P9" s="38"/>
      <c r="Q9" s="38"/>
      <c r="S9" s="57" t="str">
        <f t="shared" si="3"/>
        <v>·</v>
      </c>
      <c r="T9" s="35" t="str">
        <f t="shared" si="4"/>
        <v>·</v>
      </c>
      <c r="U9" s="35" t="str">
        <f t="shared" si="5"/>
        <v>·</v>
      </c>
      <c r="V9" s="36"/>
      <c r="W9" s="37"/>
      <c r="X9" s="37"/>
      <c r="Y9" s="53"/>
      <c r="Z9" s="38"/>
      <c r="AA9" s="38"/>
      <c r="AC9" s="54"/>
      <c r="AE9" s="54"/>
    </row>
    <row r="10" spans="1:31" collapsed="1" x14ac:dyDescent="0.25">
      <c r="A10" s="18"/>
      <c r="B10" s="18" t="s">
        <v>984</v>
      </c>
      <c r="C10" s="19" t="s">
        <v>310</v>
      </c>
      <c r="D10" s="18">
        <v>5255920</v>
      </c>
      <c r="E10" s="19">
        <v>20</v>
      </c>
      <c r="F10" s="19">
        <v>1</v>
      </c>
      <c r="G10" s="19"/>
      <c r="I10" s="55" t="str">
        <f t="shared" si="0"/>
        <v>·</v>
      </c>
      <c r="J10" s="21" t="str">
        <f t="shared" si="1"/>
        <v>·</v>
      </c>
      <c r="K10" s="21" t="str">
        <f t="shared" si="2"/>
        <v>·</v>
      </c>
      <c r="L10" s="22"/>
      <c r="M10" s="23"/>
      <c r="N10" s="23"/>
      <c r="O10" s="49"/>
      <c r="P10" s="24"/>
      <c r="Q10" s="24"/>
      <c r="S10" s="55" t="str">
        <f t="shared" si="3"/>
        <v>·</v>
      </c>
      <c r="T10" s="21" t="str">
        <f t="shared" si="4"/>
        <v>·</v>
      </c>
      <c r="U10" s="21" t="str">
        <f t="shared" si="5"/>
        <v>·</v>
      </c>
      <c r="V10" s="22"/>
      <c r="W10" s="23"/>
      <c r="X10" s="23"/>
      <c r="Y10" s="49"/>
      <c r="Z10" s="24"/>
      <c r="AA10" s="24"/>
      <c r="AC10" s="50" t="e">
        <f>bdRateExtend( M10:M15,O10:O15, W10:W15,Y10:Y15)</f>
        <v>#VALUE!</v>
      </c>
      <c r="AE10" s="50" t="e">
        <f>bdRateExtend( N10:N15,O10:O15, X10:X15,Y10:Y15)</f>
        <v>#VALUE!</v>
      </c>
    </row>
    <row r="11" spans="1:31" outlineLevel="1" x14ac:dyDescent="0.25">
      <c r="A11" s="25"/>
      <c r="B11" s="25"/>
      <c r="C11" s="26" t="s">
        <v>311</v>
      </c>
      <c r="D11" s="25">
        <v>5255920</v>
      </c>
      <c r="E11" s="26">
        <v>20</v>
      </c>
      <c r="F11" s="26">
        <v>1</v>
      </c>
      <c r="G11" s="26"/>
      <c r="I11" s="56" t="str">
        <f t="shared" si="0"/>
        <v>·</v>
      </c>
      <c r="J11" s="28" t="str">
        <f t="shared" si="1"/>
        <v>·</v>
      </c>
      <c r="K11" s="28" t="str">
        <f t="shared" si="2"/>
        <v>·</v>
      </c>
      <c r="L11" s="29"/>
      <c r="M11" s="30"/>
      <c r="N11" s="30"/>
      <c r="O11" s="51"/>
      <c r="P11" s="31"/>
      <c r="Q11" s="31"/>
      <c r="S11" s="56" t="str">
        <f t="shared" si="3"/>
        <v>·</v>
      </c>
      <c r="T11" s="28" t="str">
        <f t="shared" si="4"/>
        <v>·</v>
      </c>
      <c r="U11" s="28" t="str">
        <f t="shared" si="5"/>
        <v>·</v>
      </c>
      <c r="V11" s="29"/>
      <c r="W11" s="30"/>
      <c r="X11" s="30"/>
      <c r="Y11" s="51"/>
      <c r="Z11" s="31"/>
      <c r="AA11" s="31"/>
      <c r="AC11" s="52"/>
      <c r="AE11" s="52"/>
    </row>
    <row r="12" spans="1:31" outlineLevel="1" x14ac:dyDescent="0.25">
      <c r="A12" s="18"/>
      <c r="B12" s="18"/>
      <c r="C12" s="19" t="s">
        <v>312</v>
      </c>
      <c r="D12" s="18">
        <v>5255920</v>
      </c>
      <c r="E12" s="19">
        <v>20</v>
      </c>
      <c r="F12" s="19">
        <v>1</v>
      </c>
      <c r="G12" s="19"/>
      <c r="I12" s="55" t="str">
        <f t="shared" si="0"/>
        <v>·</v>
      </c>
      <c r="J12" s="21" t="str">
        <f t="shared" si="1"/>
        <v>·</v>
      </c>
      <c r="K12" s="21" t="str">
        <f t="shared" si="2"/>
        <v>·</v>
      </c>
      <c r="L12" s="22"/>
      <c r="M12" s="23"/>
      <c r="N12" s="23"/>
      <c r="O12" s="49"/>
      <c r="P12" s="24"/>
      <c r="Q12" s="24"/>
      <c r="S12" s="55" t="str">
        <f t="shared" si="3"/>
        <v>·</v>
      </c>
      <c r="T12" s="21" t="str">
        <f t="shared" si="4"/>
        <v>·</v>
      </c>
      <c r="U12" s="21" t="str">
        <f t="shared" si="5"/>
        <v>·</v>
      </c>
      <c r="V12" s="22"/>
      <c r="W12" s="23"/>
      <c r="X12" s="23"/>
      <c r="Y12" s="49"/>
      <c r="Z12" s="24"/>
      <c r="AA12" s="24"/>
      <c r="AC12" s="50"/>
      <c r="AE12" s="50"/>
    </row>
    <row r="13" spans="1:31" outlineLevel="1" x14ac:dyDescent="0.25">
      <c r="A13" s="25"/>
      <c r="B13" s="25"/>
      <c r="C13" s="26" t="s">
        <v>313</v>
      </c>
      <c r="D13" s="25">
        <v>5255920</v>
      </c>
      <c r="E13" s="26">
        <v>20</v>
      </c>
      <c r="F13" s="26">
        <v>1</v>
      </c>
      <c r="G13" s="26"/>
      <c r="I13" s="56" t="str">
        <f t="shared" si="0"/>
        <v>·</v>
      </c>
      <c r="J13" s="28" t="str">
        <f t="shared" si="1"/>
        <v>·</v>
      </c>
      <c r="K13" s="28" t="str">
        <f t="shared" si="2"/>
        <v>·</v>
      </c>
      <c r="L13" s="29"/>
      <c r="M13" s="30"/>
      <c r="N13" s="30"/>
      <c r="O13" s="51"/>
      <c r="P13" s="31"/>
      <c r="Q13" s="31"/>
      <c r="S13" s="56" t="str">
        <f t="shared" si="3"/>
        <v>·</v>
      </c>
      <c r="T13" s="28" t="str">
        <f t="shared" si="4"/>
        <v>·</v>
      </c>
      <c r="U13" s="28" t="str">
        <f t="shared" si="5"/>
        <v>·</v>
      </c>
      <c r="V13" s="29"/>
      <c r="W13" s="30"/>
      <c r="X13" s="30"/>
      <c r="Y13" s="51"/>
      <c r="Z13" s="31"/>
      <c r="AA13" s="31"/>
      <c r="AC13" s="52"/>
      <c r="AE13" s="52"/>
    </row>
    <row r="14" spans="1:31" outlineLevel="1" x14ac:dyDescent="0.25">
      <c r="A14" s="18"/>
      <c r="B14" s="18"/>
      <c r="C14" s="19" t="s">
        <v>428</v>
      </c>
      <c r="D14" s="18">
        <v>5255920</v>
      </c>
      <c r="E14" s="19">
        <v>20</v>
      </c>
      <c r="F14" s="19">
        <v>1</v>
      </c>
      <c r="G14" s="19"/>
      <c r="I14" s="55" t="str">
        <f t="shared" si="0"/>
        <v>·</v>
      </c>
      <c r="J14" s="21" t="str">
        <f t="shared" si="1"/>
        <v>·</v>
      </c>
      <c r="K14" s="21" t="str">
        <f t="shared" si="2"/>
        <v>·</v>
      </c>
      <c r="L14" s="22"/>
      <c r="M14" s="23"/>
      <c r="N14" s="23"/>
      <c r="O14" s="49"/>
      <c r="P14" s="24"/>
      <c r="Q14" s="24"/>
      <c r="S14" s="55" t="str">
        <f t="shared" si="3"/>
        <v>·</v>
      </c>
      <c r="T14" s="21" t="str">
        <f t="shared" si="4"/>
        <v>·</v>
      </c>
      <c r="U14" s="21" t="str">
        <f t="shared" si="5"/>
        <v>·</v>
      </c>
      <c r="V14" s="22"/>
      <c r="W14" s="23"/>
      <c r="X14" s="23"/>
      <c r="Y14" s="49"/>
      <c r="Z14" s="24"/>
      <c r="AA14" s="24"/>
      <c r="AC14" s="50"/>
      <c r="AE14" s="50"/>
    </row>
    <row r="15" spans="1:31" outlineLevel="1" x14ac:dyDescent="0.25">
      <c r="A15" s="25"/>
      <c r="B15" s="32"/>
      <c r="C15" s="33" t="s">
        <v>429</v>
      </c>
      <c r="D15" s="32">
        <v>5255920</v>
      </c>
      <c r="E15" s="33">
        <v>20</v>
      </c>
      <c r="F15" s="33">
        <v>1</v>
      </c>
      <c r="G15" s="33"/>
      <c r="I15" s="57" t="str">
        <f t="shared" si="0"/>
        <v>·</v>
      </c>
      <c r="J15" s="35" t="str">
        <f t="shared" si="1"/>
        <v>·</v>
      </c>
      <c r="K15" s="35" t="str">
        <f t="shared" si="2"/>
        <v>·</v>
      </c>
      <c r="L15" s="36"/>
      <c r="M15" s="37"/>
      <c r="N15" s="37"/>
      <c r="O15" s="53"/>
      <c r="P15" s="38"/>
      <c r="Q15" s="38"/>
      <c r="S15" s="57" t="str">
        <f t="shared" si="3"/>
        <v>·</v>
      </c>
      <c r="T15" s="35" t="str">
        <f t="shared" si="4"/>
        <v>·</v>
      </c>
      <c r="U15" s="35" t="str">
        <f t="shared" si="5"/>
        <v>·</v>
      </c>
      <c r="V15" s="36"/>
      <c r="W15" s="37"/>
      <c r="X15" s="37"/>
      <c r="Y15" s="53"/>
      <c r="Z15" s="38"/>
      <c r="AA15" s="38"/>
      <c r="AC15" s="54"/>
      <c r="AE15" s="54"/>
    </row>
    <row r="16" spans="1:31" collapsed="1" x14ac:dyDescent="0.25">
      <c r="A16" s="18"/>
      <c r="B16" s="18" t="s">
        <v>987</v>
      </c>
      <c r="C16" s="19" t="s">
        <v>310</v>
      </c>
      <c r="D16" s="18">
        <v>7148516</v>
      </c>
      <c r="E16" s="19">
        <v>21</v>
      </c>
      <c r="F16" s="19">
        <v>1</v>
      </c>
      <c r="G16" s="19"/>
      <c r="I16" s="55" t="str">
        <f t="shared" si="0"/>
        <v>·</v>
      </c>
      <c r="J16" s="21" t="str">
        <f t="shared" si="1"/>
        <v>·</v>
      </c>
      <c r="K16" s="21" t="str">
        <f t="shared" si="2"/>
        <v>·</v>
      </c>
      <c r="L16" s="22"/>
      <c r="M16" s="23"/>
      <c r="N16" s="23"/>
      <c r="O16" s="49"/>
      <c r="P16" s="24"/>
      <c r="Q16" s="24"/>
      <c r="S16" s="55" t="str">
        <f t="shared" si="3"/>
        <v>·</v>
      </c>
      <c r="T16" s="21" t="str">
        <f t="shared" si="4"/>
        <v>·</v>
      </c>
      <c r="U16" s="21" t="str">
        <f t="shared" si="5"/>
        <v>·</v>
      </c>
      <c r="V16" s="22"/>
      <c r="W16" s="23"/>
      <c r="X16" s="23"/>
      <c r="Y16" s="49"/>
      <c r="Z16" s="24"/>
      <c r="AA16" s="24"/>
      <c r="AC16" s="50" t="e">
        <f>bdRateExtend( M16:M21,O16:O21, W16:W21,Y16:Y21)</f>
        <v>#VALUE!</v>
      </c>
      <c r="AE16" s="50" t="e">
        <f>bdRateExtend( N16:N21,O16:O21, X16:X21,Y16:Y21)</f>
        <v>#VALUE!</v>
      </c>
    </row>
    <row r="17" spans="1:31" outlineLevel="1" x14ac:dyDescent="0.25">
      <c r="A17" s="25"/>
      <c r="B17" s="25"/>
      <c r="C17" s="26" t="s">
        <v>311</v>
      </c>
      <c r="D17" s="25">
        <v>7148516</v>
      </c>
      <c r="E17" s="26">
        <v>21</v>
      </c>
      <c r="F17" s="26">
        <v>1</v>
      </c>
      <c r="G17" s="26"/>
      <c r="I17" s="56" t="str">
        <f t="shared" si="0"/>
        <v>·</v>
      </c>
      <c r="J17" s="28" t="str">
        <f t="shared" si="1"/>
        <v>·</v>
      </c>
      <c r="K17" s="28" t="str">
        <f t="shared" si="2"/>
        <v>·</v>
      </c>
      <c r="L17" s="29"/>
      <c r="M17" s="30"/>
      <c r="N17" s="30"/>
      <c r="O17" s="51"/>
      <c r="P17" s="31"/>
      <c r="Q17" s="31"/>
      <c r="S17" s="56" t="str">
        <f t="shared" si="3"/>
        <v>·</v>
      </c>
      <c r="T17" s="28" t="str">
        <f t="shared" si="4"/>
        <v>·</v>
      </c>
      <c r="U17" s="28" t="str">
        <f t="shared" si="5"/>
        <v>·</v>
      </c>
      <c r="V17" s="29"/>
      <c r="W17" s="30"/>
      <c r="X17" s="30"/>
      <c r="Y17" s="51"/>
      <c r="Z17" s="31"/>
      <c r="AA17" s="31"/>
      <c r="AC17" s="52"/>
      <c r="AE17" s="52"/>
    </row>
    <row r="18" spans="1:31" outlineLevel="1" x14ac:dyDescent="0.25">
      <c r="A18" s="18"/>
      <c r="B18" s="18"/>
      <c r="C18" s="19" t="s">
        <v>312</v>
      </c>
      <c r="D18" s="18">
        <v>7148516</v>
      </c>
      <c r="E18" s="19">
        <v>21</v>
      </c>
      <c r="F18" s="19">
        <v>1</v>
      </c>
      <c r="G18" s="19"/>
      <c r="I18" s="55" t="str">
        <f t="shared" si="0"/>
        <v>·</v>
      </c>
      <c r="J18" s="21" t="str">
        <f t="shared" si="1"/>
        <v>·</v>
      </c>
      <c r="K18" s="21" t="str">
        <f t="shared" si="2"/>
        <v>·</v>
      </c>
      <c r="L18" s="22"/>
      <c r="M18" s="23"/>
      <c r="N18" s="23"/>
      <c r="O18" s="49"/>
      <c r="P18" s="24"/>
      <c r="Q18" s="24"/>
      <c r="S18" s="55" t="str">
        <f t="shared" si="3"/>
        <v>·</v>
      </c>
      <c r="T18" s="21" t="str">
        <f t="shared" si="4"/>
        <v>·</v>
      </c>
      <c r="U18" s="21" t="str">
        <f t="shared" si="5"/>
        <v>·</v>
      </c>
      <c r="V18" s="22"/>
      <c r="W18" s="23"/>
      <c r="X18" s="23"/>
      <c r="Y18" s="49"/>
      <c r="Z18" s="24"/>
      <c r="AA18" s="24"/>
      <c r="AC18" s="50"/>
      <c r="AE18" s="50"/>
    </row>
    <row r="19" spans="1:31" outlineLevel="1" x14ac:dyDescent="0.25">
      <c r="A19" s="25"/>
      <c r="B19" s="25"/>
      <c r="C19" s="26" t="s">
        <v>313</v>
      </c>
      <c r="D19" s="25">
        <v>7148516</v>
      </c>
      <c r="E19" s="26">
        <v>21</v>
      </c>
      <c r="F19" s="26">
        <v>1</v>
      </c>
      <c r="G19" s="26"/>
      <c r="I19" s="56" t="str">
        <f t="shared" si="0"/>
        <v>·</v>
      </c>
      <c r="J19" s="28" t="str">
        <f t="shared" si="1"/>
        <v>·</v>
      </c>
      <c r="K19" s="28" t="str">
        <f t="shared" si="2"/>
        <v>·</v>
      </c>
      <c r="L19" s="29"/>
      <c r="M19" s="30"/>
      <c r="N19" s="30"/>
      <c r="O19" s="51"/>
      <c r="P19" s="31"/>
      <c r="Q19" s="31"/>
      <c r="S19" s="56" t="str">
        <f t="shared" si="3"/>
        <v>·</v>
      </c>
      <c r="T19" s="28" t="str">
        <f t="shared" si="4"/>
        <v>·</v>
      </c>
      <c r="U19" s="28" t="str">
        <f t="shared" si="5"/>
        <v>·</v>
      </c>
      <c r="V19" s="29"/>
      <c r="W19" s="30"/>
      <c r="X19" s="30"/>
      <c r="Y19" s="51"/>
      <c r="Z19" s="31"/>
      <c r="AA19" s="31"/>
      <c r="AC19" s="52"/>
      <c r="AE19" s="52"/>
    </row>
    <row r="20" spans="1:31" outlineLevel="1" x14ac:dyDescent="0.25">
      <c r="A20" s="18"/>
      <c r="B20" s="18"/>
      <c r="C20" s="19" t="s">
        <v>428</v>
      </c>
      <c r="D20" s="18">
        <v>7148516</v>
      </c>
      <c r="E20" s="19">
        <v>21</v>
      </c>
      <c r="F20" s="19">
        <v>1</v>
      </c>
      <c r="G20" s="19"/>
      <c r="I20" s="55" t="str">
        <f t="shared" si="0"/>
        <v>·</v>
      </c>
      <c r="J20" s="21" t="str">
        <f t="shared" si="1"/>
        <v>·</v>
      </c>
      <c r="K20" s="21" t="str">
        <f t="shared" si="2"/>
        <v>·</v>
      </c>
      <c r="L20" s="22"/>
      <c r="M20" s="23"/>
      <c r="N20" s="23"/>
      <c r="O20" s="49"/>
      <c r="P20" s="24"/>
      <c r="Q20" s="24"/>
      <c r="S20" s="55" t="str">
        <f t="shared" si="3"/>
        <v>·</v>
      </c>
      <c r="T20" s="21" t="str">
        <f t="shared" si="4"/>
        <v>·</v>
      </c>
      <c r="U20" s="21" t="str">
        <f t="shared" si="5"/>
        <v>·</v>
      </c>
      <c r="V20" s="22"/>
      <c r="W20" s="23"/>
      <c r="X20" s="23"/>
      <c r="Y20" s="49"/>
      <c r="Z20" s="24"/>
      <c r="AA20" s="24"/>
      <c r="AC20" s="50"/>
      <c r="AE20" s="50"/>
    </row>
    <row r="21" spans="1:31" outlineLevel="1" x14ac:dyDescent="0.25">
      <c r="A21" s="32"/>
      <c r="B21" s="32"/>
      <c r="C21" s="33" t="s">
        <v>429</v>
      </c>
      <c r="D21" s="32">
        <v>7148516</v>
      </c>
      <c r="E21" s="33">
        <v>21</v>
      </c>
      <c r="F21" s="33">
        <v>1</v>
      </c>
      <c r="G21" s="33"/>
      <c r="I21" s="57" t="str">
        <f t="shared" si="0"/>
        <v>·</v>
      </c>
      <c r="J21" s="35" t="str">
        <f t="shared" si="1"/>
        <v>·</v>
      </c>
      <c r="K21" s="35" t="str">
        <f t="shared" si="2"/>
        <v>·</v>
      </c>
      <c r="L21" s="36"/>
      <c r="M21" s="37"/>
      <c r="N21" s="37"/>
      <c r="O21" s="53"/>
      <c r="P21" s="38"/>
      <c r="Q21" s="38"/>
      <c r="S21" s="57" t="str">
        <f t="shared" si="3"/>
        <v>·</v>
      </c>
      <c r="T21" s="35" t="str">
        <f t="shared" si="4"/>
        <v>·</v>
      </c>
      <c r="U21" s="35" t="str">
        <f t="shared" si="5"/>
        <v>·</v>
      </c>
      <c r="V21" s="36"/>
      <c r="W21" s="37"/>
      <c r="X21" s="37"/>
      <c r="Y21" s="53"/>
      <c r="Z21" s="38"/>
      <c r="AA21" s="38"/>
      <c r="AC21" s="54"/>
      <c r="AE21" s="54"/>
    </row>
    <row r="22" spans="1:31" x14ac:dyDescent="0.25">
      <c r="B22" s="46" t="s">
        <v>258</v>
      </c>
      <c r="J22" s="47" t="e">
        <f>AVERAGE(J4:J21)</f>
        <v>#DIV/0!</v>
      </c>
      <c r="T22" s="47" t="e">
        <f>AVERAGE(T4:T21)</f>
        <v>#DIV/0!</v>
      </c>
      <c r="AC22" s="11" t="e">
        <f>AVERAGE(AC4:AC21)</f>
        <v>#VALUE!</v>
      </c>
      <c r="AE22" s="11" t="e">
        <f>AVERAGE(AE4:AE21)</f>
        <v>#VALUE!</v>
      </c>
    </row>
    <row r="23" spans="1:31" hidden="1" outlineLevel="2" x14ac:dyDescent="0.25">
      <c r="A23" s="46" t="s">
        <v>259</v>
      </c>
      <c r="B23" s="46" t="s">
        <v>260</v>
      </c>
      <c r="P23" s="48">
        <f>SUM(P4:P21)</f>
        <v>0</v>
      </c>
      <c r="Q23" s="48">
        <f>SUM(Q4:Q21)</f>
        <v>0</v>
      </c>
      <c r="Z23" s="48">
        <f>SUM(Z4:Z21)</f>
        <v>0</v>
      </c>
      <c r="AA23" s="48">
        <f>SUM(AA4:AA21)</f>
        <v>0</v>
      </c>
    </row>
    <row r="24" spans="1:31" hidden="1" outlineLevel="2" x14ac:dyDescent="0.25">
      <c r="B24" s="46" t="s">
        <v>261</v>
      </c>
      <c r="Z24" s="6" t="e">
        <f>Z23/P23</f>
        <v>#DIV/0!</v>
      </c>
      <c r="AA24" s="6" t="e">
        <f>AA23/Q23</f>
        <v>#DIV/0!</v>
      </c>
    </row>
    <row r="25" spans="1:31" hidden="1" outlineLevel="2" x14ac:dyDescent="0.25">
      <c r="B25" s="46" t="s">
        <v>262</v>
      </c>
      <c r="P25" s="48" t="e">
        <f>GEOMEAN(P4:P21)</f>
        <v>#NUM!</v>
      </c>
      <c r="Q25" s="48" t="e">
        <f>GEOMEAN(Q4:Q21)</f>
        <v>#NUM!</v>
      </c>
      <c r="Z25" s="48" t="e">
        <f>GEOMEAN(Z4:Z21)</f>
        <v>#NUM!</v>
      </c>
      <c r="AA25" s="48" t="e">
        <f>GEOMEAN(AA4:AA21)</f>
        <v>#NUM!</v>
      </c>
    </row>
    <row r="26" spans="1:31" outlineLevel="2" collapsed="1" x14ac:dyDescent="0.25">
      <c r="B26" s="46" t="s">
        <v>263</v>
      </c>
      <c r="Z26" s="6" t="e">
        <f>Z25/P25</f>
        <v>#NUM!</v>
      </c>
      <c r="AA26" s="6" t="e">
        <f>AA25/Q25</f>
        <v>#NUM!</v>
      </c>
    </row>
  </sheetData>
  <mergeCells count="28">
    <mergeCell ref="A1:G1"/>
    <mergeCell ref="I1:Q1"/>
    <mergeCell ref="S1:AA1"/>
    <mergeCell ref="Y2:Y3"/>
    <mergeCell ref="Z2:Z3"/>
    <mergeCell ref="AA2:AA3"/>
    <mergeCell ref="L2:L3"/>
    <mergeCell ref="M2:N2"/>
    <mergeCell ref="O2:O3"/>
    <mergeCell ref="P2:P3"/>
    <mergeCell ref="Q2:Q3"/>
    <mergeCell ref="F2:F3"/>
    <mergeCell ref="G2:G3"/>
    <mergeCell ref="I2:I3"/>
    <mergeCell ref="J2:J3"/>
    <mergeCell ref="K2:K3"/>
    <mergeCell ref="AC2:AC3"/>
    <mergeCell ref="AE2:AE3"/>
    <mergeCell ref="S2:S3"/>
    <mergeCell ref="T2:T3"/>
    <mergeCell ref="U2:U3"/>
    <mergeCell ref="V2:V3"/>
    <mergeCell ref="W2:X2"/>
    <mergeCell ref="A2:A3"/>
    <mergeCell ref="B2:B3"/>
    <mergeCell ref="C2:C3"/>
    <mergeCell ref="D2:D3"/>
    <mergeCell ref="E2:E3"/>
  </mergeCells>
  <conditionalFormatting sqref="AC4 AC5 AC6 AC7 AC8 AC9 AC10 AC11 AC12 AC13 AC14 AC15 AC16 AC17 AC18 AC19 AC20 AC21 AC22">
    <cfRule type="cellIs" dxfId="43" priority="3" operator="greaterThanOrEqual">
      <formula>0.03</formula>
    </cfRule>
    <cfRule type="cellIs" dxfId="42" priority="4" operator="lessThanOrEqual">
      <formula>-0.03</formula>
    </cfRule>
  </conditionalFormatting>
  <conditionalFormatting sqref="AE4 AE5 AE6 AE7 AE8 AE9 AE10 AE11 AE12 AE13 AE14 AE15 AE16 AE17 AE18 AE19 AE20 AE21 AE22">
    <cfRule type="cellIs" dxfId="41" priority="1" operator="greaterThanOrEqual">
      <formula>0.03</formula>
    </cfRule>
    <cfRule type="cellIs" dxfId="40" priority="2" operator="lessThanOrEqual">
      <formula>-0.03</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D4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5" width="11.7109375" customWidth="1"/>
    <col min="18" max="18" width="1.7109375" customWidth="1"/>
    <col min="20" max="20" width="10.7109375" customWidth="1"/>
    <col min="21" max="21" width="12.7109375" customWidth="1"/>
    <col min="22" max="22" width="10.7109375" customWidth="1"/>
    <col min="23" max="23" width="12.7109375" customWidth="1"/>
    <col min="24" max="25" width="11.7109375" customWidth="1"/>
    <col min="28" max="28" width="1.7109375" customWidth="1"/>
    <col min="31" max="31" width="1.7109375" customWidth="1"/>
  </cols>
  <sheetData>
    <row r="1" spans="1:30" x14ac:dyDescent="0.25">
      <c r="A1" s="76" t="s">
        <v>1134</v>
      </c>
      <c r="B1" s="76"/>
      <c r="C1" s="76"/>
      <c r="D1" s="76"/>
      <c r="E1" s="76"/>
      <c r="F1" s="76"/>
      <c r="G1" s="76"/>
      <c r="I1" s="65" t="s">
        <v>2</v>
      </c>
      <c r="J1" s="65"/>
      <c r="K1" s="65"/>
      <c r="L1" s="65"/>
      <c r="M1" s="65"/>
      <c r="N1" s="65"/>
      <c r="O1" s="65"/>
      <c r="P1" s="65"/>
      <c r="Q1" s="65"/>
      <c r="S1" s="66" t="s">
        <v>3</v>
      </c>
      <c r="T1" s="66"/>
      <c r="U1" s="66"/>
      <c r="V1" s="66"/>
      <c r="W1" s="66"/>
      <c r="X1" s="66"/>
      <c r="Y1" s="66"/>
      <c r="Z1" s="66"/>
      <c r="AA1" s="66"/>
    </row>
    <row r="2" spans="1:30" ht="30" customHeight="1" x14ac:dyDescent="0.25">
      <c r="A2" s="75" t="s">
        <v>97</v>
      </c>
      <c r="B2" s="73" t="s">
        <v>99</v>
      </c>
      <c r="C2" s="75" t="s">
        <v>275</v>
      </c>
      <c r="D2" s="73" t="s">
        <v>101</v>
      </c>
      <c r="E2" s="75" t="s">
        <v>103</v>
      </c>
      <c r="F2" s="73" t="s">
        <v>513</v>
      </c>
      <c r="G2" s="75" t="s">
        <v>515</v>
      </c>
      <c r="I2" s="73" t="s">
        <v>518</v>
      </c>
      <c r="J2" s="75" t="s">
        <v>520</v>
      </c>
      <c r="K2" s="73" t="s">
        <v>112</v>
      </c>
      <c r="L2" s="75" t="s">
        <v>26</v>
      </c>
      <c r="M2" s="73" t="s">
        <v>524</v>
      </c>
      <c r="N2" s="74" t="s">
        <v>374</v>
      </c>
      <c r="O2" s="74"/>
      <c r="P2" s="73" t="s">
        <v>118</v>
      </c>
      <c r="Q2" s="75" t="s">
        <v>120</v>
      </c>
      <c r="S2" s="73" t="s">
        <v>518</v>
      </c>
      <c r="T2" s="75" t="s">
        <v>520</v>
      </c>
      <c r="U2" s="73" t="s">
        <v>112</v>
      </c>
      <c r="V2" s="75" t="s">
        <v>26</v>
      </c>
      <c r="W2" s="73" t="s">
        <v>524</v>
      </c>
      <c r="X2" s="74" t="s">
        <v>374</v>
      </c>
      <c r="Y2" s="74"/>
      <c r="Z2" s="73" t="s">
        <v>118</v>
      </c>
      <c r="AA2" s="75" t="s">
        <v>120</v>
      </c>
      <c r="AC2" s="77" t="s">
        <v>409</v>
      </c>
      <c r="AD2" s="77"/>
    </row>
    <row r="3" spans="1:30" x14ac:dyDescent="0.25">
      <c r="A3" s="75"/>
      <c r="B3" s="73"/>
      <c r="C3" s="75"/>
      <c r="D3" s="73"/>
      <c r="E3" s="75"/>
      <c r="F3" s="73"/>
      <c r="G3" s="75"/>
      <c r="I3" s="73"/>
      <c r="J3" s="75"/>
      <c r="K3" s="73"/>
      <c r="L3" s="75"/>
      <c r="M3" s="73"/>
      <c r="N3" s="16" t="s">
        <v>375</v>
      </c>
      <c r="O3" s="16" t="s">
        <v>377</v>
      </c>
      <c r="P3" s="73"/>
      <c r="Q3" s="75"/>
      <c r="S3" s="73"/>
      <c r="T3" s="75"/>
      <c r="U3" s="73"/>
      <c r="V3" s="75"/>
      <c r="W3" s="73"/>
      <c r="X3" s="16" t="s">
        <v>375</v>
      </c>
      <c r="Y3" s="16" t="s">
        <v>377</v>
      </c>
      <c r="Z3" s="73"/>
      <c r="AA3" s="75"/>
      <c r="AC3" s="17" t="s">
        <v>375</v>
      </c>
      <c r="AD3" s="17" t="s">
        <v>377</v>
      </c>
    </row>
    <row r="4" spans="1:30" collapsed="1" x14ac:dyDescent="0.25">
      <c r="A4" s="18" t="s">
        <v>990</v>
      </c>
      <c r="B4" s="18" t="s">
        <v>981</v>
      </c>
      <c r="C4" s="19" t="s">
        <v>310</v>
      </c>
      <c r="D4" s="18">
        <v>19948121</v>
      </c>
      <c r="E4" s="19">
        <v>21</v>
      </c>
      <c r="F4" s="19">
        <v>1</v>
      </c>
      <c r="G4" s="19"/>
      <c r="I4" s="55" t="str">
        <f t="shared" ref="I4:I39" si="0">IF(OR(ISBLANK(M4),ISBLANK(G4)),"·",M4*G4/F4/1000000)</f>
        <v>·</v>
      </c>
      <c r="J4" s="21" t="str">
        <f t="shared" ref="J4:J39" si="1">IF(ISBLANK(M4),"·",M4/D4)</f>
        <v>·</v>
      </c>
      <c r="K4" s="21" t="str">
        <f t="shared" ref="K4:K39" si="2">IF(ISBLANK(M4),"·",M4/L4)</f>
        <v>·</v>
      </c>
      <c r="L4" s="22"/>
      <c r="M4" s="23"/>
      <c r="N4" s="49"/>
      <c r="O4" s="49"/>
      <c r="P4" s="24"/>
      <c r="Q4" s="24"/>
      <c r="S4" s="55" t="str">
        <f t="shared" ref="S4:S39" si="3">IF(OR(ISBLANK(W4),ISBLANK(G4)),"·",W4*G4/F4/1000000)</f>
        <v>·</v>
      </c>
      <c r="T4" s="21" t="str">
        <f t="shared" ref="T4:T39" si="4">IF(ISBLANK(W4),"·",W4/D4)</f>
        <v>·</v>
      </c>
      <c r="U4" s="21" t="str">
        <f t="shared" ref="U4:U39" si="5">IF(ISBLANK(W4),"·",W4/V4)</f>
        <v>·</v>
      </c>
      <c r="V4" s="22"/>
      <c r="W4" s="23"/>
      <c r="X4" s="49"/>
      <c r="Y4" s="49"/>
      <c r="Z4" s="24"/>
      <c r="AA4" s="24"/>
      <c r="AC4" s="50" t="e">
        <f>bdRateExtend( M4:M9,N4:N9, W4:W9,X4:X9)</f>
        <v>#VALUE!</v>
      </c>
      <c r="AD4" s="50" t="e">
        <f>bdRateExtend( M4:M9,O4:O9, W4:W9,Y4:Y9)</f>
        <v>#VALUE!</v>
      </c>
    </row>
    <row r="5" spans="1:30" outlineLevel="1" x14ac:dyDescent="0.25">
      <c r="A5" s="25"/>
      <c r="B5" s="25"/>
      <c r="C5" s="26" t="s">
        <v>311</v>
      </c>
      <c r="D5" s="25">
        <v>19948121</v>
      </c>
      <c r="E5" s="26">
        <v>21</v>
      </c>
      <c r="F5" s="26">
        <v>1</v>
      </c>
      <c r="G5" s="26"/>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D5" s="52"/>
    </row>
    <row r="6" spans="1:30" outlineLevel="1" x14ac:dyDescent="0.25">
      <c r="A6" s="18"/>
      <c r="B6" s="18"/>
      <c r="C6" s="19" t="s">
        <v>312</v>
      </c>
      <c r="D6" s="18">
        <v>19948121</v>
      </c>
      <c r="E6" s="19">
        <v>21</v>
      </c>
      <c r="F6" s="19">
        <v>1</v>
      </c>
      <c r="G6" s="19"/>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D6" s="50"/>
    </row>
    <row r="7" spans="1:30" outlineLevel="1" x14ac:dyDescent="0.25">
      <c r="A7" s="25"/>
      <c r="B7" s="25"/>
      <c r="C7" s="26" t="s">
        <v>313</v>
      </c>
      <c r="D7" s="25">
        <v>19948121</v>
      </c>
      <c r="E7" s="26">
        <v>21</v>
      </c>
      <c r="F7" s="26">
        <v>1</v>
      </c>
      <c r="G7" s="26"/>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D7" s="52"/>
    </row>
    <row r="8" spans="1:30" outlineLevel="1" x14ac:dyDescent="0.25">
      <c r="A8" s="18"/>
      <c r="B8" s="18"/>
      <c r="C8" s="19" t="s">
        <v>428</v>
      </c>
      <c r="D8" s="18">
        <v>19948121</v>
      </c>
      <c r="E8" s="19">
        <v>21</v>
      </c>
      <c r="F8" s="19">
        <v>1</v>
      </c>
      <c r="G8" s="19"/>
      <c r="I8" s="55" t="str">
        <f t="shared" si="0"/>
        <v>·</v>
      </c>
      <c r="J8" s="21" t="str">
        <f t="shared" si="1"/>
        <v>·</v>
      </c>
      <c r="K8" s="21" t="str">
        <f t="shared" si="2"/>
        <v>·</v>
      </c>
      <c r="L8" s="22"/>
      <c r="M8" s="23"/>
      <c r="N8" s="49"/>
      <c r="O8" s="49"/>
      <c r="P8" s="24"/>
      <c r="Q8" s="24"/>
      <c r="S8" s="55" t="str">
        <f t="shared" si="3"/>
        <v>·</v>
      </c>
      <c r="T8" s="21" t="str">
        <f t="shared" si="4"/>
        <v>·</v>
      </c>
      <c r="U8" s="21" t="str">
        <f t="shared" si="5"/>
        <v>·</v>
      </c>
      <c r="V8" s="22"/>
      <c r="W8" s="23"/>
      <c r="X8" s="49"/>
      <c r="Y8" s="49"/>
      <c r="Z8" s="24"/>
      <c r="AA8" s="24"/>
      <c r="AC8" s="50"/>
      <c r="AD8" s="50"/>
    </row>
    <row r="9" spans="1:30" outlineLevel="1" x14ac:dyDescent="0.25">
      <c r="A9" s="25"/>
      <c r="B9" s="32"/>
      <c r="C9" s="33" t="s">
        <v>429</v>
      </c>
      <c r="D9" s="32">
        <v>19948121</v>
      </c>
      <c r="E9" s="33">
        <v>21</v>
      </c>
      <c r="F9" s="33">
        <v>1</v>
      </c>
      <c r="G9" s="33"/>
      <c r="I9" s="57" t="str">
        <f t="shared" si="0"/>
        <v>·</v>
      </c>
      <c r="J9" s="35" t="str">
        <f t="shared" si="1"/>
        <v>·</v>
      </c>
      <c r="K9" s="35" t="str">
        <f t="shared" si="2"/>
        <v>·</v>
      </c>
      <c r="L9" s="36"/>
      <c r="M9" s="37"/>
      <c r="N9" s="53"/>
      <c r="O9" s="53"/>
      <c r="P9" s="38"/>
      <c r="Q9" s="38"/>
      <c r="S9" s="57" t="str">
        <f t="shared" si="3"/>
        <v>·</v>
      </c>
      <c r="T9" s="35" t="str">
        <f t="shared" si="4"/>
        <v>·</v>
      </c>
      <c r="U9" s="35" t="str">
        <f t="shared" si="5"/>
        <v>·</v>
      </c>
      <c r="V9" s="36"/>
      <c r="W9" s="37"/>
      <c r="X9" s="53"/>
      <c r="Y9" s="53"/>
      <c r="Z9" s="38"/>
      <c r="AA9" s="38"/>
      <c r="AC9" s="54"/>
      <c r="AD9" s="54"/>
    </row>
    <row r="10" spans="1:30" collapsed="1" x14ac:dyDescent="0.25">
      <c r="A10" s="18"/>
      <c r="B10" s="18" t="s">
        <v>984</v>
      </c>
      <c r="C10" s="19" t="s">
        <v>310</v>
      </c>
      <c r="D10" s="18">
        <v>5255920</v>
      </c>
      <c r="E10" s="19">
        <v>20</v>
      </c>
      <c r="F10" s="19">
        <v>1</v>
      </c>
      <c r="G10" s="19"/>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t="e">
        <f>bdRateExtend( M10:M15,N10:N15, W10:W15,X10:X15)</f>
        <v>#VALUE!</v>
      </c>
      <c r="AD10" s="50" t="e">
        <f>bdRateExtend( M10:M15,O10:O15, W10:W15,Y10:Y15)</f>
        <v>#VALUE!</v>
      </c>
    </row>
    <row r="11" spans="1:30" outlineLevel="1" x14ac:dyDescent="0.25">
      <c r="A11" s="25"/>
      <c r="B11" s="25"/>
      <c r="C11" s="26" t="s">
        <v>311</v>
      </c>
      <c r="D11" s="25">
        <v>5255920</v>
      </c>
      <c r="E11" s="26">
        <v>20</v>
      </c>
      <c r="F11" s="26">
        <v>1</v>
      </c>
      <c r="G11" s="26"/>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D11" s="52"/>
    </row>
    <row r="12" spans="1:30" outlineLevel="1" x14ac:dyDescent="0.25">
      <c r="A12" s="18"/>
      <c r="B12" s="18"/>
      <c r="C12" s="19" t="s">
        <v>312</v>
      </c>
      <c r="D12" s="18">
        <v>5255920</v>
      </c>
      <c r="E12" s="19">
        <v>20</v>
      </c>
      <c r="F12" s="19">
        <v>1</v>
      </c>
      <c r="G12" s="19"/>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D12" s="50"/>
    </row>
    <row r="13" spans="1:30" outlineLevel="1" x14ac:dyDescent="0.25">
      <c r="A13" s="25"/>
      <c r="B13" s="25"/>
      <c r="C13" s="26" t="s">
        <v>313</v>
      </c>
      <c r="D13" s="25">
        <v>5255920</v>
      </c>
      <c r="E13" s="26">
        <v>20</v>
      </c>
      <c r="F13" s="26">
        <v>1</v>
      </c>
      <c r="G13" s="26"/>
      <c r="I13" s="56" t="str">
        <f t="shared" si="0"/>
        <v>·</v>
      </c>
      <c r="J13" s="28" t="str">
        <f t="shared" si="1"/>
        <v>·</v>
      </c>
      <c r="K13" s="28" t="str">
        <f t="shared" si="2"/>
        <v>·</v>
      </c>
      <c r="L13" s="29"/>
      <c r="M13" s="30"/>
      <c r="N13" s="51"/>
      <c r="O13" s="51"/>
      <c r="P13" s="31"/>
      <c r="Q13" s="31"/>
      <c r="S13" s="56" t="str">
        <f t="shared" si="3"/>
        <v>·</v>
      </c>
      <c r="T13" s="28" t="str">
        <f t="shared" si="4"/>
        <v>·</v>
      </c>
      <c r="U13" s="28" t="str">
        <f t="shared" si="5"/>
        <v>·</v>
      </c>
      <c r="V13" s="29"/>
      <c r="W13" s="30"/>
      <c r="X13" s="51"/>
      <c r="Y13" s="51"/>
      <c r="Z13" s="31"/>
      <c r="AA13" s="31"/>
      <c r="AC13" s="52"/>
      <c r="AD13" s="52"/>
    </row>
    <row r="14" spans="1:30" outlineLevel="1" x14ac:dyDescent="0.25">
      <c r="A14" s="18"/>
      <c r="B14" s="18"/>
      <c r="C14" s="19" t="s">
        <v>428</v>
      </c>
      <c r="D14" s="18">
        <v>5255920</v>
      </c>
      <c r="E14" s="19">
        <v>20</v>
      </c>
      <c r="F14" s="19">
        <v>1</v>
      </c>
      <c r="G14" s="19"/>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c r="AD14" s="50"/>
    </row>
    <row r="15" spans="1:30" outlineLevel="1" x14ac:dyDescent="0.25">
      <c r="A15" s="25"/>
      <c r="B15" s="32"/>
      <c r="C15" s="33" t="s">
        <v>429</v>
      </c>
      <c r="D15" s="32">
        <v>5255920</v>
      </c>
      <c r="E15" s="33">
        <v>20</v>
      </c>
      <c r="F15" s="33">
        <v>1</v>
      </c>
      <c r="G15" s="33"/>
      <c r="I15" s="57" t="str">
        <f t="shared" si="0"/>
        <v>·</v>
      </c>
      <c r="J15" s="35" t="str">
        <f t="shared" si="1"/>
        <v>·</v>
      </c>
      <c r="K15" s="35" t="str">
        <f t="shared" si="2"/>
        <v>·</v>
      </c>
      <c r="L15" s="36"/>
      <c r="M15" s="37"/>
      <c r="N15" s="53"/>
      <c r="O15" s="53"/>
      <c r="P15" s="38"/>
      <c r="Q15" s="38"/>
      <c r="S15" s="57" t="str">
        <f t="shared" si="3"/>
        <v>·</v>
      </c>
      <c r="T15" s="35" t="str">
        <f t="shared" si="4"/>
        <v>·</v>
      </c>
      <c r="U15" s="35" t="str">
        <f t="shared" si="5"/>
        <v>·</v>
      </c>
      <c r="V15" s="36"/>
      <c r="W15" s="37"/>
      <c r="X15" s="53"/>
      <c r="Y15" s="53"/>
      <c r="Z15" s="38"/>
      <c r="AA15" s="38"/>
      <c r="AC15" s="54"/>
      <c r="AD15" s="54"/>
    </row>
    <row r="16" spans="1:30" collapsed="1" x14ac:dyDescent="0.25">
      <c r="A16" s="18"/>
      <c r="B16" s="18" t="s">
        <v>987</v>
      </c>
      <c r="C16" s="19" t="s">
        <v>310</v>
      </c>
      <c r="D16" s="18">
        <v>7148516</v>
      </c>
      <c r="E16" s="19">
        <v>21</v>
      </c>
      <c r="F16" s="19">
        <v>1</v>
      </c>
      <c r="G16" s="19"/>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t="e">
        <f>bdRateExtend( M16:M21,N16:N21, W16:W21,X16:X21)</f>
        <v>#VALUE!</v>
      </c>
      <c r="AD16" s="50" t="e">
        <f>bdRateExtend( M16:M21,O16:O21, W16:W21,Y16:Y21)</f>
        <v>#VALUE!</v>
      </c>
    </row>
    <row r="17" spans="1:30" outlineLevel="1" x14ac:dyDescent="0.25">
      <c r="A17" s="25"/>
      <c r="B17" s="25"/>
      <c r="C17" s="26" t="s">
        <v>311</v>
      </c>
      <c r="D17" s="25">
        <v>7148516</v>
      </c>
      <c r="E17" s="26">
        <v>21</v>
      </c>
      <c r="F17" s="26">
        <v>1</v>
      </c>
      <c r="G17" s="26"/>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D17" s="52"/>
    </row>
    <row r="18" spans="1:30" outlineLevel="1" x14ac:dyDescent="0.25">
      <c r="A18" s="18"/>
      <c r="B18" s="18"/>
      <c r="C18" s="19" t="s">
        <v>312</v>
      </c>
      <c r="D18" s="18">
        <v>7148516</v>
      </c>
      <c r="E18" s="19">
        <v>21</v>
      </c>
      <c r="F18" s="19">
        <v>1</v>
      </c>
      <c r="G18" s="19"/>
      <c r="I18" s="55" t="str">
        <f t="shared" si="0"/>
        <v>·</v>
      </c>
      <c r="J18" s="21" t="str">
        <f t="shared" si="1"/>
        <v>·</v>
      </c>
      <c r="K18" s="21" t="str">
        <f t="shared" si="2"/>
        <v>·</v>
      </c>
      <c r="L18" s="22"/>
      <c r="M18" s="23"/>
      <c r="N18" s="49"/>
      <c r="O18" s="49"/>
      <c r="P18" s="24"/>
      <c r="Q18" s="24"/>
      <c r="S18" s="55" t="str">
        <f t="shared" si="3"/>
        <v>·</v>
      </c>
      <c r="T18" s="21" t="str">
        <f t="shared" si="4"/>
        <v>·</v>
      </c>
      <c r="U18" s="21" t="str">
        <f t="shared" si="5"/>
        <v>·</v>
      </c>
      <c r="V18" s="22"/>
      <c r="W18" s="23"/>
      <c r="X18" s="49"/>
      <c r="Y18" s="49"/>
      <c r="Z18" s="24"/>
      <c r="AA18" s="24"/>
      <c r="AC18" s="50"/>
      <c r="AD18" s="50"/>
    </row>
    <row r="19" spans="1:30" outlineLevel="1" x14ac:dyDescent="0.25">
      <c r="A19" s="25"/>
      <c r="B19" s="25"/>
      <c r="C19" s="26" t="s">
        <v>313</v>
      </c>
      <c r="D19" s="25">
        <v>7148516</v>
      </c>
      <c r="E19" s="26">
        <v>21</v>
      </c>
      <c r="F19" s="26">
        <v>1</v>
      </c>
      <c r="G19" s="26"/>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c r="AD19" s="52"/>
    </row>
    <row r="20" spans="1:30" outlineLevel="1" x14ac:dyDescent="0.25">
      <c r="A20" s="18"/>
      <c r="B20" s="18"/>
      <c r="C20" s="19" t="s">
        <v>428</v>
      </c>
      <c r="D20" s="18">
        <v>7148516</v>
      </c>
      <c r="E20" s="19">
        <v>21</v>
      </c>
      <c r="F20" s="19">
        <v>1</v>
      </c>
      <c r="G20" s="19"/>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D20" s="50"/>
    </row>
    <row r="21" spans="1:30" outlineLevel="1" x14ac:dyDescent="0.25">
      <c r="A21" s="32"/>
      <c r="B21" s="32"/>
      <c r="C21" s="33" t="s">
        <v>429</v>
      </c>
      <c r="D21" s="32">
        <v>7148516</v>
      </c>
      <c r="E21" s="33">
        <v>21</v>
      </c>
      <c r="F21" s="33">
        <v>1</v>
      </c>
      <c r="G21" s="33"/>
      <c r="I21" s="57" t="str">
        <f t="shared" si="0"/>
        <v>·</v>
      </c>
      <c r="J21" s="35" t="str">
        <f t="shared" si="1"/>
        <v>·</v>
      </c>
      <c r="K21" s="35" t="str">
        <f t="shared" si="2"/>
        <v>·</v>
      </c>
      <c r="L21" s="36"/>
      <c r="M21" s="37"/>
      <c r="N21" s="53"/>
      <c r="O21" s="53"/>
      <c r="P21" s="38"/>
      <c r="Q21" s="38"/>
      <c r="S21" s="57" t="str">
        <f t="shared" si="3"/>
        <v>·</v>
      </c>
      <c r="T21" s="35" t="str">
        <f t="shared" si="4"/>
        <v>·</v>
      </c>
      <c r="U21" s="35" t="str">
        <f t="shared" si="5"/>
        <v>·</v>
      </c>
      <c r="V21" s="36"/>
      <c r="W21" s="37"/>
      <c r="X21" s="53"/>
      <c r="Y21" s="53"/>
      <c r="Z21" s="38"/>
      <c r="AA21" s="38"/>
      <c r="AC21" s="54"/>
      <c r="AD21" s="54"/>
    </row>
    <row r="22" spans="1:30" collapsed="1" x14ac:dyDescent="0.25">
      <c r="A22" s="18" t="s">
        <v>1000</v>
      </c>
      <c r="B22" s="18" t="s">
        <v>991</v>
      </c>
      <c r="C22" s="19" t="s">
        <v>310</v>
      </c>
      <c r="D22" s="18">
        <v>123940658</v>
      </c>
      <c r="E22" s="19">
        <v>18</v>
      </c>
      <c r="F22" s="19">
        <v>1500</v>
      </c>
      <c r="G22" s="19">
        <v>10</v>
      </c>
      <c r="I22" s="55" t="str">
        <f t="shared" si="0"/>
        <v>·</v>
      </c>
      <c r="J22" s="21" t="str">
        <f t="shared" si="1"/>
        <v>·</v>
      </c>
      <c r="K22" s="21" t="str">
        <f t="shared" si="2"/>
        <v>·</v>
      </c>
      <c r="L22" s="22"/>
      <c r="M22" s="23"/>
      <c r="N22" s="49"/>
      <c r="O22" s="49"/>
      <c r="P22" s="24"/>
      <c r="Q22" s="24"/>
      <c r="S22" s="55" t="str">
        <f t="shared" si="3"/>
        <v>·</v>
      </c>
      <c r="T22" s="21" t="str">
        <f t="shared" si="4"/>
        <v>·</v>
      </c>
      <c r="U22" s="21" t="str">
        <f t="shared" si="5"/>
        <v>·</v>
      </c>
      <c r="V22" s="22"/>
      <c r="W22" s="23"/>
      <c r="X22" s="49"/>
      <c r="Y22" s="49"/>
      <c r="Z22" s="24"/>
      <c r="AA22" s="24"/>
      <c r="AC22" s="50" t="e">
        <f>bdRateExtend( M22:M27,N22:N27, W22:W27,X22:X27)</f>
        <v>#VALUE!</v>
      </c>
      <c r="AD22" s="50" t="e">
        <f>bdRateExtend( M22:M27,O22:O27, W22:W27,Y22:Y27)</f>
        <v>#VALUE!</v>
      </c>
    </row>
    <row r="23" spans="1:30" outlineLevel="1" x14ac:dyDescent="0.25">
      <c r="A23" s="25"/>
      <c r="B23" s="25"/>
      <c r="C23" s="26" t="s">
        <v>311</v>
      </c>
      <c r="D23" s="25">
        <v>123940658</v>
      </c>
      <c r="E23" s="26">
        <v>18</v>
      </c>
      <c r="F23" s="26">
        <v>1500</v>
      </c>
      <c r="G23" s="26">
        <v>10</v>
      </c>
      <c r="I23" s="56" t="str">
        <f t="shared" si="0"/>
        <v>·</v>
      </c>
      <c r="J23" s="28" t="str">
        <f t="shared" si="1"/>
        <v>·</v>
      </c>
      <c r="K23" s="28" t="str">
        <f t="shared" si="2"/>
        <v>·</v>
      </c>
      <c r="L23" s="29"/>
      <c r="M23" s="30"/>
      <c r="N23" s="51"/>
      <c r="O23" s="51"/>
      <c r="P23" s="31"/>
      <c r="Q23" s="31"/>
      <c r="S23" s="56" t="str">
        <f t="shared" si="3"/>
        <v>·</v>
      </c>
      <c r="T23" s="28" t="str">
        <f t="shared" si="4"/>
        <v>·</v>
      </c>
      <c r="U23" s="28" t="str">
        <f t="shared" si="5"/>
        <v>·</v>
      </c>
      <c r="V23" s="29"/>
      <c r="W23" s="30"/>
      <c r="X23" s="51"/>
      <c r="Y23" s="51"/>
      <c r="Z23" s="31"/>
      <c r="AA23" s="31"/>
      <c r="AC23" s="52"/>
      <c r="AD23" s="52"/>
    </row>
    <row r="24" spans="1:30" outlineLevel="1" x14ac:dyDescent="0.25">
      <c r="A24" s="18"/>
      <c r="B24" s="18"/>
      <c r="C24" s="19" t="s">
        <v>312</v>
      </c>
      <c r="D24" s="18">
        <v>123940658</v>
      </c>
      <c r="E24" s="19">
        <v>18</v>
      </c>
      <c r="F24" s="19">
        <v>1500</v>
      </c>
      <c r="G24" s="19">
        <v>10</v>
      </c>
      <c r="I24" s="55" t="str">
        <f t="shared" si="0"/>
        <v>·</v>
      </c>
      <c r="J24" s="21" t="str">
        <f t="shared" si="1"/>
        <v>·</v>
      </c>
      <c r="K24" s="21" t="str">
        <f t="shared" si="2"/>
        <v>·</v>
      </c>
      <c r="L24" s="22"/>
      <c r="M24" s="23"/>
      <c r="N24" s="49"/>
      <c r="O24" s="49"/>
      <c r="P24" s="24"/>
      <c r="Q24" s="24"/>
      <c r="S24" s="55" t="str">
        <f t="shared" si="3"/>
        <v>·</v>
      </c>
      <c r="T24" s="21" t="str">
        <f t="shared" si="4"/>
        <v>·</v>
      </c>
      <c r="U24" s="21" t="str">
        <f t="shared" si="5"/>
        <v>·</v>
      </c>
      <c r="V24" s="22"/>
      <c r="W24" s="23"/>
      <c r="X24" s="49"/>
      <c r="Y24" s="49"/>
      <c r="Z24" s="24"/>
      <c r="AA24" s="24"/>
      <c r="AC24" s="50"/>
      <c r="AD24" s="50"/>
    </row>
    <row r="25" spans="1:30" outlineLevel="1" x14ac:dyDescent="0.25">
      <c r="A25" s="25"/>
      <c r="B25" s="25"/>
      <c r="C25" s="26" t="s">
        <v>313</v>
      </c>
      <c r="D25" s="25">
        <v>123940658</v>
      </c>
      <c r="E25" s="26">
        <v>18</v>
      </c>
      <c r="F25" s="26">
        <v>1500</v>
      </c>
      <c r="G25" s="26">
        <v>10</v>
      </c>
      <c r="I25" s="56" t="str">
        <f t="shared" si="0"/>
        <v>·</v>
      </c>
      <c r="J25" s="28" t="str">
        <f t="shared" si="1"/>
        <v>·</v>
      </c>
      <c r="K25" s="28" t="str">
        <f t="shared" si="2"/>
        <v>·</v>
      </c>
      <c r="L25" s="29"/>
      <c r="M25" s="30"/>
      <c r="N25" s="51"/>
      <c r="O25" s="51"/>
      <c r="P25" s="31"/>
      <c r="Q25" s="31"/>
      <c r="S25" s="56" t="str">
        <f t="shared" si="3"/>
        <v>·</v>
      </c>
      <c r="T25" s="28" t="str">
        <f t="shared" si="4"/>
        <v>·</v>
      </c>
      <c r="U25" s="28" t="str">
        <f t="shared" si="5"/>
        <v>·</v>
      </c>
      <c r="V25" s="29"/>
      <c r="W25" s="30"/>
      <c r="X25" s="51"/>
      <c r="Y25" s="51"/>
      <c r="Z25" s="31"/>
      <c r="AA25" s="31"/>
      <c r="AC25" s="52"/>
      <c r="AD25" s="52"/>
    </row>
    <row r="26" spans="1:30" outlineLevel="1" x14ac:dyDescent="0.25">
      <c r="A26" s="18"/>
      <c r="B26" s="18"/>
      <c r="C26" s="19" t="s">
        <v>428</v>
      </c>
      <c r="D26" s="18">
        <v>123940658</v>
      </c>
      <c r="E26" s="19">
        <v>18</v>
      </c>
      <c r="F26" s="19">
        <v>1500</v>
      </c>
      <c r="G26" s="19">
        <v>10</v>
      </c>
      <c r="I26" s="55" t="str">
        <f t="shared" si="0"/>
        <v>·</v>
      </c>
      <c r="J26" s="21" t="str">
        <f t="shared" si="1"/>
        <v>·</v>
      </c>
      <c r="K26" s="21" t="str">
        <f t="shared" si="2"/>
        <v>·</v>
      </c>
      <c r="L26" s="22"/>
      <c r="M26" s="23"/>
      <c r="N26" s="49"/>
      <c r="O26" s="49"/>
      <c r="P26" s="24"/>
      <c r="Q26" s="24"/>
      <c r="S26" s="55" t="str">
        <f t="shared" si="3"/>
        <v>·</v>
      </c>
      <c r="T26" s="21" t="str">
        <f t="shared" si="4"/>
        <v>·</v>
      </c>
      <c r="U26" s="21" t="str">
        <f t="shared" si="5"/>
        <v>·</v>
      </c>
      <c r="V26" s="22"/>
      <c r="W26" s="23"/>
      <c r="X26" s="49"/>
      <c r="Y26" s="49"/>
      <c r="Z26" s="24"/>
      <c r="AA26" s="24"/>
      <c r="AC26" s="50"/>
      <c r="AD26" s="50"/>
    </row>
    <row r="27" spans="1:30" outlineLevel="1" x14ac:dyDescent="0.25">
      <c r="A27" s="25"/>
      <c r="B27" s="32"/>
      <c r="C27" s="33" t="s">
        <v>429</v>
      </c>
      <c r="D27" s="32">
        <v>123940658</v>
      </c>
      <c r="E27" s="33">
        <v>18</v>
      </c>
      <c r="F27" s="33">
        <v>1500</v>
      </c>
      <c r="G27" s="33">
        <v>10</v>
      </c>
      <c r="I27" s="57" t="str">
        <f t="shared" si="0"/>
        <v>·</v>
      </c>
      <c r="J27" s="35" t="str">
        <f t="shared" si="1"/>
        <v>·</v>
      </c>
      <c r="K27" s="35" t="str">
        <f t="shared" si="2"/>
        <v>·</v>
      </c>
      <c r="L27" s="36"/>
      <c r="M27" s="37"/>
      <c r="N27" s="53"/>
      <c r="O27" s="53"/>
      <c r="P27" s="38"/>
      <c r="Q27" s="38"/>
      <c r="S27" s="57" t="str">
        <f t="shared" si="3"/>
        <v>·</v>
      </c>
      <c r="T27" s="35" t="str">
        <f t="shared" si="4"/>
        <v>·</v>
      </c>
      <c r="U27" s="35" t="str">
        <f t="shared" si="5"/>
        <v>·</v>
      </c>
      <c r="V27" s="36"/>
      <c r="W27" s="37"/>
      <c r="X27" s="53"/>
      <c r="Y27" s="53"/>
      <c r="Z27" s="38"/>
      <c r="AA27" s="38"/>
      <c r="AC27" s="54"/>
      <c r="AD27" s="54"/>
    </row>
    <row r="28" spans="1:30" collapsed="1" x14ac:dyDescent="0.25">
      <c r="A28" s="18"/>
      <c r="B28" s="18" t="s">
        <v>994</v>
      </c>
      <c r="C28" s="19" t="s">
        <v>310</v>
      </c>
      <c r="D28" s="18">
        <v>125751705</v>
      </c>
      <c r="E28" s="19">
        <v>18</v>
      </c>
      <c r="F28" s="19">
        <v>1500</v>
      </c>
      <c r="G28" s="19">
        <v>10</v>
      </c>
      <c r="I28" s="55" t="str">
        <f t="shared" si="0"/>
        <v>·</v>
      </c>
      <c r="J28" s="21" t="str">
        <f t="shared" si="1"/>
        <v>·</v>
      </c>
      <c r="K28" s="21" t="str">
        <f t="shared" si="2"/>
        <v>·</v>
      </c>
      <c r="L28" s="22"/>
      <c r="M28" s="23"/>
      <c r="N28" s="49"/>
      <c r="O28" s="49"/>
      <c r="P28" s="24"/>
      <c r="Q28" s="24"/>
      <c r="S28" s="55" t="str">
        <f t="shared" si="3"/>
        <v>·</v>
      </c>
      <c r="T28" s="21" t="str">
        <f t="shared" si="4"/>
        <v>·</v>
      </c>
      <c r="U28" s="21" t="str">
        <f t="shared" si="5"/>
        <v>·</v>
      </c>
      <c r="V28" s="22"/>
      <c r="W28" s="23"/>
      <c r="X28" s="49"/>
      <c r="Y28" s="49"/>
      <c r="Z28" s="24"/>
      <c r="AA28" s="24"/>
      <c r="AC28" s="50" t="e">
        <f>bdRateExtend( M28:M33,N28:N33, W28:W33,X28:X33)</f>
        <v>#VALUE!</v>
      </c>
      <c r="AD28" s="50" t="e">
        <f>bdRateExtend( M28:M33,O28:O33, W28:W33,Y28:Y33)</f>
        <v>#VALUE!</v>
      </c>
    </row>
    <row r="29" spans="1:30" outlineLevel="1" x14ac:dyDescent="0.25">
      <c r="A29" s="25"/>
      <c r="B29" s="25"/>
      <c r="C29" s="26" t="s">
        <v>311</v>
      </c>
      <c r="D29" s="25">
        <v>125751705</v>
      </c>
      <c r="E29" s="26">
        <v>18</v>
      </c>
      <c r="F29" s="26">
        <v>1500</v>
      </c>
      <c r="G29" s="26">
        <v>10</v>
      </c>
      <c r="I29" s="56" t="str">
        <f t="shared" si="0"/>
        <v>·</v>
      </c>
      <c r="J29" s="28" t="str">
        <f t="shared" si="1"/>
        <v>·</v>
      </c>
      <c r="K29" s="28" t="str">
        <f t="shared" si="2"/>
        <v>·</v>
      </c>
      <c r="L29" s="29"/>
      <c r="M29" s="30"/>
      <c r="N29" s="51"/>
      <c r="O29" s="51"/>
      <c r="P29" s="31"/>
      <c r="Q29" s="31"/>
      <c r="S29" s="56" t="str">
        <f t="shared" si="3"/>
        <v>·</v>
      </c>
      <c r="T29" s="28" t="str">
        <f t="shared" si="4"/>
        <v>·</v>
      </c>
      <c r="U29" s="28" t="str">
        <f t="shared" si="5"/>
        <v>·</v>
      </c>
      <c r="V29" s="29"/>
      <c r="W29" s="30"/>
      <c r="X29" s="51"/>
      <c r="Y29" s="51"/>
      <c r="Z29" s="31"/>
      <c r="AA29" s="31"/>
      <c r="AC29" s="52"/>
      <c r="AD29" s="52"/>
    </row>
    <row r="30" spans="1:30" outlineLevel="1" x14ac:dyDescent="0.25">
      <c r="A30" s="18"/>
      <c r="B30" s="18"/>
      <c r="C30" s="19" t="s">
        <v>312</v>
      </c>
      <c r="D30" s="18">
        <v>125751705</v>
      </c>
      <c r="E30" s="19">
        <v>18</v>
      </c>
      <c r="F30" s="19">
        <v>1500</v>
      </c>
      <c r="G30" s="19">
        <v>10</v>
      </c>
      <c r="I30" s="55" t="str">
        <f t="shared" si="0"/>
        <v>·</v>
      </c>
      <c r="J30" s="21" t="str">
        <f t="shared" si="1"/>
        <v>·</v>
      </c>
      <c r="K30" s="21" t="str">
        <f t="shared" si="2"/>
        <v>·</v>
      </c>
      <c r="L30" s="22"/>
      <c r="M30" s="23"/>
      <c r="N30" s="49"/>
      <c r="O30" s="49"/>
      <c r="P30" s="24"/>
      <c r="Q30" s="24"/>
      <c r="S30" s="55" t="str">
        <f t="shared" si="3"/>
        <v>·</v>
      </c>
      <c r="T30" s="21" t="str">
        <f t="shared" si="4"/>
        <v>·</v>
      </c>
      <c r="U30" s="21" t="str">
        <f t="shared" si="5"/>
        <v>·</v>
      </c>
      <c r="V30" s="22"/>
      <c r="W30" s="23"/>
      <c r="X30" s="49"/>
      <c r="Y30" s="49"/>
      <c r="Z30" s="24"/>
      <c r="AA30" s="24"/>
      <c r="AC30" s="50"/>
      <c r="AD30" s="50"/>
    </row>
    <row r="31" spans="1:30" outlineLevel="1" x14ac:dyDescent="0.25">
      <c r="A31" s="25"/>
      <c r="B31" s="25"/>
      <c r="C31" s="26" t="s">
        <v>313</v>
      </c>
      <c r="D31" s="25">
        <v>125751705</v>
      </c>
      <c r="E31" s="26">
        <v>18</v>
      </c>
      <c r="F31" s="26">
        <v>1500</v>
      </c>
      <c r="G31" s="26">
        <v>10</v>
      </c>
      <c r="I31" s="56" t="str">
        <f t="shared" si="0"/>
        <v>·</v>
      </c>
      <c r="J31" s="28" t="str">
        <f t="shared" si="1"/>
        <v>·</v>
      </c>
      <c r="K31" s="28" t="str">
        <f t="shared" si="2"/>
        <v>·</v>
      </c>
      <c r="L31" s="29"/>
      <c r="M31" s="30"/>
      <c r="N31" s="51"/>
      <c r="O31" s="51"/>
      <c r="P31" s="31"/>
      <c r="Q31" s="31"/>
      <c r="S31" s="56" t="str">
        <f t="shared" si="3"/>
        <v>·</v>
      </c>
      <c r="T31" s="28" t="str">
        <f t="shared" si="4"/>
        <v>·</v>
      </c>
      <c r="U31" s="28" t="str">
        <f t="shared" si="5"/>
        <v>·</v>
      </c>
      <c r="V31" s="29"/>
      <c r="W31" s="30"/>
      <c r="X31" s="51"/>
      <c r="Y31" s="51"/>
      <c r="Z31" s="31"/>
      <c r="AA31" s="31"/>
      <c r="AC31" s="52"/>
      <c r="AD31" s="52"/>
    </row>
    <row r="32" spans="1:30" outlineLevel="1" x14ac:dyDescent="0.25">
      <c r="A32" s="18"/>
      <c r="B32" s="18"/>
      <c r="C32" s="19" t="s">
        <v>428</v>
      </c>
      <c r="D32" s="18">
        <v>125751705</v>
      </c>
      <c r="E32" s="19">
        <v>18</v>
      </c>
      <c r="F32" s="19">
        <v>1500</v>
      </c>
      <c r="G32" s="19">
        <v>10</v>
      </c>
      <c r="I32" s="55" t="str">
        <f t="shared" si="0"/>
        <v>·</v>
      </c>
      <c r="J32" s="21" t="str">
        <f t="shared" si="1"/>
        <v>·</v>
      </c>
      <c r="K32" s="21" t="str">
        <f t="shared" si="2"/>
        <v>·</v>
      </c>
      <c r="L32" s="22"/>
      <c r="M32" s="23"/>
      <c r="N32" s="49"/>
      <c r="O32" s="49"/>
      <c r="P32" s="24"/>
      <c r="Q32" s="24"/>
      <c r="S32" s="55" t="str">
        <f t="shared" si="3"/>
        <v>·</v>
      </c>
      <c r="T32" s="21" t="str">
        <f t="shared" si="4"/>
        <v>·</v>
      </c>
      <c r="U32" s="21" t="str">
        <f t="shared" si="5"/>
        <v>·</v>
      </c>
      <c r="V32" s="22"/>
      <c r="W32" s="23"/>
      <c r="X32" s="49"/>
      <c r="Y32" s="49"/>
      <c r="Z32" s="24"/>
      <c r="AA32" s="24"/>
      <c r="AC32" s="50"/>
      <c r="AD32" s="50"/>
    </row>
    <row r="33" spans="1:30" outlineLevel="1" x14ac:dyDescent="0.25">
      <c r="A33" s="25"/>
      <c r="B33" s="32"/>
      <c r="C33" s="33" t="s">
        <v>429</v>
      </c>
      <c r="D33" s="32">
        <v>125751705</v>
      </c>
      <c r="E33" s="33">
        <v>18</v>
      </c>
      <c r="F33" s="33">
        <v>1500</v>
      </c>
      <c r="G33" s="33">
        <v>10</v>
      </c>
      <c r="I33" s="57" t="str">
        <f t="shared" si="0"/>
        <v>·</v>
      </c>
      <c r="J33" s="35" t="str">
        <f t="shared" si="1"/>
        <v>·</v>
      </c>
      <c r="K33" s="35" t="str">
        <f t="shared" si="2"/>
        <v>·</v>
      </c>
      <c r="L33" s="36"/>
      <c r="M33" s="37"/>
      <c r="N33" s="53"/>
      <c r="O33" s="53"/>
      <c r="P33" s="38"/>
      <c r="Q33" s="38"/>
      <c r="S33" s="57" t="str">
        <f t="shared" si="3"/>
        <v>·</v>
      </c>
      <c r="T33" s="35" t="str">
        <f t="shared" si="4"/>
        <v>·</v>
      </c>
      <c r="U33" s="35" t="str">
        <f t="shared" si="5"/>
        <v>·</v>
      </c>
      <c r="V33" s="36"/>
      <c r="W33" s="37"/>
      <c r="X33" s="53"/>
      <c r="Y33" s="53"/>
      <c r="Z33" s="38"/>
      <c r="AA33" s="38"/>
      <c r="AC33" s="54"/>
      <c r="AD33" s="54"/>
    </row>
    <row r="34" spans="1:30" collapsed="1" x14ac:dyDescent="0.25">
      <c r="A34" s="18"/>
      <c r="B34" s="18" t="s">
        <v>997</v>
      </c>
      <c r="C34" s="19" t="s">
        <v>310</v>
      </c>
      <c r="D34" s="18">
        <v>126093865</v>
      </c>
      <c r="E34" s="19">
        <v>18</v>
      </c>
      <c r="F34" s="19">
        <v>1500</v>
      </c>
      <c r="G34" s="19">
        <v>10</v>
      </c>
      <c r="I34" s="55" t="str">
        <f t="shared" si="0"/>
        <v>·</v>
      </c>
      <c r="J34" s="21" t="str">
        <f t="shared" si="1"/>
        <v>·</v>
      </c>
      <c r="K34" s="21" t="str">
        <f t="shared" si="2"/>
        <v>·</v>
      </c>
      <c r="L34" s="22"/>
      <c r="M34" s="23"/>
      <c r="N34" s="49"/>
      <c r="O34" s="49"/>
      <c r="P34" s="24"/>
      <c r="Q34" s="24"/>
      <c r="S34" s="55" t="str">
        <f t="shared" si="3"/>
        <v>·</v>
      </c>
      <c r="T34" s="21" t="str">
        <f t="shared" si="4"/>
        <v>·</v>
      </c>
      <c r="U34" s="21" t="str">
        <f t="shared" si="5"/>
        <v>·</v>
      </c>
      <c r="V34" s="22"/>
      <c r="W34" s="23"/>
      <c r="X34" s="49"/>
      <c r="Y34" s="49"/>
      <c r="Z34" s="24"/>
      <c r="AA34" s="24"/>
      <c r="AC34" s="50" t="e">
        <f>bdRateExtend( M34:M39,N34:N39, W34:W39,X34:X39)</f>
        <v>#VALUE!</v>
      </c>
      <c r="AD34" s="50" t="e">
        <f>bdRateExtend( M34:M39,O34:O39, W34:W39,Y34:Y39)</f>
        <v>#VALUE!</v>
      </c>
    </row>
    <row r="35" spans="1:30" outlineLevel="1" x14ac:dyDescent="0.25">
      <c r="A35" s="25"/>
      <c r="B35" s="25"/>
      <c r="C35" s="26" t="s">
        <v>311</v>
      </c>
      <c r="D35" s="25">
        <v>126093865</v>
      </c>
      <c r="E35" s="26">
        <v>18</v>
      </c>
      <c r="F35" s="26">
        <v>1500</v>
      </c>
      <c r="G35" s="26">
        <v>10</v>
      </c>
      <c r="I35" s="56" t="str">
        <f t="shared" si="0"/>
        <v>·</v>
      </c>
      <c r="J35" s="28" t="str">
        <f t="shared" si="1"/>
        <v>·</v>
      </c>
      <c r="K35" s="28" t="str">
        <f t="shared" si="2"/>
        <v>·</v>
      </c>
      <c r="L35" s="29"/>
      <c r="M35" s="30"/>
      <c r="N35" s="51"/>
      <c r="O35" s="51"/>
      <c r="P35" s="31"/>
      <c r="Q35" s="31"/>
      <c r="S35" s="56" t="str">
        <f t="shared" si="3"/>
        <v>·</v>
      </c>
      <c r="T35" s="28" t="str">
        <f t="shared" si="4"/>
        <v>·</v>
      </c>
      <c r="U35" s="28" t="str">
        <f t="shared" si="5"/>
        <v>·</v>
      </c>
      <c r="V35" s="29"/>
      <c r="W35" s="30"/>
      <c r="X35" s="51"/>
      <c r="Y35" s="51"/>
      <c r="Z35" s="31"/>
      <c r="AA35" s="31"/>
      <c r="AC35" s="52"/>
      <c r="AD35" s="52"/>
    </row>
    <row r="36" spans="1:30" outlineLevel="1" x14ac:dyDescent="0.25">
      <c r="A36" s="18"/>
      <c r="B36" s="18"/>
      <c r="C36" s="19" t="s">
        <v>312</v>
      </c>
      <c r="D36" s="18">
        <v>126093865</v>
      </c>
      <c r="E36" s="19">
        <v>18</v>
      </c>
      <c r="F36" s="19">
        <v>1500</v>
      </c>
      <c r="G36" s="19">
        <v>10</v>
      </c>
      <c r="I36" s="55" t="str">
        <f t="shared" si="0"/>
        <v>·</v>
      </c>
      <c r="J36" s="21" t="str">
        <f t="shared" si="1"/>
        <v>·</v>
      </c>
      <c r="K36" s="21" t="str">
        <f t="shared" si="2"/>
        <v>·</v>
      </c>
      <c r="L36" s="22"/>
      <c r="M36" s="23"/>
      <c r="N36" s="49"/>
      <c r="O36" s="49"/>
      <c r="P36" s="24"/>
      <c r="Q36" s="24"/>
      <c r="S36" s="55" t="str">
        <f t="shared" si="3"/>
        <v>·</v>
      </c>
      <c r="T36" s="21" t="str">
        <f t="shared" si="4"/>
        <v>·</v>
      </c>
      <c r="U36" s="21" t="str">
        <f t="shared" si="5"/>
        <v>·</v>
      </c>
      <c r="V36" s="22"/>
      <c r="W36" s="23"/>
      <c r="X36" s="49"/>
      <c r="Y36" s="49"/>
      <c r="Z36" s="24"/>
      <c r="AA36" s="24"/>
      <c r="AC36" s="50"/>
      <c r="AD36" s="50"/>
    </row>
    <row r="37" spans="1:30" outlineLevel="1" x14ac:dyDescent="0.25">
      <c r="A37" s="25"/>
      <c r="B37" s="25"/>
      <c r="C37" s="26" t="s">
        <v>313</v>
      </c>
      <c r="D37" s="25">
        <v>126093865</v>
      </c>
      <c r="E37" s="26">
        <v>18</v>
      </c>
      <c r="F37" s="26">
        <v>1500</v>
      </c>
      <c r="G37" s="26">
        <v>10</v>
      </c>
      <c r="I37" s="56" t="str">
        <f t="shared" si="0"/>
        <v>·</v>
      </c>
      <c r="J37" s="28" t="str">
        <f t="shared" si="1"/>
        <v>·</v>
      </c>
      <c r="K37" s="28" t="str">
        <f t="shared" si="2"/>
        <v>·</v>
      </c>
      <c r="L37" s="29"/>
      <c r="M37" s="30"/>
      <c r="N37" s="51"/>
      <c r="O37" s="51"/>
      <c r="P37" s="31"/>
      <c r="Q37" s="31"/>
      <c r="S37" s="56" t="str">
        <f t="shared" si="3"/>
        <v>·</v>
      </c>
      <c r="T37" s="28" t="str">
        <f t="shared" si="4"/>
        <v>·</v>
      </c>
      <c r="U37" s="28" t="str">
        <f t="shared" si="5"/>
        <v>·</v>
      </c>
      <c r="V37" s="29"/>
      <c r="W37" s="30"/>
      <c r="X37" s="51"/>
      <c r="Y37" s="51"/>
      <c r="Z37" s="31"/>
      <c r="AA37" s="31"/>
      <c r="AC37" s="52"/>
      <c r="AD37" s="52"/>
    </row>
    <row r="38" spans="1:30" outlineLevel="1" x14ac:dyDescent="0.25">
      <c r="A38" s="18"/>
      <c r="B38" s="18"/>
      <c r="C38" s="19" t="s">
        <v>428</v>
      </c>
      <c r="D38" s="18">
        <v>126093865</v>
      </c>
      <c r="E38" s="19">
        <v>18</v>
      </c>
      <c r="F38" s="19">
        <v>1500</v>
      </c>
      <c r="G38" s="19">
        <v>10</v>
      </c>
      <c r="I38" s="55" t="str">
        <f t="shared" si="0"/>
        <v>·</v>
      </c>
      <c r="J38" s="21" t="str">
        <f t="shared" si="1"/>
        <v>·</v>
      </c>
      <c r="K38" s="21" t="str">
        <f t="shared" si="2"/>
        <v>·</v>
      </c>
      <c r="L38" s="22"/>
      <c r="M38" s="23"/>
      <c r="N38" s="49"/>
      <c r="O38" s="49"/>
      <c r="P38" s="24"/>
      <c r="Q38" s="24"/>
      <c r="S38" s="55" t="str">
        <f t="shared" si="3"/>
        <v>·</v>
      </c>
      <c r="T38" s="21" t="str">
        <f t="shared" si="4"/>
        <v>·</v>
      </c>
      <c r="U38" s="21" t="str">
        <f t="shared" si="5"/>
        <v>·</v>
      </c>
      <c r="V38" s="22"/>
      <c r="W38" s="23"/>
      <c r="X38" s="49"/>
      <c r="Y38" s="49"/>
      <c r="Z38" s="24"/>
      <c r="AA38" s="24"/>
      <c r="AC38" s="50"/>
      <c r="AD38" s="50"/>
    </row>
    <row r="39" spans="1:30" outlineLevel="1" x14ac:dyDescent="0.25">
      <c r="A39" s="32"/>
      <c r="B39" s="32"/>
      <c r="C39" s="33" t="s">
        <v>429</v>
      </c>
      <c r="D39" s="32">
        <v>126093865</v>
      </c>
      <c r="E39" s="33">
        <v>18</v>
      </c>
      <c r="F39" s="33">
        <v>1500</v>
      </c>
      <c r="G39" s="33">
        <v>10</v>
      </c>
      <c r="I39" s="57" t="str">
        <f t="shared" si="0"/>
        <v>·</v>
      </c>
      <c r="J39" s="35" t="str">
        <f t="shared" si="1"/>
        <v>·</v>
      </c>
      <c r="K39" s="35" t="str">
        <f t="shared" si="2"/>
        <v>·</v>
      </c>
      <c r="L39" s="36"/>
      <c r="M39" s="37"/>
      <c r="N39" s="53"/>
      <c r="O39" s="53"/>
      <c r="P39" s="38"/>
      <c r="Q39" s="38"/>
      <c r="S39" s="57" t="str">
        <f t="shared" si="3"/>
        <v>·</v>
      </c>
      <c r="T39" s="35" t="str">
        <f t="shared" si="4"/>
        <v>·</v>
      </c>
      <c r="U39" s="35" t="str">
        <f t="shared" si="5"/>
        <v>·</v>
      </c>
      <c r="V39" s="36"/>
      <c r="W39" s="37"/>
      <c r="X39" s="53"/>
      <c r="Y39" s="53"/>
      <c r="Z39" s="38"/>
      <c r="AA39" s="38"/>
      <c r="AC39" s="54"/>
      <c r="AD39" s="54"/>
    </row>
    <row r="40" spans="1:30" x14ac:dyDescent="0.25">
      <c r="B40" s="46" t="s">
        <v>1001</v>
      </c>
      <c r="J40" s="47" t="e">
        <f>AVERAGE(J4:J21)</f>
        <v>#DIV/0!</v>
      </c>
      <c r="T40" s="47" t="e">
        <f>AVERAGE(T4:T21)</f>
        <v>#DIV/0!</v>
      </c>
      <c r="AC40" s="11" t="e">
        <f>AVERAGE(AC4:AC21)</f>
        <v>#VALUE!</v>
      </c>
      <c r="AD40" s="11" t="e">
        <f>AVERAGE(AD4:AD21)</f>
        <v>#VALUE!</v>
      </c>
    </row>
    <row r="41" spans="1:30" x14ac:dyDescent="0.25">
      <c r="B41" s="46" t="s">
        <v>1002</v>
      </c>
      <c r="J41" s="47" t="e">
        <f>AVERAGE(J22:J39)</f>
        <v>#DIV/0!</v>
      </c>
      <c r="T41" s="47" t="e">
        <f>AVERAGE(T22:T39)</f>
        <v>#DIV/0!</v>
      </c>
      <c r="AC41" s="11" t="e">
        <f>AVERAGE(AC22:AC39)</f>
        <v>#VALUE!</v>
      </c>
      <c r="AD41" s="11" t="e">
        <f>AVERAGE(AD22:AD39)</f>
        <v>#VALUE!</v>
      </c>
    </row>
    <row r="42" spans="1:30" x14ac:dyDescent="0.25">
      <c r="B42" s="46" t="s">
        <v>258</v>
      </c>
      <c r="J42" s="47" t="e">
        <f>AVERAGE(J4:J21,J22:J39)</f>
        <v>#DIV/0!</v>
      </c>
      <c r="T42" s="47" t="e">
        <f>AVERAGE(T4:T21,T22:T39)</f>
        <v>#DIV/0!</v>
      </c>
      <c r="AC42" s="11" t="e">
        <f>AVERAGE(AC4:AC21,AC22:AC39)</f>
        <v>#VALUE!</v>
      </c>
      <c r="AD42" s="11" t="e">
        <f>AVERAGE(AD4:AD21,AD22:AD39)</f>
        <v>#VALUE!</v>
      </c>
    </row>
    <row r="43" spans="1:30" hidden="1" outlineLevel="2" x14ac:dyDescent="0.25">
      <c r="A43" s="46" t="s">
        <v>259</v>
      </c>
      <c r="B43" s="46" t="s">
        <v>260</v>
      </c>
      <c r="P43" s="48">
        <f>SUM(P4:P21,P22:P39)</f>
        <v>0</v>
      </c>
      <c r="Q43" s="48">
        <f>SUM(Q4:Q21,Q22:Q39)</f>
        <v>0</v>
      </c>
      <c r="Z43" s="48">
        <f>SUM(Z4:Z21,Z22:Z39)</f>
        <v>0</v>
      </c>
      <c r="AA43" s="48">
        <f>SUM(AA4:AA21,AA22:AA39)</f>
        <v>0</v>
      </c>
    </row>
    <row r="44" spans="1:30" hidden="1" outlineLevel="2" x14ac:dyDescent="0.25">
      <c r="B44" s="46" t="s">
        <v>261</v>
      </c>
      <c r="Z44" s="6" t="e">
        <f>Z43/P43</f>
        <v>#DIV/0!</v>
      </c>
      <c r="AA44" s="6" t="e">
        <f>AA43/Q43</f>
        <v>#DIV/0!</v>
      </c>
    </row>
    <row r="45" spans="1:30" hidden="1" outlineLevel="2" x14ac:dyDescent="0.25">
      <c r="B45" s="46" t="s">
        <v>262</v>
      </c>
      <c r="P45" s="48" t="e">
        <f>GEOMEAN(P4:P21,P22:P39)</f>
        <v>#NUM!</v>
      </c>
      <c r="Q45" s="48" t="e">
        <f>GEOMEAN(Q4:Q21,Q22:Q39)</f>
        <v>#NUM!</v>
      </c>
      <c r="Z45" s="48" t="e">
        <f>GEOMEAN(Z4:Z21,Z22:Z39)</f>
        <v>#NUM!</v>
      </c>
      <c r="AA45" s="48" t="e">
        <f>GEOMEAN(AA4:AA21,AA22:AA39)</f>
        <v>#NUM!</v>
      </c>
    </row>
    <row r="46" spans="1:30" outlineLevel="2" collapsed="1" x14ac:dyDescent="0.25">
      <c r="B46" s="46" t="s">
        <v>263</v>
      </c>
      <c r="Z46" s="6" t="e">
        <f>Z45/P45</f>
        <v>#NUM!</v>
      </c>
      <c r="AA46" s="6" t="e">
        <f>AA45/Q45</f>
        <v>#NUM!</v>
      </c>
    </row>
  </sheetData>
  <mergeCells count="27">
    <mergeCell ref="X2:Y2"/>
    <mergeCell ref="Z2:Z3"/>
    <mergeCell ref="AA2:AA3"/>
    <mergeCell ref="AC2:AD2"/>
    <mergeCell ref="A1:G1"/>
    <mergeCell ref="I1:Q1"/>
    <mergeCell ref="S1:AA1"/>
    <mergeCell ref="S2:S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C4 AC5 AC6 AC7 AC8 AC9 AC10 AC11 AC12 AC13 AC14 AC15 AC16 AC17 AC18 AC19 AC20 AC21 AC22 AC23 AC24 AC25 AC26 AC27 AC28 AC29 AC30 AC31 AC32 AC33 AC34 AC35 AC36 AC37 AC38 AC39 AC40 AC41 AC42">
    <cfRule type="cellIs" dxfId="39" priority="3" operator="greaterThanOrEqual">
      <formula>0.03</formula>
    </cfRule>
    <cfRule type="cellIs" dxfId="38" priority="4" operator="lessThanOrEqual">
      <formula>-0.03</formula>
    </cfRule>
  </conditionalFormatting>
  <conditionalFormatting sqref="AD4 AD5 AD6 AD7 AD8 AD9 AD10 AD11 AD12 AD13 AD14 AD15 AD16 AD17 AD18 AD19 AD20 AD21 AD22 AD23 AD24 AD25 AD26 AD27 AD28 AD29 AD30 AD31 AD32 AD33 AD34 AD35 AD36 AD37 AD38 AD39 AD40 AD41 AD42">
    <cfRule type="cellIs" dxfId="37" priority="1" operator="greaterThanOrEqual">
      <formula>0.03</formula>
    </cfRule>
    <cfRule type="cellIs" dxfId="36" priority="2" operator="lessThanOrEqual">
      <formula>-0.03</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D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5" width="11.7109375" customWidth="1"/>
    <col min="18" max="18" width="1.7109375" customWidth="1"/>
    <col min="20" max="20" width="10.7109375" customWidth="1"/>
    <col min="21" max="21" width="12.7109375" customWidth="1"/>
    <col min="22" max="22" width="10.7109375" customWidth="1"/>
    <col min="23" max="23" width="12.7109375" customWidth="1"/>
    <col min="24" max="25" width="11.7109375" customWidth="1"/>
    <col min="28" max="28" width="1.7109375" customWidth="1"/>
    <col min="31" max="31" width="1.7109375" customWidth="1"/>
  </cols>
  <sheetData>
    <row r="1" spans="1:30" x14ac:dyDescent="0.25">
      <c r="A1" s="76" t="s">
        <v>1183</v>
      </c>
      <c r="B1" s="76"/>
      <c r="C1" s="76"/>
      <c r="D1" s="76"/>
      <c r="E1" s="76"/>
      <c r="F1" s="76"/>
      <c r="G1" s="76"/>
      <c r="I1" s="65" t="s">
        <v>2</v>
      </c>
      <c r="J1" s="65"/>
      <c r="K1" s="65"/>
      <c r="L1" s="65"/>
      <c r="M1" s="65"/>
      <c r="N1" s="65"/>
      <c r="O1" s="65"/>
      <c r="P1" s="65"/>
      <c r="Q1" s="65"/>
      <c r="S1" s="66" t="s">
        <v>3</v>
      </c>
      <c r="T1" s="66"/>
      <c r="U1" s="66"/>
      <c r="V1" s="66"/>
      <c r="W1" s="66"/>
      <c r="X1" s="66"/>
      <c r="Y1" s="66"/>
      <c r="Z1" s="66"/>
      <c r="AA1" s="66"/>
    </row>
    <row r="2" spans="1:30" ht="30" customHeight="1" x14ac:dyDescent="0.25">
      <c r="A2" s="75" t="s">
        <v>97</v>
      </c>
      <c r="B2" s="73" t="s">
        <v>99</v>
      </c>
      <c r="C2" s="75" t="s">
        <v>275</v>
      </c>
      <c r="D2" s="73" t="s">
        <v>101</v>
      </c>
      <c r="E2" s="75" t="s">
        <v>103</v>
      </c>
      <c r="F2" s="73" t="s">
        <v>513</v>
      </c>
      <c r="G2" s="75" t="s">
        <v>515</v>
      </c>
      <c r="I2" s="73" t="s">
        <v>518</v>
      </c>
      <c r="J2" s="75" t="s">
        <v>520</v>
      </c>
      <c r="K2" s="73" t="s">
        <v>112</v>
      </c>
      <c r="L2" s="75" t="s">
        <v>26</v>
      </c>
      <c r="M2" s="73" t="s">
        <v>524</v>
      </c>
      <c r="N2" s="74" t="s">
        <v>374</v>
      </c>
      <c r="O2" s="74"/>
      <c r="P2" s="73" t="s">
        <v>118</v>
      </c>
      <c r="Q2" s="75" t="s">
        <v>120</v>
      </c>
      <c r="S2" s="73" t="s">
        <v>518</v>
      </c>
      <c r="T2" s="75" t="s">
        <v>520</v>
      </c>
      <c r="U2" s="73" t="s">
        <v>112</v>
      </c>
      <c r="V2" s="75" t="s">
        <v>26</v>
      </c>
      <c r="W2" s="73" t="s">
        <v>524</v>
      </c>
      <c r="X2" s="74" t="s">
        <v>374</v>
      </c>
      <c r="Y2" s="74"/>
      <c r="Z2" s="73" t="s">
        <v>118</v>
      </c>
      <c r="AA2" s="75" t="s">
        <v>120</v>
      </c>
      <c r="AC2" s="77" t="s">
        <v>409</v>
      </c>
      <c r="AD2" s="77"/>
    </row>
    <row r="3" spans="1:30" x14ac:dyDescent="0.25">
      <c r="A3" s="75"/>
      <c r="B3" s="73"/>
      <c r="C3" s="75"/>
      <c r="D3" s="73"/>
      <c r="E3" s="75"/>
      <c r="F3" s="73"/>
      <c r="G3" s="75"/>
      <c r="I3" s="73"/>
      <c r="J3" s="75"/>
      <c r="K3" s="73"/>
      <c r="L3" s="75"/>
      <c r="M3" s="73"/>
      <c r="N3" s="16" t="s">
        <v>375</v>
      </c>
      <c r="O3" s="16" t="s">
        <v>377</v>
      </c>
      <c r="P3" s="73"/>
      <c r="Q3" s="75"/>
      <c r="S3" s="73"/>
      <c r="T3" s="75"/>
      <c r="U3" s="73"/>
      <c r="V3" s="75"/>
      <c r="W3" s="73"/>
      <c r="X3" s="16" t="s">
        <v>375</v>
      </c>
      <c r="Y3" s="16" t="s">
        <v>377</v>
      </c>
      <c r="Z3" s="73"/>
      <c r="AA3" s="75"/>
      <c r="AC3" s="17" t="s">
        <v>375</v>
      </c>
      <c r="AD3" s="17" t="s">
        <v>377</v>
      </c>
    </row>
    <row r="4" spans="1:30" collapsed="1" x14ac:dyDescent="0.25">
      <c r="A4" s="18" t="s">
        <v>1000</v>
      </c>
      <c r="B4" s="18" t="s">
        <v>991</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24"/>
      <c r="Q4" s="24"/>
      <c r="S4" s="55" t="str">
        <f t="shared" ref="S4:S21" si="3">IF(OR(ISBLANK(W4),ISBLANK(G4)),"·",W4*G4/F4/1000000)</f>
        <v>·</v>
      </c>
      <c r="T4" s="21" t="str">
        <f t="shared" ref="T4:T21" si="4">IF(ISBLANK(W4),"·",W4/D4)</f>
        <v>·</v>
      </c>
      <c r="U4" s="21" t="str">
        <f t="shared" ref="U4:U21" si="5">IF(ISBLANK(W4),"·",W4/V4)</f>
        <v>·</v>
      </c>
      <c r="V4" s="22"/>
      <c r="W4" s="23"/>
      <c r="X4" s="49"/>
      <c r="Y4" s="49"/>
      <c r="Z4" s="24"/>
      <c r="AA4" s="24"/>
      <c r="AC4" s="50" t="e">
        <f>bdRateExtend( M4:M9,N4:N9, W4:W9,X4:X9)</f>
        <v>#VALUE!</v>
      </c>
      <c r="AD4" s="50" t="e">
        <f>bdRateExtend( M4:M9,O4:O9, W4:W9,Y4:Y9)</f>
        <v>#VALUE!</v>
      </c>
    </row>
    <row r="5" spans="1:30" outlineLevel="1" x14ac:dyDescent="0.25">
      <c r="A5" s="25"/>
      <c r="B5" s="25"/>
      <c r="C5" s="26" t="s">
        <v>311</v>
      </c>
      <c r="D5" s="25">
        <v>123940658</v>
      </c>
      <c r="E5" s="26">
        <v>18</v>
      </c>
      <c r="F5" s="26">
        <v>1500</v>
      </c>
      <c r="G5" s="26">
        <v>10</v>
      </c>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D5" s="52"/>
    </row>
    <row r="6" spans="1:30" outlineLevel="1" x14ac:dyDescent="0.25">
      <c r="A6" s="18"/>
      <c r="B6" s="18"/>
      <c r="C6" s="19" t="s">
        <v>312</v>
      </c>
      <c r="D6" s="18">
        <v>123940658</v>
      </c>
      <c r="E6" s="19">
        <v>18</v>
      </c>
      <c r="F6" s="19">
        <v>1500</v>
      </c>
      <c r="G6" s="19">
        <v>10</v>
      </c>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D6" s="50"/>
    </row>
    <row r="7" spans="1:30" outlineLevel="1" x14ac:dyDescent="0.25">
      <c r="A7" s="25"/>
      <c r="B7" s="25"/>
      <c r="C7" s="26" t="s">
        <v>313</v>
      </c>
      <c r="D7" s="25">
        <v>123940658</v>
      </c>
      <c r="E7" s="26">
        <v>18</v>
      </c>
      <c r="F7" s="26">
        <v>1500</v>
      </c>
      <c r="G7" s="26">
        <v>10</v>
      </c>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D7" s="52"/>
    </row>
    <row r="8" spans="1:30" outlineLevel="1" x14ac:dyDescent="0.25">
      <c r="A8" s="18"/>
      <c r="B8" s="18"/>
      <c r="C8" s="19" t="s">
        <v>428</v>
      </c>
      <c r="D8" s="18">
        <v>123940658</v>
      </c>
      <c r="E8" s="19">
        <v>18</v>
      </c>
      <c r="F8" s="19">
        <v>1500</v>
      </c>
      <c r="G8" s="19">
        <v>10</v>
      </c>
      <c r="I8" s="55" t="str">
        <f t="shared" si="0"/>
        <v>·</v>
      </c>
      <c r="J8" s="21" t="str">
        <f t="shared" si="1"/>
        <v>·</v>
      </c>
      <c r="K8" s="21" t="str">
        <f t="shared" si="2"/>
        <v>·</v>
      </c>
      <c r="L8" s="22"/>
      <c r="M8" s="23"/>
      <c r="N8" s="49"/>
      <c r="O8" s="49"/>
      <c r="P8" s="24"/>
      <c r="Q8" s="24"/>
      <c r="S8" s="55" t="str">
        <f t="shared" si="3"/>
        <v>·</v>
      </c>
      <c r="T8" s="21" t="str">
        <f t="shared" si="4"/>
        <v>·</v>
      </c>
      <c r="U8" s="21" t="str">
        <f t="shared" si="5"/>
        <v>·</v>
      </c>
      <c r="V8" s="22"/>
      <c r="W8" s="23"/>
      <c r="X8" s="49"/>
      <c r="Y8" s="49"/>
      <c r="Z8" s="24"/>
      <c r="AA8" s="24"/>
      <c r="AC8" s="50"/>
      <c r="AD8" s="50"/>
    </row>
    <row r="9" spans="1:30" outlineLevel="1" x14ac:dyDescent="0.25">
      <c r="A9" s="25"/>
      <c r="B9" s="32"/>
      <c r="C9" s="33" t="s">
        <v>429</v>
      </c>
      <c r="D9" s="32">
        <v>123940658</v>
      </c>
      <c r="E9" s="33">
        <v>18</v>
      </c>
      <c r="F9" s="33">
        <v>1500</v>
      </c>
      <c r="G9" s="33">
        <v>10</v>
      </c>
      <c r="I9" s="57" t="str">
        <f t="shared" si="0"/>
        <v>·</v>
      </c>
      <c r="J9" s="35" t="str">
        <f t="shared" si="1"/>
        <v>·</v>
      </c>
      <c r="K9" s="35" t="str">
        <f t="shared" si="2"/>
        <v>·</v>
      </c>
      <c r="L9" s="36"/>
      <c r="M9" s="37"/>
      <c r="N9" s="53"/>
      <c r="O9" s="53"/>
      <c r="P9" s="38"/>
      <c r="Q9" s="38"/>
      <c r="S9" s="57" t="str">
        <f t="shared" si="3"/>
        <v>·</v>
      </c>
      <c r="T9" s="35" t="str">
        <f t="shared" si="4"/>
        <v>·</v>
      </c>
      <c r="U9" s="35" t="str">
        <f t="shared" si="5"/>
        <v>·</v>
      </c>
      <c r="V9" s="36"/>
      <c r="W9" s="37"/>
      <c r="X9" s="53"/>
      <c r="Y9" s="53"/>
      <c r="Z9" s="38"/>
      <c r="AA9" s="38"/>
      <c r="AC9" s="54"/>
      <c r="AD9" s="54"/>
    </row>
    <row r="10" spans="1:30" collapsed="1" x14ac:dyDescent="0.25">
      <c r="A10" s="18"/>
      <c r="B10" s="18" t="s">
        <v>994</v>
      </c>
      <c r="C10" s="19" t="s">
        <v>310</v>
      </c>
      <c r="D10" s="18">
        <v>125751705</v>
      </c>
      <c r="E10" s="19">
        <v>18</v>
      </c>
      <c r="F10" s="19">
        <v>1500</v>
      </c>
      <c r="G10" s="19">
        <v>10</v>
      </c>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t="e">
        <f>bdRateExtend( M10:M15,N10:N15, W10:W15,X10:X15)</f>
        <v>#VALUE!</v>
      </c>
      <c r="AD10" s="50" t="e">
        <f>bdRateExtend( M10:M15,O10:O15, W10:W15,Y10:Y15)</f>
        <v>#VALUE!</v>
      </c>
    </row>
    <row r="11" spans="1:30" outlineLevel="1" x14ac:dyDescent="0.25">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D11" s="52"/>
    </row>
    <row r="12" spans="1:30" outlineLevel="1" x14ac:dyDescent="0.25">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D12" s="50"/>
    </row>
    <row r="13" spans="1:30" outlineLevel="1" x14ac:dyDescent="0.25">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31"/>
      <c r="Q13" s="31"/>
      <c r="S13" s="56" t="str">
        <f t="shared" si="3"/>
        <v>·</v>
      </c>
      <c r="T13" s="28" t="str">
        <f t="shared" si="4"/>
        <v>·</v>
      </c>
      <c r="U13" s="28" t="str">
        <f t="shared" si="5"/>
        <v>·</v>
      </c>
      <c r="V13" s="29"/>
      <c r="W13" s="30"/>
      <c r="X13" s="51"/>
      <c r="Y13" s="51"/>
      <c r="Z13" s="31"/>
      <c r="AA13" s="31"/>
      <c r="AC13" s="52"/>
      <c r="AD13" s="52"/>
    </row>
    <row r="14" spans="1:30" outlineLevel="1" x14ac:dyDescent="0.25">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c r="AD14" s="50"/>
    </row>
    <row r="15" spans="1:30" outlineLevel="1" x14ac:dyDescent="0.25">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38"/>
      <c r="Q15" s="38"/>
      <c r="S15" s="57" t="str">
        <f t="shared" si="3"/>
        <v>·</v>
      </c>
      <c r="T15" s="35" t="str">
        <f t="shared" si="4"/>
        <v>·</v>
      </c>
      <c r="U15" s="35" t="str">
        <f t="shared" si="5"/>
        <v>·</v>
      </c>
      <c r="V15" s="36"/>
      <c r="W15" s="37"/>
      <c r="X15" s="53"/>
      <c r="Y15" s="53"/>
      <c r="Z15" s="38"/>
      <c r="AA15" s="38"/>
      <c r="AC15" s="54"/>
      <c r="AD15" s="54"/>
    </row>
    <row r="16" spans="1:30" collapsed="1" x14ac:dyDescent="0.25">
      <c r="A16" s="18"/>
      <c r="B16" s="18" t="s">
        <v>997</v>
      </c>
      <c r="C16" s="19" t="s">
        <v>310</v>
      </c>
      <c r="D16" s="18">
        <v>126093865</v>
      </c>
      <c r="E16" s="19">
        <v>18</v>
      </c>
      <c r="F16" s="19">
        <v>1500</v>
      </c>
      <c r="G16" s="19">
        <v>10</v>
      </c>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t="e">
        <f>bdRateExtend( M16:M21,N16:N21, W16:W21,X16:X21)</f>
        <v>#VALUE!</v>
      </c>
      <c r="AD16" s="50" t="e">
        <f>bdRateExtend( M16:M21,O16:O21, W16:W21,Y16:Y21)</f>
        <v>#VALUE!</v>
      </c>
    </row>
    <row r="17" spans="1:30" outlineLevel="1" x14ac:dyDescent="0.25">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D17" s="52"/>
    </row>
    <row r="18" spans="1:30" outlineLevel="1" x14ac:dyDescent="0.25">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24"/>
      <c r="Q18" s="24"/>
      <c r="S18" s="55" t="str">
        <f t="shared" si="3"/>
        <v>·</v>
      </c>
      <c r="T18" s="21" t="str">
        <f t="shared" si="4"/>
        <v>·</v>
      </c>
      <c r="U18" s="21" t="str">
        <f t="shared" si="5"/>
        <v>·</v>
      </c>
      <c r="V18" s="22"/>
      <c r="W18" s="23"/>
      <c r="X18" s="49"/>
      <c r="Y18" s="49"/>
      <c r="Z18" s="24"/>
      <c r="AA18" s="24"/>
      <c r="AC18" s="50"/>
      <c r="AD18" s="50"/>
    </row>
    <row r="19" spans="1:30" outlineLevel="1" x14ac:dyDescent="0.25">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c r="AD19" s="52"/>
    </row>
    <row r="20" spans="1:30" outlineLevel="1" x14ac:dyDescent="0.25">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D20" s="50"/>
    </row>
    <row r="21" spans="1:30" outlineLevel="1" x14ac:dyDescent="0.25">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38"/>
      <c r="Q21" s="38"/>
      <c r="S21" s="57" t="str">
        <f t="shared" si="3"/>
        <v>·</v>
      </c>
      <c r="T21" s="35" t="str">
        <f t="shared" si="4"/>
        <v>·</v>
      </c>
      <c r="U21" s="35" t="str">
        <f t="shared" si="5"/>
        <v>·</v>
      </c>
      <c r="V21" s="36"/>
      <c r="W21" s="37"/>
      <c r="X21" s="53"/>
      <c r="Y21" s="53"/>
      <c r="Z21" s="38"/>
      <c r="AA21" s="38"/>
      <c r="AC21" s="54"/>
      <c r="AD21" s="54"/>
    </row>
    <row r="22" spans="1:30" x14ac:dyDescent="0.25">
      <c r="B22" s="46" t="s">
        <v>258</v>
      </c>
      <c r="J22" s="47" t="e">
        <f>AVERAGE(J4:J21)</f>
        <v>#DIV/0!</v>
      </c>
      <c r="T22" s="47" t="e">
        <f>AVERAGE(T4:T21)</f>
        <v>#DIV/0!</v>
      </c>
      <c r="AC22" s="11" t="e">
        <f>AVERAGE(AC4:AC21)</f>
        <v>#VALUE!</v>
      </c>
      <c r="AD22" s="11" t="e">
        <f>AVERAGE(AD4:AD21)</f>
        <v>#VALUE!</v>
      </c>
    </row>
    <row r="23" spans="1:30" hidden="1" outlineLevel="2" x14ac:dyDescent="0.25">
      <c r="A23" s="46" t="s">
        <v>259</v>
      </c>
      <c r="B23" s="46" t="s">
        <v>260</v>
      </c>
      <c r="P23" s="48">
        <f>SUM(P4:P21)</f>
        <v>0</v>
      </c>
      <c r="Q23" s="48">
        <f>SUM(Q4:Q21)</f>
        <v>0</v>
      </c>
      <c r="Z23" s="48">
        <f>SUM(Z4:Z21)</f>
        <v>0</v>
      </c>
      <c r="AA23" s="48">
        <f>SUM(AA4:AA21)</f>
        <v>0</v>
      </c>
    </row>
    <row r="24" spans="1:30" hidden="1" outlineLevel="2" x14ac:dyDescent="0.25">
      <c r="B24" s="46" t="s">
        <v>261</v>
      </c>
      <c r="Z24" s="6" t="e">
        <f>Z23/P23</f>
        <v>#DIV/0!</v>
      </c>
      <c r="AA24" s="6" t="e">
        <f>AA23/Q23</f>
        <v>#DIV/0!</v>
      </c>
    </row>
    <row r="25" spans="1:30" hidden="1" outlineLevel="2" x14ac:dyDescent="0.25">
      <c r="B25" s="46" t="s">
        <v>262</v>
      </c>
      <c r="P25" s="48" t="e">
        <f>GEOMEAN(P4:P21)</f>
        <v>#NUM!</v>
      </c>
      <c r="Q25" s="48" t="e">
        <f>GEOMEAN(Q4:Q21)</f>
        <v>#NUM!</v>
      </c>
      <c r="Z25" s="48" t="e">
        <f>GEOMEAN(Z4:Z21)</f>
        <v>#NUM!</v>
      </c>
      <c r="AA25" s="48" t="e">
        <f>GEOMEAN(AA4:AA21)</f>
        <v>#NUM!</v>
      </c>
    </row>
    <row r="26" spans="1:30" outlineLevel="2" collapsed="1" x14ac:dyDescent="0.25">
      <c r="B26" s="46" t="s">
        <v>263</v>
      </c>
      <c r="Z26" s="6" t="e">
        <f>Z25/P25</f>
        <v>#NUM!</v>
      </c>
      <c r="AA26" s="6" t="e">
        <f>AA25/Q25</f>
        <v>#NUM!</v>
      </c>
    </row>
  </sheetData>
  <mergeCells count="27">
    <mergeCell ref="X2:Y2"/>
    <mergeCell ref="Z2:Z3"/>
    <mergeCell ref="AA2:AA3"/>
    <mergeCell ref="AC2:AD2"/>
    <mergeCell ref="A1:G1"/>
    <mergeCell ref="I1:Q1"/>
    <mergeCell ref="S1:AA1"/>
    <mergeCell ref="S2:S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C4 AC5 AC6 AC7 AC8 AC9 AC10 AC11 AC12 AC13 AC14 AC15 AC16 AC17 AC18 AC19 AC20 AC21 AC22">
    <cfRule type="cellIs" dxfId="35" priority="1" operator="greaterThanOrEqual">
      <formula>0.03</formula>
    </cfRule>
    <cfRule type="cellIs" dxfId="34" priority="2" operator="lessThanOrEqual">
      <formula>-0.03</formula>
    </cfRule>
  </conditionalFormatting>
  <conditionalFormatting sqref="AD4 AD5 AD6 AD7 AD8 AD9 AD10 AD11 AD12 AD13 AD14 AD15 AD16 AD17 AD18 AD19 AD20 AD21 AD22">
    <cfRule type="cellIs" dxfId="33" priority="3" operator="greaterThanOrEqual">
      <formula>0.03</formula>
    </cfRule>
    <cfRule type="cellIs" dxfId="32" priority="4" operator="lessThanOrEqual">
      <formula>-0.03</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G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6" width="11.7109375" customWidth="1"/>
    <col min="19" max="19" width="1.7109375" customWidth="1"/>
    <col min="21" max="21" width="10.7109375" customWidth="1"/>
    <col min="22" max="22" width="12.7109375" customWidth="1"/>
    <col min="23" max="23" width="10.7109375" customWidth="1"/>
    <col min="24" max="24" width="12.7109375" customWidth="1"/>
    <col min="25" max="27" width="11.7109375" customWidth="1"/>
    <col min="30" max="30" width="1.7109375" customWidth="1"/>
    <col min="33" max="33" width="11.7109375" customWidth="1"/>
    <col min="34" max="34" width="1.7109375" customWidth="1"/>
  </cols>
  <sheetData>
    <row r="1" spans="1:33" x14ac:dyDescent="0.25">
      <c r="A1" s="76" t="s">
        <v>1229</v>
      </c>
      <c r="B1" s="76"/>
      <c r="C1" s="76"/>
      <c r="D1" s="76"/>
      <c r="E1" s="76"/>
      <c r="F1" s="76"/>
      <c r="G1" s="76"/>
      <c r="I1" s="65" t="s">
        <v>2</v>
      </c>
      <c r="J1" s="65"/>
      <c r="K1" s="65"/>
      <c r="L1" s="65"/>
      <c r="M1" s="65"/>
      <c r="N1" s="65"/>
      <c r="O1" s="65"/>
      <c r="P1" s="65"/>
      <c r="Q1" s="65"/>
      <c r="R1" s="65"/>
      <c r="T1" s="66" t="s">
        <v>3</v>
      </c>
      <c r="U1" s="66"/>
      <c r="V1" s="66"/>
      <c r="W1" s="66"/>
      <c r="X1" s="66"/>
      <c r="Y1" s="66"/>
      <c r="Z1" s="66"/>
      <c r="AA1" s="66"/>
      <c r="AB1" s="66"/>
      <c r="AC1" s="66"/>
    </row>
    <row r="2" spans="1:33" ht="30" customHeight="1" x14ac:dyDescent="0.25">
      <c r="A2" s="75" t="s">
        <v>97</v>
      </c>
      <c r="B2" s="73" t="s">
        <v>99</v>
      </c>
      <c r="C2" s="75" t="s">
        <v>275</v>
      </c>
      <c r="D2" s="73" t="s">
        <v>101</v>
      </c>
      <c r="E2" s="75" t="s">
        <v>103</v>
      </c>
      <c r="F2" s="73" t="s">
        <v>513</v>
      </c>
      <c r="G2" s="75" t="s">
        <v>515</v>
      </c>
      <c r="I2" s="73" t="s">
        <v>518</v>
      </c>
      <c r="J2" s="75" t="s">
        <v>520</v>
      </c>
      <c r="K2" s="73" t="s">
        <v>112</v>
      </c>
      <c r="L2" s="75" t="s">
        <v>26</v>
      </c>
      <c r="M2" s="73" t="s">
        <v>524</v>
      </c>
      <c r="N2" s="74" t="s">
        <v>374</v>
      </c>
      <c r="O2" s="74"/>
      <c r="P2" s="73" t="s">
        <v>1074</v>
      </c>
      <c r="Q2" s="75" t="s">
        <v>118</v>
      </c>
      <c r="R2" s="73" t="s">
        <v>120</v>
      </c>
      <c r="T2" s="75" t="s">
        <v>518</v>
      </c>
      <c r="U2" s="73" t="s">
        <v>520</v>
      </c>
      <c r="V2" s="75" t="s">
        <v>112</v>
      </c>
      <c r="W2" s="73" t="s">
        <v>26</v>
      </c>
      <c r="X2" s="75" t="s">
        <v>524</v>
      </c>
      <c r="Y2" s="77" t="s">
        <v>374</v>
      </c>
      <c r="Z2" s="77"/>
      <c r="AA2" s="75" t="s">
        <v>1074</v>
      </c>
      <c r="AB2" s="73" t="s">
        <v>118</v>
      </c>
      <c r="AC2" s="75" t="s">
        <v>120</v>
      </c>
      <c r="AE2" s="77" t="s">
        <v>409</v>
      </c>
      <c r="AF2" s="77"/>
      <c r="AG2" s="75" t="s">
        <v>1087</v>
      </c>
    </row>
    <row r="3" spans="1:33" x14ac:dyDescent="0.25">
      <c r="A3" s="75"/>
      <c r="B3" s="73"/>
      <c r="C3" s="75"/>
      <c r="D3" s="73"/>
      <c r="E3" s="75"/>
      <c r="F3" s="73"/>
      <c r="G3" s="75"/>
      <c r="I3" s="73"/>
      <c r="J3" s="75"/>
      <c r="K3" s="73"/>
      <c r="L3" s="75"/>
      <c r="M3" s="73"/>
      <c r="N3" s="16" t="s">
        <v>375</v>
      </c>
      <c r="O3" s="16" t="s">
        <v>377</v>
      </c>
      <c r="P3" s="73"/>
      <c r="Q3" s="75"/>
      <c r="R3" s="73"/>
      <c r="T3" s="75"/>
      <c r="U3" s="73"/>
      <c r="V3" s="75"/>
      <c r="W3" s="73"/>
      <c r="X3" s="75"/>
      <c r="Y3" s="17" t="s">
        <v>375</v>
      </c>
      <c r="Z3" s="17" t="s">
        <v>377</v>
      </c>
      <c r="AA3" s="75"/>
      <c r="AB3" s="73"/>
      <c r="AC3" s="75"/>
      <c r="AE3" s="17" t="s">
        <v>375</v>
      </c>
      <c r="AF3" s="17" t="s">
        <v>377</v>
      </c>
      <c r="AG3" s="75"/>
    </row>
    <row r="4" spans="1:33" collapsed="1" x14ac:dyDescent="0.25">
      <c r="A4" s="18" t="s">
        <v>1000</v>
      </c>
      <c r="B4" s="18" t="s">
        <v>991</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49"/>
      <c r="Q4" s="24"/>
      <c r="R4" s="24"/>
      <c r="T4" s="55" t="str">
        <f t="shared" ref="T4:T21" si="3">IF(OR(ISBLANK(X4),ISBLANK(G4)),"·",X4*G4/F4/1000000)</f>
        <v>·</v>
      </c>
      <c r="U4" s="21" t="str">
        <f t="shared" ref="U4:U21" si="4">IF(ISBLANK(X4),"·",X4/D4)</f>
        <v>·</v>
      </c>
      <c r="V4" s="21" t="str">
        <f t="shared" ref="V4:V21" si="5">IF(ISBLANK(X4),"·",X4/W4)</f>
        <v>·</v>
      </c>
      <c r="W4" s="22"/>
      <c r="X4" s="23"/>
      <c r="Y4" s="49"/>
      <c r="Z4" s="49"/>
      <c r="AA4" s="49"/>
      <c r="AB4" s="24"/>
      <c r="AC4" s="24"/>
      <c r="AE4" s="50" t="e">
        <f>bdRateExtend( M4:M9,N4:N9, X4:X9,Y4:Y9)</f>
        <v>#VALUE!</v>
      </c>
      <c r="AF4" s="50" t="e">
        <f>bdRateExtend( M4:M9,O4:O9, X4:X9,Z4:Z9)</f>
        <v>#VALUE!</v>
      </c>
      <c r="AG4" s="50" t="e">
        <f>bdRateExtend( M4:M9,P4:P9, X4:X9,AA4:AA9)</f>
        <v>#VALUE!</v>
      </c>
    </row>
    <row r="5" spans="1:33" outlineLevel="1" x14ac:dyDescent="0.25">
      <c r="A5" s="25"/>
      <c r="B5" s="25"/>
      <c r="C5" s="26" t="s">
        <v>311</v>
      </c>
      <c r="D5" s="25">
        <v>123940658</v>
      </c>
      <c r="E5" s="26">
        <v>18</v>
      </c>
      <c r="F5" s="26">
        <v>1500</v>
      </c>
      <c r="G5" s="26">
        <v>10</v>
      </c>
      <c r="I5" s="56" t="str">
        <f t="shared" si="0"/>
        <v>·</v>
      </c>
      <c r="J5" s="28" t="str">
        <f t="shared" si="1"/>
        <v>·</v>
      </c>
      <c r="K5" s="28" t="str">
        <f t="shared" si="2"/>
        <v>·</v>
      </c>
      <c r="L5" s="29"/>
      <c r="M5" s="30"/>
      <c r="N5" s="51"/>
      <c r="O5" s="51"/>
      <c r="P5" s="51"/>
      <c r="Q5" s="31"/>
      <c r="R5" s="31"/>
      <c r="T5" s="56" t="str">
        <f t="shared" si="3"/>
        <v>·</v>
      </c>
      <c r="U5" s="28" t="str">
        <f t="shared" si="4"/>
        <v>·</v>
      </c>
      <c r="V5" s="28" t="str">
        <f t="shared" si="5"/>
        <v>·</v>
      </c>
      <c r="W5" s="29"/>
      <c r="X5" s="30"/>
      <c r="Y5" s="51"/>
      <c r="Z5" s="51"/>
      <c r="AA5" s="51"/>
      <c r="AB5" s="31"/>
      <c r="AC5" s="31"/>
      <c r="AE5" s="52"/>
      <c r="AF5" s="52"/>
      <c r="AG5" s="52"/>
    </row>
    <row r="6" spans="1:33" outlineLevel="1" x14ac:dyDescent="0.25">
      <c r="A6" s="18"/>
      <c r="B6" s="18"/>
      <c r="C6" s="19" t="s">
        <v>312</v>
      </c>
      <c r="D6" s="18">
        <v>123940658</v>
      </c>
      <c r="E6" s="19">
        <v>18</v>
      </c>
      <c r="F6" s="19">
        <v>1500</v>
      </c>
      <c r="G6" s="19">
        <v>10</v>
      </c>
      <c r="I6" s="55" t="str">
        <f t="shared" si="0"/>
        <v>·</v>
      </c>
      <c r="J6" s="21" t="str">
        <f t="shared" si="1"/>
        <v>·</v>
      </c>
      <c r="K6" s="21" t="str">
        <f t="shared" si="2"/>
        <v>·</v>
      </c>
      <c r="L6" s="22"/>
      <c r="M6" s="23"/>
      <c r="N6" s="49"/>
      <c r="O6" s="49"/>
      <c r="P6" s="49"/>
      <c r="Q6" s="24"/>
      <c r="R6" s="24"/>
      <c r="T6" s="55" t="str">
        <f t="shared" si="3"/>
        <v>·</v>
      </c>
      <c r="U6" s="21" t="str">
        <f t="shared" si="4"/>
        <v>·</v>
      </c>
      <c r="V6" s="21" t="str">
        <f t="shared" si="5"/>
        <v>·</v>
      </c>
      <c r="W6" s="22"/>
      <c r="X6" s="23"/>
      <c r="Y6" s="49"/>
      <c r="Z6" s="49"/>
      <c r="AA6" s="49"/>
      <c r="AB6" s="24"/>
      <c r="AC6" s="24"/>
      <c r="AE6" s="50"/>
      <c r="AF6" s="50"/>
      <c r="AG6" s="50"/>
    </row>
    <row r="7" spans="1:33" outlineLevel="1" x14ac:dyDescent="0.25">
      <c r="A7" s="25"/>
      <c r="B7" s="25"/>
      <c r="C7" s="26" t="s">
        <v>313</v>
      </c>
      <c r="D7" s="25">
        <v>123940658</v>
      </c>
      <c r="E7" s="26">
        <v>18</v>
      </c>
      <c r="F7" s="26">
        <v>1500</v>
      </c>
      <c r="G7" s="26">
        <v>10</v>
      </c>
      <c r="I7" s="56" t="str">
        <f t="shared" si="0"/>
        <v>·</v>
      </c>
      <c r="J7" s="28" t="str">
        <f t="shared" si="1"/>
        <v>·</v>
      </c>
      <c r="K7" s="28" t="str">
        <f t="shared" si="2"/>
        <v>·</v>
      </c>
      <c r="L7" s="29"/>
      <c r="M7" s="30"/>
      <c r="N7" s="51"/>
      <c r="O7" s="51"/>
      <c r="P7" s="51"/>
      <c r="Q7" s="31"/>
      <c r="R7" s="31"/>
      <c r="T7" s="56" t="str">
        <f t="shared" si="3"/>
        <v>·</v>
      </c>
      <c r="U7" s="28" t="str">
        <f t="shared" si="4"/>
        <v>·</v>
      </c>
      <c r="V7" s="28" t="str">
        <f t="shared" si="5"/>
        <v>·</v>
      </c>
      <c r="W7" s="29"/>
      <c r="X7" s="30"/>
      <c r="Y7" s="51"/>
      <c r="Z7" s="51"/>
      <c r="AA7" s="51"/>
      <c r="AB7" s="31"/>
      <c r="AC7" s="31"/>
      <c r="AE7" s="52"/>
      <c r="AF7" s="52"/>
      <c r="AG7" s="52"/>
    </row>
    <row r="8" spans="1:33" outlineLevel="1" x14ac:dyDescent="0.25">
      <c r="A8" s="18"/>
      <c r="B8" s="18"/>
      <c r="C8" s="19" t="s">
        <v>428</v>
      </c>
      <c r="D8" s="18">
        <v>123940658</v>
      </c>
      <c r="E8" s="19">
        <v>18</v>
      </c>
      <c r="F8" s="19">
        <v>1500</v>
      </c>
      <c r="G8" s="19">
        <v>10</v>
      </c>
      <c r="I8" s="55" t="str">
        <f t="shared" si="0"/>
        <v>·</v>
      </c>
      <c r="J8" s="21" t="str">
        <f t="shared" si="1"/>
        <v>·</v>
      </c>
      <c r="K8" s="21" t="str">
        <f t="shared" si="2"/>
        <v>·</v>
      </c>
      <c r="L8" s="22"/>
      <c r="M8" s="23"/>
      <c r="N8" s="49"/>
      <c r="O8" s="49"/>
      <c r="P8" s="49"/>
      <c r="Q8" s="24"/>
      <c r="R8" s="24"/>
      <c r="T8" s="55" t="str">
        <f t="shared" si="3"/>
        <v>·</v>
      </c>
      <c r="U8" s="21" t="str">
        <f t="shared" si="4"/>
        <v>·</v>
      </c>
      <c r="V8" s="21" t="str">
        <f t="shared" si="5"/>
        <v>·</v>
      </c>
      <c r="W8" s="22"/>
      <c r="X8" s="23"/>
      <c r="Y8" s="49"/>
      <c r="Z8" s="49"/>
      <c r="AA8" s="49"/>
      <c r="AB8" s="24"/>
      <c r="AC8" s="24"/>
      <c r="AE8" s="50"/>
      <c r="AF8" s="50"/>
      <c r="AG8" s="50"/>
    </row>
    <row r="9" spans="1:33" outlineLevel="1" x14ac:dyDescent="0.25">
      <c r="A9" s="25"/>
      <c r="B9" s="32"/>
      <c r="C9" s="33" t="s">
        <v>429</v>
      </c>
      <c r="D9" s="32">
        <v>123940658</v>
      </c>
      <c r="E9" s="33">
        <v>18</v>
      </c>
      <c r="F9" s="33">
        <v>1500</v>
      </c>
      <c r="G9" s="33">
        <v>10</v>
      </c>
      <c r="I9" s="57" t="str">
        <f t="shared" si="0"/>
        <v>·</v>
      </c>
      <c r="J9" s="35" t="str">
        <f t="shared" si="1"/>
        <v>·</v>
      </c>
      <c r="K9" s="35" t="str">
        <f t="shared" si="2"/>
        <v>·</v>
      </c>
      <c r="L9" s="36"/>
      <c r="M9" s="37"/>
      <c r="N9" s="53"/>
      <c r="O9" s="53"/>
      <c r="P9" s="53"/>
      <c r="Q9" s="38"/>
      <c r="R9" s="38"/>
      <c r="T9" s="57" t="str">
        <f t="shared" si="3"/>
        <v>·</v>
      </c>
      <c r="U9" s="35" t="str">
        <f t="shared" si="4"/>
        <v>·</v>
      </c>
      <c r="V9" s="35" t="str">
        <f t="shared" si="5"/>
        <v>·</v>
      </c>
      <c r="W9" s="36"/>
      <c r="X9" s="37"/>
      <c r="Y9" s="53"/>
      <c r="Z9" s="53"/>
      <c r="AA9" s="53"/>
      <c r="AB9" s="38"/>
      <c r="AC9" s="38"/>
      <c r="AE9" s="54"/>
      <c r="AF9" s="54"/>
      <c r="AG9" s="54"/>
    </row>
    <row r="10" spans="1:33" collapsed="1" x14ac:dyDescent="0.25">
      <c r="A10" s="18"/>
      <c r="B10" s="18" t="s">
        <v>994</v>
      </c>
      <c r="C10" s="19" t="s">
        <v>310</v>
      </c>
      <c r="D10" s="18">
        <v>125751705</v>
      </c>
      <c r="E10" s="19">
        <v>18</v>
      </c>
      <c r="F10" s="19">
        <v>1500</v>
      </c>
      <c r="G10" s="19">
        <v>10</v>
      </c>
      <c r="I10" s="55" t="str">
        <f t="shared" si="0"/>
        <v>·</v>
      </c>
      <c r="J10" s="21" t="str">
        <f t="shared" si="1"/>
        <v>·</v>
      </c>
      <c r="K10" s="21" t="str">
        <f t="shared" si="2"/>
        <v>·</v>
      </c>
      <c r="L10" s="22"/>
      <c r="M10" s="23"/>
      <c r="N10" s="49"/>
      <c r="O10" s="49"/>
      <c r="P10" s="49"/>
      <c r="Q10" s="24"/>
      <c r="R10" s="24"/>
      <c r="T10" s="55" t="str">
        <f t="shared" si="3"/>
        <v>·</v>
      </c>
      <c r="U10" s="21" t="str">
        <f t="shared" si="4"/>
        <v>·</v>
      </c>
      <c r="V10" s="21" t="str">
        <f t="shared" si="5"/>
        <v>·</v>
      </c>
      <c r="W10" s="22"/>
      <c r="X10" s="23"/>
      <c r="Y10" s="49"/>
      <c r="Z10" s="49"/>
      <c r="AA10" s="49"/>
      <c r="AB10" s="24"/>
      <c r="AC10" s="24"/>
      <c r="AE10" s="50" t="e">
        <f>bdRateExtend( M10:M15,N10:N15, X10:X15,Y10:Y15)</f>
        <v>#VALUE!</v>
      </c>
      <c r="AF10" s="50" t="e">
        <f>bdRateExtend( M10:M15,O10:O15, X10:X15,Z10:Z15)</f>
        <v>#VALUE!</v>
      </c>
      <c r="AG10" s="50" t="e">
        <f>bdRateExtend( M10:M15,P10:P15, X10:X15,AA10:AA15)</f>
        <v>#VALUE!</v>
      </c>
    </row>
    <row r="11" spans="1:33" outlineLevel="1" x14ac:dyDescent="0.25">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51"/>
      <c r="Q11" s="31"/>
      <c r="R11" s="31"/>
      <c r="T11" s="56" t="str">
        <f t="shared" si="3"/>
        <v>·</v>
      </c>
      <c r="U11" s="28" t="str">
        <f t="shared" si="4"/>
        <v>·</v>
      </c>
      <c r="V11" s="28" t="str">
        <f t="shared" si="5"/>
        <v>·</v>
      </c>
      <c r="W11" s="29"/>
      <c r="X11" s="30"/>
      <c r="Y11" s="51"/>
      <c r="Z11" s="51"/>
      <c r="AA11" s="51"/>
      <c r="AB11" s="31"/>
      <c r="AC11" s="31"/>
      <c r="AE11" s="52"/>
      <c r="AF11" s="52"/>
      <c r="AG11" s="52"/>
    </row>
    <row r="12" spans="1:33" outlineLevel="1" x14ac:dyDescent="0.25">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49"/>
      <c r="Q12" s="24"/>
      <c r="R12" s="24"/>
      <c r="T12" s="55" t="str">
        <f t="shared" si="3"/>
        <v>·</v>
      </c>
      <c r="U12" s="21" t="str">
        <f t="shared" si="4"/>
        <v>·</v>
      </c>
      <c r="V12" s="21" t="str">
        <f t="shared" si="5"/>
        <v>·</v>
      </c>
      <c r="W12" s="22"/>
      <c r="X12" s="23"/>
      <c r="Y12" s="49"/>
      <c r="Z12" s="49"/>
      <c r="AA12" s="49"/>
      <c r="AB12" s="24"/>
      <c r="AC12" s="24"/>
      <c r="AE12" s="50"/>
      <c r="AF12" s="50"/>
      <c r="AG12" s="50"/>
    </row>
    <row r="13" spans="1:33" outlineLevel="1" x14ac:dyDescent="0.25">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51"/>
      <c r="Q13" s="31"/>
      <c r="R13" s="31"/>
      <c r="T13" s="56" t="str">
        <f t="shared" si="3"/>
        <v>·</v>
      </c>
      <c r="U13" s="28" t="str">
        <f t="shared" si="4"/>
        <v>·</v>
      </c>
      <c r="V13" s="28" t="str">
        <f t="shared" si="5"/>
        <v>·</v>
      </c>
      <c r="W13" s="29"/>
      <c r="X13" s="30"/>
      <c r="Y13" s="51"/>
      <c r="Z13" s="51"/>
      <c r="AA13" s="51"/>
      <c r="AB13" s="31"/>
      <c r="AC13" s="31"/>
      <c r="AE13" s="52"/>
      <c r="AF13" s="52"/>
      <c r="AG13" s="52"/>
    </row>
    <row r="14" spans="1:33" outlineLevel="1" x14ac:dyDescent="0.25">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49"/>
      <c r="Q14" s="24"/>
      <c r="R14" s="24"/>
      <c r="T14" s="55" t="str">
        <f t="shared" si="3"/>
        <v>·</v>
      </c>
      <c r="U14" s="21" t="str">
        <f t="shared" si="4"/>
        <v>·</v>
      </c>
      <c r="V14" s="21" t="str">
        <f t="shared" si="5"/>
        <v>·</v>
      </c>
      <c r="W14" s="22"/>
      <c r="X14" s="23"/>
      <c r="Y14" s="49"/>
      <c r="Z14" s="49"/>
      <c r="AA14" s="49"/>
      <c r="AB14" s="24"/>
      <c r="AC14" s="24"/>
      <c r="AE14" s="50"/>
      <c r="AF14" s="50"/>
      <c r="AG14" s="50"/>
    </row>
    <row r="15" spans="1:33" outlineLevel="1" x14ac:dyDescent="0.25">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53"/>
      <c r="Q15" s="38"/>
      <c r="R15" s="38"/>
      <c r="T15" s="57" t="str">
        <f t="shared" si="3"/>
        <v>·</v>
      </c>
      <c r="U15" s="35" t="str">
        <f t="shared" si="4"/>
        <v>·</v>
      </c>
      <c r="V15" s="35" t="str">
        <f t="shared" si="5"/>
        <v>·</v>
      </c>
      <c r="W15" s="36"/>
      <c r="X15" s="37"/>
      <c r="Y15" s="53"/>
      <c r="Z15" s="53"/>
      <c r="AA15" s="53"/>
      <c r="AB15" s="38"/>
      <c r="AC15" s="38"/>
      <c r="AE15" s="54"/>
      <c r="AF15" s="54"/>
      <c r="AG15" s="54"/>
    </row>
    <row r="16" spans="1:33" collapsed="1" x14ac:dyDescent="0.25">
      <c r="A16" s="18"/>
      <c r="B16" s="18" t="s">
        <v>997</v>
      </c>
      <c r="C16" s="19" t="s">
        <v>310</v>
      </c>
      <c r="D16" s="18">
        <v>126093865</v>
      </c>
      <c r="E16" s="19">
        <v>18</v>
      </c>
      <c r="F16" s="19">
        <v>1500</v>
      </c>
      <c r="G16" s="19">
        <v>10</v>
      </c>
      <c r="I16" s="55" t="str">
        <f t="shared" si="0"/>
        <v>·</v>
      </c>
      <c r="J16" s="21" t="str">
        <f t="shared" si="1"/>
        <v>·</v>
      </c>
      <c r="K16" s="21" t="str">
        <f t="shared" si="2"/>
        <v>·</v>
      </c>
      <c r="L16" s="22"/>
      <c r="M16" s="23"/>
      <c r="N16" s="49"/>
      <c r="O16" s="49"/>
      <c r="P16" s="49"/>
      <c r="Q16" s="24"/>
      <c r="R16" s="24"/>
      <c r="T16" s="55" t="str">
        <f t="shared" si="3"/>
        <v>·</v>
      </c>
      <c r="U16" s="21" t="str">
        <f t="shared" si="4"/>
        <v>·</v>
      </c>
      <c r="V16" s="21" t="str">
        <f t="shared" si="5"/>
        <v>·</v>
      </c>
      <c r="W16" s="22"/>
      <c r="X16" s="23"/>
      <c r="Y16" s="49"/>
      <c r="Z16" s="49"/>
      <c r="AA16" s="49"/>
      <c r="AB16" s="24"/>
      <c r="AC16" s="24"/>
      <c r="AE16" s="50" t="e">
        <f>bdRateExtend( M16:M21,N16:N21, X16:X21,Y16:Y21)</f>
        <v>#VALUE!</v>
      </c>
      <c r="AF16" s="50" t="e">
        <f>bdRateExtend( M16:M21,O16:O21, X16:X21,Z16:Z21)</f>
        <v>#VALUE!</v>
      </c>
      <c r="AG16" s="50" t="e">
        <f>bdRateExtend( M16:M21,P16:P21, X16:X21,AA16:AA21)</f>
        <v>#VALUE!</v>
      </c>
    </row>
    <row r="17" spans="1:33" outlineLevel="1" x14ac:dyDescent="0.25">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51"/>
      <c r="Q17" s="31"/>
      <c r="R17" s="31"/>
      <c r="T17" s="56" t="str">
        <f t="shared" si="3"/>
        <v>·</v>
      </c>
      <c r="U17" s="28" t="str">
        <f t="shared" si="4"/>
        <v>·</v>
      </c>
      <c r="V17" s="28" t="str">
        <f t="shared" si="5"/>
        <v>·</v>
      </c>
      <c r="W17" s="29"/>
      <c r="X17" s="30"/>
      <c r="Y17" s="51"/>
      <c r="Z17" s="51"/>
      <c r="AA17" s="51"/>
      <c r="AB17" s="31"/>
      <c r="AC17" s="31"/>
      <c r="AE17" s="52"/>
      <c r="AF17" s="52"/>
      <c r="AG17" s="52"/>
    </row>
    <row r="18" spans="1:33" outlineLevel="1" x14ac:dyDescent="0.25">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49"/>
      <c r="Q18" s="24"/>
      <c r="R18" s="24"/>
      <c r="T18" s="55" t="str">
        <f t="shared" si="3"/>
        <v>·</v>
      </c>
      <c r="U18" s="21" t="str">
        <f t="shared" si="4"/>
        <v>·</v>
      </c>
      <c r="V18" s="21" t="str">
        <f t="shared" si="5"/>
        <v>·</v>
      </c>
      <c r="W18" s="22"/>
      <c r="X18" s="23"/>
      <c r="Y18" s="49"/>
      <c r="Z18" s="49"/>
      <c r="AA18" s="49"/>
      <c r="AB18" s="24"/>
      <c r="AC18" s="24"/>
      <c r="AE18" s="50"/>
      <c r="AF18" s="50"/>
      <c r="AG18" s="50"/>
    </row>
    <row r="19" spans="1:33" outlineLevel="1" x14ac:dyDescent="0.25">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51"/>
      <c r="Q19" s="31"/>
      <c r="R19" s="31"/>
      <c r="T19" s="56" t="str">
        <f t="shared" si="3"/>
        <v>·</v>
      </c>
      <c r="U19" s="28" t="str">
        <f t="shared" si="4"/>
        <v>·</v>
      </c>
      <c r="V19" s="28" t="str">
        <f t="shared" si="5"/>
        <v>·</v>
      </c>
      <c r="W19" s="29"/>
      <c r="X19" s="30"/>
      <c r="Y19" s="51"/>
      <c r="Z19" s="51"/>
      <c r="AA19" s="51"/>
      <c r="AB19" s="31"/>
      <c r="AC19" s="31"/>
      <c r="AE19" s="52"/>
      <c r="AF19" s="52"/>
      <c r="AG19" s="52"/>
    </row>
    <row r="20" spans="1:33" outlineLevel="1" x14ac:dyDescent="0.25">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49"/>
      <c r="Q20" s="24"/>
      <c r="R20" s="24"/>
      <c r="T20" s="55" t="str">
        <f t="shared" si="3"/>
        <v>·</v>
      </c>
      <c r="U20" s="21" t="str">
        <f t="shared" si="4"/>
        <v>·</v>
      </c>
      <c r="V20" s="21" t="str">
        <f t="shared" si="5"/>
        <v>·</v>
      </c>
      <c r="W20" s="22"/>
      <c r="X20" s="23"/>
      <c r="Y20" s="49"/>
      <c r="Z20" s="49"/>
      <c r="AA20" s="49"/>
      <c r="AB20" s="24"/>
      <c r="AC20" s="24"/>
      <c r="AE20" s="50"/>
      <c r="AF20" s="50"/>
      <c r="AG20" s="50"/>
    </row>
    <row r="21" spans="1:33" outlineLevel="1" x14ac:dyDescent="0.25">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53"/>
      <c r="Q21" s="38"/>
      <c r="R21" s="38"/>
      <c r="T21" s="57" t="str">
        <f t="shared" si="3"/>
        <v>·</v>
      </c>
      <c r="U21" s="35" t="str">
        <f t="shared" si="4"/>
        <v>·</v>
      </c>
      <c r="V21" s="35" t="str">
        <f t="shared" si="5"/>
        <v>·</v>
      </c>
      <c r="W21" s="36"/>
      <c r="X21" s="37"/>
      <c r="Y21" s="53"/>
      <c r="Z21" s="53"/>
      <c r="AA21" s="53"/>
      <c r="AB21" s="38"/>
      <c r="AC21" s="38"/>
      <c r="AE21" s="54"/>
      <c r="AF21" s="54"/>
      <c r="AG21" s="54"/>
    </row>
    <row r="22" spans="1:33" x14ac:dyDescent="0.25">
      <c r="B22" s="46" t="s">
        <v>258</v>
      </c>
      <c r="J22" s="47" t="e">
        <f>AVERAGE(J4:J21)</f>
        <v>#DIV/0!</v>
      </c>
      <c r="U22" s="47" t="e">
        <f>AVERAGE(U4:U21)</f>
        <v>#DIV/0!</v>
      </c>
      <c r="AE22" s="11" t="e">
        <f>AVERAGE(AE4:AE21)</f>
        <v>#VALUE!</v>
      </c>
      <c r="AF22" s="11" t="e">
        <f>AVERAGE(AF4:AF21)</f>
        <v>#VALUE!</v>
      </c>
      <c r="AG22" s="11" t="e">
        <f>AVERAGE(AG4:AG21)</f>
        <v>#VALUE!</v>
      </c>
    </row>
    <row r="23" spans="1:33" hidden="1" outlineLevel="2" x14ac:dyDescent="0.25">
      <c r="A23" s="46" t="s">
        <v>259</v>
      </c>
      <c r="B23" s="46" t="s">
        <v>260</v>
      </c>
      <c r="Q23" s="48">
        <f>SUM(Q4:Q21)</f>
        <v>0</v>
      </c>
      <c r="R23" s="48">
        <f>SUM(R4:R21)</f>
        <v>0</v>
      </c>
      <c r="AB23" s="48">
        <f>SUM(AB4:AB21)</f>
        <v>0</v>
      </c>
      <c r="AC23" s="48">
        <f>SUM(AC4:AC21)</f>
        <v>0</v>
      </c>
    </row>
    <row r="24" spans="1:33" hidden="1" outlineLevel="2" x14ac:dyDescent="0.25">
      <c r="B24" s="46" t="s">
        <v>261</v>
      </c>
      <c r="AB24" s="6" t="e">
        <f>AB23/Q23</f>
        <v>#DIV/0!</v>
      </c>
      <c r="AC24" s="6" t="e">
        <f>AC23/R23</f>
        <v>#DIV/0!</v>
      </c>
    </row>
    <row r="25" spans="1:33" hidden="1" outlineLevel="2" x14ac:dyDescent="0.25">
      <c r="B25" s="46" t="s">
        <v>262</v>
      </c>
      <c r="Q25" s="48" t="e">
        <f>GEOMEAN(Q4:Q21)</f>
        <v>#NUM!</v>
      </c>
      <c r="R25" s="48" t="e">
        <f>GEOMEAN(R4:R21)</f>
        <v>#NUM!</v>
      </c>
      <c r="AB25" s="48" t="e">
        <f>GEOMEAN(AB4:AB21)</f>
        <v>#NUM!</v>
      </c>
      <c r="AC25" s="48" t="e">
        <f>GEOMEAN(AC4:AC21)</f>
        <v>#NUM!</v>
      </c>
    </row>
    <row r="26" spans="1:33" outlineLevel="2" collapsed="1" x14ac:dyDescent="0.25">
      <c r="B26" s="46" t="s">
        <v>263</v>
      </c>
      <c r="AB26" s="6" t="e">
        <f>AB25/Q25</f>
        <v>#NUM!</v>
      </c>
      <c r="AC26" s="6" t="e">
        <f>AC25/R25</f>
        <v>#NUM!</v>
      </c>
    </row>
  </sheetData>
  <mergeCells count="30">
    <mergeCell ref="AE2:AF2"/>
    <mergeCell ref="AG2:AG3"/>
    <mergeCell ref="A1:G1"/>
    <mergeCell ref="I1:R1"/>
    <mergeCell ref="T1:AC1"/>
    <mergeCell ref="X2:X3"/>
    <mergeCell ref="Y2:Z2"/>
    <mergeCell ref="AA2:AA3"/>
    <mergeCell ref="AB2:AB3"/>
    <mergeCell ref="AC2:AC3"/>
    <mergeCell ref="R2:R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E4 AE5 AE6 AE7 AE8 AE9 AE10 AE11 AE12 AE13 AE14 AE15 AE16 AE17 AE18 AE19 AE20 AE21 AE22">
    <cfRule type="cellIs" dxfId="31" priority="1" operator="greaterThanOrEqual">
      <formula>0.03</formula>
    </cfRule>
    <cfRule type="cellIs" dxfId="30" priority="2" operator="lessThanOrEqual">
      <formula>-0.03</formula>
    </cfRule>
  </conditionalFormatting>
  <conditionalFormatting sqref="AF4 AF5 AF6 AF7 AF8 AF9 AF10 AF11 AF12 AF13 AF14 AF15 AF16 AF17 AF18 AF19 AF20 AF21 AF22">
    <cfRule type="cellIs" dxfId="29" priority="5" operator="greaterThanOrEqual">
      <formula>0.03</formula>
    </cfRule>
    <cfRule type="cellIs" dxfId="28" priority="6" operator="lessThanOrEqual">
      <formula>-0.03</formula>
    </cfRule>
  </conditionalFormatting>
  <conditionalFormatting sqref="AG4 AG5 AG6 AG7 AG8 AG9 AG10 AG11 AG12 AG13 AG14 AG15 AG16 AG17 AG18 AG19 AG20 AG21 AG22">
    <cfRule type="cellIs" dxfId="27" priority="3" operator="greaterThanOrEqual">
      <formula>0.03</formula>
    </cfRule>
    <cfRule type="cellIs" dxfId="26" priority="4" operator="lessThanOrEqual">
      <formula>-0.03</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G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6" width="11.7109375" customWidth="1"/>
    <col min="19" max="19" width="1.7109375" customWidth="1"/>
    <col min="21" max="21" width="10.7109375" customWidth="1"/>
    <col min="22" max="22" width="12.7109375" customWidth="1"/>
    <col min="23" max="23" width="10.7109375" customWidth="1"/>
    <col min="24" max="24" width="12.7109375" customWidth="1"/>
    <col min="25" max="27" width="11.7109375" customWidth="1"/>
    <col min="30" max="30" width="1.7109375" customWidth="1"/>
    <col min="33" max="33" width="11.7109375" customWidth="1"/>
    <col min="34" max="34" width="1.7109375" customWidth="1"/>
  </cols>
  <sheetData>
    <row r="1" spans="1:33" x14ac:dyDescent="0.25">
      <c r="A1" s="76" t="s">
        <v>1275</v>
      </c>
      <c r="B1" s="76"/>
      <c r="C1" s="76"/>
      <c r="D1" s="76"/>
      <c r="E1" s="76"/>
      <c r="F1" s="76"/>
      <c r="G1" s="76"/>
      <c r="I1" s="65" t="s">
        <v>2</v>
      </c>
      <c r="J1" s="65"/>
      <c r="K1" s="65"/>
      <c r="L1" s="65"/>
      <c r="M1" s="65"/>
      <c r="N1" s="65"/>
      <c r="O1" s="65"/>
      <c r="P1" s="65"/>
      <c r="Q1" s="65"/>
      <c r="R1" s="65"/>
      <c r="T1" s="66" t="s">
        <v>3</v>
      </c>
      <c r="U1" s="66"/>
      <c r="V1" s="66"/>
      <c r="W1" s="66"/>
      <c r="X1" s="66"/>
      <c r="Y1" s="66"/>
      <c r="Z1" s="66"/>
      <c r="AA1" s="66"/>
      <c r="AB1" s="66"/>
      <c r="AC1" s="66"/>
    </row>
    <row r="2" spans="1:33" ht="30" customHeight="1" x14ac:dyDescent="0.25">
      <c r="A2" s="75" t="s">
        <v>97</v>
      </c>
      <c r="B2" s="73" t="s">
        <v>99</v>
      </c>
      <c r="C2" s="75" t="s">
        <v>275</v>
      </c>
      <c r="D2" s="73" t="s">
        <v>101</v>
      </c>
      <c r="E2" s="75" t="s">
        <v>103</v>
      </c>
      <c r="F2" s="73" t="s">
        <v>513</v>
      </c>
      <c r="G2" s="75" t="s">
        <v>515</v>
      </c>
      <c r="I2" s="73" t="s">
        <v>518</v>
      </c>
      <c r="J2" s="75" t="s">
        <v>520</v>
      </c>
      <c r="K2" s="73" t="s">
        <v>112</v>
      </c>
      <c r="L2" s="75" t="s">
        <v>26</v>
      </c>
      <c r="M2" s="73" t="s">
        <v>524</v>
      </c>
      <c r="N2" s="74" t="s">
        <v>374</v>
      </c>
      <c r="O2" s="74"/>
      <c r="P2" s="73" t="s">
        <v>1074</v>
      </c>
      <c r="Q2" s="75" t="s">
        <v>118</v>
      </c>
      <c r="R2" s="73" t="s">
        <v>120</v>
      </c>
      <c r="T2" s="75" t="s">
        <v>518</v>
      </c>
      <c r="U2" s="73" t="s">
        <v>520</v>
      </c>
      <c r="V2" s="75" t="s">
        <v>112</v>
      </c>
      <c r="W2" s="73" t="s">
        <v>26</v>
      </c>
      <c r="X2" s="75" t="s">
        <v>524</v>
      </c>
      <c r="Y2" s="77" t="s">
        <v>374</v>
      </c>
      <c r="Z2" s="77"/>
      <c r="AA2" s="75" t="s">
        <v>1074</v>
      </c>
      <c r="AB2" s="73" t="s">
        <v>118</v>
      </c>
      <c r="AC2" s="75" t="s">
        <v>120</v>
      </c>
      <c r="AE2" s="77" t="s">
        <v>409</v>
      </c>
      <c r="AF2" s="77"/>
      <c r="AG2" s="75" t="s">
        <v>1087</v>
      </c>
    </row>
    <row r="3" spans="1:33" x14ac:dyDescent="0.25">
      <c r="A3" s="75"/>
      <c r="B3" s="73"/>
      <c r="C3" s="75"/>
      <c r="D3" s="73"/>
      <c r="E3" s="75"/>
      <c r="F3" s="73"/>
      <c r="G3" s="75"/>
      <c r="I3" s="73"/>
      <c r="J3" s="75"/>
      <c r="K3" s="73"/>
      <c r="L3" s="75"/>
      <c r="M3" s="73"/>
      <c r="N3" s="16" t="s">
        <v>375</v>
      </c>
      <c r="O3" s="16" t="s">
        <v>377</v>
      </c>
      <c r="P3" s="73"/>
      <c r="Q3" s="75"/>
      <c r="R3" s="73"/>
      <c r="T3" s="75"/>
      <c r="U3" s="73"/>
      <c r="V3" s="75"/>
      <c r="W3" s="73"/>
      <c r="X3" s="75"/>
      <c r="Y3" s="17" t="s">
        <v>375</v>
      </c>
      <c r="Z3" s="17" t="s">
        <v>377</v>
      </c>
      <c r="AA3" s="75"/>
      <c r="AB3" s="73"/>
      <c r="AC3" s="75"/>
      <c r="AE3" s="17" t="s">
        <v>375</v>
      </c>
      <c r="AF3" s="17" t="s">
        <v>377</v>
      </c>
      <c r="AG3" s="75"/>
    </row>
    <row r="4" spans="1:33" collapsed="1" x14ac:dyDescent="0.25">
      <c r="A4" s="18" t="s">
        <v>1000</v>
      </c>
      <c r="B4" s="18" t="s">
        <v>991</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49"/>
      <c r="Q4" s="24"/>
      <c r="R4" s="24"/>
      <c r="T4" s="55" t="str">
        <f t="shared" ref="T4:T21" si="3">IF(OR(ISBLANK(X4),ISBLANK(G4)),"·",X4*G4/F4/1000000)</f>
        <v>·</v>
      </c>
      <c r="U4" s="21" t="str">
        <f t="shared" ref="U4:U21" si="4">IF(ISBLANK(X4),"·",X4/D4)</f>
        <v>·</v>
      </c>
      <c r="V4" s="21" t="str">
        <f t="shared" ref="V4:V21" si="5">IF(ISBLANK(X4),"·",X4/W4)</f>
        <v>·</v>
      </c>
      <c r="W4" s="22"/>
      <c r="X4" s="23"/>
      <c r="Y4" s="49"/>
      <c r="Z4" s="49"/>
      <c r="AA4" s="49"/>
      <c r="AB4" s="24"/>
      <c r="AC4" s="24"/>
      <c r="AE4" s="50" t="e">
        <f>bdRateExtend( M4:M9,N4:N9, X4:X9,Y4:Y9)</f>
        <v>#VALUE!</v>
      </c>
      <c r="AF4" s="50" t="e">
        <f>bdRateExtend( M4:M9,O4:O9, X4:X9,Z4:Z9)</f>
        <v>#VALUE!</v>
      </c>
      <c r="AG4" s="50" t="e">
        <f>bdRateExtend( M4:M9,P4:P9, X4:X9,AA4:AA9)</f>
        <v>#VALUE!</v>
      </c>
    </row>
    <row r="5" spans="1:33" outlineLevel="1" x14ac:dyDescent="0.25">
      <c r="A5" s="25"/>
      <c r="B5" s="25"/>
      <c r="C5" s="26" t="s">
        <v>311</v>
      </c>
      <c r="D5" s="25">
        <v>123940658</v>
      </c>
      <c r="E5" s="26">
        <v>18</v>
      </c>
      <c r="F5" s="26">
        <v>1500</v>
      </c>
      <c r="G5" s="26">
        <v>10</v>
      </c>
      <c r="I5" s="56" t="str">
        <f t="shared" si="0"/>
        <v>·</v>
      </c>
      <c r="J5" s="28" t="str">
        <f t="shared" si="1"/>
        <v>·</v>
      </c>
      <c r="K5" s="28" t="str">
        <f t="shared" si="2"/>
        <v>·</v>
      </c>
      <c r="L5" s="29"/>
      <c r="M5" s="30"/>
      <c r="N5" s="51"/>
      <c r="O5" s="51"/>
      <c r="P5" s="51"/>
      <c r="Q5" s="31"/>
      <c r="R5" s="31"/>
      <c r="T5" s="56" t="str">
        <f t="shared" si="3"/>
        <v>·</v>
      </c>
      <c r="U5" s="28" t="str">
        <f t="shared" si="4"/>
        <v>·</v>
      </c>
      <c r="V5" s="28" t="str">
        <f t="shared" si="5"/>
        <v>·</v>
      </c>
      <c r="W5" s="29"/>
      <c r="X5" s="30"/>
      <c r="Y5" s="51"/>
      <c r="Z5" s="51"/>
      <c r="AA5" s="51"/>
      <c r="AB5" s="31"/>
      <c r="AC5" s="31"/>
      <c r="AE5" s="52"/>
      <c r="AF5" s="52"/>
      <c r="AG5" s="52"/>
    </row>
    <row r="6" spans="1:33" outlineLevel="1" x14ac:dyDescent="0.25">
      <c r="A6" s="18"/>
      <c r="B6" s="18"/>
      <c r="C6" s="19" t="s">
        <v>312</v>
      </c>
      <c r="D6" s="18">
        <v>123940658</v>
      </c>
      <c r="E6" s="19">
        <v>18</v>
      </c>
      <c r="F6" s="19">
        <v>1500</v>
      </c>
      <c r="G6" s="19">
        <v>10</v>
      </c>
      <c r="I6" s="55" t="str">
        <f t="shared" si="0"/>
        <v>·</v>
      </c>
      <c r="J6" s="21" t="str">
        <f t="shared" si="1"/>
        <v>·</v>
      </c>
      <c r="K6" s="21" t="str">
        <f t="shared" si="2"/>
        <v>·</v>
      </c>
      <c r="L6" s="22"/>
      <c r="M6" s="23"/>
      <c r="N6" s="49"/>
      <c r="O6" s="49"/>
      <c r="P6" s="49"/>
      <c r="Q6" s="24"/>
      <c r="R6" s="24"/>
      <c r="T6" s="55" t="str">
        <f t="shared" si="3"/>
        <v>·</v>
      </c>
      <c r="U6" s="21" t="str">
        <f t="shared" si="4"/>
        <v>·</v>
      </c>
      <c r="V6" s="21" t="str">
        <f t="shared" si="5"/>
        <v>·</v>
      </c>
      <c r="W6" s="22"/>
      <c r="X6" s="23"/>
      <c r="Y6" s="49"/>
      <c r="Z6" s="49"/>
      <c r="AA6" s="49"/>
      <c r="AB6" s="24"/>
      <c r="AC6" s="24"/>
      <c r="AE6" s="50"/>
      <c r="AF6" s="50"/>
      <c r="AG6" s="50"/>
    </row>
    <row r="7" spans="1:33" outlineLevel="1" x14ac:dyDescent="0.25">
      <c r="A7" s="25"/>
      <c r="B7" s="25"/>
      <c r="C7" s="26" t="s">
        <v>313</v>
      </c>
      <c r="D7" s="25">
        <v>123940658</v>
      </c>
      <c r="E7" s="26">
        <v>18</v>
      </c>
      <c r="F7" s="26">
        <v>1500</v>
      </c>
      <c r="G7" s="26">
        <v>10</v>
      </c>
      <c r="I7" s="56" t="str">
        <f t="shared" si="0"/>
        <v>·</v>
      </c>
      <c r="J7" s="28" t="str">
        <f t="shared" si="1"/>
        <v>·</v>
      </c>
      <c r="K7" s="28" t="str">
        <f t="shared" si="2"/>
        <v>·</v>
      </c>
      <c r="L7" s="29"/>
      <c r="M7" s="30"/>
      <c r="N7" s="51"/>
      <c r="O7" s="51"/>
      <c r="P7" s="51"/>
      <c r="Q7" s="31"/>
      <c r="R7" s="31"/>
      <c r="T7" s="56" t="str">
        <f t="shared" si="3"/>
        <v>·</v>
      </c>
      <c r="U7" s="28" t="str">
        <f t="shared" si="4"/>
        <v>·</v>
      </c>
      <c r="V7" s="28" t="str">
        <f t="shared" si="5"/>
        <v>·</v>
      </c>
      <c r="W7" s="29"/>
      <c r="X7" s="30"/>
      <c r="Y7" s="51"/>
      <c r="Z7" s="51"/>
      <c r="AA7" s="51"/>
      <c r="AB7" s="31"/>
      <c r="AC7" s="31"/>
      <c r="AE7" s="52"/>
      <c r="AF7" s="52"/>
      <c r="AG7" s="52"/>
    </row>
    <row r="8" spans="1:33" outlineLevel="1" x14ac:dyDescent="0.25">
      <c r="A8" s="18"/>
      <c r="B8" s="18"/>
      <c r="C8" s="19" t="s">
        <v>428</v>
      </c>
      <c r="D8" s="18">
        <v>123940658</v>
      </c>
      <c r="E8" s="19">
        <v>18</v>
      </c>
      <c r="F8" s="19">
        <v>1500</v>
      </c>
      <c r="G8" s="19">
        <v>10</v>
      </c>
      <c r="I8" s="55" t="str">
        <f t="shared" si="0"/>
        <v>·</v>
      </c>
      <c r="J8" s="21" t="str">
        <f t="shared" si="1"/>
        <v>·</v>
      </c>
      <c r="K8" s="21" t="str">
        <f t="shared" si="2"/>
        <v>·</v>
      </c>
      <c r="L8" s="22"/>
      <c r="M8" s="23"/>
      <c r="N8" s="49"/>
      <c r="O8" s="49"/>
      <c r="P8" s="49"/>
      <c r="Q8" s="24"/>
      <c r="R8" s="24"/>
      <c r="T8" s="55" t="str">
        <f t="shared" si="3"/>
        <v>·</v>
      </c>
      <c r="U8" s="21" t="str">
        <f t="shared" si="4"/>
        <v>·</v>
      </c>
      <c r="V8" s="21" t="str">
        <f t="shared" si="5"/>
        <v>·</v>
      </c>
      <c r="W8" s="22"/>
      <c r="X8" s="23"/>
      <c r="Y8" s="49"/>
      <c r="Z8" s="49"/>
      <c r="AA8" s="49"/>
      <c r="AB8" s="24"/>
      <c r="AC8" s="24"/>
      <c r="AE8" s="50"/>
      <c r="AF8" s="50"/>
      <c r="AG8" s="50"/>
    </row>
    <row r="9" spans="1:33" outlineLevel="1" x14ac:dyDescent="0.25">
      <c r="A9" s="25"/>
      <c r="B9" s="32"/>
      <c r="C9" s="33" t="s">
        <v>429</v>
      </c>
      <c r="D9" s="32">
        <v>123940658</v>
      </c>
      <c r="E9" s="33">
        <v>18</v>
      </c>
      <c r="F9" s="33">
        <v>1500</v>
      </c>
      <c r="G9" s="33">
        <v>10</v>
      </c>
      <c r="I9" s="57" t="str">
        <f t="shared" si="0"/>
        <v>·</v>
      </c>
      <c r="J9" s="35" t="str">
        <f t="shared" si="1"/>
        <v>·</v>
      </c>
      <c r="K9" s="35" t="str">
        <f t="shared" si="2"/>
        <v>·</v>
      </c>
      <c r="L9" s="36"/>
      <c r="M9" s="37"/>
      <c r="N9" s="53"/>
      <c r="O9" s="53"/>
      <c r="P9" s="53"/>
      <c r="Q9" s="38"/>
      <c r="R9" s="38"/>
      <c r="T9" s="57" t="str">
        <f t="shared" si="3"/>
        <v>·</v>
      </c>
      <c r="U9" s="35" t="str">
        <f t="shared" si="4"/>
        <v>·</v>
      </c>
      <c r="V9" s="35" t="str">
        <f t="shared" si="5"/>
        <v>·</v>
      </c>
      <c r="W9" s="36"/>
      <c r="X9" s="37"/>
      <c r="Y9" s="53"/>
      <c r="Z9" s="53"/>
      <c r="AA9" s="53"/>
      <c r="AB9" s="38"/>
      <c r="AC9" s="38"/>
      <c r="AE9" s="54"/>
      <c r="AF9" s="54"/>
      <c r="AG9" s="54"/>
    </row>
    <row r="10" spans="1:33" collapsed="1" x14ac:dyDescent="0.25">
      <c r="A10" s="18"/>
      <c r="B10" s="18" t="s">
        <v>994</v>
      </c>
      <c r="C10" s="19" t="s">
        <v>310</v>
      </c>
      <c r="D10" s="18">
        <v>125751705</v>
      </c>
      <c r="E10" s="19">
        <v>18</v>
      </c>
      <c r="F10" s="19">
        <v>1500</v>
      </c>
      <c r="G10" s="19">
        <v>10</v>
      </c>
      <c r="I10" s="55" t="str">
        <f t="shared" si="0"/>
        <v>·</v>
      </c>
      <c r="J10" s="21" t="str">
        <f t="shared" si="1"/>
        <v>·</v>
      </c>
      <c r="K10" s="21" t="str">
        <f t="shared" si="2"/>
        <v>·</v>
      </c>
      <c r="L10" s="22"/>
      <c r="M10" s="23"/>
      <c r="N10" s="49"/>
      <c r="O10" s="49"/>
      <c r="P10" s="49"/>
      <c r="Q10" s="24"/>
      <c r="R10" s="24"/>
      <c r="T10" s="55" t="str">
        <f t="shared" si="3"/>
        <v>·</v>
      </c>
      <c r="U10" s="21" t="str">
        <f t="shared" si="4"/>
        <v>·</v>
      </c>
      <c r="V10" s="21" t="str">
        <f t="shared" si="5"/>
        <v>·</v>
      </c>
      <c r="W10" s="22"/>
      <c r="X10" s="23"/>
      <c r="Y10" s="49"/>
      <c r="Z10" s="49"/>
      <c r="AA10" s="49"/>
      <c r="AB10" s="24"/>
      <c r="AC10" s="24"/>
      <c r="AE10" s="50" t="e">
        <f>bdRateExtend( M10:M15,N10:N15, X10:X15,Y10:Y15)</f>
        <v>#VALUE!</v>
      </c>
      <c r="AF10" s="50" t="e">
        <f>bdRateExtend( M10:M15,O10:O15, X10:X15,Z10:Z15)</f>
        <v>#VALUE!</v>
      </c>
      <c r="AG10" s="50" t="e">
        <f>bdRateExtend( M10:M15,P10:P15, X10:X15,AA10:AA15)</f>
        <v>#VALUE!</v>
      </c>
    </row>
    <row r="11" spans="1:33" outlineLevel="1" x14ac:dyDescent="0.25">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51"/>
      <c r="Q11" s="31"/>
      <c r="R11" s="31"/>
      <c r="T11" s="56" t="str">
        <f t="shared" si="3"/>
        <v>·</v>
      </c>
      <c r="U11" s="28" t="str">
        <f t="shared" si="4"/>
        <v>·</v>
      </c>
      <c r="V11" s="28" t="str">
        <f t="shared" si="5"/>
        <v>·</v>
      </c>
      <c r="W11" s="29"/>
      <c r="X11" s="30"/>
      <c r="Y11" s="51"/>
      <c r="Z11" s="51"/>
      <c r="AA11" s="51"/>
      <c r="AB11" s="31"/>
      <c r="AC11" s="31"/>
      <c r="AE11" s="52"/>
      <c r="AF11" s="52"/>
      <c r="AG11" s="52"/>
    </row>
    <row r="12" spans="1:33" outlineLevel="1" x14ac:dyDescent="0.25">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49"/>
      <c r="Q12" s="24"/>
      <c r="R12" s="24"/>
      <c r="T12" s="55" t="str">
        <f t="shared" si="3"/>
        <v>·</v>
      </c>
      <c r="U12" s="21" t="str">
        <f t="shared" si="4"/>
        <v>·</v>
      </c>
      <c r="V12" s="21" t="str">
        <f t="shared" si="5"/>
        <v>·</v>
      </c>
      <c r="W12" s="22"/>
      <c r="X12" s="23"/>
      <c r="Y12" s="49"/>
      <c r="Z12" s="49"/>
      <c r="AA12" s="49"/>
      <c r="AB12" s="24"/>
      <c r="AC12" s="24"/>
      <c r="AE12" s="50"/>
      <c r="AF12" s="50"/>
      <c r="AG12" s="50"/>
    </row>
    <row r="13" spans="1:33" outlineLevel="1" x14ac:dyDescent="0.25">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51"/>
      <c r="Q13" s="31"/>
      <c r="R13" s="31"/>
      <c r="T13" s="56" t="str">
        <f t="shared" si="3"/>
        <v>·</v>
      </c>
      <c r="U13" s="28" t="str">
        <f t="shared" si="4"/>
        <v>·</v>
      </c>
      <c r="V13" s="28" t="str">
        <f t="shared" si="5"/>
        <v>·</v>
      </c>
      <c r="W13" s="29"/>
      <c r="X13" s="30"/>
      <c r="Y13" s="51"/>
      <c r="Z13" s="51"/>
      <c r="AA13" s="51"/>
      <c r="AB13" s="31"/>
      <c r="AC13" s="31"/>
      <c r="AE13" s="52"/>
      <c r="AF13" s="52"/>
      <c r="AG13" s="52"/>
    </row>
    <row r="14" spans="1:33" outlineLevel="1" x14ac:dyDescent="0.25">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49"/>
      <c r="Q14" s="24"/>
      <c r="R14" s="24"/>
      <c r="T14" s="55" t="str">
        <f t="shared" si="3"/>
        <v>·</v>
      </c>
      <c r="U14" s="21" t="str">
        <f t="shared" si="4"/>
        <v>·</v>
      </c>
      <c r="V14" s="21" t="str">
        <f t="shared" si="5"/>
        <v>·</v>
      </c>
      <c r="W14" s="22"/>
      <c r="X14" s="23"/>
      <c r="Y14" s="49"/>
      <c r="Z14" s="49"/>
      <c r="AA14" s="49"/>
      <c r="AB14" s="24"/>
      <c r="AC14" s="24"/>
      <c r="AE14" s="50"/>
      <c r="AF14" s="50"/>
      <c r="AG14" s="50"/>
    </row>
    <row r="15" spans="1:33" outlineLevel="1" x14ac:dyDescent="0.25">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53"/>
      <c r="Q15" s="38"/>
      <c r="R15" s="38"/>
      <c r="T15" s="57" t="str">
        <f t="shared" si="3"/>
        <v>·</v>
      </c>
      <c r="U15" s="35" t="str">
        <f t="shared" si="4"/>
        <v>·</v>
      </c>
      <c r="V15" s="35" t="str">
        <f t="shared" si="5"/>
        <v>·</v>
      </c>
      <c r="W15" s="36"/>
      <c r="X15" s="37"/>
      <c r="Y15" s="53"/>
      <c r="Z15" s="53"/>
      <c r="AA15" s="53"/>
      <c r="AB15" s="38"/>
      <c r="AC15" s="38"/>
      <c r="AE15" s="54"/>
      <c r="AF15" s="54"/>
      <c r="AG15" s="54"/>
    </row>
    <row r="16" spans="1:33" collapsed="1" x14ac:dyDescent="0.25">
      <c r="A16" s="18"/>
      <c r="B16" s="18" t="s">
        <v>997</v>
      </c>
      <c r="C16" s="19" t="s">
        <v>310</v>
      </c>
      <c r="D16" s="18">
        <v>126093865</v>
      </c>
      <c r="E16" s="19">
        <v>18</v>
      </c>
      <c r="F16" s="19">
        <v>1500</v>
      </c>
      <c r="G16" s="19">
        <v>10</v>
      </c>
      <c r="I16" s="55" t="str">
        <f t="shared" si="0"/>
        <v>·</v>
      </c>
      <c r="J16" s="21" t="str">
        <f t="shared" si="1"/>
        <v>·</v>
      </c>
      <c r="K16" s="21" t="str">
        <f t="shared" si="2"/>
        <v>·</v>
      </c>
      <c r="L16" s="22"/>
      <c r="M16" s="23"/>
      <c r="N16" s="49"/>
      <c r="O16" s="49"/>
      <c r="P16" s="49"/>
      <c r="Q16" s="24"/>
      <c r="R16" s="24"/>
      <c r="T16" s="55" t="str">
        <f t="shared" si="3"/>
        <v>·</v>
      </c>
      <c r="U16" s="21" t="str">
        <f t="shared" si="4"/>
        <v>·</v>
      </c>
      <c r="V16" s="21" t="str">
        <f t="shared" si="5"/>
        <v>·</v>
      </c>
      <c r="W16" s="22"/>
      <c r="X16" s="23"/>
      <c r="Y16" s="49"/>
      <c r="Z16" s="49"/>
      <c r="AA16" s="49"/>
      <c r="AB16" s="24"/>
      <c r="AC16" s="24"/>
      <c r="AE16" s="50" t="e">
        <f>bdRateExtend( M16:M21,N16:N21, X16:X21,Y16:Y21)</f>
        <v>#VALUE!</v>
      </c>
      <c r="AF16" s="50" t="e">
        <f>bdRateExtend( M16:M21,O16:O21, X16:X21,Z16:Z21)</f>
        <v>#VALUE!</v>
      </c>
      <c r="AG16" s="50" t="e">
        <f>bdRateExtend( M16:M21,P16:P21, X16:X21,AA16:AA21)</f>
        <v>#VALUE!</v>
      </c>
    </row>
    <row r="17" spans="1:33" outlineLevel="1" x14ac:dyDescent="0.25">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51"/>
      <c r="Q17" s="31"/>
      <c r="R17" s="31"/>
      <c r="T17" s="56" t="str">
        <f t="shared" si="3"/>
        <v>·</v>
      </c>
      <c r="U17" s="28" t="str">
        <f t="shared" si="4"/>
        <v>·</v>
      </c>
      <c r="V17" s="28" t="str">
        <f t="shared" si="5"/>
        <v>·</v>
      </c>
      <c r="W17" s="29"/>
      <c r="X17" s="30"/>
      <c r="Y17" s="51"/>
      <c r="Z17" s="51"/>
      <c r="AA17" s="51"/>
      <c r="AB17" s="31"/>
      <c r="AC17" s="31"/>
      <c r="AE17" s="52"/>
      <c r="AF17" s="52"/>
      <c r="AG17" s="52"/>
    </row>
    <row r="18" spans="1:33" outlineLevel="1" x14ac:dyDescent="0.25">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49"/>
      <c r="Q18" s="24"/>
      <c r="R18" s="24"/>
      <c r="T18" s="55" t="str">
        <f t="shared" si="3"/>
        <v>·</v>
      </c>
      <c r="U18" s="21" t="str">
        <f t="shared" si="4"/>
        <v>·</v>
      </c>
      <c r="V18" s="21" t="str">
        <f t="shared" si="5"/>
        <v>·</v>
      </c>
      <c r="W18" s="22"/>
      <c r="X18" s="23"/>
      <c r="Y18" s="49"/>
      <c r="Z18" s="49"/>
      <c r="AA18" s="49"/>
      <c r="AB18" s="24"/>
      <c r="AC18" s="24"/>
      <c r="AE18" s="50"/>
      <c r="AF18" s="50"/>
      <c r="AG18" s="50"/>
    </row>
    <row r="19" spans="1:33" outlineLevel="1" x14ac:dyDescent="0.25">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51"/>
      <c r="Q19" s="31"/>
      <c r="R19" s="31"/>
      <c r="T19" s="56" t="str">
        <f t="shared" si="3"/>
        <v>·</v>
      </c>
      <c r="U19" s="28" t="str">
        <f t="shared" si="4"/>
        <v>·</v>
      </c>
      <c r="V19" s="28" t="str">
        <f t="shared" si="5"/>
        <v>·</v>
      </c>
      <c r="W19" s="29"/>
      <c r="X19" s="30"/>
      <c r="Y19" s="51"/>
      <c r="Z19" s="51"/>
      <c r="AA19" s="51"/>
      <c r="AB19" s="31"/>
      <c r="AC19" s="31"/>
      <c r="AE19" s="52"/>
      <c r="AF19" s="52"/>
      <c r="AG19" s="52"/>
    </row>
    <row r="20" spans="1:33" outlineLevel="1" x14ac:dyDescent="0.25">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49"/>
      <c r="Q20" s="24"/>
      <c r="R20" s="24"/>
      <c r="T20" s="55" t="str">
        <f t="shared" si="3"/>
        <v>·</v>
      </c>
      <c r="U20" s="21" t="str">
        <f t="shared" si="4"/>
        <v>·</v>
      </c>
      <c r="V20" s="21" t="str">
        <f t="shared" si="5"/>
        <v>·</v>
      </c>
      <c r="W20" s="22"/>
      <c r="X20" s="23"/>
      <c r="Y20" s="49"/>
      <c r="Z20" s="49"/>
      <c r="AA20" s="49"/>
      <c r="AB20" s="24"/>
      <c r="AC20" s="24"/>
      <c r="AE20" s="50"/>
      <c r="AF20" s="50"/>
      <c r="AG20" s="50"/>
    </row>
    <row r="21" spans="1:33" outlineLevel="1" x14ac:dyDescent="0.25">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53"/>
      <c r="Q21" s="38"/>
      <c r="R21" s="38"/>
      <c r="T21" s="57" t="str">
        <f t="shared" si="3"/>
        <v>·</v>
      </c>
      <c r="U21" s="35" t="str">
        <f t="shared" si="4"/>
        <v>·</v>
      </c>
      <c r="V21" s="35" t="str">
        <f t="shared" si="5"/>
        <v>·</v>
      </c>
      <c r="W21" s="36"/>
      <c r="X21" s="37"/>
      <c r="Y21" s="53"/>
      <c r="Z21" s="53"/>
      <c r="AA21" s="53"/>
      <c r="AB21" s="38"/>
      <c r="AC21" s="38"/>
      <c r="AE21" s="54"/>
      <c r="AF21" s="54"/>
      <c r="AG21" s="54"/>
    </row>
    <row r="22" spans="1:33" x14ac:dyDescent="0.25">
      <c r="B22" s="46" t="s">
        <v>258</v>
      </c>
      <c r="J22" s="47" t="e">
        <f>AVERAGE(J4:J21)</f>
        <v>#DIV/0!</v>
      </c>
      <c r="U22" s="47" t="e">
        <f>AVERAGE(U4:U21)</f>
        <v>#DIV/0!</v>
      </c>
      <c r="AE22" s="11" t="e">
        <f>AVERAGE(AE4:AE21)</f>
        <v>#VALUE!</v>
      </c>
      <c r="AF22" s="11" t="e">
        <f>AVERAGE(AF4:AF21)</f>
        <v>#VALUE!</v>
      </c>
      <c r="AG22" s="11" t="e">
        <f>AVERAGE(AG4:AG21)</f>
        <v>#VALUE!</v>
      </c>
    </row>
    <row r="23" spans="1:33" hidden="1" outlineLevel="2" x14ac:dyDescent="0.25">
      <c r="A23" s="46" t="s">
        <v>259</v>
      </c>
      <c r="B23" s="46" t="s">
        <v>260</v>
      </c>
      <c r="Q23" s="48">
        <f>SUM(Q4:Q21)</f>
        <v>0</v>
      </c>
      <c r="R23" s="48">
        <f>SUM(R4:R21)</f>
        <v>0</v>
      </c>
      <c r="AB23" s="48">
        <f>SUM(AB4:AB21)</f>
        <v>0</v>
      </c>
      <c r="AC23" s="48">
        <f>SUM(AC4:AC21)</f>
        <v>0</v>
      </c>
    </row>
    <row r="24" spans="1:33" hidden="1" outlineLevel="2" x14ac:dyDescent="0.25">
      <c r="B24" s="46" t="s">
        <v>261</v>
      </c>
      <c r="AB24" s="6" t="e">
        <f>AB23/Q23</f>
        <v>#DIV/0!</v>
      </c>
      <c r="AC24" s="6" t="e">
        <f>AC23/R23</f>
        <v>#DIV/0!</v>
      </c>
    </row>
    <row r="25" spans="1:33" hidden="1" outlineLevel="2" x14ac:dyDescent="0.25">
      <c r="B25" s="46" t="s">
        <v>262</v>
      </c>
      <c r="Q25" s="48" t="e">
        <f>GEOMEAN(Q4:Q21)</f>
        <v>#NUM!</v>
      </c>
      <c r="R25" s="48" t="e">
        <f>GEOMEAN(R4:R21)</f>
        <v>#NUM!</v>
      </c>
      <c r="AB25" s="48" t="e">
        <f>GEOMEAN(AB4:AB21)</f>
        <v>#NUM!</v>
      </c>
      <c r="AC25" s="48" t="e">
        <f>GEOMEAN(AC4:AC21)</f>
        <v>#NUM!</v>
      </c>
    </row>
    <row r="26" spans="1:33" outlineLevel="2" collapsed="1" x14ac:dyDescent="0.25">
      <c r="B26" s="46" t="s">
        <v>263</v>
      </c>
      <c r="AB26" s="6" t="e">
        <f>AB25/Q25</f>
        <v>#NUM!</v>
      </c>
      <c r="AC26" s="6" t="e">
        <f>AC25/R25</f>
        <v>#NUM!</v>
      </c>
    </row>
  </sheetData>
  <mergeCells count="30">
    <mergeCell ref="AE2:AF2"/>
    <mergeCell ref="AG2:AG3"/>
    <mergeCell ref="A1:G1"/>
    <mergeCell ref="I1:R1"/>
    <mergeCell ref="T1:AC1"/>
    <mergeCell ref="X2:X3"/>
    <mergeCell ref="Y2:Z2"/>
    <mergeCell ref="AA2:AA3"/>
    <mergeCell ref="AB2:AB3"/>
    <mergeCell ref="AC2:AC3"/>
    <mergeCell ref="R2:R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E4 AE5 AE6 AE7 AE8 AE9 AE10 AE11 AE12 AE13 AE14 AE15 AE16 AE17 AE18 AE19 AE20 AE21 AE22">
    <cfRule type="cellIs" dxfId="25" priority="5" operator="greaterThanOrEqual">
      <formula>0.03</formula>
    </cfRule>
    <cfRule type="cellIs" dxfId="24" priority="6" operator="lessThanOrEqual">
      <formula>-0.03</formula>
    </cfRule>
  </conditionalFormatting>
  <conditionalFormatting sqref="AF4 AF5 AF6 AF7 AF8 AF9 AF10 AF11 AF12 AF13 AF14 AF15 AF16 AF17 AF18 AF19 AF20 AF21 AF22">
    <cfRule type="cellIs" dxfId="23" priority="1" operator="greaterThanOrEqual">
      <formula>0.03</formula>
    </cfRule>
    <cfRule type="cellIs" dxfId="22" priority="2" operator="lessThanOrEqual">
      <formula>-0.03</formula>
    </cfRule>
  </conditionalFormatting>
  <conditionalFormatting sqref="AG4 AG5 AG6 AG7 AG8 AG9 AG10 AG11 AG12 AG13 AG14 AG15 AG16 AG17 AG18 AG19 AG20 AG21 AG22">
    <cfRule type="cellIs" dxfId="21" priority="3" operator="greaterThanOrEqual">
      <formula>0.03</formula>
    </cfRule>
    <cfRule type="cellIs" dxfId="20" priority="4" operator="lessThanOrEqual">
      <formula>-0.03</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V11"/>
  <sheetViews>
    <sheetView workbookViewId="0">
      <pane xSplit="2" topLeftCell="C1" activePane="topRight" state="frozen"/>
      <selection pane="topRight"/>
    </sheetView>
  </sheetViews>
  <sheetFormatPr defaultRowHeight="15" outlineLevelRow="2" x14ac:dyDescent="0.25"/>
  <cols>
    <col min="2" max="2" width="24.7109375" customWidth="1"/>
    <col min="3" max="4" width="10.7109375" customWidth="1"/>
    <col min="5" max="5" width="1.7109375" customWidth="1"/>
    <col min="7" max="7" width="10.7109375" customWidth="1"/>
    <col min="8" max="8" width="12.7109375" customWidth="1"/>
    <col min="9" max="9" width="10.7109375" customWidth="1"/>
    <col min="10" max="10" width="12.7109375" customWidth="1"/>
    <col min="13" max="13" width="1.7109375" customWidth="1"/>
    <col min="15" max="15" width="10.7109375" customWidth="1"/>
    <col min="16" max="16" width="12.7109375" customWidth="1"/>
    <col min="17" max="17" width="10.7109375" customWidth="1"/>
    <col min="18" max="18" width="12.7109375" customWidth="1"/>
    <col min="21" max="21" width="1.7109375" customWidth="1"/>
    <col min="23" max="23" width="1.7109375" customWidth="1"/>
  </cols>
  <sheetData>
    <row r="1" spans="1:22" x14ac:dyDescent="0.25">
      <c r="A1" s="76" t="s">
        <v>1310</v>
      </c>
      <c r="B1" s="76"/>
      <c r="C1" s="76"/>
      <c r="D1" s="76"/>
      <c r="F1" s="65" t="s">
        <v>2</v>
      </c>
      <c r="G1" s="65"/>
      <c r="H1" s="65"/>
      <c r="I1" s="65"/>
      <c r="J1" s="65"/>
      <c r="K1" s="65"/>
      <c r="L1" s="65"/>
      <c r="N1" s="66" t="s">
        <v>3</v>
      </c>
      <c r="O1" s="66"/>
      <c r="P1" s="66"/>
      <c r="Q1" s="66"/>
      <c r="R1" s="66"/>
      <c r="S1" s="66"/>
      <c r="T1" s="66"/>
    </row>
    <row r="2" spans="1:22" ht="30" customHeight="1" x14ac:dyDescent="0.25">
      <c r="A2" s="75" t="s">
        <v>97</v>
      </c>
      <c r="B2" s="73" t="s">
        <v>99</v>
      </c>
      <c r="C2" s="75" t="s">
        <v>101</v>
      </c>
      <c r="D2" s="73" t="s">
        <v>103</v>
      </c>
      <c r="F2" s="75" t="s">
        <v>105</v>
      </c>
      <c r="G2" s="73" t="s">
        <v>520</v>
      </c>
      <c r="H2" s="75" t="s">
        <v>112</v>
      </c>
      <c r="I2" s="73" t="s">
        <v>26</v>
      </c>
      <c r="J2" s="75" t="s">
        <v>524</v>
      </c>
      <c r="K2" s="73" t="s">
        <v>118</v>
      </c>
      <c r="L2" s="75" t="s">
        <v>120</v>
      </c>
      <c r="N2" s="73" t="s">
        <v>105</v>
      </c>
      <c r="O2" s="75" t="s">
        <v>520</v>
      </c>
      <c r="P2" s="73" t="s">
        <v>112</v>
      </c>
      <c r="Q2" s="75" t="s">
        <v>26</v>
      </c>
      <c r="R2" s="73" t="s">
        <v>524</v>
      </c>
      <c r="S2" s="75" t="s">
        <v>118</v>
      </c>
      <c r="T2" s="73" t="s">
        <v>120</v>
      </c>
      <c r="V2" s="75" t="s">
        <v>131</v>
      </c>
    </row>
    <row r="3" spans="1:22" x14ac:dyDescent="0.25">
      <c r="A3" s="75"/>
      <c r="B3" s="73"/>
      <c r="C3" s="75"/>
      <c r="D3" s="73"/>
      <c r="F3" s="75"/>
      <c r="G3" s="73"/>
      <c r="H3" s="75"/>
      <c r="I3" s="73"/>
      <c r="J3" s="75"/>
      <c r="K3" s="73"/>
      <c r="L3" s="75"/>
      <c r="N3" s="73"/>
      <c r="O3" s="75"/>
      <c r="P3" s="73"/>
      <c r="Q3" s="75"/>
      <c r="R3" s="73"/>
      <c r="S3" s="75"/>
      <c r="T3" s="73"/>
      <c r="V3" s="75"/>
    </row>
    <row r="4" spans="1:22" collapsed="1" x14ac:dyDescent="0.25">
      <c r="A4" s="18" t="s">
        <v>990</v>
      </c>
      <c r="B4" s="18" t="s">
        <v>981</v>
      </c>
      <c r="C4" s="18">
        <v>19948121</v>
      </c>
      <c r="D4" s="19">
        <v>21</v>
      </c>
      <c r="F4" s="20" t="str">
        <f>IF(ISBLANK(J4),"·",J4/(C4*D4*3))</f>
        <v>·</v>
      </c>
      <c r="G4" s="21" t="str">
        <f>IF(ISBLANK(J4),"·",J4/C4)</f>
        <v>·</v>
      </c>
      <c r="H4" s="21" t="str">
        <f>IF(ISBLANK(J4),"·",J4/I4)</f>
        <v>·</v>
      </c>
      <c r="I4" s="22"/>
      <c r="J4" s="23"/>
      <c r="K4" s="24"/>
      <c r="L4" s="24"/>
      <c r="N4" s="20" t="str">
        <f>IF(ISBLANK(R4),"·",R4/(C4*D4*3))</f>
        <v>·</v>
      </c>
      <c r="O4" s="21" t="str">
        <f>IF(ISBLANK(R4),"·",R4/C4)</f>
        <v>·</v>
      </c>
      <c r="P4" s="21" t="str">
        <f>IF(ISBLANK(R4),"·",R4/Q4)</f>
        <v>·</v>
      </c>
      <c r="Q4" s="22"/>
      <c r="R4" s="23"/>
      <c r="S4" s="24"/>
      <c r="T4" s="24"/>
      <c r="V4" s="20" t="e">
        <f>O4/G4</f>
        <v>#VALUE!</v>
      </c>
    </row>
    <row r="5" spans="1:22" collapsed="1" x14ac:dyDescent="0.25">
      <c r="A5" s="25"/>
      <c r="B5" s="25" t="s">
        <v>984</v>
      </c>
      <c r="C5" s="25">
        <v>5255920</v>
      </c>
      <c r="D5" s="26">
        <v>20</v>
      </c>
      <c r="F5" s="27" t="str">
        <f>IF(ISBLANK(J5),"·",J5/(C5*D5*3))</f>
        <v>·</v>
      </c>
      <c r="G5" s="28" t="str">
        <f>IF(ISBLANK(J5),"·",J5/C5)</f>
        <v>·</v>
      </c>
      <c r="H5" s="28" t="str">
        <f>IF(ISBLANK(J5),"·",J5/I5)</f>
        <v>·</v>
      </c>
      <c r="I5" s="29"/>
      <c r="J5" s="30"/>
      <c r="K5" s="31"/>
      <c r="L5" s="31"/>
      <c r="N5" s="27" t="str">
        <f>IF(ISBLANK(R5),"·",R5/(C5*D5*3))</f>
        <v>·</v>
      </c>
      <c r="O5" s="28" t="str">
        <f>IF(ISBLANK(R5),"·",R5/C5)</f>
        <v>·</v>
      </c>
      <c r="P5" s="28" t="str">
        <f>IF(ISBLANK(R5),"·",R5/Q5)</f>
        <v>·</v>
      </c>
      <c r="Q5" s="29"/>
      <c r="R5" s="30"/>
      <c r="S5" s="31"/>
      <c r="T5" s="31"/>
      <c r="V5" s="27" t="e">
        <f>O5/G5</f>
        <v>#VALUE!</v>
      </c>
    </row>
    <row r="6" spans="1:22" collapsed="1" x14ac:dyDescent="0.25">
      <c r="A6" s="39"/>
      <c r="B6" s="39" t="s">
        <v>987</v>
      </c>
      <c r="C6" s="39">
        <v>7148516</v>
      </c>
      <c r="D6" s="40">
        <v>21</v>
      </c>
      <c r="F6" s="41" t="str">
        <f>IF(ISBLANK(J6),"·",J6/(C6*D6*3))</f>
        <v>·</v>
      </c>
      <c r="G6" s="42" t="str">
        <f>IF(ISBLANK(J6),"·",J6/C6)</f>
        <v>·</v>
      </c>
      <c r="H6" s="42" t="str">
        <f>IF(ISBLANK(J6),"·",J6/I6)</f>
        <v>·</v>
      </c>
      <c r="I6" s="43"/>
      <c r="J6" s="44"/>
      <c r="K6" s="45"/>
      <c r="L6" s="45"/>
      <c r="N6" s="41" t="str">
        <f>IF(ISBLANK(R6),"·",R6/(C6*D6*3))</f>
        <v>·</v>
      </c>
      <c r="O6" s="42" t="str">
        <f>IF(ISBLANK(R6),"·",R6/C6)</f>
        <v>·</v>
      </c>
      <c r="P6" s="42" t="str">
        <f>IF(ISBLANK(R6),"·",R6/Q6)</f>
        <v>·</v>
      </c>
      <c r="Q6" s="43"/>
      <c r="R6" s="44"/>
      <c r="S6" s="45"/>
      <c r="T6" s="45"/>
      <c r="V6" s="41" t="e">
        <f>O6/G6</f>
        <v>#VALUE!</v>
      </c>
    </row>
    <row r="7" spans="1:22" x14ac:dyDescent="0.25">
      <c r="B7" s="46" t="s">
        <v>258</v>
      </c>
      <c r="G7" s="47" t="e">
        <f>AVERAGE(G4:G6)</f>
        <v>#DIV/0!</v>
      </c>
      <c r="O7" s="47" t="e">
        <f>AVERAGE(O4:O6)</f>
        <v>#DIV/0!</v>
      </c>
      <c r="V7" s="6" t="e">
        <f>O7/G7</f>
        <v>#DIV/0!</v>
      </c>
    </row>
    <row r="8" spans="1:22" hidden="1" outlineLevel="2" x14ac:dyDescent="0.25">
      <c r="A8" s="46" t="s">
        <v>259</v>
      </c>
      <c r="B8" s="46" t="s">
        <v>260</v>
      </c>
      <c r="K8" s="48">
        <f>SUM(K4:K6)</f>
        <v>0</v>
      </c>
      <c r="L8" s="48">
        <f>SUM(L4:L6)</f>
        <v>0</v>
      </c>
      <c r="S8" s="48">
        <f>SUM(S4:S6)</f>
        <v>0</v>
      </c>
      <c r="T8" s="48">
        <f>SUM(T4:T6)</f>
        <v>0</v>
      </c>
    </row>
    <row r="9" spans="1:22" hidden="1" outlineLevel="2" x14ac:dyDescent="0.25">
      <c r="B9" s="46" t="s">
        <v>261</v>
      </c>
      <c r="S9" s="6" t="e">
        <f>S8/K8</f>
        <v>#DIV/0!</v>
      </c>
      <c r="T9" s="6" t="e">
        <f>T8/L8</f>
        <v>#DIV/0!</v>
      </c>
    </row>
    <row r="10" spans="1:22" hidden="1" outlineLevel="2" x14ac:dyDescent="0.25">
      <c r="B10" s="46" t="s">
        <v>262</v>
      </c>
      <c r="K10" s="48" t="e">
        <f>GEOMEAN(K4:K6)</f>
        <v>#NUM!</v>
      </c>
      <c r="L10" s="48" t="e">
        <f>GEOMEAN(L4:L6)</f>
        <v>#NUM!</v>
      </c>
      <c r="S10" s="48" t="e">
        <f>GEOMEAN(S4:S6)</f>
        <v>#NUM!</v>
      </c>
      <c r="T10" s="48" t="e">
        <f>GEOMEAN(T4:T6)</f>
        <v>#NUM!</v>
      </c>
    </row>
    <row r="11" spans="1:22" outlineLevel="2" collapsed="1" x14ac:dyDescent="0.25">
      <c r="B11" s="46" t="s">
        <v>263</v>
      </c>
      <c r="S11" s="6" t="e">
        <f>S10/K10</f>
        <v>#NUM!</v>
      </c>
      <c r="T11" s="6" t="e">
        <f>T10/L10</f>
        <v>#NUM!</v>
      </c>
    </row>
  </sheetData>
  <mergeCells count="22">
    <mergeCell ref="R2:R3"/>
    <mergeCell ref="S2:S3"/>
    <mergeCell ref="T2:T3"/>
    <mergeCell ref="V2:V3"/>
    <mergeCell ref="A1:D1"/>
    <mergeCell ref="F1:L1"/>
    <mergeCell ref="N1:T1"/>
    <mergeCell ref="L2:L3"/>
    <mergeCell ref="N2:N3"/>
    <mergeCell ref="O2:O3"/>
    <mergeCell ref="P2:P3"/>
    <mergeCell ref="Q2:Q3"/>
    <mergeCell ref="G2:G3"/>
    <mergeCell ref="H2:H3"/>
    <mergeCell ref="I2:I3"/>
    <mergeCell ref="J2:J3"/>
    <mergeCell ref="K2:K3"/>
    <mergeCell ref="A2:A3"/>
    <mergeCell ref="B2:B3"/>
    <mergeCell ref="C2:C3"/>
    <mergeCell ref="D2:D3"/>
    <mergeCell ref="F2:F3"/>
  </mergeCells>
  <conditionalFormatting sqref="V7">
    <cfRule type="cellIs" dxfId="19" priority="1" operator="greaterThanOrEqual">
      <formula>1.03</formula>
    </cfRule>
    <cfRule type="cellIs" dxfId="18" priority="2" operator="lessThanOrEqual">
      <formula>0.97</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Z16"/>
  <sheetViews>
    <sheetView workbookViewId="0">
      <pane xSplit="2" topLeftCell="C1" activePane="topRight" state="frozen"/>
      <selection pane="topRight"/>
    </sheetView>
  </sheetViews>
  <sheetFormatPr defaultRowHeight="15" outlineLevelRow="2" x14ac:dyDescent="0.25"/>
  <cols>
    <col min="2" max="2" width="24.7109375" customWidth="1"/>
    <col min="3" max="4" width="10.7109375" customWidth="1"/>
    <col min="7" max="7" width="1.7109375" customWidth="1"/>
    <col min="10" max="10" width="10.7109375" customWidth="1"/>
    <col min="11" max="11" width="12.7109375" customWidth="1"/>
    <col min="12" max="12" width="10.7109375" customWidth="1"/>
    <col min="13" max="13" width="12.7109375" customWidth="1"/>
    <col min="16" max="16" width="1.7109375" customWidth="1"/>
    <col min="19" max="19" width="10.7109375" customWidth="1"/>
    <col min="20" max="20" width="12.7109375" customWidth="1"/>
    <col min="21" max="21" width="10.7109375" customWidth="1"/>
    <col min="22" max="22" width="12.7109375" customWidth="1"/>
    <col min="25" max="25" width="1.7109375" customWidth="1"/>
    <col min="27" max="27" width="1.7109375" customWidth="1"/>
  </cols>
  <sheetData>
    <row r="1" spans="1:26" x14ac:dyDescent="0.25">
      <c r="A1" s="76" t="s">
        <v>1349</v>
      </c>
      <c r="B1" s="76"/>
      <c r="C1" s="76"/>
      <c r="D1" s="76"/>
      <c r="E1" s="76"/>
      <c r="F1" s="76"/>
      <c r="H1" s="65" t="s">
        <v>2</v>
      </c>
      <c r="I1" s="65"/>
      <c r="J1" s="65"/>
      <c r="K1" s="65"/>
      <c r="L1" s="65"/>
      <c r="M1" s="65"/>
      <c r="N1" s="65"/>
      <c r="O1" s="65"/>
      <c r="Q1" s="66" t="s">
        <v>3</v>
      </c>
      <c r="R1" s="66"/>
      <c r="S1" s="66"/>
      <c r="T1" s="66"/>
      <c r="U1" s="66"/>
      <c r="V1" s="66"/>
      <c r="W1" s="66"/>
      <c r="X1" s="66"/>
    </row>
    <row r="2" spans="1:26" ht="30" customHeight="1" x14ac:dyDescent="0.25">
      <c r="A2" s="75" t="s">
        <v>97</v>
      </c>
      <c r="B2" s="73" t="s">
        <v>99</v>
      </c>
      <c r="C2" s="75" t="s">
        <v>101</v>
      </c>
      <c r="D2" s="73" t="s">
        <v>103</v>
      </c>
      <c r="E2" s="75" t="s">
        <v>513</v>
      </c>
      <c r="F2" s="73" t="s">
        <v>515</v>
      </c>
      <c r="H2" s="75" t="s">
        <v>105</v>
      </c>
      <c r="I2" s="73" t="s">
        <v>518</v>
      </c>
      <c r="J2" s="75" t="s">
        <v>520</v>
      </c>
      <c r="K2" s="73" t="s">
        <v>112</v>
      </c>
      <c r="L2" s="75" t="s">
        <v>26</v>
      </c>
      <c r="M2" s="73" t="s">
        <v>524</v>
      </c>
      <c r="N2" s="75" t="s">
        <v>118</v>
      </c>
      <c r="O2" s="73" t="s">
        <v>120</v>
      </c>
      <c r="Q2" s="75" t="s">
        <v>105</v>
      </c>
      <c r="R2" s="73" t="s">
        <v>518</v>
      </c>
      <c r="S2" s="75" t="s">
        <v>520</v>
      </c>
      <c r="T2" s="73" t="s">
        <v>112</v>
      </c>
      <c r="U2" s="75" t="s">
        <v>26</v>
      </c>
      <c r="V2" s="73" t="s">
        <v>524</v>
      </c>
      <c r="W2" s="75" t="s">
        <v>118</v>
      </c>
      <c r="X2" s="73" t="s">
        <v>120</v>
      </c>
      <c r="Z2" s="75" t="s">
        <v>131</v>
      </c>
    </row>
    <row r="3" spans="1:26" x14ac:dyDescent="0.25">
      <c r="A3" s="75"/>
      <c r="B3" s="73"/>
      <c r="C3" s="75"/>
      <c r="D3" s="73"/>
      <c r="E3" s="75"/>
      <c r="F3" s="73"/>
      <c r="H3" s="75"/>
      <c r="I3" s="73"/>
      <c r="J3" s="75"/>
      <c r="K3" s="73"/>
      <c r="L3" s="75"/>
      <c r="M3" s="73"/>
      <c r="N3" s="75"/>
      <c r="O3" s="73"/>
      <c r="Q3" s="75"/>
      <c r="R3" s="73"/>
      <c r="S3" s="75"/>
      <c r="T3" s="73"/>
      <c r="U3" s="75"/>
      <c r="V3" s="73"/>
      <c r="W3" s="75"/>
      <c r="X3" s="73"/>
      <c r="Z3" s="75"/>
    </row>
    <row r="4" spans="1:26" collapsed="1" x14ac:dyDescent="0.25">
      <c r="A4" s="18" t="s">
        <v>990</v>
      </c>
      <c r="B4" s="18" t="s">
        <v>981</v>
      </c>
      <c r="C4" s="18">
        <v>19948121</v>
      </c>
      <c r="D4" s="19">
        <v>21</v>
      </c>
      <c r="E4" s="19">
        <v>1</v>
      </c>
      <c r="F4" s="19"/>
      <c r="H4" s="20" t="str">
        <f t="shared" ref="H4:H9" si="0">IF(ISBLANK(M4),"·",M4/(C4*D4*3))</f>
        <v>·</v>
      </c>
      <c r="I4" s="55" t="str">
        <f t="shared" ref="I4:I9" si="1">IF(OR(ISBLANK(M4),ISBLANK(F4)),"·",M4*F4/E4/1000000)</f>
        <v>·</v>
      </c>
      <c r="J4" s="21" t="str">
        <f t="shared" ref="J4:J9" si="2">IF(ISBLANK(M4),"·",M4/C4)</f>
        <v>·</v>
      </c>
      <c r="K4" s="21" t="str">
        <f t="shared" ref="K4:K9" si="3">IF(ISBLANK(M4),"·",M4/L4)</f>
        <v>·</v>
      </c>
      <c r="L4" s="22"/>
      <c r="M4" s="23"/>
      <c r="N4" s="24"/>
      <c r="O4" s="24"/>
      <c r="Q4" s="20" t="str">
        <f t="shared" ref="Q4:Q9" si="4">IF(ISBLANK(V4),"·",V4/(C4*D4*3))</f>
        <v>·</v>
      </c>
      <c r="R4" s="55" t="str">
        <f t="shared" ref="R4:R9" si="5">IF(OR(ISBLANK(V4),ISBLANK(F4)),"·",V4*F4/E4/1000000)</f>
        <v>·</v>
      </c>
      <c r="S4" s="21" t="str">
        <f t="shared" ref="S4:S9" si="6">IF(ISBLANK(V4),"·",V4/C4)</f>
        <v>·</v>
      </c>
      <c r="T4" s="21" t="str">
        <f t="shared" ref="T4:T9" si="7">IF(ISBLANK(V4),"·",V4/U4)</f>
        <v>·</v>
      </c>
      <c r="U4" s="22"/>
      <c r="V4" s="23"/>
      <c r="W4" s="24"/>
      <c r="X4" s="24"/>
      <c r="Z4" s="20" t="e">
        <f t="shared" ref="Z4:Z12" si="8">S4/J4</f>
        <v>#VALUE!</v>
      </c>
    </row>
    <row r="5" spans="1:26" collapsed="1" x14ac:dyDescent="0.25">
      <c r="A5" s="25"/>
      <c r="B5" s="25" t="s">
        <v>984</v>
      </c>
      <c r="C5" s="25">
        <v>5255920</v>
      </c>
      <c r="D5" s="26">
        <v>20</v>
      </c>
      <c r="E5" s="26">
        <v>1</v>
      </c>
      <c r="F5" s="26"/>
      <c r="H5" s="27" t="str">
        <f t="shared" si="0"/>
        <v>·</v>
      </c>
      <c r="I5" s="56" t="str">
        <f t="shared" si="1"/>
        <v>·</v>
      </c>
      <c r="J5" s="28" t="str">
        <f t="shared" si="2"/>
        <v>·</v>
      </c>
      <c r="K5" s="28" t="str">
        <f t="shared" si="3"/>
        <v>·</v>
      </c>
      <c r="L5" s="29"/>
      <c r="M5" s="30"/>
      <c r="N5" s="31"/>
      <c r="O5" s="31"/>
      <c r="Q5" s="27" t="str">
        <f t="shared" si="4"/>
        <v>·</v>
      </c>
      <c r="R5" s="56" t="str">
        <f t="shared" si="5"/>
        <v>·</v>
      </c>
      <c r="S5" s="28" t="str">
        <f t="shared" si="6"/>
        <v>·</v>
      </c>
      <c r="T5" s="28" t="str">
        <f t="shared" si="7"/>
        <v>·</v>
      </c>
      <c r="U5" s="29"/>
      <c r="V5" s="30"/>
      <c r="W5" s="31"/>
      <c r="X5" s="31"/>
      <c r="Z5" s="27" t="e">
        <f t="shared" si="8"/>
        <v>#VALUE!</v>
      </c>
    </row>
    <row r="6" spans="1:26" collapsed="1" x14ac:dyDescent="0.25">
      <c r="A6" s="39"/>
      <c r="B6" s="39" t="s">
        <v>987</v>
      </c>
      <c r="C6" s="39">
        <v>7148516</v>
      </c>
      <c r="D6" s="40">
        <v>21</v>
      </c>
      <c r="E6" s="40">
        <v>1</v>
      </c>
      <c r="F6" s="40"/>
      <c r="H6" s="41" t="str">
        <f t="shared" si="0"/>
        <v>·</v>
      </c>
      <c r="I6" s="58" t="str">
        <f t="shared" si="1"/>
        <v>·</v>
      </c>
      <c r="J6" s="42" t="str">
        <f t="shared" si="2"/>
        <v>·</v>
      </c>
      <c r="K6" s="42" t="str">
        <f t="shared" si="3"/>
        <v>·</v>
      </c>
      <c r="L6" s="43"/>
      <c r="M6" s="44"/>
      <c r="N6" s="45"/>
      <c r="O6" s="45"/>
      <c r="Q6" s="41" t="str">
        <f t="shared" si="4"/>
        <v>·</v>
      </c>
      <c r="R6" s="58" t="str">
        <f t="shared" si="5"/>
        <v>·</v>
      </c>
      <c r="S6" s="42" t="str">
        <f t="shared" si="6"/>
        <v>·</v>
      </c>
      <c r="T6" s="42" t="str">
        <f t="shared" si="7"/>
        <v>·</v>
      </c>
      <c r="U6" s="43"/>
      <c r="V6" s="44"/>
      <c r="W6" s="45"/>
      <c r="X6" s="45"/>
      <c r="Z6" s="41" t="e">
        <f t="shared" si="8"/>
        <v>#VALUE!</v>
      </c>
    </row>
    <row r="7" spans="1:26" collapsed="1" x14ac:dyDescent="0.25">
      <c r="A7" s="25" t="s">
        <v>1000</v>
      </c>
      <c r="B7" s="25" t="s">
        <v>991</v>
      </c>
      <c r="C7" s="25">
        <v>123940658</v>
      </c>
      <c r="D7" s="26">
        <v>18</v>
      </c>
      <c r="E7" s="26">
        <v>1500</v>
      </c>
      <c r="F7" s="26">
        <v>10</v>
      </c>
      <c r="H7" s="27" t="str">
        <f t="shared" si="0"/>
        <v>·</v>
      </c>
      <c r="I7" s="56" t="str">
        <f t="shared" si="1"/>
        <v>·</v>
      </c>
      <c r="J7" s="28" t="str">
        <f t="shared" si="2"/>
        <v>·</v>
      </c>
      <c r="K7" s="28" t="str">
        <f t="shared" si="3"/>
        <v>·</v>
      </c>
      <c r="L7" s="29"/>
      <c r="M7" s="30"/>
      <c r="N7" s="31"/>
      <c r="O7" s="31"/>
      <c r="Q7" s="27" t="str">
        <f t="shared" si="4"/>
        <v>·</v>
      </c>
      <c r="R7" s="56" t="str">
        <f t="shared" si="5"/>
        <v>·</v>
      </c>
      <c r="S7" s="28" t="str">
        <f t="shared" si="6"/>
        <v>·</v>
      </c>
      <c r="T7" s="28" t="str">
        <f t="shared" si="7"/>
        <v>·</v>
      </c>
      <c r="U7" s="29"/>
      <c r="V7" s="30"/>
      <c r="W7" s="31"/>
      <c r="X7" s="31"/>
      <c r="Z7" s="27" t="e">
        <f t="shared" si="8"/>
        <v>#VALUE!</v>
      </c>
    </row>
    <row r="8" spans="1:26" collapsed="1" x14ac:dyDescent="0.25">
      <c r="A8" s="18"/>
      <c r="B8" s="18" t="s">
        <v>994</v>
      </c>
      <c r="C8" s="18">
        <v>125751705</v>
      </c>
      <c r="D8" s="19">
        <v>18</v>
      </c>
      <c r="E8" s="19">
        <v>1500</v>
      </c>
      <c r="F8" s="19">
        <v>10</v>
      </c>
      <c r="H8" s="20" t="str">
        <f t="shared" si="0"/>
        <v>·</v>
      </c>
      <c r="I8" s="55" t="str">
        <f t="shared" si="1"/>
        <v>·</v>
      </c>
      <c r="J8" s="21" t="str">
        <f t="shared" si="2"/>
        <v>·</v>
      </c>
      <c r="K8" s="21" t="str">
        <f t="shared" si="3"/>
        <v>·</v>
      </c>
      <c r="L8" s="22"/>
      <c r="M8" s="23"/>
      <c r="N8" s="24"/>
      <c r="O8" s="24"/>
      <c r="Q8" s="20" t="str">
        <f t="shared" si="4"/>
        <v>·</v>
      </c>
      <c r="R8" s="55" t="str">
        <f t="shared" si="5"/>
        <v>·</v>
      </c>
      <c r="S8" s="21" t="str">
        <f t="shared" si="6"/>
        <v>·</v>
      </c>
      <c r="T8" s="21" t="str">
        <f t="shared" si="7"/>
        <v>·</v>
      </c>
      <c r="U8" s="22"/>
      <c r="V8" s="23"/>
      <c r="W8" s="24"/>
      <c r="X8" s="24"/>
      <c r="Z8" s="20" t="e">
        <f t="shared" si="8"/>
        <v>#VALUE!</v>
      </c>
    </row>
    <row r="9" spans="1:26" collapsed="1" x14ac:dyDescent="0.25">
      <c r="A9" s="32"/>
      <c r="B9" s="32" t="s">
        <v>997</v>
      </c>
      <c r="C9" s="32">
        <v>126093865</v>
      </c>
      <c r="D9" s="33">
        <v>18</v>
      </c>
      <c r="E9" s="33">
        <v>1500</v>
      </c>
      <c r="F9" s="33">
        <v>10</v>
      </c>
      <c r="H9" s="34" t="str">
        <f t="shared" si="0"/>
        <v>·</v>
      </c>
      <c r="I9" s="57" t="str">
        <f t="shared" si="1"/>
        <v>·</v>
      </c>
      <c r="J9" s="35" t="str">
        <f t="shared" si="2"/>
        <v>·</v>
      </c>
      <c r="K9" s="35" t="str">
        <f t="shared" si="3"/>
        <v>·</v>
      </c>
      <c r="L9" s="36"/>
      <c r="M9" s="37"/>
      <c r="N9" s="38"/>
      <c r="O9" s="38"/>
      <c r="Q9" s="34" t="str">
        <f t="shared" si="4"/>
        <v>·</v>
      </c>
      <c r="R9" s="57" t="str">
        <f t="shared" si="5"/>
        <v>·</v>
      </c>
      <c r="S9" s="35" t="str">
        <f t="shared" si="6"/>
        <v>·</v>
      </c>
      <c r="T9" s="35" t="str">
        <f t="shared" si="7"/>
        <v>·</v>
      </c>
      <c r="U9" s="36"/>
      <c r="V9" s="37"/>
      <c r="W9" s="38"/>
      <c r="X9" s="38"/>
      <c r="Z9" s="34" t="e">
        <f t="shared" si="8"/>
        <v>#VALUE!</v>
      </c>
    </row>
    <row r="10" spans="1:26" x14ac:dyDescent="0.25">
      <c r="B10" s="46" t="s">
        <v>1001</v>
      </c>
      <c r="J10" s="47" t="e">
        <f>AVERAGE(J4:J6)</f>
        <v>#DIV/0!</v>
      </c>
      <c r="S10" s="47" t="e">
        <f>AVERAGE(S4:S6)</f>
        <v>#DIV/0!</v>
      </c>
      <c r="Z10" s="6" t="e">
        <f t="shared" si="8"/>
        <v>#DIV/0!</v>
      </c>
    </row>
    <row r="11" spans="1:26" x14ac:dyDescent="0.25">
      <c r="B11" s="46" t="s">
        <v>1002</v>
      </c>
      <c r="J11" s="47" t="e">
        <f>AVERAGE(J7:J9)</f>
        <v>#DIV/0!</v>
      </c>
      <c r="S11" s="47" t="e">
        <f>AVERAGE(S7:S9)</f>
        <v>#DIV/0!</v>
      </c>
      <c r="Z11" s="6" t="e">
        <f t="shared" si="8"/>
        <v>#DIV/0!</v>
      </c>
    </row>
    <row r="12" spans="1:26" x14ac:dyDescent="0.25">
      <c r="B12" s="46" t="s">
        <v>258</v>
      </c>
      <c r="J12" s="47" t="e">
        <f>AVERAGE(J4:J6,J7:J9)</f>
        <v>#DIV/0!</v>
      </c>
      <c r="S12" s="47" t="e">
        <f>AVERAGE(S4:S6,S7:S9)</f>
        <v>#DIV/0!</v>
      </c>
      <c r="Z12" s="6" t="e">
        <f t="shared" si="8"/>
        <v>#DIV/0!</v>
      </c>
    </row>
    <row r="13" spans="1:26" hidden="1" outlineLevel="2" x14ac:dyDescent="0.25">
      <c r="A13" s="46" t="s">
        <v>259</v>
      </c>
      <c r="B13" s="46" t="s">
        <v>260</v>
      </c>
      <c r="N13" s="48">
        <f>SUM(N4:N6,N7:N9)</f>
        <v>0</v>
      </c>
      <c r="O13" s="48">
        <f>SUM(O4:O6,O7:O9)</f>
        <v>0</v>
      </c>
      <c r="W13" s="48">
        <f>SUM(W4:W6,W7:W9)</f>
        <v>0</v>
      </c>
      <c r="X13" s="48">
        <f>SUM(X4:X6,X7:X9)</f>
        <v>0</v>
      </c>
    </row>
    <row r="14" spans="1:26" hidden="1" outlineLevel="2" x14ac:dyDescent="0.25">
      <c r="B14" s="46" t="s">
        <v>261</v>
      </c>
      <c r="W14" s="6" t="e">
        <f>W13/N13</f>
        <v>#DIV/0!</v>
      </c>
      <c r="X14" s="6" t="e">
        <f>X13/O13</f>
        <v>#DIV/0!</v>
      </c>
    </row>
    <row r="15" spans="1:26" hidden="1" outlineLevel="2" x14ac:dyDescent="0.25">
      <c r="B15" s="46" t="s">
        <v>262</v>
      </c>
      <c r="N15" s="48" t="e">
        <f>GEOMEAN(N4:N6,N7:N9)</f>
        <v>#NUM!</v>
      </c>
      <c r="O15" s="48" t="e">
        <f>GEOMEAN(O4:O6,O7:O9)</f>
        <v>#NUM!</v>
      </c>
      <c r="W15" s="48" t="e">
        <f>GEOMEAN(W4:W6,W7:W9)</f>
        <v>#NUM!</v>
      </c>
      <c r="X15" s="48" t="e">
        <f>GEOMEAN(X4:X6,X7:X9)</f>
        <v>#NUM!</v>
      </c>
    </row>
    <row r="16" spans="1:26" outlineLevel="2" collapsed="1" x14ac:dyDescent="0.25">
      <c r="B16" s="46" t="s">
        <v>263</v>
      </c>
      <c r="W16" s="6" t="e">
        <f>W15/N15</f>
        <v>#NUM!</v>
      </c>
      <c r="X16" s="6" t="e">
        <f>X15/O15</f>
        <v>#NUM!</v>
      </c>
    </row>
  </sheetData>
  <mergeCells count="26">
    <mergeCell ref="W2:W3"/>
    <mergeCell ref="X2:X3"/>
    <mergeCell ref="Z2:Z3"/>
    <mergeCell ref="A1:F1"/>
    <mergeCell ref="H1:O1"/>
    <mergeCell ref="Q1:X1"/>
    <mergeCell ref="R2:R3"/>
    <mergeCell ref="S2:S3"/>
    <mergeCell ref="T2:T3"/>
    <mergeCell ref="U2:U3"/>
    <mergeCell ref="V2:V3"/>
    <mergeCell ref="L2:L3"/>
    <mergeCell ref="M2:M3"/>
    <mergeCell ref="N2:N3"/>
    <mergeCell ref="O2:O3"/>
    <mergeCell ref="Q2:Q3"/>
    <mergeCell ref="F2:F3"/>
    <mergeCell ref="H2:H3"/>
    <mergeCell ref="I2:I3"/>
    <mergeCell ref="J2:J3"/>
    <mergeCell ref="K2:K3"/>
    <mergeCell ref="A2:A3"/>
    <mergeCell ref="B2:B3"/>
    <mergeCell ref="C2:C3"/>
    <mergeCell ref="D2:D3"/>
    <mergeCell ref="E2:E3"/>
  </mergeCells>
  <conditionalFormatting sqref="Z10 Z11 Z12">
    <cfRule type="cellIs" dxfId="17" priority="1" operator="greaterThanOrEqual">
      <formula>1.03</formula>
    </cfRule>
    <cfRule type="cellIs" dxfId="16" priority="2" operator="lessThanOrEqual">
      <formula>0.97</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M23"/>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6" max="6" width="1.7109375" customWidth="1"/>
    <col min="7" max="7" width="10.7109375" customWidth="1"/>
    <col min="8" max="8" width="12.7109375" customWidth="1"/>
    <col min="9" max="9" width="10.7109375" customWidth="1"/>
    <col min="10" max="10" width="12.7109375" customWidth="1"/>
    <col min="11" max="16" width="11.7109375" customWidth="1"/>
    <col min="19" max="19" width="1.7109375" customWidth="1"/>
    <col min="20" max="20" width="10.7109375" customWidth="1"/>
    <col min="21" max="21" width="12.7109375" customWidth="1"/>
    <col min="22" max="22" width="10.7109375" customWidth="1"/>
    <col min="23" max="23" width="12.7109375" customWidth="1"/>
    <col min="24" max="29" width="11.7109375" customWidth="1"/>
    <col min="32" max="32" width="1.7109375" customWidth="1"/>
    <col min="33" max="35" width="11.7109375" customWidth="1"/>
    <col min="36" max="36" width="1.7109375" customWidth="1"/>
    <col min="37" max="39" width="11.7109375" customWidth="1"/>
    <col min="40" max="40" width="1.7109375" customWidth="1"/>
  </cols>
  <sheetData>
    <row r="1" spans="1:39" x14ac:dyDescent="0.25">
      <c r="A1" s="76" t="s">
        <v>1408</v>
      </c>
      <c r="B1" s="76"/>
      <c r="C1" s="76"/>
      <c r="D1" s="76"/>
      <c r="E1" s="76"/>
      <c r="G1" s="65" t="s">
        <v>2</v>
      </c>
      <c r="H1" s="65"/>
      <c r="I1" s="65"/>
      <c r="J1" s="65"/>
      <c r="K1" s="65"/>
      <c r="L1" s="65"/>
      <c r="M1" s="65"/>
      <c r="N1" s="65"/>
      <c r="O1" s="65"/>
      <c r="P1" s="65"/>
      <c r="Q1" s="65"/>
      <c r="R1" s="65"/>
      <c r="T1" s="66" t="s">
        <v>3</v>
      </c>
      <c r="U1" s="66"/>
      <c r="V1" s="66"/>
      <c r="W1" s="66"/>
      <c r="X1" s="66"/>
      <c r="Y1" s="66"/>
      <c r="Z1" s="66"/>
      <c r="AA1" s="66"/>
      <c r="AB1" s="66"/>
      <c r="AC1" s="66"/>
      <c r="AD1" s="66"/>
      <c r="AE1" s="66"/>
    </row>
    <row r="2" spans="1:39" ht="30" customHeight="1" x14ac:dyDescent="0.25">
      <c r="A2" s="75" t="s">
        <v>97</v>
      </c>
      <c r="B2" s="73" t="s">
        <v>99</v>
      </c>
      <c r="C2" s="75" t="s">
        <v>275</v>
      </c>
      <c r="D2" s="73" t="s">
        <v>101</v>
      </c>
      <c r="E2" s="75" t="s">
        <v>103</v>
      </c>
      <c r="G2" s="73" t="s">
        <v>520</v>
      </c>
      <c r="H2" s="75" t="s">
        <v>112</v>
      </c>
      <c r="I2" s="73" t="s">
        <v>26</v>
      </c>
      <c r="J2" s="75" t="s">
        <v>524</v>
      </c>
      <c r="K2" s="77" t="s">
        <v>284</v>
      </c>
      <c r="L2" s="77"/>
      <c r="M2" s="77"/>
      <c r="N2" s="74" t="s">
        <v>1383</v>
      </c>
      <c r="O2" s="74"/>
      <c r="P2" s="74"/>
      <c r="Q2" s="73" t="s">
        <v>118</v>
      </c>
      <c r="R2" s="75" t="s">
        <v>120</v>
      </c>
      <c r="T2" s="73" t="s">
        <v>520</v>
      </c>
      <c r="U2" s="75" t="s">
        <v>112</v>
      </c>
      <c r="V2" s="73" t="s">
        <v>26</v>
      </c>
      <c r="W2" s="75" t="s">
        <v>524</v>
      </c>
      <c r="X2" s="77" t="s">
        <v>284</v>
      </c>
      <c r="Y2" s="77"/>
      <c r="Z2" s="77"/>
      <c r="AA2" s="74" t="s">
        <v>1383</v>
      </c>
      <c r="AB2" s="74"/>
      <c r="AC2" s="74"/>
      <c r="AD2" s="73" t="s">
        <v>118</v>
      </c>
      <c r="AE2" s="75" t="s">
        <v>120</v>
      </c>
      <c r="AG2" s="77" t="s">
        <v>412</v>
      </c>
      <c r="AH2" s="77"/>
      <c r="AI2" s="77"/>
      <c r="AK2" s="74" t="s">
        <v>1404</v>
      </c>
      <c r="AL2" s="74"/>
      <c r="AM2" s="74"/>
    </row>
    <row r="3" spans="1:39" x14ac:dyDescent="0.25">
      <c r="A3" s="75"/>
      <c r="B3" s="73"/>
      <c r="C3" s="75"/>
      <c r="D3" s="73"/>
      <c r="E3" s="75"/>
      <c r="G3" s="73"/>
      <c r="H3" s="75"/>
      <c r="I3" s="73"/>
      <c r="J3" s="75"/>
      <c r="K3" s="17" t="s">
        <v>285</v>
      </c>
      <c r="L3" s="17" t="s">
        <v>287</v>
      </c>
      <c r="M3" s="17" t="s">
        <v>289</v>
      </c>
      <c r="N3" s="16" t="s">
        <v>285</v>
      </c>
      <c r="O3" s="16" t="s">
        <v>287</v>
      </c>
      <c r="P3" s="16" t="s">
        <v>289</v>
      </c>
      <c r="Q3" s="73"/>
      <c r="R3" s="75"/>
      <c r="T3" s="73"/>
      <c r="U3" s="75"/>
      <c r="V3" s="73"/>
      <c r="W3" s="75"/>
      <c r="X3" s="17" t="s">
        <v>285</v>
      </c>
      <c r="Y3" s="17" t="s">
        <v>287</v>
      </c>
      <c r="Z3" s="17" t="s">
        <v>289</v>
      </c>
      <c r="AA3" s="16" t="s">
        <v>285</v>
      </c>
      <c r="AB3" s="16" t="s">
        <v>287</v>
      </c>
      <c r="AC3" s="16" t="s">
        <v>289</v>
      </c>
      <c r="AD3" s="73"/>
      <c r="AE3" s="75"/>
      <c r="AG3" s="17" t="s">
        <v>285</v>
      </c>
      <c r="AH3" s="17" t="s">
        <v>287</v>
      </c>
      <c r="AI3" s="17" t="s">
        <v>289</v>
      </c>
      <c r="AK3" s="16" t="s">
        <v>285</v>
      </c>
      <c r="AL3" s="16" t="s">
        <v>287</v>
      </c>
      <c r="AM3" s="16" t="s">
        <v>289</v>
      </c>
    </row>
    <row r="4" spans="1:39" collapsed="1" x14ac:dyDescent="0.25">
      <c r="A4" s="18" t="s">
        <v>990</v>
      </c>
      <c r="B4" s="18" t="s">
        <v>981</v>
      </c>
      <c r="C4" s="19" t="s">
        <v>310</v>
      </c>
      <c r="D4" s="18">
        <v>19948121</v>
      </c>
      <c r="E4" s="19">
        <v>21</v>
      </c>
      <c r="G4" s="21" t="str">
        <f t="shared" ref="G4:G18" si="0">IF(ISBLANK(J4),"·",J4/D4)</f>
        <v>·</v>
      </c>
      <c r="H4" s="21" t="str">
        <f t="shared" ref="H4:H18" si="1">IF(ISBLANK(J4),"·",J4/I4)</f>
        <v>·</v>
      </c>
      <c r="I4" s="22"/>
      <c r="J4" s="23"/>
      <c r="K4" s="49"/>
      <c r="L4" s="49"/>
      <c r="M4" s="49"/>
      <c r="N4" s="49"/>
      <c r="O4" s="49"/>
      <c r="P4" s="49"/>
      <c r="Q4" s="24"/>
      <c r="R4" s="24"/>
      <c r="T4" s="21" t="str">
        <f t="shared" ref="T4:T18" si="2">IF(ISBLANK(W4),"·",W4/D4)</f>
        <v>·</v>
      </c>
      <c r="U4" s="21" t="str">
        <f t="shared" ref="U4:U18" si="3">IF(ISBLANK(W4),"·",W4/V4)</f>
        <v>·</v>
      </c>
      <c r="V4" s="22"/>
      <c r="W4" s="23"/>
      <c r="X4" s="49"/>
      <c r="Y4" s="49"/>
      <c r="Z4" s="49"/>
      <c r="AA4" s="49"/>
      <c r="AB4" s="49"/>
      <c r="AC4" s="49"/>
      <c r="AD4" s="24"/>
      <c r="AE4" s="24"/>
      <c r="AG4" s="50" t="e">
        <f>bdRateExtend( J4:J8,K4:K8, W4:W8,X4:X8)</f>
        <v>#VALUE!</v>
      </c>
      <c r="AH4" s="50" t="e">
        <f>bdRateExtend( J4:J8,L4:L8, W4:W8,Y4:Y8)</f>
        <v>#VALUE!</v>
      </c>
      <c r="AI4" s="50" t="e">
        <f>bdRateExtend( J4:J8,M4:M8, W4:W8,Z4:Z8)</f>
        <v>#VALUE!</v>
      </c>
      <c r="AK4" s="50" t="e">
        <f>bdRateExtend( J4:J8,N4:N8, W4:W8,AA4:AA8)</f>
        <v>#VALUE!</v>
      </c>
      <c r="AL4" s="50" t="e">
        <f>bdRateExtend( J4:J8,O4:O8, W4:W8,AB4:AB8)</f>
        <v>#VALUE!</v>
      </c>
      <c r="AM4" s="50" t="e">
        <f>bdRateExtend( J4:J8,P4:P8, W4:W8,AC4:AC8)</f>
        <v>#VALUE!</v>
      </c>
    </row>
    <row r="5" spans="1:39" outlineLevel="1" x14ac:dyDescent="0.25">
      <c r="A5" s="25"/>
      <c r="B5" s="25"/>
      <c r="C5" s="26" t="s">
        <v>311</v>
      </c>
      <c r="D5" s="25">
        <v>19948121</v>
      </c>
      <c r="E5" s="26">
        <v>21</v>
      </c>
      <c r="G5" s="28" t="str">
        <f t="shared" si="0"/>
        <v>·</v>
      </c>
      <c r="H5" s="28" t="str">
        <f t="shared" si="1"/>
        <v>·</v>
      </c>
      <c r="I5" s="29"/>
      <c r="J5" s="30"/>
      <c r="K5" s="51"/>
      <c r="L5" s="51"/>
      <c r="M5" s="51"/>
      <c r="N5" s="51"/>
      <c r="O5" s="51"/>
      <c r="P5" s="51"/>
      <c r="Q5" s="31"/>
      <c r="R5" s="31"/>
      <c r="T5" s="28" t="str">
        <f t="shared" si="2"/>
        <v>·</v>
      </c>
      <c r="U5" s="28" t="str">
        <f t="shared" si="3"/>
        <v>·</v>
      </c>
      <c r="V5" s="29"/>
      <c r="W5" s="30"/>
      <c r="X5" s="51"/>
      <c r="Y5" s="51"/>
      <c r="Z5" s="51"/>
      <c r="AA5" s="51"/>
      <c r="AB5" s="51"/>
      <c r="AC5" s="51"/>
      <c r="AD5" s="31"/>
      <c r="AE5" s="31"/>
      <c r="AG5" s="52"/>
      <c r="AH5" s="52"/>
      <c r="AI5" s="52"/>
      <c r="AK5" s="52"/>
      <c r="AL5" s="52"/>
      <c r="AM5" s="52"/>
    </row>
    <row r="6" spans="1:39" outlineLevel="1" x14ac:dyDescent="0.25">
      <c r="A6" s="18"/>
      <c r="B6" s="18"/>
      <c r="C6" s="19" t="s">
        <v>312</v>
      </c>
      <c r="D6" s="18">
        <v>19948121</v>
      </c>
      <c r="E6" s="19">
        <v>21</v>
      </c>
      <c r="G6" s="21" t="str">
        <f t="shared" si="0"/>
        <v>·</v>
      </c>
      <c r="H6" s="21" t="str">
        <f t="shared" si="1"/>
        <v>·</v>
      </c>
      <c r="I6" s="22"/>
      <c r="J6" s="23"/>
      <c r="K6" s="49"/>
      <c r="L6" s="49"/>
      <c r="M6" s="49"/>
      <c r="N6" s="49"/>
      <c r="O6" s="49"/>
      <c r="P6" s="49"/>
      <c r="Q6" s="24"/>
      <c r="R6" s="24"/>
      <c r="T6" s="21" t="str">
        <f t="shared" si="2"/>
        <v>·</v>
      </c>
      <c r="U6" s="21" t="str">
        <f t="shared" si="3"/>
        <v>·</v>
      </c>
      <c r="V6" s="22"/>
      <c r="W6" s="23"/>
      <c r="X6" s="49"/>
      <c r="Y6" s="49"/>
      <c r="Z6" s="49"/>
      <c r="AA6" s="49"/>
      <c r="AB6" s="49"/>
      <c r="AC6" s="49"/>
      <c r="AD6" s="24"/>
      <c r="AE6" s="24"/>
      <c r="AG6" s="50"/>
      <c r="AH6" s="50"/>
      <c r="AI6" s="50"/>
      <c r="AK6" s="50"/>
      <c r="AL6" s="50"/>
      <c r="AM6" s="50"/>
    </row>
    <row r="7" spans="1:39" outlineLevel="1" x14ac:dyDescent="0.25">
      <c r="A7" s="25"/>
      <c r="B7" s="25"/>
      <c r="C7" s="26" t="s">
        <v>313</v>
      </c>
      <c r="D7" s="25">
        <v>19948121</v>
      </c>
      <c r="E7" s="26">
        <v>21</v>
      </c>
      <c r="G7" s="28" t="str">
        <f t="shared" si="0"/>
        <v>·</v>
      </c>
      <c r="H7" s="28" t="str">
        <f t="shared" si="1"/>
        <v>·</v>
      </c>
      <c r="I7" s="29"/>
      <c r="J7" s="30"/>
      <c r="K7" s="51"/>
      <c r="L7" s="51"/>
      <c r="M7" s="51"/>
      <c r="N7" s="51"/>
      <c r="O7" s="51"/>
      <c r="P7" s="51"/>
      <c r="Q7" s="31"/>
      <c r="R7" s="31"/>
      <c r="T7" s="28" t="str">
        <f t="shared" si="2"/>
        <v>·</v>
      </c>
      <c r="U7" s="28" t="str">
        <f t="shared" si="3"/>
        <v>·</v>
      </c>
      <c r="V7" s="29"/>
      <c r="W7" s="30"/>
      <c r="X7" s="51"/>
      <c r="Y7" s="51"/>
      <c r="Z7" s="51"/>
      <c r="AA7" s="51"/>
      <c r="AB7" s="51"/>
      <c r="AC7" s="51"/>
      <c r="AD7" s="31"/>
      <c r="AE7" s="31"/>
      <c r="AG7" s="52"/>
      <c r="AH7" s="52"/>
      <c r="AI7" s="52"/>
      <c r="AK7" s="52"/>
      <c r="AL7" s="52"/>
      <c r="AM7" s="52"/>
    </row>
    <row r="8" spans="1:39" outlineLevel="1" x14ac:dyDescent="0.25">
      <c r="A8" s="18"/>
      <c r="B8" s="39"/>
      <c r="C8" s="40" t="s">
        <v>428</v>
      </c>
      <c r="D8" s="39">
        <v>19948121</v>
      </c>
      <c r="E8" s="40">
        <v>21</v>
      </c>
      <c r="G8" s="42" t="str">
        <f t="shared" si="0"/>
        <v>·</v>
      </c>
      <c r="H8" s="42" t="str">
        <f t="shared" si="1"/>
        <v>·</v>
      </c>
      <c r="I8" s="43"/>
      <c r="J8" s="44"/>
      <c r="K8" s="59"/>
      <c r="L8" s="59"/>
      <c r="M8" s="59"/>
      <c r="N8" s="59"/>
      <c r="O8" s="59"/>
      <c r="P8" s="59"/>
      <c r="Q8" s="45"/>
      <c r="R8" s="45"/>
      <c r="T8" s="42" t="str">
        <f t="shared" si="2"/>
        <v>·</v>
      </c>
      <c r="U8" s="42" t="str">
        <f t="shared" si="3"/>
        <v>·</v>
      </c>
      <c r="V8" s="43"/>
      <c r="W8" s="44"/>
      <c r="X8" s="59"/>
      <c r="Y8" s="59"/>
      <c r="Z8" s="59"/>
      <c r="AA8" s="59"/>
      <c r="AB8" s="59"/>
      <c r="AC8" s="59"/>
      <c r="AD8" s="45"/>
      <c r="AE8" s="45"/>
      <c r="AG8" s="60"/>
      <c r="AH8" s="60"/>
      <c r="AI8" s="60"/>
      <c r="AK8" s="60"/>
      <c r="AL8" s="60"/>
      <c r="AM8" s="60"/>
    </row>
    <row r="9" spans="1:39" collapsed="1" x14ac:dyDescent="0.25">
      <c r="A9" s="25"/>
      <c r="B9" s="25" t="s">
        <v>984</v>
      </c>
      <c r="C9" s="26" t="s">
        <v>310</v>
      </c>
      <c r="D9" s="25">
        <v>5255920</v>
      </c>
      <c r="E9" s="26">
        <v>20</v>
      </c>
      <c r="G9" s="28" t="str">
        <f t="shared" si="0"/>
        <v>·</v>
      </c>
      <c r="H9" s="28" t="str">
        <f t="shared" si="1"/>
        <v>·</v>
      </c>
      <c r="I9" s="29"/>
      <c r="J9" s="30"/>
      <c r="K9" s="51"/>
      <c r="L9" s="51"/>
      <c r="M9" s="51"/>
      <c r="N9" s="51"/>
      <c r="O9" s="51"/>
      <c r="P9" s="51"/>
      <c r="Q9" s="31"/>
      <c r="R9" s="31"/>
      <c r="T9" s="28" t="str">
        <f t="shared" si="2"/>
        <v>·</v>
      </c>
      <c r="U9" s="28" t="str">
        <f t="shared" si="3"/>
        <v>·</v>
      </c>
      <c r="V9" s="29"/>
      <c r="W9" s="30"/>
      <c r="X9" s="51"/>
      <c r="Y9" s="51"/>
      <c r="Z9" s="51"/>
      <c r="AA9" s="51"/>
      <c r="AB9" s="51"/>
      <c r="AC9" s="51"/>
      <c r="AD9" s="31"/>
      <c r="AE9" s="31"/>
      <c r="AG9" s="52" t="e">
        <f>bdRateExtend( J9:J13,K9:K13, W9:W13,X9:X13)</f>
        <v>#VALUE!</v>
      </c>
      <c r="AH9" s="52" t="e">
        <f>bdRateExtend( J9:J13,L9:L13, W9:W13,Y9:Y13)</f>
        <v>#VALUE!</v>
      </c>
      <c r="AI9" s="52" t="e">
        <f>bdRateExtend( J9:J13,M9:M13, W9:W13,Z9:Z13)</f>
        <v>#VALUE!</v>
      </c>
      <c r="AK9" s="52" t="e">
        <f>bdRateExtend( J9:J13,N9:N13, W9:W13,AA9:AA13)</f>
        <v>#VALUE!</v>
      </c>
      <c r="AL9" s="52" t="e">
        <f>bdRateExtend( J9:J13,O9:O13, W9:W13,AB9:AB13)</f>
        <v>#VALUE!</v>
      </c>
      <c r="AM9" s="52" t="e">
        <f>bdRateExtend( J9:J13,P9:P13, W9:W13,AC9:AC13)</f>
        <v>#VALUE!</v>
      </c>
    </row>
    <row r="10" spans="1:39" outlineLevel="1" x14ac:dyDescent="0.25">
      <c r="A10" s="18"/>
      <c r="B10" s="18"/>
      <c r="C10" s="19" t="s">
        <v>311</v>
      </c>
      <c r="D10" s="18">
        <v>5255920</v>
      </c>
      <c r="E10" s="19">
        <v>20</v>
      </c>
      <c r="G10" s="21" t="str">
        <f t="shared" si="0"/>
        <v>·</v>
      </c>
      <c r="H10" s="21" t="str">
        <f t="shared" si="1"/>
        <v>·</v>
      </c>
      <c r="I10" s="22"/>
      <c r="J10" s="23"/>
      <c r="K10" s="49"/>
      <c r="L10" s="49"/>
      <c r="M10" s="49"/>
      <c r="N10" s="49"/>
      <c r="O10" s="49"/>
      <c r="P10" s="49"/>
      <c r="Q10" s="24"/>
      <c r="R10" s="24"/>
      <c r="T10" s="21" t="str">
        <f t="shared" si="2"/>
        <v>·</v>
      </c>
      <c r="U10" s="21" t="str">
        <f t="shared" si="3"/>
        <v>·</v>
      </c>
      <c r="V10" s="22"/>
      <c r="W10" s="23"/>
      <c r="X10" s="49"/>
      <c r="Y10" s="49"/>
      <c r="Z10" s="49"/>
      <c r="AA10" s="49"/>
      <c r="AB10" s="49"/>
      <c r="AC10" s="49"/>
      <c r="AD10" s="24"/>
      <c r="AE10" s="24"/>
      <c r="AG10" s="50"/>
      <c r="AH10" s="50"/>
      <c r="AI10" s="50"/>
      <c r="AK10" s="50"/>
      <c r="AL10" s="50"/>
      <c r="AM10" s="50"/>
    </row>
    <row r="11" spans="1:39" outlineLevel="1" x14ac:dyDescent="0.25">
      <c r="A11" s="25"/>
      <c r="B11" s="25"/>
      <c r="C11" s="26" t="s">
        <v>312</v>
      </c>
      <c r="D11" s="25">
        <v>5255920</v>
      </c>
      <c r="E11" s="26">
        <v>20</v>
      </c>
      <c r="G11" s="28" t="str">
        <f t="shared" si="0"/>
        <v>·</v>
      </c>
      <c r="H11" s="28" t="str">
        <f t="shared" si="1"/>
        <v>·</v>
      </c>
      <c r="I11" s="29"/>
      <c r="J11" s="30"/>
      <c r="K11" s="51"/>
      <c r="L11" s="51"/>
      <c r="M11" s="51"/>
      <c r="N11" s="51"/>
      <c r="O11" s="51"/>
      <c r="P11" s="51"/>
      <c r="Q11" s="31"/>
      <c r="R11" s="31"/>
      <c r="T11" s="28" t="str">
        <f t="shared" si="2"/>
        <v>·</v>
      </c>
      <c r="U11" s="28" t="str">
        <f t="shared" si="3"/>
        <v>·</v>
      </c>
      <c r="V11" s="29"/>
      <c r="W11" s="30"/>
      <c r="X11" s="51"/>
      <c r="Y11" s="51"/>
      <c r="Z11" s="51"/>
      <c r="AA11" s="51"/>
      <c r="AB11" s="51"/>
      <c r="AC11" s="51"/>
      <c r="AD11" s="31"/>
      <c r="AE11" s="31"/>
      <c r="AG11" s="52"/>
      <c r="AH11" s="52"/>
      <c r="AI11" s="52"/>
      <c r="AK11" s="52"/>
      <c r="AL11" s="52"/>
      <c r="AM11" s="52"/>
    </row>
    <row r="12" spans="1:39" outlineLevel="1" x14ac:dyDescent="0.25">
      <c r="A12" s="18"/>
      <c r="B12" s="18"/>
      <c r="C12" s="19" t="s">
        <v>313</v>
      </c>
      <c r="D12" s="18">
        <v>5255920</v>
      </c>
      <c r="E12" s="19">
        <v>20</v>
      </c>
      <c r="G12" s="21" t="str">
        <f t="shared" si="0"/>
        <v>·</v>
      </c>
      <c r="H12" s="21" t="str">
        <f t="shared" si="1"/>
        <v>·</v>
      </c>
      <c r="I12" s="22"/>
      <c r="J12" s="23"/>
      <c r="K12" s="49"/>
      <c r="L12" s="49"/>
      <c r="M12" s="49"/>
      <c r="N12" s="49"/>
      <c r="O12" s="49"/>
      <c r="P12" s="49"/>
      <c r="Q12" s="24"/>
      <c r="R12" s="24"/>
      <c r="T12" s="21" t="str">
        <f t="shared" si="2"/>
        <v>·</v>
      </c>
      <c r="U12" s="21" t="str">
        <f t="shared" si="3"/>
        <v>·</v>
      </c>
      <c r="V12" s="22"/>
      <c r="W12" s="23"/>
      <c r="X12" s="49"/>
      <c r="Y12" s="49"/>
      <c r="Z12" s="49"/>
      <c r="AA12" s="49"/>
      <c r="AB12" s="49"/>
      <c r="AC12" s="49"/>
      <c r="AD12" s="24"/>
      <c r="AE12" s="24"/>
      <c r="AG12" s="50"/>
      <c r="AH12" s="50"/>
      <c r="AI12" s="50"/>
      <c r="AK12" s="50"/>
      <c r="AL12" s="50"/>
      <c r="AM12" s="50"/>
    </row>
    <row r="13" spans="1:39" outlineLevel="1" x14ac:dyDescent="0.25">
      <c r="A13" s="25"/>
      <c r="B13" s="32"/>
      <c r="C13" s="33" t="s">
        <v>428</v>
      </c>
      <c r="D13" s="32">
        <v>5255920</v>
      </c>
      <c r="E13" s="33">
        <v>20</v>
      </c>
      <c r="G13" s="35" t="str">
        <f t="shared" si="0"/>
        <v>·</v>
      </c>
      <c r="H13" s="35" t="str">
        <f t="shared" si="1"/>
        <v>·</v>
      </c>
      <c r="I13" s="36"/>
      <c r="J13" s="37"/>
      <c r="K13" s="53"/>
      <c r="L13" s="53"/>
      <c r="M13" s="53"/>
      <c r="N13" s="53"/>
      <c r="O13" s="53"/>
      <c r="P13" s="53"/>
      <c r="Q13" s="38"/>
      <c r="R13" s="38"/>
      <c r="T13" s="35" t="str">
        <f t="shared" si="2"/>
        <v>·</v>
      </c>
      <c r="U13" s="35" t="str">
        <f t="shared" si="3"/>
        <v>·</v>
      </c>
      <c r="V13" s="36"/>
      <c r="W13" s="37"/>
      <c r="X13" s="53"/>
      <c r="Y13" s="53"/>
      <c r="Z13" s="53"/>
      <c r="AA13" s="53"/>
      <c r="AB13" s="53"/>
      <c r="AC13" s="53"/>
      <c r="AD13" s="38"/>
      <c r="AE13" s="38"/>
      <c r="AG13" s="54"/>
      <c r="AH13" s="54"/>
      <c r="AI13" s="54"/>
      <c r="AK13" s="54"/>
      <c r="AL13" s="54"/>
      <c r="AM13" s="54"/>
    </row>
    <row r="14" spans="1:39" collapsed="1" x14ac:dyDescent="0.25">
      <c r="A14" s="18"/>
      <c r="B14" s="18" t="s">
        <v>987</v>
      </c>
      <c r="C14" s="19" t="s">
        <v>310</v>
      </c>
      <c r="D14" s="18">
        <v>7148516</v>
      </c>
      <c r="E14" s="19">
        <v>21</v>
      </c>
      <c r="G14" s="21" t="str">
        <f t="shared" si="0"/>
        <v>·</v>
      </c>
      <c r="H14" s="21" t="str">
        <f t="shared" si="1"/>
        <v>·</v>
      </c>
      <c r="I14" s="22"/>
      <c r="J14" s="23"/>
      <c r="K14" s="49"/>
      <c r="L14" s="49"/>
      <c r="M14" s="49"/>
      <c r="N14" s="49"/>
      <c r="O14" s="49"/>
      <c r="P14" s="49"/>
      <c r="Q14" s="24"/>
      <c r="R14" s="24"/>
      <c r="T14" s="21" t="str">
        <f t="shared" si="2"/>
        <v>·</v>
      </c>
      <c r="U14" s="21" t="str">
        <f t="shared" si="3"/>
        <v>·</v>
      </c>
      <c r="V14" s="22"/>
      <c r="W14" s="23"/>
      <c r="X14" s="49"/>
      <c r="Y14" s="49"/>
      <c r="Z14" s="49"/>
      <c r="AA14" s="49"/>
      <c r="AB14" s="49"/>
      <c r="AC14" s="49"/>
      <c r="AD14" s="24"/>
      <c r="AE14" s="24"/>
      <c r="AG14" s="50" t="e">
        <f>bdRateExtend( J14:J18,K14:K18, W14:W18,X14:X18)</f>
        <v>#VALUE!</v>
      </c>
      <c r="AH14" s="50" t="e">
        <f>bdRateExtend( J14:J18,L14:L18, W14:W18,Y14:Y18)</f>
        <v>#VALUE!</v>
      </c>
      <c r="AI14" s="50" t="e">
        <f>bdRateExtend( J14:J18,M14:M18, W14:W18,Z14:Z18)</f>
        <v>#VALUE!</v>
      </c>
      <c r="AK14" s="50" t="e">
        <f>bdRateExtend( J14:J18,N14:N18, W14:W18,AA14:AA18)</f>
        <v>#VALUE!</v>
      </c>
      <c r="AL14" s="50" t="e">
        <f>bdRateExtend( J14:J18,O14:O18, W14:W18,AB14:AB18)</f>
        <v>#VALUE!</v>
      </c>
      <c r="AM14" s="50" t="e">
        <f>bdRateExtend( J14:J18,P14:P18, W14:W18,AC14:AC18)</f>
        <v>#VALUE!</v>
      </c>
    </row>
    <row r="15" spans="1:39" outlineLevel="1" x14ac:dyDescent="0.25">
      <c r="A15" s="25"/>
      <c r="B15" s="25"/>
      <c r="C15" s="26" t="s">
        <v>311</v>
      </c>
      <c r="D15" s="25">
        <v>7148516</v>
      </c>
      <c r="E15" s="26">
        <v>21</v>
      </c>
      <c r="G15" s="28" t="str">
        <f t="shared" si="0"/>
        <v>·</v>
      </c>
      <c r="H15" s="28" t="str">
        <f t="shared" si="1"/>
        <v>·</v>
      </c>
      <c r="I15" s="29"/>
      <c r="J15" s="30"/>
      <c r="K15" s="51"/>
      <c r="L15" s="51"/>
      <c r="M15" s="51"/>
      <c r="N15" s="51"/>
      <c r="O15" s="51"/>
      <c r="P15" s="51"/>
      <c r="Q15" s="31"/>
      <c r="R15" s="31"/>
      <c r="T15" s="28" t="str">
        <f t="shared" si="2"/>
        <v>·</v>
      </c>
      <c r="U15" s="28" t="str">
        <f t="shared" si="3"/>
        <v>·</v>
      </c>
      <c r="V15" s="29"/>
      <c r="W15" s="30"/>
      <c r="X15" s="51"/>
      <c r="Y15" s="51"/>
      <c r="Z15" s="51"/>
      <c r="AA15" s="51"/>
      <c r="AB15" s="51"/>
      <c r="AC15" s="51"/>
      <c r="AD15" s="31"/>
      <c r="AE15" s="31"/>
      <c r="AG15" s="52"/>
      <c r="AH15" s="52"/>
      <c r="AI15" s="52"/>
      <c r="AK15" s="52"/>
      <c r="AL15" s="52"/>
      <c r="AM15" s="52"/>
    </row>
    <row r="16" spans="1:39" outlineLevel="1" x14ac:dyDescent="0.25">
      <c r="A16" s="18"/>
      <c r="B16" s="18"/>
      <c r="C16" s="19" t="s">
        <v>312</v>
      </c>
      <c r="D16" s="18">
        <v>7148516</v>
      </c>
      <c r="E16" s="19">
        <v>21</v>
      </c>
      <c r="G16" s="21" t="str">
        <f t="shared" si="0"/>
        <v>·</v>
      </c>
      <c r="H16" s="21" t="str">
        <f t="shared" si="1"/>
        <v>·</v>
      </c>
      <c r="I16" s="22"/>
      <c r="J16" s="23"/>
      <c r="K16" s="49"/>
      <c r="L16" s="49"/>
      <c r="M16" s="49"/>
      <c r="N16" s="49"/>
      <c r="O16" s="49"/>
      <c r="P16" s="49"/>
      <c r="Q16" s="24"/>
      <c r="R16" s="24"/>
      <c r="T16" s="21" t="str">
        <f t="shared" si="2"/>
        <v>·</v>
      </c>
      <c r="U16" s="21" t="str">
        <f t="shared" si="3"/>
        <v>·</v>
      </c>
      <c r="V16" s="22"/>
      <c r="W16" s="23"/>
      <c r="X16" s="49"/>
      <c r="Y16" s="49"/>
      <c r="Z16" s="49"/>
      <c r="AA16" s="49"/>
      <c r="AB16" s="49"/>
      <c r="AC16" s="49"/>
      <c r="AD16" s="24"/>
      <c r="AE16" s="24"/>
      <c r="AG16" s="50"/>
      <c r="AH16" s="50"/>
      <c r="AI16" s="50"/>
      <c r="AK16" s="50"/>
      <c r="AL16" s="50"/>
      <c r="AM16" s="50"/>
    </row>
    <row r="17" spans="1:39" outlineLevel="1" x14ac:dyDescent="0.25">
      <c r="A17" s="25"/>
      <c r="B17" s="25"/>
      <c r="C17" s="26" t="s">
        <v>313</v>
      </c>
      <c r="D17" s="25">
        <v>7148516</v>
      </c>
      <c r="E17" s="26">
        <v>21</v>
      </c>
      <c r="G17" s="28" t="str">
        <f t="shared" si="0"/>
        <v>·</v>
      </c>
      <c r="H17" s="28" t="str">
        <f t="shared" si="1"/>
        <v>·</v>
      </c>
      <c r="I17" s="29"/>
      <c r="J17" s="30"/>
      <c r="K17" s="51"/>
      <c r="L17" s="51"/>
      <c r="M17" s="51"/>
      <c r="N17" s="51"/>
      <c r="O17" s="51"/>
      <c r="P17" s="51"/>
      <c r="Q17" s="31"/>
      <c r="R17" s="31"/>
      <c r="T17" s="28" t="str">
        <f t="shared" si="2"/>
        <v>·</v>
      </c>
      <c r="U17" s="28" t="str">
        <f t="shared" si="3"/>
        <v>·</v>
      </c>
      <c r="V17" s="29"/>
      <c r="W17" s="30"/>
      <c r="X17" s="51"/>
      <c r="Y17" s="51"/>
      <c r="Z17" s="51"/>
      <c r="AA17" s="51"/>
      <c r="AB17" s="51"/>
      <c r="AC17" s="51"/>
      <c r="AD17" s="31"/>
      <c r="AE17" s="31"/>
      <c r="AG17" s="52"/>
      <c r="AH17" s="52"/>
      <c r="AI17" s="52"/>
      <c r="AK17" s="52"/>
      <c r="AL17" s="52"/>
      <c r="AM17" s="52"/>
    </row>
    <row r="18" spans="1:39" outlineLevel="1" x14ac:dyDescent="0.25">
      <c r="A18" s="39"/>
      <c r="B18" s="39"/>
      <c r="C18" s="40" t="s">
        <v>428</v>
      </c>
      <c r="D18" s="39">
        <v>7148516</v>
      </c>
      <c r="E18" s="40">
        <v>21</v>
      </c>
      <c r="G18" s="42" t="str">
        <f t="shared" si="0"/>
        <v>·</v>
      </c>
      <c r="H18" s="42" t="str">
        <f t="shared" si="1"/>
        <v>·</v>
      </c>
      <c r="I18" s="43"/>
      <c r="J18" s="44"/>
      <c r="K18" s="59"/>
      <c r="L18" s="59"/>
      <c r="M18" s="59"/>
      <c r="N18" s="59"/>
      <c r="O18" s="59"/>
      <c r="P18" s="59"/>
      <c r="Q18" s="45"/>
      <c r="R18" s="45"/>
      <c r="T18" s="42" t="str">
        <f t="shared" si="2"/>
        <v>·</v>
      </c>
      <c r="U18" s="42" t="str">
        <f t="shared" si="3"/>
        <v>·</v>
      </c>
      <c r="V18" s="43"/>
      <c r="W18" s="44"/>
      <c r="X18" s="59"/>
      <c r="Y18" s="59"/>
      <c r="Z18" s="59"/>
      <c r="AA18" s="59"/>
      <c r="AB18" s="59"/>
      <c r="AC18" s="59"/>
      <c r="AD18" s="45"/>
      <c r="AE18" s="45"/>
      <c r="AG18" s="60"/>
      <c r="AH18" s="60"/>
      <c r="AI18" s="60"/>
      <c r="AK18" s="60"/>
      <c r="AL18" s="60"/>
      <c r="AM18" s="60"/>
    </row>
    <row r="19" spans="1:39" x14ac:dyDescent="0.25">
      <c r="B19" s="46" t="s">
        <v>258</v>
      </c>
      <c r="G19" s="47" t="e">
        <f>AVERAGE(G4:G18)</f>
        <v>#DIV/0!</v>
      </c>
      <c r="T19" s="47" t="e">
        <f>AVERAGE(T4:T18)</f>
        <v>#DIV/0!</v>
      </c>
      <c r="AG19" s="11" t="e">
        <f>AVERAGE(AG4:AG18)</f>
        <v>#VALUE!</v>
      </c>
      <c r="AH19" s="11" t="e">
        <f>AVERAGE(AH4:AH18)</f>
        <v>#VALUE!</v>
      </c>
      <c r="AI19" s="11" t="e">
        <f>AVERAGE(AI4:AI18)</f>
        <v>#VALUE!</v>
      </c>
      <c r="AK19" s="11" t="e">
        <f>AVERAGE(AK4:AK18)</f>
        <v>#VALUE!</v>
      </c>
      <c r="AL19" s="11" t="e">
        <f>AVERAGE(AL4:AL18)</f>
        <v>#VALUE!</v>
      </c>
      <c r="AM19" s="11" t="e">
        <f>AVERAGE(AM4:AM18)</f>
        <v>#VALUE!</v>
      </c>
    </row>
    <row r="20" spans="1:39" hidden="1" outlineLevel="2" x14ac:dyDescent="0.25">
      <c r="A20" s="46" t="s">
        <v>259</v>
      </c>
      <c r="B20" s="46" t="s">
        <v>260</v>
      </c>
      <c r="Q20" s="48">
        <f>SUM(Q4:Q18)</f>
        <v>0</v>
      </c>
      <c r="R20" s="48">
        <f>SUM(R4:R18)</f>
        <v>0</v>
      </c>
      <c r="AD20" s="48">
        <f>SUM(AD4:AD18)</f>
        <v>0</v>
      </c>
      <c r="AE20" s="48">
        <f>SUM(AE4:AE18)</f>
        <v>0</v>
      </c>
    </row>
    <row r="21" spans="1:39" hidden="1" outlineLevel="2" x14ac:dyDescent="0.25">
      <c r="B21" s="46" t="s">
        <v>261</v>
      </c>
      <c r="AD21" s="6" t="e">
        <f>AD20/Q20</f>
        <v>#DIV/0!</v>
      </c>
      <c r="AE21" s="6" t="e">
        <f>AE20/R20</f>
        <v>#DIV/0!</v>
      </c>
    </row>
    <row r="22" spans="1:39" hidden="1" outlineLevel="2" x14ac:dyDescent="0.25">
      <c r="B22" s="46" t="s">
        <v>262</v>
      </c>
      <c r="Q22" s="48" t="e">
        <f>GEOMEAN(Q4:Q18)</f>
        <v>#NUM!</v>
      </c>
      <c r="R22" s="48" t="e">
        <f>GEOMEAN(R4:R18)</f>
        <v>#NUM!</v>
      </c>
      <c r="AD22" s="48" t="e">
        <f>GEOMEAN(AD4:AD18)</f>
        <v>#NUM!</v>
      </c>
      <c r="AE22" s="48" t="e">
        <f>GEOMEAN(AE4:AE18)</f>
        <v>#NUM!</v>
      </c>
    </row>
    <row r="23" spans="1:39" outlineLevel="2" collapsed="1" x14ac:dyDescent="0.25">
      <c r="B23" s="46" t="s">
        <v>263</v>
      </c>
      <c r="AD23" s="6" t="e">
        <f>AD22/Q22</f>
        <v>#NUM!</v>
      </c>
      <c r="AE23" s="6" t="e">
        <f>AE22/R22</f>
        <v>#NUM!</v>
      </c>
    </row>
  </sheetData>
  <mergeCells count="26">
    <mergeCell ref="AE2:AE3"/>
    <mergeCell ref="AG2:AI2"/>
    <mergeCell ref="AK2:AM2"/>
    <mergeCell ref="A1:E1"/>
    <mergeCell ref="G1:R1"/>
    <mergeCell ref="T1:AE1"/>
    <mergeCell ref="V2:V3"/>
    <mergeCell ref="W2:W3"/>
    <mergeCell ref="X2:Z2"/>
    <mergeCell ref="AA2:AC2"/>
    <mergeCell ref="AD2:AD3"/>
    <mergeCell ref="N2:P2"/>
    <mergeCell ref="Q2:Q3"/>
    <mergeCell ref="R2:R3"/>
    <mergeCell ref="T2:T3"/>
    <mergeCell ref="U2:U3"/>
    <mergeCell ref="G2:G3"/>
    <mergeCell ref="H2:H3"/>
    <mergeCell ref="I2:I3"/>
    <mergeCell ref="J2:J3"/>
    <mergeCell ref="K2:M2"/>
    <mergeCell ref="A2:A3"/>
    <mergeCell ref="B2:B3"/>
    <mergeCell ref="C2:C3"/>
    <mergeCell ref="D2:D3"/>
    <mergeCell ref="E2:E3"/>
  </mergeCells>
  <conditionalFormatting sqref="AG4 AG5 AG6 AG7 AG8 AG9 AG10 AG11 AG12 AG13 AG14 AG15 AG16 AG17 AG18 AG19">
    <cfRule type="cellIs" dxfId="15" priority="11" operator="greaterThanOrEqual">
      <formula>0.03</formula>
    </cfRule>
    <cfRule type="cellIs" dxfId="14" priority="12" operator="lessThanOrEqual">
      <formula>-0.03</formula>
    </cfRule>
  </conditionalFormatting>
  <conditionalFormatting sqref="AH4 AH5 AH6 AH7 AH8 AH9 AH10 AH11 AH12 AH13 AH14 AH15 AH16 AH17 AH18 AH19">
    <cfRule type="cellIs" dxfId="13" priority="9" operator="greaterThanOrEqual">
      <formula>0.03</formula>
    </cfRule>
    <cfRule type="cellIs" dxfId="12" priority="10" operator="lessThanOrEqual">
      <formula>-0.03</formula>
    </cfRule>
  </conditionalFormatting>
  <conditionalFormatting sqref="AI4 AI5 AI6 AI7 AI8 AI9 AI10 AI11 AI12 AI13 AI14 AI15 AI16 AI17 AI18 AI19">
    <cfRule type="cellIs" dxfId="11" priority="7" operator="greaterThanOrEqual">
      <formula>0.03</formula>
    </cfRule>
    <cfRule type="cellIs" dxfId="10" priority="8" operator="lessThanOrEqual">
      <formula>-0.03</formula>
    </cfRule>
  </conditionalFormatting>
  <conditionalFormatting sqref="AK4 AK5 AK6 AK7 AK8 AK9 AK10 AK11 AK12 AK13 AK14 AK15 AK16 AK17 AK18 AK19">
    <cfRule type="cellIs" dxfId="9" priority="3" operator="greaterThanOrEqual">
      <formula>0.03</formula>
    </cfRule>
    <cfRule type="cellIs" dxfId="8" priority="4" operator="lessThanOrEqual">
      <formula>-0.03</formula>
    </cfRule>
  </conditionalFormatting>
  <conditionalFormatting sqref="AL4 AL5 AL6 AL7 AL8 AL9 AL10 AL11 AL12 AL13 AL14 AL15 AL16 AL17 AL18 AL19">
    <cfRule type="cellIs" dxfId="7" priority="5" operator="greaterThanOrEqual">
      <formula>0.03</formula>
    </cfRule>
    <cfRule type="cellIs" dxfId="6" priority="6" operator="lessThanOrEqual">
      <formula>-0.03</formula>
    </cfRule>
  </conditionalFormatting>
  <conditionalFormatting sqref="AM4 AM5 AM6 AM7 AM8 AM9 AM10 AM11 AM12 AM13 AM14 AM15 AM16 AM17 AM18 AM19">
    <cfRule type="cellIs" dxfId="5" priority="1" operator="greaterThanOrEqual">
      <formula>0.03</formula>
    </cfRule>
    <cfRule type="cellIs" dxfId="4" priority="2" operator="lessThanOrEqual">
      <formula>-0.03</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E40"/>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5" width="11.7109375" customWidth="1"/>
    <col min="18" max="18" width="1.7109375" customWidth="1"/>
    <col min="20" max="20" width="10.7109375" customWidth="1"/>
    <col min="21" max="21" width="12.7109375" customWidth="1"/>
    <col min="22" max="22" width="10.7109375" customWidth="1"/>
    <col min="23" max="23" width="12.7109375" customWidth="1"/>
    <col min="24" max="25" width="11.7109375" customWidth="1"/>
    <col min="28" max="28" width="1.7109375" customWidth="1"/>
    <col min="29" max="29" width="11.7109375" customWidth="1"/>
    <col min="30" max="30" width="1.7109375" customWidth="1"/>
    <col min="31" max="31" width="11.7109375" customWidth="1"/>
    <col min="32" max="32" width="1.7109375" customWidth="1"/>
  </cols>
  <sheetData>
    <row r="1" spans="1:31" x14ac:dyDescent="0.25">
      <c r="A1" s="76" t="s">
        <v>1453</v>
      </c>
      <c r="B1" s="76"/>
      <c r="C1" s="76"/>
      <c r="D1" s="76"/>
      <c r="E1" s="76"/>
      <c r="F1" s="76"/>
      <c r="G1" s="76"/>
      <c r="I1" s="65" t="s">
        <v>2</v>
      </c>
      <c r="J1" s="65"/>
      <c r="K1" s="65"/>
      <c r="L1" s="65"/>
      <c r="M1" s="65"/>
      <c r="N1" s="65"/>
      <c r="O1" s="65"/>
      <c r="P1" s="65"/>
      <c r="Q1" s="65"/>
      <c r="S1" s="66" t="s">
        <v>3</v>
      </c>
      <c r="T1" s="66"/>
      <c r="U1" s="66"/>
      <c r="V1" s="66"/>
      <c r="W1" s="66"/>
      <c r="X1" s="66"/>
      <c r="Y1" s="66"/>
      <c r="Z1" s="66"/>
      <c r="AA1" s="66"/>
    </row>
    <row r="2" spans="1:31" ht="30" customHeight="1" x14ac:dyDescent="0.25">
      <c r="A2" s="75" t="s">
        <v>97</v>
      </c>
      <c r="B2" s="73" t="s">
        <v>99</v>
      </c>
      <c r="C2" s="75" t="s">
        <v>275</v>
      </c>
      <c r="D2" s="73" t="s">
        <v>101</v>
      </c>
      <c r="E2" s="75" t="s">
        <v>103</v>
      </c>
      <c r="F2" s="73" t="s">
        <v>513</v>
      </c>
      <c r="G2" s="75" t="s">
        <v>515</v>
      </c>
      <c r="I2" s="73" t="s">
        <v>518</v>
      </c>
      <c r="J2" s="75" t="s">
        <v>520</v>
      </c>
      <c r="K2" s="73" t="s">
        <v>112</v>
      </c>
      <c r="L2" s="75" t="s">
        <v>26</v>
      </c>
      <c r="M2" s="73" t="s">
        <v>524</v>
      </c>
      <c r="N2" s="75" t="s">
        <v>1074</v>
      </c>
      <c r="O2" s="73" t="s">
        <v>1437</v>
      </c>
      <c r="P2" s="75" t="s">
        <v>118</v>
      </c>
      <c r="Q2" s="73" t="s">
        <v>120</v>
      </c>
      <c r="S2" s="75" t="s">
        <v>518</v>
      </c>
      <c r="T2" s="73" t="s">
        <v>520</v>
      </c>
      <c r="U2" s="75" t="s">
        <v>112</v>
      </c>
      <c r="V2" s="73" t="s">
        <v>26</v>
      </c>
      <c r="W2" s="75" t="s">
        <v>524</v>
      </c>
      <c r="X2" s="73" t="s">
        <v>1074</v>
      </c>
      <c r="Y2" s="75" t="s">
        <v>1437</v>
      </c>
      <c r="Z2" s="73" t="s">
        <v>118</v>
      </c>
      <c r="AA2" s="75" t="s">
        <v>120</v>
      </c>
      <c r="AC2" s="73" t="s">
        <v>1087</v>
      </c>
      <c r="AE2" s="75" t="s">
        <v>1451</v>
      </c>
    </row>
    <row r="3" spans="1:31" x14ac:dyDescent="0.25">
      <c r="A3" s="75"/>
      <c r="B3" s="73"/>
      <c r="C3" s="75"/>
      <c r="D3" s="73"/>
      <c r="E3" s="75"/>
      <c r="F3" s="73"/>
      <c r="G3" s="75"/>
      <c r="I3" s="73"/>
      <c r="J3" s="75"/>
      <c r="K3" s="73"/>
      <c r="L3" s="75"/>
      <c r="M3" s="73"/>
      <c r="N3" s="75"/>
      <c r="O3" s="73"/>
      <c r="P3" s="75"/>
      <c r="Q3" s="73"/>
      <c r="S3" s="75"/>
      <c r="T3" s="73"/>
      <c r="U3" s="75"/>
      <c r="V3" s="73"/>
      <c r="W3" s="75"/>
      <c r="X3" s="73"/>
      <c r="Y3" s="75"/>
      <c r="Z3" s="73"/>
      <c r="AA3" s="75"/>
      <c r="AC3" s="73"/>
      <c r="AE3" s="75"/>
    </row>
    <row r="4" spans="1:31" collapsed="1" x14ac:dyDescent="0.25">
      <c r="A4" s="18" t="s">
        <v>990</v>
      </c>
      <c r="B4" s="18" t="s">
        <v>981</v>
      </c>
      <c r="C4" s="19" t="s">
        <v>310</v>
      </c>
      <c r="D4" s="18">
        <v>19948121</v>
      </c>
      <c r="E4" s="19">
        <v>21</v>
      </c>
      <c r="F4" s="19">
        <v>1</v>
      </c>
      <c r="G4" s="19"/>
      <c r="I4" s="55" t="str">
        <f t="shared" ref="I4:I33" si="0">IF(OR(ISBLANK(M4),ISBLANK(G4)),"·",M4*G4/F4/1000000)</f>
        <v>·</v>
      </c>
      <c r="J4" s="21" t="str">
        <f t="shared" ref="J4:J33" si="1">IF(ISBLANK(M4),"·",M4/D4)</f>
        <v>·</v>
      </c>
      <c r="K4" s="21" t="str">
        <f t="shared" ref="K4:K33" si="2">IF(ISBLANK(M4),"·",M4/L4)</f>
        <v>·</v>
      </c>
      <c r="L4" s="22"/>
      <c r="M4" s="23"/>
      <c r="N4" s="49"/>
      <c r="O4" s="49"/>
      <c r="P4" s="24"/>
      <c r="Q4" s="24"/>
      <c r="S4" s="55" t="str">
        <f t="shared" ref="S4:S33" si="3">IF(OR(ISBLANK(W4),ISBLANK(G4)),"·",W4*G4/F4/1000000)</f>
        <v>·</v>
      </c>
      <c r="T4" s="21" t="str">
        <f t="shared" ref="T4:T33" si="4">IF(ISBLANK(W4),"·",W4/D4)</f>
        <v>·</v>
      </c>
      <c r="U4" s="21" t="str">
        <f t="shared" ref="U4:U33" si="5">IF(ISBLANK(W4),"·",W4/V4)</f>
        <v>·</v>
      </c>
      <c r="V4" s="22"/>
      <c r="W4" s="23"/>
      <c r="X4" s="49"/>
      <c r="Y4" s="49"/>
      <c r="Z4" s="24"/>
      <c r="AA4" s="24"/>
      <c r="AC4" s="50" t="e">
        <f>bdRateExtend( M4:M8,N4:N8, W4:W8,X4:X8)</f>
        <v>#VALUE!</v>
      </c>
      <c r="AE4" s="50" t="e">
        <f>bdRateExtend( M4:M8,O4:O8, W4:W8,Y4:Y8)</f>
        <v>#VALUE!</v>
      </c>
    </row>
    <row r="5" spans="1:31" outlineLevel="1" x14ac:dyDescent="0.25">
      <c r="A5" s="25"/>
      <c r="B5" s="25"/>
      <c r="C5" s="26" t="s">
        <v>311</v>
      </c>
      <c r="D5" s="25">
        <v>19948121</v>
      </c>
      <c r="E5" s="26">
        <v>21</v>
      </c>
      <c r="F5" s="26">
        <v>1</v>
      </c>
      <c r="G5" s="26"/>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E5" s="52"/>
    </row>
    <row r="6" spans="1:31" outlineLevel="1" x14ac:dyDescent="0.25">
      <c r="A6" s="18"/>
      <c r="B6" s="18"/>
      <c r="C6" s="19" t="s">
        <v>312</v>
      </c>
      <c r="D6" s="18">
        <v>19948121</v>
      </c>
      <c r="E6" s="19">
        <v>21</v>
      </c>
      <c r="F6" s="19">
        <v>1</v>
      </c>
      <c r="G6" s="19"/>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E6" s="50"/>
    </row>
    <row r="7" spans="1:31" outlineLevel="1" x14ac:dyDescent="0.25">
      <c r="A7" s="25"/>
      <c r="B7" s="25"/>
      <c r="C7" s="26" t="s">
        <v>313</v>
      </c>
      <c r="D7" s="25">
        <v>19948121</v>
      </c>
      <c r="E7" s="26">
        <v>21</v>
      </c>
      <c r="F7" s="26">
        <v>1</v>
      </c>
      <c r="G7" s="26"/>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E7" s="52"/>
    </row>
    <row r="8" spans="1:31" outlineLevel="1" x14ac:dyDescent="0.25">
      <c r="A8" s="18"/>
      <c r="B8" s="39"/>
      <c r="C8" s="40" t="s">
        <v>428</v>
      </c>
      <c r="D8" s="39">
        <v>19948121</v>
      </c>
      <c r="E8" s="40">
        <v>21</v>
      </c>
      <c r="F8" s="40">
        <v>1</v>
      </c>
      <c r="G8" s="40"/>
      <c r="I8" s="58" t="str">
        <f t="shared" si="0"/>
        <v>·</v>
      </c>
      <c r="J8" s="42" t="str">
        <f t="shared" si="1"/>
        <v>·</v>
      </c>
      <c r="K8" s="42" t="str">
        <f t="shared" si="2"/>
        <v>·</v>
      </c>
      <c r="L8" s="43"/>
      <c r="M8" s="44"/>
      <c r="N8" s="59"/>
      <c r="O8" s="59"/>
      <c r="P8" s="45"/>
      <c r="Q8" s="45"/>
      <c r="S8" s="58" t="str">
        <f t="shared" si="3"/>
        <v>·</v>
      </c>
      <c r="T8" s="42" t="str">
        <f t="shared" si="4"/>
        <v>·</v>
      </c>
      <c r="U8" s="42" t="str">
        <f t="shared" si="5"/>
        <v>·</v>
      </c>
      <c r="V8" s="43"/>
      <c r="W8" s="44"/>
      <c r="X8" s="59"/>
      <c r="Y8" s="59"/>
      <c r="Z8" s="45"/>
      <c r="AA8" s="45"/>
      <c r="AC8" s="60"/>
      <c r="AE8" s="60"/>
    </row>
    <row r="9" spans="1:31" collapsed="1" x14ac:dyDescent="0.25">
      <c r="A9" s="25"/>
      <c r="B9" s="25" t="s">
        <v>984</v>
      </c>
      <c r="C9" s="26" t="s">
        <v>310</v>
      </c>
      <c r="D9" s="25">
        <v>5255920</v>
      </c>
      <c r="E9" s="26">
        <v>20</v>
      </c>
      <c r="F9" s="26">
        <v>1</v>
      </c>
      <c r="G9" s="26"/>
      <c r="I9" s="56" t="str">
        <f t="shared" si="0"/>
        <v>·</v>
      </c>
      <c r="J9" s="28" t="str">
        <f t="shared" si="1"/>
        <v>·</v>
      </c>
      <c r="K9" s="28" t="str">
        <f t="shared" si="2"/>
        <v>·</v>
      </c>
      <c r="L9" s="29"/>
      <c r="M9" s="30"/>
      <c r="N9" s="51"/>
      <c r="O9" s="51"/>
      <c r="P9" s="31"/>
      <c r="Q9" s="31"/>
      <c r="S9" s="56" t="str">
        <f t="shared" si="3"/>
        <v>·</v>
      </c>
      <c r="T9" s="28" t="str">
        <f t="shared" si="4"/>
        <v>·</v>
      </c>
      <c r="U9" s="28" t="str">
        <f t="shared" si="5"/>
        <v>·</v>
      </c>
      <c r="V9" s="29"/>
      <c r="W9" s="30"/>
      <c r="X9" s="51"/>
      <c r="Y9" s="51"/>
      <c r="Z9" s="31"/>
      <c r="AA9" s="31"/>
      <c r="AC9" s="52" t="e">
        <f>bdRateExtend( M9:M13,N9:N13, W9:W13,X9:X13)</f>
        <v>#VALUE!</v>
      </c>
      <c r="AE9" s="52" t="e">
        <f>bdRateExtend( M9:M13,O9:O13, W9:W13,Y9:Y13)</f>
        <v>#VALUE!</v>
      </c>
    </row>
    <row r="10" spans="1:31" outlineLevel="1" x14ac:dyDescent="0.25">
      <c r="A10" s="18"/>
      <c r="B10" s="18"/>
      <c r="C10" s="19" t="s">
        <v>311</v>
      </c>
      <c r="D10" s="18">
        <v>5255920</v>
      </c>
      <c r="E10" s="19">
        <v>20</v>
      </c>
      <c r="F10" s="19">
        <v>1</v>
      </c>
      <c r="G10" s="19"/>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c r="AE10" s="50"/>
    </row>
    <row r="11" spans="1:31" outlineLevel="1" x14ac:dyDescent="0.25">
      <c r="A11" s="25"/>
      <c r="B11" s="25"/>
      <c r="C11" s="26" t="s">
        <v>312</v>
      </c>
      <c r="D11" s="25">
        <v>5255920</v>
      </c>
      <c r="E11" s="26">
        <v>20</v>
      </c>
      <c r="F11" s="26">
        <v>1</v>
      </c>
      <c r="G11" s="26"/>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E11" s="52"/>
    </row>
    <row r="12" spans="1:31" outlineLevel="1" x14ac:dyDescent="0.25">
      <c r="A12" s="18"/>
      <c r="B12" s="18"/>
      <c r="C12" s="19" t="s">
        <v>313</v>
      </c>
      <c r="D12" s="18">
        <v>5255920</v>
      </c>
      <c r="E12" s="19">
        <v>20</v>
      </c>
      <c r="F12" s="19">
        <v>1</v>
      </c>
      <c r="G12" s="19"/>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E12" s="50"/>
    </row>
    <row r="13" spans="1:31" outlineLevel="1" x14ac:dyDescent="0.25">
      <c r="A13" s="25"/>
      <c r="B13" s="32"/>
      <c r="C13" s="33" t="s">
        <v>428</v>
      </c>
      <c r="D13" s="32">
        <v>5255920</v>
      </c>
      <c r="E13" s="33">
        <v>20</v>
      </c>
      <c r="F13" s="33">
        <v>1</v>
      </c>
      <c r="G13" s="33"/>
      <c r="I13" s="57" t="str">
        <f t="shared" si="0"/>
        <v>·</v>
      </c>
      <c r="J13" s="35" t="str">
        <f t="shared" si="1"/>
        <v>·</v>
      </c>
      <c r="K13" s="35" t="str">
        <f t="shared" si="2"/>
        <v>·</v>
      </c>
      <c r="L13" s="36"/>
      <c r="M13" s="37"/>
      <c r="N13" s="53"/>
      <c r="O13" s="53"/>
      <c r="P13" s="38"/>
      <c r="Q13" s="38"/>
      <c r="S13" s="57" t="str">
        <f t="shared" si="3"/>
        <v>·</v>
      </c>
      <c r="T13" s="35" t="str">
        <f t="shared" si="4"/>
        <v>·</v>
      </c>
      <c r="U13" s="35" t="str">
        <f t="shared" si="5"/>
        <v>·</v>
      </c>
      <c r="V13" s="36"/>
      <c r="W13" s="37"/>
      <c r="X13" s="53"/>
      <c r="Y13" s="53"/>
      <c r="Z13" s="38"/>
      <c r="AA13" s="38"/>
      <c r="AC13" s="54"/>
      <c r="AE13" s="54"/>
    </row>
    <row r="14" spans="1:31" collapsed="1" x14ac:dyDescent="0.25">
      <c r="A14" s="18"/>
      <c r="B14" s="18" t="s">
        <v>987</v>
      </c>
      <c r="C14" s="19" t="s">
        <v>310</v>
      </c>
      <c r="D14" s="18">
        <v>7148516</v>
      </c>
      <c r="E14" s="19">
        <v>21</v>
      </c>
      <c r="F14" s="19">
        <v>1</v>
      </c>
      <c r="G14" s="19"/>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t="e">
        <f>bdRateExtend( M14:M18,N14:N18, W14:W18,X14:X18)</f>
        <v>#VALUE!</v>
      </c>
      <c r="AE14" s="50" t="e">
        <f>bdRateExtend( M14:M18,O14:O18, W14:W18,Y14:Y18)</f>
        <v>#VALUE!</v>
      </c>
    </row>
    <row r="15" spans="1:31" outlineLevel="1" x14ac:dyDescent="0.25">
      <c r="A15" s="25"/>
      <c r="B15" s="25"/>
      <c r="C15" s="26" t="s">
        <v>311</v>
      </c>
      <c r="D15" s="25">
        <v>7148516</v>
      </c>
      <c r="E15" s="26">
        <v>21</v>
      </c>
      <c r="F15" s="26">
        <v>1</v>
      </c>
      <c r="G15" s="26"/>
      <c r="I15" s="56" t="str">
        <f t="shared" si="0"/>
        <v>·</v>
      </c>
      <c r="J15" s="28" t="str">
        <f t="shared" si="1"/>
        <v>·</v>
      </c>
      <c r="K15" s="28" t="str">
        <f t="shared" si="2"/>
        <v>·</v>
      </c>
      <c r="L15" s="29"/>
      <c r="M15" s="30"/>
      <c r="N15" s="51"/>
      <c r="O15" s="51"/>
      <c r="P15" s="31"/>
      <c r="Q15" s="31"/>
      <c r="S15" s="56" t="str">
        <f t="shared" si="3"/>
        <v>·</v>
      </c>
      <c r="T15" s="28" t="str">
        <f t="shared" si="4"/>
        <v>·</v>
      </c>
      <c r="U15" s="28" t="str">
        <f t="shared" si="5"/>
        <v>·</v>
      </c>
      <c r="V15" s="29"/>
      <c r="W15" s="30"/>
      <c r="X15" s="51"/>
      <c r="Y15" s="51"/>
      <c r="Z15" s="31"/>
      <c r="AA15" s="31"/>
      <c r="AC15" s="52"/>
      <c r="AE15" s="52"/>
    </row>
    <row r="16" spans="1:31" outlineLevel="1" x14ac:dyDescent="0.25">
      <c r="A16" s="18"/>
      <c r="B16" s="18"/>
      <c r="C16" s="19" t="s">
        <v>312</v>
      </c>
      <c r="D16" s="18">
        <v>7148516</v>
      </c>
      <c r="E16" s="19">
        <v>21</v>
      </c>
      <c r="F16" s="19">
        <v>1</v>
      </c>
      <c r="G16" s="19"/>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c r="AE16" s="50"/>
    </row>
    <row r="17" spans="1:31" outlineLevel="1" x14ac:dyDescent="0.25">
      <c r="A17" s="25"/>
      <c r="B17" s="25"/>
      <c r="C17" s="26" t="s">
        <v>313</v>
      </c>
      <c r="D17" s="25">
        <v>7148516</v>
      </c>
      <c r="E17" s="26">
        <v>21</v>
      </c>
      <c r="F17" s="26">
        <v>1</v>
      </c>
      <c r="G17" s="26"/>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E17" s="52"/>
    </row>
    <row r="18" spans="1:31" outlineLevel="1" x14ac:dyDescent="0.25">
      <c r="A18" s="39"/>
      <c r="B18" s="39"/>
      <c r="C18" s="40" t="s">
        <v>428</v>
      </c>
      <c r="D18" s="39">
        <v>7148516</v>
      </c>
      <c r="E18" s="40">
        <v>21</v>
      </c>
      <c r="F18" s="40">
        <v>1</v>
      </c>
      <c r="G18" s="40"/>
      <c r="I18" s="58" t="str">
        <f t="shared" si="0"/>
        <v>·</v>
      </c>
      <c r="J18" s="42" t="str">
        <f t="shared" si="1"/>
        <v>·</v>
      </c>
      <c r="K18" s="42" t="str">
        <f t="shared" si="2"/>
        <v>·</v>
      </c>
      <c r="L18" s="43"/>
      <c r="M18" s="44"/>
      <c r="N18" s="59"/>
      <c r="O18" s="59"/>
      <c r="P18" s="45"/>
      <c r="Q18" s="45"/>
      <c r="S18" s="58" t="str">
        <f t="shared" si="3"/>
        <v>·</v>
      </c>
      <c r="T18" s="42" t="str">
        <f t="shared" si="4"/>
        <v>·</v>
      </c>
      <c r="U18" s="42" t="str">
        <f t="shared" si="5"/>
        <v>·</v>
      </c>
      <c r="V18" s="43"/>
      <c r="W18" s="44"/>
      <c r="X18" s="59"/>
      <c r="Y18" s="59"/>
      <c r="Z18" s="45"/>
      <c r="AA18" s="45"/>
      <c r="AC18" s="60"/>
      <c r="AE18" s="60"/>
    </row>
    <row r="19" spans="1:31" collapsed="1" x14ac:dyDescent="0.25">
      <c r="A19" s="25" t="s">
        <v>1000</v>
      </c>
      <c r="B19" s="25" t="s">
        <v>991</v>
      </c>
      <c r="C19" s="26" t="s">
        <v>310</v>
      </c>
      <c r="D19" s="25">
        <v>123940658</v>
      </c>
      <c r="E19" s="26">
        <v>18</v>
      </c>
      <c r="F19" s="26">
        <v>1500</v>
      </c>
      <c r="G19" s="26">
        <v>10</v>
      </c>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t="e">
        <f>bdRateExtend( M19:M23,N19:N23, W19:W23,X19:X23)</f>
        <v>#VALUE!</v>
      </c>
      <c r="AE19" s="52" t="e">
        <f>bdRateExtend( M19:M23,O19:O23, W19:W23,Y19:Y23)</f>
        <v>#VALUE!</v>
      </c>
    </row>
    <row r="20" spans="1:31" outlineLevel="1" x14ac:dyDescent="0.25">
      <c r="A20" s="18"/>
      <c r="B20" s="18"/>
      <c r="C20" s="19" t="s">
        <v>311</v>
      </c>
      <c r="D20" s="18">
        <v>123940658</v>
      </c>
      <c r="E20" s="19">
        <v>18</v>
      </c>
      <c r="F20" s="19">
        <v>1500</v>
      </c>
      <c r="G20" s="19">
        <v>10</v>
      </c>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E20" s="50"/>
    </row>
    <row r="21" spans="1:31" outlineLevel="1" x14ac:dyDescent="0.25">
      <c r="A21" s="25"/>
      <c r="B21" s="25"/>
      <c r="C21" s="26" t="s">
        <v>312</v>
      </c>
      <c r="D21" s="25">
        <v>123940658</v>
      </c>
      <c r="E21" s="26">
        <v>18</v>
      </c>
      <c r="F21" s="26">
        <v>1500</v>
      </c>
      <c r="G21" s="26">
        <v>10</v>
      </c>
      <c r="I21" s="56" t="str">
        <f t="shared" si="0"/>
        <v>·</v>
      </c>
      <c r="J21" s="28" t="str">
        <f t="shared" si="1"/>
        <v>·</v>
      </c>
      <c r="K21" s="28" t="str">
        <f t="shared" si="2"/>
        <v>·</v>
      </c>
      <c r="L21" s="29"/>
      <c r="M21" s="30"/>
      <c r="N21" s="51"/>
      <c r="O21" s="51"/>
      <c r="P21" s="31"/>
      <c r="Q21" s="31"/>
      <c r="S21" s="56" t="str">
        <f t="shared" si="3"/>
        <v>·</v>
      </c>
      <c r="T21" s="28" t="str">
        <f t="shared" si="4"/>
        <v>·</v>
      </c>
      <c r="U21" s="28" t="str">
        <f t="shared" si="5"/>
        <v>·</v>
      </c>
      <c r="V21" s="29"/>
      <c r="W21" s="30"/>
      <c r="X21" s="51"/>
      <c r="Y21" s="51"/>
      <c r="Z21" s="31"/>
      <c r="AA21" s="31"/>
      <c r="AC21" s="52"/>
      <c r="AE21" s="52"/>
    </row>
    <row r="22" spans="1:31" outlineLevel="1" x14ac:dyDescent="0.25">
      <c r="A22" s="18"/>
      <c r="B22" s="18"/>
      <c r="C22" s="19" t="s">
        <v>313</v>
      </c>
      <c r="D22" s="18">
        <v>123940658</v>
      </c>
      <c r="E22" s="19">
        <v>18</v>
      </c>
      <c r="F22" s="19">
        <v>1500</v>
      </c>
      <c r="G22" s="19">
        <v>10</v>
      </c>
      <c r="I22" s="55" t="str">
        <f t="shared" si="0"/>
        <v>·</v>
      </c>
      <c r="J22" s="21" t="str">
        <f t="shared" si="1"/>
        <v>·</v>
      </c>
      <c r="K22" s="21" t="str">
        <f t="shared" si="2"/>
        <v>·</v>
      </c>
      <c r="L22" s="22"/>
      <c r="M22" s="23"/>
      <c r="N22" s="49"/>
      <c r="O22" s="49"/>
      <c r="P22" s="24"/>
      <c r="Q22" s="24"/>
      <c r="S22" s="55" t="str">
        <f t="shared" si="3"/>
        <v>·</v>
      </c>
      <c r="T22" s="21" t="str">
        <f t="shared" si="4"/>
        <v>·</v>
      </c>
      <c r="U22" s="21" t="str">
        <f t="shared" si="5"/>
        <v>·</v>
      </c>
      <c r="V22" s="22"/>
      <c r="W22" s="23"/>
      <c r="X22" s="49"/>
      <c r="Y22" s="49"/>
      <c r="Z22" s="24"/>
      <c r="AA22" s="24"/>
      <c r="AC22" s="50"/>
      <c r="AE22" s="50"/>
    </row>
    <row r="23" spans="1:31" outlineLevel="1" x14ac:dyDescent="0.25">
      <c r="A23" s="25"/>
      <c r="B23" s="32"/>
      <c r="C23" s="33" t="s">
        <v>428</v>
      </c>
      <c r="D23" s="32">
        <v>123940658</v>
      </c>
      <c r="E23" s="33">
        <v>18</v>
      </c>
      <c r="F23" s="33">
        <v>1500</v>
      </c>
      <c r="G23" s="33">
        <v>10</v>
      </c>
      <c r="I23" s="57" t="str">
        <f t="shared" si="0"/>
        <v>·</v>
      </c>
      <c r="J23" s="35" t="str">
        <f t="shared" si="1"/>
        <v>·</v>
      </c>
      <c r="K23" s="35" t="str">
        <f t="shared" si="2"/>
        <v>·</v>
      </c>
      <c r="L23" s="36"/>
      <c r="M23" s="37"/>
      <c r="N23" s="53"/>
      <c r="O23" s="53"/>
      <c r="P23" s="38"/>
      <c r="Q23" s="38"/>
      <c r="S23" s="57" t="str">
        <f t="shared" si="3"/>
        <v>·</v>
      </c>
      <c r="T23" s="35" t="str">
        <f t="shared" si="4"/>
        <v>·</v>
      </c>
      <c r="U23" s="35" t="str">
        <f t="shared" si="5"/>
        <v>·</v>
      </c>
      <c r="V23" s="36"/>
      <c r="W23" s="37"/>
      <c r="X23" s="53"/>
      <c r="Y23" s="53"/>
      <c r="Z23" s="38"/>
      <c r="AA23" s="38"/>
      <c r="AC23" s="54"/>
      <c r="AE23" s="54"/>
    </row>
    <row r="24" spans="1:31" collapsed="1" x14ac:dyDescent="0.25">
      <c r="A24" s="18"/>
      <c r="B24" s="18" t="s">
        <v>994</v>
      </c>
      <c r="C24" s="19" t="s">
        <v>310</v>
      </c>
      <c r="D24" s="18">
        <v>125751705</v>
      </c>
      <c r="E24" s="19">
        <v>18</v>
      </c>
      <c r="F24" s="19">
        <v>1500</v>
      </c>
      <c r="G24" s="19">
        <v>10</v>
      </c>
      <c r="I24" s="55" t="str">
        <f t="shared" si="0"/>
        <v>·</v>
      </c>
      <c r="J24" s="21" t="str">
        <f t="shared" si="1"/>
        <v>·</v>
      </c>
      <c r="K24" s="21" t="str">
        <f t="shared" si="2"/>
        <v>·</v>
      </c>
      <c r="L24" s="22"/>
      <c r="M24" s="23"/>
      <c r="N24" s="49"/>
      <c r="O24" s="49"/>
      <c r="P24" s="24"/>
      <c r="Q24" s="24"/>
      <c r="S24" s="55" t="str">
        <f t="shared" si="3"/>
        <v>·</v>
      </c>
      <c r="T24" s="21" t="str">
        <f t="shared" si="4"/>
        <v>·</v>
      </c>
      <c r="U24" s="21" t="str">
        <f t="shared" si="5"/>
        <v>·</v>
      </c>
      <c r="V24" s="22"/>
      <c r="W24" s="23"/>
      <c r="X24" s="49"/>
      <c r="Y24" s="49"/>
      <c r="Z24" s="24"/>
      <c r="AA24" s="24"/>
      <c r="AC24" s="50" t="e">
        <f>bdRateExtend( M24:M28,N24:N28, W24:W28,X24:X28)</f>
        <v>#VALUE!</v>
      </c>
      <c r="AE24" s="50" t="e">
        <f>bdRateExtend( M24:M28,O24:O28, W24:W28,Y24:Y28)</f>
        <v>#VALUE!</v>
      </c>
    </row>
    <row r="25" spans="1:31" outlineLevel="1" x14ac:dyDescent="0.25">
      <c r="A25" s="25"/>
      <c r="B25" s="25"/>
      <c r="C25" s="26" t="s">
        <v>311</v>
      </c>
      <c r="D25" s="25">
        <v>125751705</v>
      </c>
      <c r="E25" s="26">
        <v>18</v>
      </c>
      <c r="F25" s="26">
        <v>1500</v>
      </c>
      <c r="G25" s="26">
        <v>10</v>
      </c>
      <c r="I25" s="56" t="str">
        <f t="shared" si="0"/>
        <v>·</v>
      </c>
      <c r="J25" s="28" t="str">
        <f t="shared" si="1"/>
        <v>·</v>
      </c>
      <c r="K25" s="28" t="str">
        <f t="shared" si="2"/>
        <v>·</v>
      </c>
      <c r="L25" s="29"/>
      <c r="M25" s="30"/>
      <c r="N25" s="51"/>
      <c r="O25" s="51"/>
      <c r="P25" s="31"/>
      <c r="Q25" s="31"/>
      <c r="S25" s="56" t="str">
        <f t="shared" si="3"/>
        <v>·</v>
      </c>
      <c r="T25" s="28" t="str">
        <f t="shared" si="4"/>
        <v>·</v>
      </c>
      <c r="U25" s="28" t="str">
        <f t="shared" si="5"/>
        <v>·</v>
      </c>
      <c r="V25" s="29"/>
      <c r="W25" s="30"/>
      <c r="X25" s="51"/>
      <c r="Y25" s="51"/>
      <c r="Z25" s="31"/>
      <c r="AA25" s="31"/>
      <c r="AC25" s="52"/>
      <c r="AE25" s="52"/>
    </row>
    <row r="26" spans="1:31" outlineLevel="1" x14ac:dyDescent="0.25">
      <c r="A26" s="18"/>
      <c r="B26" s="18"/>
      <c r="C26" s="19" t="s">
        <v>312</v>
      </c>
      <c r="D26" s="18">
        <v>125751705</v>
      </c>
      <c r="E26" s="19">
        <v>18</v>
      </c>
      <c r="F26" s="19">
        <v>1500</v>
      </c>
      <c r="G26" s="19">
        <v>10</v>
      </c>
      <c r="I26" s="55" t="str">
        <f t="shared" si="0"/>
        <v>·</v>
      </c>
      <c r="J26" s="21" t="str">
        <f t="shared" si="1"/>
        <v>·</v>
      </c>
      <c r="K26" s="21" t="str">
        <f t="shared" si="2"/>
        <v>·</v>
      </c>
      <c r="L26" s="22"/>
      <c r="M26" s="23"/>
      <c r="N26" s="49"/>
      <c r="O26" s="49"/>
      <c r="P26" s="24"/>
      <c r="Q26" s="24"/>
      <c r="S26" s="55" t="str">
        <f t="shared" si="3"/>
        <v>·</v>
      </c>
      <c r="T26" s="21" t="str">
        <f t="shared" si="4"/>
        <v>·</v>
      </c>
      <c r="U26" s="21" t="str">
        <f t="shared" si="5"/>
        <v>·</v>
      </c>
      <c r="V26" s="22"/>
      <c r="W26" s="23"/>
      <c r="X26" s="49"/>
      <c r="Y26" s="49"/>
      <c r="Z26" s="24"/>
      <c r="AA26" s="24"/>
      <c r="AC26" s="50"/>
      <c r="AE26" s="50"/>
    </row>
    <row r="27" spans="1:31" outlineLevel="1" x14ac:dyDescent="0.25">
      <c r="A27" s="25"/>
      <c r="B27" s="25"/>
      <c r="C27" s="26" t="s">
        <v>313</v>
      </c>
      <c r="D27" s="25">
        <v>125751705</v>
      </c>
      <c r="E27" s="26">
        <v>18</v>
      </c>
      <c r="F27" s="26">
        <v>1500</v>
      </c>
      <c r="G27" s="26">
        <v>10</v>
      </c>
      <c r="I27" s="56" t="str">
        <f t="shared" si="0"/>
        <v>·</v>
      </c>
      <c r="J27" s="28" t="str">
        <f t="shared" si="1"/>
        <v>·</v>
      </c>
      <c r="K27" s="28" t="str">
        <f t="shared" si="2"/>
        <v>·</v>
      </c>
      <c r="L27" s="29"/>
      <c r="M27" s="30"/>
      <c r="N27" s="51"/>
      <c r="O27" s="51"/>
      <c r="P27" s="31"/>
      <c r="Q27" s="31"/>
      <c r="S27" s="56" t="str">
        <f t="shared" si="3"/>
        <v>·</v>
      </c>
      <c r="T27" s="28" t="str">
        <f t="shared" si="4"/>
        <v>·</v>
      </c>
      <c r="U27" s="28" t="str">
        <f t="shared" si="5"/>
        <v>·</v>
      </c>
      <c r="V27" s="29"/>
      <c r="W27" s="30"/>
      <c r="X27" s="51"/>
      <c r="Y27" s="51"/>
      <c r="Z27" s="31"/>
      <c r="AA27" s="31"/>
      <c r="AC27" s="52"/>
      <c r="AE27" s="52"/>
    </row>
    <row r="28" spans="1:31" outlineLevel="1" x14ac:dyDescent="0.25">
      <c r="A28" s="18"/>
      <c r="B28" s="39"/>
      <c r="C28" s="40" t="s">
        <v>428</v>
      </c>
      <c r="D28" s="39">
        <v>125751705</v>
      </c>
      <c r="E28" s="40">
        <v>18</v>
      </c>
      <c r="F28" s="40">
        <v>1500</v>
      </c>
      <c r="G28" s="40">
        <v>10</v>
      </c>
      <c r="I28" s="58" t="str">
        <f t="shared" si="0"/>
        <v>·</v>
      </c>
      <c r="J28" s="42" t="str">
        <f t="shared" si="1"/>
        <v>·</v>
      </c>
      <c r="K28" s="42" t="str">
        <f t="shared" si="2"/>
        <v>·</v>
      </c>
      <c r="L28" s="43"/>
      <c r="M28" s="44"/>
      <c r="N28" s="59"/>
      <c r="O28" s="59"/>
      <c r="P28" s="45"/>
      <c r="Q28" s="45"/>
      <c r="S28" s="58" t="str">
        <f t="shared" si="3"/>
        <v>·</v>
      </c>
      <c r="T28" s="42" t="str">
        <f t="shared" si="4"/>
        <v>·</v>
      </c>
      <c r="U28" s="42" t="str">
        <f t="shared" si="5"/>
        <v>·</v>
      </c>
      <c r="V28" s="43"/>
      <c r="W28" s="44"/>
      <c r="X28" s="59"/>
      <c r="Y28" s="59"/>
      <c r="Z28" s="45"/>
      <c r="AA28" s="45"/>
      <c r="AC28" s="60"/>
      <c r="AE28" s="60"/>
    </row>
    <row r="29" spans="1:31" collapsed="1" x14ac:dyDescent="0.25">
      <c r="A29" s="25"/>
      <c r="B29" s="25" t="s">
        <v>997</v>
      </c>
      <c r="C29" s="26" t="s">
        <v>310</v>
      </c>
      <c r="D29" s="25">
        <v>126093865</v>
      </c>
      <c r="E29" s="26">
        <v>18</v>
      </c>
      <c r="F29" s="26">
        <v>1500</v>
      </c>
      <c r="G29" s="26">
        <v>10</v>
      </c>
      <c r="I29" s="56" t="str">
        <f t="shared" si="0"/>
        <v>·</v>
      </c>
      <c r="J29" s="28" t="str">
        <f t="shared" si="1"/>
        <v>·</v>
      </c>
      <c r="K29" s="28" t="str">
        <f t="shared" si="2"/>
        <v>·</v>
      </c>
      <c r="L29" s="29"/>
      <c r="M29" s="30"/>
      <c r="N29" s="51"/>
      <c r="O29" s="51"/>
      <c r="P29" s="31"/>
      <c r="Q29" s="31"/>
      <c r="S29" s="56" t="str">
        <f t="shared" si="3"/>
        <v>·</v>
      </c>
      <c r="T29" s="28" t="str">
        <f t="shared" si="4"/>
        <v>·</v>
      </c>
      <c r="U29" s="28" t="str">
        <f t="shared" si="5"/>
        <v>·</v>
      </c>
      <c r="V29" s="29"/>
      <c r="W29" s="30"/>
      <c r="X29" s="51"/>
      <c r="Y29" s="51"/>
      <c r="Z29" s="31"/>
      <c r="AA29" s="31"/>
      <c r="AC29" s="52" t="e">
        <f>bdRateExtend( M29:M33,N29:N33, W29:W33,X29:X33)</f>
        <v>#VALUE!</v>
      </c>
      <c r="AE29" s="52" t="e">
        <f>bdRateExtend( M29:M33,O29:O33, W29:W33,Y29:Y33)</f>
        <v>#VALUE!</v>
      </c>
    </row>
    <row r="30" spans="1:31" outlineLevel="1" x14ac:dyDescent="0.25">
      <c r="A30" s="18"/>
      <c r="B30" s="18"/>
      <c r="C30" s="19" t="s">
        <v>311</v>
      </c>
      <c r="D30" s="18">
        <v>126093865</v>
      </c>
      <c r="E30" s="19">
        <v>18</v>
      </c>
      <c r="F30" s="19">
        <v>1500</v>
      </c>
      <c r="G30" s="19">
        <v>10</v>
      </c>
      <c r="I30" s="55" t="str">
        <f t="shared" si="0"/>
        <v>·</v>
      </c>
      <c r="J30" s="21" t="str">
        <f t="shared" si="1"/>
        <v>·</v>
      </c>
      <c r="K30" s="21" t="str">
        <f t="shared" si="2"/>
        <v>·</v>
      </c>
      <c r="L30" s="22"/>
      <c r="M30" s="23"/>
      <c r="N30" s="49"/>
      <c r="O30" s="49"/>
      <c r="P30" s="24"/>
      <c r="Q30" s="24"/>
      <c r="S30" s="55" t="str">
        <f t="shared" si="3"/>
        <v>·</v>
      </c>
      <c r="T30" s="21" t="str">
        <f t="shared" si="4"/>
        <v>·</v>
      </c>
      <c r="U30" s="21" t="str">
        <f t="shared" si="5"/>
        <v>·</v>
      </c>
      <c r="V30" s="22"/>
      <c r="W30" s="23"/>
      <c r="X30" s="49"/>
      <c r="Y30" s="49"/>
      <c r="Z30" s="24"/>
      <c r="AA30" s="24"/>
      <c r="AC30" s="50"/>
      <c r="AE30" s="50"/>
    </row>
    <row r="31" spans="1:31" outlineLevel="1" x14ac:dyDescent="0.25">
      <c r="A31" s="25"/>
      <c r="B31" s="25"/>
      <c r="C31" s="26" t="s">
        <v>312</v>
      </c>
      <c r="D31" s="25">
        <v>126093865</v>
      </c>
      <c r="E31" s="26">
        <v>18</v>
      </c>
      <c r="F31" s="26">
        <v>1500</v>
      </c>
      <c r="G31" s="26">
        <v>10</v>
      </c>
      <c r="I31" s="56" t="str">
        <f t="shared" si="0"/>
        <v>·</v>
      </c>
      <c r="J31" s="28" t="str">
        <f t="shared" si="1"/>
        <v>·</v>
      </c>
      <c r="K31" s="28" t="str">
        <f t="shared" si="2"/>
        <v>·</v>
      </c>
      <c r="L31" s="29"/>
      <c r="M31" s="30"/>
      <c r="N31" s="51"/>
      <c r="O31" s="51"/>
      <c r="P31" s="31"/>
      <c r="Q31" s="31"/>
      <c r="S31" s="56" t="str">
        <f t="shared" si="3"/>
        <v>·</v>
      </c>
      <c r="T31" s="28" t="str">
        <f t="shared" si="4"/>
        <v>·</v>
      </c>
      <c r="U31" s="28" t="str">
        <f t="shared" si="5"/>
        <v>·</v>
      </c>
      <c r="V31" s="29"/>
      <c r="W31" s="30"/>
      <c r="X31" s="51"/>
      <c r="Y31" s="51"/>
      <c r="Z31" s="31"/>
      <c r="AA31" s="31"/>
      <c r="AC31" s="52"/>
      <c r="AE31" s="52"/>
    </row>
    <row r="32" spans="1:31" outlineLevel="1" x14ac:dyDescent="0.25">
      <c r="A32" s="18"/>
      <c r="B32" s="18"/>
      <c r="C32" s="19" t="s">
        <v>313</v>
      </c>
      <c r="D32" s="18">
        <v>126093865</v>
      </c>
      <c r="E32" s="19">
        <v>18</v>
      </c>
      <c r="F32" s="19">
        <v>1500</v>
      </c>
      <c r="G32" s="19">
        <v>10</v>
      </c>
      <c r="I32" s="55" t="str">
        <f t="shared" si="0"/>
        <v>·</v>
      </c>
      <c r="J32" s="21" t="str">
        <f t="shared" si="1"/>
        <v>·</v>
      </c>
      <c r="K32" s="21" t="str">
        <f t="shared" si="2"/>
        <v>·</v>
      </c>
      <c r="L32" s="22"/>
      <c r="M32" s="23"/>
      <c r="N32" s="49"/>
      <c r="O32" s="49"/>
      <c r="P32" s="24"/>
      <c r="Q32" s="24"/>
      <c r="S32" s="55" t="str">
        <f t="shared" si="3"/>
        <v>·</v>
      </c>
      <c r="T32" s="21" t="str">
        <f t="shared" si="4"/>
        <v>·</v>
      </c>
      <c r="U32" s="21" t="str">
        <f t="shared" si="5"/>
        <v>·</v>
      </c>
      <c r="V32" s="22"/>
      <c r="W32" s="23"/>
      <c r="X32" s="49"/>
      <c r="Y32" s="49"/>
      <c r="Z32" s="24"/>
      <c r="AA32" s="24"/>
      <c r="AC32" s="50"/>
      <c r="AE32" s="50"/>
    </row>
    <row r="33" spans="1:31" outlineLevel="1" x14ac:dyDescent="0.25">
      <c r="A33" s="32"/>
      <c r="B33" s="32"/>
      <c r="C33" s="33" t="s">
        <v>428</v>
      </c>
      <c r="D33" s="32">
        <v>126093865</v>
      </c>
      <c r="E33" s="33">
        <v>18</v>
      </c>
      <c r="F33" s="33">
        <v>1500</v>
      </c>
      <c r="G33" s="33">
        <v>10</v>
      </c>
      <c r="I33" s="57" t="str">
        <f t="shared" si="0"/>
        <v>·</v>
      </c>
      <c r="J33" s="35" t="str">
        <f t="shared" si="1"/>
        <v>·</v>
      </c>
      <c r="K33" s="35" t="str">
        <f t="shared" si="2"/>
        <v>·</v>
      </c>
      <c r="L33" s="36"/>
      <c r="M33" s="37"/>
      <c r="N33" s="53"/>
      <c r="O33" s="53"/>
      <c r="P33" s="38"/>
      <c r="Q33" s="38"/>
      <c r="S33" s="57" t="str">
        <f t="shared" si="3"/>
        <v>·</v>
      </c>
      <c r="T33" s="35" t="str">
        <f t="shared" si="4"/>
        <v>·</v>
      </c>
      <c r="U33" s="35" t="str">
        <f t="shared" si="5"/>
        <v>·</v>
      </c>
      <c r="V33" s="36"/>
      <c r="W33" s="37"/>
      <c r="X33" s="53"/>
      <c r="Y33" s="53"/>
      <c r="Z33" s="38"/>
      <c r="AA33" s="38"/>
      <c r="AC33" s="54"/>
      <c r="AE33" s="54"/>
    </row>
    <row r="34" spans="1:31" x14ac:dyDescent="0.25">
      <c r="B34" s="46" t="s">
        <v>1001</v>
      </c>
      <c r="J34" s="47" t="e">
        <f>AVERAGE(J4:J18)</f>
        <v>#DIV/0!</v>
      </c>
      <c r="T34" s="47" t="e">
        <f>AVERAGE(T4:T18)</f>
        <v>#DIV/0!</v>
      </c>
      <c r="AC34" s="11" t="e">
        <f>AVERAGE(AC4:AC18)</f>
        <v>#VALUE!</v>
      </c>
      <c r="AE34" s="11" t="e">
        <f>AVERAGE(AE4:AE18)</f>
        <v>#VALUE!</v>
      </c>
    </row>
    <row r="35" spans="1:31" x14ac:dyDescent="0.25">
      <c r="B35" s="46" t="s">
        <v>1002</v>
      </c>
      <c r="J35" s="47" t="e">
        <f>AVERAGE(J19:J33)</f>
        <v>#DIV/0!</v>
      </c>
      <c r="T35" s="47" t="e">
        <f>AVERAGE(T19:T33)</f>
        <v>#DIV/0!</v>
      </c>
      <c r="AC35" s="11" t="e">
        <f>AVERAGE(AC19:AC33)</f>
        <v>#VALUE!</v>
      </c>
      <c r="AE35" s="11" t="e">
        <f>AVERAGE(AE19:AE33)</f>
        <v>#VALUE!</v>
      </c>
    </row>
    <row r="36" spans="1:31" x14ac:dyDescent="0.25">
      <c r="B36" s="46" t="s">
        <v>258</v>
      </c>
      <c r="J36" s="47" t="e">
        <f>AVERAGE(J4:J18,J19:J33)</f>
        <v>#DIV/0!</v>
      </c>
      <c r="T36" s="47" t="e">
        <f>AVERAGE(T4:T18,T19:T33)</f>
        <v>#DIV/0!</v>
      </c>
      <c r="AC36" s="11" t="e">
        <f>AVERAGE(AC4:AC18,AC19:AC33)</f>
        <v>#VALUE!</v>
      </c>
      <c r="AE36" s="11" t="e">
        <f>AVERAGE(AE4:AE18,AE19:AE33)</f>
        <v>#VALUE!</v>
      </c>
    </row>
    <row r="37" spans="1:31" hidden="1" outlineLevel="2" x14ac:dyDescent="0.25">
      <c r="A37" s="46" t="s">
        <v>259</v>
      </c>
      <c r="B37" s="46" t="s">
        <v>260</v>
      </c>
      <c r="P37" s="48">
        <f>SUM(P4:P18,P19:P33)</f>
        <v>0</v>
      </c>
      <c r="Q37" s="48">
        <f>SUM(Q4:Q18,Q19:Q33)</f>
        <v>0</v>
      </c>
      <c r="Z37" s="48">
        <f>SUM(Z4:Z18,Z19:Z33)</f>
        <v>0</v>
      </c>
      <c r="AA37" s="48">
        <f>SUM(AA4:AA18,AA19:AA33)</f>
        <v>0</v>
      </c>
    </row>
    <row r="38" spans="1:31" hidden="1" outlineLevel="2" x14ac:dyDescent="0.25">
      <c r="B38" s="46" t="s">
        <v>261</v>
      </c>
      <c r="Z38" s="6" t="e">
        <f>Z37/P37</f>
        <v>#DIV/0!</v>
      </c>
      <c r="AA38" s="6" t="e">
        <f>AA37/Q37</f>
        <v>#DIV/0!</v>
      </c>
    </row>
    <row r="39" spans="1:31" hidden="1" outlineLevel="2" x14ac:dyDescent="0.25">
      <c r="B39" s="46" t="s">
        <v>262</v>
      </c>
      <c r="P39" s="48" t="e">
        <f>GEOMEAN(P4:P18,P19:P33)</f>
        <v>#NUM!</v>
      </c>
      <c r="Q39" s="48" t="e">
        <f>GEOMEAN(Q4:Q18,Q19:Q33)</f>
        <v>#NUM!</v>
      </c>
      <c r="Z39" s="48" t="e">
        <f>GEOMEAN(Z4:Z18,Z19:Z33)</f>
        <v>#NUM!</v>
      </c>
      <c r="AA39" s="48" t="e">
        <f>GEOMEAN(AA4:AA18,AA19:AA33)</f>
        <v>#NUM!</v>
      </c>
    </row>
    <row r="40" spans="1:31" outlineLevel="2" collapsed="1" x14ac:dyDescent="0.25">
      <c r="B40" s="46" t="s">
        <v>263</v>
      </c>
      <c r="Z40" s="6" t="e">
        <f>Z39/P39</f>
        <v>#NUM!</v>
      </c>
      <c r="AA40" s="6" t="e">
        <f>AA39/Q39</f>
        <v>#NUM!</v>
      </c>
    </row>
  </sheetData>
  <mergeCells count="30">
    <mergeCell ref="AC2:AC3"/>
    <mergeCell ref="AE2:AE3"/>
    <mergeCell ref="A1:G1"/>
    <mergeCell ref="I1:Q1"/>
    <mergeCell ref="S1:AA1"/>
    <mergeCell ref="W2:W3"/>
    <mergeCell ref="X2:X3"/>
    <mergeCell ref="Y2:Y3"/>
    <mergeCell ref="Z2:Z3"/>
    <mergeCell ref="AA2:AA3"/>
    <mergeCell ref="Q2:Q3"/>
    <mergeCell ref="S2:S3"/>
    <mergeCell ref="T2:T3"/>
    <mergeCell ref="U2:U3"/>
    <mergeCell ref="V2:V3"/>
    <mergeCell ref="L2:L3"/>
    <mergeCell ref="M2:M3"/>
    <mergeCell ref="N2:N3"/>
    <mergeCell ref="O2:O3"/>
    <mergeCell ref="P2:P3"/>
    <mergeCell ref="F2:F3"/>
    <mergeCell ref="G2:G3"/>
    <mergeCell ref="I2:I3"/>
    <mergeCell ref="J2:J3"/>
    <mergeCell ref="K2:K3"/>
    <mergeCell ref="A2:A3"/>
    <mergeCell ref="B2:B3"/>
    <mergeCell ref="C2:C3"/>
    <mergeCell ref="D2:D3"/>
    <mergeCell ref="E2:E3"/>
  </mergeCells>
  <conditionalFormatting sqref="AC4 AC5 AC6 AC7 AC8 AC9 AC10 AC11 AC12 AC13 AC14 AC15 AC16 AC17 AC18 AC19 AC20 AC21 AC22 AC23 AC24 AC25 AC26 AC27 AC28 AC29 AC30 AC31 AC32 AC33 AC34 AC35 AC36">
    <cfRule type="cellIs" dxfId="3" priority="3" operator="greaterThanOrEqual">
      <formula>0.03</formula>
    </cfRule>
    <cfRule type="cellIs" dxfId="2" priority="4" operator="lessThanOrEqual">
      <formula>-0.03</formula>
    </cfRule>
  </conditionalFormatting>
  <conditionalFormatting sqref="AE4 AE5 AE6 AE7 AE8 AE9 AE10 AE11 AE12 AE13 AE14 AE15 AE16 AE17 AE18 AE19 AE20 AE21 AE22 AE23 AE24 AE25 AE26 AE27 AE28 AE29 AE30 AE31 AE32 AE33 AE34 AE35 AE36">
    <cfRule type="cellIs" dxfId="1" priority="1" operator="greaterThanOrEqual">
      <formula>0.03</formula>
    </cfRule>
    <cfRule type="cellIs" dxfId="0" priority="2"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vt:i4>
      </vt:variant>
    </vt:vector>
  </HeadingPairs>
  <TitlesOfParts>
    <vt:vector size="24" baseType="lpstr">
      <vt:lpstr>Summary</vt:lpstr>
      <vt:lpstr>Graphs</vt:lpstr>
      <vt:lpstr>C1.1 losslG,noAttr</vt:lpstr>
      <vt:lpstr>names</vt:lpstr>
      <vt:lpstr>C1.2 losslG,lossyC</vt:lpstr>
      <vt:lpstr>C1.3 lossyG,lossyC</vt:lpstr>
      <vt:lpstr>C2.1 losslG,noAttr</vt:lpstr>
      <vt:lpstr>C2.2 losslG,losslAttr</vt:lpstr>
      <vt:lpstr>C2.3 lossyG,lossyAttr</vt:lpstr>
      <vt:lpstr>C2.4 lossyG,lossyAttr,interRA</vt:lpstr>
      <vt:lpstr>C2.5 losslG,noAttr,interRA</vt:lpstr>
      <vt:lpstr>C2.6 losslG,losslAttr,interRA</vt:lpstr>
      <vt:lpstr>C3.1 losslG,noAttr</vt:lpstr>
      <vt:lpstr>C3.2 losslG,lossyC</vt:lpstr>
      <vt:lpstr>C3.3 losslG,lossyR</vt:lpstr>
      <vt:lpstr>C3.4 lossyG,noAttr</vt:lpstr>
      <vt:lpstr>C3.5 lossyG,noAttr,interRA</vt:lpstr>
      <vt:lpstr>C3.6 lossyG,lossyR</vt:lpstr>
      <vt:lpstr>C3.7 lossyG,lossyR,interRA</vt:lpstr>
      <vt:lpstr>C3.W losslG,losslC</vt:lpstr>
      <vt:lpstr>C3.X losslG,losslR</vt:lpstr>
      <vt:lpstr>C3.Y losslG,nearllC</vt:lpstr>
      <vt:lpstr>C3.Z losslG,nearllR</vt:lpstr>
      <vt:lpstr>Graphs!all_cols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N17523</dc:title>
  <dc:creator>Graziosi, Danillo</dc:creator>
  <cp:lastModifiedBy>Graziosi, Danillo</cp:lastModifiedBy>
  <dcterms:created xsi:type="dcterms:W3CDTF">2018-06-01T10:45:41Z</dcterms:created>
  <dcterms:modified xsi:type="dcterms:W3CDTF">2018-07-28T04:54:01Z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&lt;dflynn@blackberry.com&gt;</vt:lpwstr>
  </property>
  <property fmtid="{D5CDD505-2E9C-101B-9397-08002B2CF9AE}" pid="3" name="Generated on">
    <vt:filetime>2018-06-01T10:45:41Z</vt:filetime>
  </property>
  <property fmtid="{D5CDD505-2E9C-101B-9397-08002B2CF9AE}" pid="4" name="WorkbookGuid">
    <vt:lpwstr>0b57a279-1706-4dce-a38e-ab4917a4f215</vt:lpwstr>
  </property>
</Properties>
</file>