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62D2BA20-7587-3C46-B606-2A3E4C4342E4}" xr6:coauthVersionLast="36" xr6:coauthVersionMax="36" xr10:uidLastSave="{00000000-0000-0000-0000-000000000000}"/>
  <bookViews>
    <workbookView xWindow="7260" yWindow="880" windowWidth="43940" windowHeight="2554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M7" i="7"/>
  <c r="L7" i="7"/>
  <c r="K7" i="7"/>
  <c r="J7" i="7"/>
  <c r="I7" i="7"/>
  <c r="BF6" i="7"/>
  <c r="AL6" i="7"/>
  <c r="AK6" i="7"/>
  <c r="AJ6" i="7"/>
  <c r="AH6" i="7"/>
  <c r="AG6" i="7"/>
  <c r="N6" i="7"/>
  <c r="K6" i="7" s="1"/>
  <c r="M6" i="7"/>
  <c r="L6" i="7"/>
  <c r="J6" i="7"/>
  <c r="I6" i="7"/>
  <c r="BF5" i="7"/>
  <c r="AL5" i="7"/>
  <c r="AI5" i="7" s="1"/>
  <c r="AK5" i="7"/>
  <c r="AJ5" i="7"/>
  <c r="AH5" i="7"/>
  <c r="AG5" i="7"/>
  <c r="N5" i="7"/>
  <c r="K5" i="7" s="1"/>
  <c r="M5" i="7"/>
  <c r="L5" i="7"/>
  <c r="L43" i="7" s="1"/>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BE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BE34" i="3" s="1"/>
  <c r="AK34" i="3"/>
  <c r="AJ34" i="3"/>
  <c r="AH34" i="3"/>
  <c r="AG34" i="3"/>
  <c r="N34" i="3"/>
  <c r="M34" i="3"/>
  <c r="L34" i="3"/>
  <c r="K34" i="3"/>
  <c r="J34" i="3"/>
  <c r="I34" i="3"/>
  <c r="BF33" i="3"/>
  <c r="AL33" i="3"/>
  <c r="AI33" i="3" s="1"/>
  <c r="BE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M30" i="3"/>
  <c r="L30" i="3"/>
  <c r="K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J41" i="3" s="1"/>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K20" i="3"/>
  <c r="J20" i="3"/>
  <c r="I20" i="3"/>
  <c r="BF19" i="3"/>
  <c r="AL19" i="3"/>
  <c r="BG19" i="3" s="1"/>
  <c r="AK19" i="3"/>
  <c r="AJ19" i="3"/>
  <c r="AH19" i="3"/>
  <c r="AG19" i="3"/>
  <c r="N19" i="3"/>
  <c r="K19" i="3" s="1"/>
  <c r="M19" i="3"/>
  <c r="L19" i="3"/>
  <c r="J19" i="3"/>
  <c r="I19" i="3"/>
  <c r="BF18" i="3"/>
  <c r="AL18" i="3"/>
  <c r="AK18" i="3"/>
  <c r="AJ18" i="3"/>
  <c r="AI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M16" i="3"/>
  <c r="L16" i="3"/>
  <c r="K16" i="3"/>
  <c r="J16" i="3"/>
  <c r="I16" i="3"/>
  <c r="BF15" i="3"/>
  <c r="AL15" i="3"/>
  <c r="BG15" i="3" s="1"/>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BE6" i="3" s="1"/>
  <c r="AK6" i="3"/>
  <c r="AJ6" i="3"/>
  <c r="AH6" i="3"/>
  <c r="AG6" i="3"/>
  <c r="N6" i="3"/>
  <c r="M6" i="3"/>
  <c r="L6" i="3"/>
  <c r="K6" i="3"/>
  <c r="J6" i="3"/>
  <c r="I6" i="3"/>
  <c r="BF5" i="3"/>
  <c r="AL5" i="3"/>
  <c r="AK5" i="3"/>
  <c r="AJ5" i="3"/>
  <c r="AH5" i="3"/>
  <c r="AG5" i="3"/>
  <c r="N5" i="3"/>
  <c r="M5" i="3"/>
  <c r="L5" i="3"/>
  <c r="J5" i="3"/>
  <c r="I5" i="3"/>
  <c r="B2" i="2"/>
  <c r="B1" i="2"/>
  <c r="BT25" i="7"/>
  <c r="BP5" i="7"/>
  <c r="BP30" i="7"/>
  <c r="BR20" i="7"/>
  <c r="BQ15" i="7"/>
  <c r="BL20" i="7"/>
  <c r="BM25" i="7"/>
  <c r="BT35" i="7"/>
  <c r="BP35" i="7"/>
  <c r="BR10" i="7"/>
  <c r="BS30" i="7"/>
  <c r="BN30" i="7"/>
  <c r="BS35" i="7"/>
  <c r="BS15" i="7"/>
  <c r="BL25" i="7"/>
  <c r="BS20" i="7"/>
  <c r="BM10" i="7"/>
  <c r="BL10" i="7"/>
  <c r="BS10" i="7"/>
  <c r="BT20" i="7"/>
  <c r="BQ20" i="7"/>
  <c r="BP10" i="7"/>
  <c r="BR30" i="7"/>
  <c r="BQ10" i="7"/>
  <c r="BQ25" i="7"/>
  <c r="BP20" i="7"/>
  <c r="BS5" i="7"/>
  <c r="BS25" i="7"/>
  <c r="BM15" i="7"/>
  <c r="BQ35" i="7"/>
  <c r="BK25" i="7"/>
  <c r="BL35" i="7"/>
  <c r="BL15" i="7"/>
  <c r="BT30" i="7"/>
  <c r="BN10" i="7"/>
  <c r="BN25" i="7"/>
  <c r="BR5" i="7"/>
  <c r="BN20" i="7"/>
  <c r="BM20" i="7"/>
  <c r="BK35" i="7"/>
  <c r="BM5" i="7"/>
  <c r="BN5" i="7"/>
  <c r="BK5" i="7"/>
  <c r="BN15" i="7"/>
  <c r="BP15" i="7"/>
  <c r="BT5" i="7"/>
  <c r="BT15" i="7"/>
  <c r="BM30" i="7"/>
  <c r="BR35" i="7"/>
  <c r="BR25" i="7"/>
  <c r="BL5" i="7"/>
  <c r="BP25" i="7"/>
  <c r="BM35" i="7"/>
  <c r="BQ5" i="7"/>
  <c r="BR15" i="7"/>
  <c r="BT10" i="7"/>
  <c r="BN35" i="7"/>
  <c r="BQ30" i="7"/>
  <c r="BJ5" i="7"/>
  <c r="BL30" i="7"/>
  <c r="BJ25" i="7"/>
  <c r="BS35" i="3"/>
  <c r="BM35" i="3"/>
  <c r="BN10" i="3"/>
  <c r="BP20" i="3"/>
  <c r="BK35" i="3"/>
  <c r="BP5" i="3"/>
  <c r="BT30" i="3"/>
  <c r="BM20" i="3"/>
  <c r="BR25" i="3"/>
  <c r="BR35" i="3"/>
  <c r="BT25" i="3"/>
  <c r="BS15" i="3"/>
  <c r="BT5" i="3"/>
  <c r="BL35" i="3"/>
  <c r="BT10" i="3"/>
  <c r="BN35" i="3"/>
  <c r="BQ10" i="3"/>
  <c r="BT35" i="3"/>
  <c r="BR15" i="3"/>
  <c r="BN20" i="3"/>
  <c r="BS25" i="3"/>
  <c r="BN25" i="3"/>
  <c r="BL25" i="3"/>
  <c r="BK15" i="3"/>
  <c r="BP25" i="3"/>
  <c r="BR10" i="3"/>
  <c r="BS10" i="3"/>
  <c r="BS20" i="3"/>
  <c r="BM10" i="3"/>
  <c r="BN15" i="3"/>
  <c r="BS5" i="3"/>
  <c r="BT20" i="3"/>
  <c r="BR30" i="3"/>
  <c r="BQ30" i="3"/>
  <c r="BM5" i="3"/>
  <c r="BJ20" i="3"/>
  <c r="BR20" i="3"/>
  <c r="BJ30" i="3"/>
  <c r="BK20" i="3"/>
  <c r="BR5" i="3"/>
  <c r="BJ10" i="3"/>
  <c r="BQ5" i="3"/>
  <c r="BM30" i="3"/>
  <c r="BQ15" i="3"/>
  <c r="BP15" i="3"/>
  <c r="BN5" i="3"/>
  <c r="BT15" i="3"/>
  <c r="BL15" i="3"/>
  <c r="BQ25" i="3"/>
  <c r="BS30" i="3"/>
  <c r="BM25" i="3"/>
  <c r="BL10" i="3"/>
  <c r="BL30" i="3"/>
  <c r="BQ35" i="3"/>
  <c r="BP35" i="3"/>
  <c r="BK25" i="3"/>
  <c r="BM15" i="3"/>
  <c r="BL5" i="3"/>
  <c r="BP30" i="3"/>
  <c r="BN30" i="3"/>
  <c r="BL20" i="3"/>
  <c r="BP10" i="3"/>
  <c r="BK30" i="3"/>
  <c r="BQ20" i="3"/>
  <c r="AI25" i="7" l="1"/>
  <c r="BG20" i="3"/>
  <c r="AJ41" i="3"/>
  <c r="AK42" i="3"/>
  <c r="BH20"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K40" i="7"/>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K15" i="7"/>
  <c r="BK10" i="7"/>
  <c r="BK20" i="7"/>
  <c r="BK30" i="7"/>
  <c r="BJ20" i="7"/>
  <c r="BJ30" i="7"/>
  <c r="BJ10" i="7"/>
  <c r="BJ35" i="7"/>
  <c r="BJ15" i="7"/>
  <c r="BJ25" i="3"/>
  <c r="BJ5" i="3"/>
  <c r="BK5" i="3"/>
  <c r="BJ15" i="3"/>
  <c r="BK10"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<sst xmlns="http://schemas.openxmlformats.org/spreadsheetml/2006/main" count="1512" uniqueCount="594">
  <si>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</si>
  <si>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</si>
  <si>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</si>
  <si>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</si>
  <si>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</si>
  <si>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</si>
  <si>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</si>
  <si>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</si>
  <si>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</si>
  <si>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</si>
  <si>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</si>
  <si>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</si>
  <si>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</si>
  <si>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</si>
  <si>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</si>
  <si>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</si>
  <si>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</si>
  <si>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</si>
  <si>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</si>
  <si>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</si>
  <si>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</si>
  <si>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</si>
  <si>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</si>
  <si>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</si>
  <si>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</si>
  <si>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</si>
  <si>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</si>
  <si>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</si>
  <si>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</si>
  <si>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</si>
  <si>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</si>
  <si>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</si>
  <si>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</si>
  <si>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</si>
  <si>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</si>
  <si>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</si>
  <si>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</si>
  <si>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</si>
  <si>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</si>
  <si>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</si>
  <si>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</si>
  <si>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</si>
  <si>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</si>
  <si>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</si>
  <si>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</si>
  <si>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</si>
  <si>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</si>
  <si>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</si>
  <si>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</si>
  <si>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</si>
  <si>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</si>
  <si>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</si>
  <si>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</si>
  <si>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</si>
  <si>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</si>
  <si>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</si>
  <si>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</si>
  <si>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</si>
  <si>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</si>
  <si>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</si>
  <si>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</si>
  <si>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</si>
  <si>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</si>
  <si>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</si>
  <si>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</si>
  <si>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</si>
  <si>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</si>
  <si>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</si>
  <si>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</si>
  <si>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</si>
  <si>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</si>
  <si>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</si>
  <si>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</si>
  <si>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</si>
  <si>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</si>
  <si>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</si>
  <si>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</si>
  <si>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</si>
  <si>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</si>
  <si>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</si>
  <si>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</si>
  <si>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</si>
  <si>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</si>
  <si>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</si>
  <si>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</si>
  <si>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</si>
  <si>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</si>
  <si>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</si>
  <si>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</si>
  <si>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</si>
  <si>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</si>
  <si>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</si>
  <si>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</si>
  <si>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</si>
  <si>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</si>
  <si>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</si>
  <si>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</si>
  <si>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</si>
  <si>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</si>
  <si>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</si>
  <si>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</si>
  <si>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</si>
  <si>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</si>
  <si>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</si>
  <si>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</si>
  <si>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</si>
  <si>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</si>
  <si>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</si>
  <si>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</si>
  <si>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</si>
  <si>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</si>
  <si>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</si>
  <si>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</si>
  <si>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</si>
  <si>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</si>
  <si>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</si>
  <si>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</si>
  <si>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</si>
  <si>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</si>
  <si>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</si>
  <si>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</si>
  <si>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</si>
  <si>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</si>
  <si>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</si>
  <si>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</si>
  <si>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</si>
  <si>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</si>
  <si>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</si>
  <si>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</si>
  <si>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</si>
  <si>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</si>
  <si>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</si>
  <si>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</si>
  <si>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</si>
  <si>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</si>
  <si>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</si>
  <si>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</si>
  <si>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</si>
  <si>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</si>
  <si>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</si>
  <si>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</si>
  <si>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</si>
  <si>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</si>
  <si>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</si>
  <si>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</si>
  <si>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</si>
  <si>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</si>
  <si>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</si>
  <si>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</si>
  <si>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</si>
  <si>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</si>
  <si>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</si>
  <si>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</si>
  <si>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</si>
  <si>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</si>
  <si>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</si>
  <si>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</si>
  <si>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</si>
  <si>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</si>
  <si>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</si>
  <si>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</si>
  <si>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</si>
  <si>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</si>
  <si>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</si>
  <si>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</si>
  <si>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</si>
  <si>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</si>
  <si>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</si>
  <si>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</si>
  <si>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</si>
  <si>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</si>
  <si>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</si>
  <si>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</si>
  <si>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</si>
  <si>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</si>
  <si>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</si>
  <si>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</si>
  <si>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</si>
  <si>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</si>
  <si>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</si>
  <si>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</si>
  <si>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</si>
  <si>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</si>
  <si>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</si>
  <si>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</si>
  <si>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</si>
  <si>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</si>
  <si>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</si>
  <si>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</si>
  <si>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</si>
  <si>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</si>
  <si>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</si>
  <si>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</si>
  <si>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</si>
  <si>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</si>
  <si>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</si>
  <si>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</si>
  <si>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</si>
  <si>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</si>
  <si>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</si>
  <si>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</si>
  <si>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</si>
  <si>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</si>
  <si>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</si>
  <si>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</si>
  <si>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</si>
  <si>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</si>
  <si>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</si>
  <si>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</si>
  <si>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</si>
  <si>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</si>
  <si>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</si>
  <si>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</si>
  <si>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</si>
  <si>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</si>
  <si>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</si>
  <si>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</si>
  <si>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</si>
  <si>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</si>
  <si>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</si>
  <si>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</si>
  <si>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</si>
  <si>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</si>
  <si>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</si>
  <si>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</si>
  <si>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</si>
  <si>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</si>
  <si>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</si>
  <si>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</si>
  <si>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</si>
  <si>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</si>
  <si>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</si>
  <si>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</si>
  <si>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</si>
  <si>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</si>
  <si>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</si>
  <si>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</si>
  <si>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</si>
  <si>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</si>
  <si>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</si>
  <si>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</si>
  <si>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</si>
  <si>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</si>
  <si>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</si>
  <si>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</si>
  <si>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</si>
  <si>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</si>
  <si>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</si>
  <si>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</si>
  <si>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</si>
  <si>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</si>
  <si>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</si>
  <si>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</si>
  <si>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</si>
  <si>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</si>
  <si>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</si>
  <si>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</si>
  <si>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</si>
  <si>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</si>
  <si>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</si>
  <si>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</si>
  <si>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</si>
  <si>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</si>
  <si>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</si>
  <si>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</si>
  <si>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</si>
  <si>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</si>
  <si>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</si>
  <si>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</si>
  <si>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</si>
  <si>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</si>
  <si>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</si>
  <si>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</si>
  <si>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</si>
  <si>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</si>
  <si>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</si>
  <si>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</si>
  <si>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</si>
  <si>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</si>
  <si>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</si>
  <si>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</si>
  <si>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</si>
  <si>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</si>
  <si>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</si>
  <si>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</si>
  <si>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</si>
  <si>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</si>
  <si>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</si>
  <si>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</si>
  <si>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</si>
  <si>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</si>
  <si>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</si>
  <si>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</si>
  <si>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</si>
  <si>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</si>
  <si>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</si>
  <si>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</si>
  <si>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</si>
  <si>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</si>
  <si>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</si>
  <si>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</si>
  <si>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</si>
  <si>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</si>
  <si>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</si>
  <si>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</si>
  <si>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</si>
  <si>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</si>
  <si>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</si>
  <si>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</si>
  <si>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</si>
  <si>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</si>
  <si>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</si>
  <si>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</si>
  <si>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</si>
  <si>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</si>
  <si>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</si>
  <si>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</si>
  <si>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</si>
  <si>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</si>
  <si>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</si>
  <si>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</si>
  <si>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</si>
  <si>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</si>
  <si>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</si>
  <si>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</si>
  <si>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</si>
  <si>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</si>
  <si>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</si>
  <si>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</si>
  <si>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</si>
  <si>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</si>
  <si>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</si>
  <si>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</si>
  <si>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</si>
  <si>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</si>
  <si>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</si>
  <si>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</si>
  <si>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</si>
  <si>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</si>
  <si>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</si>
  <si>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</si>
  <si>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</si>
  <si>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</si>
  <si>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</si>
  <si>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</si>
  <si>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</si>
  <si>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</si>
  <si>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</si>
  <si>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</si>
  <si>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</si>
  <si>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</si>
  <si>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</si>
  <si>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</si>
  <si>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</si>
  <si>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</si>
  <si>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</si>
  <si>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</si>
  <si>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</si>
  <si>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</si>
  <si>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</si>
  <si>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</si>
  <si>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</si>
  <si>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</si>
  <si>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</si>
  <si>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</si>
  <si>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</si>
  <si>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</si>
  <si>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</si>
  <si>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</si>
  <si>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</si>
  <si>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</si>
  <si>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</si>
  <si>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</si>
  <si>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</si>
  <si>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</si>
  <si>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</si>
  <si>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</si>
  <si>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</si>
  <si>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</si>
  <si>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</si>
  <si>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</si>
  <si>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</si>
  <si>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</si>
  <si>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</si>
  <si>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</si>
  <si>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</si>
  <si>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</si>
  <si>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</si>
  <si>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</si>
  <si>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</si>
  <si>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</si>
  <si>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</si>
  <si>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</si>
  <si>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</si>
  <si>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</si>
  <si>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</si>
  <si>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</si>
  <si>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</si>
  <si>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</si>
  <si>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</si>
  <si>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</si>
  <si>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</si>
  <si>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</si>
  <si>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</si>
  <si>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</si>
  <si>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</si>
  <si>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</si>
  <si>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</si>
  <si>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</si>
  <si>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</si>
  <si>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</si>
  <si>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</si>
  <si>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</si>
  <si>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</si>
  <si>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</si>
  <si>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</si>
  <si>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</si>
  <si>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</si>
  <si>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</si>
  <si>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</si>
  <si>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</si>
  <si>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</si>
  <si>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</si>
  <si>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</si>
  <si>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</si>
  <si>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</si>
  <si>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</si>
  <si>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</si>
  <si>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</si>
  <si>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</si>
  <si>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</si>
  <si>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</si>
  <si>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</si>
  <si>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</si>
  <si>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</si>
  <si>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</si>
  <si>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</si>
  <si>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</si>
  <si>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</si>
  <si>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</si>
  <si>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</si>
  <si>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</si>
  <si>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</si>
  <si>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</si>
  <si>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</si>
  <si>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</si>
  <si>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</si>
  <si>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</si>
  <si>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</si>
  <si>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</si>
  <si>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</si>
  <si>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</si>
  <si>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</si>
  <si>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</si>
  <si>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</si>
  <si>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</si>
  <si>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</si>
  <si>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</si>
  <si>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</si>
  <si>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</si>
  <si>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</si>
  <si>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</si>
  <si>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</si>
  <si>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</si>
  <si>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</si>
  <si>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</si>
  <si>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</si>
  <si>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</si>
  <si>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</si>
  <si>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</si>
  <si>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</si>
  <si>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</si>
  <si>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</si>
  <si>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</si>
  <si>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</si>
  <si>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</si>
  <si>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</si>
  <si>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</si>
  <si>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</si>
  <si>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</si>
  <si>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</si>
  <si>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</si>
  <si>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</si>
  <si>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</si>
  <si>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</si>
  <si>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</si>
  <si>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</si>
  <si>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</si>
  <si>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</si>
  <si>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</si>
  <si>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</si>
  <si>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</si>
  <si>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</si>
  <si>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</si>
  <si>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</si>
  <si>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</si>
  <si>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</si>
  <si>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</si>
  <si>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</si>
  <si>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</si>
  <si>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</si>
  <si>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</si>
  <si>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</si>
  <si>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</si>
  <si>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</si>
  <si>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</si>
  <si>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</si>
  <si>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</si>
  <si>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</si>
  <si>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</si>
  <si>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</si>
  <si>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</si>
  <si>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</si>
  <si>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</si>
  <si>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</si>
  <si>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</si>
  <si>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</si>
  <si>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</si>
  <si>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</si>
  <si>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</si>
  <si>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</si>
  <si>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</si>
  <si>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</si>
  <si>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</si>
  <si>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</si>
  <si>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</si>
  <si>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</si>
  <si>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</si>
  <si>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</si>
  <si>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</si>
  <si>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</si>
  <si>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</si>
  <si>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</si>
  <si>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</si>
  <si>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</si>
  <si>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</si>
  <si>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</si>
  <si>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</si>
  <si>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</si>
  <si>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</si>
  <si>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</si>
  <si>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</si>
  <si>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</si>
  <si>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</si>
  <si>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</si>
  <si>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</si>
  <si>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</si>
  <si>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</si>
  <si>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</si>
  <si>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</si>
  <si>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</si>
  <si>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</si>
  <si>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</si>
  <si>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</si>
  <si>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</si>
  <si>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</si>
  <si>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</si>
  <si>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</si>
  <si>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</si>
  <si>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</si>
  <si>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</si>
  <si>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</si>
  <si>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</si>
  <si>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</si>
  <si>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</si>
  <si>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</si>
  <si>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</si>
  <si>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</si>
  <si>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</si>
  <si>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</si>
  <si>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</si>
  <si>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</si>
  <si>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</si>
  <si>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</si>
  <si>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</si>
  <si>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</si>
  <si>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</si>
  <si>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</si>
  <si>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</si>
  <si>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</si>
  <si>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</si>
  <si>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</si>
  <si>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</si>
  <si>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</si>
  <si>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</si>
  <si>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</si>
  <si>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</si>
  <si>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</si>
  <si>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</si>
  <si>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</si>
  <si>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</si>
  <si>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</si>
  <si>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multistream=1 absoluteD1=1 absoluteT1=1</t>
  </si>
  <si>
    <t>TMC2v8.0rc3 : multistream=1 absoluteD1=1 absoluteT1=1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</si>
</sst>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TMC2v7.2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rc3 multistream=1 absoluteD1=1 absoluteT1=1</c:v>
                </c:pt>
              </c:strCache>
            </c:strRef>
          </c:tx>
          <c:spPr>
            <a:ln>
              <a:prstDash val="solid"/>
            </a:ln>
          </c:spPr>
          <c:marker>
            <c:symbol val="none"/>
          </c:marker>
          <c:xVal>
            <c:numRef>
              <c:f>Graphs!graph_a_x_range_B</c:f>
              <c:numCache>
                <c:formatCode>0.00</c:formatCode>
                <c:ptCount val="5"/>
                <c:pt idx="0">
                  <c:v>3.0396362378634578E-2</c:v>
                </c:pt>
                <c:pt idx="1">
                  <c:v>3.8251597942544506E-2</c:v>
                </c:pt>
                <c:pt idx="2">
                  <c:v>4.7181029923732923E-2</c:v>
                </c:pt>
                <c:pt idx="3">
                  <c:v>5.7716532853105469E-2</c:v>
                </c:pt>
                <c:pt idx="4">
                  <c:v>7.8547451092802825E-2</c:v>
                </c:pt>
              </c:numCache>
            </c:numRef>
          </c:xVal>
          <c:yVal>
            <c:numRef>
              <c:f>Graphs!graph_a_y_range_B</c:f>
              <c:numCache>
                <c:formatCode>0.00</c:formatCode>
                <c:ptCount val="5"/>
                <c:pt idx="0">
                  <c:v>42.830649999999999</c:v>
                </c:pt>
                <c:pt idx="1">
                  <c:v>42.559753000000001</c:v>
                </c:pt>
                <c:pt idx="2">
                  <c:v>42.343783999999999</c:v>
                </c:pt>
                <c:pt idx="3">
                  <c:v>42.170816000000002</c:v>
                </c:pt>
                <c:pt idx="4">
                  <c:v>46.689469000000003</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TMC2v7.2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rc3 multistream=1 absoluteD1=1 absoluteT1=1</c:v>
                </c:pt>
              </c:strCache>
            </c:strRef>
          </c:tx>
          <c:spPr>
            <a:ln>
              <a:prstDash val="solid"/>
            </a:ln>
          </c:spPr>
          <c:marker>
            <c:symbol val="none"/>
          </c:marker>
          <c:xVal>
            <c:numRef>
              <c:f>Graphs!graph_b_x_range_B</c:f>
              <c:numCache>
                <c:formatCode>0.00</c:formatCode>
                <c:ptCount val="5"/>
                <c:pt idx="0">
                  <c:v>3.0396362378634578E-2</c:v>
                </c:pt>
                <c:pt idx="1">
                  <c:v>3.8251597942544506E-2</c:v>
                </c:pt>
                <c:pt idx="2">
                  <c:v>4.7181029923732923E-2</c:v>
                </c:pt>
                <c:pt idx="3">
                  <c:v>5.7716532853105469E-2</c:v>
                </c:pt>
                <c:pt idx="4">
                  <c:v>7.8547451092802825E-2</c:v>
                </c:pt>
              </c:numCache>
            </c:numRef>
          </c:xVal>
          <c:yVal>
            <c:numRef>
              <c:f>Graphs!graph_b_y_range_B</c:f>
              <c:numCache>
                <c:formatCode>0.00</c:formatCode>
                <c:ptCount val="5"/>
                <c:pt idx="0">
                  <c:v>43.076787000000003</c:v>
                </c:pt>
                <c:pt idx="1">
                  <c:v>42.806213</c:v>
                </c:pt>
                <c:pt idx="2">
                  <c:v>42.590197000000003</c:v>
                </c:pt>
                <c:pt idx="3">
                  <c:v>42.416803000000002</c:v>
                </c:pt>
                <c:pt idx="4">
                  <c:v>46.942191000000001</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TMC2v7.2</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rc3 multistream=1 absoluteD1=1 absoluteT1=1</c:v>
                </c:pt>
              </c:strCache>
            </c:strRef>
          </c:tx>
          <c:spPr>
            <a:ln>
              <a:prstDash val="solid"/>
            </a:ln>
          </c:spPr>
          <c:marker>
            <c:symbol val="none"/>
          </c:marker>
          <c:xVal>
            <c:numRef>
              <c:f>Graphs!graph_c_x_range_B</c:f>
              <c:numCache>
                <c:formatCode>0.00</c:formatCode>
                <c:ptCount val="5"/>
                <c:pt idx="0">
                  <c:v>1.1747967240872443E-2</c:v>
                </c:pt>
                <c:pt idx="1">
                  <c:v>2.0961056680468444E-2</c:v>
                </c:pt>
                <c:pt idx="2">
                  <c:v>3.7964446834720243E-2</c:v>
                </c:pt>
                <c:pt idx="3">
                  <c:v>6.7531571368637702E-2</c:v>
                </c:pt>
                <c:pt idx="4">
                  <c:v>0.1213476126119417</c:v>
                </c:pt>
              </c:numCache>
            </c:numRef>
          </c:xVal>
          <c:yVal>
            <c:numRef>
              <c:f>Graphs!graph_c_y_range_B</c:f>
              <c:numCache>
                <c:formatCode>0.00</c:formatCode>
                <c:ptCount val="5"/>
                <c:pt idx="0">
                  <c:v>31.508616</c:v>
                </c:pt>
                <c:pt idx="1">
                  <c:v>34.001325000000001</c:v>
                </c:pt>
                <c:pt idx="2">
                  <c:v>36.707037999999997</c:v>
                </c:pt>
                <c:pt idx="3">
                  <c:v>39.412716000000003</c:v>
                </c:pt>
                <c:pt idx="4">
                  <c:v>42.457538</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TMC2v7.2</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rc3 multistream=1 absoluteD1=1 absoluteT1=1</c:v>
                </c:pt>
              </c:strCache>
            </c:strRef>
          </c:tx>
          <c:spPr>
            <a:ln>
              <a:prstDash val="solid"/>
            </a:ln>
          </c:spPr>
          <c:marker>
            <c:symbol val="none"/>
          </c:marker>
          <c:xVal>
            <c:numRef>
              <c:f>Graphs!graph_d_x_range_B</c:f>
              <c:numCache>
                <c:formatCode>0.00</c:formatCode>
                <c:ptCount val="5"/>
                <c:pt idx="0">
                  <c:v>1.1747967240872443E-2</c:v>
                </c:pt>
                <c:pt idx="1">
                  <c:v>2.0961056680468444E-2</c:v>
                </c:pt>
                <c:pt idx="2">
                  <c:v>3.7964446834720243E-2</c:v>
                </c:pt>
                <c:pt idx="3">
                  <c:v>6.7531571368637702E-2</c:v>
                </c:pt>
                <c:pt idx="4">
                  <c:v>0.1213476126119417</c:v>
                </c:pt>
              </c:numCache>
            </c:numRef>
          </c:xVal>
          <c:yVal>
            <c:numRef>
              <c:f>Graphs!graph_d_y_range_B</c:f>
              <c:numCache>
                <c:formatCode>0.00</c:formatCode>
                <c:ptCount val="5"/>
                <c:pt idx="0">
                  <c:v>41.935358999999998</c:v>
                </c:pt>
                <c:pt idx="1">
                  <c:v>43.167372</c:v>
                </c:pt>
                <c:pt idx="2">
                  <c:v>44.404319000000001</c:v>
                </c:pt>
                <c:pt idx="3">
                  <c:v>45.827184000000003</c:v>
                </c:pt>
                <c:pt idx="4">
                  <c:v>47.740693999999998</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TMC2v7.2</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rc3 multistream=1 absoluteD1=1 absoluteT1=1</c:v>
                </c:pt>
              </c:strCache>
            </c:strRef>
          </c:tx>
          <c:spPr>
            <a:ln>
              <a:prstDash val="solid"/>
            </a:ln>
          </c:spPr>
          <c:marker>
            <c:symbol val="none"/>
          </c:marker>
          <c:xVal>
            <c:numRef>
              <c:f>Graphs!graph_e_x_range_B</c:f>
              <c:numCache>
                <c:formatCode>0.00</c:formatCode>
                <c:ptCount val="5"/>
                <c:pt idx="0">
                  <c:v>1.1747967240872443E-2</c:v>
                </c:pt>
                <c:pt idx="1">
                  <c:v>2.0961056680468444E-2</c:v>
                </c:pt>
                <c:pt idx="2">
                  <c:v>3.7964446834720243E-2</c:v>
                </c:pt>
                <c:pt idx="3">
                  <c:v>6.7531571368637702E-2</c:v>
                </c:pt>
                <c:pt idx="4">
                  <c:v>0.1213476126119417</c:v>
                </c:pt>
              </c:numCache>
            </c:numRef>
          </c:xVal>
          <c:yVal>
            <c:numRef>
              <c:f>Graphs!graph_e_y_range_B</c:f>
              <c:numCache>
                <c:formatCode>0.00</c:formatCode>
                <c:ptCount val="5"/>
                <c:pt idx="0">
                  <c:v>41.368872000000003</c:v>
                </c:pt>
                <c:pt idx="1">
                  <c:v>42.739400000000003</c:v>
                </c:pt>
                <c:pt idx="2">
                  <c:v>44.035252999999997</c:v>
                </c:pt>
                <c:pt idx="3">
                  <c:v>45.603222000000002</c:v>
                </c:pt>
                <c:pt idx="4">
                  <c:v>47.507269000000001</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TMC2v7.2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rc3 multistream=1 absoluteD1=1 absoluteT1=1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1</v>
      </c>
      <c r="D9" s="51">
        <f>'C2 lossyG,lossyA,intra'!$BK$40:$BK$40</f>
        <v>1</v>
      </c>
      <c r="E9" s="51">
        <f>'C2 lossyG,lossyA,intra'!$BL$40:$BL$40</f>
        <v>1.8324980886915694</v>
      </c>
      <c r="F9" s="51">
        <f>'C2 lossyG,lossyA,intra'!$BM$40:$BM$40</f>
        <v>5.3727353543501639</v>
      </c>
      <c r="G9" s="51">
        <f>'C2 lossyG,lossyA,intra'!$BN$40:$BN$40</f>
        <v>7.0187856140065037</v>
      </c>
      <c r="H9" s="51">
        <f>'C2 lossyG,lossyA,intra'!$BP$40:$BP$40</f>
        <v>1</v>
      </c>
      <c r="I9" s="51">
        <f>'C2 lossyG,lossyA,intra'!$BQ$40:$BQ$40</f>
        <v>1</v>
      </c>
      <c r="J9" s="51">
        <f>'C2 lossyG,lossyA,intra'!$BR$40:$BR$40</f>
        <v>2.7431501162463929</v>
      </c>
      <c r="K9" s="51">
        <f>'C2 lossyG,lossyA,intra'!$BS$40:$BS$40</f>
        <v>5.6287605548927129</v>
      </c>
      <c r="L9" s="51">
        <f>'C2 lossyG,lossyA,intra'!$BT$40:$BT$40</f>
        <v>6.6287418206541968</v>
      </c>
    </row>
    <row r="10" spans="2:12" x14ac:dyDescent="0.2">
      <c r="B10" t="s">
        <v>17</v>
      </c>
      <c r="C10" s="51">
        <f>'C2 lossyG,lossyA,intra'!$BJ$41:$BJ$41</f>
        <v>1</v>
      </c>
      <c r="D10" s="51">
        <f>'C2 lossyG,lossyA,intra'!$BK$41:$BK$41</f>
        <v>1</v>
      </c>
      <c r="E10" s="51">
        <f>'C2 lossyG,lossyA,intra'!$BL$41:$BL$41</f>
        <v>1.0225922643366667</v>
      </c>
      <c r="F10" s="51">
        <f>'C2 lossyG,lossyA,intra'!$BM$41:$BM$41</f>
        <v>1.4764867634214052</v>
      </c>
      <c r="G10" s="51">
        <f>'C2 lossyG,lossyA,intra'!$BN$41:$BN$41</f>
        <v>1.6384173125906756</v>
      </c>
      <c r="H10" s="51">
        <f>'C2 lossyG,lossyA,intra'!$BP$41:$BP$41</f>
        <v>1</v>
      </c>
      <c r="I10" s="51">
        <f>'C2 lossyG,lossyA,intra'!$BQ$41:$BQ$41</f>
        <v>1</v>
      </c>
      <c r="J10" s="51">
        <f>'C2 lossyG,lossyA,intra'!$BR$41:$BR$41</f>
        <v>1.5115270768716451</v>
      </c>
      <c r="K10" s="51">
        <f>'C2 lossyG,lossyA,intra'!$BS$41:$BS$41</f>
        <v>1.923745242405912</v>
      </c>
      <c r="L10" s="51">
        <f>'C2 lossyG,lossyA,intra'!$BT$41:$BT$41</f>
        <v>2.1065974708203741</v>
      </c>
    </row>
    <row r="11" spans="2:12" x14ac:dyDescent="0.2">
      <c r="B11" t="s">
        <v>18</v>
      </c>
      <c r="C11" s="51">
        <f>'C2 lossyG,lossyA,intra'!$BJ$42:$BJ$42</f>
        <v>1</v>
      </c>
      <c r="D11" s="51">
        <f>'C2 lossyG,lossyA,intra'!$BK$42:$BK$42</f>
        <v>1</v>
      </c>
      <c r="E11" s="51">
        <f>'C2 lossyG,lossyA,intra'!$BL$42:$BL$42</f>
        <v>1.7868377479823059</v>
      </c>
      <c r="F11" s="51">
        <f>'C2 lossyG,lossyA,intra'!$BM$42:$BM$42</f>
        <v>2.1893533817063258</v>
      </c>
      <c r="G11" s="51">
        <f>'C2 lossyG,lossyA,intra'!$BN$42:$BN$42</f>
        <v>2.6766375019794841</v>
      </c>
      <c r="H11" s="51">
        <f>'C2 lossyG,lossyA,intra'!$BP$42:$BP$42</f>
        <v>1</v>
      </c>
      <c r="I11" s="51">
        <f>'C2 lossyG,lossyA,intra'!$BQ$42:$BQ$42</f>
        <v>1</v>
      </c>
      <c r="J11" s="51">
        <f>'C2 lossyG,lossyA,intra'!$BR$42:$BR$42</f>
        <v>2.7992016418071253</v>
      </c>
      <c r="K11" s="51">
        <f>'C2 lossyG,lossyA,intra'!$BS$42:$BS$42</f>
        <v>3.0557414778438332</v>
      </c>
      <c r="L11" s="51">
        <f>'C2 lossyG,lossyA,intra'!$BT$42:$BT$42</f>
        <v>3.6018615333777939</v>
      </c>
    </row>
    <row r="12" spans="2:12" x14ac:dyDescent="0.2">
      <c r="B12" s="4" t="s">
        <v>19</v>
      </c>
      <c r="C12" s="5">
        <f>'C2 lossyG,lossyA,intra'!$BJ$43:$BJ$43</f>
        <v>1</v>
      </c>
      <c r="D12" s="5">
        <f>'C2 lossyG,lossyA,intra'!$BK$43:$BK$43</f>
        <v>1</v>
      </c>
      <c r="E12" s="5">
        <f>'C2 lossyG,lossyA,intra'!$BL$43:$BL$43</f>
        <v>1.7037514450096509</v>
      </c>
      <c r="F12" s="5">
        <f>'C2 lossyG,lossyA,intra'!$BM$43:$BM$43</f>
        <v>3.9065907063192449</v>
      </c>
      <c r="G12" s="5">
        <f>'C2 lossyG,lossyA,intra'!$BN$43:$BN$43</f>
        <v>5.0095478246536649</v>
      </c>
      <c r="H12" s="5">
        <f>'C2 lossyG,lossyA,intra'!$BP$43:$BP$43</f>
        <v>1</v>
      </c>
      <c r="I12" s="5">
        <f>'C2 lossyG,lossyA,intra'!$BQ$43:$BQ$43</f>
        <v>1</v>
      </c>
      <c r="J12" s="5">
        <f>'C2 lossyG,lossyA,intra'!$BR$43:$BR$43</f>
        <v>2.5832186893530666</v>
      </c>
      <c r="K12" s="5">
        <f>'C2 lossyG,lossyA,intra'!$BS$43:$BS$43</f>
        <v>4.3643243453806324</v>
      </c>
      <c r="L12" s="5">
        <f>'C2 lossyG,lossyA,intra'!$BT$43:$BT$43</f>
        <v>5.1178982600275358</v>
      </c>
    </row>
    <row r="13" spans="2:12" x14ac:dyDescent="0.2">
      <c r="B13" t="s">
        <v>20</v>
      </c>
      <c r="C13" s="61">
        <f>'C2 lossyG,lossyA,intra'!AZ47</f>
        <v>0.9728257269519186</v>
      </c>
      <c r="D13" s="62"/>
      <c r="E13" s="62"/>
      <c r="F13" s="62"/>
      <c r="G13" s="62"/>
      <c r="H13" s="62"/>
      <c r="I13" s="62"/>
      <c r="J13" s="62"/>
      <c r="K13" s="62"/>
      <c r="L13" s="62"/>
    </row>
    <row r="14" spans="2:12" x14ac:dyDescent="0.2">
      <c r="B14" s="54" t="s">
        <v>21</v>
      </c>
      <c r="C14" s="63">
        <f>'C2 lossyG,lossyA,intra'!BB47</f>
        <v>1.1872037586514022</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1</v>
      </c>
      <c r="D43" s="51">
        <f>'C2 lossyG,lossyA,interRA'!$BK$40:$BK$40</f>
        <v>1</v>
      </c>
      <c r="E43" s="51">
        <f>'C2 lossyG,lossyA,interRA'!$BL$40:$BL$40</f>
        <v>2.8428990659983526</v>
      </c>
      <c r="F43" s="51">
        <f>'C2 lossyG,lossyA,interRA'!$BM$40:$BM$40</f>
        <v>7.9203378530681299</v>
      </c>
      <c r="G43" s="51">
        <f>'C2 lossyG,lossyA,interRA'!$BN$40:$BN$40</f>
        <v>9.7583114989255364</v>
      </c>
      <c r="H43" s="51">
        <f>'C2 lossyG,lossyA,interRA'!$BP$40:$BP$40</f>
        <v>1</v>
      </c>
      <c r="I43" s="51">
        <f>'C2 lossyG,lossyA,interRA'!$BQ$40:$BQ$40</f>
        <v>1</v>
      </c>
      <c r="J43" s="51">
        <f>'C2 lossyG,lossyA,interRA'!$BR$40:$BR$40</f>
        <v>3.7858628534565266</v>
      </c>
      <c r="K43" s="51">
        <f>'C2 lossyG,lossyA,interRA'!$BS$40:$BS$40</f>
        <v>6.7117966289015882</v>
      </c>
      <c r="L43" s="51">
        <f>'C2 lossyG,lossyA,interRA'!$BT$40:$BT$40</f>
        <v>7.2127456646889261</v>
      </c>
    </row>
    <row r="44" spans="2:12" x14ac:dyDescent="0.2">
      <c r="B44" t="s">
        <v>17</v>
      </c>
      <c r="C44" s="51">
        <f>'C2 lossyG,lossyA,interRA'!$BJ$41:$BJ$41</f>
        <v>1</v>
      </c>
      <c r="D44" s="51">
        <f>'C2 lossyG,lossyA,interRA'!$BK$41:$BK$41</f>
        <v>1</v>
      </c>
      <c r="E44" s="51">
        <f>'C2 lossyG,lossyA,interRA'!$BL$41:$BL$41</f>
        <v>1.3172154396551017</v>
      </c>
      <c r="F44" s="51">
        <f>'C2 lossyG,lossyA,interRA'!$BM$41:$BM$41</f>
        <v>2.0721490281229813</v>
      </c>
      <c r="G44" s="51">
        <f>'C2 lossyG,lossyA,interRA'!$BN$41:$BN$41</f>
        <v>2.2247257150946029</v>
      </c>
      <c r="H44" s="51">
        <f>'C2 lossyG,lossyA,interRA'!$BP$41:$BP$41</f>
        <v>1</v>
      </c>
      <c r="I44" s="51">
        <f>'C2 lossyG,lossyA,interRA'!$BQ$41:$BQ$41</f>
        <v>1</v>
      </c>
      <c r="J44" s="51">
        <f>'C2 lossyG,lossyA,interRA'!$BR$41:$BR$41</f>
        <v>2.1976906084494243</v>
      </c>
      <c r="K44" s="51">
        <f>'C2 lossyG,lossyA,interRA'!$BS$41:$BS$41</f>
        <v>2.9226528208512068</v>
      </c>
      <c r="L44" s="51">
        <f>'C2 lossyG,lossyA,interRA'!$BT$41:$BT$41</f>
        <v>3.0899651054586057</v>
      </c>
    </row>
    <row r="45" spans="2:12" x14ac:dyDescent="0.2">
      <c r="B45" t="s">
        <v>18</v>
      </c>
      <c r="C45" s="51">
        <f>'C2 lossyG,lossyA,interRA'!$BJ$42:$BJ$42</f>
        <v>1</v>
      </c>
      <c r="D45" s="51">
        <f>'C2 lossyG,lossyA,interRA'!$BK$42:$BK$42</f>
        <v>1</v>
      </c>
      <c r="E45" s="51">
        <f>'C2 lossyG,lossyA,interRA'!$BL$42:$BL$42</f>
        <v>2.4581965070066127</v>
      </c>
      <c r="F45" s="51">
        <f>'C2 lossyG,lossyA,interRA'!$BM$42:$BM$42</f>
        <v>3.4688936583887937</v>
      </c>
      <c r="G45" s="51">
        <f>'C2 lossyG,lossyA,interRA'!$BN$42:$BN$42</f>
        <v>3.7662453198110701</v>
      </c>
      <c r="H45" s="51">
        <f>'C2 lossyG,lossyA,interRA'!$BP$42:$BP$42</f>
        <v>1</v>
      </c>
      <c r="I45" s="51">
        <f>'C2 lossyG,lossyA,interRA'!$BQ$42:$BQ$42</f>
        <v>1</v>
      </c>
      <c r="J45" s="51">
        <f>'C2 lossyG,lossyA,interRA'!$BR$42:$BR$42</f>
        <v>3.5782056838059093</v>
      </c>
      <c r="K45" s="51">
        <f>'C2 lossyG,lossyA,interRA'!$BS$42:$BS$42</f>
        <v>4.3275900252518014</v>
      </c>
      <c r="L45" s="51">
        <f>'C2 lossyG,lossyA,interRA'!$BT$42:$BT$42</f>
        <v>4.6187167134323266</v>
      </c>
    </row>
    <row r="46" spans="2:12" x14ac:dyDescent="0.2">
      <c r="B46" s="4" t="s">
        <v>19</v>
      </c>
      <c r="C46" s="5">
        <f>'C2 lossyG,lossyA,interRA'!$BJ$43:$BJ$43</f>
        <v>1</v>
      </c>
      <c r="D46" s="5">
        <f>'C2 lossyG,lossyA,interRA'!$BK$43:$BK$43</f>
        <v>1</v>
      </c>
      <c r="E46" s="5">
        <f>'C2 lossyG,lossyA,interRA'!$BL$43:$BL$43</f>
        <v>2.5150292453802483</v>
      </c>
      <c r="F46" s="5">
        <f>'C2 lossyG,lossyA,interRA'!$BM$43:$BM$43</f>
        <v>5.8130411081675835</v>
      </c>
      <c r="G46" s="5">
        <f>'C2 lossyG,lossyA,interRA'!$BN$43:$BN$43</f>
        <v>6.9700660500598408</v>
      </c>
      <c r="H46" s="5">
        <f>'C2 lossyG,lossyA,interRA'!$BP$43:$BP$43</f>
        <v>1</v>
      </c>
      <c r="I46" s="5">
        <f>'C2 lossyG,lossyA,interRA'!$BQ$43:$BQ$43</f>
        <v>1</v>
      </c>
      <c r="J46" s="5">
        <f>'C2 lossyG,lossyA,interRA'!$BR$43:$BR$43</f>
        <v>3.4996504842696212</v>
      </c>
      <c r="K46" s="5">
        <f>'C2 lossyG,lossyA,interRA'!$BS$43:$BS$43</f>
        <v>5.4892884838515945</v>
      </c>
      <c r="L46" s="5">
        <f>'C2 lossyG,lossyA,interRA'!$BT$43:$BT$43</f>
        <v>5.882625884439852</v>
      </c>
    </row>
    <row r="47" spans="2:12" x14ac:dyDescent="0.2">
      <c r="B47" t="s">
        <v>20</v>
      </c>
      <c r="C47" s="61">
        <f>'C2 lossyG,lossyA,interRA'!AZ47</f>
        <v>0.9449228255663632</v>
      </c>
      <c r="D47" s="62"/>
      <c r="E47" s="62"/>
      <c r="F47" s="62"/>
      <c r="G47" s="62"/>
      <c r="H47" s="62"/>
      <c r="I47" s="62"/>
      <c r="J47" s="62"/>
      <c r="K47" s="62"/>
      <c r="L47" s="62"/>
    </row>
    <row r="48" spans="2:12" x14ac:dyDescent="0.2">
      <c r="B48" s="54" t="s">
        <v>21</v>
      </c>
      <c r="C48" s="63">
        <f>'C2 lossyG,lossyA,interRA'!BB47</f>
        <v>1.1507742195503854</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W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592</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2.1856575</v>
      </c>
      <c r="J5" s="11">
        <f t="shared" ref="J5:J39" si="1">IF(ISBLANK(S5),"·",S5/D5)</f>
        <v>9.7896423716956511E-3</v>
      </c>
      <c r="K5" s="11">
        <f t="shared" ref="K5:K39" si="2">IF(N5="","·",N5/D5)</f>
        <v>6.211103992753768E-3</v>
      </c>
      <c r="L5" s="11">
        <f t="shared" ref="L5:L39" si="3">IF(T5="","·",T5/D5)</f>
        <v>3.5272086067430685E-3</v>
      </c>
      <c r="M5" s="11">
        <f t="shared" ref="M5:M39" si="4">IF(ISBLANK(V5),"·",V5/D5)</f>
        <v>3.5785383789418835E-3</v>
      </c>
      <c r="N5" s="52">
        <f t="shared" ref="N5:N39" si="5">IF(OR(ISBLANK(T5),ISBLANK(U5)),"",T5+U5)</f>
        <v>1479152</v>
      </c>
      <c r="O5" s="11">
        <v>16</v>
      </c>
      <c r="P5" s="12">
        <v>21785839</v>
      </c>
      <c r="Q5" s="12">
        <v>680807.46875</v>
      </c>
      <c r="R5" s="12">
        <v>13493.8125</v>
      </c>
      <c r="S5" s="13">
        <v>2331368</v>
      </c>
      <c r="T5" s="13">
        <v>839992</v>
      </c>
      <c r="U5" s="13">
        <v>639160</v>
      </c>
      <c r="V5" s="13">
        <v>852216</v>
      </c>
      <c r="W5" s="14">
        <v>66.354628000000005</v>
      </c>
      <c r="X5" s="14">
        <v>68.478525000000005</v>
      </c>
      <c r="Y5" s="14">
        <v>32.104728000000001</v>
      </c>
      <c r="Z5" s="14">
        <v>44.160262000000003</v>
      </c>
      <c r="AA5" s="14">
        <v>43.841844000000002</v>
      </c>
      <c r="AB5" s="15">
        <v>3389.72</v>
      </c>
      <c r="AC5" s="15">
        <v>970.78300000000002</v>
      </c>
      <c r="AD5" s="15">
        <v>54.073999999999998</v>
      </c>
      <c r="AE5" s="15">
        <v>14.635</v>
      </c>
      <c r="AG5" s="10">
        <f t="shared" ref="AG5:AG39" si="6">IF(OR(ISBLANK(AQ5),ISBLANK(G5)),"·",AQ5*G5/F5/1000000)</f>
        <v>9.9975825</v>
      </c>
      <c r="AH5" s="11">
        <f t="shared" ref="AH5:AH39" si="7">IF(ISBLANK(AQ5),"·",AQ5/D5)</f>
        <v>4.477954906316426E-2</v>
      </c>
      <c r="AI5" s="11">
        <f t="shared" ref="AI5:AI39" si="8">IF(AL5="","·",AL5/D5)</f>
        <v>3.1753636778816437E-2</v>
      </c>
      <c r="AJ5" s="11">
        <f t="shared" ref="AJ5:AJ39" si="9">IF(AR5="","·",AR5/D5)</f>
        <v>3.0396362378634578E-2</v>
      </c>
      <c r="AK5" s="11">
        <f t="shared" ref="AK5:AK39" si="10">IF(ISBLANK(AT5),"·",AT5/D5)</f>
        <v>1.1747967240872443E-2</v>
      </c>
      <c r="AL5" s="52">
        <f t="shared" ref="AL5:AL39" si="11">IF(OR(ISBLANK(AR5),ISBLANK(AS5)),"",AR5+AS5)</f>
        <v>7562014</v>
      </c>
      <c r="AM5" s="11">
        <v>16</v>
      </c>
      <c r="AN5" s="12">
        <v>31739521</v>
      </c>
      <c r="AO5" s="12">
        <v>991860.03125</v>
      </c>
      <c r="AP5" s="12">
        <v>12087.6875</v>
      </c>
      <c r="AQ5" s="13">
        <v>10664088</v>
      </c>
      <c r="AR5" s="13">
        <v>7238784</v>
      </c>
      <c r="AS5" s="13">
        <v>323230</v>
      </c>
      <c r="AT5" s="13">
        <v>2797736</v>
      </c>
      <c r="AU5" s="14">
        <v>42.830649999999999</v>
      </c>
      <c r="AV5" s="14">
        <v>43.076787000000003</v>
      </c>
      <c r="AW5" s="14">
        <v>31.508616</v>
      </c>
      <c r="AX5" s="14">
        <v>41.935358999999998</v>
      </c>
      <c r="AY5" s="14">
        <v>41.368872000000003</v>
      </c>
      <c r="AZ5" s="15">
        <v>3253</v>
      </c>
      <c r="BA5" s="15">
        <v>849.61599999999999</v>
      </c>
      <c r="BB5" s="15">
        <v>80.066999999999993</v>
      </c>
      <c r="BC5" s="15">
        <v>17.111000000000001</v>
      </c>
      <c r="BE5" s="50">
        <f t="shared" ref="BE5:BE43" si="12">AI5/K5</f>
        <v>5.1123981849059454</v>
      </c>
      <c r="BF5" s="16">
        <f t="shared" ref="BF5:BF39" si="13">(AP5/AO5) - (R5/Q5)</f>
        <v>-7.6334178183414692E-3</v>
      </c>
      <c r="BG5" s="16">
        <f t="shared" ref="BG5:BG39" si="14">(AL5/AQ5) - (N5/S5)</f>
        <v>7.4653560388724283E-2</v>
      </c>
      <c r="BH5" s="16">
        <f t="array" ref="BH5">AVERAGE(AL5:AL9/AQ5:AQ9) - AVERAGE(N5:N9/S5:S9)</f>
        <v>0.15294534316603658</v>
      </c>
      <c r="BJ5" s="50">
        <f>IF( OR(ISBLANK(N5:N9),ISBLANK(AL5:AL9), ISBLANK(W5:W9),ISBLANK(AU5:AU9)), "·", bdRateExtend( N5:N9,W5:W9, AL5:AL9,AU5:AU9))</f>
        <v>1</v>
      </c>
      <c r="BK5" s="50">
        <f>IF( OR(ISBLANK(N5:N9),ISBLANK(AL5:AL9), ISBLANK(X5:X9),ISBLANK(AV5:AV9)), "·", bdRateExtend( N5:N9,X5:X9, AL5:AL9,AV5:AV9))</f>
        <v>1</v>
      </c>
      <c r="BL5" s="50">
        <f>IF( OR(ISBLANK(V5:V9),ISBLANK(AT5:AT9), ISBLANK(Y5:Y9),ISBLANK(AW5:AW9)), "·", bdRateExtend( V5:V9,Y5:Y9, AT5:AT9,AW5:AW9))</f>
        <v>1.6255103089001244</v>
      </c>
      <c r="BM5" s="50">
        <f>IF( OR(ISBLANK(V5:V9),ISBLANK(AT5:AT9), ISBLANK(Z5:Z9),ISBLANK(AX5:AX9)), "·", bdRateExtend( V5:V9,Z5:Z9, AT5:AT9,AX5:AX9))</f>
        <v>5.6499046997589026</v>
      </c>
      <c r="BN5" s="50">
        <f>IF( OR(ISBLANK(V5:V9),ISBLANK(AT5:AT9), ISBLANK(AA5:AA9),ISBLANK(AY5:AY9)), "·", bdRateExtend( V5:V9,AA5:AA9, AT5:AT9,AY5:AY9))</f>
        <v>6.0172184303721057</v>
      </c>
      <c r="BP5" s="50">
        <f>IF( OR(ISBLANK(S5:S9),ISBLANK(AQ5:AQ9), ISBLANK(W5:W9),ISBLANK(AU5:AU9)), "·", bdRateExtend( S5:S9,W5:W9, AQ5:AQ9,AU5:AU9))</f>
        <v>1</v>
      </c>
      <c r="BQ5" s="50">
        <f>IF( OR(ISBLANK(S5:S9),ISBLANK(AQ5:AQ9), ISBLANK(X5:X9),ISBLANK(AV5:AV9)), "·", bdRateExtend( S5:S9,X5:X9, AQ5:AQ9,AV5:AV9))</f>
        <v>1</v>
      </c>
      <c r="BR5" s="50">
        <f>IF( OR(ISBLANK(S5:S9),ISBLANK(AQ5:AQ9), ISBLANK(Y5:Y9),ISBLANK(AW5:AW9)), "·", bdRateExtend( S5:S9,Y5:Y9, AQ5:AQ9,AW5:AW9))</f>
        <v>2.5684902446647278</v>
      </c>
      <c r="BS5" s="50">
        <f>IF( OR(ISBLANK(S5:S9),ISBLANK(AQ5:AQ9), ISBLANK(Z5:Z9),ISBLANK(AX5:AX9)), "·", bdRateExtend( S5:S9,Z5:Z9, AQ5:AQ9,AX5:AX9))</f>
        <v>5.8619513280036104</v>
      </c>
      <c r="BT5" s="50">
        <f>IF( OR(ISBLANK(S5:S9),ISBLANK(AQ5:AQ9), ISBLANK(AA5:AA9),ISBLANK(AY5:AY9)), "·", bdRateExtend( S5:S9,AA5:AA9, AQ5:AQ9,AY5:AY9))</f>
        <v>6.137609735836131</v>
      </c>
      <c r="BV5" s="58">
        <f>AN5-P5</f>
        <v>9953682</v>
      </c>
      <c r="BW5" s="58">
        <f t="shared" ref="BW5:CG20" si="15">AO5-Q5</f>
        <v>311052.5625</v>
      </c>
      <c r="BX5" s="58">
        <f t="shared" si="15"/>
        <v>-1406.125</v>
      </c>
      <c r="BY5" s="58">
        <f t="shared" si="15"/>
        <v>8332720</v>
      </c>
      <c r="BZ5" s="58">
        <f t="shared" si="15"/>
        <v>6398792</v>
      </c>
      <c r="CA5" s="58">
        <f t="shared" si="15"/>
        <v>-315930</v>
      </c>
      <c r="CB5" s="58">
        <f t="shared" si="15"/>
        <v>1945520</v>
      </c>
      <c r="CC5" s="58">
        <f t="shared" si="15"/>
        <v>-23.523978000000007</v>
      </c>
      <c r="CD5" s="58">
        <f t="shared" si="15"/>
        <v>-25.401738000000002</v>
      </c>
      <c r="CE5" s="58">
        <f t="shared" si="15"/>
        <v>-0.59611200000000153</v>
      </c>
      <c r="CF5" s="58">
        <f t="shared" si="15"/>
        <v>-2.2249030000000047</v>
      </c>
      <c r="CG5" s="58">
        <f t="shared" si="15"/>
        <v>-2.4729719999999986</v>
      </c>
      <c r="CJ5" t="s">
        <v>233</v>
      </c>
    </row>
    <row r="6" spans="1:88" outlineLevel="1" x14ac:dyDescent="0.2">
      <c r="A6" s="17"/>
      <c r="B6" s="17" t="s">
        <v>51</v>
      </c>
      <c r="C6" s="18" t="s">
        <v>234</v>
      </c>
      <c r="D6" s="17">
        <v>238146391</v>
      </c>
      <c r="E6" s="18">
        <v>10</v>
      </c>
      <c r="F6" s="18">
        <v>32</v>
      </c>
      <c r="G6" s="18">
        <v>30</v>
      </c>
      <c r="I6" s="19">
        <f t="shared" si="0"/>
        <v>3.4014674999999999</v>
      </c>
      <c r="J6" s="20">
        <f t="shared" si="1"/>
        <v>1.5235301214369442E-2</v>
      </c>
      <c r="K6" s="20">
        <f t="shared" si="2"/>
        <v>7.5753069043989841E-3</v>
      </c>
      <c r="L6" s="20">
        <f t="shared" si="3"/>
        <v>4.8914115183882837E-3</v>
      </c>
      <c r="M6" s="20">
        <f t="shared" si="4"/>
        <v>7.6599943099704589E-3</v>
      </c>
      <c r="N6" s="17">
        <f t="shared" si="5"/>
        <v>1804032</v>
      </c>
      <c r="O6" s="20">
        <v>16</v>
      </c>
      <c r="P6" s="21">
        <v>24191962</v>
      </c>
      <c r="Q6" s="21">
        <v>755998.8125</v>
      </c>
      <c r="R6" s="21">
        <v>19085.96875</v>
      </c>
      <c r="S6" s="22">
        <v>3628232</v>
      </c>
      <c r="T6" s="22">
        <v>1164872</v>
      </c>
      <c r="U6" s="22">
        <v>639160</v>
      </c>
      <c r="V6" s="22">
        <v>1824200</v>
      </c>
      <c r="W6" s="23">
        <v>68.255977999999999</v>
      </c>
      <c r="X6" s="23">
        <v>70.438458999999995</v>
      </c>
      <c r="Y6" s="23">
        <v>34.355628000000003</v>
      </c>
      <c r="Z6" s="23">
        <v>45.457172</v>
      </c>
      <c r="AA6" s="23">
        <v>45.255406000000001</v>
      </c>
      <c r="AB6" s="24">
        <v>4007.02</v>
      </c>
      <c r="AC6" s="24">
        <v>1376.29</v>
      </c>
      <c r="AD6" s="24">
        <v>67.054000000000002</v>
      </c>
      <c r="AE6" s="24">
        <v>20.920999999999999</v>
      </c>
      <c r="AG6" s="19">
        <f t="shared" si="6"/>
        <v>13.8083025</v>
      </c>
      <c r="AH6" s="20">
        <f t="shared" si="7"/>
        <v>6.1847907659453048E-2</v>
      </c>
      <c r="AI6" s="20">
        <f t="shared" si="8"/>
        <v>4.0253828578909683E-2</v>
      </c>
      <c r="AJ6" s="20">
        <f t="shared" si="9"/>
        <v>3.8251597942544506E-2</v>
      </c>
      <c r="AK6" s="20">
        <f t="shared" si="10"/>
        <v>2.0961056680468444E-2</v>
      </c>
      <c r="AL6" s="17">
        <f t="shared" si="11"/>
        <v>9586304</v>
      </c>
      <c r="AM6" s="20">
        <v>16</v>
      </c>
      <c r="AN6" s="21">
        <v>30494920</v>
      </c>
      <c r="AO6" s="21">
        <v>952966.25</v>
      </c>
      <c r="AP6" s="21">
        <v>15427.21875</v>
      </c>
      <c r="AQ6" s="22">
        <v>14728856</v>
      </c>
      <c r="AR6" s="22">
        <v>9109480</v>
      </c>
      <c r="AS6" s="22">
        <v>476824</v>
      </c>
      <c r="AT6" s="22">
        <v>4991800</v>
      </c>
      <c r="AU6" s="23">
        <v>42.559753000000001</v>
      </c>
      <c r="AV6" s="23">
        <v>42.806213</v>
      </c>
      <c r="AW6" s="23">
        <v>34.001325000000001</v>
      </c>
      <c r="AX6" s="23">
        <v>43.167372</v>
      </c>
      <c r="AY6" s="23">
        <v>42.739400000000003</v>
      </c>
      <c r="AZ6" s="24">
        <v>3940.1</v>
      </c>
      <c r="BA6" s="24">
        <v>1156.22</v>
      </c>
      <c r="BB6" s="24">
        <v>84.83</v>
      </c>
      <c r="BC6" s="24">
        <v>23.872</v>
      </c>
      <c r="BE6" s="49">
        <f t="shared" si="12"/>
        <v>5.3138214843195684</v>
      </c>
      <c r="BF6" s="25">
        <f t="shared" si="13"/>
        <v>-9.0573993035814974E-3</v>
      </c>
      <c r="BG6" s="25">
        <f t="shared" si="14"/>
        <v>0.15363122105015292</v>
      </c>
      <c r="BH6" s="25"/>
      <c r="BJ6" s="49"/>
      <c r="BK6" s="49"/>
      <c r="BL6" s="49"/>
      <c r="BM6" s="49"/>
      <c r="BN6" s="49"/>
      <c r="BP6" s="49"/>
      <c r="BQ6" s="49"/>
      <c r="BR6" s="49"/>
      <c r="BS6" s="49"/>
      <c r="BT6" s="49"/>
      <c r="BV6" s="58">
        <f t="shared" ref="BV6:CG39" si="16">AN6-P6</f>
        <v>6302958</v>
      </c>
      <c r="BW6" s="58">
        <f t="shared" si="15"/>
        <v>196967.4375</v>
      </c>
      <c r="BX6" s="58">
        <f t="shared" si="15"/>
        <v>-3658.75</v>
      </c>
      <c r="BY6" s="58">
        <f t="shared" si="15"/>
        <v>11100624</v>
      </c>
      <c r="BZ6" s="58">
        <f t="shared" si="15"/>
        <v>7944608</v>
      </c>
      <c r="CA6" s="58">
        <f t="shared" si="15"/>
        <v>-162336</v>
      </c>
      <c r="CB6" s="58">
        <f t="shared" si="15"/>
        <v>3167600</v>
      </c>
      <c r="CC6" s="58">
        <f t="shared" si="15"/>
        <v>-25.696224999999998</v>
      </c>
      <c r="CD6" s="58">
        <f t="shared" si="15"/>
        <v>-27.632245999999995</v>
      </c>
      <c r="CE6" s="58">
        <f t="shared" si="15"/>
        <v>-0.35430300000000159</v>
      </c>
      <c r="CF6" s="58">
        <f t="shared" si="15"/>
        <v>-2.2897999999999996</v>
      </c>
      <c r="CG6" s="58">
        <f t="shared" si="15"/>
        <v>-2.5160059999999973</v>
      </c>
      <c r="CJ6" t="s">
        <v>233</v>
      </c>
    </row>
    <row r="7" spans="1:88" outlineLevel="1" x14ac:dyDescent="0.2">
      <c r="A7" s="52"/>
      <c r="B7" s="52" t="s">
        <v>51</v>
      </c>
      <c r="C7" s="9" t="s">
        <v>235</v>
      </c>
      <c r="D7" s="52">
        <v>238146391</v>
      </c>
      <c r="E7" s="9">
        <v>10</v>
      </c>
      <c r="F7" s="9">
        <v>32</v>
      </c>
      <c r="G7" s="9">
        <v>30</v>
      </c>
      <c r="I7" s="10">
        <f t="shared" si="0"/>
        <v>5.5771199999999999</v>
      </c>
      <c r="J7" s="11">
        <f t="shared" si="1"/>
        <v>2.498013081373969E-2</v>
      </c>
      <c r="K7" s="11">
        <f t="shared" si="2"/>
        <v>9.522613340800113E-3</v>
      </c>
      <c r="L7" s="11">
        <f t="shared" si="3"/>
        <v>6.8387179547894136E-3</v>
      </c>
      <c r="M7" s="11">
        <f t="shared" si="4"/>
        <v>1.5457517472939575E-2</v>
      </c>
      <c r="N7" s="52">
        <f t="shared" si="5"/>
        <v>2267776</v>
      </c>
      <c r="O7" s="11">
        <v>16</v>
      </c>
      <c r="P7" s="12">
        <v>24808216</v>
      </c>
      <c r="Q7" s="12">
        <v>775256.75</v>
      </c>
      <c r="R7" s="12">
        <v>20954.78125</v>
      </c>
      <c r="S7" s="13">
        <v>5948928</v>
      </c>
      <c r="T7" s="13">
        <v>1628616</v>
      </c>
      <c r="U7" s="13">
        <v>639160</v>
      </c>
      <c r="V7" s="13">
        <v>3681152</v>
      </c>
      <c r="W7" s="14">
        <v>69.683724999999995</v>
      </c>
      <c r="X7" s="14">
        <v>72.129402999999996</v>
      </c>
      <c r="Y7" s="14">
        <v>36.897066000000002</v>
      </c>
      <c r="Z7" s="14">
        <v>46.589962999999997</v>
      </c>
      <c r="AA7" s="14">
        <v>46.485678</v>
      </c>
      <c r="AB7" s="15">
        <v>3322.91</v>
      </c>
      <c r="AC7" s="15">
        <v>1042.68</v>
      </c>
      <c r="AD7" s="15">
        <v>59.536000000000001</v>
      </c>
      <c r="AE7" s="15">
        <v>15.117000000000001</v>
      </c>
      <c r="AG7" s="10">
        <f t="shared" si="6"/>
        <v>19.598122499999999</v>
      </c>
      <c r="AH7" s="11">
        <f t="shared" si="7"/>
        <v>8.7780729794893264E-2</v>
      </c>
      <c r="AI7" s="11">
        <f t="shared" si="8"/>
        <v>5.0349362632163511E-2</v>
      </c>
      <c r="AJ7" s="11">
        <f t="shared" si="9"/>
        <v>4.7181029923732923E-2</v>
      </c>
      <c r="AK7" s="11">
        <f t="shared" si="10"/>
        <v>3.7964446834720243E-2</v>
      </c>
      <c r="AL7" s="52">
        <f t="shared" si="11"/>
        <v>11990519</v>
      </c>
      <c r="AM7" s="11">
        <v>16</v>
      </c>
      <c r="AN7" s="12">
        <v>29351278</v>
      </c>
      <c r="AO7" s="12">
        <v>917227.4375</v>
      </c>
      <c r="AP7" s="12">
        <v>18092.0625</v>
      </c>
      <c r="AQ7" s="13">
        <v>20904664</v>
      </c>
      <c r="AR7" s="13">
        <v>11235992</v>
      </c>
      <c r="AS7" s="13">
        <v>754527</v>
      </c>
      <c r="AT7" s="13">
        <v>9041096</v>
      </c>
      <c r="AU7" s="14">
        <v>42.343783999999999</v>
      </c>
      <c r="AV7" s="14">
        <v>42.590197000000003</v>
      </c>
      <c r="AW7" s="14">
        <v>36.707037999999997</v>
      </c>
      <c r="AX7" s="14">
        <v>44.404319000000001</v>
      </c>
      <c r="AY7" s="14">
        <v>44.035252999999997</v>
      </c>
      <c r="AZ7" s="15">
        <v>3398.62</v>
      </c>
      <c r="BA7" s="15">
        <v>942.03399999999999</v>
      </c>
      <c r="BB7" s="15">
        <v>77.316000000000003</v>
      </c>
      <c r="BC7" s="15">
        <v>19.812000000000001</v>
      </c>
      <c r="BE7" s="50">
        <f t="shared" si="12"/>
        <v>5.2873471630355029</v>
      </c>
      <c r="BF7" s="16">
        <f t="shared" si="13"/>
        <v>-7.304743964915799E-3</v>
      </c>
      <c r="BG7" s="16">
        <f t="shared" si="14"/>
        <v>0.19237353897518711</v>
      </c>
      <c r="BH7" s="16"/>
      <c r="BJ7" s="50"/>
      <c r="BK7" s="50"/>
      <c r="BL7" s="50"/>
      <c r="BM7" s="50"/>
      <c r="BN7" s="50"/>
      <c r="BP7" s="50"/>
      <c r="BQ7" s="50"/>
      <c r="BR7" s="50"/>
      <c r="BS7" s="50"/>
      <c r="BT7" s="50"/>
      <c r="BV7" s="58">
        <f t="shared" si="16"/>
        <v>4543062</v>
      </c>
      <c r="BW7" s="58">
        <f t="shared" si="15"/>
        <v>141970.6875</v>
      </c>
      <c r="BX7" s="58">
        <f t="shared" si="15"/>
        <v>-2862.71875</v>
      </c>
      <c r="BY7" s="58">
        <f t="shared" si="15"/>
        <v>14955736</v>
      </c>
      <c r="BZ7" s="58">
        <f t="shared" si="15"/>
        <v>9607376</v>
      </c>
      <c r="CA7" s="58">
        <f t="shared" si="15"/>
        <v>115367</v>
      </c>
      <c r="CB7" s="58">
        <f t="shared" si="15"/>
        <v>5359944</v>
      </c>
      <c r="CC7" s="58">
        <f t="shared" si="15"/>
        <v>-27.339940999999996</v>
      </c>
      <c r="CD7" s="58">
        <f t="shared" si="15"/>
        <v>-29.539205999999993</v>
      </c>
      <c r="CE7" s="58">
        <f t="shared" si="15"/>
        <v>-0.19002800000000519</v>
      </c>
      <c r="CF7" s="58">
        <f t="shared" si="15"/>
        <v>-2.1856439999999964</v>
      </c>
      <c r="CG7" s="58">
        <f t="shared" si="15"/>
        <v>-2.4504250000000027</v>
      </c>
      <c r="CJ7" t="s">
        <v>233</v>
      </c>
    </row>
    <row r="8" spans="1:88" outlineLevel="1" x14ac:dyDescent="0.2">
      <c r="A8" s="17"/>
      <c r="B8" s="17" t="s">
        <v>51</v>
      </c>
      <c r="C8" s="18" t="s">
        <v>236</v>
      </c>
      <c r="D8" s="17">
        <v>238146391</v>
      </c>
      <c r="E8" s="18">
        <v>10</v>
      </c>
      <c r="F8" s="18">
        <v>32</v>
      </c>
      <c r="G8" s="18">
        <v>30</v>
      </c>
      <c r="I8" s="19">
        <f t="shared" si="0"/>
        <v>9.4412924999999994</v>
      </c>
      <c r="J8" s="20">
        <f t="shared" si="1"/>
        <v>4.2287905173419155E-2</v>
      </c>
      <c r="K8" s="20">
        <f t="shared" si="2"/>
        <v>1.2784640519704538E-2</v>
      </c>
      <c r="L8" s="20">
        <f t="shared" si="3"/>
        <v>1.0100745133693839E-2</v>
      </c>
      <c r="M8" s="20">
        <f t="shared" si="4"/>
        <v>2.9503264653714615E-2</v>
      </c>
      <c r="N8" s="17">
        <f t="shared" si="5"/>
        <v>3044616</v>
      </c>
      <c r="O8" s="20">
        <v>16</v>
      </c>
      <c r="P8" s="21">
        <v>25797809</v>
      </c>
      <c r="Q8" s="21">
        <v>806181.53125</v>
      </c>
      <c r="R8" s="21">
        <v>24199.8125</v>
      </c>
      <c r="S8" s="22">
        <v>10070712</v>
      </c>
      <c r="T8" s="22">
        <v>2405456</v>
      </c>
      <c r="U8" s="22">
        <v>639160</v>
      </c>
      <c r="V8" s="22">
        <v>7026096</v>
      </c>
      <c r="W8" s="23">
        <v>70.836841000000007</v>
      </c>
      <c r="X8" s="23">
        <v>73.406981000000002</v>
      </c>
      <c r="Y8" s="23">
        <v>39.525216</v>
      </c>
      <c r="Z8" s="23">
        <v>47.905425000000001</v>
      </c>
      <c r="AA8" s="23">
        <v>47.942124999999997</v>
      </c>
      <c r="AB8" s="24">
        <v>4080.27</v>
      </c>
      <c r="AC8" s="24">
        <v>1545.72</v>
      </c>
      <c r="AD8" s="24">
        <v>70.674000000000007</v>
      </c>
      <c r="AE8" s="24">
        <v>23.140999999999998</v>
      </c>
      <c r="AG8" s="19">
        <f t="shared" si="6"/>
        <v>28.551517499999999</v>
      </c>
      <c r="AH8" s="20">
        <f t="shared" si="7"/>
        <v>0.12788332366540042</v>
      </c>
      <c r="AI8" s="20">
        <f t="shared" si="8"/>
        <v>6.2891085340864974E-2</v>
      </c>
      <c r="AJ8" s="20">
        <f t="shared" si="9"/>
        <v>5.7716532853105469E-2</v>
      </c>
      <c r="AK8" s="20">
        <f t="shared" si="10"/>
        <v>6.7531571368637702E-2</v>
      </c>
      <c r="AL8" s="17">
        <f t="shared" si="11"/>
        <v>14977285</v>
      </c>
      <c r="AM8" s="20">
        <v>16</v>
      </c>
      <c r="AN8" s="21">
        <v>28386649</v>
      </c>
      <c r="AO8" s="21">
        <v>887082.78125</v>
      </c>
      <c r="AP8" s="21">
        <v>19588.34375</v>
      </c>
      <c r="AQ8" s="22">
        <v>30454952</v>
      </c>
      <c r="AR8" s="22">
        <v>13744984</v>
      </c>
      <c r="AS8" s="22">
        <v>1232301</v>
      </c>
      <c r="AT8" s="22">
        <v>16082400</v>
      </c>
      <c r="AU8" s="23">
        <v>42.170816000000002</v>
      </c>
      <c r="AV8" s="23">
        <v>42.416803000000002</v>
      </c>
      <c r="AW8" s="23">
        <v>39.412716000000003</v>
      </c>
      <c r="AX8" s="23">
        <v>45.827184000000003</v>
      </c>
      <c r="AY8" s="23">
        <v>45.603222000000002</v>
      </c>
      <c r="AZ8" s="24">
        <v>3207.79</v>
      </c>
      <c r="BA8" s="24">
        <v>941.91399999999999</v>
      </c>
      <c r="BB8" s="24">
        <v>70.768000000000001</v>
      </c>
      <c r="BC8" s="24">
        <v>19.013000000000002</v>
      </c>
      <c r="BE8" s="49">
        <f t="shared" si="12"/>
        <v>4.9192689652816641</v>
      </c>
      <c r="BF8" s="25">
        <f t="shared" si="13"/>
        <v>-7.9360665092150298E-3</v>
      </c>
      <c r="BG8" s="25">
        <f t="shared" si="14"/>
        <v>0.18946107491036163</v>
      </c>
      <c r="BH8" s="25"/>
      <c r="BJ8" s="49"/>
      <c r="BK8" s="49"/>
      <c r="BL8" s="49"/>
      <c r="BM8" s="49"/>
      <c r="BN8" s="49"/>
      <c r="BP8" s="49"/>
      <c r="BQ8" s="49"/>
      <c r="BR8" s="49"/>
      <c r="BS8" s="49"/>
      <c r="BT8" s="49"/>
      <c r="BV8" s="58">
        <f t="shared" si="16"/>
        <v>2588840</v>
      </c>
      <c r="BW8" s="58">
        <f t="shared" si="15"/>
        <v>80901.25</v>
      </c>
      <c r="BX8" s="58">
        <f t="shared" si="15"/>
        <v>-4611.46875</v>
      </c>
      <c r="BY8" s="58">
        <f t="shared" si="15"/>
        <v>20384240</v>
      </c>
      <c r="BZ8" s="58">
        <f t="shared" si="15"/>
        <v>11339528</v>
      </c>
      <c r="CA8" s="58">
        <f t="shared" si="15"/>
        <v>593141</v>
      </c>
      <c r="CB8" s="58">
        <f t="shared" si="15"/>
        <v>9056304</v>
      </c>
      <c r="CC8" s="58">
        <f t="shared" si="15"/>
        <v>-28.666025000000005</v>
      </c>
      <c r="CD8" s="58">
        <f t="shared" si="15"/>
        <v>-30.990178</v>
      </c>
      <c r="CE8" s="58">
        <f t="shared" si="15"/>
        <v>-0.11249999999999716</v>
      </c>
      <c r="CF8" s="58">
        <f t="shared" si="15"/>
        <v>-2.0782409999999985</v>
      </c>
      <c r="CG8" s="58">
        <f t="shared" si="15"/>
        <v>-2.3389029999999948</v>
      </c>
      <c r="CJ8" t="s">
        <v>233</v>
      </c>
    </row>
    <row r="9" spans="1:88" ht="16" outlineLevel="1" thickBot="1" x14ac:dyDescent="0.25">
      <c r="A9" s="52"/>
      <c r="B9" s="26" t="s">
        <v>51</v>
      </c>
      <c r="C9" s="27" t="s">
        <v>237</v>
      </c>
      <c r="D9" s="26">
        <v>238146391</v>
      </c>
      <c r="E9" s="27">
        <v>10</v>
      </c>
      <c r="F9" s="27">
        <v>32</v>
      </c>
      <c r="G9" s="27">
        <v>30</v>
      </c>
      <c r="I9" s="28">
        <f t="shared" si="0"/>
        <v>16.818832499999999</v>
      </c>
      <c r="J9" s="29">
        <f t="shared" si="1"/>
        <v>7.5332185067629259E-2</v>
      </c>
      <c r="K9" s="29">
        <f t="shared" si="2"/>
        <v>2.068986214449918E-2</v>
      </c>
      <c r="L9" s="29">
        <f t="shared" si="3"/>
        <v>1.5547781280464586E-2</v>
      </c>
      <c r="M9" s="29">
        <f t="shared" si="4"/>
        <v>5.4642322923130086E-2</v>
      </c>
      <c r="N9" s="26">
        <f t="shared" si="5"/>
        <v>4927216</v>
      </c>
      <c r="O9" s="29">
        <v>16</v>
      </c>
      <c r="P9" s="30">
        <v>24868389</v>
      </c>
      <c r="Q9" s="30">
        <v>777137.15625</v>
      </c>
      <c r="R9" s="30">
        <v>10635.96875</v>
      </c>
      <c r="S9" s="31">
        <v>17940088</v>
      </c>
      <c r="T9" s="31">
        <v>3702648</v>
      </c>
      <c r="U9" s="31">
        <v>1224568</v>
      </c>
      <c r="V9" s="31">
        <v>13012872</v>
      </c>
      <c r="W9" s="32">
        <v>71.945244000000002</v>
      </c>
      <c r="X9" s="32">
        <v>75.319241000000005</v>
      </c>
      <c r="Y9" s="32">
        <v>42.127887000000001</v>
      </c>
      <c r="Z9" s="32">
        <v>49.411659</v>
      </c>
      <c r="AA9" s="32">
        <v>49.554577999999999</v>
      </c>
      <c r="AB9" s="33">
        <v>3598.79</v>
      </c>
      <c r="AC9" s="33">
        <v>1328.79</v>
      </c>
      <c r="AD9" s="33">
        <v>62.445999999999998</v>
      </c>
      <c r="AE9" s="33">
        <v>17.969000000000001</v>
      </c>
      <c r="AG9" s="28">
        <f t="shared" si="6"/>
        <v>45.766192500000002</v>
      </c>
      <c r="AH9" s="29">
        <f t="shared" si="7"/>
        <v>0.20498850221920853</v>
      </c>
      <c r="AI9" s="29">
        <f t="shared" si="8"/>
        <v>8.7992481901604802E-2</v>
      </c>
      <c r="AJ9" s="29">
        <f t="shared" si="9"/>
        <v>7.8547451092802825E-2</v>
      </c>
      <c r="AK9" s="29">
        <f t="shared" si="10"/>
        <v>0.1213476126119417</v>
      </c>
      <c r="AL9" s="26">
        <f t="shared" si="11"/>
        <v>20955092</v>
      </c>
      <c r="AM9" s="29">
        <v>16</v>
      </c>
      <c r="AN9" s="30">
        <v>26218715</v>
      </c>
      <c r="AO9" s="30">
        <v>819334.84375</v>
      </c>
      <c r="AP9" s="30">
        <v>10885.625</v>
      </c>
      <c r="AQ9" s="31">
        <v>48817272</v>
      </c>
      <c r="AR9" s="31">
        <v>18705792</v>
      </c>
      <c r="AS9" s="31">
        <v>2249300</v>
      </c>
      <c r="AT9" s="31">
        <v>28898496</v>
      </c>
      <c r="AU9" s="32">
        <v>46.689469000000003</v>
      </c>
      <c r="AV9" s="32">
        <v>46.942191000000001</v>
      </c>
      <c r="AW9" s="32">
        <v>42.457538</v>
      </c>
      <c r="AX9" s="32">
        <v>47.740693999999998</v>
      </c>
      <c r="AY9" s="32">
        <v>47.507269000000001</v>
      </c>
      <c r="AZ9" s="33">
        <v>3451.21</v>
      </c>
      <c r="BA9" s="33">
        <v>1052.3599999999999</v>
      </c>
      <c r="BB9" s="33">
        <v>67.855999999999995</v>
      </c>
      <c r="BC9" s="33">
        <v>21.126000000000001</v>
      </c>
      <c r="BE9" s="34">
        <f t="shared" si="12"/>
        <v>4.2529274137768667</v>
      </c>
      <c r="BF9" s="35">
        <f t="shared" si="13"/>
        <v>-4.001600620725243E-4</v>
      </c>
      <c r="BG9" s="35">
        <f t="shared" si="14"/>
        <v>0.15460732050575693</v>
      </c>
      <c r="BH9" s="35"/>
      <c r="BJ9" s="34"/>
      <c r="BK9" s="34"/>
      <c r="BL9" s="34"/>
      <c r="BM9" s="34"/>
      <c r="BN9" s="34"/>
      <c r="BP9" s="34"/>
      <c r="BQ9" s="34"/>
      <c r="BR9" s="34"/>
      <c r="BS9" s="34"/>
      <c r="BT9" s="34"/>
      <c r="BV9" s="58">
        <f t="shared" si="16"/>
        <v>1350326</v>
      </c>
      <c r="BW9" s="58">
        <f t="shared" si="15"/>
        <v>42197.6875</v>
      </c>
      <c r="BX9" s="58">
        <f t="shared" si="15"/>
        <v>249.65625</v>
      </c>
      <c r="BY9" s="58">
        <f t="shared" si="15"/>
        <v>30877184</v>
      </c>
      <c r="BZ9" s="58">
        <f t="shared" si="15"/>
        <v>15003144</v>
      </c>
      <c r="CA9" s="58">
        <f t="shared" si="15"/>
        <v>1024732</v>
      </c>
      <c r="CB9" s="58">
        <f t="shared" si="15"/>
        <v>15885624</v>
      </c>
      <c r="CC9" s="58">
        <f t="shared" si="15"/>
        <v>-25.255775</v>
      </c>
      <c r="CD9" s="58">
        <f t="shared" si="15"/>
        <v>-28.377050000000004</v>
      </c>
      <c r="CE9" s="58">
        <f t="shared" si="15"/>
        <v>0.32965099999999836</v>
      </c>
      <c r="CF9" s="58">
        <f t="shared" si="15"/>
        <v>-1.6709650000000025</v>
      </c>
      <c r="CG9" s="58">
        <f t="shared" si="15"/>
        <v>-2.0473089999999985</v>
      </c>
      <c r="CJ9" t="s">
        <v>233</v>
      </c>
    </row>
    <row r="10" spans="1:88" x14ac:dyDescent="0.2">
      <c r="A10" s="17"/>
      <c r="B10" s="17" t="s">
        <v>59</v>
      </c>
      <c r="C10" s="18" t="s">
        <v>232</v>
      </c>
      <c r="D10" s="17">
        <v>218121242</v>
      </c>
      <c r="E10" s="18">
        <v>10</v>
      </c>
      <c r="F10" s="18">
        <v>32</v>
      </c>
      <c r="G10" s="18">
        <v>30</v>
      </c>
      <c r="I10" s="19">
        <f t="shared" si="0"/>
        <v>3.2118150000000001</v>
      </c>
      <c r="J10" s="20">
        <f t="shared" si="1"/>
        <v>1.5706567451142607E-2</v>
      </c>
      <c r="K10" s="20">
        <f t="shared" si="2"/>
        <v>8.1856126603203558E-3</v>
      </c>
      <c r="L10" s="20">
        <f t="shared" si="3"/>
        <v>4.2806284772576161E-3</v>
      </c>
      <c r="M10" s="20">
        <f t="shared" si="4"/>
        <v>7.520954790822253E-3</v>
      </c>
      <c r="N10" s="17">
        <f t="shared" si="5"/>
        <v>1785456</v>
      </c>
      <c r="O10" s="20">
        <v>16</v>
      </c>
      <c r="P10" s="21">
        <v>20666971</v>
      </c>
      <c r="Q10" s="21">
        <v>645842.84375</v>
      </c>
      <c r="R10" s="21">
        <v>18163.46875</v>
      </c>
      <c r="S10" s="22">
        <v>3425936</v>
      </c>
      <c r="T10" s="22">
        <v>933696</v>
      </c>
      <c r="U10" s="22">
        <v>851760</v>
      </c>
      <c r="V10" s="22">
        <v>1640480</v>
      </c>
      <c r="W10" s="23">
        <v>65.904411999999994</v>
      </c>
      <c r="X10" s="23">
        <v>67.822759000000005</v>
      </c>
      <c r="Y10" s="23">
        <v>32.386865999999998</v>
      </c>
      <c r="Z10" s="23">
        <v>39.175778000000001</v>
      </c>
      <c r="AA10" s="23">
        <v>32.086630999999997</v>
      </c>
      <c r="AB10" s="24">
        <v>3521.37</v>
      </c>
      <c r="AC10" s="24">
        <v>1088.5899999999999</v>
      </c>
      <c r="AD10" s="24">
        <v>54.136000000000003</v>
      </c>
      <c r="AE10" s="24">
        <v>15.983000000000001</v>
      </c>
      <c r="AG10" s="19">
        <f t="shared" si="6"/>
        <v>13.05819</v>
      </c>
      <c r="AH10" s="20">
        <f t="shared" si="7"/>
        <v>6.3857769524345548E-2</v>
      </c>
      <c r="AI10" s="20">
        <f t="shared" si="8"/>
        <v>4.1274214824065597E-2</v>
      </c>
      <c r="AJ10" s="20">
        <f t="shared" si="9"/>
        <v>3.9106727624446593E-2</v>
      </c>
      <c r="AK10" s="20">
        <f t="shared" si="10"/>
        <v>2.0995589232890945E-2</v>
      </c>
      <c r="AL10" s="17">
        <f t="shared" si="11"/>
        <v>9002783</v>
      </c>
      <c r="AM10" s="20">
        <v>16</v>
      </c>
      <c r="AN10" s="21">
        <v>28518841</v>
      </c>
      <c r="AO10" s="21">
        <v>891213.78125</v>
      </c>
      <c r="AP10" s="21">
        <v>16009.28125</v>
      </c>
      <c r="AQ10" s="22">
        <v>13928736</v>
      </c>
      <c r="AR10" s="22">
        <v>8530008</v>
      </c>
      <c r="AS10" s="22">
        <v>472775</v>
      </c>
      <c r="AT10" s="22">
        <v>4579584</v>
      </c>
      <c r="AU10" s="23">
        <v>41.209252999999997</v>
      </c>
      <c r="AV10" s="23">
        <v>41.725696999999997</v>
      </c>
      <c r="AW10" s="23">
        <v>31.277450000000002</v>
      </c>
      <c r="AX10" s="23">
        <v>37.650053</v>
      </c>
      <c r="AY10" s="23">
        <v>31.346025000000001</v>
      </c>
      <c r="AZ10" s="24">
        <v>4058.2</v>
      </c>
      <c r="BA10" s="24">
        <v>1213.81</v>
      </c>
      <c r="BB10" s="24">
        <v>85.248000000000005</v>
      </c>
      <c r="BC10" s="24">
        <v>25.838999999999999</v>
      </c>
      <c r="BE10" s="49">
        <f t="shared" si="12"/>
        <v>5.0422877965068862</v>
      </c>
      <c r="BF10" s="25">
        <f t="shared" si="13"/>
        <v>-1.0160208589580041E-2</v>
      </c>
      <c r="BG10" s="25">
        <f t="shared" si="14"/>
        <v>0.12518741721354931</v>
      </c>
      <c r="BH10" s="25">
        <f t="array" ref="BH10">AVERAGE(AL10:AL14/AQ10:AQ14) - AVERAGE(N10:N14/S10:S14)</f>
        <v>0.1580378738202855</v>
      </c>
      <c r="BJ10" s="49">
        <f>IF( OR(ISBLANK(N10:N14),ISBLANK(AL10:AL14), ISBLANK(W10:W14),ISBLANK(AU10:AU14)), "·", bdRateExtend( N10:N14,W10:W14, AL10:AL14,AU10:AU14))</f>
        <v>1</v>
      </c>
      <c r="BK10" s="49">
        <f>IF( OR(ISBLANK(N10:N14),ISBLANK(AL10:AL14), ISBLANK(X10:X14),ISBLANK(AV10:AV14)), "·", bdRateExtend( N10:N14,X10:X14, AL10:AL14,AV10:AV14))</f>
        <v>1</v>
      </c>
      <c r="BL10" s="49">
        <f>IF( OR(ISBLANK(V10:V14),ISBLANK(AT10:AT14), ISBLANK(Y10:Y14),ISBLANK(AW10:AW14)), "·", bdRateExtend( V10:V14,Y10:Y14, AT10:AT14,AW10:AW14))</f>
        <v>1.6429189270690316</v>
      </c>
      <c r="BM10" s="49">
        <f>IF( OR(ISBLANK(V10:V14),ISBLANK(AT10:AT14), ISBLANK(Z10:Z14),ISBLANK(AX10:AX14)), "·", bdRateExtend( V10:V14,Z10:Z14, AT10:AT14,AX10:AX14))</f>
        <v>3.5448858529412028</v>
      </c>
      <c r="BN10" s="49">
        <f>IF( OR(ISBLANK(V10:V14),ISBLANK(AT10:AT14), ISBLANK(AA10:AA14),ISBLANK(AY10:AY14)), "·", bdRateExtend( V10:V14,AA10:AA14, AT10:AT14,AY10:AY14))</f>
        <v>2.7549561125149418</v>
      </c>
      <c r="BP10" s="49">
        <f>IF( OR(ISBLANK(S10:S14),ISBLANK(AQ10:AQ14), ISBLANK(W10:W14),ISBLANK(AU10:AU14)), "·", bdRateExtend( S10:S14,W10:W14, AQ10:AQ14,AU10:AU14))</f>
        <v>1</v>
      </c>
      <c r="BQ10" s="49">
        <f>IF( OR(ISBLANK(S10:S14),ISBLANK(AQ10:AQ14), ISBLANK(X10:X14),ISBLANK(AV10:AV14)), "·", bdRateExtend( S10:S14,X10:X14, AQ10:AQ14,AV10:AV14))</f>
        <v>1</v>
      </c>
      <c r="BR10" s="49">
        <f>IF( OR(ISBLANK(S10:S14),ISBLANK(AQ10:AQ14), ISBLANK(Y10:Y14),ISBLANK(AW10:AW14)), "·", bdRateExtend( S10:S14,Y10:Y14, AQ10:AQ14,AW10:AW14))</f>
        <v>2.482690137316006</v>
      </c>
      <c r="BS10" s="49">
        <f>IF( OR(ISBLANK(S10:S14),ISBLANK(AQ10:AQ14), ISBLANK(Z10:Z14),ISBLANK(AX10:AX14)), "·", bdRateExtend( S10:S14,Z10:Z14, AQ10:AQ14,AX10:AX14))</f>
        <v>4.24094914469263</v>
      </c>
      <c r="BT10" s="49">
        <f>IF( OR(ISBLANK(S10:S14),ISBLANK(AQ10:AQ14), ISBLANK(AA10:AA14),ISBLANK(AY10:AY14)), "·", bdRateExtend( S10:S14,AA10:AA14, AQ10:AQ14,AY10:AY14))</f>
        <v>3.6678265387276943</v>
      </c>
      <c r="BV10" s="58">
        <f t="shared" si="16"/>
        <v>7851870</v>
      </c>
      <c r="BW10" s="58">
        <f t="shared" si="15"/>
        <v>245370.9375</v>
      </c>
      <c r="BX10" s="58">
        <f t="shared" si="15"/>
        <v>-2154.1875</v>
      </c>
      <c r="BY10" s="58">
        <f t="shared" si="15"/>
        <v>10502800</v>
      </c>
      <c r="BZ10" s="58">
        <f t="shared" si="15"/>
        <v>7596312</v>
      </c>
      <c r="CA10" s="58">
        <f t="shared" si="15"/>
        <v>-378985</v>
      </c>
      <c r="CB10" s="58">
        <f t="shared" si="15"/>
        <v>2939104</v>
      </c>
      <c r="CC10" s="58">
        <f t="shared" si="15"/>
        <v>-24.695158999999997</v>
      </c>
      <c r="CD10" s="58">
        <f t="shared" si="15"/>
        <v>-26.097062000000008</v>
      </c>
      <c r="CE10" s="58">
        <f t="shared" si="15"/>
        <v>-1.109415999999996</v>
      </c>
      <c r="CF10" s="58">
        <f t="shared" si="15"/>
        <v>-1.5257250000000013</v>
      </c>
      <c r="CG10" s="58">
        <f t="shared" si="15"/>
        <v>-0.7406059999999961</v>
      </c>
      <c r="CJ10" t="s">
        <v>238</v>
      </c>
    </row>
    <row r="11" spans="1:88" outlineLevel="1" x14ac:dyDescent="0.2">
      <c r="A11" s="52"/>
      <c r="B11" s="52" t="s">
        <v>59</v>
      </c>
      <c r="C11" s="9" t="s">
        <v>234</v>
      </c>
      <c r="D11" s="52">
        <v>218121242</v>
      </c>
      <c r="E11" s="9">
        <v>10</v>
      </c>
      <c r="F11" s="9">
        <v>32</v>
      </c>
      <c r="G11" s="9">
        <v>30</v>
      </c>
      <c r="I11" s="10">
        <f t="shared" si="0"/>
        <v>4.6275075000000001</v>
      </c>
      <c r="J11" s="11">
        <f t="shared" si="1"/>
        <v>2.2629652915693556E-2</v>
      </c>
      <c r="K11" s="11">
        <f t="shared" si="2"/>
        <v>9.9355385111918621E-3</v>
      </c>
      <c r="L11" s="11">
        <f t="shared" si="3"/>
        <v>6.0305543281291233E-3</v>
      </c>
      <c r="M11" s="11">
        <f t="shared" si="4"/>
        <v>1.2694114404501694E-2</v>
      </c>
      <c r="N11" s="52">
        <f t="shared" si="5"/>
        <v>2167152</v>
      </c>
      <c r="O11" s="11">
        <v>16</v>
      </c>
      <c r="P11" s="12">
        <v>22097663</v>
      </c>
      <c r="Q11" s="12">
        <v>690551.96875</v>
      </c>
      <c r="R11" s="12">
        <v>22957.28125</v>
      </c>
      <c r="S11" s="13">
        <v>4936008</v>
      </c>
      <c r="T11" s="13">
        <v>1315392</v>
      </c>
      <c r="U11" s="13">
        <v>851760</v>
      </c>
      <c r="V11" s="13">
        <v>2768856</v>
      </c>
      <c r="W11" s="14">
        <v>67.607918999999995</v>
      </c>
      <c r="X11" s="14">
        <v>69.699944000000002</v>
      </c>
      <c r="Y11" s="14">
        <v>34.247959000000002</v>
      </c>
      <c r="Z11" s="14">
        <v>40.027191000000002</v>
      </c>
      <c r="AA11" s="14">
        <v>33.861477999999998</v>
      </c>
      <c r="AB11" s="15">
        <v>4191.76</v>
      </c>
      <c r="AC11" s="15">
        <v>1465.99</v>
      </c>
      <c r="AD11" s="15">
        <v>60.981000000000002</v>
      </c>
      <c r="AE11" s="15">
        <v>21.838999999999999</v>
      </c>
      <c r="AG11" s="10">
        <f t="shared" si="6"/>
        <v>17.832742499999998</v>
      </c>
      <c r="AH11" s="11">
        <f t="shared" si="7"/>
        <v>8.720650875442934E-2</v>
      </c>
      <c r="AI11" s="11">
        <f t="shared" si="8"/>
        <v>5.2518883053123272E-2</v>
      </c>
      <c r="AJ11" s="11">
        <f t="shared" si="9"/>
        <v>4.9355449754866151E-2</v>
      </c>
      <c r="AK11" s="11">
        <f t="shared" si="10"/>
        <v>3.4095606332555178E-2</v>
      </c>
      <c r="AL11" s="52">
        <f t="shared" si="11"/>
        <v>11455484</v>
      </c>
      <c r="AM11" s="11">
        <v>16</v>
      </c>
      <c r="AN11" s="12">
        <v>27532139</v>
      </c>
      <c r="AO11" s="12">
        <v>860379.34375</v>
      </c>
      <c r="AP11" s="12">
        <v>19573.8125</v>
      </c>
      <c r="AQ11" s="13">
        <v>19021592</v>
      </c>
      <c r="AR11" s="13">
        <v>10765472</v>
      </c>
      <c r="AS11" s="13">
        <v>690012</v>
      </c>
      <c r="AT11" s="13">
        <v>7436976</v>
      </c>
      <c r="AU11" s="14">
        <v>40.967202999999998</v>
      </c>
      <c r="AV11" s="14">
        <v>41.485562999999999</v>
      </c>
      <c r="AW11" s="14">
        <v>33.632356000000001</v>
      </c>
      <c r="AX11" s="14">
        <v>38.667059000000002</v>
      </c>
      <c r="AY11" s="14">
        <v>32.940112999999997</v>
      </c>
      <c r="AZ11" s="15">
        <v>3354.95</v>
      </c>
      <c r="BA11" s="15">
        <v>929.67700000000002</v>
      </c>
      <c r="BB11" s="15">
        <v>69.998999999999995</v>
      </c>
      <c r="BC11" s="15">
        <v>19.134</v>
      </c>
      <c r="BE11" s="50">
        <f t="shared" si="12"/>
        <v>5.2859624059595269</v>
      </c>
      <c r="BF11" s="16">
        <f t="shared" si="13"/>
        <v>-1.0494615710890824E-2</v>
      </c>
      <c r="BG11" s="16">
        <f t="shared" si="14"/>
        <v>0.16318628554089409</v>
      </c>
      <c r="BH11" s="16"/>
      <c r="BJ11" s="50"/>
      <c r="BK11" s="50"/>
      <c r="BL11" s="50"/>
      <c r="BM11" s="50"/>
      <c r="BN11" s="50"/>
      <c r="BP11" s="50"/>
      <c r="BQ11" s="50"/>
      <c r="BR11" s="50"/>
      <c r="BS11" s="50"/>
      <c r="BT11" s="50"/>
      <c r="BV11" s="58">
        <f t="shared" si="16"/>
        <v>5434476</v>
      </c>
      <c r="BW11" s="58">
        <f t="shared" si="15"/>
        <v>169827.375</v>
      </c>
      <c r="BX11" s="58">
        <f t="shared" si="15"/>
        <v>-3383.46875</v>
      </c>
      <c r="BY11" s="58">
        <f t="shared" si="15"/>
        <v>14085584</v>
      </c>
      <c r="BZ11" s="58">
        <f t="shared" si="15"/>
        <v>9450080</v>
      </c>
      <c r="CA11" s="58">
        <f t="shared" si="15"/>
        <v>-161748</v>
      </c>
      <c r="CB11" s="58">
        <f t="shared" si="15"/>
        <v>4668120</v>
      </c>
      <c r="CC11" s="58">
        <f t="shared" si="15"/>
        <v>-26.640715999999998</v>
      </c>
      <c r="CD11" s="58">
        <f t="shared" si="15"/>
        <v>-28.214381000000003</v>
      </c>
      <c r="CE11" s="58">
        <f t="shared" si="15"/>
        <v>-0.61560300000000012</v>
      </c>
      <c r="CF11" s="58">
        <f t="shared" si="15"/>
        <v>-1.3601320000000001</v>
      </c>
      <c r="CG11" s="58">
        <f t="shared" si="15"/>
        <v>-0.92136500000000154</v>
      </c>
      <c r="CJ11" t="s">
        <v>238</v>
      </c>
    </row>
    <row r="12" spans="1:88" outlineLevel="1" x14ac:dyDescent="0.2">
      <c r="A12" s="17"/>
      <c r="B12" s="17" t="s">
        <v>59</v>
      </c>
      <c r="C12" s="18" t="s">
        <v>235</v>
      </c>
      <c r="D12" s="17">
        <v>218121242</v>
      </c>
      <c r="E12" s="18">
        <v>10</v>
      </c>
      <c r="F12" s="18">
        <v>32</v>
      </c>
      <c r="G12" s="18">
        <v>30</v>
      </c>
      <c r="I12" s="19">
        <f t="shared" si="0"/>
        <v>7.1472224999999998</v>
      </c>
      <c r="J12" s="20">
        <f t="shared" si="1"/>
        <v>3.495168068041718E-2</v>
      </c>
      <c r="K12" s="20">
        <f t="shared" si="2"/>
        <v>1.2619110246951556E-2</v>
      </c>
      <c r="L12" s="20">
        <f t="shared" si="3"/>
        <v>8.714126063888817E-3</v>
      </c>
      <c r="M12" s="20">
        <f t="shared" si="4"/>
        <v>2.2332570433465624E-2</v>
      </c>
      <c r="N12" s="17">
        <f t="shared" si="5"/>
        <v>2752496</v>
      </c>
      <c r="O12" s="20">
        <v>16</v>
      </c>
      <c r="P12" s="21">
        <v>22510846</v>
      </c>
      <c r="Q12" s="21">
        <v>703463.9375</v>
      </c>
      <c r="R12" s="21">
        <v>24709.6875</v>
      </c>
      <c r="S12" s="22">
        <v>7623704</v>
      </c>
      <c r="T12" s="22">
        <v>1900736</v>
      </c>
      <c r="U12" s="22">
        <v>851760</v>
      </c>
      <c r="V12" s="22">
        <v>4871208</v>
      </c>
      <c r="W12" s="23">
        <v>68.956063</v>
      </c>
      <c r="X12" s="23">
        <v>71.331965999999994</v>
      </c>
      <c r="Y12" s="23">
        <v>36.351883999999998</v>
      </c>
      <c r="Z12" s="23">
        <v>40.928597000000003</v>
      </c>
      <c r="AA12" s="23">
        <v>35.641469000000001</v>
      </c>
      <c r="AB12" s="24">
        <v>3390.44</v>
      </c>
      <c r="AC12" s="24">
        <v>1110.17</v>
      </c>
      <c r="AD12" s="24">
        <v>54.74</v>
      </c>
      <c r="AE12" s="24">
        <v>16.425999999999998</v>
      </c>
      <c r="AG12" s="19">
        <f t="shared" si="6"/>
        <v>24.873157500000001</v>
      </c>
      <c r="AH12" s="20">
        <f t="shared" si="7"/>
        <v>0.12163587441887022</v>
      </c>
      <c r="AI12" s="20">
        <f t="shared" si="8"/>
        <v>6.6045713236861175E-2</v>
      </c>
      <c r="AJ12" s="20">
        <f t="shared" si="9"/>
        <v>6.1239409227277372E-2</v>
      </c>
      <c r="AK12" s="20">
        <f t="shared" si="10"/>
        <v>5.6641012524584838E-2</v>
      </c>
      <c r="AL12" s="17">
        <f t="shared" si="11"/>
        <v>14405973</v>
      </c>
      <c r="AM12" s="20">
        <v>16</v>
      </c>
      <c r="AN12" s="21">
        <v>26603738</v>
      </c>
      <c r="AO12" s="21">
        <v>831366.8125</v>
      </c>
      <c r="AP12" s="21">
        <v>22496.375</v>
      </c>
      <c r="AQ12" s="22">
        <v>26531368</v>
      </c>
      <c r="AR12" s="22">
        <v>13357616</v>
      </c>
      <c r="AS12" s="22">
        <v>1048357</v>
      </c>
      <c r="AT12" s="22">
        <v>12354608</v>
      </c>
      <c r="AU12" s="23">
        <v>40.767637000000001</v>
      </c>
      <c r="AV12" s="23">
        <v>41.286105999999997</v>
      </c>
      <c r="AW12" s="23">
        <v>36.134805999999998</v>
      </c>
      <c r="AX12" s="23">
        <v>39.670330999999997</v>
      </c>
      <c r="AY12" s="23">
        <v>34.454977999999997</v>
      </c>
      <c r="AZ12" s="24">
        <v>3283.97</v>
      </c>
      <c r="BA12" s="24">
        <v>954.54</v>
      </c>
      <c r="BB12" s="24">
        <v>66.957999999999998</v>
      </c>
      <c r="BC12" s="24">
        <v>19.440000000000001</v>
      </c>
      <c r="BE12" s="49">
        <f t="shared" si="12"/>
        <v>5.2337852625398913</v>
      </c>
      <c r="BF12" s="25">
        <f t="shared" si="13"/>
        <v>-8.0662288034593285E-3</v>
      </c>
      <c r="BG12" s="25">
        <f t="shared" si="14"/>
        <v>0.18193445185681256</v>
      </c>
      <c r="BH12" s="25"/>
      <c r="BJ12" s="49"/>
      <c r="BK12" s="49"/>
      <c r="BL12" s="49"/>
      <c r="BM12" s="49"/>
      <c r="BN12" s="49"/>
      <c r="BP12" s="49"/>
      <c r="BQ12" s="49"/>
      <c r="BR12" s="49"/>
      <c r="BS12" s="49"/>
      <c r="BT12" s="49"/>
      <c r="BV12" s="58">
        <f t="shared" si="16"/>
        <v>4092892</v>
      </c>
      <c r="BW12" s="58">
        <f t="shared" si="15"/>
        <v>127902.875</v>
      </c>
      <c r="BX12" s="58">
        <f t="shared" si="15"/>
        <v>-2213.3125</v>
      </c>
      <c r="BY12" s="58">
        <f t="shared" si="15"/>
        <v>18907664</v>
      </c>
      <c r="BZ12" s="58">
        <f t="shared" si="15"/>
        <v>11456880</v>
      </c>
      <c r="CA12" s="58">
        <f t="shared" si="15"/>
        <v>196597</v>
      </c>
      <c r="CB12" s="58">
        <f t="shared" si="15"/>
        <v>7483400</v>
      </c>
      <c r="CC12" s="58">
        <f t="shared" si="15"/>
        <v>-28.188426</v>
      </c>
      <c r="CD12" s="58">
        <f t="shared" si="15"/>
        <v>-30.045859999999998</v>
      </c>
      <c r="CE12" s="58">
        <f t="shared" si="15"/>
        <v>-0.21707800000000077</v>
      </c>
      <c r="CF12" s="58">
        <f t="shared" si="15"/>
        <v>-1.2582660000000061</v>
      </c>
      <c r="CG12" s="58">
        <f t="shared" si="15"/>
        <v>-1.1864910000000037</v>
      </c>
      <c r="CJ12" t="s">
        <v>238</v>
      </c>
    </row>
    <row r="13" spans="1:88" outlineLevel="1" x14ac:dyDescent="0.2">
      <c r="A13" s="52"/>
      <c r="B13" s="52" t="s">
        <v>59</v>
      </c>
      <c r="C13" s="9" t="s">
        <v>236</v>
      </c>
      <c r="D13" s="52">
        <v>218121242</v>
      </c>
      <c r="E13" s="9">
        <v>10</v>
      </c>
      <c r="F13" s="9">
        <v>32</v>
      </c>
      <c r="G13" s="9">
        <v>30</v>
      </c>
      <c r="I13" s="10">
        <f t="shared" si="0"/>
        <v>12.03003</v>
      </c>
      <c r="J13" s="11">
        <f t="shared" si="1"/>
        <v>5.8829813558461216E-2</v>
      </c>
      <c r="K13" s="11">
        <f t="shared" si="2"/>
        <v>1.730054333726928E-2</v>
      </c>
      <c r="L13" s="11">
        <f t="shared" si="3"/>
        <v>1.3395559154206539E-2</v>
      </c>
      <c r="M13" s="11">
        <f t="shared" si="4"/>
        <v>4.152927022119194E-2</v>
      </c>
      <c r="N13" s="52">
        <f t="shared" si="5"/>
        <v>3773616</v>
      </c>
      <c r="O13" s="11">
        <v>16</v>
      </c>
      <c r="P13" s="12">
        <v>23291739</v>
      </c>
      <c r="Q13" s="12">
        <v>727866.84375</v>
      </c>
      <c r="R13" s="12">
        <v>28062.03125</v>
      </c>
      <c r="S13" s="13">
        <v>12832032</v>
      </c>
      <c r="T13" s="13">
        <v>2921856</v>
      </c>
      <c r="U13" s="13">
        <v>851760</v>
      </c>
      <c r="V13" s="13">
        <v>9058416</v>
      </c>
      <c r="W13" s="14">
        <v>70.072275000000005</v>
      </c>
      <c r="X13" s="14">
        <v>72.590205999999995</v>
      </c>
      <c r="Y13" s="14">
        <v>38.665965999999997</v>
      </c>
      <c r="Z13" s="14">
        <v>42.107503000000001</v>
      </c>
      <c r="AA13" s="14">
        <v>37.689275000000002</v>
      </c>
      <c r="AB13" s="15">
        <v>3977.03</v>
      </c>
      <c r="AC13" s="15">
        <v>1399.52</v>
      </c>
      <c r="AD13" s="15">
        <v>62.853000000000002</v>
      </c>
      <c r="AE13" s="15">
        <v>19.303999999999998</v>
      </c>
      <c r="AG13" s="10">
        <f t="shared" si="6"/>
        <v>36.152355</v>
      </c>
      <c r="AH13" s="11">
        <f t="shared" si="7"/>
        <v>0.17679393188124246</v>
      </c>
      <c r="AI13" s="11">
        <f t="shared" si="8"/>
        <v>8.3102052939896615E-2</v>
      </c>
      <c r="AJ13" s="11">
        <f t="shared" si="9"/>
        <v>7.545825362575187E-2</v>
      </c>
      <c r="AK13" s="11">
        <f t="shared" si="10"/>
        <v>9.758018891163292E-2</v>
      </c>
      <c r="AL13" s="52">
        <f t="shared" si="11"/>
        <v>18126323</v>
      </c>
      <c r="AM13" s="11">
        <v>16</v>
      </c>
      <c r="AN13" s="12">
        <v>25800189</v>
      </c>
      <c r="AO13" s="12">
        <v>806255.90625</v>
      </c>
      <c r="AP13" s="12">
        <v>23983.4375</v>
      </c>
      <c r="AQ13" s="13">
        <v>38562512</v>
      </c>
      <c r="AR13" s="13">
        <v>16459048</v>
      </c>
      <c r="AS13" s="13">
        <v>1667275</v>
      </c>
      <c r="AT13" s="13">
        <v>21284312</v>
      </c>
      <c r="AU13" s="14">
        <v>40.604824999999998</v>
      </c>
      <c r="AV13" s="14">
        <v>41.123331</v>
      </c>
      <c r="AW13" s="14">
        <v>38.650328000000002</v>
      </c>
      <c r="AX13" s="14">
        <v>40.947949999999999</v>
      </c>
      <c r="AY13" s="14">
        <v>36.063246999999997</v>
      </c>
      <c r="AZ13" s="15">
        <v>3257.82</v>
      </c>
      <c r="BA13" s="15">
        <v>991.62400000000002</v>
      </c>
      <c r="BB13" s="15">
        <v>64.816000000000003</v>
      </c>
      <c r="BC13" s="15">
        <v>20.446999999999999</v>
      </c>
      <c r="BE13" s="50">
        <f t="shared" si="12"/>
        <v>4.8034360146872386</v>
      </c>
      <c r="BF13" s="16">
        <f t="shared" si="13"/>
        <v>-8.8071166665474356E-3</v>
      </c>
      <c r="BG13" s="16">
        <f t="shared" si="14"/>
        <v>0.1759725488705185</v>
      </c>
      <c r="BH13" s="16"/>
      <c r="BJ13" s="50"/>
      <c r="BK13" s="50"/>
      <c r="BL13" s="50"/>
      <c r="BM13" s="50"/>
      <c r="BN13" s="50"/>
      <c r="BP13" s="50"/>
      <c r="BQ13" s="50"/>
      <c r="BR13" s="50"/>
      <c r="BS13" s="50"/>
      <c r="BT13" s="50"/>
      <c r="BV13" s="58">
        <f t="shared" si="16"/>
        <v>2508450</v>
      </c>
      <c r="BW13" s="58">
        <f t="shared" si="15"/>
        <v>78389.0625</v>
      </c>
      <c r="BX13" s="58">
        <f t="shared" si="15"/>
        <v>-4078.59375</v>
      </c>
      <c r="BY13" s="58">
        <f t="shared" si="15"/>
        <v>25730480</v>
      </c>
      <c r="BZ13" s="58">
        <f t="shared" si="15"/>
        <v>13537192</v>
      </c>
      <c r="CA13" s="58">
        <f t="shared" si="15"/>
        <v>815515</v>
      </c>
      <c r="CB13" s="58">
        <f t="shared" si="15"/>
        <v>12225896</v>
      </c>
      <c r="CC13" s="58">
        <f t="shared" si="15"/>
        <v>-29.467450000000007</v>
      </c>
      <c r="CD13" s="58">
        <f t="shared" si="15"/>
        <v>-31.466874999999995</v>
      </c>
      <c r="CE13" s="58">
        <f t="shared" si="15"/>
        <v>-1.56379999999956E-2</v>
      </c>
      <c r="CF13" s="58">
        <f t="shared" si="15"/>
        <v>-1.1595530000000025</v>
      </c>
      <c r="CG13" s="58">
        <f t="shared" si="15"/>
        <v>-1.6260280000000051</v>
      </c>
      <c r="CJ13" t="s">
        <v>238</v>
      </c>
    </row>
    <row r="14" spans="1:88" ht="16" outlineLevel="1" thickBot="1" x14ac:dyDescent="0.25">
      <c r="A14" s="17"/>
      <c r="B14" s="36" t="s">
        <v>59</v>
      </c>
      <c r="C14" s="37" t="s">
        <v>237</v>
      </c>
      <c r="D14" s="36">
        <v>218121242</v>
      </c>
      <c r="E14" s="37">
        <v>10</v>
      </c>
      <c r="F14" s="37">
        <v>32</v>
      </c>
      <c r="G14" s="37">
        <v>30</v>
      </c>
      <c r="I14" s="38">
        <f t="shared" si="0"/>
        <v>21.587354999999999</v>
      </c>
      <c r="J14" s="39">
        <f t="shared" si="1"/>
        <v>0.10556748984585371</v>
      </c>
      <c r="K14" s="39">
        <f t="shared" si="2"/>
        <v>2.838032620408424E-2</v>
      </c>
      <c r="L14" s="39">
        <f t="shared" si="3"/>
        <v>2.1154363315059429E-2</v>
      </c>
      <c r="M14" s="39">
        <f t="shared" si="4"/>
        <v>7.7187163641769474E-2</v>
      </c>
      <c r="N14" s="36">
        <f t="shared" si="5"/>
        <v>6190352</v>
      </c>
      <c r="O14" s="39">
        <v>16</v>
      </c>
      <c r="P14" s="40">
        <v>22124056</v>
      </c>
      <c r="Q14" s="40">
        <v>691376.75</v>
      </c>
      <c r="R14" s="40">
        <v>13278.71875</v>
      </c>
      <c r="S14" s="41">
        <v>23026512</v>
      </c>
      <c r="T14" s="41">
        <v>4614216</v>
      </c>
      <c r="U14" s="41">
        <v>1576136</v>
      </c>
      <c r="V14" s="41">
        <v>16836160</v>
      </c>
      <c r="W14" s="42">
        <v>70.923046999999997</v>
      </c>
      <c r="X14" s="42">
        <v>74.675602999999995</v>
      </c>
      <c r="Y14" s="42">
        <v>40.962909000000003</v>
      </c>
      <c r="Z14" s="42">
        <v>43.423147</v>
      </c>
      <c r="AA14" s="42">
        <v>39.504384000000002</v>
      </c>
      <c r="AB14" s="43">
        <v>3765.11</v>
      </c>
      <c r="AC14" s="43">
        <v>1415.32</v>
      </c>
      <c r="AD14" s="43">
        <v>55.209000000000003</v>
      </c>
      <c r="AE14" s="43">
        <v>19.117000000000001</v>
      </c>
      <c r="AG14" s="38">
        <f t="shared" si="6"/>
        <v>57.951824999999999</v>
      </c>
      <c r="AH14" s="39">
        <f t="shared" si="7"/>
        <v>0.28339871638911718</v>
      </c>
      <c r="AI14" s="39">
        <f t="shared" si="8"/>
        <v>0.11697126683333299</v>
      </c>
      <c r="AJ14" s="39">
        <f t="shared" si="9"/>
        <v>0.10335041096089119</v>
      </c>
      <c r="AK14" s="39">
        <f t="shared" si="10"/>
        <v>0.17297235085430149</v>
      </c>
      <c r="AL14" s="36">
        <f t="shared" si="11"/>
        <v>25513918</v>
      </c>
      <c r="AM14" s="39">
        <v>16</v>
      </c>
      <c r="AN14" s="40">
        <v>23430464</v>
      </c>
      <c r="AO14" s="40">
        <v>732202</v>
      </c>
      <c r="AP14" s="40">
        <v>14374.53125</v>
      </c>
      <c r="AQ14" s="41">
        <v>61815280</v>
      </c>
      <c r="AR14" s="41">
        <v>22542920</v>
      </c>
      <c r="AS14" s="41">
        <v>2970998</v>
      </c>
      <c r="AT14" s="41">
        <v>37728944</v>
      </c>
      <c r="AU14" s="42">
        <v>44.840347000000001</v>
      </c>
      <c r="AV14" s="42">
        <v>45.374713</v>
      </c>
      <c r="AW14" s="42">
        <v>41.350928000000003</v>
      </c>
      <c r="AX14" s="42">
        <v>42.409488000000003</v>
      </c>
      <c r="AY14" s="42">
        <v>37.636068999999999</v>
      </c>
      <c r="AZ14" s="43">
        <v>3222.38</v>
      </c>
      <c r="BA14" s="43">
        <v>1079.3699999999999</v>
      </c>
      <c r="BB14" s="43">
        <v>58.356999999999999</v>
      </c>
      <c r="BC14" s="43">
        <v>21.327999999999999</v>
      </c>
      <c r="BE14" s="44">
        <f t="shared" si="12"/>
        <v>4.1215617464079584</v>
      </c>
      <c r="BF14" s="45">
        <f t="shared" si="13"/>
        <v>4.2572222594768061E-4</v>
      </c>
      <c r="BG14" s="45">
        <f t="shared" si="14"/>
        <v>0.1439086656196531</v>
      </c>
      <c r="BH14" s="45"/>
      <c r="BJ14" s="44"/>
      <c r="BK14" s="44"/>
      <c r="BL14" s="44"/>
      <c r="BM14" s="44"/>
      <c r="BN14" s="44"/>
      <c r="BP14" s="44"/>
      <c r="BQ14" s="44"/>
      <c r="BR14" s="44"/>
      <c r="BS14" s="44"/>
      <c r="BT14" s="44"/>
      <c r="BV14" s="58">
        <f t="shared" si="16"/>
        <v>1306408</v>
      </c>
      <c r="BW14" s="58">
        <f t="shared" si="15"/>
        <v>40825.25</v>
      </c>
      <c r="BX14" s="58">
        <f t="shared" si="15"/>
        <v>1095.8125</v>
      </c>
      <c r="BY14" s="58">
        <f t="shared" si="15"/>
        <v>38788768</v>
      </c>
      <c r="BZ14" s="58">
        <f t="shared" si="15"/>
        <v>17928704</v>
      </c>
      <c r="CA14" s="58">
        <f t="shared" si="15"/>
        <v>1394862</v>
      </c>
      <c r="CB14" s="58">
        <f t="shared" si="15"/>
        <v>20892784</v>
      </c>
      <c r="CC14" s="58">
        <f t="shared" si="15"/>
        <v>-26.082699999999996</v>
      </c>
      <c r="CD14" s="58">
        <f t="shared" si="15"/>
        <v>-29.300889999999995</v>
      </c>
      <c r="CE14" s="58">
        <f t="shared" si="15"/>
        <v>0.38801899999999989</v>
      </c>
      <c r="CF14" s="58">
        <f t="shared" si="15"/>
        <v>-1.013658999999997</v>
      </c>
      <c r="CG14" s="58">
        <f t="shared" si="15"/>
        <v>-1.8683150000000026</v>
      </c>
      <c r="CJ14" t="s">
        <v>238</v>
      </c>
    </row>
    <row r="15" spans="1:88" x14ac:dyDescent="0.2">
      <c r="A15" s="52"/>
      <c r="B15" s="52" t="s">
        <v>64</v>
      </c>
      <c r="C15" s="9" t="s">
        <v>232</v>
      </c>
      <c r="D15" s="52">
        <v>322589704</v>
      </c>
      <c r="E15" s="9">
        <v>10</v>
      </c>
      <c r="F15" s="9">
        <v>32</v>
      </c>
      <c r="G15" s="9">
        <v>30</v>
      </c>
      <c r="I15" s="10">
        <f t="shared" si="0"/>
        <v>4.4272425000000002</v>
      </c>
      <c r="J15" s="11">
        <f t="shared" si="1"/>
        <v>1.4639004101631216E-2</v>
      </c>
      <c r="K15" s="11">
        <f t="shared" si="2"/>
        <v>8.3179096131350792E-3</v>
      </c>
      <c r="L15" s="11">
        <f t="shared" si="3"/>
        <v>4.3923534521734149E-3</v>
      </c>
      <c r="M15" s="11">
        <f t="shared" si="4"/>
        <v>6.3210944884961361E-3</v>
      </c>
      <c r="N15" s="52">
        <f t="shared" si="5"/>
        <v>2683272</v>
      </c>
      <c r="O15" s="11">
        <v>16</v>
      </c>
      <c r="P15" s="12">
        <v>31086837</v>
      </c>
      <c r="Q15" s="12">
        <v>971463.65625</v>
      </c>
      <c r="R15" s="12">
        <v>27944.21875</v>
      </c>
      <c r="S15" s="13">
        <v>4722392</v>
      </c>
      <c r="T15" s="13">
        <v>1416928</v>
      </c>
      <c r="U15" s="13">
        <v>1266344</v>
      </c>
      <c r="V15" s="13">
        <v>2039120</v>
      </c>
      <c r="W15" s="14">
        <v>65.923106000000004</v>
      </c>
      <c r="X15" s="14">
        <v>67.661794</v>
      </c>
      <c r="Y15" s="14">
        <v>29.414641</v>
      </c>
      <c r="Z15" s="14">
        <v>43.125697000000002</v>
      </c>
      <c r="AA15" s="14">
        <v>43.263359000000001</v>
      </c>
      <c r="AB15" s="15">
        <v>4770.25</v>
      </c>
      <c r="AC15" s="15">
        <v>1001.59</v>
      </c>
      <c r="AD15" s="15">
        <v>75.224999999999994</v>
      </c>
      <c r="AE15" s="15">
        <v>15.430999999999999</v>
      </c>
      <c r="AG15" s="10">
        <f t="shared" si="6"/>
        <v>19.329764999999998</v>
      </c>
      <c r="AH15" s="11">
        <f t="shared" si="7"/>
        <v>6.3915294705127967E-2</v>
      </c>
      <c r="AI15" s="11">
        <f t="shared" si="8"/>
        <v>4.2746971862437373E-2</v>
      </c>
      <c r="AJ15" s="11">
        <f t="shared" si="9"/>
        <v>4.0613249082493967E-2</v>
      </c>
      <c r="AK15" s="11">
        <f t="shared" si="10"/>
        <v>1.9524838895664195E-2</v>
      </c>
      <c r="AL15" s="52">
        <f t="shared" si="11"/>
        <v>13789733</v>
      </c>
      <c r="AM15" s="11">
        <v>16</v>
      </c>
      <c r="AN15" s="12">
        <v>42502833</v>
      </c>
      <c r="AO15" s="12">
        <v>1328213.53125</v>
      </c>
      <c r="AP15" s="12">
        <v>24202.375</v>
      </c>
      <c r="AQ15" s="13">
        <v>20618416</v>
      </c>
      <c r="AR15" s="13">
        <v>13101416</v>
      </c>
      <c r="AS15" s="13">
        <v>688317</v>
      </c>
      <c r="AT15" s="13">
        <v>6298512</v>
      </c>
      <c r="AU15" s="14">
        <v>41.425297</v>
      </c>
      <c r="AV15" s="14">
        <v>41.642166000000003</v>
      </c>
      <c r="AW15" s="14">
        <v>28.828278000000001</v>
      </c>
      <c r="AX15" s="14">
        <v>42.170136999999997</v>
      </c>
      <c r="AY15" s="14">
        <v>42.170487000000001</v>
      </c>
      <c r="AZ15" s="15">
        <v>6002.34</v>
      </c>
      <c r="BA15" s="15">
        <v>1233.6500000000001</v>
      </c>
      <c r="BB15" s="15">
        <v>128.72999999999999</v>
      </c>
      <c r="BC15" s="15">
        <v>26.556000000000001</v>
      </c>
      <c r="BE15" s="50">
        <f t="shared" si="12"/>
        <v>5.1391483979261148</v>
      </c>
      <c r="BF15" s="16">
        <f t="shared" si="13"/>
        <v>-1.0543318571146206E-2</v>
      </c>
      <c r="BG15" s="16">
        <f t="shared" si="14"/>
        <v>0.10060473708265683</v>
      </c>
      <c r="BH15" s="16">
        <f t="array" ref="BH15">AVERAGE(AL15:AL19/AQ15:AQ19) - AVERAGE(N15:N19/S15:S19)</f>
        <v>0.1631280410646796</v>
      </c>
      <c r="BJ15" s="50">
        <f>IF( OR(ISBLANK(N15:N19),ISBLANK(AL15:AL19), ISBLANK(W15:W19),ISBLANK(AU15:AU19)), "·", bdRateExtend( N15:N19,W15:W19, AL15:AL19,AU15:AU19))</f>
        <v>1</v>
      </c>
      <c r="BK15" s="50">
        <f>IF( OR(ISBLANK(N15:N19),ISBLANK(AL15:AL19), ISBLANK(X15:X19),ISBLANK(AV15:AV19)), "·", bdRateExtend( N15:N19,X15:X19, AL15:AL19,AV15:AV19))</f>
        <v>1</v>
      </c>
      <c r="BL15" s="50">
        <f>IF( OR(ISBLANK(V15:V19),ISBLANK(AT15:AT19), ISBLANK(Y15:Y19),ISBLANK(AW15:AW19)), "·", bdRateExtend( V15:V19,Y15:Y19, AT15:AT19,AW15:AW19))</f>
        <v>1.5981735774623944</v>
      </c>
      <c r="BM15" s="50">
        <f>IF( OR(ISBLANK(V15:V19),ISBLANK(AT15:AT19), ISBLANK(Z15:Z19),ISBLANK(AX15:AX19)), "·", bdRateExtend( V15:V19,Z15:Z19, AT15:AT19,AX15:AX19))</f>
        <v>2.6683372903780267</v>
      </c>
      <c r="BN15" s="50">
        <f>IF( OR(ISBLANK(V15:V19),ISBLANK(AT15:AT19), ISBLANK(AA15:AA19),ISBLANK(AY15:AY19)), "·", bdRateExtend( V15:V19,AA15:AA19, AT15:AT19,AY15:AY19))</f>
        <v>2.9826401747651969</v>
      </c>
      <c r="BP15" s="50">
        <f>IF( OR(ISBLANK(S15:S19),ISBLANK(AQ15:AQ19), ISBLANK(W15:W19),ISBLANK(AU15:AU19)), "·", bdRateExtend( S15:S19,W15:W19, AQ15:AQ19,AU15:AU19))</f>
        <v>1</v>
      </c>
      <c r="BQ15" s="50">
        <f>IF( OR(ISBLANK(S15:S19),ISBLANK(AQ15:AQ19), ISBLANK(X15:X19),ISBLANK(AV15:AV19)), "·", bdRateExtend( S15:S19,X15:X19, AQ15:AQ19,AV15:AV19))</f>
        <v>1</v>
      </c>
      <c r="BR15" s="50">
        <f>IF( OR(ISBLANK(S15:S19),ISBLANK(AQ15:AQ19), ISBLANK(Y15:Y19),ISBLANK(AW15:AW19)), "·", bdRateExtend( S15:S19,Y15:Y19, AQ15:AQ19,AW15:AW19))</f>
        <v>2.4497564124625444</v>
      </c>
      <c r="BS15" s="50">
        <f>IF( OR(ISBLANK(S15:S19),ISBLANK(AQ15:AQ19), ISBLANK(Z15:Z19),ISBLANK(AX15:AX19)), "·", bdRateExtend( S15:S19,Z15:Z19, AQ15:AQ19,AX15:AX19))</f>
        <v>3.3519991463459258</v>
      </c>
      <c r="BT15" s="50">
        <f>IF( OR(ISBLANK(S15:S19),ISBLANK(AQ15:AQ19), ISBLANK(AA15:AA19),ISBLANK(AY15:AY19)), "·", bdRateExtend( S15:S19,AA15:AA19, AQ15:AQ19,AY15:AY19))</f>
        <v>3.6463073778515298</v>
      </c>
      <c r="BV15" s="58">
        <f t="shared" si="16"/>
        <v>11415996</v>
      </c>
      <c r="BW15" s="58">
        <f t="shared" si="15"/>
        <v>356749.875</v>
      </c>
      <c r="BX15" s="58">
        <f t="shared" si="15"/>
        <v>-3741.84375</v>
      </c>
      <c r="BY15" s="58">
        <f t="shared" si="15"/>
        <v>15896024</v>
      </c>
      <c r="BZ15" s="58">
        <f t="shared" si="15"/>
        <v>11684488</v>
      </c>
      <c r="CA15" s="58">
        <f t="shared" si="15"/>
        <v>-578027</v>
      </c>
      <c r="CB15" s="58">
        <f t="shared" si="15"/>
        <v>4259392</v>
      </c>
      <c r="CC15" s="58">
        <f t="shared" si="15"/>
        <v>-24.497809000000004</v>
      </c>
      <c r="CD15" s="58">
        <f t="shared" si="15"/>
        <v>-26.019627999999997</v>
      </c>
      <c r="CE15" s="58">
        <f t="shared" si="15"/>
        <v>-0.58636299999999864</v>
      </c>
      <c r="CF15" s="58">
        <f t="shared" si="15"/>
        <v>-0.95556000000000552</v>
      </c>
      <c r="CG15" s="58">
        <f t="shared" si="15"/>
        <v>-1.0928719999999998</v>
      </c>
      <c r="CJ15" t="s">
        <v>233</v>
      </c>
    </row>
    <row r="16" spans="1:88" outlineLevel="1" x14ac:dyDescent="0.2">
      <c r="A16" s="17"/>
      <c r="B16" s="17" t="s">
        <v>64</v>
      </c>
      <c r="C16" s="18" t="s">
        <v>234</v>
      </c>
      <c r="D16" s="17">
        <v>322589704</v>
      </c>
      <c r="E16" s="18">
        <v>10</v>
      </c>
      <c r="F16" s="18">
        <v>32</v>
      </c>
      <c r="G16" s="18">
        <v>30</v>
      </c>
      <c r="I16" s="19">
        <f t="shared" si="0"/>
        <v>7.0232849999999996</v>
      </c>
      <c r="J16" s="20">
        <f t="shared" si="1"/>
        <v>2.3223010242137177E-2</v>
      </c>
      <c r="K16" s="20">
        <f t="shared" si="2"/>
        <v>1.0123298913470592E-2</v>
      </c>
      <c r="L16" s="20">
        <f t="shared" si="3"/>
        <v>6.1977427525089267E-3</v>
      </c>
      <c r="M16" s="20">
        <f t="shared" si="4"/>
        <v>1.3099711328666584E-2</v>
      </c>
      <c r="N16" s="17">
        <f t="shared" si="5"/>
        <v>3265672</v>
      </c>
      <c r="O16" s="20">
        <v>16</v>
      </c>
      <c r="P16" s="21">
        <v>33185472</v>
      </c>
      <c r="Q16" s="21">
        <v>1037046</v>
      </c>
      <c r="R16" s="21">
        <v>34748.59375</v>
      </c>
      <c r="S16" s="22">
        <v>7491504</v>
      </c>
      <c r="T16" s="22">
        <v>1999328</v>
      </c>
      <c r="U16" s="22">
        <v>1266344</v>
      </c>
      <c r="V16" s="22">
        <v>4225832</v>
      </c>
      <c r="W16" s="23">
        <v>67.712850000000003</v>
      </c>
      <c r="X16" s="23">
        <v>69.741403000000005</v>
      </c>
      <c r="Y16" s="23">
        <v>31.808309000000001</v>
      </c>
      <c r="Z16" s="23">
        <v>43.976703000000001</v>
      </c>
      <c r="AA16" s="23">
        <v>44.262891000000003</v>
      </c>
      <c r="AB16" s="24">
        <v>4909.97</v>
      </c>
      <c r="AC16" s="24">
        <v>1081.78</v>
      </c>
      <c r="AD16" s="24">
        <v>79.149000000000001</v>
      </c>
      <c r="AE16" s="24">
        <v>15.548999999999999</v>
      </c>
      <c r="AG16" s="19">
        <f t="shared" si="6"/>
        <v>27.200782499999999</v>
      </c>
      <c r="AH16" s="20">
        <f t="shared" si="7"/>
        <v>8.9941395029768209E-2</v>
      </c>
      <c r="AI16" s="20">
        <f t="shared" si="8"/>
        <v>5.4413298943973738E-2</v>
      </c>
      <c r="AJ16" s="20">
        <f t="shared" si="9"/>
        <v>5.1187424134280492E-2</v>
      </c>
      <c r="AK16" s="20">
        <f t="shared" si="10"/>
        <v>3.4976788967821491E-2</v>
      </c>
      <c r="AL16" s="17">
        <f t="shared" si="11"/>
        <v>17553170</v>
      </c>
      <c r="AM16" s="20">
        <v>16</v>
      </c>
      <c r="AN16" s="21">
        <v>41074189</v>
      </c>
      <c r="AO16" s="21">
        <v>1283568.40625</v>
      </c>
      <c r="AP16" s="21">
        <v>28773.6875</v>
      </c>
      <c r="AQ16" s="22">
        <v>29014168</v>
      </c>
      <c r="AR16" s="22">
        <v>16512536</v>
      </c>
      <c r="AS16" s="22">
        <v>1040634</v>
      </c>
      <c r="AT16" s="22">
        <v>11283152</v>
      </c>
      <c r="AU16" s="23">
        <v>41.197194000000003</v>
      </c>
      <c r="AV16" s="23">
        <v>41.413558999999999</v>
      </c>
      <c r="AW16" s="23">
        <v>31.400583999999998</v>
      </c>
      <c r="AX16" s="23">
        <v>43.019131000000002</v>
      </c>
      <c r="AY16" s="23">
        <v>43.070915999999997</v>
      </c>
      <c r="AZ16" s="24">
        <v>4835.6099999999997</v>
      </c>
      <c r="BA16" s="24">
        <v>937.76599999999996</v>
      </c>
      <c r="BB16" s="24">
        <v>102.791</v>
      </c>
      <c r="BC16" s="24">
        <v>19.163</v>
      </c>
      <c r="BE16" s="49">
        <f t="shared" si="12"/>
        <v>5.3750560374710021</v>
      </c>
      <c r="BF16" s="25">
        <f t="shared" si="13"/>
        <v>-1.109033394669794E-2</v>
      </c>
      <c r="BG16" s="25">
        <f t="shared" si="14"/>
        <v>0.16906941729159936</v>
      </c>
      <c r="BH16" s="25"/>
      <c r="BJ16" s="49"/>
      <c r="BK16" s="49"/>
      <c r="BL16" s="49"/>
      <c r="BM16" s="49"/>
      <c r="BN16" s="49"/>
      <c r="BP16" s="49"/>
      <c r="BQ16" s="49"/>
      <c r="BR16" s="49"/>
      <c r="BS16" s="49"/>
      <c r="BT16" s="49"/>
      <c r="BV16" s="58">
        <f t="shared" si="16"/>
        <v>7888717</v>
      </c>
      <c r="BW16" s="58">
        <f t="shared" si="15"/>
        <v>246522.40625</v>
      </c>
      <c r="BX16" s="58">
        <f t="shared" si="15"/>
        <v>-5974.90625</v>
      </c>
      <c r="BY16" s="58">
        <f t="shared" si="15"/>
        <v>21522664</v>
      </c>
      <c r="BZ16" s="58">
        <f t="shared" si="15"/>
        <v>14513208</v>
      </c>
      <c r="CA16" s="58">
        <f t="shared" si="15"/>
        <v>-225710</v>
      </c>
      <c r="CB16" s="58">
        <f t="shared" si="15"/>
        <v>7057320</v>
      </c>
      <c r="CC16" s="58">
        <f t="shared" si="15"/>
        <v>-26.515656</v>
      </c>
      <c r="CD16" s="58">
        <f t="shared" si="15"/>
        <v>-28.327844000000006</v>
      </c>
      <c r="CE16" s="58">
        <f t="shared" si="15"/>
        <v>-0.40772500000000278</v>
      </c>
      <c r="CF16" s="58">
        <f t="shared" si="15"/>
        <v>-0.95757199999999898</v>
      </c>
      <c r="CG16" s="58">
        <f t="shared" si="15"/>
        <v>-1.1919750000000064</v>
      </c>
      <c r="CJ16" t="s">
        <v>233</v>
      </c>
    </row>
    <row r="17" spans="1:88" outlineLevel="1" x14ac:dyDescent="0.2">
      <c r="A17" s="52"/>
      <c r="B17" s="52" t="s">
        <v>64</v>
      </c>
      <c r="C17" s="9" t="s">
        <v>235</v>
      </c>
      <c r="D17" s="52">
        <v>322589704</v>
      </c>
      <c r="E17" s="9">
        <v>10</v>
      </c>
      <c r="F17" s="9">
        <v>32</v>
      </c>
      <c r="G17" s="9">
        <v>30</v>
      </c>
      <c r="I17" s="10">
        <f t="shared" si="0"/>
        <v>11.709877499999999</v>
      </c>
      <c r="J17" s="11">
        <f t="shared" si="1"/>
        <v>3.8719574261427761E-2</v>
      </c>
      <c r="K17" s="11">
        <f t="shared" si="2"/>
        <v>1.2882643024465529E-2</v>
      </c>
      <c r="L17" s="11">
        <f t="shared" si="3"/>
        <v>8.9570868635038652E-3</v>
      </c>
      <c r="M17" s="11">
        <f t="shared" si="4"/>
        <v>2.5836931236962232E-2</v>
      </c>
      <c r="N17" s="52">
        <f t="shared" si="5"/>
        <v>4155808</v>
      </c>
      <c r="O17" s="11">
        <v>16</v>
      </c>
      <c r="P17" s="12">
        <v>33604345</v>
      </c>
      <c r="Q17" s="12">
        <v>1050135.78125</v>
      </c>
      <c r="R17" s="12">
        <v>36572.96875</v>
      </c>
      <c r="S17" s="13">
        <v>12490536</v>
      </c>
      <c r="T17" s="13">
        <v>2889464</v>
      </c>
      <c r="U17" s="13">
        <v>1266344</v>
      </c>
      <c r="V17" s="13">
        <v>8334728</v>
      </c>
      <c r="W17" s="14">
        <v>69.134438000000003</v>
      </c>
      <c r="X17" s="14">
        <v>71.597097000000005</v>
      </c>
      <c r="Y17" s="14">
        <v>34.352063000000001</v>
      </c>
      <c r="Z17" s="14">
        <v>44.796078000000001</v>
      </c>
      <c r="AA17" s="14">
        <v>45.206769000000001</v>
      </c>
      <c r="AB17" s="15">
        <v>5733.27</v>
      </c>
      <c r="AC17" s="15">
        <v>1514.9</v>
      </c>
      <c r="AD17" s="15">
        <v>88.995999999999995</v>
      </c>
      <c r="AE17" s="15">
        <v>22.116</v>
      </c>
      <c r="AG17" s="10">
        <f t="shared" si="6"/>
        <v>39.374737500000002</v>
      </c>
      <c r="AH17" s="11">
        <f t="shared" si="7"/>
        <v>0.13019547579857044</v>
      </c>
      <c r="AI17" s="11">
        <f t="shared" si="8"/>
        <v>6.8496423556035135E-2</v>
      </c>
      <c r="AJ17" s="11">
        <f t="shared" si="9"/>
        <v>6.3288740300279395E-2</v>
      </c>
      <c r="AK17" s="11">
        <f t="shared" si="10"/>
        <v>6.3129528771321233E-2</v>
      </c>
      <c r="AL17" s="52">
        <f t="shared" si="11"/>
        <v>22096241</v>
      </c>
      <c r="AM17" s="11">
        <v>16</v>
      </c>
      <c r="AN17" s="12">
        <v>39747024</v>
      </c>
      <c r="AO17" s="12">
        <v>1242094.5</v>
      </c>
      <c r="AP17" s="12">
        <v>32408.71875</v>
      </c>
      <c r="AQ17" s="13">
        <v>41999720</v>
      </c>
      <c r="AR17" s="13">
        <v>20416296</v>
      </c>
      <c r="AS17" s="13">
        <v>1679945</v>
      </c>
      <c r="AT17" s="13">
        <v>20364936</v>
      </c>
      <c r="AU17" s="14">
        <v>41.011425000000003</v>
      </c>
      <c r="AV17" s="14">
        <v>41.227015999999999</v>
      </c>
      <c r="AW17" s="14">
        <v>34.141122000000003</v>
      </c>
      <c r="AX17" s="14">
        <v>43.906688000000003</v>
      </c>
      <c r="AY17" s="14">
        <v>44.053880999999997</v>
      </c>
      <c r="AZ17" s="15">
        <v>5690.25</v>
      </c>
      <c r="BA17" s="15">
        <v>1261.3499999999999</v>
      </c>
      <c r="BB17" s="15">
        <v>118.12</v>
      </c>
      <c r="BC17" s="15">
        <v>27.08</v>
      </c>
      <c r="BE17" s="50">
        <f t="shared" si="12"/>
        <v>5.3169542481269589</v>
      </c>
      <c r="BF17" s="16">
        <f t="shared" si="13"/>
        <v>-8.7349039639166709E-3</v>
      </c>
      <c r="BG17" s="16">
        <f t="shared" si="14"/>
        <v>0.19338793720212616</v>
      </c>
      <c r="BH17" s="16"/>
      <c r="BJ17" s="50"/>
      <c r="BK17" s="50"/>
      <c r="BL17" s="50"/>
      <c r="BM17" s="50"/>
      <c r="BN17" s="50"/>
      <c r="BP17" s="50"/>
      <c r="BQ17" s="50"/>
      <c r="BR17" s="50"/>
      <c r="BS17" s="50"/>
      <c r="BT17" s="50"/>
      <c r="BV17" s="58">
        <f t="shared" si="16"/>
        <v>6142679</v>
      </c>
      <c r="BW17" s="58">
        <f t="shared" si="15"/>
        <v>191958.71875</v>
      </c>
      <c r="BX17" s="58">
        <f t="shared" si="15"/>
        <v>-4164.25</v>
      </c>
      <c r="BY17" s="58">
        <f t="shared" si="15"/>
        <v>29509184</v>
      </c>
      <c r="BZ17" s="58">
        <f t="shared" si="15"/>
        <v>17526832</v>
      </c>
      <c r="CA17" s="58">
        <f t="shared" si="15"/>
        <v>413601</v>
      </c>
      <c r="CB17" s="58">
        <f t="shared" si="15"/>
        <v>12030208</v>
      </c>
      <c r="CC17" s="58">
        <f t="shared" si="15"/>
        <v>-28.123013</v>
      </c>
      <c r="CD17" s="58">
        <f t="shared" si="15"/>
        <v>-30.370081000000006</v>
      </c>
      <c r="CE17" s="58">
        <f t="shared" si="15"/>
        <v>-0.21094099999999827</v>
      </c>
      <c r="CF17" s="58">
        <f t="shared" si="15"/>
        <v>-0.88938999999999879</v>
      </c>
      <c r="CG17" s="58">
        <f t="shared" si="15"/>
        <v>-1.1528880000000044</v>
      </c>
      <c r="CJ17" t="s">
        <v>233</v>
      </c>
    </row>
    <row r="18" spans="1:88" outlineLevel="1" x14ac:dyDescent="0.2">
      <c r="A18" s="17"/>
      <c r="B18" s="17" t="s">
        <v>64</v>
      </c>
      <c r="C18" s="18" t="s">
        <v>236</v>
      </c>
      <c r="D18" s="17">
        <v>322589704</v>
      </c>
      <c r="E18" s="18">
        <v>10</v>
      </c>
      <c r="F18" s="18">
        <v>32</v>
      </c>
      <c r="G18" s="18">
        <v>30</v>
      </c>
      <c r="I18" s="19">
        <f t="shared" si="0"/>
        <v>20.196885000000002</v>
      </c>
      <c r="J18" s="20">
        <f t="shared" si="1"/>
        <v>6.6782490987375098E-2</v>
      </c>
      <c r="K18" s="20">
        <f t="shared" si="2"/>
        <v>1.7385626169891647E-2</v>
      </c>
      <c r="L18" s="20">
        <f t="shared" si="3"/>
        <v>1.3460070008929981E-2</v>
      </c>
      <c r="M18" s="20">
        <f t="shared" si="4"/>
        <v>4.9396864817483448E-2</v>
      </c>
      <c r="N18" s="17">
        <f t="shared" si="5"/>
        <v>5608424</v>
      </c>
      <c r="O18" s="20">
        <v>16</v>
      </c>
      <c r="P18" s="21">
        <v>34799418</v>
      </c>
      <c r="Q18" s="21">
        <v>1087481.8125</v>
      </c>
      <c r="R18" s="21">
        <v>40860.15625</v>
      </c>
      <c r="S18" s="22">
        <v>21543344</v>
      </c>
      <c r="T18" s="22">
        <v>4342080</v>
      </c>
      <c r="U18" s="22">
        <v>1266344</v>
      </c>
      <c r="V18" s="22">
        <v>15934920</v>
      </c>
      <c r="W18" s="23">
        <v>70.372874999999993</v>
      </c>
      <c r="X18" s="23">
        <v>72.951280999999994</v>
      </c>
      <c r="Y18" s="23">
        <v>37.033180999999999</v>
      </c>
      <c r="Z18" s="23">
        <v>46.138033999999998</v>
      </c>
      <c r="AA18" s="23">
        <v>46.638800000000003</v>
      </c>
      <c r="AB18" s="24">
        <v>4762.1499999999996</v>
      </c>
      <c r="AC18" s="24">
        <v>1298.02</v>
      </c>
      <c r="AD18" s="24">
        <v>83.063999999999993</v>
      </c>
      <c r="AE18" s="24">
        <v>17.048999999999999</v>
      </c>
      <c r="AG18" s="19">
        <f t="shared" si="6"/>
        <v>58.030297500000003</v>
      </c>
      <c r="AH18" s="20">
        <f t="shared" si="7"/>
        <v>0.19188146190803412</v>
      </c>
      <c r="AI18" s="20">
        <f t="shared" si="8"/>
        <v>8.6200317788195743E-2</v>
      </c>
      <c r="AJ18" s="20">
        <f t="shared" si="9"/>
        <v>7.7779072576972266E-2</v>
      </c>
      <c r="AK18" s="20">
        <f t="shared" si="10"/>
        <v>0.11032520740339562</v>
      </c>
      <c r="AL18" s="17">
        <f t="shared" si="11"/>
        <v>27807335</v>
      </c>
      <c r="AM18" s="20">
        <v>16</v>
      </c>
      <c r="AN18" s="21">
        <v>38537266</v>
      </c>
      <c r="AO18" s="21">
        <v>1204289.5625</v>
      </c>
      <c r="AP18" s="21">
        <v>34736</v>
      </c>
      <c r="AQ18" s="22">
        <v>61898984</v>
      </c>
      <c r="AR18" s="22">
        <v>25090728</v>
      </c>
      <c r="AS18" s="22">
        <v>2716607</v>
      </c>
      <c r="AT18" s="22">
        <v>35589776</v>
      </c>
      <c r="AU18" s="23">
        <v>40.849566000000003</v>
      </c>
      <c r="AV18" s="23">
        <v>41.064743999999997</v>
      </c>
      <c r="AW18" s="23">
        <v>36.764508999999997</v>
      </c>
      <c r="AX18" s="23">
        <v>45.219665999999997</v>
      </c>
      <c r="AY18" s="23">
        <v>45.482655999999999</v>
      </c>
      <c r="AZ18" s="24">
        <v>5639.73</v>
      </c>
      <c r="BA18" s="24">
        <v>1393.56</v>
      </c>
      <c r="BB18" s="24">
        <v>111.318</v>
      </c>
      <c r="BC18" s="24">
        <v>30.184999999999999</v>
      </c>
      <c r="BE18" s="49">
        <f t="shared" si="12"/>
        <v>4.958137080933966</v>
      </c>
      <c r="BF18" s="25">
        <f t="shared" si="13"/>
        <v>-8.7296244000436424E-3</v>
      </c>
      <c r="BG18" s="25">
        <f t="shared" si="14"/>
        <v>0.18890524056098174</v>
      </c>
      <c r="BH18" s="25"/>
      <c r="BJ18" s="49"/>
      <c r="BK18" s="49"/>
      <c r="BL18" s="49"/>
      <c r="BM18" s="49"/>
      <c r="BN18" s="49"/>
      <c r="BP18" s="49"/>
      <c r="BQ18" s="49"/>
      <c r="BR18" s="49"/>
      <c r="BS18" s="49"/>
      <c r="BT18" s="49"/>
      <c r="BV18" s="58">
        <f t="shared" si="16"/>
        <v>3737848</v>
      </c>
      <c r="BW18" s="58">
        <f t="shared" si="15"/>
        <v>116807.75</v>
      </c>
      <c r="BX18" s="58">
        <f t="shared" si="15"/>
        <v>-6124.15625</v>
      </c>
      <c r="BY18" s="58">
        <f t="shared" si="15"/>
        <v>40355640</v>
      </c>
      <c r="BZ18" s="58">
        <f t="shared" si="15"/>
        <v>20748648</v>
      </c>
      <c r="CA18" s="58">
        <f t="shared" si="15"/>
        <v>1450263</v>
      </c>
      <c r="CB18" s="58">
        <f t="shared" si="15"/>
        <v>19654856</v>
      </c>
      <c r="CC18" s="58">
        <f t="shared" si="15"/>
        <v>-29.52330899999999</v>
      </c>
      <c r="CD18" s="58">
        <f t="shared" si="15"/>
        <v>-31.886536999999997</v>
      </c>
      <c r="CE18" s="58">
        <f t="shared" si="15"/>
        <v>-0.26867200000000224</v>
      </c>
      <c r="CF18" s="58">
        <f t="shared" si="15"/>
        <v>-0.91836800000000096</v>
      </c>
      <c r="CG18" s="58">
        <f t="shared" si="15"/>
        <v>-1.1561440000000047</v>
      </c>
      <c r="CJ18" t="s">
        <v>233</v>
      </c>
    </row>
    <row r="19" spans="1:88" ht="16" outlineLevel="1" thickBot="1" x14ac:dyDescent="0.25">
      <c r="A19" s="52"/>
      <c r="B19" s="26" t="s">
        <v>64</v>
      </c>
      <c r="C19" s="27" t="s">
        <v>237</v>
      </c>
      <c r="D19" s="26">
        <v>322589704</v>
      </c>
      <c r="E19" s="27">
        <v>10</v>
      </c>
      <c r="F19" s="27">
        <v>32</v>
      </c>
      <c r="G19" s="27">
        <v>30</v>
      </c>
      <c r="I19" s="28">
        <f t="shared" si="0"/>
        <v>35.713687499999999</v>
      </c>
      <c r="J19" s="29">
        <f t="shared" si="1"/>
        <v>0.11808994375096361</v>
      </c>
      <c r="K19" s="29">
        <f t="shared" si="2"/>
        <v>2.7855396153623056E-2</v>
      </c>
      <c r="L19" s="29">
        <f t="shared" si="3"/>
        <v>2.0647974555319349E-2</v>
      </c>
      <c r="M19" s="29">
        <f t="shared" si="4"/>
        <v>9.023454759734055E-2</v>
      </c>
      <c r="N19" s="26">
        <f t="shared" si="5"/>
        <v>8985864</v>
      </c>
      <c r="O19" s="29">
        <v>16</v>
      </c>
      <c r="P19" s="30">
        <v>33039030</v>
      </c>
      <c r="Q19" s="30">
        <v>1032469.6875</v>
      </c>
      <c r="R19" s="30">
        <v>17754.53125</v>
      </c>
      <c r="S19" s="31">
        <v>38094600</v>
      </c>
      <c r="T19" s="31">
        <v>6660824</v>
      </c>
      <c r="U19" s="31">
        <v>2325040</v>
      </c>
      <c r="V19" s="31">
        <v>29108736</v>
      </c>
      <c r="W19" s="32">
        <v>71.149227999999994</v>
      </c>
      <c r="X19" s="32">
        <v>75.004366000000005</v>
      </c>
      <c r="Y19" s="32">
        <v>39.539543999999999</v>
      </c>
      <c r="Z19" s="32">
        <v>47.871558999999998</v>
      </c>
      <c r="AA19" s="32">
        <v>48.474975000000001</v>
      </c>
      <c r="AB19" s="33">
        <v>5118.1899999999996</v>
      </c>
      <c r="AC19" s="33">
        <v>1651.37</v>
      </c>
      <c r="AD19" s="33">
        <v>86.103999999999999</v>
      </c>
      <c r="AE19" s="33">
        <v>22.335000000000001</v>
      </c>
      <c r="AG19" s="28">
        <f t="shared" si="6"/>
        <v>90.661807499999995</v>
      </c>
      <c r="AH19" s="29">
        <f t="shared" si="7"/>
        <v>0.29977995825930021</v>
      </c>
      <c r="AI19" s="29">
        <f t="shared" si="8"/>
        <v>0.11977880732362121</v>
      </c>
      <c r="AJ19" s="29">
        <f t="shared" si="9"/>
        <v>0.10551114179391169</v>
      </c>
      <c r="AK19" s="29">
        <f t="shared" si="10"/>
        <v>0.18720974430107665</v>
      </c>
      <c r="AL19" s="26">
        <f t="shared" si="11"/>
        <v>38639410</v>
      </c>
      <c r="AM19" s="29">
        <v>16</v>
      </c>
      <c r="AN19" s="30">
        <v>35003090</v>
      </c>
      <c r="AO19" s="30">
        <v>1093846.5625</v>
      </c>
      <c r="AP19" s="30">
        <v>20210.6875</v>
      </c>
      <c r="AQ19" s="31">
        <v>96705928</v>
      </c>
      <c r="AR19" s="31">
        <v>34036808</v>
      </c>
      <c r="AS19" s="31">
        <v>4602602</v>
      </c>
      <c r="AT19" s="31">
        <v>60391936</v>
      </c>
      <c r="AU19" s="32">
        <v>45.352122000000001</v>
      </c>
      <c r="AV19" s="32">
        <v>45.574322000000002</v>
      </c>
      <c r="AW19" s="32">
        <v>39.975696999999997</v>
      </c>
      <c r="AX19" s="32">
        <v>47.211852999999998</v>
      </c>
      <c r="AY19" s="32">
        <v>47.584000000000003</v>
      </c>
      <c r="AZ19" s="33">
        <v>4640.7299999999996</v>
      </c>
      <c r="BA19" s="33">
        <v>1162.6199999999999</v>
      </c>
      <c r="BB19" s="33">
        <v>85.855999999999995</v>
      </c>
      <c r="BC19" s="33">
        <v>22.754000000000001</v>
      </c>
      <c r="BE19" s="34">
        <f t="shared" si="12"/>
        <v>4.3000216784941321</v>
      </c>
      <c r="BF19" s="35">
        <f t="shared" si="13"/>
        <v>1.2805348631897626E-3</v>
      </c>
      <c r="BG19" s="35">
        <f t="shared" si="14"/>
        <v>0.1636728731860338</v>
      </c>
      <c r="BH19" s="35"/>
      <c r="BJ19" s="34"/>
      <c r="BK19" s="34"/>
      <c r="BL19" s="34"/>
      <c r="BM19" s="34"/>
      <c r="BN19" s="34"/>
      <c r="BP19" s="34"/>
      <c r="BQ19" s="34"/>
      <c r="BR19" s="34"/>
      <c r="BS19" s="34"/>
      <c r="BT19" s="34"/>
      <c r="BV19" s="58">
        <f t="shared" si="16"/>
        <v>1964060</v>
      </c>
      <c r="BW19" s="58">
        <f t="shared" si="15"/>
        <v>61376.875</v>
      </c>
      <c r="BX19" s="58">
        <f t="shared" si="15"/>
        <v>2456.15625</v>
      </c>
      <c r="BY19" s="58">
        <f t="shared" si="15"/>
        <v>58611328</v>
      </c>
      <c r="BZ19" s="58">
        <f t="shared" si="15"/>
        <v>27375984</v>
      </c>
      <c r="CA19" s="58">
        <f t="shared" si="15"/>
        <v>2277562</v>
      </c>
      <c r="CB19" s="58">
        <f t="shared" si="15"/>
        <v>31283200</v>
      </c>
      <c r="CC19" s="58">
        <f t="shared" si="15"/>
        <v>-25.797105999999992</v>
      </c>
      <c r="CD19" s="58">
        <f t="shared" si="15"/>
        <v>-29.430044000000002</v>
      </c>
      <c r="CE19" s="58">
        <f t="shared" si="15"/>
        <v>0.43615299999999735</v>
      </c>
      <c r="CF19" s="58">
        <f t="shared" si="15"/>
        <v>-0.6597059999999999</v>
      </c>
      <c r="CG19" s="58">
        <f t="shared" si="15"/>
        <v>-0.89097499999999741</v>
      </c>
      <c r="CJ19" t="s">
        <v>233</v>
      </c>
    </row>
    <row r="20" spans="1:88" x14ac:dyDescent="0.2">
      <c r="A20" s="17"/>
      <c r="B20" s="17" t="s">
        <v>70</v>
      </c>
      <c r="C20" s="18" t="s">
        <v>232</v>
      </c>
      <c r="D20" s="17">
        <v>250602891</v>
      </c>
      <c r="E20" s="18">
        <v>10</v>
      </c>
      <c r="F20" s="18">
        <v>32</v>
      </c>
      <c r="G20" s="18">
        <v>50</v>
      </c>
      <c r="I20" s="19">
        <f t="shared" si="0"/>
        <v>5.1414875000000002</v>
      </c>
      <c r="J20" s="20">
        <f t="shared" si="1"/>
        <v>1.3130542855549101E-2</v>
      </c>
      <c r="K20" s="20">
        <f t="shared" si="2"/>
        <v>7.7059286598573197E-3</v>
      </c>
      <c r="L20" s="20">
        <f t="shared" si="3"/>
        <v>3.7835477324960308E-3</v>
      </c>
      <c r="M20" s="20">
        <f t="shared" si="4"/>
        <v>5.4246141956917808E-3</v>
      </c>
      <c r="N20" s="17">
        <f t="shared" si="5"/>
        <v>1931128</v>
      </c>
      <c r="O20" s="20">
        <v>16</v>
      </c>
      <c r="P20" s="21">
        <v>30274532</v>
      </c>
      <c r="Q20" s="21">
        <v>946079.125</v>
      </c>
      <c r="R20" s="21">
        <v>27842.25</v>
      </c>
      <c r="S20" s="22">
        <v>3290552</v>
      </c>
      <c r="T20" s="22">
        <v>948168</v>
      </c>
      <c r="U20" s="22">
        <v>982960</v>
      </c>
      <c r="V20" s="22">
        <v>1359424</v>
      </c>
      <c r="W20" s="23">
        <v>67.105800000000002</v>
      </c>
      <c r="X20" s="23">
        <v>68.817099999999996</v>
      </c>
      <c r="Y20" s="23">
        <v>30.700693999999999</v>
      </c>
      <c r="Z20" s="23">
        <v>39.522633999999996</v>
      </c>
      <c r="AA20" s="23">
        <v>38.268194000000001</v>
      </c>
      <c r="AB20" s="24">
        <v>5067.82</v>
      </c>
      <c r="AC20" s="24">
        <v>1520.24</v>
      </c>
      <c r="AD20" s="24">
        <v>86.619</v>
      </c>
      <c r="AE20" s="24">
        <v>22.984999999999999</v>
      </c>
      <c r="AG20" s="19">
        <f t="shared" si="6"/>
        <v>24.987075000000001</v>
      </c>
      <c r="AH20" s="20">
        <f t="shared" si="7"/>
        <v>6.3813022811456718E-2</v>
      </c>
      <c r="AI20" s="20">
        <f t="shared" si="8"/>
        <v>4.2728844656464877E-2</v>
      </c>
      <c r="AJ20" s="20">
        <f t="shared" si="9"/>
        <v>4.0538462902249599E-2</v>
      </c>
      <c r="AK20" s="20">
        <f t="shared" si="10"/>
        <v>1.9433901901794101E-2</v>
      </c>
      <c r="AL20" s="17">
        <f t="shared" si="11"/>
        <v>10707972</v>
      </c>
      <c r="AM20" s="20">
        <v>16</v>
      </c>
      <c r="AN20" s="21">
        <v>35707254</v>
      </c>
      <c r="AO20" s="21">
        <v>1115851.6875</v>
      </c>
      <c r="AP20" s="21">
        <v>23356.375</v>
      </c>
      <c r="AQ20" s="22">
        <v>15991728</v>
      </c>
      <c r="AR20" s="22">
        <v>10159056</v>
      </c>
      <c r="AS20" s="22">
        <v>548916</v>
      </c>
      <c r="AT20" s="22">
        <v>4870192</v>
      </c>
      <c r="AU20" s="23">
        <v>42.420825000000001</v>
      </c>
      <c r="AV20" s="23">
        <v>42.699399999999997</v>
      </c>
      <c r="AW20" s="23">
        <v>29.660368999999999</v>
      </c>
      <c r="AX20" s="23">
        <v>36.897666000000001</v>
      </c>
      <c r="AY20" s="23">
        <v>35.377412</v>
      </c>
      <c r="AZ20" s="24">
        <v>4076.55</v>
      </c>
      <c r="BA20" s="24">
        <v>943.98599999999999</v>
      </c>
      <c r="BB20" s="24">
        <v>93.625</v>
      </c>
      <c r="BC20" s="24">
        <v>18.963000000000001</v>
      </c>
      <c r="BE20" s="49">
        <f t="shared" si="12"/>
        <v>5.5449312526150525</v>
      </c>
      <c r="BF20" s="25">
        <f t="shared" si="13"/>
        <v>-8.4976592653759689E-3</v>
      </c>
      <c r="BG20" s="25">
        <f t="shared" si="14"/>
        <v>8.2723899175549231E-2</v>
      </c>
      <c r="BH20" s="25">
        <f t="array" ref="BH20">AVERAGE(AL20:AL24/AQ20:AQ24) - AVERAGE(N20:N24/S20:S24)</f>
        <v>0.16300872702497671</v>
      </c>
      <c r="BJ20" s="49">
        <f>IF( OR(ISBLANK(N20:N24),ISBLANK(AL20:AL24), ISBLANK(W20:W24),ISBLANK(AU20:AU24)), "·", bdRateExtend( N20:N24,W20:W24, AL20:AL24,AU20:AU24))</f>
        <v>1</v>
      </c>
      <c r="BK20" s="49">
        <f>IF( OR(ISBLANK(N20:N24),ISBLANK(AL20:AL24), ISBLANK(X20:X24),ISBLANK(AV20:AV24)), "·", bdRateExtend( N20:N24,X20:X24, AL20:AL24,AV20:AV24))</f>
        <v>1</v>
      </c>
      <c r="BL20" s="49">
        <f>IF( OR(ISBLANK(V20:V24),ISBLANK(AT20:AT24), ISBLANK(Y20:Y24),ISBLANK(AW20:AW24)), "·", bdRateExtend( V20:V24,Y20:Y24, AT20:AT24,AW20:AW24))</f>
        <v>2.463389541334728</v>
      </c>
      <c r="BM20" s="49">
        <f>IF( OR(ISBLANK(V20:V24),ISBLANK(AT20:AT24), ISBLANK(Z20:Z24),ISBLANK(AX20:AX24)), "·", bdRateExtend( V20:V24,Z20:Z24, AT20:AT24,AX20:AX24))</f>
        <v>9.6278135743225253</v>
      </c>
      <c r="BN20" s="49">
        <f>IF( OR(ISBLANK(V20:V24),ISBLANK(AT20:AT24), ISBLANK(AA20:AA24),ISBLANK(AY20:AY24)), "·", bdRateExtend( V20:V24,AA20:AA24, AT20:AT24,AY20:AY24))</f>
        <v>16.32032773837377</v>
      </c>
      <c r="BP20" s="49">
        <f>IF( OR(ISBLANK(S20:S24),ISBLANK(AQ20:AQ24), ISBLANK(W20:W24),ISBLANK(AU20:AU24)), "·", bdRateExtend( S20:S24,W20:W24, AQ20:AQ24,AU20:AU24))</f>
        <v>1</v>
      </c>
      <c r="BQ20" s="49">
        <f>IF( OR(ISBLANK(S20:S24),ISBLANK(AQ20:AQ24), ISBLANK(X20:X24),ISBLANK(AV20:AV24)), "·", bdRateExtend( S20:S24,X20:X24, AQ20:AQ24,AV20:AV24))</f>
        <v>1</v>
      </c>
      <c r="BR20" s="49">
        <f>IF( OR(ISBLANK(S20:S24),ISBLANK(AQ20:AQ24), ISBLANK(Y20:Y24),ISBLANK(AW20:AW24)), "·", bdRateExtend( S20:S24,Y20:Y24, AQ20:AQ24,AW20:AW24))</f>
        <v>3.4716636705422932</v>
      </c>
      <c r="BS20" s="49">
        <f>IF( OR(ISBLANK(S20:S24),ISBLANK(AQ20:AQ24), ISBLANK(Z20:Z24),ISBLANK(AX20:AX24)), "·", bdRateExtend( S20:S24,Z20:Z24, AQ20:AQ24,AX20:AX24))</f>
        <v>9.0601426005286871</v>
      </c>
      <c r="BT20" s="49">
        <f>IF( OR(ISBLANK(S20:S24),ISBLANK(AQ20:AQ24), ISBLANK(AA20:AA24),ISBLANK(AY20:AY24)), "·", bdRateExtend( S20:S24,AA20:AA24, AQ20:AQ24,AY20:AY24))</f>
        <v>13.063223630201431</v>
      </c>
      <c r="BV20" s="58">
        <f t="shared" si="16"/>
        <v>5432722</v>
      </c>
      <c r="BW20" s="58">
        <f t="shared" si="15"/>
        <v>169772.5625</v>
      </c>
      <c r="BX20" s="58">
        <f t="shared" si="15"/>
        <v>-4485.875</v>
      </c>
      <c r="BY20" s="58">
        <f t="shared" si="15"/>
        <v>12701176</v>
      </c>
      <c r="BZ20" s="58">
        <f t="shared" si="15"/>
        <v>9210888</v>
      </c>
      <c r="CA20" s="58">
        <f t="shared" si="15"/>
        <v>-434044</v>
      </c>
      <c r="CB20" s="58">
        <f t="shared" si="15"/>
        <v>3510768</v>
      </c>
      <c r="CC20" s="58">
        <f t="shared" si="15"/>
        <v>-24.684975000000001</v>
      </c>
      <c r="CD20" s="58">
        <f t="shared" si="15"/>
        <v>-26.117699999999999</v>
      </c>
      <c r="CE20" s="58">
        <f t="shared" si="15"/>
        <v>-1.0403249999999993</v>
      </c>
      <c r="CF20" s="58">
        <f t="shared" si="15"/>
        <v>-2.6249679999999955</v>
      </c>
      <c r="CG20" s="58">
        <f t="shared" si="15"/>
        <v>-2.8907820000000015</v>
      </c>
      <c r="CJ20" t="s">
        <v>239</v>
      </c>
    </row>
    <row r="21" spans="1:88" outlineLevel="1" x14ac:dyDescent="0.2">
      <c r="A21" s="52"/>
      <c r="B21" s="52" t="s">
        <v>70</v>
      </c>
      <c r="C21" s="9" t="s">
        <v>234</v>
      </c>
      <c r="D21" s="52">
        <v>250602891</v>
      </c>
      <c r="E21" s="9">
        <v>10</v>
      </c>
      <c r="F21" s="9">
        <v>32</v>
      </c>
      <c r="G21" s="9">
        <v>50</v>
      </c>
      <c r="I21" s="10">
        <f t="shared" si="0"/>
        <v>7.6273375000000003</v>
      </c>
      <c r="J21" s="11">
        <f t="shared" si="1"/>
        <v>1.9479009122843678E-2</v>
      </c>
      <c r="K21" s="11">
        <f t="shared" si="2"/>
        <v>9.149295887412567E-3</v>
      </c>
      <c r="L21" s="11">
        <f t="shared" si="3"/>
        <v>5.226914960051279E-3</v>
      </c>
      <c r="M21" s="11">
        <f t="shared" si="4"/>
        <v>1.0329713235431111E-2</v>
      </c>
      <c r="N21" s="52">
        <f t="shared" si="5"/>
        <v>2292840</v>
      </c>
      <c r="O21" s="11">
        <v>16</v>
      </c>
      <c r="P21" s="12">
        <v>31505484</v>
      </c>
      <c r="Q21" s="12">
        <v>984546.375</v>
      </c>
      <c r="R21" s="12">
        <v>33029.375</v>
      </c>
      <c r="S21" s="13">
        <v>4881496</v>
      </c>
      <c r="T21" s="13">
        <v>1309880</v>
      </c>
      <c r="U21" s="13">
        <v>982960</v>
      </c>
      <c r="V21" s="13">
        <v>2588656</v>
      </c>
      <c r="W21" s="14">
        <v>68.686527999999996</v>
      </c>
      <c r="X21" s="14">
        <v>70.761815999999996</v>
      </c>
      <c r="Y21" s="14">
        <v>32.514736999999997</v>
      </c>
      <c r="Z21" s="14">
        <v>40.675966000000003</v>
      </c>
      <c r="AA21" s="14">
        <v>39.602231000000003</v>
      </c>
      <c r="AB21" s="15">
        <v>3999.02</v>
      </c>
      <c r="AC21" s="15">
        <v>1143.4100000000001</v>
      </c>
      <c r="AD21" s="15">
        <v>71.858000000000004</v>
      </c>
      <c r="AE21" s="15">
        <v>15.779</v>
      </c>
      <c r="AG21" s="10">
        <f t="shared" si="6"/>
        <v>34.638862500000002</v>
      </c>
      <c r="AH21" s="11">
        <f t="shared" si="7"/>
        <v>8.8462155849590732E-2</v>
      </c>
      <c r="AI21" s="11">
        <f t="shared" si="8"/>
        <v>5.4634561258912209E-2</v>
      </c>
      <c r="AJ21" s="11">
        <f t="shared" si="9"/>
        <v>5.1252529245562457E-2</v>
      </c>
      <c r="AK21" s="11">
        <f t="shared" si="10"/>
        <v>3.336896859661527E-2</v>
      </c>
      <c r="AL21" s="52">
        <f t="shared" si="11"/>
        <v>13691579</v>
      </c>
      <c r="AM21" s="11">
        <v>16</v>
      </c>
      <c r="AN21" s="12">
        <v>34879797</v>
      </c>
      <c r="AO21" s="12">
        <v>1089993.65625</v>
      </c>
      <c r="AP21" s="12">
        <v>26113.34375</v>
      </c>
      <c r="AQ21" s="13">
        <v>22168872</v>
      </c>
      <c r="AR21" s="13">
        <v>12844032</v>
      </c>
      <c r="AS21" s="13">
        <v>847547</v>
      </c>
      <c r="AT21" s="13">
        <v>8362360</v>
      </c>
      <c r="AU21" s="14">
        <v>42.237434</v>
      </c>
      <c r="AV21" s="14">
        <v>42.516362000000001</v>
      </c>
      <c r="AW21" s="14">
        <v>31.819716</v>
      </c>
      <c r="AX21" s="14">
        <v>38.059341000000003</v>
      </c>
      <c r="AY21" s="14">
        <v>36.476866000000001</v>
      </c>
      <c r="AZ21" s="15">
        <v>4193.9399999999996</v>
      </c>
      <c r="BA21" s="15">
        <v>991.71100000000001</v>
      </c>
      <c r="BB21" s="15">
        <v>88.739000000000004</v>
      </c>
      <c r="BC21" s="15">
        <v>19.905000000000001</v>
      </c>
      <c r="BE21" s="50">
        <f t="shared" si="12"/>
        <v>5.9714498176933413</v>
      </c>
      <c r="BF21" s="16">
        <f t="shared" si="13"/>
        <v>-9.59047474812132E-3</v>
      </c>
      <c r="BG21" s="16">
        <f t="shared" si="14"/>
        <v>0.14790350122347862</v>
      </c>
      <c r="BH21" s="16"/>
      <c r="BJ21" s="50"/>
      <c r="BK21" s="50"/>
      <c r="BL21" s="50"/>
      <c r="BM21" s="50"/>
      <c r="BN21" s="50"/>
      <c r="BP21" s="50"/>
      <c r="BQ21" s="50"/>
      <c r="BR21" s="50"/>
      <c r="BS21" s="50"/>
      <c r="BT21" s="50"/>
      <c r="BV21" s="58">
        <f t="shared" si="16"/>
        <v>3374313</v>
      </c>
      <c r="BW21" s="58">
        <f t="shared" si="16"/>
        <v>105447.28125</v>
      </c>
      <c r="BX21" s="58">
        <f t="shared" si="16"/>
        <v>-6916.03125</v>
      </c>
      <c r="BY21" s="58">
        <f t="shared" si="16"/>
        <v>17287376</v>
      </c>
      <c r="BZ21" s="58">
        <f t="shared" si="16"/>
        <v>11534152</v>
      </c>
      <c r="CA21" s="58">
        <f t="shared" si="16"/>
        <v>-135413</v>
      </c>
      <c r="CB21" s="58">
        <f t="shared" si="16"/>
        <v>5773704</v>
      </c>
      <c r="CC21" s="58">
        <f t="shared" si="16"/>
        <v>-26.449093999999995</v>
      </c>
      <c r="CD21" s="58">
        <f t="shared" si="16"/>
        <v>-28.245453999999995</v>
      </c>
      <c r="CE21" s="58">
        <f t="shared" si="16"/>
        <v>-0.695020999999997</v>
      </c>
      <c r="CF21" s="58">
        <f t="shared" si="16"/>
        <v>-2.6166249999999991</v>
      </c>
      <c r="CG21" s="58">
        <f t="shared" si="16"/>
        <v>-3.1253650000000022</v>
      </c>
      <c r="CJ21" t="s">
        <v>239</v>
      </c>
    </row>
    <row r="22" spans="1:88" outlineLevel="1" x14ac:dyDescent="0.2">
      <c r="A22" s="17"/>
      <c r="B22" s="17" t="s">
        <v>70</v>
      </c>
      <c r="C22" s="18" t="s">
        <v>235</v>
      </c>
      <c r="D22" s="17">
        <v>250602891</v>
      </c>
      <c r="E22" s="18">
        <v>10</v>
      </c>
      <c r="F22" s="18">
        <v>32</v>
      </c>
      <c r="G22" s="18">
        <v>50</v>
      </c>
      <c r="I22" s="19">
        <f t="shared" si="0"/>
        <v>12.386075</v>
      </c>
      <c r="J22" s="20">
        <f t="shared" si="1"/>
        <v>3.1632069240573928E-2</v>
      </c>
      <c r="K22" s="20">
        <f t="shared" si="2"/>
        <v>1.1394345805851058E-2</v>
      </c>
      <c r="L22" s="20">
        <f t="shared" si="3"/>
        <v>7.4719648784897699E-3</v>
      </c>
      <c r="M22" s="20">
        <f t="shared" si="4"/>
        <v>2.0237723434722864E-2</v>
      </c>
      <c r="N22" s="17">
        <f t="shared" si="5"/>
        <v>2855456</v>
      </c>
      <c r="O22" s="20">
        <v>16</v>
      </c>
      <c r="P22" s="21">
        <v>32735750</v>
      </c>
      <c r="Q22" s="21">
        <v>1022992.1875</v>
      </c>
      <c r="R22" s="21">
        <v>35066.4375</v>
      </c>
      <c r="S22" s="22">
        <v>7927088</v>
      </c>
      <c r="T22" s="22">
        <v>1872496</v>
      </c>
      <c r="U22" s="22">
        <v>982960</v>
      </c>
      <c r="V22" s="22">
        <v>5071632</v>
      </c>
      <c r="W22" s="23">
        <v>69.861822000000004</v>
      </c>
      <c r="X22" s="23">
        <v>72.258756000000005</v>
      </c>
      <c r="Y22" s="23">
        <v>34.267000000000003</v>
      </c>
      <c r="Z22" s="23">
        <v>41.728212999999997</v>
      </c>
      <c r="AA22" s="23">
        <v>40.647272000000001</v>
      </c>
      <c r="AB22" s="24">
        <v>5365.97</v>
      </c>
      <c r="AC22" s="24">
        <v>1721.51</v>
      </c>
      <c r="AD22" s="24">
        <v>91.203999999999994</v>
      </c>
      <c r="AE22" s="24">
        <v>24.335000000000001</v>
      </c>
      <c r="AG22" s="19">
        <f t="shared" si="6"/>
        <v>48.264137499999997</v>
      </c>
      <c r="AH22" s="20">
        <f t="shared" si="7"/>
        <v>0.12325894516516173</v>
      </c>
      <c r="AI22" s="20">
        <f t="shared" si="8"/>
        <v>6.8310421047776335E-2</v>
      </c>
      <c r="AJ22" s="20">
        <f t="shared" si="9"/>
        <v>6.3121953369644088E-2</v>
      </c>
      <c r="AK22" s="20">
        <f t="shared" si="10"/>
        <v>5.629633378810462E-2</v>
      </c>
      <c r="AL22" s="17">
        <f t="shared" si="11"/>
        <v>17118789</v>
      </c>
      <c r="AM22" s="20">
        <v>16</v>
      </c>
      <c r="AN22" s="21">
        <v>34222881</v>
      </c>
      <c r="AO22" s="21">
        <v>1069465.03125</v>
      </c>
      <c r="AP22" s="21">
        <v>28294.90625</v>
      </c>
      <c r="AQ22" s="22">
        <v>30889048</v>
      </c>
      <c r="AR22" s="22">
        <v>15818544</v>
      </c>
      <c r="AS22" s="22">
        <v>1300245</v>
      </c>
      <c r="AT22" s="22">
        <v>14108024</v>
      </c>
      <c r="AU22" s="23">
        <v>42.108908999999997</v>
      </c>
      <c r="AV22" s="23">
        <v>42.387383999999997</v>
      </c>
      <c r="AW22" s="23">
        <v>33.658462999999998</v>
      </c>
      <c r="AX22" s="23">
        <v>39.124887000000001</v>
      </c>
      <c r="AY22" s="23">
        <v>37.436731000000002</v>
      </c>
      <c r="AZ22" s="24">
        <v>4309.1499999999996</v>
      </c>
      <c r="BA22" s="24">
        <v>1039.9100000000001</v>
      </c>
      <c r="BB22" s="24">
        <v>87.260999999999996</v>
      </c>
      <c r="BC22" s="24">
        <v>20.832999999999998</v>
      </c>
      <c r="BE22" s="49">
        <f t="shared" si="12"/>
        <v>5.9951156662893768</v>
      </c>
      <c r="BF22" s="25">
        <f t="shared" si="13"/>
        <v>-7.8212389235282551E-3</v>
      </c>
      <c r="BG22" s="25">
        <f t="shared" si="14"/>
        <v>0.1939875450339178</v>
      </c>
      <c r="BH22" s="25"/>
      <c r="BJ22" s="49"/>
      <c r="BK22" s="49"/>
      <c r="BL22" s="49"/>
      <c r="BM22" s="49"/>
      <c r="BN22" s="49"/>
      <c r="BP22" s="49"/>
      <c r="BQ22" s="49"/>
      <c r="BR22" s="49"/>
      <c r="BS22" s="49"/>
      <c r="BT22" s="49"/>
      <c r="BV22" s="58">
        <f t="shared" si="16"/>
        <v>1487131</v>
      </c>
      <c r="BW22" s="58">
        <f t="shared" si="16"/>
        <v>46472.84375</v>
      </c>
      <c r="BX22" s="58">
        <f t="shared" si="16"/>
        <v>-6771.53125</v>
      </c>
      <c r="BY22" s="58">
        <f t="shared" si="16"/>
        <v>22961960</v>
      </c>
      <c r="BZ22" s="58">
        <f t="shared" si="16"/>
        <v>13946048</v>
      </c>
      <c r="CA22" s="58">
        <f t="shared" si="16"/>
        <v>317285</v>
      </c>
      <c r="CB22" s="58">
        <f t="shared" si="16"/>
        <v>9036392</v>
      </c>
      <c r="CC22" s="58">
        <f t="shared" si="16"/>
        <v>-27.752913000000007</v>
      </c>
      <c r="CD22" s="58">
        <f t="shared" si="16"/>
        <v>-29.871372000000008</v>
      </c>
      <c r="CE22" s="58">
        <f t="shared" si="16"/>
        <v>-0.60853700000000543</v>
      </c>
      <c r="CF22" s="58">
        <f t="shared" si="16"/>
        <v>-2.6033259999999956</v>
      </c>
      <c r="CG22" s="58">
        <f t="shared" si="16"/>
        <v>-3.2105409999999992</v>
      </c>
      <c r="CJ22" t="s">
        <v>239</v>
      </c>
    </row>
    <row r="23" spans="1:88" outlineLevel="1" x14ac:dyDescent="0.2">
      <c r="A23" s="52"/>
      <c r="B23" s="52" t="s">
        <v>70</v>
      </c>
      <c r="C23" s="9" t="s">
        <v>236</v>
      </c>
      <c r="D23" s="52">
        <v>250602891</v>
      </c>
      <c r="E23" s="9">
        <v>10</v>
      </c>
      <c r="F23" s="9">
        <v>32</v>
      </c>
      <c r="G23" s="9">
        <v>50</v>
      </c>
      <c r="I23" s="10">
        <f t="shared" si="0"/>
        <v>22.036375</v>
      </c>
      <c r="J23" s="11">
        <f t="shared" si="1"/>
        <v>5.6277403439850979E-2</v>
      </c>
      <c r="K23" s="11">
        <f t="shared" si="2"/>
        <v>1.532240902999E-2</v>
      </c>
      <c r="L23" s="11">
        <f t="shared" si="3"/>
        <v>1.1400028102628712E-2</v>
      </c>
      <c r="M23" s="11">
        <f t="shared" si="4"/>
        <v>4.095499440986098E-2</v>
      </c>
      <c r="N23" s="52">
        <f t="shared" si="5"/>
        <v>3839840</v>
      </c>
      <c r="O23" s="11">
        <v>16</v>
      </c>
      <c r="P23" s="12">
        <v>32798890</v>
      </c>
      <c r="Q23" s="12">
        <v>1024965.3125</v>
      </c>
      <c r="R23" s="12">
        <v>36962.65625</v>
      </c>
      <c r="S23" s="13">
        <v>14103280</v>
      </c>
      <c r="T23" s="13">
        <v>2856880</v>
      </c>
      <c r="U23" s="13">
        <v>982960</v>
      </c>
      <c r="V23" s="13">
        <v>10263440</v>
      </c>
      <c r="W23" s="14">
        <v>70.888133999999994</v>
      </c>
      <c r="X23" s="14">
        <v>73.610840999999994</v>
      </c>
      <c r="Y23" s="14">
        <v>35.678378000000002</v>
      </c>
      <c r="Z23" s="14">
        <v>42.882852999999997</v>
      </c>
      <c r="AA23" s="14">
        <v>41.708516000000003</v>
      </c>
      <c r="AB23" s="15">
        <v>4346.47</v>
      </c>
      <c r="AC23" s="15">
        <v>1394.42</v>
      </c>
      <c r="AD23" s="15">
        <v>81.272999999999996</v>
      </c>
      <c r="AE23" s="15">
        <v>17.853999999999999</v>
      </c>
      <c r="AG23" s="10">
        <f t="shared" si="6"/>
        <v>69.289450000000002</v>
      </c>
      <c r="AH23" s="11">
        <f t="shared" si="7"/>
        <v>0.17695425548781876</v>
      </c>
      <c r="AI23" s="11">
        <f t="shared" si="8"/>
        <v>8.5236371036118655E-2</v>
      </c>
      <c r="AJ23" s="11">
        <f t="shared" si="9"/>
        <v>7.7309371502821175E-2</v>
      </c>
      <c r="AK23" s="11">
        <f t="shared" si="10"/>
        <v>9.5804225977584589E-2</v>
      </c>
      <c r="AL23" s="52">
        <f t="shared" si="11"/>
        <v>21360481</v>
      </c>
      <c r="AM23" s="11">
        <v>16</v>
      </c>
      <c r="AN23" s="12">
        <v>33605821</v>
      </c>
      <c r="AO23" s="12">
        <v>1050181.90625</v>
      </c>
      <c r="AP23" s="12">
        <v>29422.46875</v>
      </c>
      <c r="AQ23" s="13">
        <v>44345248</v>
      </c>
      <c r="AR23" s="13">
        <v>19373952</v>
      </c>
      <c r="AS23" s="13">
        <v>1986529</v>
      </c>
      <c r="AT23" s="13">
        <v>24008816</v>
      </c>
      <c r="AU23" s="14">
        <v>42.004824999999997</v>
      </c>
      <c r="AV23" s="14">
        <v>42.28295</v>
      </c>
      <c r="AW23" s="14">
        <v>35.100012</v>
      </c>
      <c r="AX23" s="14">
        <v>40.342931</v>
      </c>
      <c r="AY23" s="14">
        <v>38.419418999999998</v>
      </c>
      <c r="AZ23" s="15">
        <v>4397.84</v>
      </c>
      <c r="BA23" s="15">
        <v>1100.17</v>
      </c>
      <c r="BB23" s="15">
        <v>87.616</v>
      </c>
      <c r="BC23" s="15">
        <v>22.443000000000001</v>
      </c>
      <c r="BE23" s="50">
        <f t="shared" si="12"/>
        <v>5.562857046126922</v>
      </c>
      <c r="BF23" s="16">
        <f t="shared" si="13"/>
        <v>-8.0458033415775725E-3</v>
      </c>
      <c r="BG23" s="16">
        <f t="shared" si="14"/>
        <v>0.2094201644721288</v>
      </c>
      <c r="BH23" s="16"/>
      <c r="BJ23" s="50"/>
      <c r="BK23" s="50"/>
      <c r="BL23" s="50"/>
      <c r="BM23" s="50"/>
      <c r="BN23" s="50"/>
      <c r="BP23" s="50"/>
      <c r="BQ23" s="50"/>
      <c r="BR23" s="50"/>
      <c r="BS23" s="50"/>
      <c r="BT23" s="50"/>
      <c r="BV23" s="58">
        <f t="shared" si="16"/>
        <v>806931</v>
      </c>
      <c r="BW23" s="58">
        <f t="shared" si="16"/>
        <v>25216.59375</v>
      </c>
      <c r="BX23" s="58">
        <f t="shared" si="16"/>
        <v>-7540.1875</v>
      </c>
      <c r="BY23" s="58">
        <f t="shared" si="16"/>
        <v>30241968</v>
      </c>
      <c r="BZ23" s="58">
        <f t="shared" si="16"/>
        <v>16517072</v>
      </c>
      <c r="CA23" s="58">
        <f t="shared" si="16"/>
        <v>1003569</v>
      </c>
      <c r="CB23" s="58">
        <f t="shared" si="16"/>
        <v>13745376</v>
      </c>
      <c r="CC23" s="58">
        <f t="shared" si="16"/>
        <v>-28.883308999999997</v>
      </c>
      <c r="CD23" s="58">
        <f t="shared" si="16"/>
        <v>-31.327890999999994</v>
      </c>
      <c r="CE23" s="58">
        <f t="shared" si="16"/>
        <v>-0.5783660000000026</v>
      </c>
      <c r="CF23" s="58">
        <f t="shared" si="16"/>
        <v>-2.5399219999999971</v>
      </c>
      <c r="CG23" s="58">
        <f t="shared" si="16"/>
        <v>-3.2890970000000053</v>
      </c>
      <c r="CJ23" t="s">
        <v>239</v>
      </c>
    </row>
    <row r="24" spans="1:88" ht="16" outlineLevel="1" thickBot="1" x14ac:dyDescent="0.25">
      <c r="A24" s="36"/>
      <c r="B24" s="36" t="s">
        <v>70</v>
      </c>
      <c r="C24" s="37" t="s">
        <v>237</v>
      </c>
      <c r="D24" s="36">
        <v>250602891</v>
      </c>
      <c r="E24" s="37">
        <v>10</v>
      </c>
      <c r="F24" s="37">
        <v>32</v>
      </c>
      <c r="G24" s="37">
        <v>50</v>
      </c>
      <c r="I24" s="38">
        <f t="shared" si="0"/>
        <v>38.637037499999998</v>
      </c>
      <c r="J24" s="39">
        <f t="shared" si="1"/>
        <v>9.8672860082847175E-2</v>
      </c>
      <c r="K24" s="39">
        <f t="shared" si="2"/>
        <v>2.5344895163240556E-2</v>
      </c>
      <c r="L24" s="39">
        <f t="shared" si="3"/>
        <v>1.7906609066213844E-2</v>
      </c>
      <c r="M24" s="39">
        <f t="shared" si="4"/>
        <v>7.3327964919606609E-2</v>
      </c>
      <c r="N24" s="36">
        <f t="shared" si="5"/>
        <v>6351504</v>
      </c>
      <c r="O24" s="39">
        <v>16</v>
      </c>
      <c r="P24" s="40">
        <v>31426902</v>
      </c>
      <c r="Q24" s="40">
        <v>982090.6875</v>
      </c>
      <c r="R24" s="40">
        <v>18270.09375</v>
      </c>
      <c r="S24" s="41">
        <v>24727704</v>
      </c>
      <c r="T24" s="41">
        <v>4487448</v>
      </c>
      <c r="U24" s="41">
        <v>1864056</v>
      </c>
      <c r="V24" s="41">
        <v>18376200</v>
      </c>
      <c r="W24" s="42">
        <v>71.730802999999995</v>
      </c>
      <c r="X24" s="42">
        <v>75.625753000000003</v>
      </c>
      <c r="Y24" s="42">
        <v>36.930331000000002</v>
      </c>
      <c r="Z24" s="42">
        <v>43.832703000000002</v>
      </c>
      <c r="AA24" s="42">
        <v>42.397630999999997</v>
      </c>
      <c r="AB24" s="43">
        <v>4810.5600000000004</v>
      </c>
      <c r="AC24" s="43">
        <v>1622.41</v>
      </c>
      <c r="AD24" s="43">
        <v>81.781000000000006</v>
      </c>
      <c r="AE24" s="43">
        <v>20.806999999999999</v>
      </c>
      <c r="AG24" s="38">
        <f t="shared" si="6"/>
        <v>107.9535875</v>
      </c>
      <c r="AH24" s="39">
        <f t="shared" si="7"/>
        <v>0.27569632466849714</v>
      </c>
      <c r="AI24" s="39">
        <f t="shared" si="8"/>
        <v>0.12071814047827564</v>
      </c>
      <c r="AJ24" s="39">
        <f t="shared" si="9"/>
        <v>0.10757523144455663</v>
      </c>
      <c r="AK24" s="39">
        <f t="shared" si="10"/>
        <v>0.16064708527245203</v>
      </c>
      <c r="AL24" s="36">
        <f t="shared" si="11"/>
        <v>30252315</v>
      </c>
      <c r="AM24" s="39">
        <v>16</v>
      </c>
      <c r="AN24" s="40">
        <v>30793561</v>
      </c>
      <c r="AO24" s="40">
        <v>962298.78125</v>
      </c>
      <c r="AP24" s="40">
        <v>18183.40625</v>
      </c>
      <c r="AQ24" s="41">
        <v>69090296</v>
      </c>
      <c r="AR24" s="41">
        <v>26958664</v>
      </c>
      <c r="AS24" s="41">
        <v>3293651</v>
      </c>
      <c r="AT24" s="41">
        <v>40258624</v>
      </c>
      <c r="AU24" s="42">
        <v>46.698580999999997</v>
      </c>
      <c r="AV24" s="42">
        <v>46.982483999999999</v>
      </c>
      <c r="AW24" s="42">
        <v>36.797994000000003</v>
      </c>
      <c r="AX24" s="42">
        <v>41.629140999999997</v>
      </c>
      <c r="AY24" s="42">
        <v>39.315131000000001</v>
      </c>
      <c r="AZ24" s="43">
        <v>5058.71</v>
      </c>
      <c r="BA24" s="43">
        <v>1559.43</v>
      </c>
      <c r="BB24" s="43">
        <v>86.960999999999999</v>
      </c>
      <c r="BC24" s="43">
        <v>31.277000000000001</v>
      </c>
      <c r="BE24" s="44">
        <f t="shared" si="12"/>
        <v>4.763015972279951</v>
      </c>
      <c r="BF24" s="45">
        <f t="shared" si="13"/>
        <v>2.9253553169114599E-4</v>
      </c>
      <c r="BG24" s="45">
        <f t="shared" si="14"/>
        <v>0.18100852521980948</v>
      </c>
      <c r="BH24" s="45"/>
      <c r="BJ24" s="44"/>
      <c r="BK24" s="44"/>
      <c r="BL24" s="44"/>
      <c r="BM24" s="44"/>
      <c r="BN24" s="44"/>
      <c r="BP24" s="44"/>
      <c r="BQ24" s="44"/>
      <c r="BR24" s="44"/>
      <c r="BS24" s="44"/>
      <c r="BT24" s="44"/>
      <c r="BV24" s="58">
        <f t="shared" si="16"/>
        <v>-633341</v>
      </c>
      <c r="BW24" s="58">
        <f t="shared" si="16"/>
        <v>-19791.90625</v>
      </c>
      <c r="BX24" s="58">
        <f t="shared" si="16"/>
        <v>-86.6875</v>
      </c>
      <c r="BY24" s="58">
        <f t="shared" si="16"/>
        <v>44362592</v>
      </c>
      <c r="BZ24" s="58">
        <f t="shared" si="16"/>
        <v>22471216</v>
      </c>
      <c r="CA24" s="58">
        <f t="shared" si="16"/>
        <v>1429595</v>
      </c>
      <c r="CB24" s="58">
        <f t="shared" si="16"/>
        <v>21882424</v>
      </c>
      <c r="CC24" s="58">
        <f t="shared" si="16"/>
        <v>-25.032221999999997</v>
      </c>
      <c r="CD24" s="58">
        <f t="shared" si="16"/>
        <v>-28.643269000000004</v>
      </c>
      <c r="CE24" s="58">
        <f t="shared" si="16"/>
        <v>-0.1323369999999997</v>
      </c>
      <c r="CF24" s="58">
        <f t="shared" si="16"/>
        <v>-2.2035620000000051</v>
      </c>
      <c r="CG24" s="58">
        <f t="shared" si="16"/>
        <v>-3.082499999999996</v>
      </c>
      <c r="CJ24" t="s">
        <v>239</v>
      </c>
    </row>
    <row r="25" spans="1:88" x14ac:dyDescent="0.2">
      <c r="A25" s="52" t="s">
        <v>240</v>
      </c>
      <c r="B25" s="52" t="s">
        <v>73</v>
      </c>
      <c r="C25" s="9" t="s">
        <v>232</v>
      </c>
      <c r="D25" s="52">
        <v>250294582</v>
      </c>
      <c r="E25" s="9">
        <v>10</v>
      </c>
      <c r="F25" s="9">
        <v>32</v>
      </c>
      <c r="G25" s="9">
        <v>30</v>
      </c>
      <c r="I25" s="10">
        <f t="shared" si="0"/>
        <v>4.3893674999999996</v>
      </c>
      <c r="J25" s="11">
        <f t="shared" si="1"/>
        <v>1.8705926283294459E-2</v>
      </c>
      <c r="K25" s="11">
        <f t="shared" si="2"/>
        <v>6.5750684127872973E-3</v>
      </c>
      <c r="L25" s="11">
        <f t="shared" si="3"/>
        <v>3.7261054256460093E-3</v>
      </c>
      <c r="M25" s="11">
        <f t="shared" si="4"/>
        <v>1.2130857870507161E-2</v>
      </c>
      <c r="N25" s="52">
        <f t="shared" si="5"/>
        <v>1645704</v>
      </c>
      <c r="O25" s="11">
        <v>16</v>
      </c>
      <c r="P25" s="12">
        <v>23156910</v>
      </c>
      <c r="Q25" s="12">
        <v>723653.4375</v>
      </c>
      <c r="R25" s="12">
        <v>14060.625</v>
      </c>
      <c r="S25" s="13">
        <v>4681992</v>
      </c>
      <c r="T25" s="13">
        <v>932624</v>
      </c>
      <c r="U25" s="13">
        <v>713080</v>
      </c>
      <c r="V25" s="13">
        <v>3036288</v>
      </c>
      <c r="W25" s="14">
        <v>66.208680999999999</v>
      </c>
      <c r="X25" s="14">
        <v>67.982928000000001</v>
      </c>
      <c r="Y25" s="14">
        <v>27.335812000000001</v>
      </c>
      <c r="Z25" s="14">
        <v>33.167050000000003</v>
      </c>
      <c r="AA25" s="14">
        <v>32.594690999999997</v>
      </c>
      <c r="AB25" s="15">
        <v>1557.95</v>
      </c>
      <c r="AC25" s="15">
        <v>1095.81</v>
      </c>
      <c r="AD25" s="15">
        <v>61.21</v>
      </c>
      <c r="AE25" s="15">
        <v>16.762</v>
      </c>
      <c r="AG25" s="10">
        <f t="shared" si="6"/>
        <v>14.48307</v>
      </c>
      <c r="AH25" s="11">
        <f t="shared" si="7"/>
        <v>6.1721703588454024E-2</v>
      </c>
      <c r="AI25" s="11">
        <f t="shared" si="8"/>
        <v>3.2507024063349481E-2</v>
      </c>
      <c r="AJ25" s="11">
        <f t="shared" si="9"/>
        <v>3.0039803258705776E-2</v>
      </c>
      <c r="AK25" s="11">
        <f t="shared" si="10"/>
        <v>2.8930646209513237E-2</v>
      </c>
      <c r="AL25" s="52">
        <f t="shared" si="11"/>
        <v>8136332</v>
      </c>
      <c r="AM25" s="11">
        <v>16</v>
      </c>
      <c r="AN25" s="12">
        <v>30533528</v>
      </c>
      <c r="AO25" s="12">
        <v>954172.75</v>
      </c>
      <c r="AP25" s="12">
        <v>13086.96875</v>
      </c>
      <c r="AQ25" s="13">
        <v>15448608</v>
      </c>
      <c r="AR25" s="13">
        <v>7518800</v>
      </c>
      <c r="AS25" s="13">
        <v>617532</v>
      </c>
      <c r="AT25" s="13">
        <v>7241184</v>
      </c>
      <c r="AU25" s="14">
        <v>41.147627999999997</v>
      </c>
      <c r="AV25" s="14">
        <v>41.536278000000003</v>
      </c>
      <c r="AW25" s="14">
        <v>27.267700000000001</v>
      </c>
      <c r="AX25" s="14">
        <v>32.716422000000001</v>
      </c>
      <c r="AY25" s="14">
        <v>32.079540999999999</v>
      </c>
      <c r="AZ25" s="15">
        <v>1722.7</v>
      </c>
      <c r="BA25" s="15">
        <v>1157.95</v>
      </c>
      <c r="BB25" s="15">
        <v>89.573999999999998</v>
      </c>
      <c r="BC25" s="15">
        <v>24.324999999999999</v>
      </c>
      <c r="BE25" s="50">
        <f t="shared" si="12"/>
        <v>4.9439826360025858</v>
      </c>
      <c r="BF25" s="16">
        <f t="shared" si="13"/>
        <v>-5.7145404987935296E-3</v>
      </c>
      <c r="BG25" s="16">
        <f t="shared" si="14"/>
        <v>0.17517433943588534</v>
      </c>
      <c r="BH25" s="16">
        <f t="array" ref="BH25">AVERAGE(AL25:AL29/AQ25:AQ29) - AVERAGE(N25:N29/S25:S29)</f>
        <v>0.16909093215218857</v>
      </c>
      <c r="BJ25" s="50">
        <f>IF( OR(ISBLANK(N25:N29),ISBLANK(AL25:AL29), ISBLANK(W25:W29),ISBLANK(AU25:AU29)), "·", bdRateExtend( N25:N29,W25:W29, AL25:AL29,AU25:AU29))</f>
        <v>1</v>
      </c>
      <c r="BK25" s="50">
        <f>IF( OR(ISBLANK(N25:N29),ISBLANK(AL25:AL29), ISBLANK(X25:X29),ISBLANK(AV25:AV29)), "·", bdRateExtend( N25:N29,X25:X29, AL25:AL29,AV25:AV29))</f>
        <v>1</v>
      </c>
      <c r="BL25" s="50">
        <f>IF( OR(ISBLANK(V25:V29),ISBLANK(AT25:AT29), ISBLANK(Y25:Y29),ISBLANK(AW25:AW29)), "·", bdRateExtend( V25:V29,Y25:Y29, AT25:AT29,AW25:AW29))</f>
        <v>1.0225922643366667</v>
      </c>
      <c r="BM25" s="50">
        <f>IF( OR(ISBLANK(V25:V29),ISBLANK(AT25:AT29), ISBLANK(Z25:Z29),ISBLANK(AX25:AX29)), "·", bdRateExtend( V25:V29,Z25:Z29, AT25:AT29,AX25:AX29))</f>
        <v>1.4764867634214052</v>
      </c>
      <c r="BN25" s="50">
        <f>IF( OR(ISBLANK(V25:V29),ISBLANK(AT25:AT29), ISBLANK(AA25:AA29),ISBLANK(AY25:AY29)), "·", bdRateExtend( V25:V29,AA25:AA29, AT25:AT29,AY25:AY29))</f>
        <v>1.6384173125906756</v>
      </c>
      <c r="BP25" s="50">
        <f>IF( OR(ISBLANK(S25:S29),ISBLANK(AQ25:AQ29), ISBLANK(W25:W29),ISBLANK(AU25:AU29)), "·", bdRateExtend( S25:S29,W25:W29, AQ25:AQ29,AU25:AU29))</f>
        <v>1</v>
      </c>
      <c r="BQ25" s="50">
        <f>IF( OR(ISBLANK(S25:S29),ISBLANK(AQ25:AQ29), ISBLANK(X25:X29),ISBLANK(AV25:AV29)), "·", bdRateExtend( S25:S29,X25:X29, AQ25:AQ29,AV25:AV29))</f>
        <v>1</v>
      </c>
      <c r="BR25" s="50">
        <f>IF( OR(ISBLANK(S25:S29),ISBLANK(AQ25:AQ29), ISBLANK(Y25:Y29),ISBLANK(AW25:AW29)), "·", bdRateExtend( S25:S29,Y25:Y29, AQ25:AQ29,AW25:AW29))</f>
        <v>1.5115270768716451</v>
      </c>
      <c r="BS25" s="50">
        <f>IF( OR(ISBLANK(S25:S29),ISBLANK(AQ25:AQ29), ISBLANK(Z25:Z29),ISBLANK(AX25:AX29)), "·", bdRateExtend( S25:S29,Z25:Z29, AQ25:AQ29,AX25:AX29))</f>
        <v>1.923745242405912</v>
      </c>
      <c r="BT25" s="50">
        <f>IF( OR(ISBLANK(S25:S29),ISBLANK(AQ25:AQ29), ISBLANK(AA25:AA29),ISBLANK(AY25:AY29)), "·", bdRateExtend( S25:S29,AA25:AA29, AQ25:AQ29,AY25:AY29))</f>
        <v>2.1065974708203741</v>
      </c>
      <c r="BV25" s="58">
        <f t="shared" si="16"/>
        <v>7376618</v>
      </c>
      <c r="BW25" s="58">
        <f t="shared" si="16"/>
        <v>230519.3125</v>
      </c>
      <c r="BX25" s="58">
        <f t="shared" si="16"/>
        <v>-973.65625</v>
      </c>
      <c r="BY25" s="58">
        <f t="shared" si="16"/>
        <v>10766616</v>
      </c>
      <c r="BZ25" s="58">
        <f t="shared" si="16"/>
        <v>6586176</v>
      </c>
      <c r="CA25" s="58">
        <f t="shared" si="16"/>
        <v>-95548</v>
      </c>
      <c r="CB25" s="58">
        <f t="shared" si="16"/>
        <v>4204896</v>
      </c>
      <c r="CC25" s="58">
        <f t="shared" si="16"/>
        <v>-25.061053000000001</v>
      </c>
      <c r="CD25" s="58">
        <f t="shared" si="16"/>
        <v>-26.446649999999998</v>
      </c>
      <c r="CE25" s="58">
        <f t="shared" si="16"/>
        <v>-6.8111999999999284E-2</v>
      </c>
      <c r="CF25" s="58">
        <f t="shared" si="16"/>
        <v>-0.4506280000000018</v>
      </c>
      <c r="CG25" s="58">
        <f t="shared" si="16"/>
        <v>-0.51514999999999844</v>
      </c>
      <c r="CJ25" t="s">
        <v>241</v>
      </c>
    </row>
    <row r="26" spans="1:88" outlineLevel="1" x14ac:dyDescent="0.2">
      <c r="A26" s="17"/>
      <c r="B26" s="17" t="s">
        <v>73</v>
      </c>
      <c r="C26" s="18" t="s">
        <v>234</v>
      </c>
      <c r="D26" s="17">
        <v>250294582</v>
      </c>
      <c r="E26" s="18">
        <v>10</v>
      </c>
      <c r="F26" s="18">
        <v>32</v>
      </c>
      <c r="G26" s="18">
        <v>30</v>
      </c>
      <c r="I26" s="19">
        <f t="shared" si="0"/>
        <v>7.5169949999999996</v>
      </c>
      <c r="J26" s="20">
        <f t="shared" si="1"/>
        <v>3.2034764539969146E-2</v>
      </c>
      <c r="K26" s="20">
        <f t="shared" si="2"/>
        <v>8.1015577077093899E-3</v>
      </c>
      <c r="L26" s="20">
        <f t="shared" si="3"/>
        <v>5.2525947205681028E-3</v>
      </c>
      <c r="M26" s="20">
        <f t="shared" si="4"/>
        <v>2.3933206832259756E-2</v>
      </c>
      <c r="N26" s="17">
        <f t="shared" si="5"/>
        <v>2027776</v>
      </c>
      <c r="O26" s="20">
        <v>16</v>
      </c>
      <c r="P26" s="21">
        <v>24564301</v>
      </c>
      <c r="Q26" s="21">
        <v>767634.40625</v>
      </c>
      <c r="R26" s="21">
        <v>17714.59375</v>
      </c>
      <c r="S26" s="22">
        <v>8018128</v>
      </c>
      <c r="T26" s="22">
        <v>1314696</v>
      </c>
      <c r="U26" s="22">
        <v>713080</v>
      </c>
      <c r="V26" s="22">
        <v>5990352</v>
      </c>
      <c r="W26" s="23">
        <v>67.941556000000006</v>
      </c>
      <c r="X26" s="23">
        <v>69.941896999999997</v>
      </c>
      <c r="Y26" s="23">
        <v>29.713653000000001</v>
      </c>
      <c r="Z26" s="23">
        <v>34.339922000000001</v>
      </c>
      <c r="AA26" s="23">
        <v>33.891993999999997</v>
      </c>
      <c r="AB26" s="24">
        <v>1821.78</v>
      </c>
      <c r="AC26" s="24">
        <v>1477.01</v>
      </c>
      <c r="AD26" s="24">
        <v>67.536000000000001</v>
      </c>
      <c r="AE26" s="24">
        <v>22.475999999999999</v>
      </c>
      <c r="AG26" s="19">
        <f t="shared" si="6"/>
        <v>22.0898325</v>
      </c>
      <c r="AH26" s="20">
        <f t="shared" si="7"/>
        <v>9.4139025350536754E-2</v>
      </c>
      <c r="AI26" s="20">
        <f t="shared" si="8"/>
        <v>4.1943652619695938E-2</v>
      </c>
      <c r="AJ26" s="20">
        <f t="shared" si="9"/>
        <v>3.7855042343665275E-2</v>
      </c>
      <c r="AK26" s="20">
        <f t="shared" si="10"/>
        <v>5.3532696924298587E-2</v>
      </c>
      <c r="AL26" s="17">
        <f t="shared" si="11"/>
        <v>10498269</v>
      </c>
      <c r="AM26" s="20">
        <v>16</v>
      </c>
      <c r="AN26" s="21">
        <v>29442624</v>
      </c>
      <c r="AO26" s="21">
        <v>920082</v>
      </c>
      <c r="AP26" s="21">
        <v>15331.375</v>
      </c>
      <c r="AQ26" s="22">
        <v>23562488</v>
      </c>
      <c r="AR26" s="22">
        <v>9474912</v>
      </c>
      <c r="AS26" s="22">
        <v>1023357</v>
      </c>
      <c r="AT26" s="22">
        <v>13398944</v>
      </c>
      <c r="AU26" s="23">
        <v>40.917738</v>
      </c>
      <c r="AV26" s="23">
        <v>41.306547000000002</v>
      </c>
      <c r="AW26" s="23">
        <v>29.798925000000001</v>
      </c>
      <c r="AX26" s="23">
        <v>33.906286999999999</v>
      </c>
      <c r="AY26" s="23">
        <v>33.357266000000003</v>
      </c>
      <c r="AZ26" s="24">
        <v>1419.04</v>
      </c>
      <c r="BA26" s="24">
        <v>909.21699999999998</v>
      </c>
      <c r="BB26" s="24">
        <v>72.138000000000005</v>
      </c>
      <c r="BC26" s="24">
        <v>18.18</v>
      </c>
      <c r="BE26" s="49">
        <f t="shared" si="12"/>
        <v>5.1772330868892817</v>
      </c>
      <c r="BF26" s="25">
        <f t="shared" si="13"/>
        <v>-6.4138097806657607E-3</v>
      </c>
      <c r="BG26" s="25">
        <f t="shared" si="14"/>
        <v>0.19265117387324066</v>
      </c>
      <c r="BH26" s="25"/>
      <c r="BJ26" s="49"/>
      <c r="BK26" s="49"/>
      <c r="BL26" s="49"/>
      <c r="BM26" s="49"/>
      <c r="BN26" s="49"/>
      <c r="BP26" s="49"/>
      <c r="BQ26" s="49"/>
      <c r="BR26" s="49"/>
      <c r="BS26" s="49"/>
      <c r="BT26" s="49"/>
      <c r="BV26" s="58">
        <f t="shared" si="16"/>
        <v>4878323</v>
      </c>
      <c r="BW26" s="58">
        <f t="shared" si="16"/>
        <v>152447.59375</v>
      </c>
      <c r="BX26" s="58">
        <f t="shared" si="16"/>
        <v>-2383.21875</v>
      </c>
      <c r="BY26" s="58">
        <f t="shared" si="16"/>
        <v>15544360</v>
      </c>
      <c r="BZ26" s="58">
        <f t="shared" si="16"/>
        <v>8160216</v>
      </c>
      <c r="CA26" s="58">
        <f t="shared" si="16"/>
        <v>310277</v>
      </c>
      <c r="CB26" s="58">
        <f t="shared" si="16"/>
        <v>7408592</v>
      </c>
      <c r="CC26" s="58">
        <f t="shared" si="16"/>
        <v>-27.023818000000006</v>
      </c>
      <c r="CD26" s="58">
        <f t="shared" si="16"/>
        <v>-28.635349999999995</v>
      </c>
      <c r="CE26" s="58">
        <f t="shared" si="16"/>
        <v>8.5271999999999792E-2</v>
      </c>
      <c r="CF26" s="58">
        <f t="shared" si="16"/>
        <v>-0.43363500000000244</v>
      </c>
      <c r="CG26" s="58">
        <f t="shared" si="16"/>
        <v>-0.5347279999999941</v>
      </c>
      <c r="CJ26" t="s">
        <v>241</v>
      </c>
    </row>
    <row r="27" spans="1:88" outlineLevel="1" x14ac:dyDescent="0.2">
      <c r="A27" s="52"/>
      <c r="B27" s="52" t="s">
        <v>73</v>
      </c>
      <c r="C27" s="9" t="s">
        <v>235</v>
      </c>
      <c r="D27" s="52">
        <v>250294582</v>
      </c>
      <c r="E27" s="9">
        <v>10</v>
      </c>
      <c r="F27" s="9">
        <v>32</v>
      </c>
      <c r="G27" s="9">
        <v>30</v>
      </c>
      <c r="I27" s="10">
        <f t="shared" si="0"/>
        <v>13.216447499999999</v>
      </c>
      <c r="J27" s="11">
        <f t="shared" si="1"/>
        <v>5.6323808079872861E-2</v>
      </c>
      <c r="K27" s="11">
        <f t="shared" si="2"/>
        <v>1.0397987759878878E-2</v>
      </c>
      <c r="L27" s="11">
        <f t="shared" si="3"/>
        <v>7.5490247727375897E-3</v>
      </c>
      <c r="M27" s="11">
        <f t="shared" si="4"/>
        <v>4.5925820319993982E-2</v>
      </c>
      <c r="N27" s="52">
        <f t="shared" si="5"/>
        <v>2602560</v>
      </c>
      <c r="O27" s="11">
        <v>16</v>
      </c>
      <c r="P27" s="12">
        <v>24852477</v>
      </c>
      <c r="Q27" s="12">
        <v>776639.90625</v>
      </c>
      <c r="R27" s="12">
        <v>18688.75</v>
      </c>
      <c r="S27" s="13">
        <v>14097544</v>
      </c>
      <c r="T27" s="13">
        <v>1889480</v>
      </c>
      <c r="U27" s="13">
        <v>713080</v>
      </c>
      <c r="V27" s="13">
        <v>11494984</v>
      </c>
      <c r="W27" s="14">
        <v>69.263744000000003</v>
      </c>
      <c r="X27" s="14">
        <v>71.649234000000007</v>
      </c>
      <c r="Y27" s="14">
        <v>32.212888</v>
      </c>
      <c r="Z27" s="14">
        <v>35.580181000000003</v>
      </c>
      <c r="AA27" s="14">
        <v>35.204984000000003</v>
      </c>
      <c r="AB27" s="15">
        <v>1604.67</v>
      </c>
      <c r="AC27" s="15">
        <v>1271.32</v>
      </c>
      <c r="AD27" s="15">
        <v>70.06</v>
      </c>
      <c r="AE27" s="15">
        <v>18.914000000000001</v>
      </c>
      <c r="AG27" s="10">
        <f t="shared" si="6"/>
        <v>34.502279999999999</v>
      </c>
      <c r="AH27" s="11">
        <f t="shared" si="7"/>
        <v>0.14703647080942409</v>
      </c>
      <c r="AI27" s="11">
        <f t="shared" si="8"/>
        <v>5.3863662937777855E-2</v>
      </c>
      <c r="AJ27" s="11">
        <f t="shared" si="9"/>
        <v>4.6889676581173462E-2</v>
      </c>
      <c r="AK27" s="11">
        <f t="shared" si="10"/>
        <v>9.7395508145677726E-2</v>
      </c>
      <c r="AL27" s="52">
        <f t="shared" si="11"/>
        <v>13481783</v>
      </c>
      <c r="AM27" s="11">
        <v>16</v>
      </c>
      <c r="AN27" s="12">
        <v>28479998</v>
      </c>
      <c r="AO27" s="12">
        <v>889999.9375</v>
      </c>
      <c r="AP27" s="12">
        <v>17059.15625</v>
      </c>
      <c r="AQ27" s="13">
        <v>36802432</v>
      </c>
      <c r="AR27" s="13">
        <v>11736232</v>
      </c>
      <c r="AS27" s="13">
        <v>1745551</v>
      </c>
      <c r="AT27" s="13">
        <v>24377568</v>
      </c>
      <c r="AU27" s="14">
        <v>40.734431000000001</v>
      </c>
      <c r="AV27" s="14">
        <v>41.123112999999996</v>
      </c>
      <c r="AW27" s="14">
        <v>32.461488000000003</v>
      </c>
      <c r="AX27" s="14">
        <v>35.125247000000002</v>
      </c>
      <c r="AY27" s="14">
        <v>34.626711999999998</v>
      </c>
      <c r="AZ27" s="15">
        <v>1418.3</v>
      </c>
      <c r="BA27" s="15">
        <v>954.774</v>
      </c>
      <c r="BB27" s="15">
        <v>70.5</v>
      </c>
      <c r="BC27" s="15">
        <v>19.600999999999999</v>
      </c>
      <c r="BE27" s="50">
        <f t="shared" si="12"/>
        <v>5.1802006485921552</v>
      </c>
      <c r="BF27" s="16">
        <f t="shared" si="13"/>
        <v>-4.8960047247773447E-3</v>
      </c>
      <c r="BG27" s="16">
        <f t="shared" si="14"/>
        <v>0.18171770963243258</v>
      </c>
      <c r="BH27" s="16"/>
      <c r="BJ27" s="50"/>
      <c r="BK27" s="50"/>
      <c r="BL27" s="50"/>
      <c r="BM27" s="50"/>
      <c r="BN27" s="50"/>
      <c r="BP27" s="50"/>
      <c r="BQ27" s="50"/>
      <c r="BR27" s="50"/>
      <c r="BS27" s="50"/>
      <c r="BT27" s="50"/>
      <c r="BV27" s="58">
        <f t="shared" si="16"/>
        <v>3627521</v>
      </c>
      <c r="BW27" s="58">
        <f t="shared" si="16"/>
        <v>113360.03125</v>
      </c>
      <c r="BX27" s="58">
        <f t="shared" si="16"/>
        <v>-1629.59375</v>
      </c>
      <c r="BY27" s="58">
        <f t="shared" si="16"/>
        <v>22704888</v>
      </c>
      <c r="BZ27" s="58">
        <f t="shared" si="16"/>
        <v>9846752</v>
      </c>
      <c r="CA27" s="58">
        <f t="shared" si="16"/>
        <v>1032471</v>
      </c>
      <c r="CB27" s="58">
        <f t="shared" si="16"/>
        <v>12882584</v>
      </c>
      <c r="CC27" s="58">
        <f t="shared" si="16"/>
        <v>-28.529313000000002</v>
      </c>
      <c r="CD27" s="58">
        <f t="shared" si="16"/>
        <v>-30.52612100000001</v>
      </c>
      <c r="CE27" s="58">
        <f t="shared" si="16"/>
        <v>0.24860000000000326</v>
      </c>
      <c r="CF27" s="58">
        <f t="shared" si="16"/>
        <v>-0.4549340000000015</v>
      </c>
      <c r="CG27" s="58">
        <f t="shared" si="16"/>
        <v>-0.57827200000000545</v>
      </c>
      <c r="CJ27" t="s">
        <v>241</v>
      </c>
    </row>
    <row r="28" spans="1:88" outlineLevel="1" x14ac:dyDescent="0.2">
      <c r="A28" s="17"/>
      <c r="B28" s="17" t="s">
        <v>73</v>
      </c>
      <c r="C28" s="18" t="s">
        <v>236</v>
      </c>
      <c r="D28" s="17">
        <v>250294582</v>
      </c>
      <c r="E28" s="18">
        <v>10</v>
      </c>
      <c r="F28" s="18">
        <v>32</v>
      </c>
      <c r="G28" s="18">
        <v>30</v>
      </c>
      <c r="I28" s="19">
        <f t="shared" si="0"/>
        <v>24.485197500000002</v>
      </c>
      <c r="J28" s="20">
        <f t="shared" si="1"/>
        <v>0.10434722074807037</v>
      </c>
      <c r="K28" s="20">
        <f t="shared" si="2"/>
        <v>1.4255106808504548E-2</v>
      </c>
      <c r="L28" s="20">
        <f t="shared" si="3"/>
        <v>1.1406143821363261E-2</v>
      </c>
      <c r="M28" s="20">
        <f t="shared" si="4"/>
        <v>9.0092113939565815E-2</v>
      </c>
      <c r="N28" s="17">
        <f t="shared" si="5"/>
        <v>3567976</v>
      </c>
      <c r="O28" s="20">
        <v>16</v>
      </c>
      <c r="P28" s="21">
        <v>25521142</v>
      </c>
      <c r="Q28" s="21">
        <v>797535.6875</v>
      </c>
      <c r="R28" s="21">
        <v>20922.53125</v>
      </c>
      <c r="S28" s="22">
        <v>26117544</v>
      </c>
      <c r="T28" s="22">
        <v>2854896</v>
      </c>
      <c r="U28" s="22">
        <v>713080</v>
      </c>
      <c r="V28" s="22">
        <v>22549568</v>
      </c>
      <c r="W28" s="23">
        <v>70.432472000000004</v>
      </c>
      <c r="X28" s="23">
        <v>72.970200000000006</v>
      </c>
      <c r="Y28" s="23">
        <v>34.910972000000001</v>
      </c>
      <c r="Z28" s="23">
        <v>37.373078</v>
      </c>
      <c r="AA28" s="23">
        <v>36.936613000000001</v>
      </c>
      <c r="AB28" s="24">
        <v>1539.49</v>
      </c>
      <c r="AC28" s="24">
        <v>1361.73</v>
      </c>
      <c r="AD28" s="24">
        <v>65.055000000000007</v>
      </c>
      <c r="AE28" s="24">
        <v>18.885000000000002</v>
      </c>
      <c r="AG28" s="19">
        <f t="shared" si="6"/>
        <v>55.2598725</v>
      </c>
      <c r="AH28" s="20">
        <f t="shared" si="7"/>
        <v>0.23549796215724716</v>
      </c>
      <c r="AI28" s="20">
        <f t="shared" si="8"/>
        <v>6.9770515448073098E-2</v>
      </c>
      <c r="AJ28" s="20">
        <f t="shared" si="9"/>
        <v>5.7776144750907955E-2</v>
      </c>
      <c r="AK28" s="20">
        <f t="shared" si="10"/>
        <v>0.17497056328610422</v>
      </c>
      <c r="AL28" s="17">
        <f t="shared" si="11"/>
        <v>17463182</v>
      </c>
      <c r="AM28" s="20">
        <v>16</v>
      </c>
      <c r="AN28" s="21">
        <v>27625531</v>
      </c>
      <c r="AO28" s="21">
        <v>863297.84375</v>
      </c>
      <c r="AP28" s="21">
        <v>17933.8125</v>
      </c>
      <c r="AQ28" s="22">
        <v>58943864</v>
      </c>
      <c r="AR28" s="22">
        <v>14461056</v>
      </c>
      <c r="AS28" s="22">
        <v>3002126</v>
      </c>
      <c r="AT28" s="22">
        <v>43794184</v>
      </c>
      <c r="AU28" s="23">
        <v>40.580925000000001</v>
      </c>
      <c r="AV28" s="23">
        <v>40.969355999999998</v>
      </c>
      <c r="AW28" s="23">
        <v>35.020268999999999</v>
      </c>
      <c r="AX28" s="23">
        <v>36.836424999999998</v>
      </c>
      <c r="AY28" s="23">
        <v>36.241641000000001</v>
      </c>
      <c r="AZ28" s="24">
        <v>1522.73</v>
      </c>
      <c r="BA28" s="24">
        <v>1046.05</v>
      </c>
      <c r="BB28" s="24">
        <v>69.135000000000005</v>
      </c>
      <c r="BC28" s="24">
        <v>21.273</v>
      </c>
      <c r="BE28" s="49">
        <f t="shared" si="12"/>
        <v>4.8944224961154443</v>
      </c>
      <c r="BF28" s="25">
        <f t="shared" si="13"/>
        <v>-5.4603652077265911E-3</v>
      </c>
      <c r="BG28" s="25">
        <f t="shared" si="14"/>
        <v>0.15965578930430332</v>
      </c>
      <c r="BH28" s="25"/>
      <c r="BJ28" s="49"/>
      <c r="BK28" s="49"/>
      <c r="BL28" s="49"/>
      <c r="BM28" s="49"/>
      <c r="BN28" s="49"/>
      <c r="BP28" s="49"/>
      <c r="BQ28" s="49"/>
      <c r="BR28" s="49"/>
      <c r="BS28" s="49"/>
      <c r="BT28" s="49"/>
      <c r="BV28" s="58">
        <f t="shared" si="16"/>
        <v>2104389</v>
      </c>
      <c r="BW28" s="58">
        <f t="shared" si="16"/>
        <v>65762.15625</v>
      </c>
      <c r="BX28" s="58">
        <f t="shared" si="16"/>
        <v>-2988.71875</v>
      </c>
      <c r="BY28" s="58">
        <f t="shared" si="16"/>
        <v>32826320</v>
      </c>
      <c r="BZ28" s="58">
        <f t="shared" si="16"/>
        <v>11606160</v>
      </c>
      <c r="CA28" s="58">
        <f t="shared" si="16"/>
        <v>2289046</v>
      </c>
      <c r="CB28" s="58">
        <f t="shared" si="16"/>
        <v>21244616</v>
      </c>
      <c r="CC28" s="58">
        <f t="shared" si="16"/>
        <v>-29.851547000000004</v>
      </c>
      <c r="CD28" s="58">
        <f t="shared" si="16"/>
        <v>-32.000844000000008</v>
      </c>
      <c r="CE28" s="58">
        <f t="shared" si="16"/>
        <v>0.10929699999999798</v>
      </c>
      <c r="CF28" s="58">
        <f t="shared" si="16"/>
        <v>-0.53665300000000116</v>
      </c>
      <c r="CG28" s="58">
        <f t="shared" si="16"/>
        <v>-0.69497199999999992</v>
      </c>
      <c r="CJ28" t="s">
        <v>241</v>
      </c>
    </row>
    <row r="29" spans="1:88" ht="16" outlineLevel="1" thickBot="1" x14ac:dyDescent="0.25">
      <c r="A29" s="26"/>
      <c r="B29" s="26" t="s">
        <v>73</v>
      </c>
      <c r="C29" s="27" t="s">
        <v>237</v>
      </c>
      <c r="D29" s="26">
        <v>250294582</v>
      </c>
      <c r="E29" s="27">
        <v>10</v>
      </c>
      <c r="F29" s="27">
        <v>32</v>
      </c>
      <c r="G29" s="27">
        <v>30</v>
      </c>
      <c r="I29" s="28">
        <f t="shared" si="0"/>
        <v>44.199554999999997</v>
      </c>
      <c r="J29" s="29">
        <f t="shared" si="1"/>
        <v>0.18836281482113743</v>
      </c>
      <c r="K29" s="29">
        <f t="shared" si="2"/>
        <v>2.2993258399816262E-2</v>
      </c>
      <c r="L29" s="29">
        <f t="shared" si="3"/>
        <v>1.7641772205840237E-2</v>
      </c>
      <c r="M29" s="29">
        <f t="shared" si="4"/>
        <v>0.16536955642132117</v>
      </c>
      <c r="N29" s="26">
        <f t="shared" si="5"/>
        <v>5755088</v>
      </c>
      <c r="O29" s="29">
        <v>16</v>
      </c>
      <c r="P29" s="30">
        <v>24571358</v>
      </c>
      <c r="Q29" s="30">
        <v>767854.9375</v>
      </c>
      <c r="R29" s="30">
        <v>9744.125</v>
      </c>
      <c r="S29" s="31">
        <v>47146192</v>
      </c>
      <c r="T29" s="31">
        <v>4415640</v>
      </c>
      <c r="U29" s="31">
        <v>1339448</v>
      </c>
      <c r="V29" s="31">
        <v>41391104</v>
      </c>
      <c r="W29" s="32">
        <v>71.152737999999999</v>
      </c>
      <c r="X29" s="32">
        <v>74.905512999999999</v>
      </c>
      <c r="Y29" s="32">
        <v>37.369269000000003</v>
      </c>
      <c r="Z29" s="32">
        <v>39.408925000000004</v>
      </c>
      <c r="AA29" s="32">
        <v>38.766097000000002</v>
      </c>
      <c r="AB29" s="33">
        <v>1420.25</v>
      </c>
      <c r="AC29" s="33">
        <v>1494.5</v>
      </c>
      <c r="AD29" s="33">
        <v>58.012999999999998</v>
      </c>
      <c r="AE29" s="33">
        <v>19.001000000000001</v>
      </c>
      <c r="AG29" s="28">
        <f t="shared" si="6"/>
        <v>89.433959999999999</v>
      </c>
      <c r="AH29" s="29">
        <f t="shared" si="7"/>
        <v>0.38113579302327849</v>
      </c>
      <c r="AI29" s="29">
        <f t="shared" si="8"/>
        <v>9.8456765636261351E-2</v>
      </c>
      <c r="AJ29" s="29">
        <f t="shared" si="9"/>
        <v>7.8013194868117447E-2</v>
      </c>
      <c r="AK29" s="29">
        <f t="shared" si="10"/>
        <v>0.2978688208280913</v>
      </c>
      <c r="AL29" s="26">
        <f t="shared" si="11"/>
        <v>24643195</v>
      </c>
      <c r="AM29" s="29">
        <v>16</v>
      </c>
      <c r="AN29" s="30">
        <v>25678354</v>
      </c>
      <c r="AO29" s="30">
        <v>802448.5625</v>
      </c>
      <c r="AP29" s="30">
        <v>10867.9375</v>
      </c>
      <c r="AQ29" s="31">
        <v>95396224</v>
      </c>
      <c r="AR29" s="31">
        <v>19526280</v>
      </c>
      <c r="AS29" s="31">
        <v>5116915</v>
      </c>
      <c r="AT29" s="31">
        <v>74554952</v>
      </c>
      <c r="AU29" s="32">
        <v>44.769275</v>
      </c>
      <c r="AV29" s="32">
        <v>45.155155999999998</v>
      </c>
      <c r="AW29" s="32">
        <v>37.801797000000001</v>
      </c>
      <c r="AX29" s="32">
        <v>38.921353000000003</v>
      </c>
      <c r="AY29" s="32">
        <v>38.116244000000002</v>
      </c>
      <c r="AZ29" s="33">
        <v>1839.15</v>
      </c>
      <c r="BA29" s="33">
        <v>1549.82</v>
      </c>
      <c r="BB29" s="33">
        <v>74.825000000000003</v>
      </c>
      <c r="BC29" s="33">
        <v>31.798999999999999</v>
      </c>
      <c r="BE29" s="34">
        <f t="shared" si="12"/>
        <v>4.2819840461171053</v>
      </c>
      <c r="BF29" s="35">
        <f t="shared" si="13"/>
        <v>8.5340963323382764E-4</v>
      </c>
      <c r="BG29" s="35">
        <f t="shared" si="14"/>
        <v>0.13625564851508082</v>
      </c>
      <c r="BH29" s="35"/>
      <c r="BJ29" s="34"/>
      <c r="BK29" s="34"/>
      <c r="BL29" s="34"/>
      <c r="BM29" s="34"/>
      <c r="BN29" s="34"/>
      <c r="BP29" s="34"/>
      <c r="BQ29" s="34"/>
      <c r="BR29" s="34"/>
      <c r="BS29" s="34"/>
      <c r="BT29" s="34"/>
      <c r="BV29" s="58">
        <f t="shared" si="16"/>
        <v>1106996</v>
      </c>
      <c r="BW29" s="58">
        <f t="shared" si="16"/>
        <v>34593.625</v>
      </c>
      <c r="BX29" s="58">
        <f t="shared" si="16"/>
        <v>1123.8125</v>
      </c>
      <c r="BY29" s="58">
        <f t="shared" si="16"/>
        <v>48250032</v>
      </c>
      <c r="BZ29" s="58">
        <f t="shared" si="16"/>
        <v>15110640</v>
      </c>
      <c r="CA29" s="58">
        <f t="shared" si="16"/>
        <v>3777467</v>
      </c>
      <c r="CB29" s="58">
        <f t="shared" si="16"/>
        <v>33163848</v>
      </c>
      <c r="CC29" s="58">
        <f t="shared" si="16"/>
        <v>-26.383462999999999</v>
      </c>
      <c r="CD29" s="58">
        <f t="shared" si="16"/>
        <v>-29.750357000000001</v>
      </c>
      <c r="CE29" s="58">
        <f t="shared" si="16"/>
        <v>0.4325279999999978</v>
      </c>
      <c r="CF29" s="58">
        <f t="shared" si="16"/>
        <v>-0.48757200000000012</v>
      </c>
      <c r="CG29" s="58">
        <f t="shared" si="16"/>
        <v>-0.64985300000000024</v>
      </c>
      <c r="CJ29" t="s">
        <v>241</v>
      </c>
    </row>
    <row r="30" spans="1:88" x14ac:dyDescent="0.2">
      <c r="A30" s="17" t="s">
        <v>242</v>
      </c>
      <c r="B30" s="17" t="s">
        <v>77</v>
      </c>
      <c r="C30" s="18" t="s">
        <v>232</v>
      </c>
      <c r="D30" s="17">
        <v>375422539</v>
      </c>
      <c r="E30" s="18">
        <v>11</v>
      </c>
      <c r="F30" s="18">
        <v>32</v>
      </c>
      <c r="G30" s="18">
        <v>30</v>
      </c>
      <c r="I30" s="19">
        <f t="shared" si="0"/>
        <v>5.7329774999999996</v>
      </c>
      <c r="J30" s="20">
        <f t="shared" si="1"/>
        <v>1.6288782277933504E-2</v>
      </c>
      <c r="K30" s="20">
        <f t="shared" si="2"/>
        <v>9.9774936528251434E-3</v>
      </c>
      <c r="L30" s="20">
        <f t="shared" si="3"/>
        <v>6.1752286002199775E-3</v>
      </c>
      <c r="M30" s="20">
        <f t="shared" si="4"/>
        <v>6.3112886251083609E-3</v>
      </c>
      <c r="N30" s="17">
        <f t="shared" si="5"/>
        <v>3745776</v>
      </c>
      <c r="O30" s="20">
        <v>16</v>
      </c>
      <c r="P30" s="21">
        <v>84258322</v>
      </c>
      <c r="Q30" s="21">
        <v>2633072.5625</v>
      </c>
      <c r="R30" s="21">
        <v>32425.28125</v>
      </c>
      <c r="S30" s="22">
        <v>6115176</v>
      </c>
      <c r="T30" s="22">
        <v>2318320</v>
      </c>
      <c r="U30" s="22">
        <v>1427456</v>
      </c>
      <c r="V30" s="22">
        <v>2369400</v>
      </c>
      <c r="W30" s="23">
        <v>73.460730999999996</v>
      </c>
      <c r="X30" s="23">
        <v>75.713605999999999</v>
      </c>
      <c r="Y30" s="23">
        <v>34.745108999999999</v>
      </c>
      <c r="Z30" s="23">
        <v>42.167358999999998</v>
      </c>
      <c r="AA30" s="23">
        <v>43.793906</v>
      </c>
      <c r="AB30" s="24">
        <v>4020.87</v>
      </c>
      <c r="AC30" s="24">
        <v>3267.17</v>
      </c>
      <c r="AD30" s="24">
        <v>222.517</v>
      </c>
      <c r="AE30" s="24">
        <v>46.183</v>
      </c>
      <c r="AG30" s="19">
        <f t="shared" si="6"/>
        <v>25.960545</v>
      </c>
      <c r="AH30" s="20">
        <f t="shared" si="7"/>
        <v>7.3760217150947355E-2</v>
      </c>
      <c r="AI30" s="20">
        <f t="shared" si="8"/>
        <v>5.2912563675352478E-2</v>
      </c>
      <c r="AJ30" s="20">
        <f t="shared" si="9"/>
        <v>5.0830064840619492E-2</v>
      </c>
      <c r="AK30" s="20">
        <f t="shared" si="10"/>
        <v>1.9197206484185009E-2</v>
      </c>
      <c r="AL30" s="17">
        <f t="shared" si="11"/>
        <v>19864569</v>
      </c>
      <c r="AM30" s="20">
        <v>16</v>
      </c>
      <c r="AN30" s="21">
        <v>108284666</v>
      </c>
      <c r="AO30" s="21">
        <v>3383895.8125</v>
      </c>
      <c r="AP30" s="21">
        <v>26296.75</v>
      </c>
      <c r="AQ30" s="22">
        <v>27691248</v>
      </c>
      <c r="AR30" s="22">
        <v>19082752</v>
      </c>
      <c r="AS30" s="22">
        <v>781817</v>
      </c>
      <c r="AT30" s="22">
        <v>7207064</v>
      </c>
      <c r="AU30" s="23">
        <v>47.986375000000002</v>
      </c>
      <c r="AV30" s="23">
        <v>48.286583999999998</v>
      </c>
      <c r="AW30" s="23">
        <v>33.6282</v>
      </c>
      <c r="AX30" s="23">
        <v>41.494928000000002</v>
      </c>
      <c r="AY30" s="23">
        <v>42.986550000000001</v>
      </c>
      <c r="AZ30" s="24">
        <v>3696.76</v>
      </c>
      <c r="BA30" s="24">
        <v>2654.14</v>
      </c>
      <c r="BB30" s="24">
        <v>287.608</v>
      </c>
      <c r="BC30" s="24">
        <v>53.904000000000003</v>
      </c>
      <c r="BE30" s="49">
        <f t="shared" si="12"/>
        <v>5.3031919153734766</v>
      </c>
      <c r="BF30" s="25">
        <f t="shared" si="13"/>
        <v>-4.5434709508657221E-3</v>
      </c>
      <c r="BG30" s="25">
        <f t="shared" si="14"/>
        <v>0.10482138345999781</v>
      </c>
      <c r="BH30" s="25">
        <f t="array" ref="BH30">AVERAGE(AL30:AL34/AQ30:AQ34) - AVERAGE(N30:N34/S30:S34)</f>
        <v>0.15168031586943359</v>
      </c>
      <c r="BJ30" s="49">
        <f>IF( OR(ISBLANK(N30:N34),ISBLANK(AL30:AL34), ISBLANK(W30:W34),ISBLANK(AU30:AU34)), "·", bdRateExtend( N30:N34,W30:W34, AL30:AL34,AU30:AU34))</f>
        <v>1</v>
      </c>
      <c r="BK30" s="49">
        <f>IF( OR(ISBLANK(N30:N34),ISBLANK(AL30:AL34), ISBLANK(X30:X34),ISBLANK(AV30:AV34)), "·", bdRateExtend( N30:N34,X30:X34, AL30:AL34,AV30:AV34))</f>
        <v>1</v>
      </c>
      <c r="BL30" s="49">
        <f>IF( OR(ISBLANK(V30:V34),ISBLANK(AT30:AT34), ISBLANK(Y30:Y34),ISBLANK(AW30:AW34)), "·", bdRateExtend( V30:V34,Y30:Y34, AT30:AT34,AW30:AW34))</f>
        <v>1.7427349683090014</v>
      </c>
      <c r="BM30" s="49">
        <f>IF( OR(ISBLANK(V30:V34),ISBLANK(AT30:AT34), ISBLANK(Z30:Z34),ISBLANK(AX30:AX34)), "·", bdRateExtend( V30:V34,Z30:Z34, AT30:AT34,AX30:AX34))</f>
        <v>2.2786616434110369</v>
      </c>
      <c r="BN30" s="49">
        <f>IF( OR(ISBLANK(V30:V34),ISBLANK(AT30:AT34), ISBLANK(AA30:AA34),ISBLANK(AY30:AY34)), "·", bdRateExtend( V30:V34,AA30:AA34, AT30:AT34,AY30:AY34))</f>
        <v>2.6371156223164252</v>
      </c>
      <c r="BP30" s="49">
        <f>IF( OR(ISBLANK(S30:S34),ISBLANK(AQ30:AQ34), ISBLANK(W30:W34),ISBLANK(AU30:AU34)), "·", bdRateExtend( S30:S34,W30:W34, AQ30:AQ34,AU30:AU34))</f>
        <v>1</v>
      </c>
      <c r="BQ30" s="49">
        <f>IF( OR(ISBLANK(S30:S34),ISBLANK(AQ30:AQ34), ISBLANK(X30:X34),ISBLANK(AV30:AV34)), "·", bdRateExtend( S30:S34,X30:X34, AQ30:AQ34,AV30:AV34))</f>
        <v>1</v>
      </c>
      <c r="BR30" s="49">
        <f>IF( OR(ISBLANK(S30:S34),ISBLANK(AQ30:AQ34), ISBLANK(Y30:Y34),ISBLANK(AW30:AW34)), "·", bdRateExtend( S30:S34,Y30:Y34, AQ30:AQ34,AW30:AW34))</f>
        <v>2.7444874136617599</v>
      </c>
      <c r="BS30" s="49">
        <f>IF( OR(ISBLANK(S30:S34),ISBLANK(AQ30:AQ34), ISBLANK(Z30:Z34),ISBLANK(AX30:AX34)), "·", bdRateExtend( S30:S34,Z30:Z34, AQ30:AQ34,AX30:AX34))</f>
        <v>3.1176088323354714</v>
      </c>
      <c r="BT30" s="49">
        <f>IF( OR(ISBLANK(S30:S34),ISBLANK(AQ30:AQ34), ISBLANK(AA30:AA34),ISBLANK(AY30:AY34)), "·", bdRateExtend( S30:S34,AA30:AA34, AQ30:AQ34,AY30:AY34))</f>
        <v>3.5340570434918339</v>
      </c>
      <c r="BV30" s="58">
        <f t="shared" si="16"/>
        <v>24026344</v>
      </c>
      <c r="BW30" s="58">
        <f t="shared" si="16"/>
        <v>750823.25</v>
      </c>
      <c r="BX30" s="58">
        <f t="shared" si="16"/>
        <v>-6128.53125</v>
      </c>
      <c r="BY30" s="58">
        <f t="shared" si="16"/>
        <v>21576072</v>
      </c>
      <c r="BZ30" s="58">
        <f t="shared" si="16"/>
        <v>16764432</v>
      </c>
      <c r="CA30" s="58">
        <f t="shared" si="16"/>
        <v>-645639</v>
      </c>
      <c r="CB30" s="58">
        <f t="shared" si="16"/>
        <v>4837664</v>
      </c>
      <c r="CC30" s="58">
        <f t="shared" si="16"/>
        <v>-25.474355999999993</v>
      </c>
      <c r="CD30" s="58">
        <f t="shared" si="16"/>
        <v>-27.427022000000001</v>
      </c>
      <c r="CE30" s="58">
        <f t="shared" si="16"/>
        <v>-1.1169089999999997</v>
      </c>
      <c r="CF30" s="58">
        <f t="shared" si="16"/>
        <v>-0.672430999999996</v>
      </c>
      <c r="CG30" s="58">
        <f t="shared" si="16"/>
        <v>-0.80735599999999863</v>
      </c>
      <c r="CJ30" t="s">
        <v>243</v>
      </c>
    </row>
    <row r="31" spans="1:88" outlineLevel="1" x14ac:dyDescent="0.2">
      <c r="A31" s="52"/>
      <c r="B31" s="52" t="s">
        <v>77</v>
      </c>
      <c r="C31" s="9" t="s">
        <v>234</v>
      </c>
      <c r="D31" s="52">
        <v>375422539</v>
      </c>
      <c r="E31" s="9">
        <v>11</v>
      </c>
      <c r="F31" s="9">
        <v>32</v>
      </c>
      <c r="G31" s="9">
        <v>30</v>
      </c>
      <c r="I31" s="10">
        <f t="shared" si="0"/>
        <v>8.1752775</v>
      </c>
      <c r="J31" s="11">
        <f t="shared" si="1"/>
        <v>2.3227950093854116E-2</v>
      </c>
      <c r="K31" s="11">
        <f t="shared" si="2"/>
        <v>1.2273274833933185E-2</v>
      </c>
      <c r="L31" s="11">
        <f t="shared" si="3"/>
        <v>8.4710097813280195E-3</v>
      </c>
      <c r="M31" s="11">
        <f t="shared" si="4"/>
        <v>1.0954675259920929E-2</v>
      </c>
      <c r="N31" s="52">
        <f t="shared" si="5"/>
        <v>4607664</v>
      </c>
      <c r="O31" s="11">
        <v>16</v>
      </c>
      <c r="P31" s="12">
        <v>89857639</v>
      </c>
      <c r="Q31" s="12">
        <v>2808051.21875</v>
      </c>
      <c r="R31" s="12">
        <v>41097.03125</v>
      </c>
      <c r="S31" s="13">
        <v>8720296</v>
      </c>
      <c r="T31" s="13">
        <v>3180208</v>
      </c>
      <c r="U31" s="13">
        <v>1427456</v>
      </c>
      <c r="V31" s="13">
        <v>4112632</v>
      </c>
      <c r="W31" s="14">
        <v>75.170683999999994</v>
      </c>
      <c r="X31" s="14">
        <v>77.575241000000005</v>
      </c>
      <c r="Y31" s="14">
        <v>36.650725000000001</v>
      </c>
      <c r="Z31" s="14">
        <v>42.678502999999999</v>
      </c>
      <c r="AA31" s="14">
        <v>45.052522000000003</v>
      </c>
      <c r="AB31" s="15">
        <v>4002.83</v>
      </c>
      <c r="AC31" s="15">
        <v>3256.13</v>
      </c>
      <c r="AD31" s="15">
        <v>239.76499999999999</v>
      </c>
      <c r="AE31" s="15">
        <v>48.701999999999998</v>
      </c>
      <c r="AG31" s="10">
        <f t="shared" si="6"/>
        <v>34.140689999999999</v>
      </c>
      <c r="AH31" s="11">
        <f t="shared" si="7"/>
        <v>9.7001996995177739E-2</v>
      </c>
      <c r="AI31" s="11">
        <f t="shared" si="8"/>
        <v>6.514752701089159E-2</v>
      </c>
      <c r="AJ31" s="11">
        <f t="shared" si="9"/>
        <v>6.2153838877532071E-2</v>
      </c>
      <c r="AK31" s="11">
        <f t="shared" si="10"/>
        <v>3.1115212291502829E-2</v>
      </c>
      <c r="AL31" s="52">
        <f t="shared" si="11"/>
        <v>24457850</v>
      </c>
      <c r="AM31" s="11">
        <v>16</v>
      </c>
      <c r="AN31" s="12">
        <v>104195736</v>
      </c>
      <c r="AO31" s="12">
        <v>3256116.75</v>
      </c>
      <c r="AP31" s="12">
        <v>32529.21875</v>
      </c>
      <c r="AQ31" s="13">
        <v>36416736</v>
      </c>
      <c r="AR31" s="13">
        <v>23333952</v>
      </c>
      <c r="AS31" s="13">
        <v>1123898</v>
      </c>
      <c r="AT31" s="13">
        <v>11681352</v>
      </c>
      <c r="AU31" s="14">
        <v>47.775122000000003</v>
      </c>
      <c r="AV31" s="14">
        <v>48.075252999999996</v>
      </c>
      <c r="AW31" s="14">
        <v>36.029358999999999</v>
      </c>
      <c r="AX31" s="14">
        <v>42.173018999999996</v>
      </c>
      <c r="AY31" s="14">
        <v>44.142277999999997</v>
      </c>
      <c r="AZ31" s="15">
        <v>3736.63</v>
      </c>
      <c r="BA31" s="15">
        <v>2713.08</v>
      </c>
      <c r="BB31" s="15">
        <v>274.96300000000002</v>
      </c>
      <c r="BC31" s="15">
        <v>55.453000000000003</v>
      </c>
      <c r="BE31" s="50">
        <f t="shared" si="12"/>
        <v>5.308080189874957</v>
      </c>
      <c r="BF31" s="16">
        <f t="shared" si="13"/>
        <v>-4.6452398529008686E-3</v>
      </c>
      <c r="BG31" s="16">
        <f t="shared" si="14"/>
        <v>0.14322626408044137</v>
      </c>
      <c r="BH31" s="16"/>
      <c r="BJ31" s="50"/>
      <c r="BK31" s="50"/>
      <c r="BL31" s="50"/>
      <c r="BM31" s="50"/>
      <c r="BN31" s="50"/>
      <c r="BP31" s="50"/>
      <c r="BQ31" s="50"/>
      <c r="BR31" s="50"/>
      <c r="BS31" s="50"/>
      <c r="BT31" s="50"/>
      <c r="BV31" s="58">
        <f t="shared" si="16"/>
        <v>14338097</v>
      </c>
      <c r="BW31" s="58">
        <f t="shared" si="16"/>
        <v>448065.53125</v>
      </c>
      <c r="BX31" s="58">
        <f t="shared" si="16"/>
        <v>-8567.8125</v>
      </c>
      <c r="BY31" s="58">
        <f t="shared" si="16"/>
        <v>27696440</v>
      </c>
      <c r="BZ31" s="58">
        <f t="shared" si="16"/>
        <v>20153744</v>
      </c>
      <c r="CA31" s="58">
        <f t="shared" si="16"/>
        <v>-303558</v>
      </c>
      <c r="CB31" s="58">
        <f t="shared" si="16"/>
        <v>7568720</v>
      </c>
      <c r="CC31" s="58">
        <f t="shared" si="16"/>
        <v>-27.395561999999991</v>
      </c>
      <c r="CD31" s="58">
        <f t="shared" si="16"/>
        <v>-29.499988000000009</v>
      </c>
      <c r="CE31" s="58">
        <f t="shared" si="16"/>
        <v>-0.62136600000000186</v>
      </c>
      <c r="CF31" s="58">
        <f t="shared" si="16"/>
        <v>-0.50548400000000271</v>
      </c>
      <c r="CG31" s="58">
        <f t="shared" si="16"/>
        <v>-0.91024400000000583</v>
      </c>
      <c r="CJ31" t="s">
        <v>243</v>
      </c>
    </row>
    <row r="32" spans="1:88" outlineLevel="1" x14ac:dyDescent="0.2">
      <c r="A32" s="17"/>
      <c r="B32" s="17" t="s">
        <v>77</v>
      </c>
      <c r="C32" s="18" t="s">
        <v>235</v>
      </c>
      <c r="D32" s="17">
        <v>375422539</v>
      </c>
      <c r="E32" s="18">
        <v>11</v>
      </c>
      <c r="F32" s="18">
        <v>32</v>
      </c>
      <c r="G32" s="18">
        <v>30</v>
      </c>
      <c r="I32" s="19">
        <f t="shared" si="0"/>
        <v>12.6639</v>
      </c>
      <c r="J32" s="20">
        <f t="shared" si="1"/>
        <v>3.5981217419660573E-2</v>
      </c>
      <c r="K32" s="20">
        <f t="shared" si="2"/>
        <v>1.5579735877285728E-2</v>
      </c>
      <c r="L32" s="20">
        <f t="shared" si="3"/>
        <v>1.1777470824680562E-2</v>
      </c>
      <c r="M32" s="20">
        <f t="shared" si="4"/>
        <v>2.0401481542374846E-2</v>
      </c>
      <c r="N32" s="17">
        <f t="shared" si="5"/>
        <v>5848984</v>
      </c>
      <c r="O32" s="20">
        <v>16</v>
      </c>
      <c r="P32" s="21">
        <v>91814344</v>
      </c>
      <c r="Q32" s="21">
        <v>2869198.25</v>
      </c>
      <c r="R32" s="21">
        <v>44687.40625</v>
      </c>
      <c r="S32" s="22">
        <v>13508160</v>
      </c>
      <c r="T32" s="22">
        <v>4421528</v>
      </c>
      <c r="U32" s="22">
        <v>1427456</v>
      </c>
      <c r="V32" s="22">
        <v>7659176</v>
      </c>
      <c r="W32" s="23">
        <v>76.466316000000006</v>
      </c>
      <c r="X32" s="23">
        <v>79.123750000000001</v>
      </c>
      <c r="Y32" s="23">
        <v>38.406483999999999</v>
      </c>
      <c r="Z32" s="23">
        <v>43.205109</v>
      </c>
      <c r="AA32" s="23">
        <v>46.226287999999997</v>
      </c>
      <c r="AB32" s="24">
        <v>3779.57</v>
      </c>
      <c r="AC32" s="24">
        <v>3533.51</v>
      </c>
      <c r="AD32" s="24">
        <v>244.81399999999999</v>
      </c>
      <c r="AE32" s="24">
        <v>50.128</v>
      </c>
      <c r="AG32" s="19">
        <f t="shared" si="6"/>
        <v>46.125765000000001</v>
      </c>
      <c r="AH32" s="20">
        <f t="shared" si="7"/>
        <v>0.13105450762507362</v>
      </c>
      <c r="AI32" s="20">
        <f t="shared" si="8"/>
        <v>7.9658717560375347E-2</v>
      </c>
      <c r="AJ32" s="20">
        <f t="shared" si="9"/>
        <v>7.5151481515072269E-2</v>
      </c>
      <c r="AK32" s="20">
        <f t="shared" si="10"/>
        <v>5.2170101593181119E-2</v>
      </c>
      <c r="AL32" s="17">
        <f t="shared" si="11"/>
        <v>29905678</v>
      </c>
      <c r="AM32" s="20">
        <v>16</v>
      </c>
      <c r="AN32" s="21">
        <v>101161010</v>
      </c>
      <c r="AO32" s="21">
        <v>3161281.5625</v>
      </c>
      <c r="AP32" s="21">
        <v>36596.3125</v>
      </c>
      <c r="AQ32" s="22">
        <v>49200816</v>
      </c>
      <c r="AR32" s="22">
        <v>28213560</v>
      </c>
      <c r="AS32" s="22">
        <v>1692118</v>
      </c>
      <c r="AT32" s="22">
        <v>19585832</v>
      </c>
      <c r="AU32" s="23">
        <v>47.623272</v>
      </c>
      <c r="AV32" s="23">
        <v>47.923050000000003</v>
      </c>
      <c r="AW32" s="23">
        <v>38.230547000000001</v>
      </c>
      <c r="AX32" s="23">
        <v>42.791528</v>
      </c>
      <c r="AY32" s="23">
        <v>45.330575000000003</v>
      </c>
      <c r="AZ32" s="24">
        <v>4334.6899999999996</v>
      </c>
      <c r="BA32" s="24">
        <v>3817.51</v>
      </c>
      <c r="BB32" s="24">
        <v>309.22699999999998</v>
      </c>
      <c r="BC32" s="24">
        <v>80.576999999999998</v>
      </c>
      <c r="BE32" s="49">
        <f t="shared" si="12"/>
        <v>5.1129697055078278</v>
      </c>
      <c r="BF32" s="25">
        <f t="shared" si="13"/>
        <v>-3.9984591063316963E-3</v>
      </c>
      <c r="BG32" s="25">
        <f t="shared" si="14"/>
        <v>0.17483255084036731</v>
      </c>
      <c r="BH32" s="25"/>
      <c r="BJ32" s="49"/>
      <c r="BK32" s="49"/>
      <c r="BL32" s="49"/>
      <c r="BM32" s="49"/>
      <c r="BN32" s="49"/>
      <c r="BP32" s="49"/>
      <c r="BQ32" s="49"/>
      <c r="BR32" s="49"/>
      <c r="BS32" s="49"/>
      <c r="BT32" s="49"/>
      <c r="BV32" s="58">
        <f t="shared" si="16"/>
        <v>9346666</v>
      </c>
      <c r="BW32" s="58">
        <f t="shared" si="16"/>
        <v>292083.3125</v>
      </c>
      <c r="BX32" s="58">
        <f t="shared" si="16"/>
        <v>-8091.09375</v>
      </c>
      <c r="BY32" s="58">
        <f t="shared" si="16"/>
        <v>35692656</v>
      </c>
      <c r="BZ32" s="58">
        <f t="shared" si="16"/>
        <v>23792032</v>
      </c>
      <c r="CA32" s="58">
        <f t="shared" si="16"/>
        <v>264662</v>
      </c>
      <c r="CB32" s="58">
        <f t="shared" si="16"/>
        <v>11926656</v>
      </c>
      <c r="CC32" s="58">
        <f t="shared" si="16"/>
        <v>-28.843044000000006</v>
      </c>
      <c r="CD32" s="58">
        <f t="shared" si="16"/>
        <v>-31.200699999999998</v>
      </c>
      <c r="CE32" s="58">
        <f t="shared" si="16"/>
        <v>-0.17593699999999757</v>
      </c>
      <c r="CF32" s="58">
        <f t="shared" si="16"/>
        <v>-0.41358100000000064</v>
      </c>
      <c r="CG32" s="58">
        <f t="shared" si="16"/>
        <v>-0.89571299999999354</v>
      </c>
      <c r="CJ32" t="s">
        <v>243</v>
      </c>
    </row>
    <row r="33" spans="1:88" outlineLevel="1" x14ac:dyDescent="0.2">
      <c r="A33" s="52"/>
      <c r="B33" s="52" t="s">
        <v>77</v>
      </c>
      <c r="C33" s="9" t="s">
        <v>236</v>
      </c>
      <c r="D33" s="52">
        <v>375422539</v>
      </c>
      <c r="E33" s="9">
        <v>11</v>
      </c>
      <c r="F33" s="9">
        <v>32</v>
      </c>
      <c r="G33" s="9">
        <v>30</v>
      </c>
      <c r="I33" s="10">
        <f t="shared" si="0"/>
        <v>21.163305000000001</v>
      </c>
      <c r="J33" s="11">
        <f t="shared" si="1"/>
        <v>6.0130092508910341E-2</v>
      </c>
      <c r="K33" s="11">
        <f t="shared" si="2"/>
        <v>2.1049370187121344E-2</v>
      </c>
      <c r="L33" s="11">
        <f t="shared" si="3"/>
        <v>1.7247105134516178E-2</v>
      </c>
      <c r="M33" s="11">
        <f t="shared" si="4"/>
        <v>3.9080722321788997E-2</v>
      </c>
      <c r="N33" s="52">
        <f t="shared" si="5"/>
        <v>7902408</v>
      </c>
      <c r="O33" s="11">
        <v>16</v>
      </c>
      <c r="P33" s="12">
        <v>93918250</v>
      </c>
      <c r="Q33" s="12">
        <v>2934945.3125</v>
      </c>
      <c r="R33" s="12">
        <v>49412.375</v>
      </c>
      <c r="S33" s="13">
        <v>22574192</v>
      </c>
      <c r="T33" s="13">
        <v>6474952</v>
      </c>
      <c r="U33" s="13">
        <v>1427456</v>
      </c>
      <c r="V33" s="13">
        <v>14671784</v>
      </c>
      <c r="W33" s="14">
        <v>77.598421999999999</v>
      </c>
      <c r="X33" s="14">
        <v>80.328506000000004</v>
      </c>
      <c r="Y33" s="14">
        <v>40.000678000000001</v>
      </c>
      <c r="Z33" s="14">
        <v>43.908222000000002</v>
      </c>
      <c r="AA33" s="14">
        <v>47.816415999999997</v>
      </c>
      <c r="AB33" s="15">
        <v>4184.0600000000004</v>
      </c>
      <c r="AC33" s="15">
        <v>4723.45</v>
      </c>
      <c r="AD33" s="15">
        <v>269.44099999999997</v>
      </c>
      <c r="AE33" s="15">
        <v>71.043999999999997</v>
      </c>
      <c r="AG33" s="10">
        <f t="shared" si="6"/>
        <v>64.837432500000006</v>
      </c>
      <c r="AH33" s="11">
        <f t="shared" si="7"/>
        <v>0.18421890221140932</v>
      </c>
      <c r="AI33" s="11">
        <f t="shared" si="8"/>
        <v>9.8034494940113334E-2</v>
      </c>
      <c r="AJ33" s="11">
        <f t="shared" si="9"/>
        <v>9.0964639712268314E-2</v>
      </c>
      <c r="AK33" s="11">
        <f t="shared" si="10"/>
        <v>8.9521337982320773E-2</v>
      </c>
      <c r="AL33" s="52">
        <f t="shared" si="11"/>
        <v>36804359</v>
      </c>
      <c r="AM33" s="11">
        <v>16</v>
      </c>
      <c r="AN33" s="12">
        <v>98786860</v>
      </c>
      <c r="AO33" s="12">
        <v>3087089.375</v>
      </c>
      <c r="AP33" s="12">
        <v>38974.5</v>
      </c>
      <c r="AQ33" s="13">
        <v>69159928</v>
      </c>
      <c r="AR33" s="13">
        <v>34150176</v>
      </c>
      <c r="AS33" s="13">
        <v>2654183</v>
      </c>
      <c r="AT33" s="13">
        <v>33608328</v>
      </c>
      <c r="AU33" s="14">
        <v>47.505527999999998</v>
      </c>
      <c r="AV33" s="14">
        <v>47.804887000000001</v>
      </c>
      <c r="AW33" s="14">
        <v>40.089731</v>
      </c>
      <c r="AX33" s="14">
        <v>43.653303000000001</v>
      </c>
      <c r="AY33" s="14">
        <v>46.940147000000003</v>
      </c>
      <c r="AZ33" s="15">
        <v>4504.8500000000004</v>
      </c>
      <c r="BA33" s="15">
        <v>4019.15</v>
      </c>
      <c r="BB33" s="15">
        <v>300.72699999999998</v>
      </c>
      <c r="BC33" s="15">
        <v>83.763000000000005</v>
      </c>
      <c r="BE33" s="50">
        <f t="shared" si="12"/>
        <v>4.6573600097590511</v>
      </c>
      <c r="BF33" s="16">
        <f t="shared" si="13"/>
        <v>-4.2108769696195536E-3</v>
      </c>
      <c r="BG33" s="16">
        <f t="shared" si="14"/>
        <v>0.18209923614826207</v>
      </c>
      <c r="BH33" s="16"/>
      <c r="BJ33" s="50"/>
      <c r="BK33" s="50"/>
      <c r="BL33" s="50"/>
      <c r="BM33" s="50"/>
      <c r="BN33" s="50"/>
      <c r="BP33" s="50"/>
      <c r="BQ33" s="50"/>
      <c r="BR33" s="50"/>
      <c r="BS33" s="50"/>
      <c r="BT33" s="50"/>
      <c r="BV33" s="58">
        <f t="shared" si="16"/>
        <v>4868610</v>
      </c>
      <c r="BW33" s="58">
        <f t="shared" si="16"/>
        <v>152144.0625</v>
      </c>
      <c r="BX33" s="58">
        <f t="shared" si="16"/>
        <v>-10437.875</v>
      </c>
      <c r="BY33" s="58">
        <f t="shared" si="16"/>
        <v>46585736</v>
      </c>
      <c r="BZ33" s="58">
        <f t="shared" si="16"/>
        <v>27675224</v>
      </c>
      <c r="CA33" s="58">
        <f t="shared" si="16"/>
        <v>1226727</v>
      </c>
      <c r="CB33" s="58">
        <f t="shared" si="16"/>
        <v>18936544</v>
      </c>
      <c r="CC33" s="58">
        <f t="shared" si="16"/>
        <v>-30.092894000000001</v>
      </c>
      <c r="CD33" s="58">
        <f t="shared" si="16"/>
        <v>-32.523619000000004</v>
      </c>
      <c r="CE33" s="58">
        <f t="shared" si="16"/>
        <v>8.9052999999999827E-2</v>
      </c>
      <c r="CF33" s="58">
        <f t="shared" si="16"/>
        <v>-0.25491900000000101</v>
      </c>
      <c r="CG33" s="58">
        <f t="shared" si="16"/>
        <v>-0.87626899999999353</v>
      </c>
      <c r="CJ33" t="s">
        <v>243</v>
      </c>
    </row>
    <row r="34" spans="1:88" ht="16" outlineLevel="1" thickBot="1" x14ac:dyDescent="0.25">
      <c r="A34" s="17"/>
      <c r="B34" s="36" t="s">
        <v>77</v>
      </c>
      <c r="C34" s="37" t="s">
        <v>237</v>
      </c>
      <c r="D34" s="36">
        <v>375422539</v>
      </c>
      <c r="E34" s="37">
        <v>11</v>
      </c>
      <c r="F34" s="37">
        <v>32</v>
      </c>
      <c r="G34" s="37">
        <v>30</v>
      </c>
      <c r="I34" s="38">
        <f t="shared" si="0"/>
        <v>39.830572500000002</v>
      </c>
      <c r="J34" s="39">
        <f t="shared" si="1"/>
        <v>0.11316833590537301</v>
      </c>
      <c r="K34" s="39">
        <f t="shared" si="2"/>
        <v>3.3717187129246921E-2</v>
      </c>
      <c r="L34" s="39">
        <f t="shared" si="3"/>
        <v>2.6181230424207429E-2</v>
      </c>
      <c r="M34" s="39">
        <f t="shared" si="4"/>
        <v>7.9451148776126093E-2</v>
      </c>
      <c r="N34" s="36">
        <f t="shared" si="5"/>
        <v>12658192</v>
      </c>
      <c r="O34" s="39">
        <v>16</v>
      </c>
      <c r="P34" s="40">
        <v>92079625</v>
      </c>
      <c r="Q34" s="40">
        <v>2877488.28125</v>
      </c>
      <c r="R34" s="40">
        <v>21318.28125</v>
      </c>
      <c r="S34" s="41">
        <v>42485944</v>
      </c>
      <c r="T34" s="41">
        <v>9829024</v>
      </c>
      <c r="U34" s="41">
        <v>2829168</v>
      </c>
      <c r="V34" s="41">
        <v>29827752</v>
      </c>
      <c r="W34" s="42">
        <v>78.535988000000003</v>
      </c>
      <c r="X34" s="42">
        <v>81.998384000000001</v>
      </c>
      <c r="Y34" s="42">
        <v>41.515903000000002</v>
      </c>
      <c r="Z34" s="42">
        <v>44.700215999999998</v>
      </c>
      <c r="AA34" s="42">
        <v>49.230597000000003</v>
      </c>
      <c r="AB34" s="43">
        <v>3523.12</v>
      </c>
      <c r="AC34" s="43">
        <v>3798.45</v>
      </c>
      <c r="AD34" s="43">
        <v>223.96600000000001</v>
      </c>
      <c r="AE34" s="43">
        <v>50.738999999999997</v>
      </c>
      <c r="AG34" s="38">
        <f t="shared" si="6"/>
        <v>105.39438</v>
      </c>
      <c r="AH34" s="39">
        <f t="shared" si="7"/>
        <v>0.2994510460119178</v>
      </c>
      <c r="AI34" s="39">
        <f t="shared" si="8"/>
        <v>0.13516037192428662</v>
      </c>
      <c r="AJ34" s="39">
        <f t="shared" si="9"/>
        <v>0.12199604243793152</v>
      </c>
      <c r="AK34" s="39">
        <f t="shared" si="10"/>
        <v>0.16998819562082818</v>
      </c>
      <c r="AL34" s="36">
        <f t="shared" si="11"/>
        <v>50742250</v>
      </c>
      <c r="AM34" s="39">
        <v>16</v>
      </c>
      <c r="AN34" s="40">
        <v>94313402</v>
      </c>
      <c r="AO34" s="40">
        <v>2947293.8125</v>
      </c>
      <c r="AP34" s="40">
        <v>20056.3125</v>
      </c>
      <c r="AQ34" s="41">
        <v>112420672</v>
      </c>
      <c r="AR34" s="41">
        <v>45800064</v>
      </c>
      <c r="AS34" s="41">
        <v>4942186</v>
      </c>
      <c r="AT34" s="41">
        <v>63817400</v>
      </c>
      <c r="AU34" s="42">
        <v>51.908715999999998</v>
      </c>
      <c r="AV34" s="42">
        <v>52.215958999999998</v>
      </c>
      <c r="AW34" s="42">
        <v>41.737274999999997</v>
      </c>
      <c r="AX34" s="42">
        <v>44.608750000000001</v>
      </c>
      <c r="AY34" s="42">
        <v>48.568575000000003</v>
      </c>
      <c r="AZ34" s="43">
        <v>3432.49</v>
      </c>
      <c r="BA34" s="43">
        <v>3170.43</v>
      </c>
      <c r="BB34" s="43">
        <v>249.77500000000001</v>
      </c>
      <c r="BC34" s="43">
        <v>62.55</v>
      </c>
      <c r="BE34" s="44">
        <f t="shared" si="12"/>
        <v>4.0086491024942577</v>
      </c>
      <c r="BF34" s="45">
        <f t="shared" si="13"/>
        <v>-6.036496770194166E-4</v>
      </c>
      <c r="BG34" s="45">
        <f t="shared" si="14"/>
        <v>0.15342214481809952</v>
      </c>
      <c r="BH34" s="45"/>
      <c r="BJ34" s="44"/>
      <c r="BK34" s="44"/>
      <c r="BL34" s="44"/>
      <c r="BM34" s="44"/>
      <c r="BN34" s="44"/>
      <c r="BP34" s="44"/>
      <c r="BQ34" s="44"/>
      <c r="BR34" s="44"/>
      <c r="BS34" s="44"/>
      <c r="BT34" s="44"/>
      <c r="BV34" s="58">
        <f t="shared" si="16"/>
        <v>2233777</v>
      </c>
      <c r="BW34" s="58">
        <f t="shared" si="16"/>
        <v>69805.53125</v>
      </c>
      <c r="BX34" s="58">
        <f t="shared" si="16"/>
        <v>-1261.96875</v>
      </c>
      <c r="BY34" s="58">
        <f t="shared" si="16"/>
        <v>69934728</v>
      </c>
      <c r="BZ34" s="58">
        <f t="shared" si="16"/>
        <v>35971040</v>
      </c>
      <c r="CA34" s="58">
        <f t="shared" si="16"/>
        <v>2113018</v>
      </c>
      <c r="CB34" s="58">
        <f t="shared" si="16"/>
        <v>33989648</v>
      </c>
      <c r="CC34" s="58">
        <f t="shared" si="16"/>
        <v>-26.627272000000005</v>
      </c>
      <c r="CD34" s="58">
        <f t="shared" si="16"/>
        <v>-29.782425000000003</v>
      </c>
      <c r="CE34" s="58">
        <f t="shared" si="16"/>
        <v>0.22137199999999524</v>
      </c>
      <c r="CF34" s="58">
        <f t="shared" si="16"/>
        <v>-9.1465999999996939E-2</v>
      </c>
      <c r="CG34" s="58">
        <f t="shared" si="16"/>
        <v>-0.66202200000000033</v>
      </c>
      <c r="CJ34" t="s">
        <v>243</v>
      </c>
    </row>
    <row r="35" spans="1:88" x14ac:dyDescent="0.2">
      <c r="A35" s="52"/>
      <c r="B35" s="52" t="s">
        <v>82</v>
      </c>
      <c r="C35" s="9" t="s">
        <v>232</v>
      </c>
      <c r="D35" s="52">
        <v>333190689</v>
      </c>
      <c r="E35" s="9">
        <v>11</v>
      </c>
      <c r="F35" s="9">
        <v>32</v>
      </c>
      <c r="G35" s="9">
        <v>30</v>
      </c>
      <c r="I35" s="10">
        <f t="shared" si="0"/>
        <v>6.3759674999999998</v>
      </c>
      <c r="J35" s="11">
        <f t="shared" si="1"/>
        <v>2.0411830896030832E-2</v>
      </c>
      <c r="K35" s="11">
        <f t="shared" si="2"/>
        <v>1.1829190100807409E-2</v>
      </c>
      <c r="L35" s="11">
        <f t="shared" si="3"/>
        <v>7.2102134882886838E-3</v>
      </c>
      <c r="M35" s="11">
        <f t="shared" si="4"/>
        <v>8.5826407952234226E-3</v>
      </c>
      <c r="N35" s="52">
        <f t="shared" si="5"/>
        <v>3941376</v>
      </c>
      <c r="O35" s="11">
        <v>16</v>
      </c>
      <c r="P35" s="12">
        <v>74688855</v>
      </c>
      <c r="Q35" s="12">
        <v>2334026.71875</v>
      </c>
      <c r="R35" s="12">
        <v>31011.90625</v>
      </c>
      <c r="S35" s="13">
        <v>6801032</v>
      </c>
      <c r="T35" s="13">
        <v>2402376</v>
      </c>
      <c r="U35" s="13">
        <v>1539000</v>
      </c>
      <c r="V35" s="13">
        <v>2859656</v>
      </c>
      <c r="W35" s="14">
        <v>73.191281000000004</v>
      </c>
      <c r="X35" s="14">
        <v>75.430569000000006</v>
      </c>
      <c r="Y35" s="14">
        <v>33.996271999999998</v>
      </c>
      <c r="Z35" s="14">
        <v>42.563065999999999</v>
      </c>
      <c r="AA35" s="14">
        <v>44.049106000000002</v>
      </c>
      <c r="AB35" s="15">
        <v>3820.07</v>
      </c>
      <c r="AC35" s="15">
        <v>5094.67</v>
      </c>
      <c r="AD35" s="15">
        <v>220.86799999999999</v>
      </c>
      <c r="AE35" s="15">
        <v>77.695999999999998</v>
      </c>
      <c r="AG35" s="10">
        <f t="shared" si="6"/>
        <v>28.876732499999999</v>
      </c>
      <c r="AH35" s="11">
        <f t="shared" si="7"/>
        <v>9.2445104310823048E-2</v>
      </c>
      <c r="AI35" s="11">
        <f t="shared" si="8"/>
        <v>6.4808503697412742E-2</v>
      </c>
      <c r="AJ35" s="11">
        <f t="shared" si="9"/>
        <v>6.2077124850268547E-2</v>
      </c>
      <c r="AK35" s="11">
        <f t="shared" si="10"/>
        <v>2.5838945337395069E-2</v>
      </c>
      <c r="AL35" s="52">
        <f t="shared" si="11"/>
        <v>21593590</v>
      </c>
      <c r="AM35" s="11">
        <v>16</v>
      </c>
      <c r="AN35" s="12">
        <v>97510736</v>
      </c>
      <c r="AO35" s="12">
        <v>3047210.5</v>
      </c>
      <c r="AP35" s="12">
        <v>27596.59375</v>
      </c>
      <c r="AQ35" s="13">
        <v>30801848</v>
      </c>
      <c r="AR35" s="13">
        <v>20683520</v>
      </c>
      <c r="AS35" s="13">
        <v>910070</v>
      </c>
      <c r="AT35" s="13">
        <v>8609296</v>
      </c>
      <c r="AU35" s="14">
        <v>46.119540999999998</v>
      </c>
      <c r="AV35" s="14">
        <v>46.492565999999997</v>
      </c>
      <c r="AW35" s="14">
        <v>32.722306000000003</v>
      </c>
      <c r="AX35" s="14">
        <v>41.927441000000002</v>
      </c>
      <c r="AY35" s="14">
        <v>43.081077999999998</v>
      </c>
      <c r="AZ35" s="15">
        <v>3356.35</v>
      </c>
      <c r="BA35" s="15">
        <v>4040.97</v>
      </c>
      <c r="BB35" s="15">
        <v>263.56400000000002</v>
      </c>
      <c r="BC35" s="15">
        <v>76.007999999999996</v>
      </c>
      <c r="BE35" s="50">
        <f t="shared" si="12"/>
        <v>5.4786932279488179</v>
      </c>
      <c r="BF35" s="16">
        <f t="shared" si="13"/>
        <v>-4.2305221997133106E-3</v>
      </c>
      <c r="BG35" s="16">
        <f t="shared" si="14"/>
        <v>0.12152235547537393</v>
      </c>
      <c r="BH35" s="16">
        <f t="array" ref="BH35">AVERAGE(AL35:AL39/AQ35:AQ39) - AVERAGE(N35:N39/S35:S39)</f>
        <v>0.16310460597093701</v>
      </c>
      <c r="BJ35" s="50">
        <f>IF( OR(ISBLANK(N35:N39),ISBLANK(AL35:AL39), ISBLANK(W35:W39),ISBLANK(AU35:AU39)), "·", bdRateExtend( N35:N39,W35:W39, AL35:AL39,AU35:AU39))</f>
        <v>1</v>
      </c>
      <c r="BK35" s="50">
        <f>IF( OR(ISBLANK(N35:N39),ISBLANK(AL35:AL39), ISBLANK(X35:X39),ISBLANK(AV35:AV39)), "·", bdRateExtend( N35:N39,X35:X39, AL35:AL39,AV35:AV39))</f>
        <v>1</v>
      </c>
      <c r="BL35" s="50">
        <f>IF( OR(ISBLANK(V35:V39),ISBLANK(AT35:AT39), ISBLANK(Y35:Y39),ISBLANK(AW35:AW39)), "·", bdRateExtend( V35:V39,Y35:Y39, AT35:AT39,AW35:AW39))</f>
        <v>1.8309405276556103</v>
      </c>
      <c r="BM35" s="50">
        <f>IF( OR(ISBLANK(V35:V39),ISBLANK(AT35:AT39), ISBLANK(Z35:Z39),ISBLANK(AX35:AX39)), "·", bdRateExtend( V35:V39,Z35:Z39, AT35:AT39,AX35:AX39))</f>
        <v>2.1000451200016141</v>
      </c>
      <c r="BN35" s="50">
        <f>IF( OR(ISBLANK(V35:V39),ISBLANK(AT35:AT39), ISBLANK(AA35:AA39),ISBLANK(AY35:AY39)), "·", bdRateExtend( V35:V39,AA35:AA39, AT35:AT39,AY35:AY39))</f>
        <v>2.7161593816425431</v>
      </c>
      <c r="BP35" s="50">
        <f>IF( OR(ISBLANK(S35:S39),ISBLANK(AQ35:AQ39), ISBLANK(W35:W39),ISBLANK(AU35:AU39)), "·", bdRateExtend( S35:S39,W35:W39, AQ35:AQ39,AU35:AU39))</f>
        <v>1</v>
      </c>
      <c r="BQ35" s="50">
        <f>IF( OR(ISBLANK(S35:S39),ISBLANK(AQ35:AQ39), ISBLANK(X35:X39),ISBLANK(AV35:AV39)), "·", bdRateExtend( S35:S39,X35:X39, AQ35:AQ39,AV35:AV39))</f>
        <v>1</v>
      </c>
      <c r="BR35" s="50">
        <f>IF( OR(ISBLANK(S35:S39),ISBLANK(AQ35:AQ39), ISBLANK(Y35:Y39),ISBLANK(AW35:AW39)), "·", bdRateExtend( S35:S39,Y35:Y39, AQ35:AQ39,AW35:AW39))</f>
        <v>2.8539158699524907</v>
      </c>
      <c r="BS35" s="50">
        <f>IF( OR(ISBLANK(S35:S39),ISBLANK(AQ35:AQ39), ISBLANK(Z35:Z39),ISBLANK(AX35:AX39)), "·", bdRateExtend( S35:S39,Z35:Z39, AQ35:AQ39,AX35:AX39))</f>
        <v>2.993874123352195</v>
      </c>
      <c r="BT35" s="50">
        <f>IF( OR(ISBLANK(S35:S39),ISBLANK(AQ35:AQ39), ISBLANK(AA35:AA39),ISBLANK(AY35:AY39)), "·", bdRateExtend( S35:S39,AA35:AA39, AQ35:AQ39,AY35:AY39))</f>
        <v>3.6696660232637539</v>
      </c>
      <c r="BV35" s="58">
        <f t="shared" si="16"/>
        <v>22821881</v>
      </c>
      <c r="BW35" s="58">
        <f t="shared" si="16"/>
        <v>713183.78125</v>
      </c>
      <c r="BX35" s="58">
        <f t="shared" si="16"/>
        <v>-3415.3125</v>
      </c>
      <c r="BY35" s="58">
        <f t="shared" si="16"/>
        <v>24000816</v>
      </c>
      <c r="BZ35" s="58">
        <f t="shared" si="16"/>
        <v>18281144</v>
      </c>
      <c r="CA35" s="58">
        <f t="shared" si="16"/>
        <v>-628930</v>
      </c>
      <c r="CB35" s="58">
        <f t="shared" si="16"/>
        <v>5749640</v>
      </c>
      <c r="CC35" s="58">
        <f t="shared" si="16"/>
        <v>-27.071740000000005</v>
      </c>
      <c r="CD35" s="58">
        <f t="shared" si="16"/>
        <v>-28.938003000000009</v>
      </c>
      <c r="CE35" s="58">
        <f t="shared" si="16"/>
        <v>-1.2739659999999944</v>
      </c>
      <c r="CF35" s="58">
        <f t="shared" si="16"/>
        <v>-0.63562499999999744</v>
      </c>
      <c r="CG35" s="58">
        <f t="shared" si="16"/>
        <v>-0.96802800000000389</v>
      </c>
      <c r="CJ35" t="s">
        <v>244</v>
      </c>
    </row>
    <row r="36" spans="1:88" outlineLevel="1" x14ac:dyDescent="0.2">
      <c r="A36" s="17"/>
      <c r="B36" s="17" t="s">
        <v>82</v>
      </c>
      <c r="C36" s="18" t="s">
        <v>234</v>
      </c>
      <c r="D36" s="17">
        <v>333190689</v>
      </c>
      <c r="E36" s="18">
        <v>11</v>
      </c>
      <c r="F36" s="18">
        <v>32</v>
      </c>
      <c r="G36" s="18">
        <v>30</v>
      </c>
      <c r="I36" s="19">
        <f t="shared" si="0"/>
        <v>9.0721050000000005</v>
      </c>
      <c r="J36" s="20">
        <f t="shared" si="1"/>
        <v>2.9043164528526184E-2</v>
      </c>
      <c r="K36" s="20">
        <f t="shared" si="2"/>
        <v>1.4424772836314163E-2</v>
      </c>
      <c r="L36" s="20">
        <f t="shared" si="3"/>
        <v>9.8057962237954373E-3</v>
      </c>
      <c r="M36" s="20">
        <f t="shared" si="4"/>
        <v>1.4618391692212023E-2</v>
      </c>
      <c r="N36" s="17">
        <f t="shared" si="5"/>
        <v>4806200</v>
      </c>
      <c r="O36" s="20">
        <v>16</v>
      </c>
      <c r="P36" s="21">
        <v>79945808</v>
      </c>
      <c r="Q36" s="21">
        <v>2498306.5</v>
      </c>
      <c r="R36" s="21">
        <v>39523.15625</v>
      </c>
      <c r="S36" s="22">
        <v>9676912</v>
      </c>
      <c r="T36" s="22">
        <v>3267200</v>
      </c>
      <c r="U36" s="22">
        <v>1539000</v>
      </c>
      <c r="V36" s="22">
        <v>4870712</v>
      </c>
      <c r="W36" s="23">
        <v>74.930581000000004</v>
      </c>
      <c r="X36" s="23">
        <v>77.358816000000004</v>
      </c>
      <c r="Y36" s="23">
        <v>36.098925000000001</v>
      </c>
      <c r="Z36" s="23">
        <v>43.168593999999999</v>
      </c>
      <c r="AA36" s="23">
        <v>45.335743999999998</v>
      </c>
      <c r="AB36" s="24">
        <v>3473.88</v>
      </c>
      <c r="AC36" s="24">
        <v>5003.67</v>
      </c>
      <c r="AD36" s="24">
        <v>204.95400000000001</v>
      </c>
      <c r="AE36" s="24">
        <v>67.701999999999998</v>
      </c>
      <c r="AG36" s="19">
        <f t="shared" si="6"/>
        <v>37.859580000000001</v>
      </c>
      <c r="AH36" s="20">
        <f t="shared" si="7"/>
        <v>0.12120252255908628</v>
      </c>
      <c r="AI36" s="20">
        <f t="shared" si="8"/>
        <v>7.9409833088102885E-2</v>
      </c>
      <c r="AJ36" s="20">
        <f t="shared" si="9"/>
        <v>7.5512194159783372E-2</v>
      </c>
      <c r="AK36" s="20">
        <f t="shared" si="10"/>
        <v>4.1161318286418259E-2</v>
      </c>
      <c r="AL36" s="17">
        <f t="shared" si="11"/>
        <v>26458617</v>
      </c>
      <c r="AM36" s="20">
        <v>16</v>
      </c>
      <c r="AN36" s="21">
        <v>93940743</v>
      </c>
      <c r="AO36" s="21">
        <v>2935648.21875</v>
      </c>
      <c r="AP36" s="21">
        <v>33344.5625</v>
      </c>
      <c r="AQ36" s="22">
        <v>40383552</v>
      </c>
      <c r="AR36" s="22">
        <v>25159960</v>
      </c>
      <c r="AS36" s="22">
        <v>1298657</v>
      </c>
      <c r="AT36" s="22">
        <v>13714568</v>
      </c>
      <c r="AU36" s="23">
        <v>45.910828000000002</v>
      </c>
      <c r="AV36" s="23">
        <v>46.283999999999999</v>
      </c>
      <c r="AW36" s="23">
        <v>35.306711999999997</v>
      </c>
      <c r="AX36" s="23">
        <v>42.656858999999997</v>
      </c>
      <c r="AY36" s="23">
        <v>44.340544000000001</v>
      </c>
      <c r="AZ36" s="24">
        <v>3385.21</v>
      </c>
      <c r="BA36" s="24">
        <v>4230.97</v>
      </c>
      <c r="BB36" s="24">
        <v>262.24299999999999</v>
      </c>
      <c r="BC36" s="24">
        <v>83.39</v>
      </c>
      <c r="BE36" s="49">
        <f t="shared" si="12"/>
        <v>5.5051011193874571</v>
      </c>
      <c r="BF36" s="25">
        <f t="shared" si="13"/>
        <v>-4.4614782018384206E-3</v>
      </c>
      <c r="BG36" s="25">
        <f t="shared" si="14"/>
        <v>0.15851630094377589</v>
      </c>
      <c r="BH36" s="25"/>
      <c r="BJ36" s="49"/>
      <c r="BK36" s="49"/>
      <c r="BL36" s="49"/>
      <c r="BM36" s="49"/>
      <c r="BN36" s="49"/>
      <c r="BP36" s="49"/>
      <c r="BQ36" s="49"/>
      <c r="BR36" s="49"/>
      <c r="BS36" s="49"/>
      <c r="BT36" s="49"/>
      <c r="BV36" s="58">
        <f t="shared" si="16"/>
        <v>13994935</v>
      </c>
      <c r="BW36" s="58">
        <f t="shared" si="16"/>
        <v>437341.71875</v>
      </c>
      <c r="BX36" s="58">
        <f t="shared" si="16"/>
        <v>-6178.59375</v>
      </c>
      <c r="BY36" s="58">
        <f t="shared" si="16"/>
        <v>30706640</v>
      </c>
      <c r="BZ36" s="58">
        <f t="shared" si="16"/>
        <v>21892760</v>
      </c>
      <c r="CA36" s="58">
        <f t="shared" si="16"/>
        <v>-240343</v>
      </c>
      <c r="CB36" s="58">
        <f t="shared" si="16"/>
        <v>8843856</v>
      </c>
      <c r="CC36" s="58">
        <f t="shared" si="16"/>
        <v>-29.019753000000001</v>
      </c>
      <c r="CD36" s="58">
        <f t="shared" si="16"/>
        <v>-31.074816000000006</v>
      </c>
      <c r="CE36" s="58">
        <f t="shared" si="16"/>
        <v>-0.79221300000000383</v>
      </c>
      <c r="CF36" s="58">
        <f t="shared" si="16"/>
        <v>-0.51173500000000161</v>
      </c>
      <c r="CG36" s="58">
        <f t="shared" si="16"/>
        <v>-0.99519999999999698</v>
      </c>
      <c r="CJ36" t="s">
        <v>244</v>
      </c>
    </row>
    <row r="37" spans="1:88" outlineLevel="1" x14ac:dyDescent="0.2">
      <c r="A37" s="52"/>
      <c r="B37" s="52" t="s">
        <v>82</v>
      </c>
      <c r="C37" s="9" t="s">
        <v>235</v>
      </c>
      <c r="D37" s="52">
        <v>333190689</v>
      </c>
      <c r="E37" s="9">
        <v>11</v>
      </c>
      <c r="F37" s="9">
        <v>32</v>
      </c>
      <c r="G37" s="9">
        <v>30</v>
      </c>
      <c r="I37" s="10">
        <f t="shared" si="0"/>
        <v>13.780492499999999</v>
      </c>
      <c r="J37" s="11">
        <f t="shared" si="1"/>
        <v>4.411645488688911E-2</v>
      </c>
      <c r="K37" s="11">
        <f t="shared" si="2"/>
        <v>1.8223870595615595E-2</v>
      </c>
      <c r="L37" s="11">
        <f t="shared" si="3"/>
        <v>1.3604893983096869E-2</v>
      </c>
      <c r="M37" s="11">
        <f t="shared" si="4"/>
        <v>2.5892584291273519E-2</v>
      </c>
      <c r="N37" s="52">
        <f t="shared" si="5"/>
        <v>6072024</v>
      </c>
      <c r="O37" s="11">
        <v>16</v>
      </c>
      <c r="P37" s="12">
        <v>81780101</v>
      </c>
      <c r="Q37" s="12">
        <v>2555628.15625</v>
      </c>
      <c r="R37" s="12">
        <v>43014.71875</v>
      </c>
      <c r="S37" s="13">
        <v>14699192</v>
      </c>
      <c r="T37" s="13">
        <v>4533024</v>
      </c>
      <c r="U37" s="13">
        <v>1539000</v>
      </c>
      <c r="V37" s="13">
        <v>8627168</v>
      </c>
      <c r="W37" s="14">
        <v>76.238812999999993</v>
      </c>
      <c r="X37" s="14">
        <v>78.941209000000001</v>
      </c>
      <c r="Y37" s="14">
        <v>37.928058999999998</v>
      </c>
      <c r="Z37" s="14">
        <v>43.745263000000001</v>
      </c>
      <c r="AA37" s="14">
        <v>46.492668999999999</v>
      </c>
      <c r="AB37" s="15">
        <v>3541.6</v>
      </c>
      <c r="AC37" s="15">
        <v>4886.43</v>
      </c>
      <c r="AD37" s="15">
        <v>228.78299999999999</v>
      </c>
      <c r="AE37" s="15">
        <v>75.295000000000002</v>
      </c>
      <c r="AG37" s="10">
        <f t="shared" si="6"/>
        <v>50.562690000000003</v>
      </c>
      <c r="AH37" s="11">
        <f t="shared" si="7"/>
        <v>0.16186987746227205</v>
      </c>
      <c r="AI37" s="11">
        <f t="shared" si="8"/>
        <v>9.6644495368836666E-2</v>
      </c>
      <c r="AJ37" s="11">
        <f t="shared" si="9"/>
        <v>9.0946046814651529E-2</v>
      </c>
      <c r="AK37" s="11">
        <f t="shared" si="10"/>
        <v>6.6394796524461105E-2</v>
      </c>
      <c r="AL37" s="52">
        <f t="shared" si="11"/>
        <v>32201046</v>
      </c>
      <c r="AM37" s="11">
        <v>16</v>
      </c>
      <c r="AN37" s="12">
        <v>91149743</v>
      </c>
      <c r="AO37" s="12">
        <v>2848429.46875</v>
      </c>
      <c r="AP37" s="12">
        <v>37019.4375</v>
      </c>
      <c r="AQ37" s="13">
        <v>53933536</v>
      </c>
      <c r="AR37" s="13">
        <v>30302376</v>
      </c>
      <c r="AS37" s="13">
        <v>1898670</v>
      </c>
      <c r="AT37" s="13">
        <v>22122128</v>
      </c>
      <c r="AU37" s="14">
        <v>45.756068999999997</v>
      </c>
      <c r="AV37" s="14">
        <v>46.129005999999997</v>
      </c>
      <c r="AW37" s="14">
        <v>37.580122000000003</v>
      </c>
      <c r="AX37" s="14">
        <v>43.340890999999999</v>
      </c>
      <c r="AY37" s="14">
        <v>45.510494000000001</v>
      </c>
      <c r="AZ37" s="15">
        <v>3872.82</v>
      </c>
      <c r="BA37" s="15">
        <v>5464.49</v>
      </c>
      <c r="BB37" s="15">
        <v>284.10899999999998</v>
      </c>
      <c r="BC37" s="15">
        <v>114.214</v>
      </c>
      <c r="BE37" s="50">
        <f t="shared" si="12"/>
        <v>5.3031816079778338</v>
      </c>
      <c r="BF37" s="16">
        <f t="shared" si="13"/>
        <v>-3.8349301258435737E-3</v>
      </c>
      <c r="BG37" s="16">
        <f t="shared" si="14"/>
        <v>0.18396496250011518</v>
      </c>
      <c r="BH37" s="16"/>
      <c r="BJ37" s="50"/>
      <c r="BK37" s="50"/>
      <c r="BL37" s="50"/>
      <c r="BM37" s="50"/>
      <c r="BN37" s="50"/>
      <c r="BP37" s="50"/>
      <c r="BQ37" s="50"/>
      <c r="BR37" s="50"/>
      <c r="BS37" s="50"/>
      <c r="BT37" s="50"/>
      <c r="BV37" s="58">
        <f t="shared" si="16"/>
        <v>9369642</v>
      </c>
      <c r="BW37" s="58">
        <f t="shared" si="16"/>
        <v>292801.3125</v>
      </c>
      <c r="BX37" s="58">
        <f t="shared" si="16"/>
        <v>-5995.28125</v>
      </c>
      <c r="BY37" s="58">
        <f t="shared" si="16"/>
        <v>39234344</v>
      </c>
      <c r="BZ37" s="58">
        <f t="shared" si="16"/>
        <v>25769352</v>
      </c>
      <c r="CA37" s="58">
        <f t="shared" si="16"/>
        <v>359670</v>
      </c>
      <c r="CB37" s="58">
        <f t="shared" si="16"/>
        <v>13494960</v>
      </c>
      <c r="CC37" s="58">
        <f t="shared" si="16"/>
        <v>-30.482743999999997</v>
      </c>
      <c r="CD37" s="58">
        <f t="shared" si="16"/>
        <v>-32.812203000000004</v>
      </c>
      <c r="CE37" s="58">
        <f t="shared" si="16"/>
        <v>-0.34793699999999461</v>
      </c>
      <c r="CF37" s="58">
        <f t="shared" si="16"/>
        <v>-0.40437200000000217</v>
      </c>
      <c r="CG37" s="58">
        <f t="shared" si="16"/>
        <v>-0.98217499999999802</v>
      </c>
      <c r="CJ37" t="s">
        <v>244</v>
      </c>
    </row>
    <row r="38" spans="1:88" outlineLevel="1" x14ac:dyDescent="0.2">
      <c r="A38" s="17"/>
      <c r="B38" s="17" t="s">
        <v>82</v>
      </c>
      <c r="C38" s="18" t="s">
        <v>236</v>
      </c>
      <c r="D38" s="17">
        <v>333190689</v>
      </c>
      <c r="E38" s="18">
        <v>11</v>
      </c>
      <c r="F38" s="18">
        <v>32</v>
      </c>
      <c r="G38" s="18">
        <v>30</v>
      </c>
      <c r="I38" s="19">
        <f t="shared" si="0"/>
        <v>23.020612499999999</v>
      </c>
      <c r="J38" s="20">
        <f t="shared" si="1"/>
        <v>7.3697497591236713E-2</v>
      </c>
      <c r="K38" s="20">
        <f t="shared" si="2"/>
        <v>2.4418401439783331E-2</v>
      </c>
      <c r="L38" s="20">
        <f t="shared" si="3"/>
        <v>1.9799424827264607E-2</v>
      </c>
      <c r="M38" s="20">
        <f t="shared" si="4"/>
        <v>4.9279096151453379E-2</v>
      </c>
      <c r="N38" s="17">
        <f t="shared" si="5"/>
        <v>8135984</v>
      </c>
      <c r="O38" s="20">
        <v>16</v>
      </c>
      <c r="P38" s="21">
        <v>83963908</v>
      </c>
      <c r="Q38" s="21">
        <v>2623872.125</v>
      </c>
      <c r="R38" s="21">
        <v>48278.125</v>
      </c>
      <c r="S38" s="22">
        <v>24555320</v>
      </c>
      <c r="T38" s="22">
        <v>6596984</v>
      </c>
      <c r="U38" s="22">
        <v>1539000</v>
      </c>
      <c r="V38" s="22">
        <v>16419336</v>
      </c>
      <c r="W38" s="23">
        <v>77.418415999999993</v>
      </c>
      <c r="X38" s="23">
        <v>80.140518999999998</v>
      </c>
      <c r="Y38" s="23">
        <v>39.696711999999998</v>
      </c>
      <c r="Z38" s="23">
        <v>44.531153000000003</v>
      </c>
      <c r="AA38" s="23">
        <v>47.804797000000001</v>
      </c>
      <c r="AB38" s="24">
        <v>3475.08</v>
      </c>
      <c r="AC38" s="24">
        <v>5249.89</v>
      </c>
      <c r="AD38" s="24">
        <v>227.07499999999999</v>
      </c>
      <c r="AE38" s="24">
        <v>74.290999999999997</v>
      </c>
      <c r="AG38" s="19">
        <f t="shared" si="6"/>
        <v>70.59111</v>
      </c>
      <c r="AH38" s="20">
        <f t="shared" si="7"/>
        <v>0.22598825983399554</v>
      </c>
      <c r="AI38" s="20">
        <f t="shared" si="8"/>
        <v>0.11831379237611289</v>
      </c>
      <c r="AJ38" s="20">
        <f t="shared" si="9"/>
        <v>0.10951811441525607</v>
      </c>
      <c r="AK38" s="20">
        <f t="shared" si="10"/>
        <v>0.11194111129558006</v>
      </c>
      <c r="AL38" s="17">
        <f t="shared" si="11"/>
        <v>39421054</v>
      </c>
      <c r="AM38" s="20">
        <v>16</v>
      </c>
      <c r="AN38" s="21">
        <v>88949877</v>
      </c>
      <c r="AO38" s="21">
        <v>2779683.65625</v>
      </c>
      <c r="AP38" s="21">
        <v>39134.6875</v>
      </c>
      <c r="AQ38" s="22">
        <v>75297184</v>
      </c>
      <c r="AR38" s="22">
        <v>36490416</v>
      </c>
      <c r="AS38" s="22">
        <v>2930638</v>
      </c>
      <c r="AT38" s="22">
        <v>37297736</v>
      </c>
      <c r="AU38" s="23">
        <v>45.634169</v>
      </c>
      <c r="AV38" s="23">
        <v>46.006915999999997</v>
      </c>
      <c r="AW38" s="23">
        <v>39.552715999999997</v>
      </c>
      <c r="AX38" s="23">
        <v>44.274869000000002</v>
      </c>
      <c r="AY38" s="23">
        <v>46.961143999999997</v>
      </c>
      <c r="AZ38" s="24">
        <v>3885.22</v>
      </c>
      <c r="BA38" s="24">
        <v>5789.98</v>
      </c>
      <c r="BB38" s="24">
        <v>278.78100000000001</v>
      </c>
      <c r="BC38" s="24">
        <v>117.562</v>
      </c>
      <c r="BE38" s="49">
        <f t="shared" si="12"/>
        <v>4.8452718196102653</v>
      </c>
      <c r="BF38" s="25">
        <f t="shared" si="13"/>
        <v>-4.3207445621121447E-3</v>
      </c>
      <c r="BG38" s="25">
        <f t="shared" si="14"/>
        <v>0.19220670873435364</v>
      </c>
      <c r="BH38" s="25"/>
      <c r="BJ38" s="49"/>
      <c r="BK38" s="49"/>
      <c r="BL38" s="49"/>
      <c r="BM38" s="49"/>
      <c r="BN38" s="49"/>
      <c r="BP38" s="49"/>
      <c r="BQ38" s="49"/>
      <c r="BR38" s="49"/>
      <c r="BS38" s="49"/>
      <c r="BT38" s="49"/>
      <c r="BV38" s="58">
        <f t="shared" si="16"/>
        <v>4985969</v>
      </c>
      <c r="BW38" s="58">
        <f t="shared" si="16"/>
        <v>155811.53125</v>
      </c>
      <c r="BX38" s="58">
        <f t="shared" si="16"/>
        <v>-9143.4375</v>
      </c>
      <c r="BY38" s="58">
        <f t="shared" si="16"/>
        <v>50741864</v>
      </c>
      <c r="BZ38" s="58">
        <f t="shared" si="16"/>
        <v>29893432</v>
      </c>
      <c r="CA38" s="58">
        <f t="shared" si="16"/>
        <v>1391638</v>
      </c>
      <c r="CB38" s="58">
        <f t="shared" si="16"/>
        <v>20878400</v>
      </c>
      <c r="CC38" s="58">
        <f t="shared" si="16"/>
        <v>-31.784246999999993</v>
      </c>
      <c r="CD38" s="58">
        <f t="shared" si="16"/>
        <v>-34.133603000000001</v>
      </c>
      <c r="CE38" s="58">
        <f t="shared" si="16"/>
        <v>-0.14399600000000135</v>
      </c>
      <c r="CF38" s="58">
        <f t="shared" si="16"/>
        <v>-0.25628400000000084</v>
      </c>
      <c r="CG38" s="58">
        <f t="shared" si="16"/>
        <v>-0.84365300000000332</v>
      </c>
      <c r="CJ38" t="s">
        <v>244</v>
      </c>
    </row>
    <row r="39" spans="1:88" ht="16" outlineLevel="1" thickBot="1" x14ac:dyDescent="0.25">
      <c r="A39" s="26"/>
      <c r="B39" s="26" t="s">
        <v>82</v>
      </c>
      <c r="C39" s="27" t="s">
        <v>237</v>
      </c>
      <c r="D39" s="26">
        <v>333190689</v>
      </c>
      <c r="E39" s="27">
        <v>11</v>
      </c>
      <c r="F39" s="27">
        <v>32</v>
      </c>
      <c r="G39" s="27">
        <v>30</v>
      </c>
      <c r="I39" s="28">
        <f t="shared" si="0"/>
        <v>42.391522500000001</v>
      </c>
      <c r="J39" s="29">
        <f t="shared" si="1"/>
        <v>0.13571094719276505</v>
      </c>
      <c r="K39" s="29">
        <f t="shared" si="2"/>
        <v>3.9490059099460607E-2</v>
      </c>
      <c r="L39" s="29">
        <f t="shared" si="3"/>
        <v>3.0117168130109423E-2</v>
      </c>
      <c r="M39" s="29">
        <f t="shared" si="4"/>
        <v>9.6220888093304438E-2</v>
      </c>
      <c r="N39" s="26">
        <f t="shared" si="5"/>
        <v>13157720</v>
      </c>
      <c r="O39" s="29">
        <v>16</v>
      </c>
      <c r="P39" s="30">
        <v>82025858</v>
      </c>
      <c r="Q39" s="30">
        <v>2563308.0625</v>
      </c>
      <c r="R39" s="30">
        <v>19366.5625</v>
      </c>
      <c r="S39" s="31">
        <v>45217624</v>
      </c>
      <c r="T39" s="31">
        <v>10034760</v>
      </c>
      <c r="U39" s="31">
        <v>3122960</v>
      </c>
      <c r="V39" s="31">
        <v>32059904</v>
      </c>
      <c r="W39" s="32">
        <v>78.318230999999997</v>
      </c>
      <c r="X39" s="32">
        <v>81.877509000000003</v>
      </c>
      <c r="Y39" s="32">
        <v>41.297905999999998</v>
      </c>
      <c r="Z39" s="32">
        <v>45.537005999999998</v>
      </c>
      <c r="AA39" s="32">
        <v>49.137197</v>
      </c>
      <c r="AB39" s="33">
        <v>3873.53</v>
      </c>
      <c r="AC39" s="33">
        <v>7507.14</v>
      </c>
      <c r="AD39" s="33">
        <v>243.928</v>
      </c>
      <c r="AE39" s="33">
        <v>110.042</v>
      </c>
      <c r="AG39" s="28">
        <f t="shared" si="6"/>
        <v>112.121595</v>
      </c>
      <c r="AH39" s="29">
        <f t="shared" si="7"/>
        <v>0.35894270742961848</v>
      </c>
      <c r="AI39" s="29">
        <f t="shared" si="8"/>
        <v>0.1616316295081103</v>
      </c>
      <c r="AJ39" s="29">
        <f t="shared" si="9"/>
        <v>0.14581535920411029</v>
      </c>
      <c r="AK39" s="29">
        <f t="shared" si="10"/>
        <v>0.2038443997455163</v>
      </c>
      <c r="AL39" s="26">
        <f t="shared" si="11"/>
        <v>53854154</v>
      </c>
      <c r="AM39" s="29">
        <v>16</v>
      </c>
      <c r="AN39" s="30">
        <v>84309602</v>
      </c>
      <c r="AO39" s="30">
        <v>2634675.0625</v>
      </c>
      <c r="AP39" s="30">
        <v>19927.34375</v>
      </c>
      <c r="AQ39" s="31">
        <v>119596368</v>
      </c>
      <c r="AR39" s="31">
        <v>48584320</v>
      </c>
      <c r="AS39" s="31">
        <v>5269834</v>
      </c>
      <c r="AT39" s="31">
        <v>67919056</v>
      </c>
      <c r="AU39" s="32">
        <v>50.041175000000003</v>
      </c>
      <c r="AV39" s="32">
        <v>50.415778000000003</v>
      </c>
      <c r="AW39" s="32">
        <v>41.527697000000003</v>
      </c>
      <c r="AX39" s="32">
        <v>45.437713000000002</v>
      </c>
      <c r="AY39" s="32">
        <v>48.474856000000003</v>
      </c>
      <c r="AZ39" s="33">
        <v>3229.82</v>
      </c>
      <c r="BA39" s="33">
        <v>4591.1000000000004</v>
      </c>
      <c r="BB39" s="33">
        <v>229.94</v>
      </c>
      <c r="BC39" s="33">
        <v>88.694000000000003</v>
      </c>
      <c r="BE39" s="34">
        <f t="shared" si="12"/>
        <v>4.0929700586423792</v>
      </c>
      <c r="BF39" s="35">
        <f t="shared" si="13"/>
        <v>8.1915696965818505E-6</v>
      </c>
      <c r="BG39" s="35">
        <f t="shared" si="14"/>
        <v>0.15931270220106658</v>
      </c>
      <c r="BH39" s="35"/>
      <c r="BJ39" s="34"/>
      <c r="BK39" s="34"/>
      <c r="BL39" s="34"/>
      <c r="BM39" s="34"/>
      <c r="BN39" s="34"/>
      <c r="BP39" s="34"/>
      <c r="BQ39" s="34"/>
      <c r="BR39" s="34"/>
      <c r="BS39" s="34"/>
      <c r="BT39" s="34"/>
      <c r="BV39" s="58">
        <f t="shared" si="16"/>
        <v>2283744</v>
      </c>
      <c r="BW39" s="58">
        <f t="shared" si="16"/>
        <v>71367</v>
      </c>
      <c r="BX39" s="58">
        <f t="shared" si="16"/>
        <v>560.78125</v>
      </c>
      <c r="BY39" s="58">
        <f t="shared" si="16"/>
        <v>74378744</v>
      </c>
      <c r="BZ39" s="58">
        <f t="shared" si="16"/>
        <v>38549560</v>
      </c>
      <c r="CA39" s="58">
        <f t="shared" si="16"/>
        <v>2146874</v>
      </c>
      <c r="CB39" s="58">
        <f t="shared" si="16"/>
        <v>35859152</v>
      </c>
      <c r="CC39" s="58">
        <f t="shared" si="16"/>
        <v>-28.277055999999995</v>
      </c>
      <c r="CD39" s="58">
        <f t="shared" si="16"/>
        <v>-31.461731</v>
      </c>
      <c r="CE39" s="58">
        <f t="shared" si="16"/>
        <v>0.22979100000000585</v>
      </c>
      <c r="CF39" s="58">
        <f t="shared" si="16"/>
        <v>-9.9292999999995857E-2</v>
      </c>
      <c r="CG39" s="58">
        <f t="shared" si="16"/>
        <v>-0.66234099999999785</v>
      </c>
      <c r="CJ39" t="s">
        <v>244</v>
      </c>
    </row>
    <row r="40" spans="1:88" ht="16" x14ac:dyDescent="0.2">
      <c r="B40" s="46" t="s">
        <v>16</v>
      </c>
      <c r="J40" s="47">
        <f>AVERAGE(J5:J24)</f>
        <v>4.4297813858881062E-2</v>
      </c>
      <c r="K40" s="47">
        <f>AVERAGE(K5:K24)</f>
        <v>1.3934320314145566E-2</v>
      </c>
      <c r="L40" s="47">
        <f>AVERAGE(L5:L24)</f>
        <v>9.696269410246797E-3</v>
      </c>
      <c r="M40" s="47">
        <f>AVERAGE(M5:M24)</f>
        <v>3.0363493544735498E-2</v>
      </c>
      <c r="AH40" s="47">
        <f>AVERAGE(AH5:AH24)</f>
        <v>0.13820355515267252</v>
      </c>
      <c r="AI40" s="47">
        <f>AVERAGE(AI5:AI24)</f>
        <v>6.882083420357249E-2</v>
      </c>
      <c r="AJ40" s="47">
        <f>AVERAGE(AJ5:AJ24)</f>
        <v>6.2939020086841269E-2</v>
      </c>
      <c r="AK40" s="47">
        <f>AVERAGE(AK5:AK24)</f>
        <v>7.1127701323421791E-2</v>
      </c>
      <c r="BE40" s="51">
        <f t="shared" si="12"/>
        <v>4.9389444660396045</v>
      </c>
      <c r="BH40" s="55">
        <f>AVERAGE(BH5:BH24)</f>
        <v>0.15927999626899458</v>
      </c>
      <c r="BJ40" s="51">
        <f>AVERAGE(BJ5:BJ24)</f>
        <v>1</v>
      </c>
      <c r="BK40" s="51">
        <f>AVERAGE(BK5:BK24)</f>
        <v>1</v>
      </c>
      <c r="BL40" s="51">
        <f>AVERAGE(BL5:BL24)</f>
        <v>1.8324980886915694</v>
      </c>
      <c r="BM40" s="51">
        <f>AVERAGE(BM5:BM24)</f>
        <v>5.3727353543501639</v>
      </c>
      <c r="BN40" s="51">
        <f>AVERAGE(BN5:BN24)</f>
        <v>7.0187856140065037</v>
      </c>
      <c r="BP40" s="51">
        <f>AVERAGE(BP5:BP24)</f>
        <v>1</v>
      </c>
      <c r="BQ40" s="51">
        <f>AVERAGE(BQ5:BQ24)</f>
        <v>1</v>
      </c>
      <c r="BR40" s="51">
        <f>AVERAGE(BR5:BR24)</f>
        <v>2.7431501162463929</v>
      </c>
      <c r="BS40" s="51">
        <f>AVERAGE(BS5:BS24)</f>
        <v>5.6287605548927129</v>
      </c>
      <c r="BT40" s="51">
        <f>AVERAGE(BT5:BT24)</f>
        <v>6.6287418206541968</v>
      </c>
    </row>
    <row r="41" spans="1:88" ht="16" x14ac:dyDescent="0.2">
      <c r="B41" s="46" t="s">
        <v>17</v>
      </c>
      <c r="J41" s="47">
        <f>AVERAGE(J25:J29)</f>
        <v>7.9954906894468852E-2</v>
      </c>
      <c r="K41" s="47">
        <f>AVERAGE(K25:K29)</f>
        <v>1.2464595817739278E-2</v>
      </c>
      <c r="L41" s="47">
        <f>AVERAGE(L25:L29)</f>
        <v>9.1151281892310389E-3</v>
      </c>
      <c r="M41" s="47">
        <f>AVERAGE(M25:M29)</f>
        <v>6.7490311076729578E-2</v>
      </c>
      <c r="AH41" s="47">
        <f>AVERAGE(AH25:AH29)</f>
        <v>0.18390619098578811</v>
      </c>
      <c r="AI41" s="47">
        <f>AVERAGE(AI25:AI29)</f>
        <v>5.9308324141031557E-2</v>
      </c>
      <c r="AJ41" s="47">
        <f>AVERAGE(AJ25:AJ29)</f>
        <v>5.0114772360513982E-2</v>
      </c>
      <c r="AK41" s="47">
        <f>AVERAGE(AK25:AK29)</f>
        <v>0.130539647078737</v>
      </c>
      <c r="BE41" s="51">
        <f t="shared" si="12"/>
        <v>4.758142583061181</v>
      </c>
      <c r="BH41" s="55">
        <f>AVERAGE(BH25:BH29)</f>
        <v>0.16909093215218857</v>
      </c>
      <c r="BJ41" s="51">
        <f>AVERAGE(BJ25:BJ29)</f>
        <v>1</v>
      </c>
      <c r="BK41" s="51">
        <f>AVERAGE(BK25:BK29)</f>
        <v>1</v>
      </c>
      <c r="BL41" s="51">
        <f>AVERAGE(BL25:BL29)</f>
        <v>1.0225922643366667</v>
      </c>
      <c r="BM41" s="51">
        <f>AVERAGE(BM25:BM29)</f>
        <v>1.4764867634214052</v>
      </c>
      <c r="BN41" s="51">
        <f>AVERAGE(BN25:BN29)</f>
        <v>1.6384173125906756</v>
      </c>
      <c r="BP41" s="51">
        <f>AVERAGE(BP25:BP29)</f>
        <v>1</v>
      </c>
      <c r="BQ41" s="51">
        <f>AVERAGE(BQ25:BQ29)</f>
        <v>1</v>
      </c>
      <c r="BR41" s="51">
        <f>AVERAGE(BR25:BR29)</f>
        <v>1.5115270768716451</v>
      </c>
      <c r="BS41" s="51">
        <f>AVERAGE(BS25:BS29)</f>
        <v>1.923745242405912</v>
      </c>
      <c r="BT41" s="51">
        <f>AVERAGE(BT25:BT29)</f>
        <v>2.1065974708203741</v>
      </c>
    </row>
    <row r="42" spans="1:88" ht="16" x14ac:dyDescent="0.2">
      <c r="B42" s="46" t="s">
        <v>18</v>
      </c>
      <c r="J42" s="47">
        <f>AVERAGE(J30:J39)</f>
        <v>5.517762733011794E-2</v>
      </c>
      <c r="K42" s="47">
        <f>AVERAGE(K30:K39)</f>
        <v>2.0098335575239341E-2</v>
      </c>
      <c r="L42" s="47">
        <f>AVERAGE(L30:L39)</f>
        <v>1.5038954141750719E-2</v>
      </c>
      <c r="M42" s="47">
        <f>AVERAGE(M30:M39)</f>
        <v>3.5079291754878603E-2</v>
      </c>
      <c r="AH42" s="47">
        <f>AVERAGE(AH30:AH39)</f>
        <v>0.17459351415903213</v>
      </c>
      <c r="AI42" s="47">
        <f>AVERAGE(AI30:AI39)</f>
        <v>9.51721929149595E-2</v>
      </c>
      <c r="AJ42" s="47">
        <f>AVERAGE(AJ30:AJ39)</f>
        <v>8.849649068274934E-2</v>
      </c>
      <c r="AK42" s="47">
        <f>AVERAGE(AK30:AK39)</f>
        <v>8.1117262516138863E-2</v>
      </c>
      <c r="BE42" s="51">
        <f t="shared" si="12"/>
        <v>4.7353270900805002</v>
      </c>
      <c r="BH42" s="55">
        <f>AVERAGE(BH30:BH39)</f>
        <v>0.1573924609201853</v>
      </c>
      <c r="BJ42" s="51">
        <f>AVERAGE(BJ30:BJ39)</f>
        <v>1</v>
      </c>
      <c r="BK42" s="51">
        <f>AVERAGE(BK30:BK39)</f>
        <v>1</v>
      </c>
      <c r="BL42" s="51">
        <f>AVERAGE(BL30:BL39)</f>
        <v>1.7868377479823059</v>
      </c>
      <c r="BM42" s="51">
        <f>AVERAGE(BM30:BM39)</f>
        <v>2.1893533817063258</v>
      </c>
      <c r="BN42" s="51">
        <f>AVERAGE(BN30:BN39)</f>
        <v>2.6766375019794841</v>
      </c>
      <c r="BP42" s="51">
        <f>AVERAGE(BP30:BP39)</f>
        <v>1</v>
      </c>
      <c r="BQ42" s="51">
        <f>AVERAGE(BQ30:BQ39)</f>
        <v>1</v>
      </c>
      <c r="BR42" s="51">
        <f>AVERAGE(BR30:BR39)</f>
        <v>2.7992016418071253</v>
      </c>
      <c r="BS42" s="51">
        <f>AVERAGE(BS30:BS39)</f>
        <v>3.0557414778438332</v>
      </c>
      <c r="BT42" s="51">
        <f>AVERAGE(BT30:BT39)</f>
        <v>3.6018615333777939</v>
      </c>
    </row>
    <row r="43" spans="1:88" ht="16" x14ac:dyDescent="0.2">
      <c r="B43" s="46" t="s">
        <v>19</v>
      </c>
      <c r="J43" s="47">
        <f>AVERAGE(J5:J39)</f>
        <v>5.2500202427175569E-2</v>
      </c>
      <c r="K43" s="47">
        <f>AVERAGE(K5:K39)</f>
        <v>1.5485506889257174E-2</v>
      </c>
      <c r="L43" s="47">
        <f>AVERAGE(L5:L39)</f>
        <v>1.1139730587674238E-2</v>
      </c>
      <c r="M43" s="47">
        <f>AVERAGE(M5:M39)</f>
        <v>3.7014695537918391E-2</v>
      </c>
      <c r="AH43" s="47">
        <f>AVERAGE(AH5:AH39)</f>
        <v>0.1551296342735061</v>
      </c>
      <c r="AI43" s="47">
        <f>AVERAGE(AI5:AI39)</f>
        <v>7.4990863826462917E-2</v>
      </c>
      <c r="AJ43" s="47">
        <f>AVERAGE(AJ5:AJ39)</f>
        <v>6.8409119153339665E-2</v>
      </c>
      <c r="AK43" s="47">
        <f>AVERAGE(AK5:AK39)</f>
        <v>8.2469282486385992E-2</v>
      </c>
      <c r="BE43" s="51">
        <f t="shared" si="12"/>
        <v>4.8426483138557543</v>
      </c>
      <c r="BH43" s="55">
        <f>AVERAGE(BH5:BH39)</f>
        <v>0.16014226272407678</v>
      </c>
      <c r="BJ43" s="51">
        <f>AVERAGE(BJ5:BJ39)</f>
        <v>1</v>
      </c>
      <c r="BK43" s="51">
        <f>AVERAGE(BK5:BK39)</f>
        <v>1</v>
      </c>
      <c r="BL43" s="51">
        <f>AVERAGE(BL5:BL39)</f>
        <v>1.7037514450096509</v>
      </c>
      <c r="BM43" s="51">
        <f>AVERAGE(BM5:BM39)</f>
        <v>3.9065907063192449</v>
      </c>
      <c r="BN43" s="51">
        <f>AVERAGE(BN5:BN39)</f>
        <v>5.0095478246536649</v>
      </c>
      <c r="BP43" s="51">
        <f>AVERAGE(BP5:BP39)</f>
        <v>1</v>
      </c>
      <c r="BQ43" s="51">
        <f>AVERAGE(BQ5:BQ39)</f>
        <v>1</v>
      </c>
      <c r="BR43" s="51">
        <f>AVERAGE(BR5:BR39)</f>
        <v>2.5832186893530666</v>
      </c>
      <c r="BS43" s="51">
        <f>AVERAGE(BS5:BS39)</f>
        <v>4.3643243453806324</v>
      </c>
      <c r="BT43" s="51">
        <f>AVERAGE(BT5:BT39)</f>
        <v>5.1178982600275358</v>
      </c>
    </row>
    <row r="44" spans="1:88" ht="16" hidden="1" outlineLevel="2" x14ac:dyDescent="0.2">
      <c r="A44" s="46" t="s">
        <v>245</v>
      </c>
      <c r="B44" s="46" t="s">
        <v>246</v>
      </c>
      <c r="AB44" s="48">
        <f>SUM(AB5:AB24,AB25:AB29,AB30:AB39)</f>
        <v>131766.84000000003</v>
      </c>
      <c r="AC44" s="48">
        <f>SUM(AC5:AC24,AC25:AC29,AC30:AC39)</f>
        <v>79714.382999999987</v>
      </c>
      <c r="AD44" s="48">
        <f>SUM(AD5:AD24,AD25:AD29,AD30:AD39)</f>
        <v>4074.9609999999989</v>
      </c>
      <c r="AE44" s="48">
        <f>SUM(AE5:AE24,AE25:AE29,AE30:AE39)</f>
        <v>1146.5519999999999</v>
      </c>
      <c r="AZ44" s="48">
        <f>SUM(AZ5:AZ24,AZ25:AZ29,AZ30:AZ39)</f>
        <v>128629.65000000002</v>
      </c>
      <c r="BA44" s="48">
        <f>SUM(BA5:BA24,BA25:BA29,BA30:BA39)</f>
        <v>67844.949000000008</v>
      </c>
      <c r="BB44" s="48">
        <f>SUM(BB5:BB24,BB25:BB29,BB30:BB39)</f>
        <v>4834.3409999999994</v>
      </c>
      <c r="BC44" s="48">
        <f>SUM(BC5:BC24,BC25:BC29,BC30:BC39)</f>
        <v>1377.5739999999998</v>
      </c>
    </row>
    <row r="45" spans="1:88" ht="16" hidden="1" outlineLevel="2" x14ac:dyDescent="0.2">
      <c r="B45" s="46" t="s">
        <v>247</v>
      </c>
      <c r="AZ45" s="55">
        <f>AZ44/AB44</f>
        <v>0.97619135436502835</v>
      </c>
      <c r="BA45" s="55">
        <f>BA44/AC44</f>
        <v>0.85110047204404782</v>
      </c>
      <c r="BB45" s="55">
        <f>BB44/AD44</f>
        <v>1.1863527037436679</v>
      </c>
      <c r="BC45" s="55">
        <f>BC44/AE44</f>
        <v>1.2014928237009748</v>
      </c>
    </row>
    <row r="46" spans="1:88" ht="16" hidden="1" outlineLevel="2" x14ac:dyDescent="0.2">
      <c r="B46" s="46" t="s">
        <v>248</v>
      </c>
      <c r="AB46" s="48">
        <f>GEOMEAN(AB5:AB24,AB25:AB29,AB30:AB39)</f>
        <v>3564.4494943737118</v>
      </c>
      <c r="AC46" s="48">
        <f>GEOMEAN(AC5:AC24,AC25:AC29,AC30:AC39)</f>
        <v>1870.7600014454886</v>
      </c>
      <c r="AD46" s="48">
        <f>GEOMEAN(AD5:AD24,AD25:AD29,AD30:AD39)</f>
        <v>97.566352872757079</v>
      </c>
      <c r="AE46" s="48">
        <f>GEOMEAN(AE5:AE24,AE25:AE29,AE30:AE39)</f>
        <v>26.752910588983756</v>
      </c>
      <c r="AZ46" s="48">
        <f>GEOMEAN(AZ5:AZ24,AZ25:AZ29,AZ30:AZ39)</f>
        <v>3467.5881705475049</v>
      </c>
      <c r="BA46" s="48">
        <f>GEOMEAN(BA5:BA24,BA25:BA29,BA30:BA39)</f>
        <v>1561.332287384138</v>
      </c>
      <c r="BB46" s="48">
        <f>GEOMEAN(BB5:BB24,BB25:BB29,BB30:BB39)</f>
        <v>115.83114084844622</v>
      </c>
      <c r="BC46" s="48">
        <f>GEOMEAN(BC5:BC24,BC25:BC29,BC30:BC39)</f>
        <v>31.830301546923899</v>
      </c>
    </row>
    <row r="47" spans="1:88" ht="16" outlineLevel="2" collapsed="1" x14ac:dyDescent="0.2">
      <c r="B47" s="46" t="s">
        <v>249</v>
      </c>
      <c r="AZ47" s="55">
        <f>AZ46/AB46</f>
        <v>0.9728257269519186</v>
      </c>
      <c r="BA47" s="55">
        <f>BA46/AC46</f>
        <v>0.8345978565811415</v>
      </c>
      <c r="BB47" s="55">
        <f>BB46/AD46</f>
        <v>1.1872037586514022</v>
      </c>
      <c r="BC47" s="55">
        <f>BC46/AE46</f>
        <v>1.1897883574593524</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D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1.0426424999999999</v>
      </c>
      <c r="J5" s="11">
        <f t="shared" ref="J5:J39" si="1">IF(ISBLANK(S5),"·",S5/D5)</f>
        <v>4.6700350793894667E-3</v>
      </c>
      <c r="K5" s="11">
        <f t="shared" ref="K5:K39" si="2">IF(N5="","·",N5/D5)</f>
        <v>4.0576386479860621E-3</v>
      </c>
      <c r="L5" s="11">
        <f t="shared" ref="L5:L39" si="3">IF(T5="","·",T5/D5)</f>
        <v>2.5510359298285567E-3</v>
      </c>
      <c r="M5" s="11">
        <f t="shared" ref="M5:M39" si="4">IF(ISBLANK(V5),"·",V5/D5)</f>
        <v>6.1239643140340516E-4</v>
      </c>
      <c r="N5" s="52">
        <f t="shared" ref="N5:N39" si="5">IF(OR(ISBLANK(T5),ISBLANK(U5)),"",T5+U5)</f>
        <v>966312</v>
      </c>
      <c r="O5" s="11">
        <v>16</v>
      </c>
      <c r="P5" s="12">
        <v>23582209</v>
      </c>
      <c r="Q5" s="12">
        <v>736944.03125</v>
      </c>
      <c r="R5" s="12">
        <v>16984.9375</v>
      </c>
      <c r="S5" s="13">
        <v>1112152</v>
      </c>
      <c r="T5" s="13">
        <v>607520</v>
      </c>
      <c r="U5" s="13">
        <v>358792</v>
      </c>
      <c r="V5" s="13">
        <v>145840</v>
      </c>
      <c r="W5" s="14">
        <v>66.845706000000007</v>
      </c>
      <c r="X5" s="14">
        <v>68.619974999999997</v>
      </c>
      <c r="Y5" s="14">
        <v>31.719308999999999</v>
      </c>
      <c r="Z5" s="14">
        <v>44.569031000000003</v>
      </c>
      <c r="AA5" s="14">
        <v>44.236403000000003</v>
      </c>
      <c r="AB5" s="15">
        <v>3280.25</v>
      </c>
      <c r="AC5" s="15">
        <v>2800.14</v>
      </c>
      <c r="AD5" s="15">
        <v>57.094000000000001</v>
      </c>
      <c r="AE5" s="15">
        <v>13.789</v>
      </c>
      <c r="AG5" s="10">
        <f t="shared" ref="AG5:AG39" si="6">IF(OR(ISBLANK(AQ5),ISBLANK(G5)),"·",AQ5*G5/F5/1000000)</f>
        <v>5.3542275000000004</v>
      </c>
      <c r="AH5" s="11">
        <f t="shared" ref="AH5:AH39" si="7">IF(ISBLANK(AQ5),"·",AQ5/D5)</f>
        <v>2.3981786900142441E-2</v>
      </c>
      <c r="AI5" s="11">
        <f t="shared" ref="AI5:AI39" si="8">IF(AL5="","·",AL5/D5)</f>
        <v>2.0624486389970109E-2</v>
      </c>
      <c r="AJ5" s="11">
        <f t="shared" ref="AJ5:AJ39" si="9">IF(AR5="","·",AR5/D5)</f>
        <v>2.0209619720838012E-2</v>
      </c>
      <c r="AK5" s="11">
        <f t="shared" ref="AK5:AK39" si="10">IF(ISBLANK(AT5),"·",AT5/D5)</f>
        <v>2.2675800281180829E-3</v>
      </c>
      <c r="AL5" s="52">
        <f t="shared" ref="AL5:AL39" si="11">IF(OR(ISBLANK(AR5),ISBLANK(AS5)),"",AR5+AS5)</f>
        <v>4911647</v>
      </c>
      <c r="AM5" s="11">
        <v>16</v>
      </c>
      <c r="AN5" s="12">
        <v>31615741</v>
      </c>
      <c r="AO5" s="12">
        <v>987991.90625</v>
      </c>
      <c r="AP5" s="12">
        <v>13080.1875</v>
      </c>
      <c r="AQ5" s="13">
        <v>5711176</v>
      </c>
      <c r="AR5" s="13">
        <v>4812848</v>
      </c>
      <c r="AS5" s="13">
        <v>98799</v>
      </c>
      <c r="AT5" s="13">
        <v>540016</v>
      </c>
      <c r="AU5" s="14">
        <v>42.788113000000003</v>
      </c>
      <c r="AV5" s="14">
        <v>43.034565999999998</v>
      </c>
      <c r="AW5" s="14">
        <v>30.153247</v>
      </c>
      <c r="AX5" s="14">
        <v>42.369687999999996</v>
      </c>
      <c r="AY5" s="14">
        <v>41.581175000000002</v>
      </c>
      <c r="AZ5" s="15">
        <v>3334.69</v>
      </c>
      <c r="BA5" s="15">
        <v>4706.07</v>
      </c>
      <c r="BB5" s="15">
        <v>81.284000000000006</v>
      </c>
      <c r="BC5" s="15">
        <v>15.311</v>
      </c>
      <c r="BE5" s="50">
        <f t="shared" ref="BE5:BE43" si="12">AI5/K5</f>
        <v>5.0828790287195025</v>
      </c>
      <c r="BF5" s="16">
        <f t="shared" ref="BF5:BF39" si="13">(AP5/AO5) - (R5/Q5)</f>
        <v>-9.8086338183487956E-3</v>
      </c>
      <c r="BG5" s="16">
        <f t="shared" ref="BG5:BG39" si="14">(AL5/AQ5) - (N5/S5)</f>
        <v>-8.8606051430755173E-3</v>
      </c>
      <c r="BH5" s="16">
        <f t="array" ref="BH5">AVERAGE(AL5:AL9/AQ5:AQ9) - AVERAGE(N5:N9/S5:S9)</f>
        <v>6.4329388735252846E-2</v>
      </c>
      <c r="BJ5" s="50">
        <f>IF( OR(ISBLANK(N5:N9),ISBLANK(AL5:AL9), ISBLANK(W5:W9),ISBLANK(AU5:AU9)), "·", bdRateExtend( N5:N9,W5:W9, AL5:AL9,AU5:AU9))</f>
        <v>1</v>
      </c>
      <c r="BK5" s="50">
        <f>IF( OR(ISBLANK(N5:N9),ISBLANK(AL5:AL9), ISBLANK(X5:X9),ISBLANK(AV5:AV9)), "·", bdRateExtend( N5:N9,X5:X9, AL5:AL9,AV5:AV9))</f>
        <v>1</v>
      </c>
      <c r="BL5" s="50">
        <f>IF( OR(ISBLANK(V5:V9),ISBLANK(AT5:AT9), ISBLANK(Y5:Y9),ISBLANK(AW5:AW9)), "·", bdRateExtend( V5:V9,Y5:Y9, AT5:AT9,AW5:AW9))</f>
        <v>2.7152447828805206</v>
      </c>
      <c r="BM5" s="50">
        <f>IF( OR(ISBLANK(V5:V9),ISBLANK(AT5:AT9), ISBLANK(Z5:Z9),ISBLANK(AX5:AX9)), "·", bdRateExtend( V5:V9,Z5:Z9, AT5:AT9,AX5:AX9))</f>
        <v>7.1292864199017263</v>
      </c>
      <c r="BN5" s="50">
        <f>IF( OR(ISBLANK(V5:V9),ISBLANK(AT5:AT9), ISBLANK(AA5:AA9),ISBLANK(AY5:AY9)), "·", bdRateExtend( V5:V9,AA5:AA9, AT5:AT9,AY5:AY9))</f>
        <v>7.4946631150639025</v>
      </c>
      <c r="BP5" s="50">
        <f>IF( OR(ISBLANK(S5:S9),ISBLANK(AQ5:AQ9), ISBLANK(W5:W9),ISBLANK(AU5:AU9)), "·", bdRateExtend( S5:S9,W5:W9, AQ5:AQ9,AU5:AU9))</f>
        <v>1</v>
      </c>
      <c r="BQ5" s="50">
        <f>IF( OR(ISBLANK(S5:S9),ISBLANK(AQ5:AQ9), ISBLANK(X5:X9),ISBLANK(AV5:AV9)), "·", bdRateExtend( S5:S9,X5:X9, AQ5:AQ9,AV5:AV9))</f>
        <v>1</v>
      </c>
      <c r="BR5" s="50">
        <f>IF( OR(ISBLANK(S5:S9),ISBLANK(AQ5:AQ9), ISBLANK(Y5:Y9),ISBLANK(AW5:AW9)), "·", bdRateExtend( S5:S9,Y5:Y9, AQ5:AQ9,AW5:AW9))</f>
        <v>3.8712347488344525</v>
      </c>
      <c r="BS5" s="50">
        <f>IF( OR(ISBLANK(S5:S9),ISBLANK(AQ5:AQ9), ISBLANK(Z5:Z9),ISBLANK(AX5:AX9)), "·", bdRateExtend( S5:S9,Z5:Z9, AQ5:AQ9,AX5:AX9))</f>
        <v>6.4169062926886635</v>
      </c>
      <c r="BT5" s="50">
        <f>IF( OR(ISBLANK(S5:S9),ISBLANK(AQ5:AQ9), ISBLANK(AA5:AA9),ISBLANK(AY5:AY9)), "·", bdRateExtend( S5:S9,AA5:AA9, AQ5:AQ9,AY5:AY9))</f>
        <v>6.604671742765861</v>
      </c>
      <c r="BV5" s="58">
        <f>AN5-P5</f>
        <v>8033532</v>
      </c>
      <c r="BW5" s="58">
        <f t="shared" ref="BW5:CG20" si="15">AO5-Q5</f>
        <v>251047.875</v>
      </c>
      <c r="BX5" s="58">
        <f t="shared" si="15"/>
        <v>-3904.75</v>
      </c>
      <c r="BY5" s="58">
        <f t="shared" si="15"/>
        <v>4599024</v>
      </c>
      <c r="BZ5" s="58">
        <f t="shared" si="15"/>
        <v>4205328</v>
      </c>
      <c r="CA5" s="58">
        <f t="shared" si="15"/>
        <v>-259993</v>
      </c>
      <c r="CB5" s="58">
        <f t="shared" si="15"/>
        <v>394176</v>
      </c>
      <c r="CC5" s="58">
        <f t="shared" si="15"/>
        <v>-24.057593000000004</v>
      </c>
      <c r="CD5" s="58">
        <f t="shared" si="15"/>
        <v>-25.585408999999999</v>
      </c>
      <c r="CE5" s="58">
        <f t="shared" si="15"/>
        <v>-1.5660619999999987</v>
      </c>
      <c r="CF5" s="58">
        <f t="shared" si="15"/>
        <v>-2.199343000000006</v>
      </c>
      <c r="CG5" s="58">
        <f t="shared" si="15"/>
        <v>-2.655228000000001</v>
      </c>
      <c r="CJ5" t="s">
        <v>233</v>
      </c>
    </row>
    <row r="6" spans="1:88" outlineLevel="1" x14ac:dyDescent="0.2">
      <c r="A6" s="17"/>
      <c r="B6" s="17" t="s">
        <v>51</v>
      </c>
      <c r="C6" s="18" t="s">
        <v>234</v>
      </c>
      <c r="D6" s="17">
        <v>238146391</v>
      </c>
      <c r="E6" s="18">
        <v>10</v>
      </c>
      <c r="F6" s="18">
        <v>32</v>
      </c>
      <c r="G6" s="18">
        <v>30</v>
      </c>
      <c r="I6" s="19">
        <f t="shared" si="0"/>
        <v>1.3552575</v>
      </c>
      <c r="J6" s="20">
        <f t="shared" si="1"/>
        <v>6.0702494542526995E-3</v>
      </c>
      <c r="K6" s="20">
        <f t="shared" si="2"/>
        <v>4.9478809863635516E-3</v>
      </c>
      <c r="L6" s="20">
        <f t="shared" si="3"/>
        <v>3.4412782682060462E-3</v>
      </c>
      <c r="M6" s="20">
        <f t="shared" si="4"/>
        <v>1.1223684678891481E-3</v>
      </c>
      <c r="N6" s="17">
        <f t="shared" si="5"/>
        <v>1178320</v>
      </c>
      <c r="O6" s="20">
        <v>16</v>
      </c>
      <c r="P6" s="21">
        <v>24777501</v>
      </c>
      <c r="Q6" s="21">
        <v>774296.90625</v>
      </c>
      <c r="R6" s="21">
        <v>19924.3125</v>
      </c>
      <c r="S6" s="22">
        <v>1445608</v>
      </c>
      <c r="T6" s="22">
        <v>819528</v>
      </c>
      <c r="U6" s="22">
        <v>358792</v>
      </c>
      <c r="V6" s="22">
        <v>267288</v>
      </c>
      <c r="W6" s="23">
        <v>68.552897000000002</v>
      </c>
      <c r="X6" s="23">
        <v>70.622062</v>
      </c>
      <c r="Y6" s="23">
        <v>33.797455999999997</v>
      </c>
      <c r="Z6" s="23">
        <v>45.493313000000001</v>
      </c>
      <c r="AA6" s="23">
        <v>45.153953000000001</v>
      </c>
      <c r="AB6" s="24">
        <v>3365.99</v>
      </c>
      <c r="AC6" s="24">
        <v>2929.39</v>
      </c>
      <c r="AD6" s="24">
        <v>60.829000000000001</v>
      </c>
      <c r="AE6" s="24">
        <v>13.981</v>
      </c>
      <c r="AG6" s="19">
        <f t="shared" si="6"/>
        <v>6.6575325000000003</v>
      </c>
      <c r="AH6" s="20">
        <f t="shared" si="7"/>
        <v>2.9819339147574987E-2</v>
      </c>
      <c r="AI6" s="20">
        <f t="shared" si="8"/>
        <v>2.518115422542767E-2</v>
      </c>
      <c r="AJ6" s="20">
        <f t="shared" si="9"/>
        <v>2.4645177175916137E-2</v>
      </c>
      <c r="AK6" s="20">
        <f t="shared" si="10"/>
        <v>3.6695748204725051E-3</v>
      </c>
      <c r="AL6" s="17">
        <f t="shared" si="11"/>
        <v>5996801</v>
      </c>
      <c r="AM6" s="20">
        <v>16</v>
      </c>
      <c r="AN6" s="21">
        <v>30292660</v>
      </c>
      <c r="AO6" s="21">
        <v>946645.625</v>
      </c>
      <c r="AP6" s="21">
        <v>16542.09375</v>
      </c>
      <c r="AQ6" s="22">
        <v>7101368</v>
      </c>
      <c r="AR6" s="22">
        <v>5869160</v>
      </c>
      <c r="AS6" s="22">
        <v>127641</v>
      </c>
      <c r="AT6" s="22">
        <v>873896</v>
      </c>
      <c r="AU6" s="23">
        <v>42.511161999999999</v>
      </c>
      <c r="AV6" s="23">
        <v>42.757708999999998</v>
      </c>
      <c r="AW6" s="23">
        <v>32.481163000000002</v>
      </c>
      <c r="AX6" s="23">
        <v>43.339072000000002</v>
      </c>
      <c r="AY6" s="23">
        <v>42.608119000000002</v>
      </c>
      <c r="AZ6" s="24">
        <v>3284.65</v>
      </c>
      <c r="BA6" s="24">
        <v>5180.8599999999997</v>
      </c>
      <c r="BB6" s="24">
        <v>78.138999999999996</v>
      </c>
      <c r="BC6" s="24">
        <v>15.162000000000001</v>
      </c>
      <c r="BE6" s="49">
        <f t="shared" si="12"/>
        <v>5.0892805010523459</v>
      </c>
      <c r="BF6" s="25">
        <f t="shared" si="13"/>
        <v>-8.2577038721541145E-3</v>
      </c>
      <c r="BG6" s="25">
        <f t="shared" si="14"/>
        <v>2.935374962217685E-2</v>
      </c>
      <c r="BH6" s="25"/>
      <c r="BJ6" s="49"/>
      <c r="BK6" s="49"/>
      <c r="BL6" s="49"/>
      <c r="BM6" s="49"/>
      <c r="BN6" s="49"/>
      <c r="BP6" s="49"/>
      <c r="BQ6" s="49"/>
      <c r="BR6" s="49"/>
      <c r="BS6" s="49"/>
      <c r="BT6" s="49"/>
      <c r="BV6" s="58">
        <f t="shared" ref="BV6:CG39" si="16">AN6-P6</f>
        <v>5515159</v>
      </c>
      <c r="BW6" s="58">
        <f t="shared" si="15"/>
        <v>172348.71875</v>
      </c>
      <c r="BX6" s="58">
        <f t="shared" si="15"/>
        <v>-3382.21875</v>
      </c>
      <c r="BY6" s="58">
        <f t="shared" si="15"/>
        <v>5655760</v>
      </c>
      <c r="BZ6" s="58">
        <f t="shared" si="15"/>
        <v>5049632</v>
      </c>
      <c r="CA6" s="58">
        <f t="shared" si="15"/>
        <v>-231151</v>
      </c>
      <c r="CB6" s="58">
        <f t="shared" si="15"/>
        <v>606608</v>
      </c>
      <c r="CC6" s="58">
        <f t="shared" si="15"/>
        <v>-26.041735000000003</v>
      </c>
      <c r="CD6" s="58">
        <f t="shared" si="15"/>
        <v>-27.864353000000001</v>
      </c>
      <c r="CE6" s="58">
        <f t="shared" si="15"/>
        <v>-1.3162929999999946</v>
      </c>
      <c r="CF6" s="58">
        <f t="shared" si="15"/>
        <v>-2.154240999999999</v>
      </c>
      <c r="CG6" s="58">
        <f t="shared" si="15"/>
        <v>-2.5458339999999993</v>
      </c>
      <c r="CJ6" t="s">
        <v>233</v>
      </c>
    </row>
    <row r="7" spans="1:88" outlineLevel="1" x14ac:dyDescent="0.2">
      <c r="A7" s="52"/>
      <c r="B7" s="52" t="s">
        <v>51</v>
      </c>
      <c r="C7" s="9" t="s">
        <v>235</v>
      </c>
      <c r="D7" s="52">
        <v>238146391</v>
      </c>
      <c r="E7" s="9">
        <v>10</v>
      </c>
      <c r="F7" s="9">
        <v>32</v>
      </c>
      <c r="G7" s="9">
        <v>30</v>
      </c>
      <c r="I7" s="10">
        <f t="shared" si="0"/>
        <v>1.8754875</v>
      </c>
      <c r="J7" s="11">
        <f t="shared" si="1"/>
        <v>8.4003792440423761E-3</v>
      </c>
      <c r="K7" s="11">
        <f t="shared" si="2"/>
        <v>6.1465050713281648E-3</v>
      </c>
      <c r="L7" s="11">
        <f t="shared" si="3"/>
        <v>4.6399023531706598E-3</v>
      </c>
      <c r="M7" s="11">
        <f t="shared" si="4"/>
        <v>2.2538741727142109E-3</v>
      </c>
      <c r="N7" s="52">
        <f t="shared" si="5"/>
        <v>1463768</v>
      </c>
      <c r="O7" s="11">
        <v>16</v>
      </c>
      <c r="P7" s="12">
        <v>24923704</v>
      </c>
      <c r="Q7" s="12">
        <v>778865.75</v>
      </c>
      <c r="R7" s="12">
        <v>21104.875</v>
      </c>
      <c r="S7" s="13">
        <v>2000520</v>
      </c>
      <c r="T7" s="13">
        <v>1104976</v>
      </c>
      <c r="U7" s="13">
        <v>358792</v>
      </c>
      <c r="V7" s="13">
        <v>536752</v>
      </c>
      <c r="W7" s="14">
        <v>69.837434000000002</v>
      </c>
      <c r="X7" s="14">
        <v>72.274171999999993</v>
      </c>
      <c r="Y7" s="14">
        <v>36.189746999999997</v>
      </c>
      <c r="Z7" s="14">
        <v>46.884202999999999</v>
      </c>
      <c r="AA7" s="14">
        <v>46.664577999999999</v>
      </c>
      <c r="AB7" s="15">
        <v>4014.4</v>
      </c>
      <c r="AC7" s="15">
        <v>4172.47</v>
      </c>
      <c r="AD7" s="15">
        <v>68.725999999999999</v>
      </c>
      <c r="AE7" s="15">
        <v>20.311</v>
      </c>
      <c r="AG7" s="10">
        <f t="shared" si="6"/>
        <v>8.2862550000000006</v>
      </c>
      <c r="AH7" s="11">
        <f t="shared" si="7"/>
        <v>3.7114448650200201E-2</v>
      </c>
      <c r="AI7" s="11">
        <f t="shared" si="8"/>
        <v>3.0283645994870441E-2</v>
      </c>
      <c r="AJ7" s="11">
        <f t="shared" si="9"/>
        <v>2.956557926590624E-2</v>
      </c>
      <c r="AK7" s="11">
        <f t="shared" si="10"/>
        <v>6.0442822331076181E-3</v>
      </c>
      <c r="AL7" s="52">
        <f t="shared" si="11"/>
        <v>7211941</v>
      </c>
      <c r="AM7" s="11">
        <v>16</v>
      </c>
      <c r="AN7" s="12">
        <v>29184722</v>
      </c>
      <c r="AO7" s="12">
        <v>912022.5625</v>
      </c>
      <c r="AP7" s="12">
        <v>19293.6875</v>
      </c>
      <c r="AQ7" s="13">
        <v>8838672</v>
      </c>
      <c r="AR7" s="13">
        <v>7040936</v>
      </c>
      <c r="AS7" s="13">
        <v>171005</v>
      </c>
      <c r="AT7" s="13">
        <v>1439424</v>
      </c>
      <c r="AU7" s="14">
        <v>42.302633999999998</v>
      </c>
      <c r="AV7" s="14">
        <v>42.548971999999999</v>
      </c>
      <c r="AW7" s="14">
        <v>34.883730999999997</v>
      </c>
      <c r="AX7" s="14">
        <v>44.604774999999997</v>
      </c>
      <c r="AY7" s="14">
        <v>44.168349999999997</v>
      </c>
      <c r="AZ7" s="15">
        <v>3251.92</v>
      </c>
      <c r="BA7" s="15">
        <v>5465.72</v>
      </c>
      <c r="BB7" s="15">
        <v>75.016999999999996</v>
      </c>
      <c r="BC7" s="15">
        <v>15.819000000000001</v>
      </c>
      <c r="BE7" s="50">
        <f t="shared" si="12"/>
        <v>4.9269699843144545</v>
      </c>
      <c r="BF7" s="16">
        <f t="shared" si="13"/>
        <v>-5.9420997726164181E-3</v>
      </c>
      <c r="BG7" s="16">
        <f t="shared" si="14"/>
        <v>8.4259247797621062E-2</v>
      </c>
      <c r="BH7" s="16"/>
      <c r="BJ7" s="50"/>
      <c r="BK7" s="50"/>
      <c r="BL7" s="50"/>
      <c r="BM7" s="50"/>
      <c r="BN7" s="50"/>
      <c r="BP7" s="50"/>
      <c r="BQ7" s="50"/>
      <c r="BR7" s="50"/>
      <c r="BS7" s="50"/>
      <c r="BT7" s="50"/>
      <c r="BV7" s="58">
        <f t="shared" si="16"/>
        <v>4261018</v>
      </c>
      <c r="BW7" s="58">
        <f t="shared" si="15"/>
        <v>133156.8125</v>
      </c>
      <c r="BX7" s="58">
        <f t="shared" si="15"/>
        <v>-1811.1875</v>
      </c>
      <c r="BY7" s="58">
        <f t="shared" si="15"/>
        <v>6838152</v>
      </c>
      <c r="BZ7" s="58">
        <f t="shared" si="15"/>
        <v>5935960</v>
      </c>
      <c r="CA7" s="58">
        <f t="shared" si="15"/>
        <v>-187787</v>
      </c>
      <c r="CB7" s="58">
        <f t="shared" si="15"/>
        <v>902672</v>
      </c>
      <c r="CC7" s="58">
        <f t="shared" si="15"/>
        <v>-27.534800000000004</v>
      </c>
      <c r="CD7" s="58">
        <f t="shared" si="15"/>
        <v>-29.725199999999994</v>
      </c>
      <c r="CE7" s="58">
        <f t="shared" si="15"/>
        <v>-1.3060159999999996</v>
      </c>
      <c r="CF7" s="58">
        <f t="shared" si="15"/>
        <v>-2.2794280000000029</v>
      </c>
      <c r="CG7" s="58">
        <f t="shared" si="15"/>
        <v>-2.4962280000000021</v>
      </c>
      <c r="CJ7" t="s">
        <v>233</v>
      </c>
    </row>
    <row r="8" spans="1:88" outlineLevel="1" x14ac:dyDescent="0.2">
      <c r="A8" s="17"/>
      <c r="B8" s="17" t="s">
        <v>51</v>
      </c>
      <c r="C8" s="18" t="s">
        <v>236</v>
      </c>
      <c r="D8" s="17">
        <v>238146391</v>
      </c>
      <c r="E8" s="18">
        <v>10</v>
      </c>
      <c r="F8" s="18">
        <v>32</v>
      </c>
      <c r="G8" s="18">
        <v>30</v>
      </c>
      <c r="I8" s="19">
        <f t="shared" si="0"/>
        <v>3.0929700000000002</v>
      </c>
      <c r="J8" s="20">
        <f t="shared" si="1"/>
        <v>1.3853529277292302E-2</v>
      </c>
      <c r="K8" s="20">
        <f t="shared" si="2"/>
        <v>8.8610034825176084E-3</v>
      </c>
      <c r="L8" s="20">
        <f t="shared" si="3"/>
        <v>7.3544007643601035E-3</v>
      </c>
      <c r="M8" s="20">
        <f t="shared" si="4"/>
        <v>4.9925257947746942E-3</v>
      </c>
      <c r="N8" s="17">
        <f t="shared" si="5"/>
        <v>2110216</v>
      </c>
      <c r="O8" s="20">
        <v>16</v>
      </c>
      <c r="P8" s="21">
        <v>25894561</v>
      </c>
      <c r="Q8" s="21">
        <v>809205.03125</v>
      </c>
      <c r="R8" s="21">
        <v>24362.65625</v>
      </c>
      <c r="S8" s="22">
        <v>3299168</v>
      </c>
      <c r="T8" s="22">
        <v>1751424</v>
      </c>
      <c r="U8" s="22">
        <v>358792</v>
      </c>
      <c r="V8" s="22">
        <v>1188952</v>
      </c>
      <c r="W8" s="23">
        <v>70.899381000000005</v>
      </c>
      <c r="X8" s="23">
        <v>73.460274999999996</v>
      </c>
      <c r="Y8" s="23">
        <v>38.671903</v>
      </c>
      <c r="Z8" s="23">
        <v>48.122497000000003</v>
      </c>
      <c r="AA8" s="23">
        <v>48.141522000000002</v>
      </c>
      <c r="AB8" s="24">
        <v>3727.54</v>
      </c>
      <c r="AC8" s="24">
        <v>3812.47</v>
      </c>
      <c r="AD8" s="24">
        <v>69.572999999999993</v>
      </c>
      <c r="AE8" s="24">
        <v>16.606000000000002</v>
      </c>
      <c r="AG8" s="19">
        <f t="shared" si="6"/>
        <v>11.141400000000001</v>
      </c>
      <c r="AH8" s="20">
        <f t="shared" si="7"/>
        <v>4.990275078323568E-2</v>
      </c>
      <c r="AI8" s="20">
        <f t="shared" si="8"/>
        <v>3.8026425519083341E-2</v>
      </c>
      <c r="AJ8" s="20">
        <f t="shared" si="9"/>
        <v>3.6879769469191748E-2</v>
      </c>
      <c r="AK8" s="20">
        <f t="shared" si="10"/>
        <v>1.1518394162857585E-2</v>
      </c>
      <c r="AL8" s="17">
        <f t="shared" si="11"/>
        <v>9055856</v>
      </c>
      <c r="AM8" s="20">
        <v>16</v>
      </c>
      <c r="AN8" s="21">
        <v>28238086</v>
      </c>
      <c r="AO8" s="21">
        <v>882440.1875</v>
      </c>
      <c r="AP8" s="21">
        <v>20197.53125</v>
      </c>
      <c r="AQ8" s="22">
        <v>11884160</v>
      </c>
      <c r="AR8" s="22">
        <v>8782784</v>
      </c>
      <c r="AS8" s="22">
        <v>273072</v>
      </c>
      <c r="AT8" s="22">
        <v>2743064</v>
      </c>
      <c r="AU8" s="23">
        <v>42.139496999999999</v>
      </c>
      <c r="AV8" s="23">
        <v>42.385469000000001</v>
      </c>
      <c r="AW8" s="23">
        <v>37.451296999999997</v>
      </c>
      <c r="AX8" s="23">
        <v>45.955606000000003</v>
      </c>
      <c r="AY8" s="23">
        <v>45.623403000000003</v>
      </c>
      <c r="AZ8" s="24">
        <v>3917.83</v>
      </c>
      <c r="BA8" s="24">
        <v>7570.3</v>
      </c>
      <c r="BB8" s="24">
        <v>84.147999999999996</v>
      </c>
      <c r="BC8" s="24">
        <v>22.3</v>
      </c>
      <c r="BE8" s="49">
        <f t="shared" si="12"/>
        <v>4.2914355686811207</v>
      </c>
      <c r="BF8" s="25">
        <f t="shared" si="13"/>
        <v>-7.2186293565343305E-3</v>
      </c>
      <c r="BG8" s="25">
        <f t="shared" si="14"/>
        <v>0.12238995320519819</v>
      </c>
      <c r="BH8" s="25"/>
      <c r="BJ8" s="49"/>
      <c r="BK8" s="49"/>
      <c r="BL8" s="49"/>
      <c r="BM8" s="49"/>
      <c r="BN8" s="49"/>
      <c r="BP8" s="49"/>
      <c r="BQ8" s="49"/>
      <c r="BR8" s="49"/>
      <c r="BS8" s="49"/>
      <c r="BT8" s="49"/>
      <c r="BV8" s="58">
        <f t="shared" si="16"/>
        <v>2343525</v>
      </c>
      <c r="BW8" s="58">
        <f t="shared" si="15"/>
        <v>73235.15625</v>
      </c>
      <c r="BX8" s="58">
        <f t="shared" si="15"/>
        <v>-4165.125</v>
      </c>
      <c r="BY8" s="58">
        <f t="shared" si="15"/>
        <v>8584992</v>
      </c>
      <c r="BZ8" s="58">
        <f t="shared" si="15"/>
        <v>7031360</v>
      </c>
      <c r="CA8" s="58">
        <f t="shared" si="15"/>
        <v>-85720</v>
      </c>
      <c r="CB8" s="58">
        <f t="shared" si="15"/>
        <v>1554112</v>
      </c>
      <c r="CC8" s="58">
        <f t="shared" si="15"/>
        <v>-28.759884000000007</v>
      </c>
      <c r="CD8" s="58">
        <f t="shared" si="15"/>
        <v>-31.074805999999995</v>
      </c>
      <c r="CE8" s="58">
        <f t="shared" si="15"/>
        <v>-1.2206060000000036</v>
      </c>
      <c r="CF8" s="58">
        <f t="shared" si="15"/>
        <v>-2.1668909999999997</v>
      </c>
      <c r="CG8" s="58">
        <f t="shared" si="15"/>
        <v>-2.5181189999999987</v>
      </c>
      <c r="CJ8" t="s">
        <v>233</v>
      </c>
    </row>
    <row r="9" spans="1:88" ht="16" outlineLevel="1" thickBot="1" x14ac:dyDescent="0.25">
      <c r="A9" s="52"/>
      <c r="B9" s="26" t="s">
        <v>51</v>
      </c>
      <c r="C9" s="27" t="s">
        <v>237</v>
      </c>
      <c r="D9" s="26">
        <v>238146391</v>
      </c>
      <c r="E9" s="27">
        <v>10</v>
      </c>
      <c r="F9" s="27">
        <v>32</v>
      </c>
      <c r="G9" s="27">
        <v>30</v>
      </c>
      <c r="I9" s="28">
        <f t="shared" si="0"/>
        <v>6.3083549999999997</v>
      </c>
      <c r="J9" s="29">
        <f t="shared" si="1"/>
        <v>2.8255359956305195E-2</v>
      </c>
      <c r="K9" s="29">
        <f t="shared" si="2"/>
        <v>1.5570053295495878E-2</v>
      </c>
      <c r="L9" s="29">
        <f t="shared" si="3"/>
        <v>1.2147654171253009E-2</v>
      </c>
      <c r="M9" s="29">
        <f t="shared" si="4"/>
        <v>1.2685306660809317E-2</v>
      </c>
      <c r="N9" s="26">
        <f t="shared" si="5"/>
        <v>3707952</v>
      </c>
      <c r="O9" s="29">
        <v>16</v>
      </c>
      <c r="P9" s="30">
        <v>24903158</v>
      </c>
      <c r="Q9" s="30">
        <v>778223.6875</v>
      </c>
      <c r="R9" s="30">
        <v>10582.96875</v>
      </c>
      <c r="S9" s="31">
        <v>6728912</v>
      </c>
      <c r="T9" s="31">
        <v>2892920</v>
      </c>
      <c r="U9" s="31">
        <v>815032</v>
      </c>
      <c r="V9" s="31">
        <v>3020960</v>
      </c>
      <c r="W9" s="32">
        <v>71.932044000000005</v>
      </c>
      <c r="X9" s="32">
        <v>75.246166000000002</v>
      </c>
      <c r="Y9" s="32">
        <v>41.135641</v>
      </c>
      <c r="Z9" s="32">
        <v>49.545462000000001</v>
      </c>
      <c r="AA9" s="32">
        <v>49.686588</v>
      </c>
      <c r="AB9" s="33">
        <v>3406.56</v>
      </c>
      <c r="AC9" s="33">
        <v>3796.83</v>
      </c>
      <c r="AD9" s="33">
        <v>60.694000000000003</v>
      </c>
      <c r="AE9" s="33">
        <v>16.239999999999998</v>
      </c>
      <c r="AG9" s="28">
        <f t="shared" si="6"/>
        <v>18.010919999999999</v>
      </c>
      <c r="AH9" s="29">
        <f t="shared" si="7"/>
        <v>8.0671589938140192E-2</v>
      </c>
      <c r="AI9" s="29">
        <f t="shared" si="8"/>
        <v>5.207773650451835E-2</v>
      </c>
      <c r="AJ9" s="29">
        <f t="shared" si="9"/>
        <v>4.9340441191065544E-2</v>
      </c>
      <c r="AK9" s="29">
        <f t="shared" si="10"/>
        <v>2.7910765189802938E-2</v>
      </c>
      <c r="AL9" s="26">
        <f t="shared" si="11"/>
        <v>12402125</v>
      </c>
      <c r="AM9" s="29">
        <v>16</v>
      </c>
      <c r="AN9" s="30">
        <v>26203091</v>
      </c>
      <c r="AO9" s="30">
        <v>818846.59375</v>
      </c>
      <c r="AP9" s="30">
        <v>10996.6875</v>
      </c>
      <c r="AQ9" s="31">
        <v>19211648</v>
      </c>
      <c r="AR9" s="31">
        <v>11750248</v>
      </c>
      <c r="AS9" s="31">
        <v>651877</v>
      </c>
      <c r="AT9" s="31">
        <v>6646848</v>
      </c>
      <c r="AU9" s="32">
        <v>46.690393999999998</v>
      </c>
      <c r="AV9" s="32">
        <v>46.943055999999999</v>
      </c>
      <c r="AW9" s="32">
        <v>40.604315999999997</v>
      </c>
      <c r="AX9" s="32">
        <v>47.775680999999999</v>
      </c>
      <c r="AY9" s="32">
        <v>47.405616000000002</v>
      </c>
      <c r="AZ9" s="33">
        <v>3373.85</v>
      </c>
      <c r="BA9" s="33">
        <v>6339.27</v>
      </c>
      <c r="BB9" s="33">
        <v>67.739999999999995</v>
      </c>
      <c r="BC9" s="33">
        <v>18.495999999999999</v>
      </c>
      <c r="BE9" s="34">
        <f t="shared" si="12"/>
        <v>3.3447372026390849</v>
      </c>
      <c r="BF9" s="35">
        <f t="shared" si="13"/>
        <v>-1.6939336988664941E-4</v>
      </c>
      <c r="BG9" s="35">
        <f t="shared" si="14"/>
        <v>9.4504598194343203E-2</v>
      </c>
      <c r="BH9" s="35"/>
      <c r="BJ9" s="34"/>
      <c r="BK9" s="34"/>
      <c r="BL9" s="34"/>
      <c r="BM9" s="34"/>
      <c r="BN9" s="34"/>
      <c r="BP9" s="34"/>
      <c r="BQ9" s="34"/>
      <c r="BR9" s="34"/>
      <c r="BS9" s="34"/>
      <c r="BT9" s="34"/>
      <c r="BV9" s="58">
        <f t="shared" si="16"/>
        <v>1299933</v>
      </c>
      <c r="BW9" s="58">
        <f t="shared" si="15"/>
        <v>40622.90625</v>
      </c>
      <c r="BX9" s="58">
        <f t="shared" si="15"/>
        <v>413.71875</v>
      </c>
      <c r="BY9" s="58">
        <f t="shared" si="15"/>
        <v>12482736</v>
      </c>
      <c r="BZ9" s="58">
        <f t="shared" si="15"/>
        <v>8857328</v>
      </c>
      <c r="CA9" s="58">
        <f t="shared" si="15"/>
        <v>-163155</v>
      </c>
      <c r="CB9" s="58">
        <f t="shared" si="15"/>
        <v>3625888</v>
      </c>
      <c r="CC9" s="58">
        <f t="shared" si="15"/>
        <v>-25.241650000000007</v>
      </c>
      <c r="CD9" s="58">
        <f t="shared" si="15"/>
        <v>-28.303110000000004</v>
      </c>
      <c r="CE9" s="58">
        <f t="shared" si="15"/>
        <v>-0.53132500000000249</v>
      </c>
      <c r="CF9" s="58">
        <f t="shared" si="15"/>
        <v>-1.7697810000000018</v>
      </c>
      <c r="CG9" s="58">
        <f t="shared" si="15"/>
        <v>-2.2809719999999984</v>
      </c>
      <c r="CJ9" t="s">
        <v>233</v>
      </c>
    </row>
    <row r="10" spans="1:88" x14ac:dyDescent="0.2">
      <c r="A10" s="17"/>
      <c r="B10" s="17" t="s">
        <v>59</v>
      </c>
      <c r="C10" s="18" t="s">
        <v>232</v>
      </c>
      <c r="D10" s="17">
        <v>218121242</v>
      </c>
      <c r="E10" s="18">
        <v>10</v>
      </c>
      <c r="F10" s="18">
        <v>32</v>
      </c>
      <c r="G10" s="18">
        <v>30</v>
      </c>
      <c r="I10" s="19">
        <f t="shared" si="0"/>
        <v>1.9765725000000001</v>
      </c>
      <c r="J10" s="20">
        <f t="shared" si="1"/>
        <v>9.6659269893575976E-3</v>
      </c>
      <c r="K10" s="20">
        <f t="shared" si="2"/>
        <v>7.2509765004914106E-3</v>
      </c>
      <c r="L10" s="20">
        <f t="shared" si="3"/>
        <v>4.1104845716952226E-3</v>
      </c>
      <c r="M10" s="20">
        <f t="shared" si="4"/>
        <v>2.4149504888661875E-3</v>
      </c>
      <c r="N10" s="17">
        <f t="shared" si="5"/>
        <v>1581592</v>
      </c>
      <c r="O10" s="20">
        <v>16</v>
      </c>
      <c r="P10" s="21">
        <v>20942558</v>
      </c>
      <c r="Q10" s="21">
        <v>654454.9375</v>
      </c>
      <c r="R10" s="21">
        <v>18943.59375</v>
      </c>
      <c r="S10" s="22">
        <v>2108344</v>
      </c>
      <c r="T10" s="22">
        <v>896584</v>
      </c>
      <c r="U10" s="22">
        <v>685008</v>
      </c>
      <c r="V10" s="22">
        <v>526752</v>
      </c>
      <c r="W10" s="23">
        <v>65.984049999999996</v>
      </c>
      <c r="X10" s="23">
        <v>67.859694000000005</v>
      </c>
      <c r="Y10" s="23">
        <v>31.012543999999998</v>
      </c>
      <c r="Z10" s="23">
        <v>38.769036999999997</v>
      </c>
      <c r="AA10" s="23">
        <v>30.066780999999999</v>
      </c>
      <c r="AB10" s="24">
        <v>3792.86</v>
      </c>
      <c r="AC10" s="24">
        <v>3624.36</v>
      </c>
      <c r="AD10" s="24">
        <v>53.113</v>
      </c>
      <c r="AE10" s="24">
        <v>15.522</v>
      </c>
      <c r="AG10" s="19">
        <f t="shared" si="6"/>
        <v>9.1022925000000008</v>
      </c>
      <c r="AH10" s="20">
        <f t="shared" si="7"/>
        <v>4.4512455141805948E-2</v>
      </c>
      <c r="AI10" s="20">
        <f t="shared" si="8"/>
        <v>3.593733892272629E-2</v>
      </c>
      <c r="AJ10" s="20">
        <f t="shared" si="9"/>
        <v>3.4990338079956468E-2</v>
      </c>
      <c r="AK10" s="20">
        <f t="shared" si="10"/>
        <v>6.4832566834549746E-3</v>
      </c>
      <c r="AL10" s="17">
        <f t="shared" si="11"/>
        <v>7838697</v>
      </c>
      <c r="AM10" s="20">
        <v>16</v>
      </c>
      <c r="AN10" s="21">
        <v>28628935</v>
      </c>
      <c r="AO10" s="21">
        <v>894654.21875</v>
      </c>
      <c r="AP10" s="21">
        <v>17416.96875</v>
      </c>
      <c r="AQ10" s="22">
        <v>9709112</v>
      </c>
      <c r="AR10" s="22">
        <v>7632136</v>
      </c>
      <c r="AS10" s="22">
        <v>206561</v>
      </c>
      <c r="AT10" s="22">
        <v>1414136</v>
      </c>
      <c r="AU10" s="23">
        <v>41.202196999999998</v>
      </c>
      <c r="AV10" s="23">
        <v>41.718705999999997</v>
      </c>
      <c r="AW10" s="23">
        <v>28.51595</v>
      </c>
      <c r="AX10" s="23">
        <v>36.719872000000002</v>
      </c>
      <c r="AY10" s="23">
        <v>28.664859</v>
      </c>
      <c r="AZ10" s="24">
        <v>3980.8</v>
      </c>
      <c r="BA10" s="24">
        <v>9318.94</v>
      </c>
      <c r="BB10" s="24">
        <v>82.552000000000007</v>
      </c>
      <c r="BC10" s="24">
        <v>23.513999999999999</v>
      </c>
      <c r="BE10" s="49">
        <f t="shared" si="12"/>
        <v>4.9562067840505009</v>
      </c>
      <c r="BF10" s="25">
        <f t="shared" si="13"/>
        <v>-9.4777828194166705E-3</v>
      </c>
      <c r="BG10" s="25">
        <f t="shared" si="14"/>
        <v>5.7196260609249649E-2</v>
      </c>
      <c r="BH10" s="25">
        <f t="array" ref="BH10">AVERAGE(AL10:AL14/AQ10:AQ14) - AVERAGE(N10:N14/S10:S14)</f>
        <v>0.11205636976122924</v>
      </c>
      <c r="BJ10" s="49">
        <f>IF( OR(ISBLANK(N10:N14),ISBLANK(AL10:AL14), ISBLANK(W10:W14),ISBLANK(AU10:AU14)), "·", bdRateExtend( N10:N14,W10:W14, AL10:AL14,AU10:AU14))</f>
        <v>1</v>
      </c>
      <c r="BK10" s="49">
        <f>IF( OR(ISBLANK(N10:N14),ISBLANK(AL10:AL14), ISBLANK(X10:X14),ISBLANK(AV10:AV14)), "·", bdRateExtend( N10:N14,X10:X14, AL10:AL14,AV10:AV14))</f>
        <v>1</v>
      </c>
      <c r="BL10" s="49">
        <f>IF( OR(ISBLANK(V10:V14),ISBLANK(AT10:AT14), ISBLANK(Y10:Y14),ISBLANK(AW10:AW14)), "·", bdRateExtend( V10:V14,Y10:Y14, AT10:AT14,AW10:AW14))</f>
        <v>2.4651006514260905</v>
      </c>
      <c r="BM10" s="49">
        <f>IF( OR(ISBLANK(V10:V14),ISBLANK(AT10:AT14), ISBLANK(Z10:Z14),ISBLANK(AX10:AX14)), "·", bdRateExtend( V10:V14,Z10:Z14, AT10:AT14,AX10:AX14))</f>
        <v>5.4195993476075355</v>
      </c>
      <c r="BN10" s="49">
        <f>IF( OR(ISBLANK(V10:V14),ISBLANK(AT10:AT14), ISBLANK(AA10:AA14),ISBLANK(AY10:AY14)), "·", bdRateExtend( V10:V14,AA10:AA14, AT10:AT14,AY10:AY14))</f>
        <v>3.139250727112973</v>
      </c>
      <c r="BP10" s="49">
        <f>IF( OR(ISBLANK(S10:S14),ISBLANK(AQ10:AQ14), ISBLANK(W10:W14),ISBLANK(AU10:AU14)), "·", bdRateExtend( S10:S14,W10:W14, AQ10:AQ14,AU10:AU14))</f>
        <v>1</v>
      </c>
      <c r="BQ10" s="49">
        <f>IF( OR(ISBLANK(S10:S14),ISBLANK(AQ10:AQ14), ISBLANK(X10:X14),ISBLANK(AV10:AV14)), "·", bdRateExtend( S10:S14,X10:X14, AQ10:AQ14,AV10:AV14))</f>
        <v>1</v>
      </c>
      <c r="BR10" s="49">
        <f>IF( OR(ISBLANK(S10:S14),ISBLANK(AQ10:AQ14), ISBLANK(Y10:Y14),ISBLANK(AW10:AW14)), "·", bdRateExtend( S10:S14,Y10:Y14, AQ10:AQ14,AW10:AW14))</f>
        <v>3.5827372878742736</v>
      </c>
      <c r="BS10" s="49">
        <f>IF( OR(ISBLANK(S10:S14),ISBLANK(AQ10:AQ14), ISBLANK(Z10:Z14),ISBLANK(AX10:AX14)), "·", bdRateExtend( S10:S14,Z10:Z14, AQ10:AQ14,AX10:AX14))</f>
        <v>5.8482469029983637</v>
      </c>
      <c r="BT10" s="49">
        <f>IF( OR(ISBLANK(S10:S14),ISBLANK(AQ10:AQ14), ISBLANK(AA10:AA14),ISBLANK(AY10:AY14)), "·", bdRateExtend( S10:S14,AA10:AA14, AQ10:AQ14,AY10:AY14))</f>
        <v>4.3351614813658976</v>
      </c>
      <c r="BV10" s="58">
        <f t="shared" si="16"/>
        <v>7686377</v>
      </c>
      <c r="BW10" s="58">
        <f t="shared" si="15"/>
        <v>240199.28125</v>
      </c>
      <c r="BX10" s="58">
        <f t="shared" si="15"/>
        <v>-1526.625</v>
      </c>
      <c r="BY10" s="58">
        <f t="shared" si="15"/>
        <v>7600768</v>
      </c>
      <c r="BZ10" s="58">
        <f t="shared" si="15"/>
        <v>6735552</v>
      </c>
      <c r="CA10" s="58">
        <f t="shared" si="15"/>
        <v>-478447</v>
      </c>
      <c r="CB10" s="58">
        <f t="shared" si="15"/>
        <v>887384</v>
      </c>
      <c r="CC10" s="58">
        <f t="shared" si="15"/>
        <v>-24.781852999999998</v>
      </c>
      <c r="CD10" s="58">
        <f t="shared" si="15"/>
        <v>-26.140988000000007</v>
      </c>
      <c r="CE10" s="58">
        <f t="shared" si="15"/>
        <v>-2.4965939999999982</v>
      </c>
      <c r="CF10" s="58">
        <f t="shared" si="15"/>
        <v>-2.049164999999995</v>
      </c>
      <c r="CG10" s="58">
        <f t="shared" si="15"/>
        <v>-1.401921999999999</v>
      </c>
      <c r="CJ10" t="s">
        <v>587</v>
      </c>
    </row>
    <row r="11" spans="1:88" outlineLevel="1" x14ac:dyDescent="0.2">
      <c r="A11" s="52"/>
      <c r="B11" s="52" t="s">
        <v>59</v>
      </c>
      <c r="C11" s="9" t="s">
        <v>234</v>
      </c>
      <c r="D11" s="52">
        <v>218121242</v>
      </c>
      <c r="E11" s="9">
        <v>10</v>
      </c>
      <c r="F11" s="9">
        <v>32</v>
      </c>
      <c r="G11" s="9">
        <v>30</v>
      </c>
      <c r="I11" s="10">
        <f t="shared" si="0"/>
        <v>2.6997675000000001</v>
      </c>
      <c r="J11" s="11">
        <f t="shared" si="1"/>
        <v>1.3202528894457699E-2</v>
      </c>
      <c r="K11" s="11">
        <f t="shared" si="2"/>
        <v>8.8998576305557627E-3</v>
      </c>
      <c r="L11" s="11">
        <f t="shared" si="3"/>
        <v>5.7593657017595747E-3</v>
      </c>
      <c r="M11" s="11">
        <f t="shared" si="4"/>
        <v>4.302671263901936E-3</v>
      </c>
      <c r="N11" s="52">
        <f t="shared" si="5"/>
        <v>1941248</v>
      </c>
      <c r="O11" s="11">
        <v>16</v>
      </c>
      <c r="P11" s="12">
        <v>22233167</v>
      </c>
      <c r="Q11" s="12">
        <v>694786.46875</v>
      </c>
      <c r="R11" s="12">
        <v>23204.09375</v>
      </c>
      <c r="S11" s="13">
        <v>2879752</v>
      </c>
      <c r="T11" s="13">
        <v>1256240</v>
      </c>
      <c r="U11" s="13">
        <v>685008</v>
      </c>
      <c r="V11" s="13">
        <v>938504</v>
      </c>
      <c r="W11" s="14">
        <v>67.674730999999994</v>
      </c>
      <c r="X11" s="14">
        <v>69.753456</v>
      </c>
      <c r="Y11" s="14">
        <v>32.861966000000002</v>
      </c>
      <c r="Z11" s="14">
        <v>39.685718999999999</v>
      </c>
      <c r="AA11" s="14">
        <v>32.241593999999999</v>
      </c>
      <c r="AB11" s="15">
        <v>3972.02</v>
      </c>
      <c r="AC11" s="15">
        <v>4753.7700000000004</v>
      </c>
      <c r="AD11" s="15">
        <v>62.247</v>
      </c>
      <c r="AE11" s="15">
        <v>19.843</v>
      </c>
      <c r="AG11" s="10">
        <f t="shared" si="6"/>
        <v>11.84685</v>
      </c>
      <c r="AH11" s="11">
        <f t="shared" si="7"/>
        <v>5.7934018182419847E-2</v>
      </c>
      <c r="AI11" s="11">
        <f t="shared" si="8"/>
        <v>4.4773204619841654E-2</v>
      </c>
      <c r="AJ11" s="11">
        <f t="shared" si="9"/>
        <v>4.3433165486926759E-2</v>
      </c>
      <c r="AK11" s="11">
        <f t="shared" si="10"/>
        <v>1.1461992317098579E-2</v>
      </c>
      <c r="AL11" s="52">
        <f t="shared" si="11"/>
        <v>9765987</v>
      </c>
      <c r="AM11" s="11">
        <v>16</v>
      </c>
      <c r="AN11" s="12">
        <v>27623390</v>
      </c>
      <c r="AO11" s="12">
        <v>863230.9375</v>
      </c>
      <c r="AP11" s="12">
        <v>20898.78125</v>
      </c>
      <c r="AQ11" s="13">
        <v>12636640</v>
      </c>
      <c r="AR11" s="13">
        <v>9473696</v>
      </c>
      <c r="AS11" s="13">
        <v>292291</v>
      </c>
      <c r="AT11" s="13">
        <v>2500104</v>
      </c>
      <c r="AU11" s="14">
        <v>40.962947</v>
      </c>
      <c r="AV11" s="14">
        <v>41.480618999999997</v>
      </c>
      <c r="AW11" s="14">
        <v>30.888987</v>
      </c>
      <c r="AX11" s="14">
        <v>37.901353</v>
      </c>
      <c r="AY11" s="14">
        <v>30.850840999999999</v>
      </c>
      <c r="AZ11" s="15">
        <v>4118.38</v>
      </c>
      <c r="BA11" s="15">
        <v>10497.6</v>
      </c>
      <c r="BB11" s="15">
        <v>82.372</v>
      </c>
      <c r="BC11" s="15">
        <v>25.658000000000001</v>
      </c>
      <c r="BE11" s="50">
        <f t="shared" si="12"/>
        <v>5.0307776234669648</v>
      </c>
      <c r="BF11" s="16">
        <f t="shared" si="13"/>
        <v>-9.1874923010693034E-3</v>
      </c>
      <c r="BG11" s="16">
        <f t="shared" si="14"/>
        <v>9.872849772433967E-2</v>
      </c>
      <c r="BH11" s="16"/>
      <c r="BJ11" s="50"/>
      <c r="BK11" s="50"/>
      <c r="BL11" s="50"/>
      <c r="BM11" s="50"/>
      <c r="BN11" s="50"/>
      <c r="BP11" s="50"/>
      <c r="BQ11" s="50"/>
      <c r="BR11" s="50"/>
      <c r="BS11" s="50"/>
      <c r="BT11" s="50"/>
      <c r="BV11" s="58">
        <f t="shared" si="16"/>
        <v>5390223</v>
      </c>
      <c r="BW11" s="58">
        <f t="shared" si="15"/>
        <v>168444.46875</v>
      </c>
      <c r="BX11" s="58">
        <f t="shared" si="15"/>
        <v>-2305.3125</v>
      </c>
      <c r="BY11" s="58">
        <f t="shared" si="15"/>
        <v>9756888</v>
      </c>
      <c r="BZ11" s="58">
        <f t="shared" si="15"/>
        <v>8217456</v>
      </c>
      <c r="CA11" s="58">
        <f t="shared" si="15"/>
        <v>-392717</v>
      </c>
      <c r="CB11" s="58">
        <f t="shared" si="15"/>
        <v>1561600</v>
      </c>
      <c r="CC11" s="58">
        <f t="shared" si="15"/>
        <v>-26.711783999999994</v>
      </c>
      <c r="CD11" s="58">
        <f t="shared" si="15"/>
        <v>-28.272837000000003</v>
      </c>
      <c r="CE11" s="58">
        <f t="shared" si="15"/>
        <v>-1.9729790000000023</v>
      </c>
      <c r="CF11" s="58">
        <f t="shared" si="15"/>
        <v>-1.7843659999999986</v>
      </c>
      <c r="CG11" s="58">
        <f t="shared" si="15"/>
        <v>-1.3907530000000001</v>
      </c>
      <c r="CJ11" t="s">
        <v>587</v>
      </c>
    </row>
    <row r="12" spans="1:88" outlineLevel="1" x14ac:dyDescent="0.2">
      <c r="A12" s="17"/>
      <c r="B12" s="17" t="s">
        <v>59</v>
      </c>
      <c r="C12" s="18" t="s">
        <v>235</v>
      </c>
      <c r="D12" s="17">
        <v>218121242</v>
      </c>
      <c r="E12" s="18">
        <v>10</v>
      </c>
      <c r="F12" s="18">
        <v>32</v>
      </c>
      <c r="G12" s="18">
        <v>30</v>
      </c>
      <c r="I12" s="19">
        <f t="shared" si="0"/>
        <v>3.8493075000000001</v>
      </c>
      <c r="J12" s="20">
        <f t="shared" si="1"/>
        <v>1.8824062995203374E-2</v>
      </c>
      <c r="K12" s="20">
        <f t="shared" si="2"/>
        <v>1.141757665216302E-2</v>
      </c>
      <c r="L12" s="20">
        <f t="shared" si="3"/>
        <v>8.2770847233668322E-3</v>
      </c>
      <c r="M12" s="20">
        <f t="shared" si="4"/>
        <v>7.4064863430403534E-3</v>
      </c>
      <c r="N12" s="17">
        <f t="shared" si="5"/>
        <v>2490416</v>
      </c>
      <c r="O12" s="20">
        <v>16</v>
      </c>
      <c r="P12" s="21">
        <v>22569901</v>
      </c>
      <c r="Q12" s="21">
        <v>705309.40625</v>
      </c>
      <c r="R12" s="21">
        <v>24721.9375</v>
      </c>
      <c r="S12" s="22">
        <v>4105928</v>
      </c>
      <c r="T12" s="22">
        <v>1805408</v>
      </c>
      <c r="U12" s="22">
        <v>685008</v>
      </c>
      <c r="V12" s="22">
        <v>1615512</v>
      </c>
      <c r="W12" s="23">
        <v>69.009450000000001</v>
      </c>
      <c r="X12" s="23">
        <v>71.379971999999995</v>
      </c>
      <c r="Y12" s="23">
        <v>34.860587000000002</v>
      </c>
      <c r="Z12" s="23">
        <v>40.655971999999998</v>
      </c>
      <c r="AA12" s="23">
        <v>34.140081000000002</v>
      </c>
      <c r="AB12" s="24">
        <v>3414.9</v>
      </c>
      <c r="AC12" s="24">
        <v>3946.13</v>
      </c>
      <c r="AD12" s="24">
        <v>57.033000000000001</v>
      </c>
      <c r="AE12" s="24">
        <v>15.938000000000001</v>
      </c>
      <c r="AG12" s="19">
        <f t="shared" si="6"/>
        <v>15.373177500000001</v>
      </c>
      <c r="AH12" s="20">
        <f t="shared" si="7"/>
        <v>7.5178629323961035E-2</v>
      </c>
      <c r="AI12" s="20">
        <f t="shared" si="8"/>
        <v>5.5148654435041224E-2</v>
      </c>
      <c r="AJ12" s="20">
        <f t="shared" si="9"/>
        <v>5.3250971310717182E-2</v>
      </c>
      <c r="AK12" s="20">
        <f t="shared" si="10"/>
        <v>1.8888797634849339E-2</v>
      </c>
      <c r="AL12" s="17">
        <f t="shared" si="11"/>
        <v>12029093</v>
      </c>
      <c r="AM12" s="20">
        <v>16</v>
      </c>
      <c r="AN12" s="21">
        <v>26616300</v>
      </c>
      <c r="AO12" s="21">
        <v>831759.375</v>
      </c>
      <c r="AP12" s="21">
        <v>23470.78125</v>
      </c>
      <c r="AQ12" s="22">
        <v>16398056</v>
      </c>
      <c r="AR12" s="22">
        <v>11615168</v>
      </c>
      <c r="AS12" s="22">
        <v>413925</v>
      </c>
      <c r="AT12" s="22">
        <v>4120048</v>
      </c>
      <c r="AU12" s="23">
        <v>40.756962999999999</v>
      </c>
      <c r="AV12" s="23">
        <v>41.275528000000001</v>
      </c>
      <c r="AW12" s="23">
        <v>33.250658999999999</v>
      </c>
      <c r="AX12" s="23">
        <v>38.916553</v>
      </c>
      <c r="AY12" s="23">
        <v>32.652811999999997</v>
      </c>
      <c r="AZ12" s="24">
        <v>4071.76</v>
      </c>
      <c r="BA12" s="24">
        <v>10898.6</v>
      </c>
      <c r="BB12" s="24">
        <v>78.968000000000004</v>
      </c>
      <c r="BC12" s="24">
        <v>25.763000000000002</v>
      </c>
      <c r="BE12" s="49">
        <f t="shared" si="12"/>
        <v>4.8301540786760127</v>
      </c>
      <c r="BF12" s="25">
        <f t="shared" si="13"/>
        <v>-6.832960261301365E-3</v>
      </c>
      <c r="BG12" s="25">
        <f t="shared" si="14"/>
        <v>0.12702666891877457</v>
      </c>
      <c r="BH12" s="25"/>
      <c r="BJ12" s="49"/>
      <c r="BK12" s="49"/>
      <c r="BL12" s="49"/>
      <c r="BM12" s="49"/>
      <c r="BN12" s="49"/>
      <c r="BP12" s="49"/>
      <c r="BQ12" s="49"/>
      <c r="BR12" s="49"/>
      <c r="BS12" s="49"/>
      <c r="BT12" s="49"/>
      <c r="BV12" s="58">
        <f t="shared" si="16"/>
        <v>4046399</v>
      </c>
      <c r="BW12" s="58">
        <f t="shared" si="15"/>
        <v>126449.96875</v>
      </c>
      <c r="BX12" s="58">
        <f t="shared" si="15"/>
        <v>-1251.15625</v>
      </c>
      <c r="BY12" s="58">
        <f t="shared" si="15"/>
        <v>12292128</v>
      </c>
      <c r="BZ12" s="58">
        <f t="shared" si="15"/>
        <v>9809760</v>
      </c>
      <c r="CA12" s="58">
        <f t="shared" si="15"/>
        <v>-271083</v>
      </c>
      <c r="CB12" s="58">
        <f t="shared" si="15"/>
        <v>2504536</v>
      </c>
      <c r="CC12" s="58">
        <f t="shared" si="15"/>
        <v>-28.252487000000002</v>
      </c>
      <c r="CD12" s="58">
        <f t="shared" si="15"/>
        <v>-30.104443999999994</v>
      </c>
      <c r="CE12" s="58">
        <f t="shared" si="15"/>
        <v>-1.6099280000000036</v>
      </c>
      <c r="CF12" s="58">
        <f t="shared" si="15"/>
        <v>-1.7394189999999981</v>
      </c>
      <c r="CG12" s="58">
        <f t="shared" si="15"/>
        <v>-1.4872690000000048</v>
      </c>
      <c r="CJ12" t="s">
        <v>587</v>
      </c>
    </row>
    <row r="13" spans="1:88" outlineLevel="1" x14ac:dyDescent="0.2">
      <c r="A13" s="52"/>
      <c r="B13" s="52" t="s">
        <v>59</v>
      </c>
      <c r="C13" s="9" t="s">
        <v>236</v>
      </c>
      <c r="D13" s="52">
        <v>218121242</v>
      </c>
      <c r="E13" s="9">
        <v>10</v>
      </c>
      <c r="F13" s="9">
        <v>32</v>
      </c>
      <c r="G13" s="9">
        <v>30</v>
      </c>
      <c r="I13" s="10">
        <f t="shared" si="0"/>
        <v>6.2049824999999998</v>
      </c>
      <c r="J13" s="11">
        <f t="shared" si="1"/>
        <v>3.0343894704212258E-2</v>
      </c>
      <c r="K13" s="11">
        <f t="shared" si="2"/>
        <v>1.5919990039301168E-2</v>
      </c>
      <c r="L13" s="11">
        <f t="shared" si="3"/>
        <v>1.2779498110504982E-2</v>
      </c>
      <c r="M13" s="11">
        <f t="shared" si="4"/>
        <v>1.4423904664911086E-2</v>
      </c>
      <c r="N13" s="52">
        <f t="shared" si="5"/>
        <v>3472488</v>
      </c>
      <c r="O13" s="11">
        <v>16</v>
      </c>
      <c r="P13" s="12">
        <v>23308443</v>
      </c>
      <c r="Q13" s="12">
        <v>728388.84375</v>
      </c>
      <c r="R13" s="12">
        <v>27991.21875</v>
      </c>
      <c r="S13" s="13">
        <v>6618648</v>
      </c>
      <c r="T13" s="13">
        <v>2787480</v>
      </c>
      <c r="U13" s="13">
        <v>685008</v>
      </c>
      <c r="V13" s="13">
        <v>3146160</v>
      </c>
      <c r="W13" s="14">
        <v>70.060288</v>
      </c>
      <c r="X13" s="14">
        <v>72.567171999999999</v>
      </c>
      <c r="Y13" s="14">
        <v>37.050668999999999</v>
      </c>
      <c r="Z13" s="14">
        <v>41.679997</v>
      </c>
      <c r="AA13" s="14">
        <v>36.076627999999999</v>
      </c>
      <c r="AB13" s="15">
        <v>4169.99</v>
      </c>
      <c r="AC13" s="15">
        <v>5687.17</v>
      </c>
      <c r="AD13" s="15">
        <v>66.706000000000003</v>
      </c>
      <c r="AE13" s="15">
        <v>23.655000000000001</v>
      </c>
      <c r="AG13" s="10">
        <f t="shared" si="6"/>
        <v>20.669474999999998</v>
      </c>
      <c r="AH13" s="11">
        <f t="shared" si="7"/>
        <v>0.10107883027733723</v>
      </c>
      <c r="AI13" s="11">
        <f t="shared" si="8"/>
        <v>6.8645987262441865E-2</v>
      </c>
      <c r="AJ13" s="11">
        <f t="shared" si="9"/>
        <v>6.5746150482675139E-2</v>
      </c>
      <c r="AK13" s="11">
        <f t="shared" si="10"/>
        <v>3.2293819416267584E-2</v>
      </c>
      <c r="AL13" s="52">
        <f t="shared" si="11"/>
        <v>14973148</v>
      </c>
      <c r="AM13" s="11">
        <v>16</v>
      </c>
      <c r="AN13" s="12">
        <v>25788647</v>
      </c>
      <c r="AO13" s="12">
        <v>805895.21875</v>
      </c>
      <c r="AP13" s="12">
        <v>24603.96875</v>
      </c>
      <c r="AQ13" s="13">
        <v>22047440</v>
      </c>
      <c r="AR13" s="13">
        <v>14340632</v>
      </c>
      <c r="AS13" s="13">
        <v>632516</v>
      </c>
      <c r="AT13" s="13">
        <v>7043968</v>
      </c>
      <c r="AU13" s="14">
        <v>40.594571999999999</v>
      </c>
      <c r="AV13" s="14">
        <v>41.113174999999998</v>
      </c>
      <c r="AW13" s="14">
        <v>35.814619</v>
      </c>
      <c r="AX13" s="14">
        <v>39.936084000000001</v>
      </c>
      <c r="AY13" s="14">
        <v>34.144799999999996</v>
      </c>
      <c r="AZ13" s="15">
        <v>3537.89</v>
      </c>
      <c r="BA13" s="15">
        <v>8927.4500000000007</v>
      </c>
      <c r="BB13" s="15">
        <v>70.769000000000005</v>
      </c>
      <c r="BC13" s="15">
        <v>21.92</v>
      </c>
      <c r="BE13" s="50">
        <f t="shared" si="12"/>
        <v>4.3119365711270996</v>
      </c>
      <c r="BF13" s="16">
        <f t="shared" si="13"/>
        <v>-7.8989656379953033E-3</v>
      </c>
      <c r="BG13" s="16">
        <f t="shared" si="14"/>
        <v>0.15448101366249678</v>
      </c>
      <c r="BH13" s="16"/>
      <c r="BJ13" s="50"/>
      <c r="BK13" s="50"/>
      <c r="BL13" s="50"/>
      <c r="BM13" s="50"/>
      <c r="BN13" s="50"/>
      <c r="BP13" s="50"/>
      <c r="BQ13" s="50"/>
      <c r="BR13" s="50"/>
      <c r="BS13" s="50"/>
      <c r="BT13" s="50"/>
      <c r="BV13" s="58">
        <f t="shared" si="16"/>
        <v>2480204</v>
      </c>
      <c r="BW13" s="58">
        <f t="shared" si="15"/>
        <v>77506.375</v>
      </c>
      <c r="BX13" s="58">
        <f t="shared" si="15"/>
        <v>-3387.25</v>
      </c>
      <c r="BY13" s="58">
        <f t="shared" si="15"/>
        <v>15428792</v>
      </c>
      <c r="BZ13" s="58">
        <f t="shared" si="15"/>
        <v>11553152</v>
      </c>
      <c r="CA13" s="58">
        <f t="shared" si="15"/>
        <v>-52492</v>
      </c>
      <c r="CB13" s="58">
        <f t="shared" si="15"/>
        <v>3897808</v>
      </c>
      <c r="CC13" s="58">
        <f t="shared" si="15"/>
        <v>-29.465716</v>
      </c>
      <c r="CD13" s="58">
        <f t="shared" si="15"/>
        <v>-31.453997000000001</v>
      </c>
      <c r="CE13" s="58">
        <f t="shared" si="15"/>
        <v>-1.2360499999999988</v>
      </c>
      <c r="CF13" s="58">
        <f t="shared" si="15"/>
        <v>-1.7439129999999992</v>
      </c>
      <c r="CG13" s="58">
        <f t="shared" si="15"/>
        <v>-1.931828000000003</v>
      </c>
      <c r="CJ13" t="s">
        <v>587</v>
      </c>
    </row>
    <row r="14" spans="1:88" ht="16" outlineLevel="1" thickBot="1" x14ac:dyDescent="0.25">
      <c r="A14" s="17"/>
      <c r="B14" s="36" t="s">
        <v>59</v>
      </c>
      <c r="C14" s="37" t="s">
        <v>237</v>
      </c>
      <c r="D14" s="36">
        <v>218121242</v>
      </c>
      <c r="E14" s="37">
        <v>10</v>
      </c>
      <c r="F14" s="37">
        <v>32</v>
      </c>
      <c r="G14" s="37">
        <v>30</v>
      </c>
      <c r="I14" s="38">
        <f t="shared" si="0"/>
        <v>12.240539999999999</v>
      </c>
      <c r="J14" s="39">
        <f t="shared" si="1"/>
        <v>5.9859259374655492E-2</v>
      </c>
      <c r="K14" s="39">
        <f t="shared" si="2"/>
        <v>2.6824237503654046E-2</v>
      </c>
      <c r="L14" s="39">
        <f t="shared" si="3"/>
        <v>2.0741492018461916E-2</v>
      </c>
      <c r="M14" s="39">
        <f t="shared" si="4"/>
        <v>3.3035021871001449E-2</v>
      </c>
      <c r="N14" s="36">
        <f t="shared" si="5"/>
        <v>5850936</v>
      </c>
      <c r="O14" s="39">
        <v>16</v>
      </c>
      <c r="P14" s="40">
        <v>22150010</v>
      </c>
      <c r="Q14" s="40">
        <v>692187.8125</v>
      </c>
      <c r="R14" s="40">
        <v>13331.5625</v>
      </c>
      <c r="S14" s="41">
        <v>13056576</v>
      </c>
      <c r="T14" s="41">
        <v>4524160</v>
      </c>
      <c r="U14" s="41">
        <v>1326776</v>
      </c>
      <c r="V14" s="41">
        <v>7205640</v>
      </c>
      <c r="W14" s="42">
        <v>70.920671999999996</v>
      </c>
      <c r="X14" s="42">
        <v>74.632659000000004</v>
      </c>
      <c r="Y14" s="42">
        <v>39.477800000000002</v>
      </c>
      <c r="Z14" s="42">
        <v>42.980525</v>
      </c>
      <c r="AA14" s="42">
        <v>38.260322000000002</v>
      </c>
      <c r="AB14" s="43">
        <v>3579.18</v>
      </c>
      <c r="AC14" s="43">
        <v>4973.7</v>
      </c>
      <c r="AD14" s="43">
        <v>59.003999999999998</v>
      </c>
      <c r="AE14" s="43">
        <v>19.795000000000002</v>
      </c>
      <c r="AG14" s="38">
        <f t="shared" si="6"/>
        <v>33.707497500000002</v>
      </c>
      <c r="AH14" s="39">
        <f t="shared" si="7"/>
        <v>0.16483797575295303</v>
      </c>
      <c r="AI14" s="39">
        <f t="shared" si="8"/>
        <v>9.4117733842722207E-2</v>
      </c>
      <c r="AJ14" s="39">
        <f t="shared" si="9"/>
        <v>8.7826200806247021E-2</v>
      </c>
      <c r="AK14" s="39">
        <f t="shared" si="10"/>
        <v>7.1031064457261803E-2</v>
      </c>
      <c r="AL14" s="36">
        <f t="shared" si="11"/>
        <v>20529077</v>
      </c>
      <c r="AM14" s="39">
        <v>16</v>
      </c>
      <c r="AN14" s="40">
        <v>23480821</v>
      </c>
      <c r="AO14" s="40">
        <v>733775.65625</v>
      </c>
      <c r="AP14" s="40">
        <v>14554.25</v>
      </c>
      <c r="AQ14" s="41">
        <v>35954664</v>
      </c>
      <c r="AR14" s="41">
        <v>19156760</v>
      </c>
      <c r="AS14" s="41">
        <v>1372317</v>
      </c>
      <c r="AT14" s="41">
        <v>15493384</v>
      </c>
      <c r="AU14" s="42">
        <v>44.850383999999998</v>
      </c>
      <c r="AV14" s="42">
        <v>45.384343999999999</v>
      </c>
      <c r="AW14" s="42">
        <v>39.087843999999997</v>
      </c>
      <c r="AX14" s="42">
        <v>41.500059</v>
      </c>
      <c r="AY14" s="42">
        <v>36.274963</v>
      </c>
      <c r="AZ14" s="43">
        <v>3237.01</v>
      </c>
      <c r="BA14" s="43">
        <v>8405.7800000000007</v>
      </c>
      <c r="BB14" s="43">
        <v>58.612000000000002</v>
      </c>
      <c r="BC14" s="43">
        <v>20.428000000000001</v>
      </c>
      <c r="BE14" s="44">
        <f t="shared" si="12"/>
        <v>3.5086825424171448</v>
      </c>
      <c r="BF14" s="45">
        <f t="shared" si="13"/>
        <v>5.7470442068479136E-4</v>
      </c>
      <c r="BG14" s="45">
        <f t="shared" si="14"/>
        <v>0.12284940789128623</v>
      </c>
      <c r="BH14" s="45"/>
      <c r="BJ14" s="44"/>
      <c r="BK14" s="44"/>
      <c r="BL14" s="44"/>
      <c r="BM14" s="44"/>
      <c r="BN14" s="44"/>
      <c r="BP14" s="44"/>
      <c r="BQ14" s="44"/>
      <c r="BR14" s="44"/>
      <c r="BS14" s="44"/>
      <c r="BT14" s="44"/>
      <c r="BV14" s="58">
        <f t="shared" si="16"/>
        <v>1330811</v>
      </c>
      <c r="BW14" s="58">
        <f t="shared" si="15"/>
        <v>41587.84375</v>
      </c>
      <c r="BX14" s="58">
        <f t="shared" si="15"/>
        <v>1222.6875</v>
      </c>
      <c r="BY14" s="58">
        <f t="shared" si="15"/>
        <v>22898088</v>
      </c>
      <c r="BZ14" s="58">
        <f t="shared" si="15"/>
        <v>14632600</v>
      </c>
      <c r="CA14" s="58">
        <f t="shared" si="15"/>
        <v>45541</v>
      </c>
      <c r="CB14" s="58">
        <f t="shared" si="15"/>
        <v>8287744</v>
      </c>
      <c r="CC14" s="58">
        <f t="shared" si="15"/>
        <v>-26.070287999999998</v>
      </c>
      <c r="CD14" s="58">
        <f t="shared" si="15"/>
        <v>-29.248315000000005</v>
      </c>
      <c r="CE14" s="58">
        <f t="shared" si="15"/>
        <v>-0.38995600000000508</v>
      </c>
      <c r="CF14" s="58">
        <f t="shared" si="15"/>
        <v>-1.4804659999999998</v>
      </c>
      <c r="CG14" s="58">
        <f t="shared" si="15"/>
        <v>-1.9853590000000025</v>
      </c>
      <c r="CJ14" t="s">
        <v>587</v>
      </c>
    </row>
    <row r="15" spans="1:88" x14ac:dyDescent="0.2">
      <c r="A15" s="52"/>
      <c r="B15" s="52" t="s">
        <v>64</v>
      </c>
      <c r="C15" s="9" t="s">
        <v>232</v>
      </c>
      <c r="D15" s="52">
        <v>322589704</v>
      </c>
      <c r="E15" s="9">
        <v>10</v>
      </c>
      <c r="F15" s="9">
        <v>32</v>
      </c>
      <c r="G15" s="9">
        <v>30</v>
      </c>
      <c r="I15" s="10">
        <f t="shared" si="0"/>
        <v>1.6267125</v>
      </c>
      <c r="J15" s="11">
        <f t="shared" si="1"/>
        <v>5.3788449491246008E-3</v>
      </c>
      <c r="K15" s="11">
        <f t="shared" si="2"/>
        <v>4.5265920824305046E-3</v>
      </c>
      <c r="L15" s="11">
        <f t="shared" si="3"/>
        <v>2.3656551667253461E-3</v>
      </c>
      <c r="M15" s="11">
        <f t="shared" si="4"/>
        <v>8.5225286669409633E-4</v>
      </c>
      <c r="N15" s="52">
        <f t="shared" si="5"/>
        <v>1460232</v>
      </c>
      <c r="O15" s="11">
        <v>16</v>
      </c>
      <c r="P15" s="12">
        <v>32415907</v>
      </c>
      <c r="Q15" s="12">
        <v>1012997.09375</v>
      </c>
      <c r="R15" s="12">
        <v>32038.09375</v>
      </c>
      <c r="S15" s="13">
        <v>1735160</v>
      </c>
      <c r="T15" s="13">
        <v>763136</v>
      </c>
      <c r="U15" s="13">
        <v>697096</v>
      </c>
      <c r="V15" s="13">
        <v>274928</v>
      </c>
      <c r="W15" s="14">
        <v>66.298768999999993</v>
      </c>
      <c r="X15" s="14">
        <v>67.850190999999995</v>
      </c>
      <c r="Y15" s="14">
        <v>29.251728</v>
      </c>
      <c r="Z15" s="14">
        <v>43.488112000000001</v>
      </c>
      <c r="AA15" s="14">
        <v>43.716256000000001</v>
      </c>
      <c r="AB15" s="15">
        <v>5689.56</v>
      </c>
      <c r="AC15" s="15">
        <v>3628.67</v>
      </c>
      <c r="AD15" s="15">
        <v>91.161000000000001</v>
      </c>
      <c r="AE15" s="15">
        <v>19.015999999999998</v>
      </c>
      <c r="AG15" s="10">
        <f t="shared" si="6"/>
        <v>8.6061300000000003</v>
      </c>
      <c r="AH15" s="11">
        <f t="shared" si="7"/>
        <v>2.8456804064645534E-2</v>
      </c>
      <c r="AI15" s="11">
        <f t="shared" si="8"/>
        <v>2.3398871403533698E-2</v>
      </c>
      <c r="AJ15" s="11">
        <f t="shared" si="9"/>
        <v>2.2782946600180397E-2</v>
      </c>
      <c r="AK15" s="11">
        <f t="shared" si="10"/>
        <v>3.561725578197623E-3</v>
      </c>
      <c r="AL15" s="52">
        <f t="shared" si="11"/>
        <v>7548235</v>
      </c>
      <c r="AM15" s="11">
        <v>16</v>
      </c>
      <c r="AN15" s="12">
        <v>42237199</v>
      </c>
      <c r="AO15" s="12">
        <v>1319912.46875</v>
      </c>
      <c r="AP15" s="12">
        <v>24726.1875</v>
      </c>
      <c r="AQ15" s="13">
        <v>9179872</v>
      </c>
      <c r="AR15" s="13">
        <v>7349544</v>
      </c>
      <c r="AS15" s="13">
        <v>198691</v>
      </c>
      <c r="AT15" s="13">
        <v>1148976</v>
      </c>
      <c r="AU15" s="14">
        <v>41.375</v>
      </c>
      <c r="AV15" s="14">
        <v>41.591361999999997</v>
      </c>
      <c r="AW15" s="14">
        <v>27.494299999999999</v>
      </c>
      <c r="AX15" s="14">
        <v>42.183391</v>
      </c>
      <c r="AY15" s="14">
        <v>41.917259000000001</v>
      </c>
      <c r="AZ15" s="15">
        <v>4809.28</v>
      </c>
      <c r="BA15" s="15">
        <v>4671.76</v>
      </c>
      <c r="BB15" s="15">
        <v>109.764</v>
      </c>
      <c r="BC15" s="15">
        <v>15.598000000000001</v>
      </c>
      <c r="BE15" s="50">
        <f t="shared" si="12"/>
        <v>5.1692025650718518</v>
      </c>
      <c r="BF15" s="16">
        <f t="shared" si="13"/>
        <v>-1.289383176617195E-2</v>
      </c>
      <c r="BG15" s="16">
        <f t="shared" si="14"/>
        <v>-1.9295382906041381E-2</v>
      </c>
      <c r="BH15" s="16">
        <f t="array" ref="BH15">AVERAGE(AL15:AL19/AQ15:AQ19) - AVERAGE(N15:N19/S15:S19)</f>
        <v>5.7882532767278061E-2</v>
      </c>
      <c r="BJ15" s="50">
        <f>IF( OR(ISBLANK(N15:N19),ISBLANK(AL15:AL19), ISBLANK(W15:W19),ISBLANK(AU15:AU19)), "·", bdRateExtend( N15:N19,W15:W19, AL15:AL19,AU15:AU19))</f>
        <v>1</v>
      </c>
      <c r="BK15" s="50">
        <f>IF( OR(ISBLANK(N15:N19),ISBLANK(AL15:AL19), ISBLANK(X15:X19),ISBLANK(AV15:AV19)), "·", bdRateExtend( N15:N19,X15:X19, AL15:AL19,AV15:AV19))</f>
        <v>1</v>
      </c>
      <c r="BL15" s="50">
        <f>IF( OR(ISBLANK(V15:V19),ISBLANK(AT15:AT19), ISBLANK(Y15:Y19),ISBLANK(AW15:AW19)), "·", bdRateExtend( V15:V19,Y15:Y19, AT15:AT19,AW15:AW19))</f>
        <v>3.4017368677792428</v>
      </c>
      <c r="BM15" s="50">
        <f>IF( OR(ISBLANK(V15:V19),ISBLANK(AT15:AT19), ISBLANK(Z15:Z19),ISBLANK(AX15:AX19)), "·", bdRateExtend( V15:V19,Z15:Z19, AT15:AT19,AX15:AX19))</f>
        <v>5.0186107854577529</v>
      </c>
      <c r="BN15" s="50">
        <f>IF( OR(ISBLANK(V15:V19),ISBLANK(AT15:AT19), ISBLANK(AA15:AA19),ISBLANK(AY15:AY19)), "·", bdRateExtend( V15:V19,AA15:AA19, AT15:AT19,AY15:AY19))</f>
        <v>5.8527231496334036</v>
      </c>
      <c r="BP15" s="50">
        <f>IF( OR(ISBLANK(S15:S19),ISBLANK(AQ15:AQ19), ISBLANK(W15:W19),ISBLANK(AU15:AU19)), "·", bdRateExtend( S15:S19,W15:W19, AQ15:AQ19,AU15:AU19))</f>
        <v>1</v>
      </c>
      <c r="BQ15" s="50">
        <f>IF( OR(ISBLANK(S15:S19),ISBLANK(AQ15:AQ19), ISBLANK(X15:X19),ISBLANK(AV15:AV19)), "·", bdRateExtend( S15:S19,X15:X19, AQ15:AQ19,AV15:AV19))</f>
        <v>1</v>
      </c>
      <c r="BR15" s="50">
        <f>IF( OR(ISBLANK(S15:S19),ISBLANK(AQ15:AQ19), ISBLANK(Y15:Y19),ISBLANK(AW15:AW19)), "·", bdRateExtend( S15:S19,Y15:Y19, AQ15:AQ19,AW15:AW19))</f>
        <v>4.021647426832577</v>
      </c>
      <c r="BS15" s="50">
        <f>IF( OR(ISBLANK(S15:S19),ISBLANK(AQ15:AQ19), ISBLANK(Z15:Z19),ISBLANK(AX15:AX19)), "·", bdRateExtend( S15:S19,Z15:Z19, AQ15:AQ19,AX15:AX19))</f>
        <v>4.9348412952152172</v>
      </c>
      <c r="BT15" s="50">
        <f>IF( OR(ISBLANK(S15:S19),ISBLANK(AQ15:AQ19), ISBLANK(AA15:AA19),ISBLANK(AY15:AY19)), "·", bdRateExtend( S15:S19,AA15:AA19, AQ15:AQ19,AY15:AY19))</f>
        <v>5.4291144052409273</v>
      </c>
      <c r="BV15" s="58">
        <f t="shared" si="16"/>
        <v>9821292</v>
      </c>
      <c r="BW15" s="58">
        <f t="shared" si="15"/>
        <v>306915.375</v>
      </c>
      <c r="BX15" s="58">
        <f t="shared" si="15"/>
        <v>-7311.90625</v>
      </c>
      <c r="BY15" s="58">
        <f t="shared" si="15"/>
        <v>7444712</v>
      </c>
      <c r="BZ15" s="58">
        <f t="shared" si="15"/>
        <v>6586408</v>
      </c>
      <c r="CA15" s="58">
        <f t="shared" si="15"/>
        <v>-498405</v>
      </c>
      <c r="CB15" s="58">
        <f t="shared" si="15"/>
        <v>874048</v>
      </c>
      <c r="CC15" s="58">
        <f t="shared" si="15"/>
        <v>-24.923768999999993</v>
      </c>
      <c r="CD15" s="58">
        <f t="shared" si="15"/>
        <v>-26.258828999999999</v>
      </c>
      <c r="CE15" s="58">
        <f t="shared" si="15"/>
        <v>-1.7574280000000009</v>
      </c>
      <c r="CF15" s="58">
        <f t="shared" si="15"/>
        <v>-1.3047210000000007</v>
      </c>
      <c r="CG15" s="58">
        <f t="shared" si="15"/>
        <v>-1.798997</v>
      </c>
      <c r="CJ15" t="s">
        <v>233</v>
      </c>
    </row>
    <row r="16" spans="1:88" outlineLevel="1" x14ac:dyDescent="0.2">
      <c r="A16" s="17"/>
      <c r="B16" s="17" t="s">
        <v>64</v>
      </c>
      <c r="C16" s="18" t="s">
        <v>234</v>
      </c>
      <c r="D16" s="17">
        <v>322589704</v>
      </c>
      <c r="E16" s="18">
        <v>10</v>
      </c>
      <c r="F16" s="18">
        <v>32</v>
      </c>
      <c r="G16" s="18">
        <v>30</v>
      </c>
      <c r="I16" s="19">
        <f t="shared" si="0"/>
        <v>2.1293625</v>
      </c>
      <c r="J16" s="20">
        <f t="shared" si="1"/>
        <v>7.040894274790618E-3</v>
      </c>
      <c r="K16" s="20">
        <f t="shared" si="2"/>
        <v>5.4569131567819657E-3</v>
      </c>
      <c r="L16" s="20">
        <f t="shared" si="3"/>
        <v>3.2959762410768078E-3</v>
      </c>
      <c r="M16" s="20">
        <f t="shared" si="4"/>
        <v>1.5839811180086516E-3</v>
      </c>
      <c r="N16" s="17">
        <f t="shared" si="5"/>
        <v>1760344</v>
      </c>
      <c r="O16" s="20">
        <v>16</v>
      </c>
      <c r="P16" s="21">
        <v>33874164</v>
      </c>
      <c r="Q16" s="21">
        <v>1058567.625</v>
      </c>
      <c r="R16" s="21">
        <v>36864.21875</v>
      </c>
      <c r="S16" s="22">
        <v>2271320</v>
      </c>
      <c r="T16" s="22">
        <v>1063248</v>
      </c>
      <c r="U16" s="22">
        <v>697096</v>
      </c>
      <c r="V16" s="22">
        <v>510976</v>
      </c>
      <c r="W16" s="23">
        <v>68.029634000000001</v>
      </c>
      <c r="X16" s="23">
        <v>70.006816000000001</v>
      </c>
      <c r="Y16" s="23">
        <v>31.568781000000001</v>
      </c>
      <c r="Z16" s="23">
        <v>44.070134000000003</v>
      </c>
      <c r="AA16" s="23">
        <v>44.423062999999999</v>
      </c>
      <c r="AB16" s="24">
        <v>5092.1099999999997</v>
      </c>
      <c r="AC16" s="24">
        <v>3105.25</v>
      </c>
      <c r="AD16" s="24">
        <v>86.966999999999999</v>
      </c>
      <c r="AE16" s="24">
        <v>14.962</v>
      </c>
      <c r="AG16" s="19">
        <f t="shared" si="6"/>
        <v>10.633095000000001</v>
      </c>
      <c r="AH16" s="20">
        <f t="shared" si="7"/>
        <v>3.5159113447712519E-2</v>
      </c>
      <c r="AI16" s="20">
        <f t="shared" si="8"/>
        <v>2.8208910226099466E-2</v>
      </c>
      <c r="AJ16" s="20">
        <f t="shared" si="9"/>
        <v>2.7428996927936673E-2</v>
      </c>
      <c r="AK16" s="20">
        <f t="shared" si="10"/>
        <v>5.6179846335083277E-3</v>
      </c>
      <c r="AL16" s="17">
        <f t="shared" si="11"/>
        <v>9099904</v>
      </c>
      <c r="AM16" s="20">
        <v>16</v>
      </c>
      <c r="AN16" s="21">
        <v>40807185</v>
      </c>
      <c r="AO16" s="21">
        <v>1275224.53125</v>
      </c>
      <c r="AP16" s="21">
        <v>29862.125</v>
      </c>
      <c r="AQ16" s="22">
        <v>11341968</v>
      </c>
      <c r="AR16" s="22">
        <v>8848312</v>
      </c>
      <c r="AS16" s="22">
        <v>251592</v>
      </c>
      <c r="AT16" s="22">
        <v>1812304</v>
      </c>
      <c r="AU16" s="23">
        <v>41.148719</v>
      </c>
      <c r="AV16" s="23">
        <v>41.364671999999999</v>
      </c>
      <c r="AW16" s="23">
        <v>29.837637000000001</v>
      </c>
      <c r="AX16" s="23">
        <v>42.817166</v>
      </c>
      <c r="AY16" s="23">
        <v>42.709063</v>
      </c>
      <c r="AZ16" s="24">
        <v>5718.07</v>
      </c>
      <c r="BA16" s="24">
        <v>6450.77</v>
      </c>
      <c r="BB16" s="24">
        <v>114.31699999999999</v>
      </c>
      <c r="BC16" s="24">
        <v>22.135999999999999</v>
      </c>
      <c r="BE16" s="49">
        <f t="shared" si="12"/>
        <v>5.1693896193016817</v>
      </c>
      <c r="BF16" s="25">
        <f t="shared" si="13"/>
        <v>-1.1407472592664527E-2</v>
      </c>
      <c r="BG16" s="25">
        <f t="shared" si="14"/>
        <v>2.7290171986633527E-2</v>
      </c>
      <c r="BH16" s="25"/>
      <c r="BJ16" s="49"/>
      <c r="BK16" s="49"/>
      <c r="BL16" s="49"/>
      <c r="BM16" s="49"/>
      <c r="BN16" s="49"/>
      <c r="BP16" s="49"/>
      <c r="BQ16" s="49"/>
      <c r="BR16" s="49"/>
      <c r="BS16" s="49"/>
      <c r="BT16" s="49"/>
      <c r="BV16" s="58">
        <f t="shared" si="16"/>
        <v>6933021</v>
      </c>
      <c r="BW16" s="58">
        <f t="shared" si="15"/>
        <v>216656.90625</v>
      </c>
      <c r="BX16" s="58">
        <f t="shared" si="15"/>
        <v>-7002.09375</v>
      </c>
      <c r="BY16" s="58">
        <f t="shared" si="15"/>
        <v>9070648</v>
      </c>
      <c r="BZ16" s="58">
        <f t="shared" si="15"/>
        <v>7785064</v>
      </c>
      <c r="CA16" s="58">
        <f t="shared" si="15"/>
        <v>-445504</v>
      </c>
      <c r="CB16" s="58">
        <f t="shared" si="15"/>
        <v>1301328</v>
      </c>
      <c r="CC16" s="58">
        <f t="shared" si="15"/>
        <v>-26.880915000000002</v>
      </c>
      <c r="CD16" s="58">
        <f t="shared" si="15"/>
        <v>-28.642144000000002</v>
      </c>
      <c r="CE16" s="58">
        <f t="shared" si="15"/>
        <v>-1.7311440000000005</v>
      </c>
      <c r="CF16" s="58">
        <f t="shared" si="15"/>
        <v>-1.2529680000000027</v>
      </c>
      <c r="CG16" s="58">
        <f t="shared" si="15"/>
        <v>-1.7139999999999986</v>
      </c>
      <c r="CJ16" t="s">
        <v>233</v>
      </c>
    </row>
    <row r="17" spans="1:88" outlineLevel="1" x14ac:dyDescent="0.2">
      <c r="A17" s="52"/>
      <c r="B17" s="52" t="s">
        <v>64</v>
      </c>
      <c r="C17" s="9" t="s">
        <v>235</v>
      </c>
      <c r="D17" s="52">
        <v>322589704</v>
      </c>
      <c r="E17" s="9">
        <v>10</v>
      </c>
      <c r="F17" s="9">
        <v>32</v>
      </c>
      <c r="G17" s="9">
        <v>30</v>
      </c>
      <c r="I17" s="10">
        <f t="shared" si="0"/>
        <v>2.9996174999999998</v>
      </c>
      <c r="J17" s="11">
        <f t="shared" si="1"/>
        <v>9.9184566659325252E-3</v>
      </c>
      <c r="K17" s="11">
        <f t="shared" si="2"/>
        <v>6.6616633245058562E-3</v>
      </c>
      <c r="L17" s="11">
        <f t="shared" si="3"/>
        <v>4.5007264088006973E-3</v>
      </c>
      <c r="M17" s="11">
        <f t="shared" si="4"/>
        <v>3.2567933414266686E-3</v>
      </c>
      <c r="N17" s="52">
        <f t="shared" si="5"/>
        <v>2148984</v>
      </c>
      <c r="O17" s="11">
        <v>16</v>
      </c>
      <c r="P17" s="12">
        <v>33778649</v>
      </c>
      <c r="Q17" s="12">
        <v>1055582.78125</v>
      </c>
      <c r="R17" s="12">
        <v>37421.1875</v>
      </c>
      <c r="S17" s="13">
        <v>3199592</v>
      </c>
      <c r="T17" s="13">
        <v>1451888</v>
      </c>
      <c r="U17" s="13">
        <v>697096</v>
      </c>
      <c r="V17" s="13">
        <v>1050608</v>
      </c>
      <c r="W17" s="14">
        <v>69.351502999999994</v>
      </c>
      <c r="X17" s="14">
        <v>71.840316000000001</v>
      </c>
      <c r="Y17" s="14">
        <v>33.951681000000001</v>
      </c>
      <c r="Z17" s="14">
        <v>45.159981000000002</v>
      </c>
      <c r="AA17" s="14">
        <v>45.538837999999998</v>
      </c>
      <c r="AB17" s="15">
        <v>5075.76</v>
      </c>
      <c r="AC17" s="15">
        <v>3375.22</v>
      </c>
      <c r="AD17" s="15">
        <v>86.203000000000003</v>
      </c>
      <c r="AE17" s="15">
        <v>14.545</v>
      </c>
      <c r="AG17" s="10">
        <f t="shared" si="6"/>
        <v>13.491975</v>
      </c>
      <c r="AH17" s="11">
        <f t="shared" si="7"/>
        <v>4.4612211182040701E-2</v>
      </c>
      <c r="AI17" s="11">
        <f t="shared" si="8"/>
        <v>3.3549189158250385E-2</v>
      </c>
      <c r="AJ17" s="11">
        <f t="shared" si="9"/>
        <v>3.2404109214843387E-2</v>
      </c>
      <c r="AK17" s="11">
        <f t="shared" si="10"/>
        <v>1.0095970080929799E-2</v>
      </c>
      <c r="AL17" s="52">
        <f t="shared" si="11"/>
        <v>10822623</v>
      </c>
      <c r="AM17" s="11">
        <v>16</v>
      </c>
      <c r="AN17" s="12">
        <v>39371272</v>
      </c>
      <c r="AO17" s="12">
        <v>1230352.25</v>
      </c>
      <c r="AP17" s="12">
        <v>33969.34375</v>
      </c>
      <c r="AQ17" s="13">
        <v>14391440</v>
      </c>
      <c r="AR17" s="13">
        <v>10453232</v>
      </c>
      <c r="AS17" s="13">
        <v>369391</v>
      </c>
      <c r="AT17" s="13">
        <v>3256856</v>
      </c>
      <c r="AU17" s="14">
        <v>40.951819</v>
      </c>
      <c r="AV17" s="14">
        <v>41.167281000000003</v>
      </c>
      <c r="AW17" s="14">
        <v>32.336806000000003</v>
      </c>
      <c r="AX17" s="14">
        <v>43.836734</v>
      </c>
      <c r="AY17" s="14">
        <v>43.956102999999999</v>
      </c>
      <c r="AZ17" s="15">
        <v>4794.2700000000004</v>
      </c>
      <c r="BA17" s="15">
        <v>5076.4799999999996</v>
      </c>
      <c r="BB17" s="15">
        <v>101.26600000000001</v>
      </c>
      <c r="BC17" s="15">
        <v>15.987</v>
      </c>
      <c r="BE17" s="50">
        <f t="shared" si="12"/>
        <v>5.0361580169978</v>
      </c>
      <c r="BF17" s="16">
        <f t="shared" si="13"/>
        <v>-7.8412911524983094E-3</v>
      </c>
      <c r="BG17" s="16">
        <f t="shared" si="14"/>
        <v>8.0374940133605466E-2</v>
      </c>
      <c r="BH17" s="16"/>
      <c r="BJ17" s="50"/>
      <c r="BK17" s="50"/>
      <c r="BL17" s="50"/>
      <c r="BM17" s="50"/>
      <c r="BN17" s="50"/>
      <c r="BP17" s="50"/>
      <c r="BQ17" s="50"/>
      <c r="BR17" s="50"/>
      <c r="BS17" s="50"/>
      <c r="BT17" s="50"/>
      <c r="BV17" s="58">
        <f t="shared" si="16"/>
        <v>5592623</v>
      </c>
      <c r="BW17" s="58">
        <f t="shared" si="15"/>
        <v>174769.46875</v>
      </c>
      <c r="BX17" s="58">
        <f t="shared" si="15"/>
        <v>-3451.84375</v>
      </c>
      <c r="BY17" s="58">
        <f t="shared" si="15"/>
        <v>11191848</v>
      </c>
      <c r="BZ17" s="58">
        <f t="shared" si="15"/>
        <v>9001344</v>
      </c>
      <c r="CA17" s="58">
        <f t="shared" si="15"/>
        <v>-327705</v>
      </c>
      <c r="CB17" s="58">
        <f t="shared" si="15"/>
        <v>2206248</v>
      </c>
      <c r="CC17" s="58">
        <f t="shared" si="15"/>
        <v>-28.399683999999993</v>
      </c>
      <c r="CD17" s="58">
        <f t="shared" si="15"/>
        <v>-30.673034999999999</v>
      </c>
      <c r="CE17" s="58">
        <f t="shared" si="15"/>
        <v>-1.6148749999999978</v>
      </c>
      <c r="CF17" s="58">
        <f t="shared" si="15"/>
        <v>-1.3232470000000021</v>
      </c>
      <c r="CG17" s="58">
        <f t="shared" si="15"/>
        <v>-1.5827349999999996</v>
      </c>
      <c r="CJ17" t="s">
        <v>233</v>
      </c>
    </row>
    <row r="18" spans="1:88" outlineLevel="1" x14ac:dyDescent="0.2">
      <c r="A18" s="17"/>
      <c r="B18" s="17" t="s">
        <v>64</v>
      </c>
      <c r="C18" s="18" t="s">
        <v>236</v>
      </c>
      <c r="D18" s="17">
        <v>322589704</v>
      </c>
      <c r="E18" s="18">
        <v>10</v>
      </c>
      <c r="F18" s="18">
        <v>32</v>
      </c>
      <c r="G18" s="18">
        <v>30</v>
      </c>
      <c r="I18" s="19">
        <f t="shared" si="0"/>
        <v>5.2765500000000003</v>
      </c>
      <c r="J18" s="20">
        <f t="shared" si="1"/>
        <v>1.7447302037885252E-2</v>
      </c>
      <c r="K18" s="20">
        <f t="shared" si="2"/>
        <v>9.9237637168977967E-3</v>
      </c>
      <c r="L18" s="20">
        <f t="shared" si="3"/>
        <v>7.7628268011926379E-3</v>
      </c>
      <c r="M18" s="20">
        <f t="shared" si="4"/>
        <v>7.5235383209874551E-3</v>
      </c>
      <c r="N18" s="17">
        <f t="shared" si="5"/>
        <v>3201304</v>
      </c>
      <c r="O18" s="20">
        <v>16</v>
      </c>
      <c r="P18" s="21">
        <v>34914325</v>
      </c>
      <c r="Q18" s="21">
        <v>1091072.65625</v>
      </c>
      <c r="R18" s="21">
        <v>41603.21875</v>
      </c>
      <c r="S18" s="22">
        <v>5628320</v>
      </c>
      <c r="T18" s="22">
        <v>2504208</v>
      </c>
      <c r="U18" s="22">
        <v>697096</v>
      </c>
      <c r="V18" s="22">
        <v>2427016</v>
      </c>
      <c r="W18" s="23">
        <v>70.529849999999996</v>
      </c>
      <c r="X18" s="23">
        <v>73.133384000000007</v>
      </c>
      <c r="Y18" s="23">
        <v>36.284100000000002</v>
      </c>
      <c r="Z18" s="23">
        <v>46.412683999999999</v>
      </c>
      <c r="AA18" s="23">
        <v>47.006613000000002</v>
      </c>
      <c r="AB18" s="24">
        <v>5332.38</v>
      </c>
      <c r="AC18" s="24">
        <v>3802.59</v>
      </c>
      <c r="AD18" s="24">
        <v>91.251999999999995</v>
      </c>
      <c r="AE18" s="24">
        <v>16.547999999999998</v>
      </c>
      <c r="AG18" s="19">
        <f t="shared" si="6"/>
        <v>18.809294999999999</v>
      </c>
      <c r="AH18" s="20">
        <f t="shared" si="7"/>
        <v>6.2194322234165295E-2</v>
      </c>
      <c r="AI18" s="20">
        <f t="shared" si="8"/>
        <v>4.2036022327606587E-2</v>
      </c>
      <c r="AJ18" s="20">
        <f t="shared" si="9"/>
        <v>4.0076443357287064E-2</v>
      </c>
      <c r="AK18" s="20">
        <f t="shared" si="10"/>
        <v>2.0005746990610709E-2</v>
      </c>
      <c r="AL18" s="17">
        <f t="shared" si="11"/>
        <v>13560388</v>
      </c>
      <c r="AM18" s="20">
        <v>16</v>
      </c>
      <c r="AN18" s="21">
        <v>38218909</v>
      </c>
      <c r="AO18" s="21">
        <v>1194340.90625</v>
      </c>
      <c r="AP18" s="21">
        <v>35443.28125</v>
      </c>
      <c r="AQ18" s="22">
        <v>20063248</v>
      </c>
      <c r="AR18" s="22">
        <v>12928248</v>
      </c>
      <c r="AS18" s="22">
        <v>632140</v>
      </c>
      <c r="AT18" s="22">
        <v>6453648</v>
      </c>
      <c r="AU18" s="23">
        <v>40.802405999999998</v>
      </c>
      <c r="AV18" s="23">
        <v>41.017477999999997</v>
      </c>
      <c r="AW18" s="23">
        <v>34.982619</v>
      </c>
      <c r="AX18" s="23">
        <v>45.033468999999997</v>
      </c>
      <c r="AY18" s="23">
        <v>45.264831000000001</v>
      </c>
      <c r="AZ18" s="24">
        <v>4891.0600000000004</v>
      </c>
      <c r="BA18" s="24">
        <v>5577.45</v>
      </c>
      <c r="BB18" s="24">
        <v>96.512</v>
      </c>
      <c r="BC18" s="24">
        <v>17.603000000000002</v>
      </c>
      <c r="BE18" s="49">
        <f t="shared" si="12"/>
        <v>4.2358951227374844</v>
      </c>
      <c r="BF18" s="25">
        <f t="shared" si="13"/>
        <v>-8.4545495738329798E-3</v>
      </c>
      <c r="BG18" s="25">
        <f t="shared" si="14"/>
        <v>0.10709698922879674</v>
      </c>
      <c r="BH18" s="25"/>
      <c r="BJ18" s="49"/>
      <c r="BK18" s="49"/>
      <c r="BL18" s="49"/>
      <c r="BM18" s="49"/>
      <c r="BN18" s="49"/>
      <c r="BP18" s="49"/>
      <c r="BQ18" s="49"/>
      <c r="BR18" s="49"/>
      <c r="BS18" s="49"/>
      <c r="BT18" s="49"/>
      <c r="BV18" s="58">
        <f t="shared" si="16"/>
        <v>3304584</v>
      </c>
      <c r="BW18" s="58">
        <f t="shared" si="15"/>
        <v>103268.25</v>
      </c>
      <c r="BX18" s="58">
        <f t="shared" si="15"/>
        <v>-6159.9375</v>
      </c>
      <c r="BY18" s="58">
        <f t="shared" si="15"/>
        <v>14434928</v>
      </c>
      <c r="BZ18" s="58">
        <f t="shared" si="15"/>
        <v>10424040</v>
      </c>
      <c r="CA18" s="58">
        <f t="shared" si="15"/>
        <v>-64956</v>
      </c>
      <c r="CB18" s="58">
        <f t="shared" si="15"/>
        <v>4026632</v>
      </c>
      <c r="CC18" s="58">
        <f t="shared" si="15"/>
        <v>-29.727443999999998</v>
      </c>
      <c r="CD18" s="58">
        <f t="shared" si="15"/>
        <v>-32.11590600000001</v>
      </c>
      <c r="CE18" s="58">
        <f t="shared" si="15"/>
        <v>-1.3014810000000026</v>
      </c>
      <c r="CF18" s="58">
        <f t="shared" si="15"/>
        <v>-1.3792150000000021</v>
      </c>
      <c r="CG18" s="58">
        <f t="shared" si="15"/>
        <v>-1.7417820000000006</v>
      </c>
      <c r="CJ18" t="s">
        <v>233</v>
      </c>
    </row>
    <row r="19" spans="1:88" ht="16" outlineLevel="1" thickBot="1" x14ac:dyDescent="0.25">
      <c r="A19" s="52"/>
      <c r="B19" s="26" t="s">
        <v>64</v>
      </c>
      <c r="C19" s="27" t="s">
        <v>237</v>
      </c>
      <c r="D19" s="26">
        <v>322589704</v>
      </c>
      <c r="E19" s="27">
        <v>10</v>
      </c>
      <c r="F19" s="27">
        <v>32</v>
      </c>
      <c r="G19" s="27">
        <v>30</v>
      </c>
      <c r="I19" s="28">
        <f t="shared" si="0"/>
        <v>11.4147675</v>
      </c>
      <c r="J19" s="29">
        <f t="shared" si="1"/>
        <v>3.7743771264317848E-2</v>
      </c>
      <c r="K19" s="29">
        <f t="shared" si="2"/>
        <v>1.7450451549439409E-2</v>
      </c>
      <c r="L19" s="29">
        <f t="shared" si="3"/>
        <v>1.2811841012755943E-2</v>
      </c>
      <c r="M19" s="29">
        <f t="shared" si="4"/>
        <v>2.0293319714878438E-2</v>
      </c>
      <c r="N19" s="26">
        <f t="shared" si="5"/>
        <v>5629336</v>
      </c>
      <c r="O19" s="29">
        <v>16</v>
      </c>
      <c r="P19" s="30">
        <v>33019287</v>
      </c>
      <c r="Q19" s="30">
        <v>1031852.71875</v>
      </c>
      <c r="R19" s="30">
        <v>17790.15625</v>
      </c>
      <c r="S19" s="31">
        <v>12175752</v>
      </c>
      <c r="T19" s="31">
        <v>4132968</v>
      </c>
      <c r="U19" s="31">
        <v>1496368</v>
      </c>
      <c r="V19" s="31">
        <v>6546416</v>
      </c>
      <c r="W19" s="32">
        <v>71.185569000000001</v>
      </c>
      <c r="X19" s="32">
        <v>75.071019000000007</v>
      </c>
      <c r="Y19" s="32">
        <v>38.708165999999999</v>
      </c>
      <c r="Z19" s="32">
        <v>48.191471999999997</v>
      </c>
      <c r="AA19" s="32">
        <v>48.813738000000001</v>
      </c>
      <c r="AB19" s="33">
        <v>5222.8900000000003</v>
      </c>
      <c r="AC19" s="33">
        <v>4186.43</v>
      </c>
      <c r="AD19" s="33">
        <v>85.254000000000005</v>
      </c>
      <c r="AE19" s="33">
        <v>18.634</v>
      </c>
      <c r="AG19" s="28">
        <f t="shared" si="6"/>
        <v>31.212074999999999</v>
      </c>
      <c r="AH19" s="29">
        <f t="shared" si="7"/>
        <v>0.10320502975507241</v>
      </c>
      <c r="AI19" s="29">
        <f t="shared" si="8"/>
        <v>5.7411497547361273E-2</v>
      </c>
      <c r="AJ19" s="29">
        <f t="shared" si="9"/>
        <v>5.3037005793588506E-2</v>
      </c>
      <c r="AK19" s="29">
        <f t="shared" si="10"/>
        <v>4.5578193654934505E-2</v>
      </c>
      <c r="AL19" s="26">
        <f t="shared" si="11"/>
        <v>18520358</v>
      </c>
      <c r="AM19" s="29">
        <v>16</v>
      </c>
      <c r="AN19" s="30">
        <v>34878767</v>
      </c>
      <c r="AO19" s="30">
        <v>1089961.46875</v>
      </c>
      <c r="AP19" s="30">
        <v>19961.21875</v>
      </c>
      <c r="AQ19" s="31">
        <v>33292880</v>
      </c>
      <c r="AR19" s="31">
        <v>17109192</v>
      </c>
      <c r="AS19" s="31">
        <v>1411166</v>
      </c>
      <c r="AT19" s="31">
        <v>14703056</v>
      </c>
      <c r="AU19" s="32">
        <v>45.343313000000002</v>
      </c>
      <c r="AV19" s="32">
        <v>45.565409000000002</v>
      </c>
      <c r="AW19" s="32">
        <v>38.395031000000003</v>
      </c>
      <c r="AX19" s="32">
        <v>47.156627999999998</v>
      </c>
      <c r="AY19" s="32">
        <v>47.439861999999998</v>
      </c>
      <c r="AZ19" s="33">
        <v>4831.28</v>
      </c>
      <c r="BA19" s="33">
        <v>5855.42</v>
      </c>
      <c r="BB19" s="33">
        <v>86.337999999999994</v>
      </c>
      <c r="BC19" s="33">
        <v>18.678999999999998</v>
      </c>
      <c r="BE19" s="34">
        <f t="shared" si="12"/>
        <v>3.28997203222547</v>
      </c>
      <c r="BF19" s="35">
        <f t="shared" si="13"/>
        <v>1.0727080750128383E-3</v>
      </c>
      <c r="BG19" s="35">
        <f t="shared" si="14"/>
        <v>9.3945945393396735E-2</v>
      </c>
      <c r="BH19" s="35"/>
      <c r="BJ19" s="34"/>
      <c r="BK19" s="34"/>
      <c r="BL19" s="34"/>
      <c r="BM19" s="34"/>
      <c r="BN19" s="34"/>
      <c r="BP19" s="34"/>
      <c r="BQ19" s="34"/>
      <c r="BR19" s="34"/>
      <c r="BS19" s="34"/>
      <c r="BT19" s="34"/>
      <c r="BV19" s="58">
        <f t="shared" si="16"/>
        <v>1859480</v>
      </c>
      <c r="BW19" s="58">
        <f t="shared" si="15"/>
        <v>58108.75</v>
      </c>
      <c r="BX19" s="58">
        <f t="shared" si="15"/>
        <v>2171.0625</v>
      </c>
      <c r="BY19" s="58">
        <f t="shared" si="15"/>
        <v>21117128</v>
      </c>
      <c r="BZ19" s="58">
        <f t="shared" si="15"/>
        <v>12976224</v>
      </c>
      <c r="CA19" s="58">
        <f t="shared" si="15"/>
        <v>-85202</v>
      </c>
      <c r="CB19" s="58">
        <f t="shared" si="15"/>
        <v>8156640</v>
      </c>
      <c r="CC19" s="58">
        <f t="shared" si="15"/>
        <v>-25.842255999999999</v>
      </c>
      <c r="CD19" s="58">
        <f t="shared" si="15"/>
        <v>-29.505610000000004</v>
      </c>
      <c r="CE19" s="58">
        <f t="shared" si="15"/>
        <v>-0.3131349999999955</v>
      </c>
      <c r="CF19" s="58">
        <f t="shared" si="15"/>
        <v>-1.0348439999999997</v>
      </c>
      <c r="CG19" s="58">
        <f t="shared" si="15"/>
        <v>-1.3738760000000028</v>
      </c>
      <c r="CJ19" t="s">
        <v>233</v>
      </c>
    </row>
    <row r="20" spans="1:88" x14ac:dyDescent="0.2">
      <c r="A20" s="17"/>
      <c r="B20" s="17" t="s">
        <v>70</v>
      </c>
      <c r="C20" s="18" t="s">
        <v>232</v>
      </c>
      <c r="D20" s="17">
        <v>250602891</v>
      </c>
      <c r="E20" s="18">
        <v>10</v>
      </c>
      <c r="F20" s="18">
        <v>32</v>
      </c>
      <c r="G20" s="18">
        <v>50</v>
      </c>
      <c r="I20" s="19">
        <f t="shared" si="0"/>
        <v>1.9836125</v>
      </c>
      <c r="J20" s="20">
        <f t="shared" si="1"/>
        <v>5.0658314233094784E-3</v>
      </c>
      <c r="K20" s="20">
        <f t="shared" si="2"/>
        <v>3.9497708747502037E-3</v>
      </c>
      <c r="L20" s="20">
        <f t="shared" si="3"/>
        <v>2.2980102013268476E-3</v>
      </c>
      <c r="M20" s="20">
        <f t="shared" si="4"/>
        <v>1.1160605485592743E-3</v>
      </c>
      <c r="N20" s="17">
        <f t="shared" si="5"/>
        <v>989824</v>
      </c>
      <c r="O20" s="20">
        <v>16</v>
      </c>
      <c r="P20" s="21">
        <v>30379563</v>
      </c>
      <c r="Q20" s="21">
        <v>949361.34375</v>
      </c>
      <c r="R20" s="21">
        <v>28806.71875</v>
      </c>
      <c r="S20" s="22">
        <v>1269512</v>
      </c>
      <c r="T20" s="22">
        <v>575888</v>
      </c>
      <c r="U20" s="22">
        <v>413936</v>
      </c>
      <c r="V20" s="22">
        <v>279688</v>
      </c>
      <c r="W20" s="23">
        <v>67.248238000000001</v>
      </c>
      <c r="X20" s="23">
        <v>68.985433999999998</v>
      </c>
      <c r="Y20" s="23">
        <v>30.074031000000002</v>
      </c>
      <c r="Z20" s="23">
        <v>39.563031000000002</v>
      </c>
      <c r="AA20" s="23">
        <v>38.099803000000001</v>
      </c>
      <c r="AB20" s="24">
        <v>4876.4799999999996</v>
      </c>
      <c r="AC20" s="24">
        <v>3051.46</v>
      </c>
      <c r="AD20" s="24">
        <v>79.087999999999994</v>
      </c>
      <c r="AE20" s="24">
        <v>15.356</v>
      </c>
      <c r="AG20" s="19">
        <f t="shared" si="6"/>
        <v>9.4403500000000005</v>
      </c>
      <c r="AH20" s="20">
        <f t="shared" si="7"/>
        <v>2.4109155229178902E-2</v>
      </c>
      <c r="AI20" s="20">
        <f t="shared" si="8"/>
        <v>1.9362917086219886E-2</v>
      </c>
      <c r="AJ20" s="20">
        <f t="shared" si="9"/>
        <v>1.8817723854590327E-2</v>
      </c>
      <c r="AK20" s="20">
        <f t="shared" si="10"/>
        <v>3.5852738825746426E-3</v>
      </c>
      <c r="AL20" s="17">
        <f t="shared" si="11"/>
        <v>4852403</v>
      </c>
      <c r="AM20" s="20">
        <v>16</v>
      </c>
      <c r="AN20" s="21">
        <v>35407560</v>
      </c>
      <c r="AO20" s="21">
        <v>1106486.25</v>
      </c>
      <c r="AP20" s="21">
        <v>24047.5</v>
      </c>
      <c r="AQ20" s="22">
        <v>6041824</v>
      </c>
      <c r="AR20" s="22">
        <v>4715776</v>
      </c>
      <c r="AS20" s="22">
        <v>136627</v>
      </c>
      <c r="AT20" s="22">
        <v>898480</v>
      </c>
      <c r="AU20" s="23">
        <v>42.354774999999997</v>
      </c>
      <c r="AV20" s="23">
        <v>42.633611999999999</v>
      </c>
      <c r="AW20" s="23">
        <v>27.7456</v>
      </c>
      <c r="AX20" s="23">
        <v>36.477846999999997</v>
      </c>
      <c r="AY20" s="23">
        <v>34.567300000000003</v>
      </c>
      <c r="AZ20" s="24">
        <v>4318.8599999999997</v>
      </c>
      <c r="BA20" s="24">
        <v>4228.82</v>
      </c>
      <c r="BB20" s="24">
        <v>90.337000000000003</v>
      </c>
      <c r="BC20" s="24">
        <v>15.85</v>
      </c>
      <c r="BE20" s="49">
        <f t="shared" si="12"/>
        <v>4.9022886897064524</v>
      </c>
      <c r="BF20" s="25">
        <f t="shared" si="13"/>
        <v>-8.6100489206177924E-3</v>
      </c>
      <c r="BG20" s="25">
        <f t="shared" si="14"/>
        <v>2.3446870618915372E-2</v>
      </c>
      <c r="BH20" s="25">
        <f t="array" ref="BH20">AVERAGE(AL20:AL24/AQ20:AQ24) - AVERAGE(N20:N24/S20:S24)</f>
        <v>0.12105117648713104</v>
      </c>
      <c r="BJ20" s="49">
        <f>IF( OR(ISBLANK(N20:N24),ISBLANK(AL20:AL24), ISBLANK(W20:W24),ISBLANK(AU20:AU24)), "·", bdRateExtend( N20:N24,W20:W24, AL20:AL24,AU20:AU24))</f>
        <v>1</v>
      </c>
      <c r="BK20" s="49">
        <f>IF( OR(ISBLANK(N20:N24),ISBLANK(AL20:AL24), ISBLANK(X20:X24),ISBLANK(AV20:AV24)), "·", bdRateExtend( N20:N24,X20:X24, AL20:AL24,AV20:AV24))</f>
        <v>1</v>
      </c>
      <c r="BL20" s="49">
        <f>IF( OR(ISBLANK(V20:V24),ISBLANK(AT20:AT24), ISBLANK(Y20:Y24),ISBLANK(AW20:AW24)), "·", bdRateExtend( V20:V24,Y20:Y24, AT20:AT24,AW20:AW24))</f>
        <v>2.7895139619075549</v>
      </c>
      <c r="BM20" s="49">
        <f>IF( OR(ISBLANK(V20:V24),ISBLANK(AT20:AT24), ISBLANK(Z20:Z24),ISBLANK(AX20:AX24)), "·", bdRateExtend( V20:V24,Z20:Z24, AT20:AT24,AX20:AX24))</f>
        <v>14.113854859305505</v>
      </c>
      <c r="BN20" s="49">
        <f>IF( OR(ISBLANK(V20:V24),ISBLANK(AT20:AT24), ISBLANK(AA20:AA24),ISBLANK(AY20:AY24)), "·", bdRateExtend( V20:V24,AA20:AA24, AT20:AT24,AY20:AY24))</f>
        <v>22.546609003891867</v>
      </c>
      <c r="BP20" s="49">
        <f>IF( OR(ISBLANK(S20:S24),ISBLANK(AQ20:AQ24), ISBLANK(W20:W24),ISBLANK(AU20:AU24)), "·", bdRateExtend( S20:S24,W20:W24, AQ20:AQ24,AU20:AU24))</f>
        <v>1</v>
      </c>
      <c r="BQ20" s="49">
        <f>IF( OR(ISBLANK(S20:S24),ISBLANK(AQ20:AQ24), ISBLANK(X20:X24),ISBLANK(AV20:AV24)), "·", bdRateExtend( S20:S24,X20:X24, AQ20:AQ24,AV20:AV24))</f>
        <v>1</v>
      </c>
      <c r="BR20" s="49">
        <f>IF( OR(ISBLANK(S20:S24),ISBLANK(AQ20:AQ24), ISBLANK(Y20:Y24),ISBLANK(AW20:AW24)), "·", bdRateExtend( S20:S24,Y20:Y24, AQ20:AQ24,AW20:AW24))</f>
        <v>3.6678319502848042</v>
      </c>
      <c r="BS20" s="49">
        <f>IF( OR(ISBLANK(S20:S24),ISBLANK(AQ20:AQ24), ISBLANK(Z20:Z24),ISBLANK(AX20:AX24)), "·", bdRateExtend( S20:S24,Z20:Z24, AQ20:AQ24,AX20:AX24))</f>
        <v>9.6471920247041059</v>
      </c>
      <c r="BT20" s="49">
        <f>IF( OR(ISBLANK(S20:S24),ISBLANK(AQ20:AQ24), ISBLANK(AA20:AA24),ISBLANK(AY20:AY24)), "·", bdRateExtend( S20:S24,AA20:AA24, AQ20:AQ24,AY20:AY24))</f>
        <v>12.482035029383018</v>
      </c>
      <c r="BV20" s="58">
        <f t="shared" si="16"/>
        <v>5027997</v>
      </c>
      <c r="BW20" s="58">
        <f t="shared" si="15"/>
        <v>157124.90625</v>
      </c>
      <c r="BX20" s="58">
        <f t="shared" si="15"/>
        <v>-4759.21875</v>
      </c>
      <c r="BY20" s="58">
        <f t="shared" si="15"/>
        <v>4772312</v>
      </c>
      <c r="BZ20" s="58">
        <f t="shared" si="15"/>
        <v>4139888</v>
      </c>
      <c r="CA20" s="58">
        <f t="shared" si="15"/>
        <v>-277309</v>
      </c>
      <c r="CB20" s="58">
        <f t="shared" si="15"/>
        <v>618792</v>
      </c>
      <c r="CC20" s="58">
        <f t="shared" si="15"/>
        <v>-24.893463000000004</v>
      </c>
      <c r="CD20" s="58">
        <f t="shared" si="15"/>
        <v>-26.351821999999999</v>
      </c>
      <c r="CE20" s="58">
        <f t="shared" si="15"/>
        <v>-2.3284310000000019</v>
      </c>
      <c r="CF20" s="58">
        <f t="shared" si="15"/>
        <v>-3.0851840000000053</v>
      </c>
      <c r="CG20" s="58">
        <f t="shared" si="15"/>
        <v>-3.5325029999999984</v>
      </c>
      <c r="CJ20" t="s">
        <v>239</v>
      </c>
    </row>
    <row r="21" spans="1:88" outlineLevel="1" x14ac:dyDescent="0.2">
      <c r="A21" s="52"/>
      <c r="B21" s="52" t="s">
        <v>70</v>
      </c>
      <c r="C21" s="9" t="s">
        <v>234</v>
      </c>
      <c r="D21" s="52">
        <v>250602891</v>
      </c>
      <c r="E21" s="9">
        <v>10</v>
      </c>
      <c r="F21" s="9">
        <v>32</v>
      </c>
      <c r="G21" s="9">
        <v>50</v>
      </c>
      <c r="I21" s="10">
        <f t="shared" si="0"/>
        <v>2.6581250000000001</v>
      </c>
      <c r="J21" s="11">
        <f t="shared" si="1"/>
        <v>6.7884292683598772E-3</v>
      </c>
      <c r="K21" s="11">
        <f t="shared" si="2"/>
        <v>4.6939921375448142E-3</v>
      </c>
      <c r="L21" s="11">
        <f t="shared" si="3"/>
        <v>3.0422314641214573E-3</v>
      </c>
      <c r="M21" s="11">
        <f t="shared" si="4"/>
        <v>2.094437130815063E-3</v>
      </c>
      <c r="N21" s="52">
        <f t="shared" si="5"/>
        <v>1176328</v>
      </c>
      <c r="O21" s="11">
        <v>16</v>
      </c>
      <c r="P21" s="12">
        <v>31696812</v>
      </c>
      <c r="Q21" s="12">
        <v>990525.375</v>
      </c>
      <c r="R21" s="12">
        <v>33593.15625</v>
      </c>
      <c r="S21" s="13">
        <v>1701200</v>
      </c>
      <c r="T21" s="13">
        <v>762392</v>
      </c>
      <c r="U21" s="13">
        <v>413936</v>
      </c>
      <c r="V21" s="13">
        <v>524872</v>
      </c>
      <c r="W21" s="14">
        <v>68.873231000000004</v>
      </c>
      <c r="X21" s="14">
        <v>70.998266000000001</v>
      </c>
      <c r="Y21" s="14">
        <v>31.559334</v>
      </c>
      <c r="Z21" s="14">
        <v>40.555562999999999</v>
      </c>
      <c r="AA21" s="14">
        <v>39.276837</v>
      </c>
      <c r="AB21" s="15">
        <v>4807.49</v>
      </c>
      <c r="AC21" s="15">
        <v>3310.84</v>
      </c>
      <c r="AD21" s="15">
        <v>84.971999999999994</v>
      </c>
      <c r="AE21" s="15">
        <v>16.805</v>
      </c>
      <c r="AG21" s="10">
        <f t="shared" si="6"/>
        <v>12.399262500000001</v>
      </c>
      <c r="AH21" s="11">
        <f t="shared" si="7"/>
        <v>3.1665748022036984E-2</v>
      </c>
      <c r="AI21" s="11">
        <f t="shared" si="8"/>
        <v>2.4191963531657742E-2</v>
      </c>
      <c r="AJ21" s="11">
        <f t="shared" si="9"/>
        <v>2.3373233950441538E-2</v>
      </c>
      <c r="AK21" s="11">
        <f t="shared" si="10"/>
        <v>6.5863885025971231E-3</v>
      </c>
      <c r="AL21" s="52">
        <f t="shared" si="11"/>
        <v>6062576</v>
      </c>
      <c r="AM21" s="11">
        <v>16</v>
      </c>
      <c r="AN21" s="12">
        <v>34586539</v>
      </c>
      <c r="AO21" s="12">
        <v>1080829.34375</v>
      </c>
      <c r="AP21" s="12">
        <v>26877.15625</v>
      </c>
      <c r="AQ21" s="13">
        <v>7935528</v>
      </c>
      <c r="AR21" s="13">
        <v>5857400</v>
      </c>
      <c r="AS21" s="13">
        <v>205176</v>
      </c>
      <c r="AT21" s="13">
        <v>1650568</v>
      </c>
      <c r="AU21" s="14">
        <v>42.177694000000002</v>
      </c>
      <c r="AV21" s="14">
        <v>42.456524999999999</v>
      </c>
      <c r="AW21" s="14">
        <v>29.802156</v>
      </c>
      <c r="AX21" s="14">
        <v>37.652666000000004</v>
      </c>
      <c r="AY21" s="14">
        <v>35.844275000000003</v>
      </c>
      <c r="AZ21" s="15">
        <v>4625.74</v>
      </c>
      <c r="BA21" s="15">
        <v>4535.7</v>
      </c>
      <c r="BB21" s="15">
        <v>89.478999999999999</v>
      </c>
      <c r="BC21" s="15">
        <v>17.067</v>
      </c>
      <c r="BE21" s="50">
        <f t="shared" si="12"/>
        <v>5.153814242286165</v>
      </c>
      <c r="BF21" s="16">
        <f t="shared" si="13"/>
        <v>-9.0473232366575507E-3</v>
      </c>
      <c r="BG21" s="16">
        <f t="shared" si="14"/>
        <v>7.2509355098238748E-2</v>
      </c>
      <c r="BH21" s="16"/>
      <c r="BJ21" s="50"/>
      <c r="BK21" s="50"/>
      <c r="BL21" s="50"/>
      <c r="BM21" s="50"/>
      <c r="BN21" s="50"/>
      <c r="BP21" s="50"/>
      <c r="BQ21" s="50"/>
      <c r="BR21" s="50"/>
      <c r="BS21" s="50"/>
      <c r="BT21" s="50"/>
      <c r="BV21" s="58">
        <f t="shared" si="16"/>
        <v>2889727</v>
      </c>
      <c r="BW21" s="58">
        <f t="shared" si="16"/>
        <v>90303.96875</v>
      </c>
      <c r="BX21" s="58">
        <f t="shared" si="16"/>
        <v>-6716</v>
      </c>
      <c r="BY21" s="58">
        <f t="shared" si="16"/>
        <v>6234328</v>
      </c>
      <c r="BZ21" s="58">
        <f t="shared" si="16"/>
        <v>5095008</v>
      </c>
      <c r="CA21" s="58">
        <f t="shared" si="16"/>
        <v>-208760</v>
      </c>
      <c r="CB21" s="58">
        <f t="shared" si="16"/>
        <v>1125696</v>
      </c>
      <c r="CC21" s="58">
        <f t="shared" si="16"/>
        <v>-26.695537000000002</v>
      </c>
      <c r="CD21" s="58">
        <f t="shared" si="16"/>
        <v>-28.541741000000002</v>
      </c>
      <c r="CE21" s="58">
        <f t="shared" si="16"/>
        <v>-1.7571779999999997</v>
      </c>
      <c r="CF21" s="58">
        <f t="shared" si="16"/>
        <v>-2.9028969999999958</v>
      </c>
      <c r="CG21" s="58">
        <f t="shared" si="16"/>
        <v>-3.4325619999999972</v>
      </c>
      <c r="CJ21" t="s">
        <v>239</v>
      </c>
    </row>
    <row r="22" spans="1:88" outlineLevel="1" x14ac:dyDescent="0.2">
      <c r="A22" s="17"/>
      <c r="B22" s="17" t="s">
        <v>70</v>
      </c>
      <c r="C22" s="18" t="s">
        <v>235</v>
      </c>
      <c r="D22" s="17">
        <v>250602891</v>
      </c>
      <c r="E22" s="18">
        <v>10</v>
      </c>
      <c r="F22" s="18">
        <v>32</v>
      </c>
      <c r="G22" s="18">
        <v>50</v>
      </c>
      <c r="I22" s="19">
        <f t="shared" si="0"/>
        <v>4.0633625000000002</v>
      </c>
      <c r="J22" s="20">
        <f t="shared" si="1"/>
        <v>1.0377182759635442E-2</v>
      </c>
      <c r="K22" s="20">
        <f t="shared" si="2"/>
        <v>5.5723219888951722E-3</v>
      </c>
      <c r="L22" s="20">
        <f t="shared" si="3"/>
        <v>3.9205613154718157E-3</v>
      </c>
      <c r="M22" s="20">
        <f t="shared" si="4"/>
        <v>4.8048607707402704E-3</v>
      </c>
      <c r="N22" s="17">
        <f t="shared" si="5"/>
        <v>1396440</v>
      </c>
      <c r="O22" s="20">
        <v>16</v>
      </c>
      <c r="P22" s="21">
        <v>32604849</v>
      </c>
      <c r="Q22" s="21">
        <v>1018901.53125</v>
      </c>
      <c r="R22" s="21">
        <v>35090.5625</v>
      </c>
      <c r="S22" s="22">
        <v>2600552</v>
      </c>
      <c r="T22" s="22">
        <v>982504</v>
      </c>
      <c r="U22" s="22">
        <v>413936</v>
      </c>
      <c r="V22" s="22">
        <v>1204112</v>
      </c>
      <c r="W22" s="23">
        <v>70.092033999999998</v>
      </c>
      <c r="X22" s="23">
        <v>72.552463000000003</v>
      </c>
      <c r="Y22" s="23">
        <v>33.366719000000003</v>
      </c>
      <c r="Z22" s="23">
        <v>41.756605999999998</v>
      </c>
      <c r="AA22" s="23">
        <v>40.520646999999997</v>
      </c>
      <c r="AB22" s="24">
        <v>4683.8100000000004</v>
      </c>
      <c r="AC22" s="24">
        <v>3363.45</v>
      </c>
      <c r="AD22" s="24">
        <v>84.230999999999995</v>
      </c>
      <c r="AE22" s="24">
        <v>16.602</v>
      </c>
      <c r="AG22" s="19">
        <f t="shared" si="6"/>
        <v>16.578375000000001</v>
      </c>
      <c r="AH22" s="20">
        <f t="shared" si="7"/>
        <v>4.2338537906172841E-2</v>
      </c>
      <c r="AI22" s="20">
        <f t="shared" si="8"/>
        <v>2.9223784972217261E-2</v>
      </c>
      <c r="AJ22" s="20">
        <f t="shared" si="9"/>
        <v>2.7851905347732003E-2</v>
      </c>
      <c r="AK22" s="20">
        <f t="shared" si="10"/>
        <v>1.2780475066426907E-2</v>
      </c>
      <c r="AL22" s="17">
        <f t="shared" si="11"/>
        <v>7323565</v>
      </c>
      <c r="AM22" s="20">
        <v>16</v>
      </c>
      <c r="AN22" s="21">
        <v>33885376</v>
      </c>
      <c r="AO22" s="21">
        <v>1058918</v>
      </c>
      <c r="AP22" s="21">
        <v>29178.375</v>
      </c>
      <c r="AQ22" s="22">
        <v>10610160</v>
      </c>
      <c r="AR22" s="22">
        <v>6979768</v>
      </c>
      <c r="AS22" s="22">
        <v>343797</v>
      </c>
      <c r="AT22" s="22">
        <v>3202824</v>
      </c>
      <c r="AU22" s="23">
        <v>42.047153000000002</v>
      </c>
      <c r="AV22" s="23">
        <v>42.325530999999998</v>
      </c>
      <c r="AW22" s="23">
        <v>32.230049999999999</v>
      </c>
      <c r="AX22" s="23">
        <v>38.910547000000001</v>
      </c>
      <c r="AY22" s="23">
        <v>37.074283999999999</v>
      </c>
      <c r="AZ22" s="24">
        <v>4242.0200000000004</v>
      </c>
      <c r="BA22" s="24">
        <v>4745.2</v>
      </c>
      <c r="BB22" s="24">
        <v>88.134</v>
      </c>
      <c r="BC22" s="24">
        <v>16.812000000000001</v>
      </c>
      <c r="BE22" s="49">
        <f t="shared" si="12"/>
        <v>5.2444537538311709</v>
      </c>
      <c r="BF22" s="25">
        <f t="shared" si="13"/>
        <v>-6.8847056421514063E-3</v>
      </c>
      <c r="BG22" s="25">
        <f t="shared" si="14"/>
        <v>0.15326246615700523</v>
      </c>
      <c r="BH22" s="25"/>
      <c r="BJ22" s="49"/>
      <c r="BK22" s="49"/>
      <c r="BL22" s="49"/>
      <c r="BM22" s="49"/>
      <c r="BN22" s="49"/>
      <c r="BP22" s="49"/>
      <c r="BQ22" s="49"/>
      <c r="BR22" s="49"/>
      <c r="BS22" s="49"/>
      <c r="BT22" s="49"/>
      <c r="BV22" s="58">
        <f t="shared" si="16"/>
        <v>1280527</v>
      </c>
      <c r="BW22" s="58">
        <f t="shared" si="16"/>
        <v>40016.46875</v>
      </c>
      <c r="BX22" s="58">
        <f t="shared" si="16"/>
        <v>-5912.1875</v>
      </c>
      <c r="BY22" s="58">
        <f t="shared" si="16"/>
        <v>8009608</v>
      </c>
      <c r="BZ22" s="58">
        <f t="shared" si="16"/>
        <v>5997264</v>
      </c>
      <c r="CA22" s="58">
        <f t="shared" si="16"/>
        <v>-70139</v>
      </c>
      <c r="CB22" s="58">
        <f t="shared" si="16"/>
        <v>1998712</v>
      </c>
      <c r="CC22" s="58">
        <f t="shared" si="16"/>
        <v>-28.044880999999997</v>
      </c>
      <c r="CD22" s="58">
        <f t="shared" si="16"/>
        <v>-30.226932000000005</v>
      </c>
      <c r="CE22" s="58">
        <f t="shared" si="16"/>
        <v>-1.1366690000000048</v>
      </c>
      <c r="CF22" s="58">
        <f t="shared" si="16"/>
        <v>-2.8460589999999968</v>
      </c>
      <c r="CG22" s="58">
        <f t="shared" si="16"/>
        <v>-3.4463629999999981</v>
      </c>
      <c r="CJ22" t="s">
        <v>239</v>
      </c>
    </row>
    <row r="23" spans="1:88" outlineLevel="1" x14ac:dyDescent="0.2">
      <c r="A23" s="52"/>
      <c r="B23" s="52" t="s">
        <v>70</v>
      </c>
      <c r="C23" s="9" t="s">
        <v>236</v>
      </c>
      <c r="D23" s="52">
        <v>250602891</v>
      </c>
      <c r="E23" s="9">
        <v>10</v>
      </c>
      <c r="F23" s="9">
        <v>32</v>
      </c>
      <c r="G23" s="9">
        <v>50</v>
      </c>
      <c r="I23" s="10">
        <f t="shared" si="0"/>
        <v>7.6368124999999996</v>
      </c>
      <c r="J23" s="11">
        <f t="shared" si="1"/>
        <v>1.9503206768672114E-2</v>
      </c>
      <c r="K23" s="11">
        <f t="shared" si="2"/>
        <v>8.2705829598749524E-3</v>
      </c>
      <c r="L23" s="11">
        <f t="shared" si="3"/>
        <v>6.6188222864515959E-3</v>
      </c>
      <c r="M23" s="11">
        <f t="shared" si="4"/>
        <v>1.1232623808797162E-2</v>
      </c>
      <c r="N23" s="52">
        <f t="shared" si="5"/>
        <v>2072632</v>
      </c>
      <c r="O23" s="11">
        <v>16</v>
      </c>
      <c r="P23" s="12">
        <v>32813316</v>
      </c>
      <c r="Q23" s="12">
        <v>1025416.125</v>
      </c>
      <c r="R23" s="12">
        <v>37028.40625</v>
      </c>
      <c r="S23" s="13">
        <v>4887560</v>
      </c>
      <c r="T23" s="13">
        <v>1658696</v>
      </c>
      <c r="U23" s="13">
        <v>413936</v>
      </c>
      <c r="V23" s="13">
        <v>2814928</v>
      </c>
      <c r="W23" s="14">
        <v>71.045558999999997</v>
      </c>
      <c r="X23" s="14">
        <v>73.797391000000005</v>
      </c>
      <c r="Y23" s="14">
        <v>35.144280999999999</v>
      </c>
      <c r="Z23" s="14">
        <v>42.778806000000003</v>
      </c>
      <c r="AA23" s="14">
        <v>41.512503000000002</v>
      </c>
      <c r="AB23" s="15">
        <v>5061.55</v>
      </c>
      <c r="AC23" s="15">
        <v>3762.9</v>
      </c>
      <c r="AD23" s="15">
        <v>86.265000000000001</v>
      </c>
      <c r="AE23" s="15">
        <v>17.387</v>
      </c>
      <c r="AG23" s="10">
        <f t="shared" si="6"/>
        <v>23.489174999999999</v>
      </c>
      <c r="AH23" s="11">
        <f t="shared" si="7"/>
        <v>5.9987624005502796E-2</v>
      </c>
      <c r="AI23" s="11">
        <f t="shared" si="8"/>
        <v>3.6876861089363888E-2</v>
      </c>
      <c r="AJ23" s="11">
        <f t="shared" si="9"/>
        <v>3.4682089920502951E-2</v>
      </c>
      <c r="AK23" s="11">
        <f t="shared" si="10"/>
        <v>2.3599376592985912E-2</v>
      </c>
      <c r="AL23" s="52">
        <f t="shared" si="11"/>
        <v>9241448</v>
      </c>
      <c r="AM23" s="11">
        <v>16</v>
      </c>
      <c r="AN23" s="12">
        <v>33468003</v>
      </c>
      <c r="AO23" s="12">
        <v>1045875.09375</v>
      </c>
      <c r="AP23" s="12">
        <v>29764.5</v>
      </c>
      <c r="AQ23" s="13">
        <v>15033072</v>
      </c>
      <c r="AR23" s="13">
        <v>8691432</v>
      </c>
      <c r="AS23" s="13">
        <v>550016</v>
      </c>
      <c r="AT23" s="13">
        <v>5914072</v>
      </c>
      <c r="AU23" s="14">
        <v>41.977775000000001</v>
      </c>
      <c r="AV23" s="14">
        <v>42.255656000000002</v>
      </c>
      <c r="AW23" s="14">
        <v>34.195171999999999</v>
      </c>
      <c r="AX23" s="14">
        <v>40.009731000000002</v>
      </c>
      <c r="AY23" s="14">
        <v>38.042194000000002</v>
      </c>
      <c r="AZ23" s="15">
        <v>4395.07</v>
      </c>
      <c r="BA23" s="15">
        <v>5026.24</v>
      </c>
      <c r="BB23" s="15">
        <v>85.923000000000002</v>
      </c>
      <c r="BC23" s="15">
        <v>17.53</v>
      </c>
      <c r="BE23" s="50">
        <f t="shared" si="12"/>
        <v>4.4587982816052243</v>
      </c>
      <c r="BF23" s="16">
        <f t="shared" si="13"/>
        <v>-7.6516710538279374E-3</v>
      </c>
      <c r="BG23" s="16">
        <f t="shared" si="14"/>
        <v>0.1906784295376503</v>
      </c>
      <c r="BH23" s="16"/>
      <c r="BJ23" s="50"/>
      <c r="BK23" s="50"/>
      <c r="BL23" s="50"/>
      <c r="BM23" s="50"/>
      <c r="BN23" s="50"/>
      <c r="BP23" s="50"/>
      <c r="BQ23" s="50"/>
      <c r="BR23" s="50"/>
      <c r="BS23" s="50"/>
      <c r="BT23" s="50"/>
      <c r="BV23" s="58">
        <f t="shared" si="16"/>
        <v>654687</v>
      </c>
      <c r="BW23" s="58">
        <f t="shared" si="16"/>
        <v>20458.96875</v>
      </c>
      <c r="BX23" s="58">
        <f t="shared" si="16"/>
        <v>-7263.90625</v>
      </c>
      <c r="BY23" s="58">
        <f t="shared" si="16"/>
        <v>10145512</v>
      </c>
      <c r="BZ23" s="58">
        <f t="shared" si="16"/>
        <v>7032736</v>
      </c>
      <c r="CA23" s="58">
        <f t="shared" si="16"/>
        <v>136080</v>
      </c>
      <c r="CB23" s="58">
        <f t="shared" si="16"/>
        <v>3099144</v>
      </c>
      <c r="CC23" s="58">
        <f t="shared" si="16"/>
        <v>-29.067783999999996</v>
      </c>
      <c r="CD23" s="58">
        <f t="shared" si="16"/>
        <v>-31.541735000000003</v>
      </c>
      <c r="CE23" s="58">
        <f t="shared" si="16"/>
        <v>-0.94910899999999998</v>
      </c>
      <c r="CF23" s="58">
        <f t="shared" si="16"/>
        <v>-2.7690750000000008</v>
      </c>
      <c r="CG23" s="58">
        <f t="shared" si="16"/>
        <v>-3.4703090000000003</v>
      </c>
      <c r="CJ23" t="s">
        <v>239</v>
      </c>
    </row>
    <row r="24" spans="1:88" ht="16" outlineLevel="1" thickBot="1" x14ac:dyDescent="0.25">
      <c r="A24" s="36"/>
      <c r="B24" s="36" t="s">
        <v>70</v>
      </c>
      <c r="C24" s="37" t="s">
        <v>237</v>
      </c>
      <c r="D24" s="36">
        <v>250602891</v>
      </c>
      <c r="E24" s="37">
        <v>10</v>
      </c>
      <c r="F24" s="37">
        <v>32</v>
      </c>
      <c r="G24" s="37">
        <v>50</v>
      </c>
      <c r="I24" s="38">
        <f t="shared" si="0"/>
        <v>15.560762499999999</v>
      </c>
      <c r="J24" s="39">
        <f t="shared" si="1"/>
        <v>3.9739717128801998E-2</v>
      </c>
      <c r="K24" s="39">
        <f t="shared" si="2"/>
        <v>1.4241814951767656E-2</v>
      </c>
      <c r="L24" s="39">
        <f t="shared" si="3"/>
        <v>1.0614817687797545E-2</v>
      </c>
      <c r="M24" s="39">
        <f t="shared" si="4"/>
        <v>2.5497902177034341E-2</v>
      </c>
      <c r="N24" s="36">
        <f t="shared" si="5"/>
        <v>3569040</v>
      </c>
      <c r="O24" s="39">
        <v>16</v>
      </c>
      <c r="P24" s="40">
        <v>31274990</v>
      </c>
      <c r="Q24" s="40">
        <v>977343.4375</v>
      </c>
      <c r="R24" s="40">
        <v>17914.71875</v>
      </c>
      <c r="S24" s="41">
        <v>9958888</v>
      </c>
      <c r="T24" s="41">
        <v>2660104</v>
      </c>
      <c r="U24" s="41">
        <v>908936</v>
      </c>
      <c r="V24" s="41">
        <v>6389848</v>
      </c>
      <c r="W24" s="42">
        <v>71.767975000000007</v>
      </c>
      <c r="X24" s="42">
        <v>75.810796999999994</v>
      </c>
      <c r="Y24" s="42">
        <v>36.616746999999997</v>
      </c>
      <c r="Z24" s="42">
        <v>43.678193999999998</v>
      </c>
      <c r="AA24" s="42">
        <v>42.226711999999999</v>
      </c>
      <c r="AB24" s="43">
        <v>4642.8500000000004</v>
      </c>
      <c r="AC24" s="43">
        <v>4142.54</v>
      </c>
      <c r="AD24" s="43">
        <v>79.427000000000007</v>
      </c>
      <c r="AE24" s="43">
        <v>18.762</v>
      </c>
      <c r="AG24" s="38">
        <f t="shared" si="6"/>
        <v>37.872525000000003</v>
      </c>
      <c r="AH24" s="39">
        <f t="shared" si="7"/>
        <v>9.6720416525442235E-2</v>
      </c>
      <c r="AI24" s="39">
        <f t="shared" si="8"/>
        <v>5.0655975872201726E-2</v>
      </c>
      <c r="AJ24" s="39">
        <f t="shared" si="9"/>
        <v>4.6503884905302231E-2</v>
      </c>
      <c r="AK24" s="39">
        <f t="shared" si="10"/>
        <v>4.6462991522312487E-2</v>
      </c>
      <c r="AL24" s="36">
        <f t="shared" si="11"/>
        <v>12694534</v>
      </c>
      <c r="AM24" s="39">
        <v>16</v>
      </c>
      <c r="AN24" s="40">
        <v>30751774</v>
      </c>
      <c r="AO24" s="40">
        <v>960992.9375</v>
      </c>
      <c r="AP24" s="40">
        <v>17783.03125</v>
      </c>
      <c r="AQ24" s="41">
        <v>24238416</v>
      </c>
      <c r="AR24" s="41">
        <v>11654008</v>
      </c>
      <c r="AS24" s="41">
        <v>1040526</v>
      </c>
      <c r="AT24" s="41">
        <v>11643760</v>
      </c>
      <c r="AU24" s="42">
        <v>46.692669000000002</v>
      </c>
      <c r="AV24" s="42">
        <v>46.976393999999999</v>
      </c>
      <c r="AW24" s="42">
        <v>36.457647000000001</v>
      </c>
      <c r="AX24" s="42">
        <v>41.322949999999999</v>
      </c>
      <c r="AY24" s="42">
        <v>39.077891000000001</v>
      </c>
      <c r="AZ24" s="43">
        <v>3873.64</v>
      </c>
      <c r="BA24" s="43">
        <v>5003.47</v>
      </c>
      <c r="BB24" s="43">
        <v>74.775999999999996</v>
      </c>
      <c r="BC24" s="43">
        <v>17.547999999999998</v>
      </c>
      <c r="BE24" s="44">
        <f t="shared" si="12"/>
        <v>3.5568483401699051</v>
      </c>
      <c r="BF24" s="45">
        <f t="shared" si="13"/>
        <v>1.7483728024623654E-4</v>
      </c>
      <c r="BG24" s="45">
        <f t="shared" si="14"/>
        <v>0.16535876102384633</v>
      </c>
      <c r="BH24" s="45"/>
      <c r="BJ24" s="44"/>
      <c r="BK24" s="44"/>
      <c r="BL24" s="44"/>
      <c r="BM24" s="44"/>
      <c r="BN24" s="44"/>
      <c r="BP24" s="44"/>
      <c r="BQ24" s="44"/>
      <c r="BR24" s="44"/>
      <c r="BS24" s="44"/>
      <c r="BT24" s="44"/>
      <c r="BV24" s="58">
        <f t="shared" si="16"/>
        <v>-523216</v>
      </c>
      <c r="BW24" s="58">
        <f t="shared" si="16"/>
        <v>-16350.5</v>
      </c>
      <c r="BX24" s="58">
        <f t="shared" si="16"/>
        <v>-131.6875</v>
      </c>
      <c r="BY24" s="58">
        <f t="shared" si="16"/>
        <v>14279528</v>
      </c>
      <c r="BZ24" s="58">
        <f t="shared" si="16"/>
        <v>8993904</v>
      </c>
      <c r="CA24" s="58">
        <f t="shared" si="16"/>
        <v>131590</v>
      </c>
      <c r="CB24" s="58">
        <f t="shared" si="16"/>
        <v>5253912</v>
      </c>
      <c r="CC24" s="58">
        <f t="shared" si="16"/>
        <v>-25.075306000000005</v>
      </c>
      <c r="CD24" s="58">
        <f t="shared" si="16"/>
        <v>-28.834402999999995</v>
      </c>
      <c r="CE24" s="58">
        <f t="shared" si="16"/>
        <v>-0.15909999999999513</v>
      </c>
      <c r="CF24" s="58">
        <f t="shared" si="16"/>
        <v>-2.355243999999999</v>
      </c>
      <c r="CG24" s="58">
        <f t="shared" si="16"/>
        <v>-3.1488209999999981</v>
      </c>
      <c r="CJ24" t="s">
        <v>239</v>
      </c>
    </row>
    <row r="25" spans="1:88" x14ac:dyDescent="0.2">
      <c r="A25" s="52" t="s">
        <v>240</v>
      </c>
      <c r="B25" s="52" t="s">
        <v>73</v>
      </c>
      <c r="C25" s="9" t="s">
        <v>232</v>
      </c>
      <c r="D25" s="52">
        <v>250294582</v>
      </c>
      <c r="E25" s="9">
        <v>10</v>
      </c>
      <c r="F25" s="9">
        <v>32</v>
      </c>
      <c r="G25" s="9">
        <v>30</v>
      </c>
      <c r="I25" s="10">
        <f t="shared" si="0"/>
        <v>2.0607825000000002</v>
      </c>
      <c r="J25" s="11">
        <f t="shared" si="1"/>
        <v>8.7823235422650903E-3</v>
      </c>
      <c r="K25" s="11">
        <f t="shared" si="2"/>
        <v>5.7151217120632678E-3</v>
      </c>
      <c r="L25" s="11">
        <f t="shared" si="3"/>
        <v>3.5055013695821828E-3</v>
      </c>
      <c r="M25" s="11">
        <f t="shared" si="4"/>
        <v>3.0672018302018221E-3</v>
      </c>
      <c r="N25" s="52">
        <f t="shared" si="5"/>
        <v>1430464</v>
      </c>
      <c r="O25" s="11">
        <v>16</v>
      </c>
      <c r="P25" s="12">
        <v>23423729</v>
      </c>
      <c r="Q25" s="12">
        <v>731991.53125</v>
      </c>
      <c r="R25" s="12">
        <v>14601.28125</v>
      </c>
      <c r="S25" s="13">
        <v>2198168</v>
      </c>
      <c r="T25" s="13">
        <v>877408</v>
      </c>
      <c r="U25" s="13">
        <v>553056</v>
      </c>
      <c r="V25" s="13">
        <v>767704</v>
      </c>
      <c r="W25" s="14">
        <v>66.249555999999998</v>
      </c>
      <c r="X25" s="14">
        <v>68.002122</v>
      </c>
      <c r="Y25" s="14">
        <v>25.914252999999999</v>
      </c>
      <c r="Z25" s="14">
        <v>32.457703000000002</v>
      </c>
      <c r="AA25" s="14">
        <v>31.662741</v>
      </c>
      <c r="AB25" s="15">
        <v>1489.4</v>
      </c>
      <c r="AC25" s="15">
        <v>3716.85</v>
      </c>
      <c r="AD25" s="15">
        <v>57.301000000000002</v>
      </c>
      <c r="AE25" s="15">
        <v>15.395</v>
      </c>
      <c r="AG25" s="10">
        <f t="shared" si="6"/>
        <v>8.4227024999999998</v>
      </c>
      <c r="AH25" s="11">
        <f t="shared" si="7"/>
        <v>3.589456842497693E-2</v>
      </c>
      <c r="AI25" s="11">
        <f t="shared" si="8"/>
        <v>2.7381771292196808E-2</v>
      </c>
      <c r="AJ25" s="11">
        <f t="shared" si="9"/>
        <v>2.6508636131804084E-2</v>
      </c>
      <c r="AK25" s="11">
        <f t="shared" si="10"/>
        <v>7.2348669536921898E-3</v>
      </c>
      <c r="AL25" s="52">
        <f t="shared" si="11"/>
        <v>6853509</v>
      </c>
      <c r="AM25" s="11">
        <v>16</v>
      </c>
      <c r="AN25" s="12">
        <v>30613411</v>
      </c>
      <c r="AO25" s="12">
        <v>956669.09375</v>
      </c>
      <c r="AP25" s="12">
        <v>14238.90625</v>
      </c>
      <c r="AQ25" s="13">
        <v>8984216</v>
      </c>
      <c r="AR25" s="13">
        <v>6634968</v>
      </c>
      <c r="AS25" s="13">
        <v>218541</v>
      </c>
      <c r="AT25" s="13">
        <v>1810848</v>
      </c>
      <c r="AU25" s="14">
        <v>41.142524999999999</v>
      </c>
      <c r="AV25" s="14">
        <v>41.531609000000003</v>
      </c>
      <c r="AW25" s="14">
        <v>24.963643999999999</v>
      </c>
      <c r="AX25" s="14">
        <v>31.410990999999999</v>
      </c>
      <c r="AY25" s="14">
        <v>30.484009</v>
      </c>
      <c r="AZ25" s="15">
        <v>1491.33</v>
      </c>
      <c r="BA25" s="15">
        <v>7341.15</v>
      </c>
      <c r="BB25" s="15">
        <v>77.197999999999993</v>
      </c>
      <c r="BC25" s="15">
        <v>17.753</v>
      </c>
      <c r="BE25" s="50">
        <f t="shared" si="12"/>
        <v>4.7911090387454696</v>
      </c>
      <c r="BF25" s="16">
        <f t="shared" si="13"/>
        <v>-5.0634999417994361E-3</v>
      </c>
      <c r="BG25" s="16">
        <f t="shared" si="14"/>
        <v>0.11208604112032539</v>
      </c>
      <c r="BH25" s="16">
        <f t="array" ref="BH25">AVERAGE(AL25:AL29/AQ25:AQ29) - AVERAGE(N25:N29/S25:S29)</f>
        <v>0.17619819265231629</v>
      </c>
      <c r="BJ25" s="50">
        <f>IF( OR(ISBLANK(N25:N29),ISBLANK(AL25:AL29), ISBLANK(W25:W29),ISBLANK(AU25:AU29)), "·", bdRateExtend( N25:N29,W25:W29, AL25:AL29,AU25:AU29))</f>
        <v>1</v>
      </c>
      <c r="BK25" s="50">
        <f>IF( OR(ISBLANK(N25:N29),ISBLANK(AL25:AL29), ISBLANK(X25:X29),ISBLANK(AV25:AV29)), "·", bdRateExtend( N25:N29,X25:X29, AL25:AL29,AV25:AV29))</f>
        <v>1</v>
      </c>
      <c r="BL25" s="50">
        <f>IF( OR(ISBLANK(V25:V29),ISBLANK(AT25:AT29), ISBLANK(Y25:Y29),ISBLANK(AW25:AW29)), "·", bdRateExtend( V25:V29,Y25:Y29, AT25:AT29,AW25:AW29))</f>
        <v>1.3172154396551017</v>
      </c>
      <c r="BM25" s="50">
        <f>IF( OR(ISBLANK(V25:V29),ISBLANK(AT25:AT29), ISBLANK(Z25:Z29),ISBLANK(AX25:AX29)), "·", bdRateExtend( V25:V29,Z25:Z29, AT25:AT29,AX25:AX29))</f>
        <v>2.0721490281229813</v>
      </c>
      <c r="BN25" s="50">
        <f>IF( OR(ISBLANK(V25:V29),ISBLANK(AT25:AT29), ISBLANK(AA25:AA29),ISBLANK(AY25:AY29)), "·", bdRateExtend( V25:V29,AA25:AA29, AT25:AT29,AY25:AY29))</f>
        <v>2.2247257150946029</v>
      </c>
      <c r="BP25" s="50">
        <f>IF( OR(ISBLANK(S25:S29),ISBLANK(AQ25:AQ29), ISBLANK(W25:W29),ISBLANK(AU25:AU29)), "·", bdRateExtend( S25:S29,W25:W29, AQ25:AQ29,AU25:AU29))</f>
        <v>1</v>
      </c>
      <c r="BQ25" s="50">
        <f>IF( OR(ISBLANK(S25:S29),ISBLANK(AQ25:AQ29), ISBLANK(X25:X29),ISBLANK(AV25:AV29)), "·", bdRateExtend( S25:S29,X25:X29, AQ25:AQ29,AV25:AV29))</f>
        <v>1</v>
      </c>
      <c r="BR25" s="50">
        <f>IF( OR(ISBLANK(S25:S29),ISBLANK(AQ25:AQ29), ISBLANK(Y25:Y29),ISBLANK(AW25:AW29)), "·", bdRateExtend( S25:S29,Y25:Y29, AQ25:AQ29,AW25:AW29))</f>
        <v>2.1976906084494243</v>
      </c>
      <c r="BS25" s="50">
        <f>IF( OR(ISBLANK(S25:S29),ISBLANK(AQ25:AQ29), ISBLANK(Z25:Z29),ISBLANK(AX25:AX29)), "·", bdRateExtend( S25:S29,Z25:Z29, AQ25:AQ29,AX25:AX29))</f>
        <v>2.9226528208512068</v>
      </c>
      <c r="BT25" s="50">
        <f>IF( OR(ISBLANK(S25:S29),ISBLANK(AQ25:AQ29), ISBLANK(AA25:AA29),ISBLANK(AY25:AY29)), "·", bdRateExtend( S25:S29,AA25:AA29, AQ25:AQ29,AY25:AY29))</f>
        <v>3.0899651054586057</v>
      </c>
      <c r="BV25" s="58">
        <f t="shared" si="16"/>
        <v>7189682</v>
      </c>
      <c r="BW25" s="58">
        <f t="shared" si="16"/>
        <v>224677.5625</v>
      </c>
      <c r="BX25" s="58">
        <f t="shared" si="16"/>
        <v>-362.375</v>
      </c>
      <c r="BY25" s="58">
        <f t="shared" si="16"/>
        <v>6786048</v>
      </c>
      <c r="BZ25" s="58">
        <f t="shared" si="16"/>
        <v>5757560</v>
      </c>
      <c r="CA25" s="58">
        <f t="shared" si="16"/>
        <v>-334515</v>
      </c>
      <c r="CB25" s="58">
        <f t="shared" si="16"/>
        <v>1043144</v>
      </c>
      <c r="CC25" s="58">
        <f t="shared" si="16"/>
        <v>-25.107030999999999</v>
      </c>
      <c r="CD25" s="58">
        <f t="shared" si="16"/>
        <v>-26.470512999999997</v>
      </c>
      <c r="CE25" s="58">
        <f t="shared" si="16"/>
        <v>-0.95060900000000004</v>
      </c>
      <c r="CF25" s="58">
        <f t="shared" si="16"/>
        <v>-1.046712000000003</v>
      </c>
      <c r="CG25" s="58">
        <f t="shared" si="16"/>
        <v>-1.1787320000000001</v>
      </c>
      <c r="CJ25" t="s">
        <v>579</v>
      </c>
    </row>
    <row r="26" spans="1:88" outlineLevel="1" x14ac:dyDescent="0.2">
      <c r="A26" s="17"/>
      <c r="B26" s="17" t="s">
        <v>73</v>
      </c>
      <c r="C26" s="18" t="s">
        <v>234</v>
      </c>
      <c r="D26" s="17">
        <v>250294582</v>
      </c>
      <c r="E26" s="18">
        <v>10</v>
      </c>
      <c r="F26" s="18">
        <v>32</v>
      </c>
      <c r="G26" s="18">
        <v>30</v>
      </c>
      <c r="I26" s="19">
        <f t="shared" si="0"/>
        <v>3.1715550000000001</v>
      </c>
      <c r="J26" s="20">
        <f t="shared" si="1"/>
        <v>1.3516041669651483E-2</v>
      </c>
      <c r="K26" s="20">
        <f t="shared" si="2"/>
        <v>7.1894484715614021E-3</v>
      </c>
      <c r="L26" s="20">
        <f t="shared" si="3"/>
        <v>4.9798281290803171E-3</v>
      </c>
      <c r="M26" s="20">
        <f t="shared" si="4"/>
        <v>6.3265931980900809E-3</v>
      </c>
      <c r="N26" s="17">
        <f t="shared" si="5"/>
        <v>1799480</v>
      </c>
      <c r="O26" s="20">
        <v>16</v>
      </c>
      <c r="P26" s="21">
        <v>24642332</v>
      </c>
      <c r="Q26" s="21">
        <v>770072.875</v>
      </c>
      <c r="R26" s="21">
        <v>17838.375</v>
      </c>
      <c r="S26" s="22">
        <v>3382992</v>
      </c>
      <c r="T26" s="22">
        <v>1246424</v>
      </c>
      <c r="U26" s="22">
        <v>553056</v>
      </c>
      <c r="V26" s="22">
        <v>1583512</v>
      </c>
      <c r="W26" s="23">
        <v>68.005358999999999</v>
      </c>
      <c r="X26" s="23">
        <v>70.016609000000003</v>
      </c>
      <c r="Y26" s="23">
        <v>27.918291</v>
      </c>
      <c r="Z26" s="23">
        <v>33.668056</v>
      </c>
      <c r="AA26" s="23">
        <v>33.040233999999998</v>
      </c>
      <c r="AB26" s="24">
        <v>1417.61</v>
      </c>
      <c r="AC26" s="24">
        <v>3809.92</v>
      </c>
      <c r="AD26" s="24">
        <v>58.838999999999999</v>
      </c>
      <c r="AE26" s="24">
        <v>15.72</v>
      </c>
      <c r="AG26" s="19">
        <f t="shared" si="6"/>
        <v>11.3381925</v>
      </c>
      <c r="AH26" s="20">
        <f t="shared" si="7"/>
        <v>4.8319351954649981E-2</v>
      </c>
      <c r="AI26" s="20">
        <f t="shared" si="8"/>
        <v>3.4183700388688398E-2</v>
      </c>
      <c r="AJ26" s="20">
        <f t="shared" si="9"/>
        <v>3.2901039783593877E-2</v>
      </c>
      <c r="AK26" s="20">
        <f t="shared" si="10"/>
        <v>1.3267246831575444E-2</v>
      </c>
      <c r="AL26" s="17">
        <f t="shared" si="11"/>
        <v>8555995</v>
      </c>
      <c r="AM26" s="20">
        <v>16</v>
      </c>
      <c r="AN26" s="21">
        <v>29511494</v>
      </c>
      <c r="AO26" s="21">
        <v>922234.1875</v>
      </c>
      <c r="AP26" s="21">
        <v>16559</v>
      </c>
      <c r="AQ26" s="22">
        <v>12094072</v>
      </c>
      <c r="AR26" s="22">
        <v>8234952</v>
      </c>
      <c r="AS26" s="22">
        <v>321043</v>
      </c>
      <c r="AT26" s="22">
        <v>3320720</v>
      </c>
      <c r="AU26" s="23">
        <v>40.912818999999999</v>
      </c>
      <c r="AV26" s="23">
        <v>41.301388000000003</v>
      </c>
      <c r="AW26" s="23">
        <v>27.041202999999999</v>
      </c>
      <c r="AX26" s="23">
        <v>32.780712000000001</v>
      </c>
      <c r="AY26" s="23">
        <v>32.044809000000001</v>
      </c>
      <c r="AZ26" s="24">
        <v>1524.24</v>
      </c>
      <c r="BA26" s="24">
        <v>7965.96</v>
      </c>
      <c r="BB26" s="24">
        <v>78.399000000000001</v>
      </c>
      <c r="BC26" s="24">
        <v>18.951000000000001</v>
      </c>
      <c r="BE26" s="49">
        <f t="shared" si="12"/>
        <v>4.7547041367506173</v>
      </c>
      <c r="BF26" s="25">
        <f t="shared" si="13"/>
        <v>-5.2092192127123904E-3</v>
      </c>
      <c r="BG26" s="25">
        <f t="shared" si="14"/>
        <v>0.17553394512678433</v>
      </c>
      <c r="BH26" s="25"/>
      <c r="BJ26" s="49"/>
      <c r="BK26" s="49"/>
      <c r="BL26" s="49"/>
      <c r="BM26" s="49"/>
      <c r="BN26" s="49"/>
      <c r="BP26" s="49"/>
      <c r="BQ26" s="49"/>
      <c r="BR26" s="49"/>
      <c r="BS26" s="49"/>
      <c r="BT26" s="49"/>
      <c r="BV26" s="58">
        <f t="shared" si="16"/>
        <v>4869162</v>
      </c>
      <c r="BW26" s="58">
        <f t="shared" si="16"/>
        <v>152161.3125</v>
      </c>
      <c r="BX26" s="58">
        <f t="shared" si="16"/>
        <v>-1279.375</v>
      </c>
      <c r="BY26" s="58">
        <f t="shared" si="16"/>
        <v>8711080</v>
      </c>
      <c r="BZ26" s="58">
        <f t="shared" si="16"/>
        <v>6988528</v>
      </c>
      <c r="CA26" s="58">
        <f t="shared" si="16"/>
        <v>-232013</v>
      </c>
      <c r="CB26" s="58">
        <f t="shared" si="16"/>
        <v>1737208</v>
      </c>
      <c r="CC26" s="58">
        <f t="shared" si="16"/>
        <v>-27.09254</v>
      </c>
      <c r="CD26" s="58">
        <f t="shared" si="16"/>
        <v>-28.715221</v>
      </c>
      <c r="CE26" s="58">
        <f t="shared" si="16"/>
        <v>-0.87708800000000053</v>
      </c>
      <c r="CF26" s="58">
        <f t="shared" si="16"/>
        <v>-0.8873439999999988</v>
      </c>
      <c r="CG26" s="58">
        <f t="shared" si="16"/>
        <v>-0.99542499999999734</v>
      </c>
      <c r="CJ26" t="s">
        <v>579</v>
      </c>
    </row>
    <row r="27" spans="1:88" outlineLevel="1" x14ac:dyDescent="0.2">
      <c r="A27" s="52"/>
      <c r="B27" s="52" t="s">
        <v>73</v>
      </c>
      <c r="C27" s="9" t="s">
        <v>235</v>
      </c>
      <c r="D27" s="52">
        <v>250294582</v>
      </c>
      <c r="E27" s="9">
        <v>10</v>
      </c>
      <c r="F27" s="9">
        <v>32</v>
      </c>
      <c r="G27" s="9">
        <v>30</v>
      </c>
      <c r="I27" s="10">
        <f t="shared" si="0"/>
        <v>5.3551425000000004</v>
      </c>
      <c r="J27" s="11">
        <f t="shared" si="1"/>
        <v>2.2821716532401809E-2</v>
      </c>
      <c r="K27" s="11">
        <f t="shared" si="2"/>
        <v>9.3524357630721706E-3</v>
      </c>
      <c r="L27" s="11">
        <f t="shared" si="3"/>
        <v>7.1428154205910857E-3</v>
      </c>
      <c r="M27" s="11">
        <f t="shared" si="4"/>
        <v>1.3469280769329637E-2</v>
      </c>
      <c r="N27" s="52">
        <f t="shared" si="5"/>
        <v>2340864</v>
      </c>
      <c r="O27" s="11">
        <v>16</v>
      </c>
      <c r="P27" s="12">
        <v>24875407</v>
      </c>
      <c r="Q27" s="12">
        <v>777356.46875</v>
      </c>
      <c r="R27" s="12">
        <v>18687.4375</v>
      </c>
      <c r="S27" s="13">
        <v>5712152</v>
      </c>
      <c r="T27" s="13">
        <v>1787808</v>
      </c>
      <c r="U27" s="13">
        <v>553056</v>
      </c>
      <c r="V27" s="13">
        <v>3371288</v>
      </c>
      <c r="W27" s="14">
        <v>69.301755999999997</v>
      </c>
      <c r="X27" s="14">
        <v>71.690518999999995</v>
      </c>
      <c r="Y27" s="14">
        <v>30.205874999999999</v>
      </c>
      <c r="Z27" s="14">
        <v>34.909818999999999</v>
      </c>
      <c r="AA27" s="14">
        <v>34.350633999999999</v>
      </c>
      <c r="AB27" s="15">
        <v>1811.11</v>
      </c>
      <c r="AC27" s="15">
        <v>5598.79</v>
      </c>
      <c r="AD27" s="15">
        <v>70.149000000000001</v>
      </c>
      <c r="AE27" s="15">
        <v>23.367999999999999</v>
      </c>
      <c r="AG27" s="10">
        <f t="shared" si="6"/>
        <v>16.039012499999998</v>
      </c>
      <c r="AH27" s="11">
        <f t="shared" si="7"/>
        <v>6.8352578243183859E-2</v>
      </c>
      <c r="AI27" s="11">
        <f t="shared" si="8"/>
        <v>4.2468306405449879E-2</v>
      </c>
      <c r="AJ27" s="11">
        <f t="shared" si="9"/>
        <v>4.0332187454221444E-2</v>
      </c>
      <c r="AK27" s="11">
        <f t="shared" si="10"/>
        <v>2.5869325449481763E-2</v>
      </c>
      <c r="AL27" s="52">
        <f t="shared" si="11"/>
        <v>10629587</v>
      </c>
      <c r="AM27" s="11">
        <v>16</v>
      </c>
      <c r="AN27" s="12">
        <v>28487968</v>
      </c>
      <c r="AO27" s="12">
        <v>890249</v>
      </c>
      <c r="AP27" s="12">
        <v>17938.21875</v>
      </c>
      <c r="AQ27" s="13">
        <v>17108280</v>
      </c>
      <c r="AR27" s="13">
        <v>10094928</v>
      </c>
      <c r="AS27" s="13">
        <v>534659</v>
      </c>
      <c r="AT27" s="13">
        <v>6474952</v>
      </c>
      <c r="AU27" s="14">
        <v>40.725552999999998</v>
      </c>
      <c r="AV27" s="14">
        <v>41.114122000000002</v>
      </c>
      <c r="AW27" s="14">
        <v>29.380634000000001</v>
      </c>
      <c r="AX27" s="14">
        <v>34.064937</v>
      </c>
      <c r="AY27" s="14">
        <v>33.408900000000003</v>
      </c>
      <c r="AZ27" s="15">
        <v>1841.63</v>
      </c>
      <c r="BA27" s="15">
        <v>11211.3</v>
      </c>
      <c r="BB27" s="15">
        <v>83.855000000000004</v>
      </c>
      <c r="BC27" s="15">
        <v>26.806000000000001</v>
      </c>
      <c r="BE27" s="50">
        <f t="shared" si="12"/>
        <v>4.5408819136865706</v>
      </c>
      <c r="BF27" s="16">
        <f t="shared" si="13"/>
        <v>-3.8900626813660431E-3</v>
      </c>
      <c r="BG27" s="16">
        <f t="shared" si="14"/>
        <v>0.2115082079395455</v>
      </c>
      <c r="BH27" s="16"/>
      <c r="BJ27" s="50"/>
      <c r="BK27" s="50"/>
      <c r="BL27" s="50"/>
      <c r="BM27" s="50"/>
      <c r="BN27" s="50"/>
      <c r="BP27" s="50"/>
      <c r="BQ27" s="50"/>
      <c r="BR27" s="50"/>
      <c r="BS27" s="50"/>
      <c r="BT27" s="50"/>
      <c r="BV27" s="58">
        <f t="shared" si="16"/>
        <v>3612561</v>
      </c>
      <c r="BW27" s="58">
        <f t="shared" si="16"/>
        <v>112892.53125</v>
      </c>
      <c r="BX27" s="58">
        <f t="shared" si="16"/>
        <v>-749.21875</v>
      </c>
      <c r="BY27" s="58">
        <f t="shared" si="16"/>
        <v>11396128</v>
      </c>
      <c r="BZ27" s="58">
        <f t="shared" si="16"/>
        <v>8307120</v>
      </c>
      <c r="CA27" s="58">
        <f t="shared" si="16"/>
        <v>-18397</v>
      </c>
      <c r="CB27" s="58">
        <f t="shared" si="16"/>
        <v>3103664</v>
      </c>
      <c r="CC27" s="58">
        <f t="shared" si="16"/>
        <v>-28.576203</v>
      </c>
      <c r="CD27" s="58">
        <f t="shared" si="16"/>
        <v>-30.576396999999993</v>
      </c>
      <c r="CE27" s="58">
        <f t="shared" si="16"/>
        <v>-0.82524099999999834</v>
      </c>
      <c r="CF27" s="58">
        <f t="shared" si="16"/>
        <v>-0.84488199999999836</v>
      </c>
      <c r="CG27" s="58">
        <f t="shared" si="16"/>
        <v>-0.94173399999999674</v>
      </c>
      <c r="CJ27" t="s">
        <v>579</v>
      </c>
    </row>
    <row r="28" spans="1:88" outlineLevel="1" x14ac:dyDescent="0.2">
      <c r="A28" s="17"/>
      <c r="B28" s="17" t="s">
        <v>73</v>
      </c>
      <c r="C28" s="18" t="s">
        <v>236</v>
      </c>
      <c r="D28" s="17">
        <v>250294582</v>
      </c>
      <c r="E28" s="18">
        <v>10</v>
      </c>
      <c r="F28" s="18">
        <v>32</v>
      </c>
      <c r="G28" s="18">
        <v>30</v>
      </c>
      <c r="I28" s="19">
        <f t="shared" si="0"/>
        <v>10.3389975</v>
      </c>
      <c r="J28" s="20">
        <f t="shared" si="1"/>
        <v>4.4061137527938977E-2</v>
      </c>
      <c r="K28" s="20">
        <f t="shared" si="2"/>
        <v>1.318660585309833E-2</v>
      </c>
      <c r="L28" s="20">
        <f t="shared" si="3"/>
        <v>1.0976985510617245E-2</v>
      </c>
      <c r="M28" s="20">
        <f t="shared" si="4"/>
        <v>3.0874531674840649E-2</v>
      </c>
      <c r="N28" s="17">
        <f t="shared" si="5"/>
        <v>3300536</v>
      </c>
      <c r="O28" s="20">
        <v>16</v>
      </c>
      <c r="P28" s="21">
        <v>25558634</v>
      </c>
      <c r="Q28" s="21">
        <v>798707.3125</v>
      </c>
      <c r="R28" s="21">
        <v>21108.9375</v>
      </c>
      <c r="S28" s="22">
        <v>11028264</v>
      </c>
      <c r="T28" s="22">
        <v>2747480</v>
      </c>
      <c r="U28" s="22">
        <v>553056</v>
      </c>
      <c r="V28" s="22">
        <v>7727728</v>
      </c>
      <c r="W28" s="23">
        <v>70.462115999999995</v>
      </c>
      <c r="X28" s="23">
        <v>72.993594000000002</v>
      </c>
      <c r="Y28" s="23">
        <v>32.704628</v>
      </c>
      <c r="Z28" s="23">
        <v>36.413840999999998</v>
      </c>
      <c r="AA28" s="23">
        <v>35.864955999999999</v>
      </c>
      <c r="AB28" s="24">
        <v>1631.93</v>
      </c>
      <c r="AC28" s="24">
        <v>4853.5200000000004</v>
      </c>
      <c r="AD28" s="24">
        <v>62.817</v>
      </c>
      <c r="AE28" s="24">
        <v>18.484000000000002</v>
      </c>
      <c r="AG28" s="19">
        <f t="shared" si="6"/>
        <v>24.606480000000001</v>
      </c>
      <c r="AH28" s="20">
        <f t="shared" si="7"/>
        <v>0.10486408371396549</v>
      </c>
      <c r="AI28" s="20">
        <f t="shared" si="8"/>
        <v>5.3782830185273446E-2</v>
      </c>
      <c r="AJ28" s="20">
        <f t="shared" si="9"/>
        <v>4.9835485452098198E-2</v>
      </c>
      <c r="AK28" s="20">
        <f t="shared" si="10"/>
        <v>5.287753292238663E-2</v>
      </c>
      <c r="AL28" s="17">
        <f t="shared" si="11"/>
        <v>13461551</v>
      </c>
      <c r="AM28" s="20">
        <v>16</v>
      </c>
      <c r="AN28" s="21">
        <v>27629616</v>
      </c>
      <c r="AO28" s="21">
        <v>863425.5</v>
      </c>
      <c r="AP28" s="21">
        <v>18347.90625</v>
      </c>
      <c r="AQ28" s="22">
        <v>26246912</v>
      </c>
      <c r="AR28" s="22">
        <v>12473552</v>
      </c>
      <c r="AS28" s="22">
        <v>987999</v>
      </c>
      <c r="AT28" s="22">
        <v>13234960</v>
      </c>
      <c r="AU28" s="23">
        <v>40.575209000000001</v>
      </c>
      <c r="AV28" s="23">
        <v>40.963737000000002</v>
      </c>
      <c r="AW28" s="23">
        <v>31.968927999999998</v>
      </c>
      <c r="AX28" s="23">
        <v>35.352058999999997</v>
      </c>
      <c r="AY28" s="23">
        <v>34.688893999999998</v>
      </c>
      <c r="AZ28" s="24">
        <v>1462.18</v>
      </c>
      <c r="BA28" s="24">
        <v>8725.5499999999993</v>
      </c>
      <c r="BB28" s="24">
        <v>75.004999999999995</v>
      </c>
      <c r="BC28" s="24">
        <v>22.181999999999999</v>
      </c>
      <c r="BE28" s="49">
        <f t="shared" si="12"/>
        <v>4.0785954160172775</v>
      </c>
      <c r="BF28" s="25">
        <f t="shared" si="13"/>
        <v>-5.1787447574798973E-3</v>
      </c>
      <c r="BG28" s="25">
        <f t="shared" si="14"/>
        <v>0.21360158327796891</v>
      </c>
      <c r="BH28" s="25"/>
      <c r="BJ28" s="49"/>
      <c r="BK28" s="49"/>
      <c r="BL28" s="49"/>
      <c r="BM28" s="49"/>
      <c r="BN28" s="49"/>
      <c r="BP28" s="49"/>
      <c r="BQ28" s="49"/>
      <c r="BR28" s="49"/>
      <c r="BS28" s="49"/>
      <c r="BT28" s="49"/>
      <c r="BV28" s="58">
        <f t="shared" si="16"/>
        <v>2070982</v>
      </c>
      <c r="BW28" s="58">
        <f t="shared" si="16"/>
        <v>64718.1875</v>
      </c>
      <c r="BX28" s="58">
        <f t="shared" si="16"/>
        <v>-2761.03125</v>
      </c>
      <c r="BY28" s="58">
        <f t="shared" si="16"/>
        <v>15218648</v>
      </c>
      <c r="BZ28" s="58">
        <f t="shared" si="16"/>
        <v>9726072</v>
      </c>
      <c r="CA28" s="58">
        <f t="shared" si="16"/>
        <v>434943</v>
      </c>
      <c r="CB28" s="58">
        <f t="shared" si="16"/>
        <v>5507232</v>
      </c>
      <c r="CC28" s="58">
        <f t="shared" si="16"/>
        <v>-29.886906999999994</v>
      </c>
      <c r="CD28" s="58">
        <f t="shared" si="16"/>
        <v>-32.029857</v>
      </c>
      <c r="CE28" s="58">
        <f t="shared" si="16"/>
        <v>-0.73570000000000135</v>
      </c>
      <c r="CF28" s="58">
        <f t="shared" si="16"/>
        <v>-1.0617820000000009</v>
      </c>
      <c r="CG28" s="58">
        <f t="shared" si="16"/>
        <v>-1.1760620000000017</v>
      </c>
      <c r="CJ28" t="s">
        <v>579</v>
      </c>
    </row>
    <row r="29" spans="1:88" ht="16" outlineLevel="1" thickBot="1" x14ac:dyDescent="0.25">
      <c r="A29" s="26"/>
      <c r="B29" s="26" t="s">
        <v>73</v>
      </c>
      <c r="C29" s="27" t="s">
        <v>237</v>
      </c>
      <c r="D29" s="26">
        <v>250294582</v>
      </c>
      <c r="E29" s="27">
        <v>10</v>
      </c>
      <c r="F29" s="27">
        <v>32</v>
      </c>
      <c r="G29" s="27">
        <v>30</v>
      </c>
      <c r="I29" s="28">
        <f t="shared" si="0"/>
        <v>23.8660575</v>
      </c>
      <c r="J29" s="29">
        <f t="shared" si="1"/>
        <v>0.10170866583120844</v>
      </c>
      <c r="K29" s="29">
        <f t="shared" si="2"/>
        <v>2.1642817661950031E-2</v>
      </c>
      <c r="L29" s="29">
        <f t="shared" si="3"/>
        <v>1.7231247938079619E-2</v>
      </c>
      <c r="M29" s="29">
        <f t="shared" si="4"/>
        <v>8.0065848169258408E-2</v>
      </c>
      <c r="N29" s="26">
        <f t="shared" si="5"/>
        <v>5417080</v>
      </c>
      <c r="O29" s="29">
        <v>16</v>
      </c>
      <c r="P29" s="30">
        <v>24591050</v>
      </c>
      <c r="Q29" s="30">
        <v>768470.3125</v>
      </c>
      <c r="R29" s="30">
        <v>9839.84375</v>
      </c>
      <c r="S29" s="31">
        <v>25457128</v>
      </c>
      <c r="T29" s="31">
        <v>4312888</v>
      </c>
      <c r="U29" s="31">
        <v>1104192</v>
      </c>
      <c r="V29" s="31">
        <v>20040048</v>
      </c>
      <c r="W29" s="32">
        <v>71.138030999999998</v>
      </c>
      <c r="X29" s="32">
        <v>74.865933999999996</v>
      </c>
      <c r="Y29" s="32">
        <v>35.755878000000003</v>
      </c>
      <c r="Z29" s="32">
        <v>38.367171999999997</v>
      </c>
      <c r="AA29" s="32">
        <v>37.762050000000002</v>
      </c>
      <c r="AB29" s="33">
        <v>1811.35</v>
      </c>
      <c r="AC29" s="33">
        <v>6975.87</v>
      </c>
      <c r="AD29" s="33">
        <v>69.799000000000007</v>
      </c>
      <c r="AE29" s="33">
        <v>29.370999999999999</v>
      </c>
      <c r="AG29" s="28">
        <f t="shared" si="6"/>
        <v>46.521945000000002</v>
      </c>
      <c r="AH29" s="29">
        <f t="shared" si="7"/>
        <v>0.19826001667107601</v>
      </c>
      <c r="AI29" s="29">
        <f t="shared" si="8"/>
        <v>7.5547664072089266E-2</v>
      </c>
      <c r="AJ29" s="29">
        <f t="shared" si="9"/>
        <v>6.6200841694607673E-2</v>
      </c>
      <c r="AK29" s="29">
        <f t="shared" si="10"/>
        <v>0.12771197740109291</v>
      </c>
      <c r="AL29" s="26">
        <f t="shared" si="11"/>
        <v>18909171</v>
      </c>
      <c r="AM29" s="29">
        <v>16</v>
      </c>
      <c r="AN29" s="30">
        <v>25714947</v>
      </c>
      <c r="AO29" s="30">
        <v>803592.09375</v>
      </c>
      <c r="AP29" s="30">
        <v>11019.75</v>
      </c>
      <c r="AQ29" s="31">
        <v>49623408</v>
      </c>
      <c r="AR29" s="31">
        <v>16569712</v>
      </c>
      <c r="AS29" s="31">
        <v>2339459</v>
      </c>
      <c r="AT29" s="31">
        <v>31965616</v>
      </c>
      <c r="AU29" s="32">
        <v>44.775278</v>
      </c>
      <c r="AV29" s="32">
        <v>45.161149999999999</v>
      </c>
      <c r="AW29" s="32">
        <v>35.539278000000003</v>
      </c>
      <c r="AX29" s="32">
        <v>37.403053</v>
      </c>
      <c r="AY29" s="32">
        <v>36.699047</v>
      </c>
      <c r="AZ29" s="33">
        <v>1499.88</v>
      </c>
      <c r="BA29" s="33">
        <v>9112.3700000000008</v>
      </c>
      <c r="BB29" s="33">
        <v>66.923000000000002</v>
      </c>
      <c r="BC29" s="33">
        <v>22.919</v>
      </c>
      <c r="BE29" s="34">
        <f t="shared" si="12"/>
        <v>3.4906575129036308</v>
      </c>
      <c r="BF29" s="35">
        <f t="shared" si="13"/>
        <v>9.0865873162325125E-4</v>
      </c>
      <c r="BG29" s="35">
        <f t="shared" si="14"/>
        <v>0.16826118579695701</v>
      </c>
      <c r="BH29" s="35"/>
      <c r="BJ29" s="34"/>
      <c r="BK29" s="34"/>
      <c r="BL29" s="34"/>
      <c r="BM29" s="34"/>
      <c r="BN29" s="34"/>
      <c r="BP29" s="34"/>
      <c r="BQ29" s="34"/>
      <c r="BR29" s="34"/>
      <c r="BS29" s="34"/>
      <c r="BT29" s="34"/>
      <c r="BV29" s="58">
        <f t="shared" si="16"/>
        <v>1123897</v>
      </c>
      <c r="BW29" s="58">
        <f t="shared" si="16"/>
        <v>35121.78125</v>
      </c>
      <c r="BX29" s="58">
        <f t="shared" si="16"/>
        <v>1179.90625</v>
      </c>
      <c r="BY29" s="58">
        <f t="shared" si="16"/>
        <v>24166280</v>
      </c>
      <c r="BZ29" s="58">
        <f t="shared" si="16"/>
        <v>12256824</v>
      </c>
      <c r="CA29" s="58">
        <f t="shared" si="16"/>
        <v>1235267</v>
      </c>
      <c r="CB29" s="58">
        <f t="shared" si="16"/>
        <v>11925568</v>
      </c>
      <c r="CC29" s="58">
        <f t="shared" si="16"/>
        <v>-26.362752999999998</v>
      </c>
      <c r="CD29" s="58">
        <f t="shared" si="16"/>
        <v>-29.704783999999997</v>
      </c>
      <c r="CE29" s="58">
        <f t="shared" si="16"/>
        <v>-0.21659999999999968</v>
      </c>
      <c r="CF29" s="58">
        <f t="shared" si="16"/>
        <v>-0.96411899999999662</v>
      </c>
      <c r="CG29" s="58">
        <f t="shared" si="16"/>
        <v>-1.0630030000000019</v>
      </c>
      <c r="CJ29" t="s">
        <v>579</v>
      </c>
    </row>
    <row r="30" spans="1:88" x14ac:dyDescent="0.2">
      <c r="A30" s="17" t="s">
        <v>242</v>
      </c>
      <c r="B30" s="17" t="s">
        <v>77</v>
      </c>
      <c r="C30" s="18" t="s">
        <v>232</v>
      </c>
      <c r="D30" s="17">
        <v>375422539</v>
      </c>
      <c r="E30" s="18">
        <v>11</v>
      </c>
      <c r="F30" s="18">
        <v>32</v>
      </c>
      <c r="G30" s="18">
        <v>30</v>
      </c>
      <c r="I30" s="19">
        <f t="shared" si="0"/>
        <v>3.7191225000000001</v>
      </c>
      <c r="J30" s="20">
        <f t="shared" si="1"/>
        <v>1.0566930825642303E-2</v>
      </c>
      <c r="K30" s="20">
        <f t="shared" si="2"/>
        <v>8.3820433594158812E-3</v>
      </c>
      <c r="L30" s="20">
        <f t="shared" si="3"/>
        <v>5.2756768554058494E-3</v>
      </c>
      <c r="M30" s="20">
        <f t="shared" si="4"/>
        <v>2.1848874662264216E-3</v>
      </c>
      <c r="N30" s="17">
        <f t="shared" si="5"/>
        <v>3146808</v>
      </c>
      <c r="O30" s="20">
        <v>16</v>
      </c>
      <c r="P30" s="21">
        <v>86243398</v>
      </c>
      <c r="Q30" s="21">
        <v>2695106.1875</v>
      </c>
      <c r="R30" s="21">
        <v>33846.0625</v>
      </c>
      <c r="S30" s="22">
        <v>3967064</v>
      </c>
      <c r="T30" s="22">
        <v>1980608</v>
      </c>
      <c r="U30" s="22">
        <v>1166200</v>
      </c>
      <c r="V30" s="22">
        <v>820256</v>
      </c>
      <c r="W30" s="23">
        <v>73.637074999999996</v>
      </c>
      <c r="X30" s="23">
        <v>75.742599999999996</v>
      </c>
      <c r="Y30" s="23">
        <v>33.230944000000001</v>
      </c>
      <c r="Z30" s="23">
        <v>41.929219000000003</v>
      </c>
      <c r="AA30" s="23">
        <v>43.316119</v>
      </c>
      <c r="AB30" s="24">
        <v>4169.28</v>
      </c>
      <c r="AC30" s="24">
        <v>17780.8</v>
      </c>
      <c r="AD30" s="24">
        <v>242.79</v>
      </c>
      <c r="AE30" s="24">
        <v>79.113</v>
      </c>
      <c r="AG30" s="19">
        <f t="shared" si="6"/>
        <v>18.109484999999999</v>
      </c>
      <c r="AH30" s="20">
        <f t="shared" si="7"/>
        <v>5.1453447764360255E-2</v>
      </c>
      <c r="AI30" s="20">
        <f t="shared" si="8"/>
        <v>4.2655259970952354E-2</v>
      </c>
      <c r="AJ30" s="20">
        <f t="shared" si="9"/>
        <v>4.1672212972807154E-2</v>
      </c>
      <c r="AK30" s="20">
        <f t="shared" si="10"/>
        <v>6.7449333402968652E-3</v>
      </c>
      <c r="AL30" s="17">
        <f t="shared" si="11"/>
        <v>16013746</v>
      </c>
      <c r="AM30" s="20">
        <v>16</v>
      </c>
      <c r="AN30" s="21">
        <v>108618572</v>
      </c>
      <c r="AO30" s="21">
        <v>3394330.375</v>
      </c>
      <c r="AP30" s="21">
        <v>29495.40625</v>
      </c>
      <c r="AQ30" s="22">
        <v>19316784</v>
      </c>
      <c r="AR30" s="22">
        <v>15644688</v>
      </c>
      <c r="AS30" s="22">
        <v>369058</v>
      </c>
      <c r="AT30" s="22">
        <v>2532200</v>
      </c>
      <c r="AU30" s="23">
        <v>47.988503000000001</v>
      </c>
      <c r="AV30" s="23">
        <v>48.288652999999996</v>
      </c>
      <c r="AW30" s="23">
        <v>30.800108999999999</v>
      </c>
      <c r="AX30" s="23">
        <v>40.628897000000002</v>
      </c>
      <c r="AY30" s="23">
        <v>41.668722000000002</v>
      </c>
      <c r="AZ30" s="24">
        <v>3670.66</v>
      </c>
      <c r="BA30" s="24">
        <v>27602.799999999999</v>
      </c>
      <c r="BB30" s="24">
        <v>289.05399999999997</v>
      </c>
      <c r="BC30" s="24">
        <v>77.525999999999996</v>
      </c>
      <c r="BE30" s="49">
        <f t="shared" si="12"/>
        <v>5.088885626323564</v>
      </c>
      <c r="BF30" s="25">
        <f t="shared" si="13"/>
        <v>-3.868731258457634E-3</v>
      </c>
      <c r="BG30" s="25">
        <f t="shared" si="14"/>
        <v>3.5773352237341238E-2</v>
      </c>
      <c r="BH30" s="25">
        <f t="array" ref="BH30">AVERAGE(AL30:AL34/AQ30:AQ34) - AVERAGE(N30:N34/S30:S34)</f>
        <v>0.10335451399664797</v>
      </c>
      <c r="BJ30" s="49">
        <f>IF( OR(ISBLANK(N30:N34),ISBLANK(AL30:AL34), ISBLANK(W30:W34),ISBLANK(AU30:AU34)), "·", bdRateExtend( N30:N34,W30:W34, AL30:AL34,AU30:AU34))</f>
        <v>1</v>
      </c>
      <c r="BK30" s="49">
        <f>IF( OR(ISBLANK(N30:N34),ISBLANK(AL30:AL34), ISBLANK(X30:X34),ISBLANK(AV30:AV34)), "·", bdRateExtend( N30:N34,X30:X34, AL30:AL34,AV30:AV34))</f>
        <v>1</v>
      </c>
      <c r="BL30" s="49">
        <f>IF( OR(ISBLANK(V30:V34),ISBLANK(AT30:AT34), ISBLANK(Y30:Y34),ISBLANK(AW30:AW34)), "·", bdRateExtend( V30:V34,Y30:Y34, AT30:AT34,AW30:AW34))</f>
        <v>2.5323628608935733</v>
      </c>
      <c r="BM30" s="49">
        <f>IF( OR(ISBLANK(V30:V34),ISBLANK(AT30:AT34), ISBLANK(Z30:Z34),ISBLANK(AX30:AX34)), "·", bdRateExtend( V30:V34,Z30:Z34, AT30:AT34,AX30:AX34))</f>
        <v>3.6774940291650751</v>
      </c>
      <c r="BN30" s="49">
        <f>IF( OR(ISBLANK(V30:V34),ISBLANK(AT30:AT34), ISBLANK(AA30:AA34),ISBLANK(AY30:AY34)), "·", bdRateExtend( V30:V34,AA30:AA34, AT30:AT34,AY30:AY34))</f>
        <v>3.7749482710216267</v>
      </c>
      <c r="BP30" s="49">
        <f>IF( OR(ISBLANK(S30:S34),ISBLANK(AQ30:AQ34), ISBLANK(W30:W34),ISBLANK(AU30:AU34)), "·", bdRateExtend( S30:S34,W30:W34, AQ30:AQ34,AU30:AU34))</f>
        <v>1</v>
      </c>
      <c r="BQ30" s="49">
        <f>IF( OR(ISBLANK(S30:S34),ISBLANK(AQ30:AQ34), ISBLANK(X30:X34),ISBLANK(AV30:AV34)), "·", bdRateExtend( S30:S34,X30:X34, AQ30:AQ34,AV30:AV34))</f>
        <v>1</v>
      </c>
      <c r="BR30" s="49">
        <f>IF( OR(ISBLANK(S30:S34),ISBLANK(AQ30:AQ34), ISBLANK(Y30:Y34),ISBLANK(AW30:AW34)), "·", bdRateExtend( S30:S34,Y30:Y34, AQ30:AQ34,AW30:AW34))</f>
        <v>3.587253945502388</v>
      </c>
      <c r="BS30" s="49">
        <f>IF( OR(ISBLANK(S30:S34),ISBLANK(AQ30:AQ34), ISBLANK(Z30:Z34),ISBLANK(AX30:AX34)), "·", bdRateExtend( S30:S34,Z30:Z34, AQ30:AQ34,AX30:AX34))</f>
        <v>4.4149964151775478</v>
      </c>
      <c r="BT30" s="49">
        <f>IF( OR(ISBLANK(S30:S34),ISBLANK(AQ30:AQ34), ISBLANK(AA30:AA34),ISBLANK(AY30:AY34)), "·", bdRateExtend( S30:S34,AA30:AA34, AQ30:AQ34,AY30:AY34))</f>
        <v>4.5313118517750048</v>
      </c>
      <c r="BV30" s="58">
        <f t="shared" si="16"/>
        <v>22375174</v>
      </c>
      <c r="BW30" s="58">
        <f t="shared" si="16"/>
        <v>699224.1875</v>
      </c>
      <c r="BX30" s="58">
        <f t="shared" si="16"/>
        <v>-4350.65625</v>
      </c>
      <c r="BY30" s="58">
        <f t="shared" si="16"/>
        <v>15349720</v>
      </c>
      <c r="BZ30" s="58">
        <f t="shared" si="16"/>
        <v>13664080</v>
      </c>
      <c r="CA30" s="58">
        <f t="shared" si="16"/>
        <v>-797142</v>
      </c>
      <c r="CB30" s="58">
        <f t="shared" si="16"/>
        <v>1711944</v>
      </c>
      <c r="CC30" s="58">
        <f t="shared" si="16"/>
        <v>-25.648571999999994</v>
      </c>
      <c r="CD30" s="58">
        <f t="shared" si="16"/>
        <v>-27.453946999999999</v>
      </c>
      <c r="CE30" s="58">
        <f t="shared" si="16"/>
        <v>-2.4308350000000019</v>
      </c>
      <c r="CF30" s="58">
        <f t="shared" si="16"/>
        <v>-1.3003220000000013</v>
      </c>
      <c r="CG30" s="58">
        <f t="shared" si="16"/>
        <v>-1.647396999999998</v>
      </c>
      <c r="CJ30" t="s">
        <v>588</v>
      </c>
    </row>
    <row r="31" spans="1:88" outlineLevel="1" x14ac:dyDescent="0.2">
      <c r="A31" s="52"/>
      <c r="B31" s="52" t="s">
        <v>77</v>
      </c>
      <c r="C31" s="9" t="s">
        <v>234</v>
      </c>
      <c r="D31" s="52">
        <v>375422539</v>
      </c>
      <c r="E31" s="9">
        <v>11</v>
      </c>
      <c r="F31" s="9">
        <v>32</v>
      </c>
      <c r="G31" s="9">
        <v>30</v>
      </c>
      <c r="I31" s="10">
        <f t="shared" si="0"/>
        <v>4.9565625000000004</v>
      </c>
      <c r="J31" s="11">
        <f t="shared" si="1"/>
        <v>1.4082798582319533E-2</v>
      </c>
      <c r="K31" s="11">
        <f t="shared" si="2"/>
        <v>1.0321894924907532E-2</v>
      </c>
      <c r="L31" s="11">
        <f t="shared" si="3"/>
        <v>7.2155284208974997E-3</v>
      </c>
      <c r="M31" s="11">
        <f t="shared" si="4"/>
        <v>3.7609036574120019E-3</v>
      </c>
      <c r="N31" s="52">
        <f t="shared" si="5"/>
        <v>3875072</v>
      </c>
      <c r="O31" s="11">
        <v>16</v>
      </c>
      <c r="P31" s="12">
        <v>90541792</v>
      </c>
      <c r="Q31" s="12">
        <v>2829431</v>
      </c>
      <c r="R31" s="12">
        <v>41460.6875</v>
      </c>
      <c r="S31" s="13">
        <v>5287000</v>
      </c>
      <c r="T31" s="13">
        <v>2708872</v>
      </c>
      <c r="U31" s="13">
        <v>1166200</v>
      </c>
      <c r="V31" s="13">
        <v>1411928</v>
      </c>
      <c r="W31" s="14">
        <v>75.252650000000003</v>
      </c>
      <c r="X31" s="14">
        <v>77.584663000000006</v>
      </c>
      <c r="Y31" s="14">
        <v>35.168300000000002</v>
      </c>
      <c r="Z31" s="14">
        <v>42.577666000000001</v>
      </c>
      <c r="AA31" s="14">
        <v>44.702897</v>
      </c>
      <c r="AB31" s="15">
        <v>4444.84</v>
      </c>
      <c r="AC31" s="15">
        <v>23155.200000000001</v>
      </c>
      <c r="AD31" s="15">
        <v>274.03800000000001</v>
      </c>
      <c r="AE31" s="15">
        <v>104.39</v>
      </c>
      <c r="AG31" s="10">
        <f t="shared" si="6"/>
        <v>22.379887499999999</v>
      </c>
      <c r="AH31" s="11">
        <f t="shared" si="7"/>
        <v>6.3586699039398911E-2</v>
      </c>
      <c r="AI31" s="11">
        <f t="shared" si="8"/>
        <v>5.1174202409834536E-2</v>
      </c>
      <c r="AJ31" s="11">
        <f t="shared" si="9"/>
        <v>4.9875108857009784E-2</v>
      </c>
      <c r="AK31" s="11">
        <f t="shared" si="10"/>
        <v>1.0675288731132895E-2</v>
      </c>
      <c r="AL31" s="52">
        <f t="shared" si="11"/>
        <v>19211949</v>
      </c>
      <c r="AM31" s="11">
        <v>16</v>
      </c>
      <c r="AN31" s="12">
        <v>104328559</v>
      </c>
      <c r="AO31" s="12">
        <v>3260267.46875</v>
      </c>
      <c r="AP31" s="12">
        <v>35204.09375</v>
      </c>
      <c r="AQ31" s="13">
        <v>23871880</v>
      </c>
      <c r="AR31" s="13">
        <v>18724240</v>
      </c>
      <c r="AS31" s="13">
        <v>487709</v>
      </c>
      <c r="AT31" s="13">
        <v>4007744</v>
      </c>
      <c r="AU31" s="14">
        <v>47.770108999999998</v>
      </c>
      <c r="AV31" s="14">
        <v>48.070275000000002</v>
      </c>
      <c r="AW31" s="14">
        <v>33.209031000000003</v>
      </c>
      <c r="AX31" s="14">
        <v>41.678474999999999</v>
      </c>
      <c r="AY31" s="14">
        <v>43.059303</v>
      </c>
      <c r="AZ31" s="15">
        <v>3701.03</v>
      </c>
      <c r="BA31" s="15">
        <v>30223.200000000001</v>
      </c>
      <c r="BB31" s="15">
        <v>273.30500000000001</v>
      </c>
      <c r="BC31" s="15">
        <v>78.771000000000001</v>
      </c>
      <c r="BE31" s="50">
        <f t="shared" si="12"/>
        <v>4.9578302028968748</v>
      </c>
      <c r="BF31" s="16">
        <f t="shared" si="13"/>
        <v>-3.855449976066053E-3</v>
      </c>
      <c r="BG31" s="16">
        <f t="shared" si="14"/>
        <v>7.185068816512763E-2</v>
      </c>
      <c r="BH31" s="16"/>
      <c r="BJ31" s="50"/>
      <c r="BK31" s="50"/>
      <c r="BL31" s="50"/>
      <c r="BM31" s="50"/>
      <c r="BN31" s="50"/>
      <c r="BP31" s="50"/>
      <c r="BQ31" s="50"/>
      <c r="BR31" s="50"/>
      <c r="BS31" s="50"/>
      <c r="BT31" s="50"/>
      <c r="BV31" s="58">
        <f t="shared" si="16"/>
        <v>13786767</v>
      </c>
      <c r="BW31" s="58">
        <f t="shared" si="16"/>
        <v>430836.46875</v>
      </c>
      <c r="BX31" s="58">
        <f t="shared" si="16"/>
        <v>-6256.59375</v>
      </c>
      <c r="BY31" s="58">
        <f t="shared" si="16"/>
        <v>18584880</v>
      </c>
      <c r="BZ31" s="58">
        <f t="shared" si="16"/>
        <v>16015368</v>
      </c>
      <c r="CA31" s="58">
        <f t="shared" si="16"/>
        <v>-678491</v>
      </c>
      <c r="CB31" s="58">
        <f t="shared" si="16"/>
        <v>2595816</v>
      </c>
      <c r="CC31" s="58">
        <f t="shared" si="16"/>
        <v>-27.482541000000005</v>
      </c>
      <c r="CD31" s="58">
        <f t="shared" si="16"/>
        <v>-29.514388000000004</v>
      </c>
      <c r="CE31" s="58">
        <f t="shared" si="16"/>
        <v>-1.959268999999999</v>
      </c>
      <c r="CF31" s="58">
        <f t="shared" si="16"/>
        <v>-0.89919100000000185</v>
      </c>
      <c r="CG31" s="58">
        <f t="shared" si="16"/>
        <v>-1.6435940000000002</v>
      </c>
      <c r="CJ31" t="s">
        <v>588</v>
      </c>
    </row>
    <row r="32" spans="1:88" outlineLevel="1" x14ac:dyDescent="0.2">
      <c r="A32" s="17"/>
      <c r="B32" s="17" t="s">
        <v>77</v>
      </c>
      <c r="C32" s="18" t="s">
        <v>235</v>
      </c>
      <c r="D32" s="17">
        <v>375422539</v>
      </c>
      <c r="E32" s="18">
        <v>11</v>
      </c>
      <c r="F32" s="18">
        <v>32</v>
      </c>
      <c r="G32" s="18">
        <v>30</v>
      </c>
      <c r="I32" s="19">
        <f t="shared" si="0"/>
        <v>7.1605800000000004</v>
      </c>
      <c r="J32" s="20">
        <f t="shared" si="1"/>
        <v>2.0344947909480736E-2</v>
      </c>
      <c r="K32" s="20">
        <f t="shared" si="2"/>
        <v>1.3213229054422862E-2</v>
      </c>
      <c r="L32" s="20">
        <f t="shared" si="3"/>
        <v>1.0106862550412829E-2</v>
      </c>
      <c r="M32" s="20">
        <f t="shared" si="4"/>
        <v>7.1317188550578739E-3</v>
      </c>
      <c r="N32" s="17">
        <f t="shared" si="5"/>
        <v>4960544</v>
      </c>
      <c r="O32" s="20">
        <v>16</v>
      </c>
      <c r="P32" s="21">
        <v>91787366</v>
      </c>
      <c r="Q32" s="21">
        <v>2868355.1875</v>
      </c>
      <c r="R32" s="21">
        <v>44534.90625</v>
      </c>
      <c r="S32" s="22">
        <v>7637952</v>
      </c>
      <c r="T32" s="22">
        <v>3794344</v>
      </c>
      <c r="U32" s="22">
        <v>1166200</v>
      </c>
      <c r="V32" s="22">
        <v>2677408</v>
      </c>
      <c r="W32" s="23">
        <v>76.469399999999993</v>
      </c>
      <c r="X32" s="23">
        <v>79.114191000000005</v>
      </c>
      <c r="Y32" s="23">
        <v>36.951524999999997</v>
      </c>
      <c r="Z32" s="23">
        <v>43.104759000000001</v>
      </c>
      <c r="AA32" s="23">
        <v>45.735422</v>
      </c>
      <c r="AB32" s="24">
        <v>4380.97</v>
      </c>
      <c r="AC32" s="24">
        <v>23571.7</v>
      </c>
      <c r="AD32" s="24">
        <v>272.99400000000003</v>
      </c>
      <c r="AE32" s="24">
        <v>105.072</v>
      </c>
      <c r="AG32" s="19">
        <f t="shared" si="6"/>
        <v>28.433039999999998</v>
      </c>
      <c r="AH32" s="20">
        <f t="shared" si="7"/>
        <v>8.0785176299710659E-2</v>
      </c>
      <c r="AI32" s="20">
        <f t="shared" si="8"/>
        <v>6.168647748663806E-2</v>
      </c>
      <c r="AJ32" s="20">
        <f t="shared" si="9"/>
        <v>5.9840434886622509E-2</v>
      </c>
      <c r="AK32" s="20">
        <f t="shared" si="10"/>
        <v>1.7908461271154526E-2</v>
      </c>
      <c r="AL32" s="17">
        <f t="shared" si="11"/>
        <v>23158494</v>
      </c>
      <c r="AM32" s="20">
        <v>16</v>
      </c>
      <c r="AN32" s="21">
        <v>101037823</v>
      </c>
      <c r="AO32" s="21">
        <v>3157431.96875</v>
      </c>
      <c r="AP32" s="21">
        <v>38488.125</v>
      </c>
      <c r="AQ32" s="22">
        <v>30328576</v>
      </c>
      <c r="AR32" s="22">
        <v>22465448</v>
      </c>
      <c r="AS32" s="22">
        <v>693046</v>
      </c>
      <c r="AT32" s="22">
        <v>6723240</v>
      </c>
      <c r="AU32" s="23">
        <v>47.609955999999997</v>
      </c>
      <c r="AV32" s="23">
        <v>47.909744000000003</v>
      </c>
      <c r="AW32" s="23">
        <v>35.560552999999999</v>
      </c>
      <c r="AX32" s="23">
        <v>42.442065999999997</v>
      </c>
      <c r="AY32" s="23">
        <v>44.441903000000003</v>
      </c>
      <c r="AZ32" s="24">
        <v>3683.17</v>
      </c>
      <c r="BA32" s="24">
        <v>30402.9</v>
      </c>
      <c r="BB32" s="24">
        <v>276.87299999999999</v>
      </c>
      <c r="BC32" s="24">
        <v>84.204999999999998</v>
      </c>
      <c r="BE32" s="49">
        <f t="shared" si="12"/>
        <v>4.6685391763483999</v>
      </c>
      <c r="BF32" s="25">
        <f t="shared" si="13"/>
        <v>-3.3365945693815055E-3</v>
      </c>
      <c r="BG32" s="25">
        <f t="shared" si="14"/>
        <v>0.11412663244654064</v>
      </c>
      <c r="BH32" s="25"/>
      <c r="BJ32" s="49"/>
      <c r="BK32" s="49"/>
      <c r="BL32" s="49"/>
      <c r="BM32" s="49"/>
      <c r="BN32" s="49"/>
      <c r="BP32" s="49"/>
      <c r="BQ32" s="49"/>
      <c r="BR32" s="49"/>
      <c r="BS32" s="49"/>
      <c r="BT32" s="49"/>
      <c r="BV32" s="58">
        <f t="shared" si="16"/>
        <v>9250457</v>
      </c>
      <c r="BW32" s="58">
        <f t="shared" si="16"/>
        <v>289076.78125</v>
      </c>
      <c r="BX32" s="58">
        <f t="shared" si="16"/>
        <v>-6046.78125</v>
      </c>
      <c r="BY32" s="58">
        <f t="shared" si="16"/>
        <v>22690624</v>
      </c>
      <c r="BZ32" s="58">
        <f t="shared" si="16"/>
        <v>18671104</v>
      </c>
      <c r="CA32" s="58">
        <f t="shared" si="16"/>
        <v>-473154</v>
      </c>
      <c r="CB32" s="58">
        <f t="shared" si="16"/>
        <v>4045832</v>
      </c>
      <c r="CC32" s="58">
        <f t="shared" si="16"/>
        <v>-28.859443999999996</v>
      </c>
      <c r="CD32" s="58">
        <f t="shared" si="16"/>
        <v>-31.204447000000002</v>
      </c>
      <c r="CE32" s="58">
        <f t="shared" si="16"/>
        <v>-1.3909719999999979</v>
      </c>
      <c r="CF32" s="58">
        <f t="shared" si="16"/>
        <v>-0.66269300000000442</v>
      </c>
      <c r="CG32" s="58">
        <f t="shared" si="16"/>
        <v>-1.2935189999999963</v>
      </c>
      <c r="CJ32" t="s">
        <v>588</v>
      </c>
    </row>
    <row r="33" spans="1:88" outlineLevel="1" x14ac:dyDescent="0.2">
      <c r="A33" s="52"/>
      <c r="B33" s="52" t="s">
        <v>77</v>
      </c>
      <c r="C33" s="9" t="s">
        <v>236</v>
      </c>
      <c r="D33" s="52">
        <v>375422539</v>
      </c>
      <c r="E33" s="9">
        <v>11</v>
      </c>
      <c r="F33" s="9">
        <v>32</v>
      </c>
      <c r="G33" s="9">
        <v>30</v>
      </c>
      <c r="I33" s="10">
        <f t="shared" si="0"/>
        <v>11.997142500000001</v>
      </c>
      <c r="J33" s="11">
        <f t="shared" si="1"/>
        <v>3.4086797329981301E-2</v>
      </c>
      <c r="K33" s="11">
        <f t="shared" si="2"/>
        <v>1.8543265991816223E-2</v>
      </c>
      <c r="L33" s="11">
        <f t="shared" si="3"/>
        <v>1.5436899487806192E-2</v>
      </c>
      <c r="M33" s="11">
        <f t="shared" si="4"/>
        <v>1.5543531338165075E-2</v>
      </c>
      <c r="N33" s="52">
        <f t="shared" si="5"/>
        <v>6961560</v>
      </c>
      <c r="O33" s="11">
        <v>16</v>
      </c>
      <c r="P33" s="12">
        <v>94114766</v>
      </c>
      <c r="Q33" s="12">
        <v>2941086.4375</v>
      </c>
      <c r="R33" s="12">
        <v>49715.25</v>
      </c>
      <c r="S33" s="13">
        <v>12796952</v>
      </c>
      <c r="T33" s="13">
        <v>5795360</v>
      </c>
      <c r="U33" s="13">
        <v>1166200</v>
      </c>
      <c r="V33" s="13">
        <v>5835392</v>
      </c>
      <c r="W33" s="14">
        <v>77.566353000000007</v>
      </c>
      <c r="X33" s="14">
        <v>80.266603000000003</v>
      </c>
      <c r="Y33" s="14">
        <v>38.717027999999999</v>
      </c>
      <c r="Z33" s="14">
        <v>43.694291</v>
      </c>
      <c r="AA33" s="14">
        <v>47.348472000000001</v>
      </c>
      <c r="AB33" s="15">
        <v>4336.6899999999996</v>
      </c>
      <c r="AC33" s="15">
        <v>20323</v>
      </c>
      <c r="AD33" s="15">
        <v>258.65499999999997</v>
      </c>
      <c r="AE33" s="15">
        <v>83.308999999999997</v>
      </c>
      <c r="AG33" s="10">
        <f t="shared" si="6"/>
        <v>38.300002499999998</v>
      </c>
      <c r="AH33" s="11">
        <f t="shared" si="7"/>
        <v>0.10881961458366249</v>
      </c>
      <c r="AI33" s="11">
        <f t="shared" si="8"/>
        <v>7.6207278540620593E-2</v>
      </c>
      <c r="AJ33" s="11">
        <f t="shared" si="9"/>
        <v>7.3329662287537831E-2</v>
      </c>
      <c r="AK33" s="11">
        <f t="shared" si="10"/>
        <v>3.2453672154191038E-2</v>
      </c>
      <c r="AL33" s="52">
        <f t="shared" si="11"/>
        <v>28609930</v>
      </c>
      <c r="AM33" s="11">
        <v>16</v>
      </c>
      <c r="AN33" s="12">
        <v>98841321</v>
      </c>
      <c r="AO33" s="12">
        <v>3088791.28125</v>
      </c>
      <c r="AP33" s="12">
        <v>39828.46875</v>
      </c>
      <c r="AQ33" s="13">
        <v>40853336</v>
      </c>
      <c r="AR33" s="13">
        <v>27529608</v>
      </c>
      <c r="AS33" s="13">
        <v>1080322</v>
      </c>
      <c r="AT33" s="13">
        <v>12183840</v>
      </c>
      <c r="AU33" s="14">
        <v>47.504528000000001</v>
      </c>
      <c r="AV33" s="14">
        <v>47.804000000000002</v>
      </c>
      <c r="AW33" s="14">
        <v>37.808644000000001</v>
      </c>
      <c r="AX33" s="14">
        <v>43.062550000000002</v>
      </c>
      <c r="AY33" s="14">
        <v>45.798828</v>
      </c>
      <c r="AZ33" s="15">
        <v>3659.04</v>
      </c>
      <c r="BA33" s="15">
        <v>32457</v>
      </c>
      <c r="BB33" s="15">
        <v>267.41000000000003</v>
      </c>
      <c r="BC33" s="15">
        <v>87.998999999999995</v>
      </c>
      <c r="BE33" s="50">
        <f t="shared" si="12"/>
        <v>4.1097009865604832</v>
      </c>
      <c r="BF33" s="16">
        <f t="shared" si="13"/>
        <v>-4.0091863938428642E-3</v>
      </c>
      <c r="BG33" s="16">
        <f t="shared" si="14"/>
        <v>0.15630687772378926</v>
      </c>
      <c r="BH33" s="16"/>
      <c r="BJ33" s="50"/>
      <c r="BK33" s="50"/>
      <c r="BL33" s="50"/>
      <c r="BM33" s="50"/>
      <c r="BN33" s="50"/>
      <c r="BP33" s="50"/>
      <c r="BQ33" s="50"/>
      <c r="BR33" s="50"/>
      <c r="BS33" s="50"/>
      <c r="BT33" s="50"/>
      <c r="BV33" s="58">
        <f t="shared" si="16"/>
        <v>4726555</v>
      </c>
      <c r="BW33" s="58">
        <f t="shared" si="16"/>
        <v>147704.84375</v>
      </c>
      <c r="BX33" s="58">
        <f t="shared" si="16"/>
        <v>-9886.78125</v>
      </c>
      <c r="BY33" s="58">
        <f t="shared" si="16"/>
        <v>28056384</v>
      </c>
      <c r="BZ33" s="58">
        <f t="shared" si="16"/>
        <v>21734248</v>
      </c>
      <c r="CA33" s="58">
        <f t="shared" si="16"/>
        <v>-85878</v>
      </c>
      <c r="CB33" s="58">
        <f t="shared" si="16"/>
        <v>6348448</v>
      </c>
      <c r="CC33" s="58">
        <f t="shared" si="16"/>
        <v>-30.061825000000006</v>
      </c>
      <c r="CD33" s="58">
        <f t="shared" si="16"/>
        <v>-32.462603000000001</v>
      </c>
      <c r="CE33" s="58">
        <f t="shared" si="16"/>
        <v>-0.90838399999999808</v>
      </c>
      <c r="CF33" s="58">
        <f t="shared" si="16"/>
        <v>-0.63174099999999811</v>
      </c>
      <c r="CG33" s="58">
        <f t="shared" si="16"/>
        <v>-1.5496440000000007</v>
      </c>
      <c r="CJ33" t="s">
        <v>588</v>
      </c>
    </row>
    <row r="34" spans="1:88" ht="16" outlineLevel="1" thickBot="1" x14ac:dyDescent="0.25">
      <c r="A34" s="17"/>
      <c r="B34" s="36" t="s">
        <v>77</v>
      </c>
      <c r="C34" s="37" t="s">
        <v>237</v>
      </c>
      <c r="D34" s="36">
        <v>375422539</v>
      </c>
      <c r="E34" s="37">
        <v>11</v>
      </c>
      <c r="F34" s="37">
        <v>32</v>
      </c>
      <c r="G34" s="37">
        <v>30</v>
      </c>
      <c r="I34" s="38">
        <f t="shared" si="0"/>
        <v>24.630690000000001</v>
      </c>
      <c r="J34" s="39">
        <f t="shared" si="1"/>
        <v>6.9981775921024281E-2</v>
      </c>
      <c r="K34" s="39">
        <f t="shared" si="2"/>
        <v>3.0977404902160124E-2</v>
      </c>
      <c r="L34" s="39">
        <f t="shared" si="3"/>
        <v>2.459758549552615E-2</v>
      </c>
      <c r="M34" s="39">
        <f t="shared" si="4"/>
        <v>3.9004371018864163E-2</v>
      </c>
      <c r="N34" s="36">
        <f t="shared" si="5"/>
        <v>11629616</v>
      </c>
      <c r="O34" s="39">
        <v>16</v>
      </c>
      <c r="P34" s="40">
        <v>92205535</v>
      </c>
      <c r="Q34" s="40">
        <v>2881422.96875</v>
      </c>
      <c r="R34" s="40">
        <v>21180.46875</v>
      </c>
      <c r="S34" s="41">
        <v>26272736</v>
      </c>
      <c r="T34" s="41">
        <v>9234488</v>
      </c>
      <c r="U34" s="41">
        <v>2395128</v>
      </c>
      <c r="V34" s="41">
        <v>14643120</v>
      </c>
      <c r="W34" s="42">
        <v>78.500297000000003</v>
      </c>
      <c r="X34" s="42">
        <v>81.895680999999996</v>
      </c>
      <c r="Y34" s="42">
        <v>40.507772000000003</v>
      </c>
      <c r="Z34" s="42">
        <v>44.376384000000002</v>
      </c>
      <c r="AA34" s="42">
        <v>48.811852999999999</v>
      </c>
      <c r="AB34" s="43">
        <v>4487.8999999999996</v>
      </c>
      <c r="AC34" s="43">
        <v>27290.400000000001</v>
      </c>
      <c r="AD34" s="43">
        <v>280.37</v>
      </c>
      <c r="AE34" s="43">
        <v>122.88800000000001</v>
      </c>
      <c r="AG34" s="38">
        <f t="shared" si="6"/>
        <v>62.75121</v>
      </c>
      <c r="AH34" s="39">
        <f t="shared" si="7"/>
        <v>0.17829143710521866</v>
      </c>
      <c r="AI34" s="39">
        <f t="shared" si="8"/>
        <v>0.1036523329250618</v>
      </c>
      <c r="AJ34" s="39">
        <f t="shared" si="9"/>
        <v>9.724875895104422E-2</v>
      </c>
      <c r="AK34" s="39">
        <f t="shared" si="10"/>
        <v>7.4746881406606222E-2</v>
      </c>
      <c r="AL34" s="36">
        <f t="shared" si="11"/>
        <v>38913422</v>
      </c>
      <c r="AM34" s="39">
        <v>16</v>
      </c>
      <c r="AN34" s="40">
        <v>94466775</v>
      </c>
      <c r="AO34" s="40">
        <v>2952086.71875</v>
      </c>
      <c r="AP34" s="40">
        <v>20461.46875</v>
      </c>
      <c r="AQ34" s="41">
        <v>66934624</v>
      </c>
      <c r="AR34" s="41">
        <v>36509376</v>
      </c>
      <c r="AS34" s="41">
        <v>2404046</v>
      </c>
      <c r="AT34" s="41">
        <v>28061664</v>
      </c>
      <c r="AU34" s="42">
        <v>51.916378000000002</v>
      </c>
      <c r="AV34" s="42">
        <v>52.223675</v>
      </c>
      <c r="AW34" s="42">
        <v>40.248261999999997</v>
      </c>
      <c r="AX34" s="42">
        <v>43.997408999999998</v>
      </c>
      <c r="AY34" s="42">
        <v>47.614687000000004</v>
      </c>
      <c r="AZ34" s="43">
        <v>3611.81</v>
      </c>
      <c r="BA34" s="43">
        <v>34325.4</v>
      </c>
      <c r="BB34" s="43">
        <v>250.67599999999999</v>
      </c>
      <c r="BC34" s="43">
        <v>94.212000000000003</v>
      </c>
      <c r="BE34" s="44">
        <f t="shared" si="12"/>
        <v>3.3460625011178355</v>
      </c>
      <c r="BF34" s="45">
        <f t="shared" si="13"/>
        <v>-4.1950930708223831E-4</v>
      </c>
      <c r="BG34" s="45">
        <f t="shared" si="14"/>
        <v>0.13871501941044084</v>
      </c>
      <c r="BH34" s="45"/>
      <c r="BJ34" s="44"/>
      <c r="BK34" s="44"/>
      <c r="BL34" s="44"/>
      <c r="BM34" s="44"/>
      <c r="BN34" s="44"/>
      <c r="BP34" s="44"/>
      <c r="BQ34" s="44"/>
      <c r="BR34" s="44"/>
      <c r="BS34" s="44"/>
      <c r="BT34" s="44"/>
      <c r="BV34" s="58">
        <f t="shared" si="16"/>
        <v>2261240</v>
      </c>
      <c r="BW34" s="58">
        <f t="shared" si="16"/>
        <v>70663.75</v>
      </c>
      <c r="BX34" s="58">
        <f t="shared" si="16"/>
        <v>-719</v>
      </c>
      <c r="BY34" s="58">
        <f t="shared" si="16"/>
        <v>40661888</v>
      </c>
      <c r="BZ34" s="58">
        <f t="shared" si="16"/>
        <v>27274888</v>
      </c>
      <c r="CA34" s="58">
        <f t="shared" si="16"/>
        <v>8918</v>
      </c>
      <c r="CB34" s="58">
        <f t="shared" si="16"/>
        <v>13418544</v>
      </c>
      <c r="CC34" s="58">
        <f t="shared" si="16"/>
        <v>-26.583919000000002</v>
      </c>
      <c r="CD34" s="58">
        <f t="shared" si="16"/>
        <v>-29.672005999999996</v>
      </c>
      <c r="CE34" s="58">
        <f t="shared" si="16"/>
        <v>-0.2595100000000059</v>
      </c>
      <c r="CF34" s="58">
        <f t="shared" si="16"/>
        <v>-0.37897500000000406</v>
      </c>
      <c r="CG34" s="58">
        <f t="shared" si="16"/>
        <v>-1.1971659999999957</v>
      </c>
      <c r="CJ34" t="s">
        <v>588</v>
      </c>
    </row>
    <row r="35" spans="1:88" x14ac:dyDescent="0.2">
      <c r="A35" s="52"/>
      <c r="B35" s="52" t="s">
        <v>82</v>
      </c>
      <c r="C35" s="9" t="s">
        <v>232</v>
      </c>
      <c r="D35" s="52">
        <v>333190689</v>
      </c>
      <c r="E35" s="9">
        <v>11</v>
      </c>
      <c r="F35" s="9">
        <v>32</v>
      </c>
      <c r="G35" s="9">
        <v>30</v>
      </c>
      <c r="I35" s="10">
        <f t="shared" si="0"/>
        <v>4.6538174999999997</v>
      </c>
      <c r="J35" s="11">
        <f t="shared" si="1"/>
        <v>1.4898591598998734E-2</v>
      </c>
      <c r="K35" s="11">
        <f t="shared" si="2"/>
        <v>1.1175390318305084E-2</v>
      </c>
      <c r="L35" s="11">
        <f t="shared" si="3"/>
        <v>7.155662143968255E-3</v>
      </c>
      <c r="M35" s="11">
        <f t="shared" si="4"/>
        <v>3.7232012806936512E-3</v>
      </c>
      <c r="N35" s="52">
        <f t="shared" si="5"/>
        <v>3723536</v>
      </c>
      <c r="O35" s="11">
        <v>16</v>
      </c>
      <c r="P35" s="12">
        <v>74793925</v>
      </c>
      <c r="Q35" s="12">
        <v>2337310.15625</v>
      </c>
      <c r="R35" s="12">
        <v>30824.78125</v>
      </c>
      <c r="S35" s="13">
        <v>4964072</v>
      </c>
      <c r="T35" s="13">
        <v>2384200</v>
      </c>
      <c r="U35" s="13">
        <v>1339336</v>
      </c>
      <c r="V35" s="13">
        <v>1240536</v>
      </c>
      <c r="W35" s="14">
        <v>73.186065999999997</v>
      </c>
      <c r="X35" s="14">
        <v>75.395090999999994</v>
      </c>
      <c r="Y35" s="14">
        <v>31.779947</v>
      </c>
      <c r="Z35" s="14">
        <v>42.169849999999997</v>
      </c>
      <c r="AA35" s="14">
        <v>43.305712</v>
      </c>
      <c r="AB35" s="15">
        <v>3769.29</v>
      </c>
      <c r="AC35" s="15">
        <v>19235.7</v>
      </c>
      <c r="AD35" s="15">
        <v>206.47499999999999</v>
      </c>
      <c r="AE35" s="15">
        <v>83.474999999999994</v>
      </c>
      <c r="AG35" s="10">
        <f t="shared" si="6"/>
        <v>22.166879999999999</v>
      </c>
      <c r="AH35" s="11">
        <f t="shared" si="7"/>
        <v>7.0964384001739017E-2</v>
      </c>
      <c r="AI35" s="11">
        <f t="shared" si="8"/>
        <v>5.8023269071603621E-2</v>
      </c>
      <c r="AJ35" s="11">
        <f t="shared" si="9"/>
        <v>5.6634115606994051E-2</v>
      </c>
      <c r="AK35" s="11">
        <f t="shared" si="10"/>
        <v>1.0400722812515329E-2</v>
      </c>
      <c r="AL35" s="52">
        <f t="shared" si="11"/>
        <v>19332813</v>
      </c>
      <c r="AM35" s="11">
        <v>16</v>
      </c>
      <c r="AN35" s="12">
        <v>98095113</v>
      </c>
      <c r="AO35" s="12">
        <v>3065472.28125</v>
      </c>
      <c r="AP35" s="12">
        <v>31007.4375</v>
      </c>
      <c r="AQ35" s="13">
        <v>23644672</v>
      </c>
      <c r="AR35" s="13">
        <v>18869960</v>
      </c>
      <c r="AS35" s="13">
        <v>462853</v>
      </c>
      <c r="AT35" s="13">
        <v>3465424</v>
      </c>
      <c r="AU35" s="14">
        <v>46.140759000000003</v>
      </c>
      <c r="AV35" s="14">
        <v>46.513840999999999</v>
      </c>
      <c r="AW35" s="14">
        <v>29.272084</v>
      </c>
      <c r="AX35" s="14">
        <v>40.734456000000002</v>
      </c>
      <c r="AY35" s="14">
        <v>41.420074999999997</v>
      </c>
      <c r="AZ35" s="15">
        <v>3285.08</v>
      </c>
      <c r="BA35" s="15">
        <v>36328.800000000003</v>
      </c>
      <c r="BB35" s="15">
        <v>267.14800000000002</v>
      </c>
      <c r="BC35" s="15">
        <v>84.100999999999999</v>
      </c>
      <c r="BE35" s="50">
        <f t="shared" si="12"/>
        <v>5.1920574958856314</v>
      </c>
      <c r="BF35" s="16">
        <f t="shared" si="13"/>
        <v>-3.0730828164026117E-3</v>
      </c>
      <c r="BG35" s="16">
        <f t="shared" si="14"/>
        <v>6.7542199638333522E-2</v>
      </c>
      <c r="BH35" s="16">
        <f t="array" ref="BH35">AVERAGE(AL35:AL39/AQ35:AQ39) - AVERAGE(N35:N39/S35:S39)</f>
        <v>0.12545950400383354</v>
      </c>
      <c r="BJ35" s="50">
        <f>IF( OR(ISBLANK(N35:N39),ISBLANK(AL35:AL39), ISBLANK(W35:W39),ISBLANK(AU35:AU39)), "·", bdRateExtend( N35:N39,W35:W39, AL35:AL39,AU35:AU39))</f>
        <v>1</v>
      </c>
      <c r="BK35" s="50">
        <f>IF( OR(ISBLANK(N35:N39),ISBLANK(AL35:AL39), ISBLANK(X35:X39),ISBLANK(AV35:AV39)), "·", bdRateExtend( N35:N39,X35:X39, AL35:AL39,AV35:AV39))</f>
        <v>1</v>
      </c>
      <c r="BL35" s="50">
        <f>IF( OR(ISBLANK(V35:V39),ISBLANK(AT35:AT39), ISBLANK(Y35:Y39),ISBLANK(AW35:AW39)), "·", bdRateExtend( V35:V39,Y35:Y39, AT35:AT39,AW35:AW39))</f>
        <v>2.3840301531196522</v>
      </c>
      <c r="BM35" s="50">
        <f>IF( OR(ISBLANK(V35:V39),ISBLANK(AT35:AT39), ISBLANK(Z35:Z39),ISBLANK(AX35:AX39)), "·", bdRateExtend( V35:V39,Z35:Z39, AT35:AT39,AX35:AX39))</f>
        <v>3.2602932876125124</v>
      </c>
      <c r="BN35" s="50">
        <f>IF( OR(ISBLANK(V35:V39),ISBLANK(AT35:AT39), ISBLANK(AA35:AA39),ISBLANK(AY35:AY39)), "·", bdRateExtend( V35:V39,AA35:AA39, AT35:AT39,AY35:AY39))</f>
        <v>3.7575423686005136</v>
      </c>
      <c r="BP35" s="50">
        <f>IF( OR(ISBLANK(S35:S39),ISBLANK(AQ35:AQ39), ISBLANK(W35:W39),ISBLANK(AU35:AU39)), "·", bdRateExtend( S35:S39,W35:W39, AQ35:AQ39,AU35:AU39))</f>
        <v>1</v>
      </c>
      <c r="BQ35" s="50">
        <f>IF( OR(ISBLANK(S35:S39),ISBLANK(AQ35:AQ39), ISBLANK(X35:X39),ISBLANK(AV35:AV39)), "·", bdRateExtend( S35:S39,X35:X39, AQ35:AQ39,AV35:AV39))</f>
        <v>1</v>
      </c>
      <c r="BR35" s="50">
        <f>IF( OR(ISBLANK(S35:S39),ISBLANK(AQ35:AQ39), ISBLANK(Y35:Y39),ISBLANK(AW35:AW39)), "·", bdRateExtend( S35:S39,Y35:Y39, AQ35:AQ39,AW35:AW39))</f>
        <v>3.5691574221094307</v>
      </c>
      <c r="BS35" s="50">
        <f>IF( OR(ISBLANK(S35:S39),ISBLANK(AQ35:AQ39), ISBLANK(Z35:Z39),ISBLANK(AX35:AX39)), "·", bdRateExtend( S35:S39,Z35:Z39, AQ35:AQ39,AX35:AX39))</f>
        <v>4.240183635326054</v>
      </c>
      <c r="BT35" s="50">
        <f>IF( OR(ISBLANK(S35:S39),ISBLANK(AQ35:AQ39), ISBLANK(AA35:AA39),ISBLANK(AY35:AY39)), "·", bdRateExtend( S35:S39,AA35:AA39, AQ35:AQ39,AY35:AY39))</f>
        <v>4.7061215750896483</v>
      </c>
      <c r="BV35" s="58">
        <f t="shared" si="16"/>
        <v>23301188</v>
      </c>
      <c r="BW35" s="58">
        <f t="shared" si="16"/>
        <v>728162.125</v>
      </c>
      <c r="BX35" s="58">
        <f t="shared" si="16"/>
        <v>182.65625</v>
      </c>
      <c r="BY35" s="58">
        <f t="shared" si="16"/>
        <v>18680600</v>
      </c>
      <c r="BZ35" s="58">
        <f t="shared" si="16"/>
        <v>16485760</v>
      </c>
      <c r="CA35" s="58">
        <f t="shared" si="16"/>
        <v>-876483</v>
      </c>
      <c r="CB35" s="58">
        <f t="shared" si="16"/>
        <v>2224888</v>
      </c>
      <c r="CC35" s="58">
        <f t="shared" si="16"/>
        <v>-27.045306999999994</v>
      </c>
      <c r="CD35" s="58">
        <f t="shared" si="16"/>
        <v>-28.881249999999994</v>
      </c>
      <c r="CE35" s="58">
        <f t="shared" si="16"/>
        <v>-2.5078630000000004</v>
      </c>
      <c r="CF35" s="58">
        <f t="shared" si="16"/>
        <v>-1.4353939999999952</v>
      </c>
      <c r="CG35" s="58">
        <f t="shared" si="16"/>
        <v>-1.8856370000000027</v>
      </c>
      <c r="CJ35" t="s">
        <v>589</v>
      </c>
    </row>
    <row r="36" spans="1:88" outlineLevel="1" x14ac:dyDescent="0.2">
      <c r="A36" s="17"/>
      <c r="B36" s="17" t="s">
        <v>82</v>
      </c>
      <c r="C36" s="18" t="s">
        <v>234</v>
      </c>
      <c r="D36" s="17">
        <v>333190689</v>
      </c>
      <c r="E36" s="18">
        <v>11</v>
      </c>
      <c r="F36" s="18">
        <v>32</v>
      </c>
      <c r="G36" s="18">
        <v>30</v>
      </c>
      <c r="I36" s="19">
        <f t="shared" si="0"/>
        <v>6.2390774999999996</v>
      </c>
      <c r="J36" s="20">
        <f t="shared" si="1"/>
        <v>1.9973595360583442E-2</v>
      </c>
      <c r="K36" s="20">
        <f t="shared" si="2"/>
        <v>1.3755462416298193E-2</v>
      </c>
      <c r="L36" s="20">
        <f t="shared" si="3"/>
        <v>9.7357342419613652E-3</v>
      </c>
      <c r="M36" s="20">
        <f t="shared" si="4"/>
        <v>6.2181329442852467E-3</v>
      </c>
      <c r="N36" s="17">
        <f t="shared" si="5"/>
        <v>4583192</v>
      </c>
      <c r="O36" s="20">
        <v>16</v>
      </c>
      <c r="P36" s="21">
        <v>79976742</v>
      </c>
      <c r="Q36" s="21">
        <v>2499273.1875</v>
      </c>
      <c r="R36" s="21">
        <v>39105.5</v>
      </c>
      <c r="S36" s="22">
        <v>6655016</v>
      </c>
      <c r="T36" s="22">
        <v>3243856</v>
      </c>
      <c r="U36" s="22">
        <v>1339336</v>
      </c>
      <c r="V36" s="22">
        <v>2071824</v>
      </c>
      <c r="W36" s="23">
        <v>74.938500000000005</v>
      </c>
      <c r="X36" s="23">
        <v>77.355886999999996</v>
      </c>
      <c r="Y36" s="23">
        <v>34.034599999999998</v>
      </c>
      <c r="Z36" s="23">
        <v>42.972333999999996</v>
      </c>
      <c r="AA36" s="23">
        <v>44.820352999999997</v>
      </c>
      <c r="AB36" s="24">
        <v>3295.68</v>
      </c>
      <c r="AC36" s="24">
        <v>20083.599999999999</v>
      </c>
      <c r="AD36" s="24">
        <v>216.45500000000001</v>
      </c>
      <c r="AE36" s="24">
        <v>79.415999999999997</v>
      </c>
      <c r="AG36" s="19">
        <f t="shared" si="6"/>
        <v>27.60399</v>
      </c>
      <c r="AH36" s="20">
        <f t="shared" si="7"/>
        <v>8.83705846894179E-2</v>
      </c>
      <c r="AI36" s="20">
        <f t="shared" si="8"/>
        <v>6.9720534717583299E-2</v>
      </c>
      <c r="AJ36" s="20">
        <f t="shared" si="9"/>
        <v>6.7843456453850662E-2</v>
      </c>
      <c r="AK36" s="20">
        <f t="shared" si="10"/>
        <v>1.6597582653337592E-2</v>
      </c>
      <c r="AL36" s="17">
        <f t="shared" si="11"/>
        <v>23230233</v>
      </c>
      <c r="AM36" s="20">
        <v>16</v>
      </c>
      <c r="AN36" s="21">
        <v>94292705</v>
      </c>
      <c r="AO36" s="21">
        <v>2946647.03125</v>
      </c>
      <c r="AP36" s="21">
        <v>35886.96875</v>
      </c>
      <c r="AQ36" s="22">
        <v>29444256</v>
      </c>
      <c r="AR36" s="22">
        <v>22604808</v>
      </c>
      <c r="AS36" s="22">
        <v>625425</v>
      </c>
      <c r="AT36" s="22">
        <v>5530160</v>
      </c>
      <c r="AU36" s="23">
        <v>45.921171999999999</v>
      </c>
      <c r="AV36" s="23">
        <v>46.294255999999997</v>
      </c>
      <c r="AW36" s="23">
        <v>31.897016000000001</v>
      </c>
      <c r="AX36" s="23">
        <v>41.982346999999997</v>
      </c>
      <c r="AY36" s="23">
        <v>43.117815999999998</v>
      </c>
      <c r="AZ36" s="24">
        <v>3963.29</v>
      </c>
      <c r="BA36" s="24">
        <v>51192.1</v>
      </c>
      <c r="BB36" s="24">
        <v>300.16699999999997</v>
      </c>
      <c r="BC36" s="24">
        <v>119.26</v>
      </c>
      <c r="BE36" s="49">
        <f t="shared" si="12"/>
        <v>5.0685707690186232</v>
      </c>
      <c r="BF36" s="25">
        <f t="shared" si="13"/>
        <v>-3.4678321969665617E-3</v>
      </c>
      <c r="BG36" s="25">
        <f t="shared" si="14"/>
        <v>0.10027401749507303</v>
      </c>
      <c r="BH36" s="25"/>
      <c r="BJ36" s="49"/>
      <c r="BK36" s="49"/>
      <c r="BL36" s="49"/>
      <c r="BM36" s="49"/>
      <c r="BN36" s="49"/>
      <c r="BP36" s="49"/>
      <c r="BQ36" s="49"/>
      <c r="BR36" s="49"/>
      <c r="BS36" s="49"/>
      <c r="BT36" s="49"/>
      <c r="BV36" s="58">
        <f t="shared" si="16"/>
        <v>14315963</v>
      </c>
      <c r="BW36" s="58">
        <f t="shared" si="16"/>
        <v>447373.84375</v>
      </c>
      <c r="BX36" s="58">
        <f t="shared" si="16"/>
        <v>-3218.53125</v>
      </c>
      <c r="BY36" s="58">
        <f t="shared" si="16"/>
        <v>22789240</v>
      </c>
      <c r="BZ36" s="58">
        <f t="shared" si="16"/>
        <v>19360952</v>
      </c>
      <c r="CA36" s="58">
        <f t="shared" si="16"/>
        <v>-713911</v>
      </c>
      <c r="CB36" s="58">
        <f t="shared" si="16"/>
        <v>3458336</v>
      </c>
      <c r="CC36" s="58">
        <f t="shared" si="16"/>
        <v>-29.017328000000006</v>
      </c>
      <c r="CD36" s="58">
        <f t="shared" si="16"/>
        <v>-31.061630999999998</v>
      </c>
      <c r="CE36" s="58">
        <f t="shared" si="16"/>
        <v>-2.1375839999999968</v>
      </c>
      <c r="CF36" s="58">
        <f t="shared" si="16"/>
        <v>-0.98998699999999928</v>
      </c>
      <c r="CG36" s="58">
        <f t="shared" si="16"/>
        <v>-1.7025369999999995</v>
      </c>
      <c r="CJ36" t="s">
        <v>589</v>
      </c>
    </row>
    <row r="37" spans="1:88" outlineLevel="1" x14ac:dyDescent="0.2">
      <c r="A37" s="52"/>
      <c r="B37" s="52" t="s">
        <v>82</v>
      </c>
      <c r="C37" s="9" t="s">
        <v>235</v>
      </c>
      <c r="D37" s="52">
        <v>333190689</v>
      </c>
      <c r="E37" s="9">
        <v>11</v>
      </c>
      <c r="F37" s="9">
        <v>32</v>
      </c>
      <c r="G37" s="9">
        <v>30</v>
      </c>
      <c r="I37" s="10">
        <f t="shared" si="0"/>
        <v>8.9012700000000002</v>
      </c>
      <c r="J37" s="11">
        <f t="shared" si="1"/>
        <v>2.8496258489384137E-2</v>
      </c>
      <c r="K37" s="11">
        <f t="shared" si="2"/>
        <v>1.7446345867125956E-2</v>
      </c>
      <c r="L37" s="11">
        <f t="shared" si="3"/>
        <v>1.3426617692789128E-2</v>
      </c>
      <c r="M37" s="11">
        <f t="shared" si="4"/>
        <v>1.1049912622258181E-2</v>
      </c>
      <c r="N37" s="52">
        <f t="shared" si="5"/>
        <v>5812960</v>
      </c>
      <c r="O37" s="11">
        <v>16</v>
      </c>
      <c r="P37" s="12">
        <v>81787481</v>
      </c>
      <c r="Q37" s="12">
        <v>2555858.78125</v>
      </c>
      <c r="R37" s="12">
        <v>42911.78125</v>
      </c>
      <c r="S37" s="13">
        <v>9494688</v>
      </c>
      <c r="T37" s="13">
        <v>4473624</v>
      </c>
      <c r="U37" s="13">
        <v>1339336</v>
      </c>
      <c r="V37" s="13">
        <v>3681728</v>
      </c>
      <c r="W37" s="14">
        <v>76.246069000000006</v>
      </c>
      <c r="X37" s="14">
        <v>78.937634000000003</v>
      </c>
      <c r="Y37" s="14">
        <v>36.127488</v>
      </c>
      <c r="Z37" s="14">
        <v>43.536346999999999</v>
      </c>
      <c r="AA37" s="14">
        <v>46.109228000000002</v>
      </c>
      <c r="AB37" s="15">
        <v>3257.52</v>
      </c>
      <c r="AC37" s="15">
        <v>21025.8</v>
      </c>
      <c r="AD37" s="15">
        <v>213.167</v>
      </c>
      <c r="AE37" s="15">
        <v>81.680000000000007</v>
      </c>
      <c r="AG37" s="10">
        <f t="shared" si="6"/>
        <v>34.892737500000003</v>
      </c>
      <c r="AH37" s="11">
        <f t="shared" si="7"/>
        <v>0.1117045620683596</v>
      </c>
      <c r="AI37" s="11">
        <f t="shared" si="8"/>
        <v>8.3541605209742215E-2</v>
      </c>
      <c r="AJ37" s="11">
        <f t="shared" si="9"/>
        <v>8.0899499565547581E-2</v>
      </c>
      <c r="AK37" s="11">
        <f t="shared" si="10"/>
        <v>2.6875516920582376E-2</v>
      </c>
      <c r="AL37" s="52">
        <f t="shared" si="11"/>
        <v>27835285</v>
      </c>
      <c r="AM37" s="11">
        <v>16</v>
      </c>
      <c r="AN37" s="12">
        <v>91168554</v>
      </c>
      <c r="AO37" s="12">
        <v>2849017.3125</v>
      </c>
      <c r="AP37" s="12">
        <v>38720.15625</v>
      </c>
      <c r="AQ37" s="13">
        <v>37218920</v>
      </c>
      <c r="AR37" s="13">
        <v>26954960</v>
      </c>
      <c r="AS37" s="13">
        <v>880325</v>
      </c>
      <c r="AT37" s="13">
        <v>8954672</v>
      </c>
      <c r="AU37" s="14">
        <v>45.749903000000003</v>
      </c>
      <c r="AV37" s="14">
        <v>46.122805999999997</v>
      </c>
      <c r="AW37" s="14">
        <v>34.496872000000003</v>
      </c>
      <c r="AX37" s="14">
        <v>42.803344000000003</v>
      </c>
      <c r="AY37" s="14">
        <v>44.5779</v>
      </c>
      <c r="AZ37" s="15">
        <v>3937.28</v>
      </c>
      <c r="BA37" s="15">
        <v>52506.9</v>
      </c>
      <c r="BB37" s="15">
        <v>284.38600000000002</v>
      </c>
      <c r="BC37" s="15">
        <v>124.812</v>
      </c>
      <c r="BE37" s="50">
        <f t="shared" si="12"/>
        <v>4.7884872767058431</v>
      </c>
      <c r="BF37" s="16">
        <f t="shared" si="13"/>
        <v>-3.1988685857858874E-3</v>
      </c>
      <c r="BG37" s="16">
        <f t="shared" si="14"/>
        <v>0.1356471149446572</v>
      </c>
      <c r="BH37" s="16"/>
      <c r="BJ37" s="50"/>
      <c r="BK37" s="50"/>
      <c r="BL37" s="50"/>
      <c r="BM37" s="50"/>
      <c r="BN37" s="50"/>
      <c r="BP37" s="50"/>
      <c r="BQ37" s="50"/>
      <c r="BR37" s="50"/>
      <c r="BS37" s="50"/>
      <c r="BT37" s="50"/>
      <c r="BV37" s="58">
        <f t="shared" si="16"/>
        <v>9381073</v>
      </c>
      <c r="BW37" s="58">
        <f t="shared" si="16"/>
        <v>293158.53125</v>
      </c>
      <c r="BX37" s="58">
        <f t="shared" si="16"/>
        <v>-4191.625</v>
      </c>
      <c r="BY37" s="58">
        <f t="shared" si="16"/>
        <v>27724232</v>
      </c>
      <c r="BZ37" s="58">
        <f t="shared" si="16"/>
        <v>22481336</v>
      </c>
      <c r="CA37" s="58">
        <f t="shared" si="16"/>
        <v>-459011</v>
      </c>
      <c r="CB37" s="58">
        <f t="shared" si="16"/>
        <v>5272944</v>
      </c>
      <c r="CC37" s="58">
        <f t="shared" si="16"/>
        <v>-30.496166000000002</v>
      </c>
      <c r="CD37" s="58">
        <f t="shared" si="16"/>
        <v>-32.814828000000006</v>
      </c>
      <c r="CE37" s="58">
        <f t="shared" si="16"/>
        <v>-1.6306159999999963</v>
      </c>
      <c r="CF37" s="58">
        <f t="shared" si="16"/>
        <v>-0.73300299999999652</v>
      </c>
      <c r="CG37" s="58">
        <f t="shared" si="16"/>
        <v>-1.531328000000002</v>
      </c>
      <c r="CJ37" t="s">
        <v>589</v>
      </c>
    </row>
    <row r="38" spans="1:88" outlineLevel="1" x14ac:dyDescent="0.2">
      <c r="A38" s="17"/>
      <c r="B38" s="17" t="s">
        <v>82</v>
      </c>
      <c r="C38" s="18" t="s">
        <v>236</v>
      </c>
      <c r="D38" s="17">
        <v>333190689</v>
      </c>
      <c r="E38" s="18">
        <v>11</v>
      </c>
      <c r="F38" s="18">
        <v>32</v>
      </c>
      <c r="G38" s="18">
        <v>30</v>
      </c>
      <c r="I38" s="19">
        <f t="shared" si="0"/>
        <v>14.406495</v>
      </c>
      <c r="J38" s="20">
        <f t="shared" si="1"/>
        <v>4.6120520492696E-2</v>
      </c>
      <c r="K38" s="20">
        <f t="shared" si="2"/>
        <v>2.3715596686436816E-2</v>
      </c>
      <c r="L38" s="20">
        <f t="shared" si="3"/>
        <v>1.9695868512099989E-2</v>
      </c>
      <c r="M38" s="20">
        <f t="shared" si="4"/>
        <v>2.2404923806259185E-2</v>
      </c>
      <c r="N38" s="17">
        <f t="shared" si="5"/>
        <v>7901816</v>
      </c>
      <c r="O38" s="20">
        <v>16</v>
      </c>
      <c r="P38" s="21">
        <v>83859347</v>
      </c>
      <c r="Q38" s="21">
        <v>2620604.59375</v>
      </c>
      <c r="R38" s="21">
        <v>48103.65625</v>
      </c>
      <c r="S38" s="22">
        <v>15366928</v>
      </c>
      <c r="T38" s="22">
        <v>6562480</v>
      </c>
      <c r="U38" s="22">
        <v>1339336</v>
      </c>
      <c r="V38" s="22">
        <v>7465112</v>
      </c>
      <c r="W38" s="23">
        <v>77.415709000000007</v>
      </c>
      <c r="X38" s="23">
        <v>80.131399999999999</v>
      </c>
      <c r="Y38" s="23">
        <v>38.083593999999998</v>
      </c>
      <c r="Z38" s="23">
        <v>44.197806</v>
      </c>
      <c r="AA38" s="23">
        <v>47.240555999999998</v>
      </c>
      <c r="AB38" s="24">
        <v>4048.21</v>
      </c>
      <c r="AC38" s="24">
        <v>29308.799999999999</v>
      </c>
      <c r="AD38" s="24">
        <v>256.78199999999998</v>
      </c>
      <c r="AE38" s="24">
        <v>110.514</v>
      </c>
      <c r="AG38" s="19">
        <f t="shared" si="6"/>
        <v>46.221645000000002</v>
      </c>
      <c r="AH38" s="20">
        <f t="shared" si="7"/>
        <v>0.1479725863527957</v>
      </c>
      <c r="AI38" s="20">
        <f t="shared" si="8"/>
        <v>0.10163679874019529</v>
      </c>
      <c r="AJ38" s="20">
        <f t="shared" si="9"/>
        <v>9.7614420431778634E-2</v>
      </c>
      <c r="AK38" s="20">
        <f t="shared" si="10"/>
        <v>4.6428620338787439E-2</v>
      </c>
      <c r="AL38" s="17">
        <f t="shared" si="11"/>
        <v>33864435</v>
      </c>
      <c r="AM38" s="20">
        <v>16</v>
      </c>
      <c r="AN38" s="21">
        <v>88959703</v>
      </c>
      <c r="AO38" s="21">
        <v>2779990.71875</v>
      </c>
      <c r="AP38" s="21">
        <v>39815.40625</v>
      </c>
      <c r="AQ38" s="22">
        <v>49303088</v>
      </c>
      <c r="AR38" s="22">
        <v>32524216</v>
      </c>
      <c r="AS38" s="22">
        <v>1340219</v>
      </c>
      <c r="AT38" s="22">
        <v>15469584</v>
      </c>
      <c r="AU38" s="23">
        <v>45.631016000000002</v>
      </c>
      <c r="AV38" s="23">
        <v>46.003787000000003</v>
      </c>
      <c r="AW38" s="23">
        <v>36.909678</v>
      </c>
      <c r="AX38" s="23">
        <v>43.476387000000003</v>
      </c>
      <c r="AY38" s="23">
        <v>45.724612</v>
      </c>
      <c r="AZ38" s="24">
        <v>3297.97</v>
      </c>
      <c r="BA38" s="24">
        <v>40931.800000000003</v>
      </c>
      <c r="BB38" s="24">
        <v>236.691</v>
      </c>
      <c r="BC38" s="24">
        <v>91.1</v>
      </c>
      <c r="BE38" s="49">
        <f t="shared" si="12"/>
        <v>4.2856521842573914</v>
      </c>
      <c r="BF38" s="25">
        <f t="shared" si="13"/>
        <v>-4.033801912309681E-3</v>
      </c>
      <c r="BG38" s="25">
        <f t="shared" si="14"/>
        <v>0.17265313626200007</v>
      </c>
      <c r="BH38" s="25"/>
      <c r="BJ38" s="49"/>
      <c r="BK38" s="49"/>
      <c r="BL38" s="49"/>
      <c r="BM38" s="49"/>
      <c r="BN38" s="49"/>
      <c r="BP38" s="49"/>
      <c r="BQ38" s="49"/>
      <c r="BR38" s="49"/>
      <c r="BS38" s="49"/>
      <c r="BT38" s="49"/>
      <c r="BV38" s="58">
        <f t="shared" si="16"/>
        <v>5100356</v>
      </c>
      <c r="BW38" s="58">
        <f t="shared" si="16"/>
        <v>159386.125</v>
      </c>
      <c r="BX38" s="58">
        <f t="shared" si="16"/>
        <v>-8288.25</v>
      </c>
      <c r="BY38" s="58">
        <f t="shared" si="16"/>
        <v>33936160</v>
      </c>
      <c r="BZ38" s="58">
        <f t="shared" si="16"/>
        <v>25961736</v>
      </c>
      <c r="CA38" s="58">
        <f t="shared" si="16"/>
        <v>883</v>
      </c>
      <c r="CB38" s="58">
        <f t="shared" si="16"/>
        <v>8004472</v>
      </c>
      <c r="CC38" s="58">
        <f t="shared" si="16"/>
        <v>-31.784693000000004</v>
      </c>
      <c r="CD38" s="58">
        <f t="shared" si="16"/>
        <v>-34.127612999999997</v>
      </c>
      <c r="CE38" s="58">
        <f t="shared" si="16"/>
        <v>-1.1739159999999984</v>
      </c>
      <c r="CF38" s="58">
        <f t="shared" si="16"/>
        <v>-0.72141899999999737</v>
      </c>
      <c r="CG38" s="58">
        <f t="shared" si="16"/>
        <v>-1.5159439999999975</v>
      </c>
      <c r="CJ38" t="s">
        <v>589</v>
      </c>
    </row>
    <row r="39" spans="1:88" ht="16" outlineLevel="1" thickBot="1" x14ac:dyDescent="0.25">
      <c r="A39" s="26"/>
      <c r="B39" s="26" t="s">
        <v>82</v>
      </c>
      <c r="C39" s="27" t="s">
        <v>237</v>
      </c>
      <c r="D39" s="26">
        <v>333190689</v>
      </c>
      <c r="E39" s="27">
        <v>11</v>
      </c>
      <c r="F39" s="27">
        <v>32</v>
      </c>
      <c r="G39" s="27">
        <v>30</v>
      </c>
      <c r="I39" s="28">
        <f t="shared" si="0"/>
        <v>28.640317499999998</v>
      </c>
      <c r="J39" s="29">
        <f t="shared" si="1"/>
        <v>9.168825242892667E-2</v>
      </c>
      <c r="K39" s="29">
        <f t="shared" si="2"/>
        <v>3.8473536095722051E-2</v>
      </c>
      <c r="L39" s="29">
        <f t="shared" si="3"/>
        <v>3.036807550165365E-2</v>
      </c>
      <c r="M39" s="29">
        <f t="shared" si="4"/>
        <v>5.3214716333204619E-2</v>
      </c>
      <c r="N39" s="26">
        <f t="shared" si="5"/>
        <v>12819024</v>
      </c>
      <c r="O39" s="29">
        <v>16</v>
      </c>
      <c r="P39" s="30">
        <v>82067544</v>
      </c>
      <c r="Q39" s="30">
        <v>2564610.75</v>
      </c>
      <c r="R39" s="30">
        <v>19264.46875</v>
      </c>
      <c r="S39" s="31">
        <v>30549672</v>
      </c>
      <c r="T39" s="31">
        <v>10118360</v>
      </c>
      <c r="U39" s="31">
        <v>2700664</v>
      </c>
      <c r="V39" s="31">
        <v>17730648</v>
      </c>
      <c r="W39" s="32">
        <v>78.311515999999997</v>
      </c>
      <c r="X39" s="32">
        <v>81.848194000000007</v>
      </c>
      <c r="Y39" s="32">
        <v>40.159621999999999</v>
      </c>
      <c r="Z39" s="32">
        <v>45.117593999999997</v>
      </c>
      <c r="AA39" s="32">
        <v>48.624606</v>
      </c>
      <c r="AB39" s="33">
        <v>3473.81</v>
      </c>
      <c r="AC39" s="33">
        <v>24146.7</v>
      </c>
      <c r="AD39" s="33">
        <v>217.06800000000001</v>
      </c>
      <c r="AE39" s="33">
        <v>91.518000000000001</v>
      </c>
      <c r="AG39" s="28">
        <f t="shared" si="6"/>
        <v>74.082682500000004</v>
      </c>
      <c r="AH39" s="29">
        <f t="shared" si="7"/>
        <v>0.23716607519005431</v>
      </c>
      <c r="AI39" s="29">
        <f t="shared" si="8"/>
        <v>0.13537286451603095</v>
      </c>
      <c r="AJ39" s="29">
        <f t="shared" si="9"/>
        <v>0.1266972739445309</v>
      </c>
      <c r="AK39" s="29">
        <f t="shared" si="10"/>
        <v>0.10245352324356219</v>
      </c>
      <c r="AL39" s="26">
        <f t="shared" si="11"/>
        <v>45104978</v>
      </c>
      <c r="AM39" s="29">
        <v>16</v>
      </c>
      <c r="AN39" s="30">
        <v>84402813</v>
      </c>
      <c r="AO39" s="30">
        <v>2637587.90625</v>
      </c>
      <c r="AP39" s="30">
        <v>20213.5</v>
      </c>
      <c r="AQ39" s="31">
        <v>79021528</v>
      </c>
      <c r="AR39" s="31">
        <v>42214352</v>
      </c>
      <c r="AS39" s="31">
        <v>2890626</v>
      </c>
      <c r="AT39" s="31">
        <v>34136560</v>
      </c>
      <c r="AU39" s="32">
        <v>50.046028</v>
      </c>
      <c r="AV39" s="32">
        <v>50.420527999999997</v>
      </c>
      <c r="AW39" s="32">
        <v>39.832312999999999</v>
      </c>
      <c r="AX39" s="32">
        <v>44.631019000000002</v>
      </c>
      <c r="AY39" s="32">
        <v>47.430709</v>
      </c>
      <c r="AZ39" s="33">
        <v>3848.87</v>
      </c>
      <c r="BA39" s="33">
        <v>55422.3</v>
      </c>
      <c r="BB39" s="33">
        <v>258.08</v>
      </c>
      <c r="BC39" s="33">
        <v>130.792</v>
      </c>
      <c r="BE39" s="34">
        <f t="shared" si="12"/>
        <v>3.5185968916198305</v>
      </c>
      <c r="BF39" s="35">
        <f t="shared" si="13"/>
        <v>1.5197677282730287E-4</v>
      </c>
      <c r="BG39" s="35">
        <f t="shared" si="14"/>
        <v>0.15118105167910323</v>
      </c>
      <c r="BH39" s="35"/>
      <c r="BJ39" s="34"/>
      <c r="BK39" s="34"/>
      <c r="BL39" s="34"/>
      <c r="BM39" s="34"/>
      <c r="BN39" s="34"/>
      <c r="BP39" s="34"/>
      <c r="BQ39" s="34"/>
      <c r="BR39" s="34"/>
      <c r="BS39" s="34"/>
      <c r="BT39" s="34"/>
      <c r="BV39" s="58">
        <f t="shared" si="16"/>
        <v>2335269</v>
      </c>
      <c r="BW39" s="58">
        <f t="shared" si="16"/>
        <v>72977.15625</v>
      </c>
      <c r="BX39" s="58">
        <f t="shared" si="16"/>
        <v>949.03125</v>
      </c>
      <c r="BY39" s="58">
        <f t="shared" si="16"/>
        <v>48471856</v>
      </c>
      <c r="BZ39" s="58">
        <f t="shared" si="16"/>
        <v>32095992</v>
      </c>
      <c r="CA39" s="58">
        <f t="shared" si="16"/>
        <v>189962</v>
      </c>
      <c r="CB39" s="58">
        <f t="shared" si="16"/>
        <v>16405912</v>
      </c>
      <c r="CC39" s="58">
        <f t="shared" si="16"/>
        <v>-28.265487999999998</v>
      </c>
      <c r="CD39" s="58">
        <f t="shared" si="16"/>
        <v>-31.427666000000009</v>
      </c>
      <c r="CE39" s="58">
        <f t="shared" si="16"/>
        <v>-0.32730899999999963</v>
      </c>
      <c r="CF39" s="58">
        <f t="shared" si="16"/>
        <v>-0.48657499999999487</v>
      </c>
      <c r="CG39" s="58">
        <f t="shared" si="16"/>
        <v>-1.1938969999999998</v>
      </c>
      <c r="CJ39" t="s">
        <v>589</v>
      </c>
    </row>
    <row r="40" spans="1:88" ht="16" x14ac:dyDescent="0.2">
      <c r="B40" s="46" t="s">
        <v>16</v>
      </c>
      <c r="J40" s="47">
        <f>AVERAGE(J5:J24)</f>
        <v>1.7607443125499909E-2</v>
      </c>
      <c r="K40" s="47">
        <f>AVERAGE(K5:K24)</f>
        <v>9.5321793276372524E-3</v>
      </c>
      <c r="L40" s="47">
        <f>AVERAGE(L5:L24)</f>
        <v>6.9516832599163803E-3</v>
      </c>
      <c r="M40" s="47">
        <f>AVERAGE(M5:M24)</f>
        <v>8.0752637978626605E-3</v>
      </c>
      <c r="AH40" s="47">
        <f>AVERAGE(AH5:AH24)</f>
        <v>5.9674039323487048E-2</v>
      </c>
      <c r="AI40" s="47">
        <f>AVERAGE(AI5:AI24)</f>
        <v>4.0486618046557746E-2</v>
      </c>
      <c r="AJ40" s="47">
        <f>AVERAGE(AJ5:AJ24)</f>
        <v>3.8642287643092264E-2</v>
      </c>
      <c r="AK40" s="47">
        <f>AVERAGE(AK5:AK24)</f>
        <v>1.8472182672418451E-2</v>
      </c>
      <c r="BE40" s="51">
        <f t="shared" si="12"/>
        <v>4.2473621881170791</v>
      </c>
      <c r="BH40" s="55">
        <f>AVERAGE(BH5:BH24)</f>
        <v>8.8829866937722796E-2</v>
      </c>
      <c r="BJ40" s="51">
        <f>AVERAGE(BJ5:BJ24)</f>
        <v>1</v>
      </c>
      <c r="BK40" s="51">
        <f>AVERAGE(BK5:BK24)</f>
        <v>1</v>
      </c>
      <c r="BL40" s="51">
        <f>AVERAGE(BL5:BL24)</f>
        <v>2.8428990659983526</v>
      </c>
      <c r="BM40" s="51">
        <f>AVERAGE(BM5:BM24)</f>
        <v>7.9203378530681299</v>
      </c>
      <c r="BN40" s="51">
        <f>AVERAGE(BN5:BN24)</f>
        <v>9.7583114989255364</v>
      </c>
      <c r="BP40" s="51">
        <f>AVERAGE(BP5:BP24)</f>
        <v>1</v>
      </c>
      <c r="BQ40" s="51">
        <f>AVERAGE(BQ5:BQ24)</f>
        <v>1</v>
      </c>
      <c r="BR40" s="51">
        <f>AVERAGE(BR5:BR24)</f>
        <v>3.7858628534565266</v>
      </c>
      <c r="BS40" s="51">
        <f>AVERAGE(BS5:BS24)</f>
        <v>6.7117966289015882</v>
      </c>
      <c r="BT40" s="51">
        <f>AVERAGE(BT5:BT24)</f>
        <v>7.2127456646889261</v>
      </c>
    </row>
    <row r="41" spans="1:88" ht="16" x14ac:dyDescent="0.2">
      <c r="B41" s="46" t="s">
        <v>17</v>
      </c>
      <c r="J41" s="47">
        <f>AVERAGE(J25:J29)</f>
        <v>3.8177977020693157E-2</v>
      </c>
      <c r="K41" s="47">
        <f>AVERAGE(K25:K29)</f>
        <v>1.1417285892349041E-2</v>
      </c>
      <c r="L41" s="47">
        <f>AVERAGE(L25:L29)</f>
        <v>8.7672756735900897E-3</v>
      </c>
      <c r="M41" s="47">
        <f>AVERAGE(M25:M29)</f>
        <v>2.6760691128344116E-2</v>
      </c>
      <c r="AH41" s="47">
        <f>AVERAGE(AH25:AH29)</f>
        <v>9.1138119801570466E-2</v>
      </c>
      <c r="AI41" s="47">
        <f>AVERAGE(AI25:AI29)</f>
        <v>4.6672854468739561E-2</v>
      </c>
      <c r="AJ41" s="47">
        <f>AVERAGE(AJ25:AJ29)</f>
        <v>4.3155638103265059E-2</v>
      </c>
      <c r="AK41" s="47">
        <f>AVERAGE(AK25:AK29)</f>
        <v>4.5392189911645786E-2</v>
      </c>
      <c r="BE41" s="51">
        <f t="shared" si="12"/>
        <v>4.087911514943845</v>
      </c>
      <c r="BH41" s="55">
        <f>AVERAGE(BH25:BH29)</f>
        <v>0.17619819265231629</v>
      </c>
      <c r="BJ41" s="51">
        <f>AVERAGE(BJ25:BJ29)</f>
        <v>1</v>
      </c>
      <c r="BK41" s="51">
        <f>AVERAGE(BK25:BK29)</f>
        <v>1</v>
      </c>
      <c r="BL41" s="51">
        <f>AVERAGE(BL25:BL29)</f>
        <v>1.3172154396551017</v>
      </c>
      <c r="BM41" s="51">
        <f>AVERAGE(BM25:BM29)</f>
        <v>2.0721490281229813</v>
      </c>
      <c r="BN41" s="51">
        <f>AVERAGE(BN25:BN29)</f>
        <v>2.2247257150946029</v>
      </c>
      <c r="BP41" s="51">
        <f>AVERAGE(BP25:BP29)</f>
        <v>1</v>
      </c>
      <c r="BQ41" s="51">
        <f>AVERAGE(BQ25:BQ29)</f>
        <v>1</v>
      </c>
      <c r="BR41" s="51">
        <f>AVERAGE(BR25:BR29)</f>
        <v>2.1976906084494243</v>
      </c>
      <c r="BS41" s="51">
        <f>AVERAGE(BS25:BS29)</f>
        <v>2.9226528208512068</v>
      </c>
      <c r="BT41" s="51">
        <f>AVERAGE(BT25:BT29)</f>
        <v>3.0899651054586057</v>
      </c>
    </row>
    <row r="42" spans="1:88" ht="16" x14ac:dyDescent="0.2">
      <c r="B42" s="46" t="s">
        <v>18</v>
      </c>
      <c r="J42" s="47">
        <f>AVERAGE(J30:J39)</f>
        <v>3.5024046893903718E-2</v>
      </c>
      <c r="K42" s="47">
        <f>AVERAGE(K30:K39)</f>
        <v>1.8600416961661072E-2</v>
      </c>
      <c r="L42" s="47">
        <f>AVERAGE(L30:L39)</f>
        <v>1.4301451090252094E-2</v>
      </c>
      <c r="M42" s="47">
        <f>AVERAGE(M30:M39)</f>
        <v>1.6423629932242643E-2</v>
      </c>
      <c r="AH42" s="47">
        <f>AVERAGE(AH30:AH39)</f>
        <v>0.11391145670947175</v>
      </c>
      <c r="AI42" s="47">
        <f>AVERAGE(AI30:AI39)</f>
        <v>7.8367062358826262E-2</v>
      </c>
      <c r="AJ42" s="47">
        <f>AVERAGE(AJ30:AJ39)</f>
        <v>7.5165494395772331E-2</v>
      </c>
      <c r="AK42" s="47">
        <f>AVERAGE(AK30:AK39)</f>
        <v>3.4528520287216646E-2</v>
      </c>
      <c r="BE42" s="51">
        <f t="shared" si="12"/>
        <v>4.2131884742344967</v>
      </c>
      <c r="BH42" s="55">
        <f>AVERAGE(BH30:BH39)</f>
        <v>0.11440700900024076</v>
      </c>
      <c r="BJ42" s="51">
        <f>AVERAGE(BJ30:BJ39)</f>
        <v>1</v>
      </c>
      <c r="BK42" s="51">
        <f>AVERAGE(BK30:BK39)</f>
        <v>1</v>
      </c>
      <c r="BL42" s="51">
        <f>AVERAGE(BL30:BL39)</f>
        <v>2.4581965070066127</v>
      </c>
      <c r="BM42" s="51">
        <f>AVERAGE(BM30:BM39)</f>
        <v>3.4688936583887937</v>
      </c>
      <c r="BN42" s="51">
        <f>AVERAGE(BN30:BN39)</f>
        <v>3.7662453198110701</v>
      </c>
      <c r="BP42" s="51">
        <f>AVERAGE(BP30:BP39)</f>
        <v>1</v>
      </c>
      <c r="BQ42" s="51">
        <f>AVERAGE(BQ30:BQ39)</f>
        <v>1</v>
      </c>
      <c r="BR42" s="51">
        <f>AVERAGE(BR30:BR39)</f>
        <v>3.5782056838059093</v>
      </c>
      <c r="BS42" s="51">
        <f>AVERAGE(BS30:BS39)</f>
        <v>4.3275900252518014</v>
      </c>
      <c r="BT42" s="51">
        <f>AVERAGE(BT30:BT39)</f>
        <v>4.6187167134323266</v>
      </c>
    </row>
    <row r="43" spans="1:88" ht="16" x14ac:dyDescent="0.2">
      <c r="B43" s="46" t="s">
        <v>19</v>
      </c>
      <c r="J43" s="47">
        <f>AVERAGE(J5:J39)</f>
        <v>2.552226333007146E-2</v>
      </c>
      <c r="K43" s="47">
        <f>AVERAGE(K5:K39)</f>
        <v>1.2392405303745741E-2</v>
      </c>
      <c r="L43" s="47">
        <f>AVERAGE(L5:L39)</f>
        <v>9.3109872705371133E-3</v>
      </c>
      <c r="M43" s="47">
        <f>AVERAGE(M5:M39)</f>
        <v>1.3129858026325721E-2</v>
      </c>
      <c r="AH43" s="47">
        <f>AVERAGE(AH5:AH39)</f>
        <v>7.9665312930637458E-2</v>
      </c>
      <c r="AI43" s="47">
        <f>AVERAGE(AI5:AI39)</f>
        <v>5.2193350196089019E-2</v>
      </c>
      <c r="AJ43" s="47">
        <f>AVERAGE(AJ5:AJ39)</f>
        <v>4.972225392388268E-2</v>
      </c>
      <c r="AK43" s="47">
        <f>AVERAGE(AK5:AK39)</f>
        <v>2.6905423025107556E-2</v>
      </c>
      <c r="BE43" s="51">
        <f t="shared" si="12"/>
        <v>4.2117207206185396</v>
      </c>
      <c r="BH43" s="55">
        <f>AVERAGE(BH5:BH39)</f>
        <v>0.10861881120052699</v>
      </c>
      <c r="BJ43" s="51">
        <f>AVERAGE(BJ5:BJ39)</f>
        <v>1</v>
      </c>
      <c r="BK43" s="51">
        <f>AVERAGE(BK5:BK39)</f>
        <v>1</v>
      </c>
      <c r="BL43" s="51">
        <f>AVERAGE(BL5:BL39)</f>
        <v>2.5150292453802483</v>
      </c>
      <c r="BM43" s="51">
        <f>AVERAGE(BM5:BM39)</f>
        <v>5.8130411081675835</v>
      </c>
      <c r="BN43" s="51">
        <f>AVERAGE(BN5:BN39)</f>
        <v>6.9700660500598408</v>
      </c>
      <c r="BP43" s="51">
        <f>AVERAGE(BP5:BP39)</f>
        <v>1</v>
      </c>
      <c r="BQ43" s="51">
        <f>AVERAGE(BQ5:BQ39)</f>
        <v>1</v>
      </c>
      <c r="BR43" s="51">
        <f>AVERAGE(BR5:BR39)</f>
        <v>3.4996504842696212</v>
      </c>
      <c r="BS43" s="51">
        <f>AVERAGE(BS5:BS39)</f>
        <v>5.4892884838515945</v>
      </c>
      <c r="BT43" s="51">
        <f>AVERAGE(BT5:BT39)</f>
        <v>5.882625884439852</v>
      </c>
    </row>
    <row r="44" spans="1:88" ht="16" hidden="1" outlineLevel="2" x14ac:dyDescent="0.2">
      <c r="A44" s="46" t="s">
        <v>245</v>
      </c>
      <c r="B44" s="46" t="s">
        <v>246</v>
      </c>
      <c r="AB44" s="48">
        <f>SUM(AB5:AB24,AB25:AB29,AB30:AB39)</f>
        <v>135034.15999999997</v>
      </c>
      <c r="AC44" s="48">
        <f>SUM(AC5:AC24,AC25:AC29,AC30:AC39)</f>
        <v>327102.43</v>
      </c>
      <c r="AD44" s="48">
        <f>SUM(AD5:AD24,AD25:AD29,AD30:AD39)</f>
        <v>4227.5379999999996</v>
      </c>
      <c r="AE44" s="48">
        <f>SUM(AE5:AE24,AE25:AE29,AE30:AE39)</f>
        <v>1388.0099999999998</v>
      </c>
      <c r="AZ44" s="48">
        <f>SUM(AZ5:AZ24,AZ25:AZ29,AZ30:AZ39)</f>
        <v>127085.52999999998</v>
      </c>
      <c r="BA44" s="48">
        <f>SUM(BA5:BA24,BA25:BA29,BA30:BA39)</f>
        <v>564231.42999999993</v>
      </c>
      <c r="BB44" s="48">
        <f>SUM(BB5:BB24,BB25:BB29,BB30:BB39)</f>
        <v>4781.6170000000002</v>
      </c>
      <c r="BC44" s="48">
        <f>SUM(BC5:BC24,BC25:BC29,BC30:BC39)</f>
        <v>1460.5699999999997</v>
      </c>
    </row>
    <row r="45" spans="1:88" ht="16" hidden="1" outlineLevel="2" x14ac:dyDescent="0.2">
      <c r="B45" s="46" t="s">
        <v>247</v>
      </c>
      <c r="AZ45" s="55">
        <f>AZ44/AB44</f>
        <v>0.94113615399244166</v>
      </c>
      <c r="BA45" s="55">
        <f>BA44/AC44</f>
        <v>1.7249380568649397</v>
      </c>
      <c r="BB45" s="55">
        <f>BB44/AD44</f>
        <v>1.1310642269803373</v>
      </c>
      <c r="BC45" s="55">
        <f>BC44/AE44</f>
        <v>1.0522762804302563</v>
      </c>
    </row>
    <row r="46" spans="1:88" ht="16" hidden="1" outlineLevel="2" x14ac:dyDescent="0.2">
      <c r="B46" s="46" t="s">
        <v>248</v>
      </c>
      <c r="AB46" s="48">
        <f>GEOMEAN(AB5:AB24,AB25:AB29,AB30:AB39)</f>
        <v>3646.7529472135416</v>
      </c>
      <c r="AC46" s="48">
        <f>GEOMEAN(AC5:AC24,AC25:AC29,AC30:AC39)</f>
        <v>6479.7210171863253</v>
      </c>
      <c r="AD46" s="48">
        <f>GEOMEAN(AD5:AD24,AD25:AD29,AD30:AD39)</f>
        <v>100.32118411466705</v>
      </c>
      <c r="AE46" s="48">
        <f>GEOMEAN(AE5:AE24,AE25:AE29,AE30:AE39)</f>
        <v>28.296496280109611</v>
      </c>
      <c r="AZ46" s="48">
        <f>GEOMEAN(AZ5:AZ24,AZ25:AZ29,AZ30:AZ39)</f>
        <v>3445.9000990234822</v>
      </c>
      <c r="BA46" s="48">
        <f>GEOMEAN(BA5:BA24,BA25:BA29,BA30:BA39)</f>
        <v>10879.207717838644</v>
      </c>
      <c r="BB46" s="48">
        <f>GEOMEAN(BB5:BB24,BB25:BB29,BB30:BB39)</f>
        <v>115.4470323539265</v>
      </c>
      <c r="BC46" s="48">
        <f>GEOMEAN(BC5:BC24,BC25:BC29,BC30:BC39)</f>
        <v>30.383542602075611</v>
      </c>
    </row>
    <row r="47" spans="1:88" ht="16" outlineLevel="2" collapsed="1" x14ac:dyDescent="0.2">
      <c r="B47" s="46" t="s">
        <v>249</v>
      </c>
      <c r="AZ47" s="55">
        <f>AZ46/AB46</f>
        <v>0.9449228255663632</v>
      </c>
      <c r="BA47" s="55">
        <f>BA46/AC46</f>
        <v>1.6789623641177531</v>
      </c>
      <c r="BB47" s="55">
        <f>BB46/AD46</f>
        <v>1.1507742195503854</v>
      </c>
      <c r="BC47" s="55">
        <f>BC46/AE46</f>
        <v>1.0737563513625905</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2019-12-04T16:57:04Z</dcterms:modified>
</cp:coreProperties>
</file>