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drawing+xml" PartName="/xl/drawings/drawing1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1"/>
  <bookViews>
    <workbookView activeTab="7" autoFilterDateGrouping="1" firstSheet="2" minimized="0" showHorizontalScroll="1" showSheetTabs="1" showVerticalScroll="1" tabRatio="600" visibility="visible" windowHeight="12768" windowWidth="23256" xWindow="-108" yWindow="-108"/>
  </bookViews>
  <sheets>
    <sheet name="Summary" sheetId="1" state="visible" r:id="rId1"/>
    <sheet name="Graphs" sheetId="2" state="visible" r:id="rId2"/>
    <sheet name="C2 lossyG,lossyA,intra" sheetId="3" state="visible" r:id="rId3"/>
    <sheet name="names" sheetId="4" state="hidden" r:id="rId4"/>
    <sheet name="CW losslG,losslA,intra" sheetId="5" state="visible" r:id="rId5"/>
    <sheet name="CW losslG,losslA,interLD" sheetId="6" state="visible" r:id="rId6"/>
    <sheet name="C2 lossyG,lossyA,interRA" sheetId="7" state="visible" r:id="rId7"/>
    <sheet name="Results" sheetId="8" state="visible" r:id="rId8"/>
  </sheets>
  <definedNames>
    <definedName localSheetId="1" name="all_cols">Graphs!$I$2:$I$39</definedName>
    <definedName localSheetId="1" name="filter_cols">IF(ISREF(Graphs!filter_cols_),Graphs!filter_cols_,Graphs!all_cols)</definedName>
    <definedName localSheetId="1" name="filter_cols_">INDIRECT(HLOOKUP(Graphs!$B$1,Graphs!$M$1:$ZZ$2,2,0))</definedName>
    <definedName localSheetId="1" name="graph_a_A_title">INDIRECT(VLOOKUP("name.A."&amp;Graphs!$B$1,names!$A:$B,2,0))</definedName>
    <definedName localSheetId="1" name="graph_a_B_title">INDIRECT(VLOOKUP("name.B."&amp;Graphs!$B$1,names!$A:$B,2,0))</definedName>
    <definedName localSheetId="1" name="graph_a_title">CONCATENATE(Graphs!graph_a_y_title, " (Graph a)")</definedName>
    <definedName localSheetId="1" name="graph_a_x_range_A">IF(ISREF(Graphs!graph_a_x_range_A_),Graphs!graph_a_x_range_A_,{0})</definedName>
    <definedName localSheetId="1" name="graph_a_x_range_A_">INDEX(INDIRECT(VLOOKUP("range." &amp; Graphs!$B$1 &amp;"."&amp; Graphs!$B$2, names!$A:$B,2,0)), 0, VLOOKUP("col."&amp; Graphs!$B$1 &amp;".A."&amp; Graphs!$B$4, names!$A:$B,2,0))</definedName>
    <definedName localSheetId="1" name="graph_a_x_range_B">IF(ISREF(Graphs!graph_a_x_range_B_),Graphs!graph_a_x_range_B_,{0})</definedName>
    <definedName localSheetId="1" name="graph_a_x_range_B_">INDEX(INDIRECT(VLOOKUP("range." &amp; Graphs!$B$1 &amp;"."&amp; Graphs!$B$2, names!$A:$B,2,0)), 0, VLOOKUP("col."&amp; Graphs!$B$1 &amp;".B."&amp; Graphs!$B$4, names!$A:$B,2,0))</definedName>
    <definedName localSheetId="1" name="graph_a_x_title">OFFSET(Graphs!all_cols, MATCH(Graphs!$B$4, Graphs!all_cols, 0)-1,1,1,1)</definedName>
    <definedName localSheetId="1" name="graph_a_y_range_A">IF(ISREF(Graphs!graph_a_y_range_A_),Graphs!graph_a_y_range_A_,{0})</definedName>
    <definedName localSheetId="1" name="graph_a_y_range_A_">INDEX(INDIRECT(VLOOKUP("range." &amp; Graphs!$B$1 &amp;"."&amp; Graphs!$B$2, names!$A:$B,2,0)), 0, VLOOKUP("col."&amp; Graphs!$B$1 &amp;".A."&amp; Graphs!$D$4, names!$A:$B,2,0))</definedName>
    <definedName localSheetId="1" name="graph_a_y_range_B">IF(ISREF(Graphs!graph_a_y_range_B_),Graphs!graph_a_y_range_B_,{0})</definedName>
    <definedName localSheetId="1" name="graph_a_y_range_B_">INDEX(INDIRECT(VLOOKUP("range." &amp; Graphs!$B$1 &amp;"."&amp; Graphs!$B$2, names!$A:$B,2,0)), 0, VLOOKUP("col."&amp; Graphs!$B$1 &amp;".B."&amp; Graphs!$D$4, names!$A:$B,2,0))</definedName>
    <definedName localSheetId="1" name="graph_a_y_title">OFFSET(Graphs!all_cols, MATCH(Graphs!$D$4, Graphs!all_cols, 0)-1,1,1,1)</definedName>
    <definedName localSheetId="1" name="graph_b_A_title">INDIRECT(VLOOKUP("name.A."&amp;Graphs!$B$1,names!$A:$B,2,0))</definedName>
    <definedName localSheetId="1" name="graph_b_B_title">INDIRECT(VLOOKUP("name.B."&amp;Graphs!$B$1,names!$A:$B,2,0))</definedName>
    <definedName localSheetId="1" name="graph_b_title">CONCATENATE(Graphs!graph_b_y_title, " (Graph b)")</definedName>
    <definedName localSheetId="1" name="graph_b_x_range_A">IF(ISREF(Graphs!graph_b_x_range_A_),Graphs!graph_b_x_range_A_,{0})</definedName>
    <definedName localSheetId="1" name="graph_b_x_range_A_">INDEX(INDIRECT(VLOOKUP("range." &amp; Graphs!$B$1 &amp;"."&amp; Graphs!$B$2, names!$A:$B,2,0)), 0, VLOOKUP("col."&amp; Graphs!$B$1 &amp;".A."&amp; Graphs!$B$5, names!$A:$B,2,0))</definedName>
    <definedName localSheetId="1" name="graph_b_x_range_B">IF(ISREF(Graphs!graph_b_x_range_B_),Graphs!graph_b_x_range_B_,{0})</definedName>
    <definedName localSheetId="1" name="graph_b_x_range_B_">INDEX(INDIRECT(VLOOKUP("range." &amp; Graphs!$B$1 &amp;"."&amp; Graphs!$B$2, names!$A:$B,2,0)), 0, VLOOKUP("col."&amp; Graphs!$B$1 &amp;".B."&amp; Graphs!$B$5, names!$A:$B,2,0))</definedName>
    <definedName localSheetId="1" name="graph_b_x_title">OFFSET(Graphs!all_cols, MATCH(Graphs!$B$5, Graphs!all_cols, 0)-1,1,1,1)</definedName>
    <definedName localSheetId="1" name="graph_b_y_range_A">IF(ISREF(Graphs!graph_b_y_range_A_),Graphs!graph_b_y_range_A_,{0})</definedName>
    <definedName localSheetId="1" name="graph_b_y_range_A_">INDEX(INDIRECT(VLOOKUP("range." &amp; Graphs!$B$1 &amp;"."&amp; Graphs!$B$2, names!$A:$B,2,0)), 0, VLOOKUP("col."&amp; Graphs!$B$1 &amp;".A."&amp; Graphs!$D$5, names!$A:$B,2,0))</definedName>
    <definedName localSheetId="1" name="graph_b_y_range_B">IF(ISREF(Graphs!graph_b_y_range_B_),Graphs!graph_b_y_range_B_,{0})</definedName>
    <definedName localSheetId="1" name="graph_b_y_range_B_">INDEX(INDIRECT(VLOOKUP("range." &amp; Graphs!$B$1 &amp;"."&amp; Graphs!$B$2, names!$A:$B,2,0)), 0, VLOOKUP("col."&amp; Graphs!$B$1 &amp;".B."&amp; Graphs!$D$5, names!$A:$B,2,0))</definedName>
    <definedName localSheetId="1" name="graph_b_y_title">OFFSET(Graphs!all_cols, MATCH(Graphs!$D$5, Graphs!all_cols, 0)-1,1,1,1)</definedName>
    <definedName localSheetId="1" name="graph_c_A_title">INDIRECT(VLOOKUP("name.A."&amp;Graphs!$B$1,names!$A:$B,2,0))</definedName>
    <definedName localSheetId="1" name="graph_c_B_title">INDIRECT(VLOOKUP("name.B."&amp;Graphs!$B$1,names!$A:$B,2,0))</definedName>
    <definedName localSheetId="1" name="graph_c_title">CONCATENATE(Graphs!graph_c_y_title, " (Graph c)")</definedName>
    <definedName localSheetId="1" name="graph_c_x_range_A">IF(ISREF(Graphs!graph_c_x_range_A_),Graphs!graph_c_x_range_A_,{0})</definedName>
    <definedName localSheetId="1" name="graph_c_x_range_A_">INDEX(INDIRECT(VLOOKUP("range." &amp; Graphs!$B$1 &amp;"."&amp; Graphs!$B$2, names!$A:$B,2,0)), 0, VLOOKUP("col."&amp; Graphs!$B$1 &amp;".A."&amp; Graphs!$B$6, names!$A:$B,2,0))</definedName>
    <definedName localSheetId="1" name="graph_c_x_range_B">IF(ISREF(Graphs!graph_c_x_range_B_),Graphs!graph_c_x_range_B_,{0})</definedName>
    <definedName localSheetId="1" name="graph_c_x_range_B_">INDEX(INDIRECT(VLOOKUP("range." &amp; Graphs!$B$1 &amp;"."&amp; Graphs!$B$2, names!$A:$B,2,0)), 0, VLOOKUP("col."&amp; Graphs!$B$1 &amp;".B."&amp; Graphs!$B$6, names!$A:$B,2,0))</definedName>
    <definedName localSheetId="1" name="graph_c_x_title">OFFSET(Graphs!all_cols, MATCH(Graphs!$B$6, Graphs!all_cols, 0)-1,1,1,1)</definedName>
    <definedName localSheetId="1" name="graph_c_y_range_A">IF(ISREF(Graphs!graph_c_y_range_A_),Graphs!graph_c_y_range_A_,{0})</definedName>
    <definedName localSheetId="1" name="graph_c_y_range_A_">INDEX(INDIRECT(VLOOKUP("range." &amp; Graphs!$B$1 &amp;"."&amp; Graphs!$B$2, names!$A:$B,2,0)), 0, VLOOKUP("col."&amp; Graphs!$B$1 &amp;".A."&amp; Graphs!$D$6, names!$A:$B,2,0))</definedName>
    <definedName localSheetId="1" name="graph_c_y_range_B">IF(ISREF(Graphs!graph_c_y_range_B_),Graphs!graph_c_y_range_B_,{0})</definedName>
    <definedName localSheetId="1" name="graph_c_y_range_B_">INDEX(INDIRECT(VLOOKUP("range." &amp; Graphs!$B$1 &amp;"."&amp; Graphs!$B$2, names!$A:$B,2,0)), 0, VLOOKUP("col."&amp; Graphs!$B$1 &amp;".B."&amp; Graphs!$D$6, names!$A:$B,2,0))</definedName>
    <definedName localSheetId="1" name="graph_c_y_title">OFFSET(Graphs!all_cols, MATCH(Graphs!$D$6, Graphs!all_cols, 0)-1,1,1,1)</definedName>
    <definedName localSheetId="1" name="graph_d_A_title">INDIRECT(VLOOKUP("name.A."&amp;Graphs!$B$1,names!$A:$B,2,0))</definedName>
    <definedName localSheetId="1" name="graph_d_B_title">INDIRECT(VLOOKUP("name.B."&amp;Graphs!$B$1,names!$A:$B,2,0))</definedName>
    <definedName localSheetId="1" name="graph_d_title">CONCATENATE(Graphs!graph_d_y_title, " (Graph d)")</definedName>
    <definedName localSheetId="1" name="graph_d_x_range_A">IF(ISREF(Graphs!graph_d_x_range_A_),Graphs!graph_d_x_range_A_,{0})</definedName>
    <definedName localSheetId="1" name="graph_d_x_range_A_">INDEX(INDIRECT(VLOOKUP("range." &amp; Graphs!$B$1 &amp;"."&amp; Graphs!$B$2, names!$A:$B,2,0)), 0, VLOOKUP("col."&amp; Graphs!$B$1 &amp;".A."&amp; Graphs!$B$7, names!$A:$B,2,0))</definedName>
    <definedName localSheetId="1" name="graph_d_x_range_B">IF(ISREF(Graphs!graph_d_x_range_B_),Graphs!graph_d_x_range_B_,{0})</definedName>
    <definedName localSheetId="1" name="graph_d_x_range_B_">INDEX(INDIRECT(VLOOKUP("range." &amp; Graphs!$B$1 &amp;"."&amp; Graphs!$B$2, names!$A:$B,2,0)), 0, VLOOKUP("col."&amp; Graphs!$B$1 &amp;".B."&amp; Graphs!$B$7, names!$A:$B,2,0))</definedName>
    <definedName localSheetId="1" name="graph_d_x_title">OFFSET(Graphs!all_cols, MATCH(Graphs!$B$7, Graphs!all_cols, 0)-1,1,1,1)</definedName>
    <definedName localSheetId="1" name="graph_d_y_range_A">IF(ISREF(Graphs!graph_d_y_range_A_),Graphs!graph_d_y_range_A_,{0})</definedName>
    <definedName localSheetId="1" name="graph_d_y_range_A_">INDEX(INDIRECT(VLOOKUP("range." &amp; Graphs!$B$1 &amp;"."&amp; Graphs!$B$2, names!$A:$B,2,0)), 0, VLOOKUP("col."&amp; Graphs!$B$1 &amp;".A."&amp; Graphs!$D$7, names!$A:$B,2,0))</definedName>
    <definedName localSheetId="1" name="graph_d_y_range_B">IF(ISREF(Graphs!graph_d_y_range_B_),Graphs!graph_d_y_range_B_,{0})</definedName>
    <definedName localSheetId="1" name="graph_d_y_range_B_">INDEX(INDIRECT(VLOOKUP("range." &amp; Graphs!$B$1 &amp;"."&amp; Graphs!$B$2, names!$A:$B,2,0)), 0, VLOOKUP("col."&amp; Graphs!$B$1 &amp;".B."&amp; Graphs!$D$7, names!$A:$B,2,0))</definedName>
    <definedName localSheetId="1" name="graph_d_y_title">OFFSET(Graphs!all_cols, MATCH(Graphs!$D$7, Graphs!all_cols, 0)-1,1,1,1)</definedName>
    <definedName localSheetId="1" name="graph_e_A_title">INDIRECT(VLOOKUP("name.A."&amp;Graphs!$B$1,names!$A:$B,2,0))</definedName>
    <definedName localSheetId="1" name="graph_e_B_title">INDIRECT(VLOOKUP("name.B."&amp;Graphs!$B$1,names!$A:$B,2,0))</definedName>
    <definedName localSheetId="1" name="graph_e_title">CONCATENATE(Graphs!graph_e_y_title, " (Graph e)")</definedName>
    <definedName localSheetId="1" name="graph_e_x_range_A">IF(ISREF(Graphs!graph_e_x_range_A_),Graphs!graph_e_x_range_A_,{0})</definedName>
    <definedName localSheetId="1" name="graph_e_x_range_A_">INDEX(INDIRECT(VLOOKUP("range." &amp; Graphs!$B$1 &amp;"."&amp; Graphs!$B$2, names!$A:$B,2,0)), 0, VLOOKUP("col."&amp; Graphs!$B$1 &amp;".A."&amp; Graphs!$B$8, names!$A:$B,2,0))</definedName>
    <definedName localSheetId="1" name="graph_e_x_range_B">IF(ISREF(Graphs!graph_e_x_range_B_),Graphs!graph_e_x_range_B_,{0})</definedName>
    <definedName localSheetId="1" name="graph_e_x_range_B_">INDEX(INDIRECT(VLOOKUP("range." &amp; Graphs!$B$1 &amp;"."&amp; Graphs!$B$2, names!$A:$B,2,0)), 0, VLOOKUP("col."&amp; Graphs!$B$1 &amp;".B."&amp; Graphs!$B$8, names!$A:$B,2,0))</definedName>
    <definedName localSheetId="1" name="graph_e_x_title">OFFSET(Graphs!all_cols, MATCH(Graphs!$B$8, Graphs!all_cols, 0)-1,1,1,1)</definedName>
    <definedName localSheetId="1" name="graph_e_y_range_A">IF(ISREF(Graphs!graph_e_y_range_A_),Graphs!graph_e_y_range_A_,{0})</definedName>
    <definedName localSheetId="1" name="graph_e_y_range_A_">INDEX(INDIRECT(VLOOKUP("range." &amp; Graphs!$B$1 &amp;"."&amp; Graphs!$B$2, names!$A:$B,2,0)), 0, VLOOKUP("col."&amp; Graphs!$B$1 &amp;".A."&amp; Graphs!$D$8, names!$A:$B,2,0))</definedName>
    <definedName localSheetId="1" name="graph_e_y_range_B">IF(ISREF(Graphs!graph_e_y_range_B_),Graphs!graph_e_y_range_B_,{0})</definedName>
    <definedName localSheetId="1" name="graph_e_y_range_B_">INDEX(INDIRECT(VLOOKUP("range." &amp; Graphs!$B$1 &amp;"."&amp; Graphs!$B$2, names!$A:$B,2,0)), 0, VLOOKUP("col."&amp; Graphs!$B$1 &amp;".B."&amp; Graphs!$D$8, names!$A:$B,2,0))</definedName>
    <definedName localSheetId="1" name="graph_e_y_title">OFFSET(Graphs!all_cols, MATCH(Graphs!$D$8, Graphs!all_cols, 0)-1,1,1,1)</definedName>
    <definedName localSheetId="1" name="graph_f_A_title">INDIRECT(VLOOKUP("name.A."&amp;Graphs!$B$1,names!$A:$B,2,0))</definedName>
    <definedName localSheetId="1" name="graph_f_B_title">INDIRECT(VLOOKUP("name.B."&amp;Graphs!$B$1,names!$A:$B,2,0))</definedName>
    <definedName localSheetId="1" name="graph_f_title">CONCATENATE(Graphs!graph_f_y_title, " (Graph f)")</definedName>
    <definedName localSheetId="1" name="graph_f_x_range_A">IF(ISREF(Graphs!graph_f_x_range_A_),Graphs!graph_f_x_range_A_,{0})</definedName>
    <definedName localSheetId="1" name="graph_f_x_range_A_">INDEX(INDIRECT(VLOOKUP("range." &amp; Graphs!$B$1 &amp;"."&amp; Graphs!$B$2, names!$A:$B,2,0)), 0, VLOOKUP("col."&amp; Graphs!$B$1 &amp;".A."&amp; Graphs!$B$9, names!$A:$B,2,0))</definedName>
    <definedName localSheetId="1" name="graph_f_x_range_B">IF(ISREF(Graphs!graph_f_x_range_B_),Graphs!graph_f_x_range_B_,{0})</definedName>
    <definedName localSheetId="1" name="graph_f_x_range_B_">INDEX(INDIRECT(VLOOKUP("range." &amp; Graphs!$B$1 &amp;"."&amp; Graphs!$B$2, names!$A:$B,2,0)), 0, VLOOKUP("col."&amp; Graphs!$B$1 &amp;".B."&amp; Graphs!$B$9, names!$A:$B,2,0))</definedName>
    <definedName localSheetId="1" name="graph_f_x_title">OFFSET(Graphs!all_cols, MATCH(Graphs!$B$9, Graphs!all_cols, 0)-1,1,1,1)</definedName>
    <definedName localSheetId="1" name="graph_f_y_range_A">IF(ISREF(Graphs!graph_f_y_range_A_),Graphs!graph_f_y_range_A_,{0})</definedName>
    <definedName localSheetId="1" name="graph_f_y_range_A_">INDEX(INDIRECT(VLOOKUP("range." &amp; Graphs!$B$1 &amp;"."&amp; Graphs!$B$2, names!$A:$B,2,0)), 0, VLOOKUP("col."&amp; Graphs!$B$1 &amp;".A."&amp; Graphs!$D$9, names!$A:$B,2,0))</definedName>
    <definedName localSheetId="1" name="graph_f_y_range_B">IF(ISREF(Graphs!graph_f_y_range_B_),Graphs!graph_f_y_range_B_,{0})</definedName>
    <definedName localSheetId="1" name="graph_f_y_range_B_">INDEX(INDIRECT(VLOOKUP("range." &amp; Graphs!$B$1 &amp;"."&amp; Graphs!$B$2, names!$A:$B,2,0)), 0, VLOOKUP("col."&amp; Graphs!$B$1 &amp;".B."&amp; Graphs!$D$9, names!$A:$B,2,0))</definedName>
    <definedName localSheetId="1" name="graph_f_y_title">OFFSET(Graphs!all_cols, MATCH(Graphs!$D$9, Graphs!all_cols, 0)-1,1,1,1)</definedName>
  </definedNames>
  <calcPr calcId="191029" fullCalcOnLoad="1"/>
</workbook>
</file>

<file path=xl/styles.xml><?xml version="1.0" encoding="utf-8"?>
<styleSheet xmlns="http://schemas.openxmlformats.org/spreadsheetml/2006/main">
  <numFmts count="3">
    <numFmt formatCode="0.0%" numFmtId="164"/>
    <numFmt formatCode="0.000" numFmtId="165"/>
    <numFmt formatCode="[&gt;1000]0;[&gt;100]0.0;0.00" numFmtId="166"/>
  </numFmts>
  <fonts count="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</fonts>
  <fills count="15">
    <fill>
      <patternFill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</borders>
  <cellStyleXfs count="1">
    <xf borderId="0" fillId="0" fontId="0" numFmtId="0"/>
  </cellStyleXfs>
  <cellXfs count="184">
    <xf borderId="0" fillId="0" fontId="0" numFmtId="0" pivotButton="0" quotePrefix="0" xfId="0"/>
    <xf borderId="0" fillId="4" fontId="1" numFmtId="0" pivotButton="0" quotePrefix="0" xfId="0"/>
    <xf applyAlignment="1" borderId="3" fillId="4" fontId="1" numFmtId="0" pivotButton="0" quotePrefix="0" xfId="0">
      <alignment horizontal="center" vertical="center" wrapText="1"/>
    </xf>
    <xf applyAlignment="1" borderId="3" fillId="5" fontId="1" numFmtId="0" pivotButton="0" quotePrefix="0" xfId="0">
      <alignment horizontal="center" vertical="center" wrapText="1"/>
    </xf>
    <xf borderId="0" fillId="0" fontId="0" numFmtId="0" pivotButton="0" quotePrefix="0" xfId="0"/>
    <xf applyAlignment="1" borderId="0" fillId="0" fontId="0" numFmtId="164" pivotButton="0" quotePrefix="0" xfId="0">
      <alignment horizontal="center"/>
    </xf>
    <xf borderId="4" fillId="0" fontId="1" numFmtId="0" pivotButton="0" quotePrefix="0" xfId="0"/>
    <xf applyAlignment="1" borderId="4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borderId="3" fillId="0" fontId="0" numFmtId="0" pivotButton="0" quotePrefix="0" xfId="0"/>
    <xf borderId="0" fillId="6" fontId="0" numFmtId="0" pivotButton="0" quotePrefix="0" xfId="0"/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textRotation="90" wrapText="1"/>
    </xf>
    <xf applyAlignment="1" borderId="3" fillId="4" fontId="1" numFmtId="0" pivotButton="0" quotePrefix="0" xfId="0">
      <alignment horizontal="center" textRotation="90" wrapText="1"/>
    </xf>
    <xf borderId="0" fillId="8" fontId="0" numFmtId="0" pivotButton="0" quotePrefix="0" xfId="0"/>
    <xf applyAlignment="1" borderId="0" fillId="8" fontId="0" numFmtId="0" pivotButton="0" quotePrefix="0" xfId="0">
      <alignment horizontal="center"/>
    </xf>
    <xf applyAlignment="1" borderId="0" fillId="8" fontId="0" numFmtId="165" pivotButton="0" quotePrefix="0" xfId="0">
      <alignment horizontal="center"/>
    </xf>
    <xf applyAlignment="1" borderId="0" fillId="8" fontId="0" numFmtId="2" pivotButton="0" quotePrefix="0" xfId="0">
      <alignment horizontal="center"/>
    </xf>
    <xf borderId="0" fillId="9" fontId="0" numFmtId="0" pivotButton="0" quotePrefix="0" xfId="0"/>
    <xf applyAlignment="1" borderId="0" fillId="9" fontId="0" numFmtId="0" pivotButton="0" quotePrefix="0" xfId="0">
      <alignment horizontal="center"/>
    </xf>
    <xf applyAlignment="1" borderId="0" fillId="9" fontId="0" numFmtId="2" pivotButton="0" quotePrefix="0" xfId="0">
      <alignment horizontal="center"/>
    </xf>
    <xf applyAlignment="1" borderId="0" fillId="9" fontId="0" numFmtId="166" pivotButton="0" quotePrefix="0" xfId="0">
      <alignment horizontal="center"/>
    </xf>
    <xf applyAlignment="1" borderId="0" fillId="8" fontId="0" numFmtId="9" pivotButton="0" quotePrefix="0" xfId="0">
      <alignment horizontal="center"/>
    </xf>
    <xf applyAlignment="1" borderId="0" fillId="8" fontId="0" numFmtId="164" pivotButton="0" quotePrefix="0" xfId="0">
      <alignment horizontal="center"/>
    </xf>
    <xf borderId="0" fillId="10" fontId="0" numFmtId="0" pivotButton="0" quotePrefix="0" xfId="0"/>
    <xf applyAlignment="1" borderId="0" fillId="10" fontId="0" numFmtId="0" pivotButton="0" quotePrefix="0" xfId="0">
      <alignment horizontal="center"/>
    </xf>
    <xf applyAlignment="1" borderId="0" fillId="10" fontId="0" numFmtId="165" pivotButton="0" quotePrefix="0" xfId="0">
      <alignment horizontal="center"/>
    </xf>
    <xf applyAlignment="1" borderId="0" fillId="10" fontId="0" numFmtId="2" pivotButton="0" quotePrefix="0" xfId="0">
      <alignment horizontal="center"/>
    </xf>
    <xf borderId="0" fillId="11" fontId="0" numFmtId="0" pivotButton="0" quotePrefix="0" xfId="0"/>
    <xf applyAlignment="1" borderId="0" fillId="11" fontId="0" numFmtId="0" pivotButton="0" quotePrefix="0" xfId="0">
      <alignment horizontal="center"/>
    </xf>
    <xf applyAlignment="1" borderId="0" fillId="11" fontId="0" numFmtId="2" pivotButton="0" quotePrefix="0" xfId="0">
      <alignment horizontal="center"/>
    </xf>
    <xf applyAlignment="1" borderId="0" fillId="11" fontId="0" numFmtId="166" pivotButton="0" quotePrefix="0" xfId="0">
      <alignment horizontal="center"/>
    </xf>
    <xf applyAlignment="1" borderId="0" fillId="10" fontId="0" numFmtId="9" pivotButton="0" quotePrefix="0" xfId="0">
      <alignment horizontal="center"/>
    </xf>
    <xf applyAlignment="1" borderId="0" fillId="10" fontId="0" numFmtId="164" pivotButton="0" quotePrefix="0" xfId="0">
      <alignment horizontal="center"/>
    </xf>
    <xf borderId="3" fillId="8" fontId="0" numFmtId="0" pivotButton="0" quotePrefix="0" xfId="0"/>
    <xf applyAlignment="1" borderId="3" fillId="8" fontId="0" numFmtId="0" pivotButton="0" quotePrefix="0" xfId="0">
      <alignment horizontal="center"/>
    </xf>
    <xf applyAlignment="1" borderId="3" fillId="8" fontId="0" numFmtId="165" pivotButton="0" quotePrefix="0" xfId="0">
      <alignment horizontal="center"/>
    </xf>
    <xf applyAlignment="1" borderId="3" fillId="8" fontId="0" numFmtId="2" pivotButton="0" quotePrefix="0" xfId="0">
      <alignment horizontal="center"/>
    </xf>
    <xf borderId="3" fillId="9" fontId="0" numFmtId="0" pivotButton="0" quotePrefix="0" xfId="0"/>
    <xf applyAlignment="1" borderId="3" fillId="9" fontId="0" numFmtId="0" pivotButton="0" quotePrefix="0" xfId="0">
      <alignment horizontal="center"/>
    </xf>
    <xf applyAlignment="1" borderId="3" fillId="9" fontId="0" numFmtId="2" pivotButton="0" quotePrefix="0" xfId="0">
      <alignment horizontal="center"/>
    </xf>
    <xf applyAlignment="1" borderId="3" fillId="9" fontId="0" numFmtId="166" pivotButton="0" quotePrefix="0" xfId="0">
      <alignment horizontal="center"/>
    </xf>
    <xf applyAlignment="1" borderId="3" fillId="8" fontId="0" numFmtId="9" pivotButton="0" quotePrefix="0" xfId="0">
      <alignment horizontal="center"/>
    </xf>
    <xf applyAlignment="1" borderId="3" fillId="8" fontId="0" numFmtId="164" pivotButton="0" quotePrefix="0" xfId="0">
      <alignment horizontal="center"/>
    </xf>
    <xf borderId="3" fillId="10" fontId="0" numFmtId="0" pivotButton="0" quotePrefix="0" xfId="0"/>
    <xf applyAlignment="1" borderId="3" fillId="10" fontId="0" numFmtId="0" pivotButton="0" quotePrefix="0" xfId="0">
      <alignment horizontal="center"/>
    </xf>
    <xf applyAlignment="1" borderId="3" fillId="10" fontId="0" numFmtId="165" pivotButton="0" quotePrefix="0" xfId="0">
      <alignment horizontal="center"/>
    </xf>
    <xf applyAlignment="1" borderId="3" fillId="10" fontId="0" numFmtId="2" pivotButton="0" quotePrefix="0" xfId="0">
      <alignment horizontal="center"/>
    </xf>
    <xf borderId="3" fillId="11" fontId="0" numFmtId="0" pivotButton="0" quotePrefix="0" xfId="0"/>
    <xf applyAlignment="1" borderId="3" fillId="11" fontId="0" numFmtId="0" pivotButton="0" quotePrefix="0" xfId="0">
      <alignment horizontal="center"/>
    </xf>
    <xf applyAlignment="1" borderId="3" fillId="11" fontId="0" numFmtId="2" pivotButton="0" quotePrefix="0" xfId="0">
      <alignment horizontal="center"/>
    </xf>
    <xf applyAlignment="1" borderId="3" fillId="11" fontId="0" numFmtId="166" pivotButton="0" quotePrefix="0" xfId="0">
      <alignment horizontal="center"/>
    </xf>
    <xf applyAlignment="1" borderId="3" fillId="10" fontId="0" numFmtId="9" pivotButton="0" quotePrefix="0" xfId="0">
      <alignment horizontal="center"/>
    </xf>
    <xf applyAlignment="1" borderId="3" fillId="10" fontId="0" numFmtId="164" pivotButton="0" quotePrefix="0" xfId="0">
      <alignment horizontal="center"/>
    </xf>
    <xf applyAlignment="1" borderId="0" fillId="0" fontId="1" numFmtId="0" pivotButton="0" quotePrefix="0" xfId="0">
      <alignment wrapText="1"/>
    </xf>
    <xf applyAlignment="1" borderId="0" fillId="0" fontId="0" numFmtId="2" pivotButton="0" quotePrefix="0" xfId="0">
      <alignment horizontal="center"/>
    </xf>
    <xf applyAlignment="1" borderId="0" fillId="0" fontId="0" numFmtId="166" pivotButton="0" quotePrefix="0" xfId="0">
      <alignment horizontal="center"/>
    </xf>
    <xf applyAlignment="1" borderId="9" fillId="4" fontId="1" numFmtId="0" pivotButton="0" quotePrefix="0" xfId="0">
      <alignment horizontal="center" wrapText="1"/>
    </xf>
    <xf applyAlignment="1" borderId="10" fillId="4" fontId="1" numFmtId="0" pivotButton="0" quotePrefix="0" xfId="0">
      <alignment horizontal="center" wrapText="1"/>
    </xf>
    <xf applyAlignment="1" borderId="11" fillId="5" fontId="1" numFmtId="0" pivotButton="0" quotePrefix="0" xfId="0">
      <alignment horizontal="center" wrapText="1"/>
    </xf>
    <xf applyAlignment="1" borderId="10" fillId="5" fontId="1" numFmtId="0" pivotButton="0" quotePrefix="0" xfId="0">
      <alignment horizontal="center" wrapText="1"/>
    </xf>
    <xf applyAlignment="1" borderId="12" fillId="4" fontId="1" numFmtId="0" pivotButton="0" quotePrefix="0" xfId="0">
      <alignment vertical="center" wrapText="1"/>
    </xf>
    <xf applyAlignment="1" borderId="13" fillId="0" fontId="0" numFmtId="9" pivotButton="0" quotePrefix="0" xfId="0">
      <alignment horizontal="center"/>
    </xf>
    <xf applyAlignment="1" borderId="14" fillId="0" fontId="0" numFmtId="9" pivotButton="0" quotePrefix="0" xfId="0">
      <alignment horizontal="center"/>
    </xf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19" fillId="12" fontId="1" numFmtId="0" pivotButton="0" quotePrefix="0" xfId="0">
      <alignment horizontal="center" wrapText="1"/>
    </xf>
    <xf applyAlignment="1" borderId="0" fillId="12" fontId="1" numFmtId="0" pivotButton="0" quotePrefix="0" xfId="0">
      <alignment horizontal="center" wrapText="1"/>
    </xf>
    <xf applyAlignment="1" borderId="20" fillId="12" fontId="1" numFmtId="0" pivotButton="0" quotePrefix="0" xfId="0">
      <alignment horizontal="center" wrapText="1"/>
    </xf>
    <xf applyAlignment="1" borderId="23" fillId="12" fontId="0" numFmtId="0" pivotButton="0" quotePrefix="0" xfId="0">
      <alignment horizontal="center"/>
    </xf>
    <xf borderId="24" fillId="12" fontId="0" numFmtId="0" pivotButton="0" quotePrefix="0" xfId="0"/>
    <xf borderId="23" fillId="12" fontId="0" numFmtId="0" pivotButton="0" quotePrefix="0" xfId="0"/>
    <xf borderId="15" fillId="8" fontId="0" numFmtId="0" pivotButton="0" quotePrefix="0" xfId="0"/>
    <xf borderId="2" fillId="8" fontId="0" numFmtId="0" pivotButton="0" quotePrefix="0" xfId="0"/>
    <xf applyAlignment="1" borderId="15" fillId="8" fontId="0" numFmtId="164" pivotButton="0" quotePrefix="0" xfId="0">
      <alignment horizontal="center"/>
    </xf>
    <xf applyAlignment="1" borderId="2" fillId="8" fontId="0" numFmtId="164" pivotButton="0" quotePrefix="0" xfId="0">
      <alignment horizontal="center"/>
    </xf>
    <xf applyAlignment="1" borderId="16" fillId="8" fontId="0" numFmtId="164" pivotButton="0" quotePrefix="0" xfId="0">
      <alignment horizontal="center"/>
    </xf>
    <xf borderId="6" fillId="13" fontId="0" numFmtId="0" pivotButton="0" quotePrefix="0" xfId="0"/>
    <xf borderId="6" fillId="0" fontId="0" numFmtId="9" pivotButton="0" quotePrefix="0" xfId="0"/>
    <xf borderId="7" fillId="0" fontId="0" numFmtId="9" pivotButton="0" quotePrefix="0" xfId="0"/>
    <xf borderId="19" fillId="10" fontId="0" numFmtId="0" pivotButton="0" quotePrefix="0" xfId="0"/>
    <xf borderId="0" fillId="10" fontId="0" numFmtId="0" pivotButton="0" quotePrefix="0" xfId="0"/>
    <xf applyAlignment="1" borderId="19" fillId="10" fontId="0" numFmtId="164" pivotButton="0" quotePrefix="0" xfId="0">
      <alignment horizontal="center"/>
    </xf>
    <xf applyAlignment="1" borderId="0" fillId="10" fontId="0" numFmtId="164" pivotButton="0" quotePrefix="0" xfId="0">
      <alignment horizontal="center"/>
    </xf>
    <xf applyAlignment="1" borderId="20" fillId="10" fontId="0" numFmtId="164" pivotButton="0" quotePrefix="0" xfId="0">
      <alignment horizontal="center"/>
    </xf>
    <xf borderId="23" fillId="14" fontId="0" numFmtId="0" pivotButton="0" quotePrefix="0" xfId="0"/>
    <xf borderId="23" fillId="14" fontId="0" numFmtId="9" pivotButton="0" quotePrefix="0" xfId="0"/>
    <xf borderId="24" fillId="14" fontId="0" numFmtId="9" pivotButton="0" quotePrefix="0" xfId="0"/>
    <xf borderId="19" fillId="8" fontId="0" numFmtId="0" pivotButton="0" quotePrefix="0" xfId="0"/>
    <xf borderId="0" fillId="8" fontId="0" numFmtId="0" pivotButton="0" quotePrefix="0" xfId="0"/>
    <xf applyAlignment="1" borderId="19" fillId="8" fontId="0" numFmtId="164" pivotButton="0" quotePrefix="0" xfId="0">
      <alignment horizontal="center"/>
    </xf>
    <xf applyAlignment="1" borderId="0" fillId="8" fontId="0" numFmtId="164" pivotButton="0" quotePrefix="0" xfId="0">
      <alignment horizontal="center"/>
    </xf>
    <xf applyAlignment="1" borderId="20" fillId="8" fontId="0" numFmtId="164" pivotButton="0" quotePrefix="0" xfId="0">
      <alignment horizontal="center"/>
    </xf>
    <xf borderId="23" fillId="13" fontId="0" numFmtId="0" pivotButton="0" quotePrefix="0" xfId="0"/>
    <xf borderId="23" fillId="13" fontId="0" numFmtId="9" pivotButton="0" quotePrefix="0" xfId="0"/>
    <xf borderId="24" fillId="13" fontId="0" numFmtId="9" pivotButton="0" quotePrefix="0" xfId="0"/>
    <xf borderId="21" fillId="10" fontId="0" numFmtId="0" pivotButton="0" quotePrefix="0" xfId="0"/>
    <xf applyAlignment="1" borderId="21" fillId="10" fontId="0" numFmtId="164" pivotButton="0" quotePrefix="0" xfId="0">
      <alignment horizontal="center"/>
    </xf>
    <xf applyAlignment="1" borderId="22" fillId="10" fontId="0" numFmtId="164" pivotButton="0" quotePrefix="0" xfId="0">
      <alignment horizontal="center"/>
    </xf>
    <xf borderId="9" fillId="14" fontId="0" numFmtId="0" pivotButton="0" quotePrefix="0" xfId="0"/>
    <xf borderId="9" fillId="14" fontId="0" numFmtId="9" pivotButton="0" quotePrefix="0" xfId="0"/>
    <xf borderId="10" fillId="14" fontId="0" numFmtId="9" pivotButton="0" quotePrefix="0" xfId="0"/>
    <xf borderId="21" fillId="8" fontId="0" numFmtId="0" pivotButton="0" quotePrefix="0" xfId="0"/>
    <xf applyAlignment="1" borderId="21" fillId="8" fontId="0" numFmtId="164" pivotButton="0" quotePrefix="0" xfId="0">
      <alignment horizontal="center"/>
    </xf>
    <xf applyAlignment="1" borderId="22" fillId="8" fontId="0" numFmtId="164" pivotButton="0" quotePrefix="0" xfId="0">
      <alignment horizontal="center"/>
    </xf>
    <xf borderId="12" fillId="0" fontId="0" numFmtId="0" pivotButton="0" quotePrefix="0" xfId="0"/>
    <xf borderId="12" fillId="0" fontId="0" numFmtId="9" pivotButton="0" quotePrefix="0" xfId="0"/>
    <xf borderId="14" fillId="0" fontId="0" numFmtId="9" pivotButton="0" quotePrefix="0" xfId="0"/>
    <xf borderId="4" fillId="0" fontId="0" numFmtId="9" pivotButton="0" quotePrefix="0" xfId="0"/>
    <xf applyAlignment="1" borderId="19" fillId="0" fontId="0" numFmtId="164" pivotButton="0" quotePrefix="0" xfId="0">
      <alignment horizontal="center"/>
    </xf>
    <xf applyAlignment="1" borderId="0" fillId="0" fontId="0" numFmtId="164" pivotButton="0" quotePrefix="0" xfId="0">
      <alignment horizontal="center"/>
    </xf>
    <xf applyAlignment="1" borderId="20" fillId="0" fontId="0" numFmtId="164" pivotButton="0" quotePrefix="0" xfId="0">
      <alignment horizontal="center"/>
    </xf>
    <xf applyAlignment="1" borderId="21" fillId="0" fontId="0" numFmtId="164" pivotButton="0" quotePrefix="0" xfId="0">
      <alignment horizontal="center"/>
    </xf>
    <xf applyAlignment="1" borderId="3" fillId="0" fontId="0" numFmtId="164" pivotButton="0" quotePrefix="0" xfId="0">
      <alignment horizontal="center"/>
    </xf>
    <xf applyAlignment="1" borderId="22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applyAlignment="1" borderId="3" fillId="0" fontId="0" numFmtId="9" pivotButton="0" quotePrefix="0" xfId="0">
      <alignment horizontal="center"/>
    </xf>
    <xf applyAlignment="1" borderId="1" fillId="4" fontId="1" numFmtId="0" pivotButton="0" quotePrefix="0" xfId="0">
      <alignment horizontal="center" vertical="center" wrapText="1"/>
    </xf>
    <xf applyAlignment="1" borderId="2" fillId="4" fontId="1" numFmtId="0" pivotButton="0" quotePrefix="0" xfId="0">
      <alignment horizontal="center" vertical="center" wrapText="1"/>
    </xf>
    <xf applyAlignment="1" borderId="0" fillId="4" fontId="1" numFmtId="0" pivotButton="0" quotePrefix="0" xfId="0">
      <alignment horizontal="center" vertical="center" wrapText="1"/>
    </xf>
    <xf applyAlignment="1" borderId="0" fillId="5" fontId="1" numFmtId="0" pivotButton="0" quotePrefix="0" xfId="0">
      <alignment horizontal="center" vertical="center" wrapText="1"/>
    </xf>
    <xf applyAlignment="1" borderId="5" fillId="0" fontId="1" numFmtId="0" pivotButton="0" quotePrefix="0" xfId="0">
      <alignment horizontal="center" wrapText="1"/>
    </xf>
    <xf applyAlignment="1" borderId="8" fillId="0" fontId="1" numFmtId="0" pivotButton="0" quotePrefix="0" xfId="0">
      <alignment horizontal="center" wrapText="1"/>
    </xf>
    <xf applyAlignment="1" borderId="6" fillId="4" fontId="1" numFmtId="0" pivotButton="0" quotePrefix="0" xfId="0">
      <alignment horizontal="center" wrapText="1"/>
    </xf>
    <xf applyAlignment="1" borderId="7" fillId="4" fontId="1" numFmtId="0" pivotButton="0" quotePrefix="0" xfId="0">
      <alignment horizontal="center" wrapText="1"/>
    </xf>
    <xf applyAlignment="1" borderId="6" fillId="5" fontId="1" numFmtId="0" pivotButton="0" quotePrefix="0" xfId="0">
      <alignment horizontal="center" wrapText="1"/>
    </xf>
    <xf applyAlignment="1" borderId="7" fillId="5" fontId="1" numFmtId="0" pivotButton="0" quotePrefix="0" xfId="0">
      <alignment horizontal="center" wrapText="1"/>
    </xf>
    <xf applyAlignment="1" borderId="0" fillId="2" fontId="1" numFmtId="0" pivotButton="0" quotePrefix="0" xfId="0">
      <alignment horizontal="center" wrapText="1"/>
    </xf>
    <xf applyAlignment="1" borderId="0" fillId="3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applyAlignment="1" borderId="0" fillId="5" fontId="1" numFmtId="0" pivotButton="0" quotePrefix="0" xfId="0">
      <alignment horizontal="center" wrapText="1"/>
    </xf>
    <xf applyAlignment="1" borderId="0" fillId="7" fontId="1" numFmtId="0" pivotButton="0" quotePrefix="0" xfId="0">
      <alignment horizontal="left" vertical="top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wrapText="1"/>
    </xf>
    <xf applyAlignment="1" borderId="19" fillId="0" fontId="1" numFmtId="0" pivotButton="0" quotePrefix="0" xfId="0">
      <alignment horizontal="left" wrapText="1"/>
    </xf>
    <xf applyAlignment="1" borderId="20" fillId="0" fontId="1" numFmtId="0" pivotButton="0" quotePrefix="0" xfId="0">
      <alignment horizontal="left" wrapText="1"/>
    </xf>
    <xf applyAlignment="1" borderId="21" fillId="0" fontId="1" numFmtId="0" pivotButton="0" quotePrefix="0" xfId="0">
      <alignment horizontal="left" wrapText="1"/>
    </xf>
    <xf applyAlignment="1" borderId="22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wrapText="1"/>
    </xf>
    <xf applyAlignment="1" borderId="2" fillId="12" fontId="1" numFmtId="0" pivotButton="0" quotePrefix="0" xfId="0">
      <alignment horizontal="center" wrapText="1"/>
    </xf>
    <xf applyAlignment="1" borderId="16" fillId="12" fontId="1" numFmtId="0" pivotButton="0" quotePrefix="0" xfId="0">
      <alignment horizontal="center" wrapText="1"/>
    </xf>
    <xf applyAlignment="1" borderId="5" fillId="12" fontId="0" numFmtId="0" pivotButton="0" quotePrefix="0" xfId="0">
      <alignment horizontal="center" vertical="center"/>
    </xf>
    <xf applyAlignment="1" borderId="8" fillId="12" fontId="0" numFmtId="0" pivotButton="0" quotePrefix="0" xfId="0">
      <alignment horizontal="center" vertical="center"/>
    </xf>
    <xf applyAlignment="1" borderId="6" fillId="12" fontId="0" numFmtId="0" pivotButton="0" quotePrefix="0" xfId="0">
      <alignment horizontal="center"/>
    </xf>
    <xf applyAlignment="1" borderId="7" fillId="12" fontId="0" numFmtId="0" pivotButton="0" quotePrefix="0" xfId="0">
      <alignment horizontal="center"/>
    </xf>
    <xf applyAlignment="1" borderId="15" fillId="0" fontId="1" numFmtId="0" pivotButton="0" quotePrefix="0" xfId="0">
      <alignment horizontal="left" wrapText="1"/>
    </xf>
    <xf applyAlignment="1" borderId="16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textRotation="180" vertical="top" wrapText="1"/>
    </xf>
    <xf applyAlignment="1" borderId="19" fillId="12" fontId="1" numFmtId="0" pivotButton="0" quotePrefix="0" xfId="0">
      <alignment horizontal="center" textRotation="180" vertical="top" wrapText="1"/>
    </xf>
    <xf applyAlignment="1" borderId="21" fillId="12" fontId="1" numFmtId="0" pivotButton="0" quotePrefix="0" xfId="0">
      <alignment horizontal="center" textRotation="180" vertical="top" wrapText="1"/>
    </xf>
    <xf applyAlignment="1" borderId="16" fillId="12" fontId="1" numFmtId="0" pivotButton="0" quotePrefix="0" xfId="0">
      <alignment horizontal="center" textRotation="180" vertical="top"/>
    </xf>
    <xf applyAlignment="1" borderId="20" fillId="12" fontId="1" numFmtId="0" pivotButton="0" quotePrefix="0" xfId="0">
      <alignment horizontal="center" textRotation="180" vertical="top"/>
    </xf>
    <xf applyAlignment="1" borderId="22" fillId="12" fontId="1" numFmtId="0" pivotButton="0" quotePrefix="0" xfId="0">
      <alignment horizontal="center" textRotation="180" vertical="top"/>
    </xf>
    <xf applyAlignment="1" borderId="17" fillId="12" fontId="0" numFmtId="0" pivotButton="0" quotePrefix="0" xfId="0">
      <alignment horizontal="center"/>
    </xf>
    <xf applyAlignment="1" borderId="1" fillId="12" fontId="0" numFmtId="0" pivotButton="0" quotePrefix="0" xfId="0">
      <alignment horizontal="center"/>
    </xf>
    <xf applyAlignment="1" borderId="18" fillId="12" fontId="0" numFmtId="0" pivotButton="0" quotePrefix="0" xfId="0">
      <alignment horizontal="center"/>
    </xf>
    <xf applyAlignment="1" borderId="0" fillId="5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borderId="2" fillId="0" fontId="0" numFmtId="0" pivotButton="0" quotePrefix="0" xfId="0"/>
    <xf applyAlignment="1" borderId="13" fillId="0" fontId="1" numFmtId="0" pivotButton="0" quotePrefix="0" xfId="0">
      <alignment horizontal="center" wrapText="1"/>
    </xf>
    <xf applyAlignment="1" borderId="5" fillId="4" fontId="1" numFmtId="0" pivotButton="0" quotePrefix="0" xfId="0">
      <alignment horizontal="center" wrapText="1"/>
    </xf>
    <xf borderId="7" fillId="0" fontId="0" numFmtId="0" pivotButton="0" quotePrefix="0" xfId="0"/>
    <xf applyAlignment="1" borderId="5" fillId="5" fontId="1" numFmtId="0" pivotButton="0" quotePrefix="0" xfId="0">
      <alignment horizontal="center" wrapText="1"/>
    </xf>
    <xf borderId="8" fillId="0" fontId="0" numFmtId="0" pivotButton="0" quotePrefix="0" xfId="0"/>
    <xf applyAlignment="1" borderId="17" fillId="12" fontId="1" numFmtId="0" pivotButton="0" quotePrefix="0" xfId="0">
      <alignment horizontal="center" textRotation="180" vertical="top" wrapText="1"/>
    </xf>
    <xf applyAlignment="1" borderId="18" fillId="12" fontId="1" numFmtId="0" pivotButton="0" quotePrefix="0" xfId="0">
      <alignment horizontal="center" textRotation="180" vertical="top"/>
    </xf>
    <xf applyAlignment="1" borderId="29" fillId="12" fontId="0" numFmtId="0" pivotButton="0" quotePrefix="0" xfId="0">
      <alignment horizontal="center"/>
    </xf>
    <xf borderId="30" fillId="0" fontId="0" numFmtId="0" pivotButton="0" quotePrefix="0" xfId="0"/>
    <xf borderId="18" fillId="0" fontId="0" numFmtId="0" pivotButton="0" quotePrefix="0" xfId="0"/>
    <xf borderId="19" fillId="0" fontId="0" numFmtId="0" pivotButton="0" quotePrefix="0" xfId="0"/>
    <xf borderId="20" fillId="0" fontId="0" numFmtId="0" pivotButton="0" quotePrefix="0" xfId="0"/>
    <xf applyAlignment="1" borderId="27" fillId="12" fontId="1" numFmtId="0" pivotButton="0" quotePrefix="0" xfId="0">
      <alignment horizontal="center" wrapText="1"/>
    </xf>
    <xf borderId="28" fillId="0" fontId="0" numFmtId="0" pivotButton="0" quotePrefix="0" xfId="0"/>
    <xf borderId="16" fillId="0" fontId="0" numFmtId="0" pivotButton="0" quotePrefix="0" xfId="0"/>
    <xf applyAlignment="1" borderId="31" fillId="12" fontId="1" numFmtId="0" pivotButton="0" quotePrefix="0" xfId="0">
      <alignment horizontal="center" wrapText="1"/>
    </xf>
    <xf borderId="31" fillId="0" fontId="0" numFmtId="0" pivotButton="0" quotePrefix="0" xfId="0"/>
    <xf applyAlignment="1" borderId="13" fillId="12" fontId="0" numFmtId="0" pivotButton="0" quotePrefix="0" xfId="0">
      <alignment horizontal="center" vertical="center"/>
    </xf>
    <xf applyAlignment="1" borderId="5" fillId="12" fontId="0" numFmtId="0" pivotButton="0" quotePrefix="0" xfId="0">
      <alignment horizontal="center"/>
    </xf>
    <xf borderId="21" fillId="0" fontId="0" numFmtId="0" pivotButton="0" quotePrefix="0" xfId="0"/>
    <xf borderId="22" fillId="0" fontId="0" numFmtId="0" pivotButton="0" quotePrefix="0" xfId="0"/>
    <xf applyAlignment="1" borderId="27" fillId="0" fontId="1" numFmtId="0" pivotButton="0" quotePrefix="0" xfId="0">
      <alignment horizontal="left" wrapText="1"/>
    </xf>
    <xf applyAlignment="1" borderId="32" fillId="0" fontId="1" numFmtId="0" pivotButton="0" quotePrefix="0" xfId="0">
      <alignment horizontal="left" wrapText="1"/>
    </xf>
    <xf applyAlignment="1" borderId="33" fillId="0" fontId="1" numFmtId="0" pivotButton="0" quotePrefix="0" xfId="0">
      <alignment horizontal="left" wrapText="1"/>
    </xf>
  </cellXfs>
  <cellStyles count="1">
    <cellStyle builtinId="0" name="Normal" xf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styles.xml" Type="http://schemas.openxmlformats.org/officeDocument/2006/relationships/styles" /><Relationship Id="rId10" Target="theme/theme1.xml" Type="http://schemas.openxmlformats.org/officeDocument/2006/relationships/theme" /><Relationship Id="rId11" Target="vbaProject.bin" Type="http://schemas.microsoft.com/office/2006/relationships/vbaProject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strRef>
          <f>Graphs!graph_a_title</f>
          <strCache>
            <ptCount val="1"/>
            <pt idx="0">
              <v>D1 Geometry PSNR (Graph a)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Graphs!graph_a_A_title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Graphs!graph_a_B_title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10001"/>
        <axId val="50010002"/>
      </scatterChart>
      <valAx>
        <axId val="50010001"/>
        <scaling>
          <orientation val="minMax"/>
        </scaling>
        <delete val="0"/>
        <axPos val="b"/>
        <title>
          <tx>
            <strRef>
              <f>Graphs!graph_a_x_title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10002"/>
        <crosses val="autoZero"/>
        <crossBetween val="midCat"/>
      </valAx>
      <valAx>
        <axId val="50010002"/>
        <scaling>
          <orientation val="minMax"/>
        </scaling>
        <delete val="0"/>
        <axPos val="l"/>
        <majorGridlines/>
        <title>
          <tx>
            <strRef>
              <f>Graphs!graph_a_y_title</f>
              <strCache>
                <ptCount val="1"/>
                <pt idx="0">
                  <v>D1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1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strRef>
          <f>Graphs!graph_b_title</f>
          <strCache>
            <ptCount val="1"/>
            <pt idx="0">
              <v>D2 Geometry PSNR (Graph b)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Graphs!graph_b_A_title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Graphs!graph_b_B_title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20001"/>
        <axId val="50020002"/>
      </scatterChart>
      <valAx>
        <axId val="50020001"/>
        <scaling>
          <orientation val="minMax"/>
        </scaling>
        <delete val="0"/>
        <axPos val="b"/>
        <title>
          <tx>
            <strRef>
              <f>Graphs!graph_b_x_title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20002"/>
        <crosses val="autoZero"/>
        <crossBetween val="midCat"/>
      </valAx>
      <valAx>
        <axId val="50020002"/>
        <scaling>
          <orientation val="minMax"/>
        </scaling>
        <delete val="0"/>
        <axPos val="l"/>
        <majorGridlines/>
        <title>
          <tx>
            <strRef>
              <f>Graphs!graph_b_y_title</f>
              <strCache>
                <ptCount val="1"/>
                <pt idx="0">
                  <v>D2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2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strRef>
          <f>Graphs!graph_c_title</f>
          <strCache>
            <ptCount val="1"/>
            <pt idx="0">
              <v>Luma End-to-end PSNR (Graph c)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Graphs!graph_c_A_title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Graphs!graph_c_B_title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30001"/>
        <axId val="50030002"/>
      </scatterChart>
      <valAx>
        <axId val="50030001"/>
        <scaling>
          <orientation val="minMax"/>
        </scaling>
        <delete val="0"/>
        <axPos val="b"/>
        <title>
          <tx>
            <strRef>
              <f>Graphs!graph_c_x_title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30002"/>
        <crosses val="autoZero"/>
        <crossBetween val="midCat"/>
      </valAx>
      <valAx>
        <axId val="50030002"/>
        <scaling>
          <orientation val="minMax"/>
        </scaling>
        <delete val="0"/>
        <axPos val="l"/>
        <majorGridlines/>
        <title>
          <tx>
            <strRef>
              <f>Graphs!graph_c_y_title</f>
              <strCache>
                <ptCount val="1"/>
                <pt idx="0">
                  <v>Luma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3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strRef>
          <f>Graphs!graph_d_title</f>
          <strCache>
            <ptCount val="1"/>
            <pt idx="0">
              <v>Chroma Cb End-to-end PSNR (Graph d)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Graphs!graph_d_A_title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Graphs!graph_d_B_title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40001"/>
        <axId val="50040002"/>
      </scatterChart>
      <valAx>
        <axId val="50040001"/>
        <scaling>
          <orientation val="minMax"/>
        </scaling>
        <delete val="0"/>
        <axPos val="b"/>
        <title>
          <tx>
            <strRef>
              <f>Graphs!graph_d_x_title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40002"/>
        <crosses val="autoZero"/>
        <crossBetween val="midCat"/>
      </valAx>
      <valAx>
        <axId val="50040002"/>
        <scaling>
          <orientation val="minMax"/>
        </scaling>
        <delete val="0"/>
        <axPos val="l"/>
        <majorGridlines/>
        <title>
          <tx>
            <strRef>
              <f>Graphs!graph_d_y_title</f>
              <strCache>
                <ptCount val="1"/>
                <pt idx="0">
                  <v>Chroma Cb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4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strRef>
          <f>Graphs!graph_e_title</f>
          <strCache>
            <ptCount val="1"/>
            <pt idx="0">
              <v>Chroma Cr End-to-end PSNR (Graph e)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Graphs!graph_e_A_title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Graphs!graph_e_B_title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50001"/>
        <axId val="50050002"/>
      </scatterChart>
      <valAx>
        <axId val="50050001"/>
        <scaling>
          <orientation val="minMax"/>
        </scaling>
        <delete val="0"/>
        <axPos val="b"/>
        <title>
          <tx>
            <strRef>
              <f>Graphs!graph_e_x_title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50002"/>
        <crosses val="autoZero"/>
        <crossBetween val="midCat"/>
      </valAx>
      <valAx>
        <axId val="50050002"/>
        <scaling>
          <orientation val="minMax"/>
        </scaling>
        <delete val="0"/>
        <axPos val="l"/>
        <majorGridlines/>
        <title>
          <tx>
            <strRef>
              <f>Graphs!graph_e_y_title</f>
              <strCache>
                <ptCount val="1"/>
                <pt idx="0">
                  <v>Chroma Cr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5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strRef>
          <f>Graphs!graph_f_title</f>
          <strCache>
            <ptCount val="1"/>
            <pt idx="0">
              <v>Reflectance End-to-end PSNR (Graph f)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Graphs!graph_f_A_title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Graphs!graph_f_y_range_A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Graphs!graph_f_B_title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Graphs!graph_f_y_range_B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60001"/>
        <axId val="50060002"/>
      </scatterChart>
      <valAx>
        <axId val="50060001"/>
        <scaling>
          <orientation val="minMax"/>
        </scaling>
        <delete val="0"/>
        <axPos val="b"/>
        <title>
          <tx>
            <strRef>
              <f>Graphs!graph_f_x_title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2"/>
        <crosses val="autoZero"/>
        <crossBetween val="midCat"/>
      </valAx>
      <valAx>
        <axId val="50060002"/>
        <scaling>
          <orientation val="minMax"/>
        </scaling>
        <delete val="0"/>
        <axPos val="l"/>
        <majorGridlines/>
        <title>
          <tx>
            <strRef>
              <f>Graphs!graph_f_y_title</f>
              <strCache>
                <ptCount val="1"/>
                <pt idx="0">
                  <v>Reflectance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 /><Relationship Id="rId2" Target="/xl/charts/chart2.xml" Type="http://schemas.openxmlformats.org/officeDocument/2006/relationships/chart" /><Relationship Id="rId3" Target="/xl/charts/chart3.xml" Type="http://schemas.openxmlformats.org/officeDocument/2006/relationships/chart" /><Relationship Id="rId4" Target="/xl/charts/chart4.xml" Type="http://schemas.openxmlformats.org/officeDocument/2006/relationships/chart" /><Relationship Id="rId5" Target="/xl/charts/chart5.xml" Type="http://schemas.openxmlformats.org/officeDocument/2006/relationships/chart" /><Relationship Id="rId6" Target="/xl/charts/chart6.xml" Type="http://schemas.openxmlformats.org/officeDocument/2006/relationships/chart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9</row>
      <rowOff>0</rowOff>
    </from>
    <to>
      <col>7</col>
      <colOff>276225</colOff>
      <row>30</row>
      <rowOff>114300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8</col>
      <colOff>0</colOff>
      <row>9</row>
      <rowOff>0</rowOff>
    </from>
    <to>
      <col>18</col>
      <colOff>257175</colOff>
      <row>30</row>
      <rowOff>114300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0</colOff>
      <row>31</row>
      <rowOff>0</rowOff>
    </from>
    <to>
      <col>7</col>
      <colOff>276225</colOff>
      <row>52</row>
      <rowOff>114300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8</col>
      <colOff>0</colOff>
      <row>31</row>
      <rowOff>0</rowOff>
    </from>
    <to>
      <col>18</col>
      <colOff>257175</colOff>
      <row>52</row>
      <rowOff>114300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19</col>
      <colOff>0</colOff>
      <row>31</row>
      <rowOff>0</rowOff>
    </from>
    <to>
      <col>30</col>
      <colOff>152400</colOff>
      <row>52</row>
      <rowOff>114300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19</col>
      <colOff>0</colOff>
      <row>9</row>
      <rowOff>0</rowOff>
    </from>
    <to>
      <col>30</col>
      <colOff>152400</colOff>
      <row>30</row>
      <rowOff>114300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Id="rId1" Target="/xl/drawings/drawing1.xml" Type="http://schemas.openxmlformats.org/officeDocument/2006/relationships/drawing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L55"/>
  <sheetViews>
    <sheetView workbookViewId="0">
      <selection activeCell="C2" sqref="C2:E2"/>
    </sheetView>
  </sheetViews>
  <sheetFormatPr baseColWidth="8" defaultRowHeight="14.4"/>
  <cols>
    <col customWidth="1" max="2" min="2" style="4" width="16.6640625"/>
    <col customWidth="1" max="12" min="3" style="4" width="24.6640625"/>
  </cols>
  <sheetData>
    <row r="1">
      <c r="B1" t="inlineStr">
        <is>
          <t>Reference:</t>
        </is>
      </c>
      <c r="C1" s="128" t="inlineStr">
        <is>
          <t>master+r5.0</t>
        </is>
      </c>
    </row>
    <row r="2">
      <c r="B2" t="inlineStr">
        <is>
          <t>Tested:</t>
        </is>
      </c>
      <c r="C2" s="129" t="inlineStr">
        <is>
          <t>master+r5.1</t>
        </is>
      </c>
    </row>
    <row customFormat="1" r="4" s="1">
      <c r="B4" s="1" t="inlineStr">
        <is>
          <t>All Intra</t>
        </is>
      </c>
    </row>
    <row r="6">
      <c r="B6" s="118" t="inlineStr">
        <is>
          <t>C2_ai</t>
        </is>
      </c>
      <c r="C6" s="119" t="inlineStr">
        <is>
          <t>lossy geometry, lossy attributes [all intra]</t>
        </is>
      </c>
      <c r="D6" s="159" t="n"/>
      <c r="E6" s="159" t="n"/>
      <c r="F6" s="159" t="n"/>
      <c r="G6" s="159" t="n"/>
      <c r="H6" s="159" t="n"/>
      <c r="I6" s="159" t="n"/>
      <c r="J6" s="159" t="n"/>
      <c r="K6" s="159" t="n"/>
      <c r="L6" s="159" t="n"/>
    </row>
    <row r="7">
      <c r="C7" s="120" t="inlineStr">
        <is>
          <t>Geom. BD‑TotGeomRate [%]</t>
        </is>
      </c>
      <c r="E7" s="121" t="inlineStr">
        <is>
          <t>End-to-End BD‑AttrRate [%]</t>
        </is>
      </c>
      <c r="H7" s="120" t="inlineStr">
        <is>
          <t>Geom. BD‑TotalRate [%]</t>
        </is>
      </c>
      <c r="J7" s="121" t="inlineStr">
        <is>
          <t>End-to-End BD‑TotalRate [%]</t>
        </is>
      </c>
    </row>
    <row r="8">
      <c r="B8" s="9" t="n"/>
      <c r="C8" s="2" t="inlineStr">
        <is>
          <t>D1</t>
        </is>
      </c>
      <c r="D8" s="2" t="inlineStr">
        <is>
          <t>D2</t>
        </is>
      </c>
      <c r="E8" s="3" t="inlineStr">
        <is>
          <t>Luma</t>
        </is>
      </c>
      <c r="F8" s="3" t="inlineStr">
        <is>
          <t>Chroma Cb</t>
        </is>
      </c>
      <c r="G8" s="3" t="inlineStr">
        <is>
          <t>Chroma Cr</t>
        </is>
      </c>
      <c r="H8" s="2" t="inlineStr">
        <is>
          <t>D1</t>
        </is>
      </c>
      <c r="I8" s="2" t="inlineStr">
        <is>
          <t>D2</t>
        </is>
      </c>
      <c r="J8" s="3" t="inlineStr">
        <is>
          <t>Luma</t>
        </is>
      </c>
      <c r="K8" s="3" t="inlineStr">
        <is>
          <t>Chroma Cb</t>
        </is>
      </c>
      <c r="L8" s="3" t="inlineStr">
        <is>
          <t>Chroma Cr</t>
        </is>
      </c>
    </row>
    <row r="9">
      <c r="B9" t="inlineStr">
        <is>
          <t>Cat2-A average</t>
        </is>
      </c>
      <c r="C9" s="111">
        <f>'C2 lossyG,lossyA,intra'!$BI$30:$BI$30</f>
        <v/>
      </c>
      <c r="D9" s="111">
        <f>'C2 lossyG,lossyA,intra'!$BJ$30:$BJ$30</f>
        <v/>
      </c>
      <c r="E9" s="111">
        <f>'C2 lossyG,lossyA,intra'!$BK$30:$BK$30</f>
        <v/>
      </c>
      <c r="F9" s="111">
        <f>'C2 lossyG,lossyA,intra'!$BL$30:$BL$30</f>
        <v/>
      </c>
      <c r="G9" s="111">
        <f>'C2 lossyG,lossyA,intra'!$BM$30:$BM$30</f>
        <v/>
      </c>
      <c r="H9" s="111">
        <f>'C2 lossyG,lossyA,intra'!$BO$30:$BO$30</f>
        <v/>
      </c>
      <c r="I9" s="111">
        <f>'C2 lossyG,lossyA,intra'!$BP$30:$BP$30</f>
        <v/>
      </c>
      <c r="J9" s="111">
        <f>'C2 lossyG,lossyA,intra'!$BQ$30:$BQ$30</f>
        <v/>
      </c>
      <c r="K9" s="111">
        <f>'C2 lossyG,lossyA,intra'!$BR$30:$BR$30</f>
        <v/>
      </c>
      <c r="L9" s="111">
        <f>'C2 lossyG,lossyA,intra'!$BS$30:$BS$30</f>
        <v/>
      </c>
    </row>
    <row r="10">
      <c r="B10" t="inlineStr">
        <is>
          <t>Cat2-B average</t>
        </is>
      </c>
      <c r="C10" s="111">
        <f>'C2 lossyG,lossyA,intra'!$BI$31:$BI$31</f>
        <v/>
      </c>
      <c r="D10" s="111">
        <f>'C2 lossyG,lossyA,intra'!$BJ$31:$BJ$31</f>
        <v/>
      </c>
      <c r="E10" s="111">
        <f>'C2 lossyG,lossyA,intra'!$BK$31:$BK$31</f>
        <v/>
      </c>
      <c r="F10" s="111">
        <f>'C2 lossyG,lossyA,intra'!$BL$31:$BL$31</f>
        <v/>
      </c>
      <c r="G10" s="111">
        <f>'C2 lossyG,lossyA,intra'!$BM$31:$BM$31</f>
        <v/>
      </c>
      <c r="H10" s="111">
        <f>'C2 lossyG,lossyA,intra'!$BO$31:$BO$31</f>
        <v/>
      </c>
      <c r="I10" s="111">
        <f>'C2 lossyG,lossyA,intra'!$BP$31:$BP$31</f>
        <v/>
      </c>
      <c r="J10" s="111">
        <f>'C2 lossyG,lossyA,intra'!$BQ$31:$BQ$31</f>
        <v/>
      </c>
      <c r="K10" s="111">
        <f>'C2 lossyG,lossyA,intra'!$BR$31:$BR$31</f>
        <v/>
      </c>
      <c r="L10" s="111">
        <f>'C2 lossyG,lossyA,intra'!$BS$31:$BS$31</f>
        <v/>
      </c>
    </row>
    <row r="11">
      <c r="B11" s="6" t="inlineStr">
        <is>
          <t>Overall average</t>
        </is>
      </c>
      <c r="C11" s="7">
        <f>'C2 lossyG,lossyA,intra'!$BI$32:$BI$32</f>
        <v/>
      </c>
      <c r="D11" s="7">
        <f>'C2 lossyG,lossyA,intra'!$BJ$32:$BJ$32</f>
        <v/>
      </c>
      <c r="E11" s="7">
        <f>'C2 lossyG,lossyA,intra'!$BK$32:$BK$32</f>
        <v/>
      </c>
      <c r="F11" s="7">
        <f>'C2 lossyG,lossyA,intra'!$BL$32:$BL$32</f>
        <v/>
      </c>
      <c r="G11" s="7">
        <f>'C2 lossyG,lossyA,intra'!$BM$32:$BM$32</f>
        <v/>
      </c>
      <c r="H11" s="7">
        <f>'C2 lossyG,lossyA,intra'!$BO$32:$BO$32</f>
        <v/>
      </c>
      <c r="I11" s="7">
        <f>'C2 lossyG,lossyA,intra'!$BP$32:$BP$32</f>
        <v/>
      </c>
      <c r="J11" s="7">
        <f>'C2 lossyG,lossyA,intra'!$BQ$32:$BQ$32</f>
        <v/>
      </c>
      <c r="K11" s="7">
        <f>'C2 lossyG,lossyA,intra'!$BR$32:$BR$32</f>
        <v/>
      </c>
      <c r="L11" s="7">
        <f>'C2 lossyG,lossyA,intra'!$BS$32:$BS$32</f>
        <v/>
      </c>
    </row>
    <row r="12">
      <c r="B12" t="inlineStr">
        <is>
          <t>Avg. Enc Time [%]</t>
        </is>
      </c>
      <c r="C12" s="116">
        <f>'C2 lossyG,lossyA,intra'!AZ36</f>
        <v/>
      </c>
    </row>
    <row r="13">
      <c r="B13" s="9" t="inlineStr">
        <is>
          <t>Avg. Dec Time [%]</t>
        </is>
      </c>
      <c r="C13" s="117">
        <f>'C2 lossyG,lossyA,intra'!BB36</f>
        <v/>
      </c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</row>
    <row r="15">
      <c r="B15" s="118" t="inlineStr">
        <is>
          <t>CW_ai</t>
        </is>
      </c>
      <c r="C15" s="119" t="inlineStr">
        <is>
          <t>lossless geometry, lossless attributes [all intra]</t>
        </is>
      </c>
      <c r="D15" s="159" t="n"/>
      <c r="E15" s="159" t="n"/>
    </row>
    <row r="16">
      <c r="C16" s="120" t="inlineStr">
        <is>
          <t>bpip ratio [%]</t>
        </is>
      </c>
    </row>
    <row r="17">
      <c r="B17" s="9" t="n"/>
      <c r="C17" s="2" t="inlineStr">
        <is>
          <t>Geometry</t>
        </is>
      </c>
      <c r="D17" s="2" t="inlineStr">
        <is>
          <t>Total</t>
        </is>
      </c>
      <c r="E17" s="2" t="inlineStr">
        <is>
          <t>Colour</t>
        </is>
      </c>
    </row>
    <row r="18">
      <c r="B18" t="inlineStr">
        <is>
          <t>Cat2-A average</t>
        </is>
      </c>
      <c r="C18" s="111">
        <f>'CW losslG,losslA,intra'!BC10</f>
        <v/>
      </c>
      <c r="D18" s="111">
        <f>'CW losslG,losslA,intra'!BB10</f>
        <v/>
      </c>
      <c r="E18" s="111">
        <f>'CW losslG,losslA,intra'!BD10</f>
        <v/>
      </c>
    </row>
    <row r="19">
      <c r="B19" t="inlineStr">
        <is>
          <t>Cat2-B average</t>
        </is>
      </c>
      <c r="C19" s="111">
        <f>'CW losslG,losslA,intra'!BC11</f>
        <v/>
      </c>
      <c r="D19" s="111">
        <f>'CW losslG,losslA,intra'!BB11</f>
        <v/>
      </c>
      <c r="E19" s="111">
        <f>'CW losslG,losslA,intra'!BD11</f>
        <v/>
      </c>
    </row>
    <row r="20">
      <c r="B20" s="6" t="inlineStr">
        <is>
          <t>Overall average</t>
        </is>
      </c>
      <c r="C20" s="7">
        <f>'CW losslG,losslA,intra'!BC12</f>
        <v/>
      </c>
      <c r="D20" s="7">
        <f>'CW losslG,losslA,intra'!BB12</f>
        <v/>
      </c>
      <c r="E20" s="7">
        <f>'CW losslG,losslA,intra'!BD12</f>
        <v/>
      </c>
    </row>
    <row r="21">
      <c r="B21" t="inlineStr">
        <is>
          <t>Avg. Enc Time [%]</t>
        </is>
      </c>
      <c r="C21" s="116">
        <f>'CW losslG,losslA,intra'!AW16</f>
        <v/>
      </c>
    </row>
    <row r="22">
      <c r="B22" s="9" t="inlineStr">
        <is>
          <t>Avg. Dec Time [%]</t>
        </is>
      </c>
      <c r="C22" s="117">
        <f>'CW losslG,losslA,intra'!AY16</f>
        <v/>
      </c>
      <c r="D22" s="9" t="n"/>
      <c r="E22" s="9" t="n"/>
    </row>
    <row customFormat="1" r="24" s="1">
      <c r="B24" s="1" t="inlineStr">
        <is>
          <t>Inter, Low Delay</t>
        </is>
      </c>
    </row>
    <row r="26">
      <c r="B26" s="118" t="inlineStr">
        <is>
          <t>CW_ld</t>
        </is>
      </c>
      <c r="C26" s="119" t="inlineStr">
        <is>
          <t>lossless geometry, lossless attributes [inter, low delay]</t>
        </is>
      </c>
      <c r="D26" s="159" t="n"/>
      <c r="E26" s="159" t="n"/>
    </row>
    <row r="27">
      <c r="C27" s="120" t="inlineStr">
        <is>
          <t>bpip ratio [%]</t>
        </is>
      </c>
    </row>
    <row r="28">
      <c r="B28" s="9" t="n"/>
      <c r="C28" s="2" t="inlineStr">
        <is>
          <t>Total</t>
        </is>
      </c>
      <c r="D28" s="2" t="inlineStr">
        <is>
          <t>Geometry</t>
        </is>
      </c>
      <c r="E28" s="2" t="inlineStr">
        <is>
          <t>Colour</t>
        </is>
      </c>
    </row>
    <row r="29">
      <c r="B29" t="inlineStr">
        <is>
          <t>Cat2-A average</t>
        </is>
      </c>
      <c r="C29" s="111">
        <f>'CW losslG,losslA,interLD'!BB10</f>
        <v/>
      </c>
      <c r="D29" s="111">
        <f>'CW losslG,losslA,interLD'!BC10</f>
        <v/>
      </c>
      <c r="E29" s="111">
        <f>'CW losslG,losslA,interLD'!BD10</f>
        <v/>
      </c>
    </row>
    <row r="30">
      <c r="B30" t="inlineStr">
        <is>
          <t>Cat2-B average</t>
        </is>
      </c>
      <c r="C30" s="111">
        <f>'CW losslG,losslA,interLD'!BB11</f>
        <v/>
      </c>
      <c r="D30" s="111">
        <f>'CW losslG,losslA,interLD'!BC11</f>
        <v/>
      </c>
      <c r="E30" s="111">
        <f>'CW losslG,losslA,interLD'!BD11</f>
        <v/>
      </c>
    </row>
    <row r="31">
      <c r="B31" s="6" t="inlineStr">
        <is>
          <t>Overall average</t>
        </is>
      </c>
      <c r="C31" s="7">
        <f>'CW losslG,losslA,interLD'!BB12</f>
        <v/>
      </c>
      <c r="D31" s="7">
        <f>'CW losslG,losslA,interLD'!BC12</f>
        <v/>
      </c>
      <c r="E31" s="7">
        <f>'CW losslG,losslA,interLD'!BD12</f>
        <v/>
      </c>
    </row>
    <row r="32">
      <c r="B32" t="inlineStr">
        <is>
          <t>Avg. Enc Time [%]</t>
        </is>
      </c>
      <c r="C32" s="116">
        <f>'CW losslG,losslA,interLD'!AW16</f>
        <v/>
      </c>
    </row>
    <row r="33">
      <c r="B33" s="9" t="inlineStr">
        <is>
          <t>Avg. Dec Time [%]</t>
        </is>
      </c>
      <c r="C33" s="117">
        <f>'CW losslG,losslA,interLD'!AY16</f>
        <v/>
      </c>
      <c r="D33" s="9" t="n"/>
      <c r="E33" s="9" t="n"/>
    </row>
    <row customFormat="1" r="35" s="1">
      <c r="B35" s="1" t="inlineStr">
        <is>
          <t>Inter, Random Access</t>
        </is>
      </c>
    </row>
    <row r="37">
      <c r="B37" s="118" t="inlineStr">
        <is>
          <t>C2_ra</t>
        </is>
      </c>
      <c r="C37" s="119" t="inlineStr">
        <is>
          <t>lossy geometry, lossy attributes [inter, random access]</t>
        </is>
      </c>
      <c r="D37" s="159" t="n"/>
      <c r="E37" s="159" t="n"/>
      <c r="F37" s="159" t="n"/>
      <c r="G37" s="159" t="n"/>
      <c r="H37" s="159" t="n"/>
      <c r="I37" s="159" t="n"/>
      <c r="J37" s="159" t="n"/>
      <c r="K37" s="159" t="n"/>
      <c r="L37" s="159" t="n"/>
    </row>
    <row r="38">
      <c r="C38" s="120" t="inlineStr">
        <is>
          <t>Geom. BD‑TotGeomRate [%]</t>
        </is>
      </c>
      <c r="E38" s="121" t="inlineStr">
        <is>
          <t>End-to-End BD‑AttrRate [%]</t>
        </is>
      </c>
      <c r="H38" s="120" t="inlineStr">
        <is>
          <t>Geom. BD‑TotalRate [%]</t>
        </is>
      </c>
      <c r="J38" s="121" t="inlineStr">
        <is>
          <t>End-to-End BD‑TotalRate [%]</t>
        </is>
      </c>
    </row>
    <row r="39">
      <c r="B39" s="9" t="n"/>
      <c r="C39" s="2" t="inlineStr">
        <is>
          <t>D1</t>
        </is>
      </c>
      <c r="D39" s="2" t="inlineStr">
        <is>
          <t>D2</t>
        </is>
      </c>
      <c r="E39" s="3" t="inlineStr">
        <is>
          <t>Luma</t>
        </is>
      </c>
      <c r="F39" s="3" t="inlineStr">
        <is>
          <t>Chroma Cb</t>
        </is>
      </c>
      <c r="G39" s="3" t="inlineStr">
        <is>
          <t>Chroma Cr</t>
        </is>
      </c>
      <c r="H39" s="2" t="inlineStr">
        <is>
          <t>D1</t>
        </is>
      </c>
      <c r="I39" s="2" t="inlineStr">
        <is>
          <t>D2</t>
        </is>
      </c>
      <c r="J39" s="3" t="inlineStr">
        <is>
          <t>Luma</t>
        </is>
      </c>
      <c r="K39" s="3" t="inlineStr">
        <is>
          <t>Chroma Cb</t>
        </is>
      </c>
      <c r="L39" s="3" t="inlineStr">
        <is>
          <t>Chroma Cr</t>
        </is>
      </c>
    </row>
    <row r="40">
      <c r="B40" t="inlineStr">
        <is>
          <t>Cat2-A average</t>
        </is>
      </c>
      <c r="C40" s="111">
        <f>'C2 lossyG,lossyA,interRA'!$BI$30:$BI$30</f>
        <v/>
      </c>
      <c r="D40" s="111">
        <f>'C2 lossyG,lossyA,interRA'!$BJ$30:$BJ$30</f>
        <v/>
      </c>
      <c r="E40" s="111">
        <f>'C2 lossyG,lossyA,interRA'!$BK$30:$BK$30</f>
        <v/>
      </c>
      <c r="F40" s="111">
        <f>'C2 lossyG,lossyA,interRA'!$BL$30:$BL$30</f>
        <v/>
      </c>
      <c r="G40" s="111">
        <f>'C2 lossyG,lossyA,interRA'!$BM$30:$BM$30</f>
        <v/>
      </c>
      <c r="H40" s="111">
        <f>'C2 lossyG,lossyA,interRA'!$BO$30:$BO$30</f>
        <v/>
      </c>
      <c r="I40" s="111">
        <f>'C2 lossyG,lossyA,interRA'!$BP$30:$BP$30</f>
        <v/>
      </c>
      <c r="J40" s="111">
        <f>'C2 lossyG,lossyA,interRA'!$BQ$30:$BQ$30</f>
        <v/>
      </c>
      <c r="K40" s="111">
        <f>'C2 lossyG,lossyA,interRA'!$BR$30:$BR$30</f>
        <v/>
      </c>
      <c r="L40" s="111">
        <f>'C2 lossyG,lossyA,interRA'!$BS$30:$BS$30</f>
        <v/>
      </c>
    </row>
    <row r="41">
      <c r="B41" t="inlineStr">
        <is>
          <t>Cat2-B average</t>
        </is>
      </c>
      <c r="C41" s="111">
        <f>'C2 lossyG,lossyA,interRA'!$BI$31:$BI$31</f>
        <v/>
      </c>
      <c r="D41" s="111">
        <f>'C2 lossyG,lossyA,interRA'!$BJ$31:$BJ$31</f>
        <v/>
      </c>
      <c r="E41" s="111">
        <f>'C2 lossyG,lossyA,interRA'!$BK$31:$BK$31</f>
        <v/>
      </c>
      <c r="F41" s="111">
        <f>'C2 lossyG,lossyA,interRA'!$BL$31:$BL$31</f>
        <v/>
      </c>
      <c r="G41" s="111">
        <f>'C2 lossyG,lossyA,interRA'!$BM$31:$BM$31</f>
        <v/>
      </c>
      <c r="H41" s="111">
        <f>'C2 lossyG,lossyA,interRA'!$BO$31:$BO$31</f>
        <v/>
      </c>
      <c r="I41" s="111">
        <f>'C2 lossyG,lossyA,interRA'!$BP$31:$BP$31</f>
        <v/>
      </c>
      <c r="J41" s="111">
        <f>'C2 lossyG,lossyA,interRA'!$BQ$31:$BQ$31</f>
        <v/>
      </c>
      <c r="K41" s="111">
        <f>'C2 lossyG,lossyA,interRA'!$BR$31:$BR$31</f>
        <v/>
      </c>
      <c r="L41" s="111">
        <f>'C2 lossyG,lossyA,interRA'!$BS$31:$BS$31</f>
        <v/>
      </c>
    </row>
    <row r="42">
      <c r="B42" s="6" t="inlineStr">
        <is>
          <t>Overall average</t>
        </is>
      </c>
      <c r="C42" s="7">
        <f>'C2 lossyG,lossyA,interRA'!$BI$32:$BI$32</f>
        <v/>
      </c>
      <c r="D42" s="7">
        <f>'C2 lossyG,lossyA,interRA'!$BJ$32:$BJ$32</f>
        <v/>
      </c>
      <c r="E42" s="7">
        <f>'C2 lossyG,lossyA,interRA'!$BK$32:$BK$32</f>
        <v/>
      </c>
      <c r="F42" s="7">
        <f>'C2 lossyG,lossyA,interRA'!$BL$32:$BL$32</f>
        <v/>
      </c>
      <c r="G42" s="7">
        <f>'C2 lossyG,lossyA,interRA'!$BM$32:$BM$32</f>
        <v/>
      </c>
      <c r="H42" s="7">
        <f>'C2 lossyG,lossyA,interRA'!$BO$32:$BO$32</f>
        <v/>
      </c>
      <c r="I42" s="7">
        <f>'C2 lossyG,lossyA,interRA'!$BP$32:$BP$32</f>
        <v/>
      </c>
      <c r="J42" s="7">
        <f>'C2 lossyG,lossyA,interRA'!$BQ$32:$BQ$32</f>
        <v/>
      </c>
      <c r="K42" s="7">
        <f>'C2 lossyG,lossyA,interRA'!$BR$32:$BR$32</f>
        <v/>
      </c>
      <c r="L42" s="7">
        <f>'C2 lossyG,lossyA,interRA'!$BS$32:$BS$32</f>
        <v/>
      </c>
    </row>
    <row r="43">
      <c r="B43" t="inlineStr">
        <is>
          <t>Avg. Enc Time [%]</t>
        </is>
      </c>
      <c r="C43" s="116">
        <f>'C2 lossyG,lossyA,interRA'!AZ36</f>
        <v/>
      </c>
    </row>
    <row r="44">
      <c r="B44" s="9" t="inlineStr">
        <is>
          <t>Avg. Dec Time [%]</t>
        </is>
      </c>
      <c r="C44" s="117">
        <f>'C2 lossyG,lossyA,interRA'!BB36</f>
        <v/>
      </c>
      <c r="D44" s="9" t="n"/>
      <c r="E44" s="9" t="n"/>
      <c r="F44" s="9" t="n"/>
      <c r="G44" s="9" t="n"/>
      <c r="H44" s="9" t="n"/>
      <c r="I44" s="9" t="n"/>
      <c r="J44" s="9" t="n"/>
      <c r="K44" s="9" t="n"/>
      <c r="L44" s="9" t="n"/>
    </row>
    <row r="50">
      <c r="B50" s="160" t="n"/>
      <c r="C50" s="161" t="inlineStr">
        <is>
          <t>Encoder runtime [%]</t>
        </is>
      </c>
      <c r="D50" s="162" t="n"/>
      <c r="E50" s="163" t="inlineStr">
        <is>
          <t>Decoder runtime [%]</t>
        </is>
      </c>
      <c r="F50" s="162" t="n"/>
    </row>
    <row r="51">
      <c r="B51" s="164" t="n"/>
      <c r="C51" s="58" t="inlineStr">
        <is>
          <t>Self</t>
        </is>
      </c>
      <c r="D51" s="59" t="inlineStr">
        <is>
          <t>Child</t>
        </is>
      </c>
      <c r="E51" s="60" t="inlineStr">
        <is>
          <t>Self</t>
        </is>
      </c>
      <c r="F51" s="61" t="inlineStr">
        <is>
          <t>Child</t>
        </is>
      </c>
    </row>
    <row r="52">
      <c r="B52" s="62" t="inlineStr">
        <is>
          <t>CW_ai</t>
        </is>
      </c>
      <c r="C52" s="63">
        <f>'CW losslG,losslA,intra'!AW16</f>
        <v/>
      </c>
      <c r="D52" s="63">
        <f>'CW losslG,losslA,intra'!AX16</f>
        <v/>
      </c>
      <c r="E52" s="64">
        <f>'CW losslG,losslA,intra'!AY16</f>
        <v/>
      </c>
      <c r="F52" s="63">
        <f>'CW losslG,losslA,intra'!AZ16</f>
        <v/>
      </c>
    </row>
    <row r="53">
      <c r="B53" s="62" t="inlineStr">
        <is>
          <t>CW_ld</t>
        </is>
      </c>
      <c r="C53" s="63">
        <f>'CW losslG,losslA,interLD'!AW16</f>
        <v/>
      </c>
      <c r="D53" s="63">
        <f>'CW losslG,losslA,interLD'!AX16</f>
        <v/>
      </c>
      <c r="E53" s="64">
        <f>'CW losslG,losslA,interLD'!AY16</f>
        <v/>
      </c>
      <c r="F53" s="63">
        <f>'CW losslG,losslA,interLD'!AZ16</f>
        <v/>
      </c>
    </row>
    <row r="54">
      <c r="B54" s="62" t="inlineStr">
        <is>
          <t>C2_ai</t>
        </is>
      </c>
      <c r="C54" s="63">
        <f>'C2 lossyG,lossyA,intra'!AZ36</f>
        <v/>
      </c>
      <c r="D54" s="63">
        <f>'C2 lossyG,lossyA,intra'!BA36</f>
        <v/>
      </c>
      <c r="E54" s="64">
        <f>'C2 lossyG,lossyA,intra'!BB36</f>
        <v/>
      </c>
      <c r="F54" s="63">
        <f>'C2 lossyG,lossyA,intra'!BC36</f>
        <v/>
      </c>
    </row>
    <row r="55">
      <c r="B55" s="62" t="inlineStr">
        <is>
          <t>C2_ra</t>
        </is>
      </c>
      <c r="C55" s="63">
        <f>'C2 lossyG,lossyA,interRA'!AZ36</f>
        <v/>
      </c>
      <c r="D55" s="63">
        <f>'C2 lossyG,lossyA,interRA'!BA36</f>
        <v/>
      </c>
      <c r="E55" s="64">
        <f>'C2 lossyG,lossyA,interRA'!BB36</f>
        <v/>
      </c>
      <c r="F55" s="63">
        <f>'C2 lossyG,lossyA,interRA'!BC36</f>
        <v/>
      </c>
    </row>
  </sheetData>
  <mergeCells count="31"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dxfId="1" operator="greaterThanOrEqual" priority="23" type="cellIs">
      <formula>1.03</formula>
    </cfRule>
    <cfRule dxfId="0" operator="lessThanOrEqual" priority="24" type="cellIs">
      <formula>0.97</formula>
    </cfRule>
  </conditionalFormatting>
  <conditionalFormatting sqref="C29 C30 C31">
    <cfRule dxfId="1" operator="greaterThanOrEqual" priority="29" type="cellIs">
      <formula>1.03</formula>
    </cfRule>
    <cfRule dxfId="0" operator="lessThanOrEqual" priority="30" type="cellIs">
      <formula>0.97</formula>
    </cfRule>
  </conditionalFormatting>
  <conditionalFormatting sqref="C40 C41 C42">
    <cfRule dxfId="1" operator="greaterThanOrEqual" priority="35" type="cellIs">
      <formula>0.03</formula>
    </cfRule>
    <cfRule dxfId="0" operator="lessThanOrEqual" priority="36" type="cellIs">
      <formula>-0.03</formula>
    </cfRule>
  </conditionalFormatting>
  <conditionalFormatting sqref="C9 C10 C11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D18 D19 D20">
    <cfRule dxfId="1" operator="greaterThanOrEqual" priority="25" type="cellIs">
      <formula>1.03</formula>
    </cfRule>
    <cfRule dxfId="0" operator="lessThanOrEqual" priority="26" type="cellIs">
      <formula>0.97</formula>
    </cfRule>
  </conditionalFormatting>
  <conditionalFormatting sqref="D29 D30 D31">
    <cfRule dxfId="1" operator="greaterThanOrEqual" priority="31" type="cellIs">
      <formula>1.03</formula>
    </cfRule>
    <cfRule dxfId="0" operator="lessThanOrEqual" priority="32" type="cellIs">
      <formula>0.97</formula>
    </cfRule>
  </conditionalFormatting>
  <conditionalFormatting sqref="D40 D41 D42">
    <cfRule dxfId="1" operator="greaterThanOrEqual" priority="33" type="cellIs">
      <formula>0.03</formula>
    </cfRule>
    <cfRule dxfId="0" operator="lessThanOrEqual" priority="34" type="cellIs">
      <formula>-0.03</formula>
    </cfRule>
  </conditionalFormatting>
  <conditionalFormatting sqref="D9 D10 D11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E18 E19 E20">
    <cfRule dxfId="1" operator="greaterThanOrEqual" priority="21" type="cellIs">
      <formula>1.03</formula>
    </cfRule>
    <cfRule dxfId="0" operator="lessThanOrEqual" priority="22" type="cellIs">
      <formula>0.97</formula>
    </cfRule>
  </conditionalFormatting>
  <conditionalFormatting sqref="E29 E30 E31">
    <cfRule dxfId="1" operator="greaterThanOrEqual" priority="27" type="cellIs">
      <formula>1.03</formula>
    </cfRule>
    <cfRule dxfId="0" operator="lessThanOrEqual" priority="28" type="cellIs">
      <formula>0.97</formula>
    </cfRule>
  </conditionalFormatting>
  <conditionalFormatting sqref="E40 E41 E42">
    <cfRule dxfId="1" operator="greaterThanOrEqual" priority="43" type="cellIs">
      <formula>0.03</formula>
    </cfRule>
    <cfRule dxfId="0" operator="lessThanOrEqual" priority="44" type="cellIs">
      <formula>-0.03</formula>
    </cfRule>
  </conditionalFormatting>
  <conditionalFormatting sqref="E9 E10 E11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F40 F41 F42">
    <cfRule dxfId="1" operator="greaterThanOrEqual" priority="47" type="cellIs">
      <formula>0.03</formula>
    </cfRule>
    <cfRule dxfId="0" operator="lessThanOrEqual" priority="48" type="cellIs">
      <formula>-0.03</formula>
    </cfRule>
  </conditionalFormatting>
  <conditionalFormatting sqref="F9 F10 F11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G40 G41 G42">
    <cfRule dxfId="1" operator="greaterThanOrEqual" priority="49" type="cellIs">
      <formula>0.03</formula>
    </cfRule>
    <cfRule dxfId="0" operator="lessThanOrEqual" priority="50" type="cellIs">
      <formula>-0.03</formula>
    </cfRule>
  </conditionalFormatting>
  <conditionalFormatting sqref="G9 G10 G11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H40 H41 H42">
    <cfRule dxfId="1" operator="greaterThanOrEqual" priority="41" type="cellIs">
      <formula>0.03</formula>
    </cfRule>
    <cfRule dxfId="0" operator="lessThanOrEqual" priority="42" type="cellIs">
      <formula>-0.03</formula>
    </cfRule>
  </conditionalFormatting>
  <conditionalFormatting sqref="H9 H10 H11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I40 I41 I42">
    <cfRule dxfId="1" operator="greaterThanOrEqual" priority="51" type="cellIs">
      <formula>0.03</formula>
    </cfRule>
    <cfRule dxfId="0" operator="lessThanOrEqual" priority="52" type="cellIs">
      <formula>-0.03</formula>
    </cfRule>
  </conditionalFormatting>
  <conditionalFormatting sqref="I9 I10 I11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J40 J41 J42">
    <cfRule dxfId="1" operator="greaterThanOrEqual" priority="37" type="cellIs">
      <formula>0.03</formula>
    </cfRule>
    <cfRule dxfId="0" operator="lessThanOrEqual" priority="38" type="cellIs">
      <formula>-0.03</formula>
    </cfRule>
  </conditionalFormatting>
  <conditionalFormatting sqref="J9 J10 J11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K40 K41 K42">
    <cfRule dxfId="1" operator="greaterThanOrEqual" priority="39" type="cellIs">
      <formula>0.03</formula>
    </cfRule>
    <cfRule dxfId="0" operator="lessThanOrEqual" priority="40" type="cellIs">
      <formula>-0.03</formula>
    </cfRule>
  </conditionalFormatting>
  <conditionalFormatting sqref="K9 K10 K11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L40 L41 L42">
    <cfRule dxfId="1" operator="greaterThanOrEqual" priority="45" type="cellIs">
      <formula>0.03</formula>
    </cfRule>
    <cfRule dxfId="0" operator="lessThanOrEqual" priority="46" type="cellIs">
      <formula>-0.03</formula>
    </cfRule>
  </conditionalFormatting>
  <conditionalFormatting sqref="L9 L10 L11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pageMargins bottom="0.75" footer="0.3" header="0.3" left="0.7" right="0.7" top="0.7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P39"/>
  <sheetViews>
    <sheetView workbookViewId="0">
      <selection activeCell="A1" sqref="A1"/>
    </sheetView>
  </sheetViews>
  <sheetFormatPr baseColWidth="8" defaultRowHeight="14.4"/>
  <cols>
    <col customWidth="1" max="1" min="1" style="4" width="12.6640625"/>
    <col customWidth="1" max="2" min="2" style="4" width="24.6640625"/>
    <col customWidth="1" max="4" min="4" style="4" width="24.6640625"/>
    <col customWidth="1" max="9" min="9" style="4" width="16.6640625"/>
  </cols>
  <sheetData>
    <row r="1">
      <c r="A1" t="inlineStr">
        <is>
          <t>Condition:</t>
        </is>
      </c>
      <c r="B1" s="10">
        <f>M1</f>
        <v/>
      </c>
      <c r="C1" t="inlineStr">
        <is>
          <t>← Select this …</t>
        </is>
      </c>
      <c r="I1" t="inlineStr">
        <is>
          <t>Columns</t>
        </is>
      </c>
      <c r="M1" t="inlineStr">
        <is>
          <t>C2 lossyG,lossyA,intra</t>
        </is>
      </c>
      <c r="N1" t="inlineStr">
        <is>
          <t>CW losslG,losslA,intra</t>
        </is>
      </c>
      <c r="O1" t="inlineStr">
        <is>
          <t>CW losslG,losslA,interLD</t>
        </is>
      </c>
      <c r="P1" t="inlineStr">
        <is>
          <t>C2 lossyG,lossyA,interRA</t>
        </is>
      </c>
    </row>
    <row r="2">
      <c r="A2" t="inlineStr">
        <is>
          <t>Sequence:</t>
        </is>
      </c>
      <c r="B2" s="10">
        <f>HLOOKUP(B1,M1:ZZ3,3,0)</f>
        <v/>
      </c>
      <c r="C2" t="inlineStr">
        <is>
          <t>← … then this</t>
        </is>
      </c>
      <c r="I2" t="inlineStr">
        <is>
          <t>dec.cb-hpsnr</t>
        </is>
      </c>
      <c r="J2" t="inlineStr">
        <is>
          <t>Chroma Cb EtE Hausdorff PSNR</t>
        </is>
      </c>
      <c r="M2" t="inlineStr">
        <is>
          <t>names!$B$74:$X$74</t>
        </is>
      </c>
      <c r="N2" t="inlineStr">
        <is>
          <t>names!$B$137:$W$137</t>
        </is>
      </c>
      <c r="O2" t="inlineStr">
        <is>
          <t>names!$B$200:$W$200</t>
        </is>
      </c>
      <c r="P2" t="inlineStr">
        <is>
          <t>names!$B$274:$X$274</t>
        </is>
      </c>
    </row>
    <row r="3">
      <c r="I3" t="inlineStr">
        <is>
          <t>dec.cb-psnr</t>
        </is>
      </c>
      <c r="J3" t="inlineStr">
        <is>
          <t>Chroma Cb End-to-end PSNR</t>
        </is>
      </c>
      <c r="M3" t="inlineStr">
        <is>
          <t>8ivfbv2_loot_vox10</t>
        </is>
      </c>
      <c r="N3" t="inlineStr">
        <is>
          <t>8ivfbv2_loot_vox10</t>
        </is>
      </c>
      <c r="O3" t="inlineStr">
        <is>
          <t>8ivfbv2_loot_vox10</t>
        </is>
      </c>
      <c r="P3" t="inlineStr">
        <is>
          <t>8ivfbv2_loot_vox10</t>
        </is>
      </c>
    </row>
    <row r="4">
      <c r="A4" t="inlineStr">
        <is>
          <t>X:</t>
        </is>
      </c>
      <c r="B4" s="10" t="inlineStr">
        <is>
          <t>eqn.bpp</t>
        </is>
      </c>
      <c r="C4" t="inlineStr">
        <is>
          <t>Y:</t>
        </is>
      </c>
      <c r="D4" s="10" t="inlineStr">
        <is>
          <t>dec.d1-psnr</t>
        </is>
      </c>
      <c r="E4" t="inlineStr">
        <is>
          <t>← settings for graph a</t>
        </is>
      </c>
      <c r="I4" t="inlineStr">
        <is>
          <t>dec.cr-hpsnr</t>
        </is>
      </c>
      <c r="J4" t="inlineStr">
        <is>
          <t>Chroma Cr EtE Hausdorff PSNR</t>
        </is>
      </c>
      <c r="M4" t="inlineStr">
        <is>
          <t>8ivfbv2_redandblack_vox10</t>
        </is>
      </c>
      <c r="N4" t="inlineStr">
        <is>
          <t>8ivfbv2_redandblack_vox10</t>
        </is>
      </c>
      <c r="O4" t="inlineStr">
        <is>
          <t>8ivfbv2_redandblack_vox10</t>
        </is>
      </c>
      <c r="P4" t="inlineStr">
        <is>
          <t>8ivfbv2_redandblack_vox10</t>
        </is>
      </c>
    </row>
    <row r="5">
      <c r="A5" t="inlineStr">
        <is>
          <t>X:</t>
        </is>
      </c>
      <c r="B5" s="10" t="inlineStr">
        <is>
          <t>eqn.bpp</t>
        </is>
      </c>
      <c r="C5" t="inlineStr">
        <is>
          <t>Y:</t>
        </is>
      </c>
      <c r="D5" s="10" t="inlineStr">
        <is>
          <t>dec.d2-psnr</t>
        </is>
      </c>
      <c r="E5" t="inlineStr">
        <is>
          <t>← settings for graph b</t>
        </is>
      </c>
      <c r="I5" t="inlineStr">
        <is>
          <t>dec.cr-psnr</t>
        </is>
      </c>
      <c r="J5" t="inlineStr">
        <is>
          <t>Chroma Cr End-to-end PSNR</t>
        </is>
      </c>
      <c r="M5" t="inlineStr">
        <is>
          <t>8ivfbv2_soldier_vox10</t>
        </is>
      </c>
      <c r="N5" t="inlineStr">
        <is>
          <t>8ivfbv2_soldier_vox10</t>
        </is>
      </c>
      <c r="O5" t="inlineStr">
        <is>
          <t>8ivfbv2_soldier_vox10</t>
        </is>
      </c>
      <c r="P5" t="inlineStr">
        <is>
          <t>8ivfbv2_soldier_vox10</t>
        </is>
      </c>
    </row>
    <row r="6">
      <c r="A6" t="inlineStr">
        <is>
          <t>X:</t>
        </is>
      </c>
      <c r="B6" s="10" t="inlineStr">
        <is>
          <t>eqn.bpp</t>
        </is>
      </c>
      <c r="C6" t="inlineStr">
        <is>
          <t>Y:</t>
        </is>
      </c>
      <c r="D6" s="10" t="inlineStr">
        <is>
          <t>dec.y-psnr</t>
        </is>
      </c>
      <c r="E6" t="inlineStr">
        <is>
          <t>← settings for graph c</t>
        </is>
      </c>
      <c r="I6" t="inlineStr">
        <is>
          <t>dec.d1-mse</t>
        </is>
      </c>
      <c r="J6" t="inlineStr">
        <is>
          <t>D1 Geometry MSE</t>
        </is>
      </c>
      <c r="M6" t="inlineStr">
        <is>
          <t>queen</t>
        </is>
      </c>
      <c r="N6" t="inlineStr">
        <is>
          <t>queen</t>
        </is>
      </c>
      <c r="O6" t="inlineStr">
        <is>
          <t>queen</t>
        </is>
      </c>
      <c r="P6" t="inlineStr">
        <is>
          <t>queen</t>
        </is>
      </c>
    </row>
    <row r="7">
      <c r="A7" t="inlineStr">
        <is>
          <t>X:</t>
        </is>
      </c>
      <c r="B7" s="10" t="inlineStr">
        <is>
          <t>eqn.bpp</t>
        </is>
      </c>
      <c r="C7" t="inlineStr">
        <is>
          <t>Y:</t>
        </is>
      </c>
      <c r="D7" s="10" t="inlineStr">
        <is>
          <t>dec.cb-psnr</t>
        </is>
      </c>
      <c r="E7" t="inlineStr">
        <is>
          <t>← settings for graph d</t>
        </is>
      </c>
      <c r="I7" t="inlineStr">
        <is>
          <t>dec.d1-psnr</t>
        </is>
      </c>
      <c r="J7" t="inlineStr">
        <is>
          <t>D1 Geometry PSNR</t>
        </is>
      </c>
      <c r="M7" t="inlineStr">
        <is>
          <t>8ivfbv2_longdress_vox10</t>
        </is>
      </c>
      <c r="N7" t="inlineStr">
        <is>
          <t>8ivfbv2_longdress_vox10</t>
        </is>
      </c>
      <c r="O7" t="inlineStr">
        <is>
          <t>8ivfbv2_longdress_vox10</t>
        </is>
      </c>
      <c r="P7" t="inlineStr">
        <is>
          <t>8ivfbv2_longdress_vox10</t>
        </is>
      </c>
    </row>
    <row r="8">
      <c r="A8" t="inlineStr">
        <is>
          <t>X:</t>
        </is>
      </c>
      <c r="B8" s="10" t="inlineStr">
        <is>
          <t>eqn.bpp</t>
        </is>
      </c>
      <c r="C8" t="inlineStr">
        <is>
          <t>Y:</t>
        </is>
      </c>
      <c r="D8" s="10" t="inlineStr">
        <is>
          <t>dec.cr-psnr</t>
        </is>
      </c>
      <c r="E8" t="inlineStr">
        <is>
          <t>← settings for graph e</t>
        </is>
      </c>
      <c r="I8" t="inlineStr">
        <is>
          <t>dec.d2-mse</t>
        </is>
      </c>
      <c r="J8" t="inlineStr">
        <is>
          <t>D2 Geometry MSE</t>
        </is>
      </c>
    </row>
    <row r="9">
      <c r="A9" t="inlineStr">
        <is>
          <t>X:</t>
        </is>
      </c>
      <c r="B9" s="10" t="inlineStr">
        <is>
          <t>eqn.bpp</t>
        </is>
      </c>
      <c r="C9" t="inlineStr">
        <is>
          <t>Y:</t>
        </is>
      </c>
      <c r="D9" s="10" t="inlineStr">
        <is>
          <t>dec.reflectance-psnr</t>
        </is>
      </c>
      <c r="E9" t="inlineStr">
        <is>
          <t>← settings for graph f</t>
        </is>
      </c>
      <c r="I9" t="inlineStr">
        <is>
          <t>dec.d2-psnr</t>
        </is>
      </c>
      <c r="J9" t="inlineStr">
        <is>
          <t>D2 Geometry PSNR</t>
        </is>
      </c>
    </row>
    <row r="10">
      <c r="I10" t="inlineStr">
        <is>
          <t>dec.numduppoints.mean</t>
        </is>
      </c>
      <c r="J10" t="inlineStr">
        <is>
          <t>Mean duplicate points</t>
        </is>
      </c>
    </row>
    <row r="11">
      <c r="I11" t="inlineStr">
        <is>
          <t>dec.numpoints</t>
        </is>
      </c>
      <c r="J11" t="inlineStr">
        <is>
          <t>№ output points</t>
        </is>
      </c>
    </row>
    <row r="12">
      <c r="I12" t="inlineStr">
        <is>
          <t>dec.numpoints.mean</t>
        </is>
      </c>
      <c r="J12" t="inlineStr">
        <is>
          <t>Mean output points</t>
        </is>
      </c>
    </row>
    <row r="13">
      <c r="I13" t="inlineStr">
        <is>
          <t>dec.post-recolour.cb-psnr</t>
        </is>
      </c>
      <c r="J13" t="inlineStr">
        <is>
          <t>Chroma Cb Post recolour PSNR</t>
        </is>
      </c>
    </row>
    <row r="14">
      <c r="I14" t="inlineStr">
        <is>
          <t>dec.post-recolour.cr-psnr</t>
        </is>
      </c>
      <c r="J14" t="inlineStr">
        <is>
          <t>Chroma Cr Post recolour PSNR</t>
        </is>
      </c>
    </row>
    <row r="15">
      <c r="I15" t="inlineStr">
        <is>
          <t>dec.post-recolour.y-psnr</t>
        </is>
      </c>
      <c r="J15" t="inlineStr">
        <is>
          <t>Luma Post recolour PSNR</t>
        </is>
      </c>
    </row>
    <row r="16">
      <c r="I16" t="inlineStr">
        <is>
          <t>dec.reflectance-hpsnr</t>
        </is>
      </c>
      <c r="J16" t="inlineStr">
        <is>
          <t>Reflectance EtE Hausdorff PSNR</t>
        </is>
      </c>
    </row>
    <row r="17">
      <c r="I17" t="inlineStr">
        <is>
          <t>dec.reflectance-psnr</t>
        </is>
      </c>
      <c r="J17" t="inlineStr">
        <is>
          <t>Reflectance End-to-end PSNR</t>
        </is>
      </c>
    </row>
    <row r="18">
      <c r="I18" t="inlineStr">
        <is>
          <t>dec.utime</t>
        </is>
      </c>
      <c r="J18" t="inlineStr">
        <is>
          <t>User Decoder runtime</t>
        </is>
      </c>
    </row>
    <row r="19">
      <c r="I19" t="inlineStr">
        <is>
          <t>dec.utime.children</t>
        </is>
      </c>
      <c r="J19" t="inlineStr">
        <is>
          <t>Child Decoder runtime</t>
        </is>
      </c>
    </row>
    <row r="20">
      <c r="I20" t="inlineStr">
        <is>
          <t>dec.utime.self</t>
        </is>
      </c>
      <c r="J20" t="inlineStr">
        <is>
          <t>Self Decoder runtime</t>
        </is>
      </c>
    </row>
    <row r="21">
      <c r="I21" t="inlineStr">
        <is>
          <t>dec.y-hpsnr</t>
        </is>
      </c>
      <c r="J21" t="inlineStr">
        <is>
          <t>Luma EtE Hausdorff PSNR</t>
        </is>
      </c>
    </row>
    <row r="22">
      <c r="I22" t="inlineStr">
        <is>
          <t>dec.y-psnr</t>
        </is>
      </c>
      <c r="J22" t="inlineStr">
        <is>
          <t>Luma End-to-end PSNR</t>
        </is>
      </c>
    </row>
    <row r="23">
      <c r="I23" t="inlineStr">
        <is>
          <t>enc.bits.colour</t>
        </is>
      </c>
      <c r="J23" t="inlineStr">
        <is>
          <t>Colour Bitstream</t>
        </is>
      </c>
    </row>
    <row r="24">
      <c r="I24" t="inlineStr">
        <is>
          <t>enc.bits.geometry</t>
        </is>
      </c>
      <c r="J24" t="inlineStr">
        <is>
          <t>Geometry Bitstream</t>
        </is>
      </c>
    </row>
    <row r="25">
      <c r="I25" t="inlineStr">
        <is>
          <t>enc.bits.occ+patch</t>
        </is>
      </c>
      <c r="J25" t="inlineStr">
        <is>
          <t>Occ+Patch Bitstream</t>
        </is>
      </c>
    </row>
    <row r="26">
      <c r="I26" t="inlineStr">
        <is>
          <t>enc.bits.reflectance</t>
        </is>
      </c>
      <c r="J26" t="inlineStr">
        <is>
          <t>Reflectance Bitstream</t>
        </is>
      </c>
    </row>
    <row r="27">
      <c r="I27" t="inlineStr">
        <is>
          <t>enc.ext.bits</t>
        </is>
      </c>
      <c r="J27" t="inlineStr">
        <is>
          <t>Total Bitstream</t>
        </is>
      </c>
    </row>
    <row r="28">
      <c r="I28" t="inlineStr">
        <is>
          <t>enc.utime</t>
        </is>
      </c>
      <c r="J28" t="inlineStr">
        <is>
          <t>User Encoder runtime</t>
        </is>
      </c>
    </row>
    <row r="29">
      <c r="I29" t="inlineStr">
        <is>
          <t>enc.utime.children</t>
        </is>
      </c>
      <c r="J29" t="inlineStr">
        <is>
          <t>Child Encoder runtime</t>
        </is>
      </c>
    </row>
    <row r="30">
      <c r="I30" t="inlineStr">
        <is>
          <t>enc.utime.self</t>
        </is>
      </c>
      <c r="J30" t="inlineStr">
        <is>
          <t>Self Encoder runtime</t>
        </is>
      </c>
    </row>
    <row r="31">
      <c r="I31" t="inlineStr">
        <is>
          <t>eqn.bitrate</t>
        </is>
      </c>
      <c r="J31" t="inlineStr">
        <is>
          <t>Rate</t>
        </is>
      </c>
    </row>
    <row r="32">
      <c r="I32" t="inlineStr">
        <is>
          <t>eqn.bits.totalgeometry</t>
        </is>
      </c>
      <c r="J32" t="inlineStr">
        <is>
          <t>eqn.bits.totalgeometry Bitstream</t>
        </is>
      </c>
    </row>
    <row r="33">
      <c r="I33" t="inlineStr">
        <is>
          <t>eqn.bpop</t>
        </is>
      </c>
      <c r="J33" t="inlineStr">
        <is>
          <t>Total Bits per output point</t>
        </is>
      </c>
    </row>
    <row r="34">
      <c r="I34" t="inlineStr">
        <is>
          <t>eqn.bpp</t>
        </is>
      </c>
      <c r="J34" t="inlineStr">
        <is>
          <t>Total Bits per input point</t>
        </is>
      </c>
    </row>
    <row r="35">
      <c r="I35" t="inlineStr">
        <is>
          <t>eqn.bpp.colour</t>
        </is>
      </c>
      <c r="J35" t="inlineStr">
        <is>
          <t>Colour  Bits per input point</t>
        </is>
      </c>
    </row>
    <row r="36">
      <c r="I36" t="inlineStr">
        <is>
          <t>eqn.bpp.geometry</t>
        </is>
      </c>
      <c r="J36" t="inlineStr">
        <is>
          <t>Geometry Bits per input point</t>
        </is>
      </c>
    </row>
    <row r="37">
      <c r="I37" t="inlineStr">
        <is>
          <t>eqn.bpp.geometry+occ+patch</t>
        </is>
      </c>
      <c r="J37" t="inlineStr">
        <is>
          <t>Tot.Geom Bits per input point</t>
        </is>
      </c>
    </row>
    <row r="38">
      <c r="I38" t="inlineStr">
        <is>
          <t>eqn.bpp.reflectance</t>
        </is>
      </c>
      <c r="J38" t="inlineStr">
        <is>
          <t>Reflectance Bits per input point</t>
        </is>
      </c>
    </row>
    <row r="39">
      <c r="I39" t="inlineStr">
        <is>
          <t>eqn.compratio</t>
        </is>
      </c>
      <c r="J39" t="inlineStr">
        <is>
          <t>Comp. ratio</t>
        </is>
      </c>
    </row>
  </sheetData>
  <conditionalFormatting sqref="B2">
    <cfRule dxfId="68" priority="1" type="expression">
      <formula>ISNA(MATCH(B2,OFFSET(M:M,2,MATCH(B1,M1:ZZ1,0)-1,COUNTA(INDEX(M:ZZ,,MATCH(B1,M1:ZZ1,0)))-2),0))</formula>
    </cfRule>
  </conditionalFormatting>
  <conditionalFormatting sqref="B4 D4 B5 D5 B6 D6 B7 D7 B8 D8 B9 D9">
    <cfRule dxfId="68" priority="2" type="expression">
      <formula>ISNA(MATCH(B4,filter_cols,0))</formula>
    </cfRule>
  </conditionalFormatting>
  <dataValidations count="3">
    <dataValidation allowBlank="0" showErrorMessage="1" showInputMessage="1" sqref="B1" type="list">
      <formula1>OFFSET(1:1,0,COLUMN(M1)-1,1,COUNTA(M1:ZZ1))</formula1>
    </dataValidation>
    <dataValidation allowBlank="0" showErrorMessage="1" showInputMessage="1" sqref="B2" type="list">
      <formula1>OFFSET(M:M,2,MATCH(B1,M1:ZZ1,0)-1,COUNTA(INDEX(M:ZZ,,MATCH(B1,M1:ZZ1,0)))-2)</formula1>
    </dataValidation>
    <dataValidation allowBlank="0" showErrorMessage="1" showInputMessage="1" sqref="B4:B9 D4:D9" type="list">
      <formula1>Graphs!filter_cols</formula1>
    </dataValidation>
  </dataValidations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>
  <sheetPr codeName="Sheet4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customHeight="1" ht="14.4" r="1" s="4">
      <c r="A1" s="132" t="inlineStr">
        <is>
          <t>C2_ai — lossy geometry, lossy attributes [all intra]</t>
        </is>
      </c>
      <c r="I1" s="128">
        <f>Summary!$C$1</f>
        <v/>
      </c>
      <c r="AG1" s="129">
        <f>Summary!$C$2</f>
        <v/>
      </c>
    </row>
    <row customHeight="1" ht="30" r="2" s="4" thickBot="1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customHeight="1" ht="15" r="3" s="4" thickBot="1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300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209261482</v>
      </c>
      <c r="Q5" s="19" t="n">
        <v>697538.273333333</v>
      </c>
      <c r="R5" s="19" t="n">
        <v>14897.04</v>
      </c>
      <c r="S5" s="20" t="n">
        <v>23792416</v>
      </c>
      <c r="T5" s="20" t="n">
        <v>8392736</v>
      </c>
      <c r="U5" s="20" t="n">
        <v>6858008</v>
      </c>
      <c r="V5" s="20" t="n">
        <v>8538096</v>
      </c>
      <c r="W5" s="21" t="n">
        <v>66.29427800000001</v>
      </c>
      <c r="X5" s="21" t="n">
        <v>68.3192553333333</v>
      </c>
      <c r="Y5" s="21" t="n">
        <v>32.4100503333334</v>
      </c>
      <c r="Z5" s="21" t="n">
        <v>44.1668546666667</v>
      </c>
      <c r="AA5" s="21" t="n">
        <v>43.8218846666667</v>
      </c>
      <c r="AB5" s="22" t="n">
        <v>37127.5</v>
      </c>
      <c r="AC5" s="22" t="n">
        <v>15611.8</v>
      </c>
      <c r="AD5" s="22" t="n">
        <v>64.777</v>
      </c>
      <c r="AE5" s="22" t="n">
        <v>255.87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209261482</v>
      </c>
      <c r="AO5" s="19" t="n">
        <v>697538.273333333</v>
      </c>
      <c r="AP5" s="19" t="n">
        <v>14897.04</v>
      </c>
      <c r="AQ5" s="20" t="n">
        <v>23800008</v>
      </c>
      <c r="AR5" s="20" t="n">
        <v>8392416</v>
      </c>
      <c r="AS5" s="20" t="n">
        <v>6869688</v>
      </c>
      <c r="AT5" s="20" t="n">
        <v>8537776</v>
      </c>
      <c r="AU5" s="21" t="n">
        <v>66.29427800000001</v>
      </c>
      <c r="AV5" s="21" t="n">
        <v>68.3192553333333</v>
      </c>
      <c r="AW5" s="21" t="n">
        <v>32.4100503333334</v>
      </c>
      <c r="AX5" s="21" t="n">
        <v>44.1668546666667</v>
      </c>
      <c r="AY5" s="21" t="n">
        <v>43.8218846666667</v>
      </c>
      <c r="AZ5" s="22" t="n">
        <v>39389.8</v>
      </c>
      <c r="BA5" s="22" t="n">
        <v>15845.8</v>
      </c>
      <c r="BB5" s="22" t="n">
        <v>64.169</v>
      </c>
      <c r="BC5" s="22" t="n">
        <v>259.867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300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231178881</v>
      </c>
      <c r="Q6" s="29" t="n">
        <v>770596.27</v>
      </c>
      <c r="R6" s="29" t="n">
        <v>20284.9866666667</v>
      </c>
      <c r="S6" s="30" t="n">
        <v>36158960</v>
      </c>
      <c r="T6" s="30" t="n">
        <v>11550664</v>
      </c>
      <c r="U6" s="30" t="n">
        <v>6858008</v>
      </c>
      <c r="V6" s="30" t="n">
        <v>17746712</v>
      </c>
      <c r="W6" s="31" t="n">
        <v>68.1525163333333</v>
      </c>
      <c r="X6" s="31" t="n">
        <v>70.25111800000001</v>
      </c>
      <c r="Y6" s="31" t="n">
        <v>34.7104123333333</v>
      </c>
      <c r="Z6" s="31" t="n">
        <v>45.4576756666667</v>
      </c>
      <c r="AA6" s="31" t="n">
        <v>45.2583033333334</v>
      </c>
      <c r="AB6" s="32" t="n">
        <v>37256</v>
      </c>
      <c r="AC6" s="32" t="n">
        <v>16411.8</v>
      </c>
      <c r="AD6" s="32" t="n">
        <v>67.377</v>
      </c>
      <c r="AE6" s="32" t="n">
        <v>269.95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231178881</v>
      </c>
      <c r="AO6" s="29" t="n">
        <v>770596.27</v>
      </c>
      <c r="AP6" s="29" t="n">
        <v>20284.9866666667</v>
      </c>
      <c r="AQ6" s="30" t="n">
        <v>36166552</v>
      </c>
      <c r="AR6" s="30" t="n">
        <v>11550344</v>
      </c>
      <c r="AS6" s="30" t="n">
        <v>6869688</v>
      </c>
      <c r="AT6" s="30" t="n">
        <v>17746392</v>
      </c>
      <c r="AU6" s="31" t="n">
        <v>68.1525163333333</v>
      </c>
      <c r="AV6" s="31" t="n">
        <v>70.25111800000001</v>
      </c>
      <c r="AW6" s="31" t="n">
        <v>34.7104123333333</v>
      </c>
      <c r="AX6" s="31" t="n">
        <v>45.4576756666667</v>
      </c>
      <c r="AY6" s="31" t="n">
        <v>45.2583033333334</v>
      </c>
      <c r="AZ6" s="32" t="n">
        <v>40073.1</v>
      </c>
      <c r="BA6" s="32" t="n">
        <v>16604.5</v>
      </c>
      <c r="BB6" s="32" t="n">
        <v>65.26300000000001</v>
      </c>
      <c r="BC6" s="32" t="n">
        <v>258.913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300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236462304</v>
      </c>
      <c r="Q7" s="19" t="n">
        <v>788207.6800000001</v>
      </c>
      <c r="R7" s="19" t="n">
        <v>22131.8733333333</v>
      </c>
      <c r="S7" s="20" t="n">
        <v>58053216</v>
      </c>
      <c r="T7" s="20" t="n">
        <v>16005848</v>
      </c>
      <c r="U7" s="20" t="n">
        <v>6858008</v>
      </c>
      <c r="V7" s="20" t="n">
        <v>35185784</v>
      </c>
      <c r="W7" s="21" t="n">
        <v>69.5536656666667</v>
      </c>
      <c r="X7" s="21" t="n">
        <v>71.9348626666666</v>
      </c>
      <c r="Y7" s="21" t="n">
        <v>37.2487996666666</v>
      </c>
      <c r="Z7" s="21" t="n">
        <v>46.5955636666667</v>
      </c>
      <c r="AA7" s="21" t="n">
        <v>46.532641</v>
      </c>
      <c r="AB7" s="22" t="n">
        <v>41379.5</v>
      </c>
      <c r="AC7" s="22" t="n">
        <v>17840</v>
      </c>
      <c r="AD7" s="22" t="n">
        <v>69.22799999999999</v>
      </c>
      <c r="AE7" s="22" t="n">
        <v>268.736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236462304</v>
      </c>
      <c r="AO7" s="19" t="n">
        <v>788207.6800000001</v>
      </c>
      <c r="AP7" s="19" t="n">
        <v>22131.8733333333</v>
      </c>
      <c r="AQ7" s="20" t="n">
        <v>58060808</v>
      </c>
      <c r="AR7" s="20" t="n">
        <v>16005528</v>
      </c>
      <c r="AS7" s="20" t="n">
        <v>6869688</v>
      </c>
      <c r="AT7" s="20" t="n">
        <v>35185464</v>
      </c>
      <c r="AU7" s="21" t="n">
        <v>69.5536656666667</v>
      </c>
      <c r="AV7" s="21" t="n">
        <v>71.9348626666666</v>
      </c>
      <c r="AW7" s="21" t="n">
        <v>37.2487996666666</v>
      </c>
      <c r="AX7" s="21" t="n">
        <v>46.5955636666667</v>
      </c>
      <c r="AY7" s="21" t="n">
        <v>46.532641</v>
      </c>
      <c r="AZ7" s="22" t="n">
        <v>39860.8</v>
      </c>
      <c r="BA7" s="22" t="n">
        <v>17348</v>
      </c>
      <c r="BB7" s="22" t="n">
        <v>67.16800000000001</v>
      </c>
      <c r="BC7" s="22" t="n">
        <v>271.532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300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247454666</v>
      </c>
      <c r="Q8" s="29" t="n">
        <v>824848.8866666669</v>
      </c>
      <c r="R8" s="29" t="n">
        <v>25770.8133333333</v>
      </c>
      <c r="S8" s="30" t="n">
        <v>99231944</v>
      </c>
      <c r="T8" s="30" t="n">
        <v>23548184</v>
      </c>
      <c r="U8" s="30" t="n">
        <v>6858008</v>
      </c>
      <c r="V8" s="30" t="n">
        <v>68822176</v>
      </c>
      <c r="W8" s="31" t="n">
        <v>70.63163400000001</v>
      </c>
      <c r="X8" s="31" t="n">
        <v>73.1908566666667</v>
      </c>
      <c r="Y8" s="31" t="n">
        <v>39.8403933333333</v>
      </c>
      <c r="Z8" s="31" t="n">
        <v>47.922707</v>
      </c>
      <c r="AA8" s="31" t="n">
        <v>48.026603</v>
      </c>
      <c r="AB8" s="32" t="n">
        <v>41056.1</v>
      </c>
      <c r="AC8" s="32" t="n">
        <v>19101.9</v>
      </c>
      <c r="AD8" s="32" t="n">
        <v>69.036</v>
      </c>
      <c r="AE8" s="32" t="n">
        <v>276.745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247454666</v>
      </c>
      <c r="AO8" s="29" t="n">
        <v>824848.8866666669</v>
      </c>
      <c r="AP8" s="29" t="n">
        <v>25770.8133333333</v>
      </c>
      <c r="AQ8" s="30" t="n">
        <v>99239536</v>
      </c>
      <c r="AR8" s="30" t="n">
        <v>23547864</v>
      </c>
      <c r="AS8" s="30" t="n">
        <v>6869688</v>
      </c>
      <c r="AT8" s="30" t="n">
        <v>68821856</v>
      </c>
      <c r="AU8" s="31" t="n">
        <v>70.63163400000001</v>
      </c>
      <c r="AV8" s="31" t="n">
        <v>73.1908566666667</v>
      </c>
      <c r="AW8" s="31" t="n">
        <v>39.8403933333333</v>
      </c>
      <c r="AX8" s="31" t="n">
        <v>47.922707</v>
      </c>
      <c r="AY8" s="31" t="n">
        <v>48.026603</v>
      </c>
      <c r="AZ8" s="32" t="n">
        <v>39111.3</v>
      </c>
      <c r="BA8" s="32" t="n">
        <v>18813.1</v>
      </c>
      <c r="BB8" s="32" t="n">
        <v>66.94499999999999</v>
      </c>
      <c r="BC8" s="32" t="n">
        <v>266.85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300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237737620</v>
      </c>
      <c r="Q9" s="39" t="n">
        <v>792458.733333333</v>
      </c>
      <c r="R9" s="39" t="n">
        <v>10973</v>
      </c>
      <c r="S9" s="40" t="n">
        <v>179817216</v>
      </c>
      <c r="T9" s="40" t="n">
        <v>36271232</v>
      </c>
      <c r="U9" s="40" t="n">
        <v>13034320</v>
      </c>
      <c r="V9" s="40" t="n">
        <v>130508088</v>
      </c>
      <c r="W9" s="41" t="n">
        <v>71.9255266666667</v>
      </c>
      <c r="X9" s="41" t="n">
        <v>75.2402239999999</v>
      </c>
      <c r="Y9" s="41" t="n">
        <v>42.2469136666667</v>
      </c>
      <c r="Z9" s="41" t="n">
        <v>49.4584156666667</v>
      </c>
      <c r="AA9" s="41" t="n">
        <v>49.6342983333333</v>
      </c>
      <c r="AB9" s="42" t="n">
        <v>40576.9</v>
      </c>
      <c r="AC9" s="42" t="n">
        <v>21461</v>
      </c>
      <c r="AD9" s="42" t="n">
        <v>68.129</v>
      </c>
      <c r="AE9" s="42" t="n">
        <v>294.335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237737620</v>
      </c>
      <c r="AO9" s="39" t="n">
        <v>792458.733333333</v>
      </c>
      <c r="AP9" s="39" t="n">
        <v>10973</v>
      </c>
      <c r="AQ9" s="40" t="n">
        <v>179822272</v>
      </c>
      <c r="AR9" s="40" t="n">
        <v>36270912</v>
      </c>
      <c r="AS9" s="40" t="n">
        <v>13043464</v>
      </c>
      <c r="AT9" s="40" t="n">
        <v>130507768</v>
      </c>
      <c r="AU9" s="41" t="n">
        <v>71.9255266666667</v>
      </c>
      <c r="AV9" s="41" t="n">
        <v>75.2402239999999</v>
      </c>
      <c r="AW9" s="41" t="n">
        <v>42.2469136666667</v>
      </c>
      <c r="AX9" s="41" t="n">
        <v>49.4584156666667</v>
      </c>
      <c r="AY9" s="41" t="n">
        <v>49.6342983333333</v>
      </c>
      <c r="AZ9" s="42" t="n">
        <v>38790.3</v>
      </c>
      <c r="BA9" s="42" t="n">
        <v>21019.3</v>
      </c>
      <c r="BB9" s="42" t="n">
        <v>66.985</v>
      </c>
      <c r="BC9" s="42" t="n">
        <v>293.01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300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199136068</v>
      </c>
      <c r="Q10" s="29" t="n">
        <v>663786.893333333</v>
      </c>
      <c r="R10" s="29" t="n">
        <v>20388.5366666667</v>
      </c>
      <c r="S10" s="30" t="n">
        <v>35002240</v>
      </c>
      <c r="T10" s="30" t="n">
        <v>9234688</v>
      </c>
      <c r="U10" s="30" t="n">
        <v>9023752</v>
      </c>
      <c r="V10" s="30" t="n">
        <v>16740224</v>
      </c>
      <c r="W10" s="31" t="n">
        <v>65.8341196666666</v>
      </c>
      <c r="X10" s="31" t="n">
        <v>67.73077733333341</v>
      </c>
      <c r="Y10" s="31" t="n">
        <v>32.444584</v>
      </c>
      <c r="Z10" s="31" t="n">
        <v>39.252238</v>
      </c>
      <c r="AA10" s="31" t="n">
        <v>32.1297676666667</v>
      </c>
      <c r="AB10" s="32" t="n">
        <v>39911.1</v>
      </c>
      <c r="AC10" s="32" t="n">
        <v>13435.1</v>
      </c>
      <c r="AD10" s="32" t="n">
        <v>65.724</v>
      </c>
      <c r="AE10" s="32" t="n">
        <v>228.309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199136068</v>
      </c>
      <c r="AO10" s="29" t="n">
        <v>663786.893333333</v>
      </c>
      <c r="AP10" s="29" t="n">
        <v>20388.5366666667</v>
      </c>
      <c r="AQ10" s="30" t="n">
        <v>35034968</v>
      </c>
      <c r="AR10" s="30" t="n">
        <v>9234368</v>
      </c>
      <c r="AS10" s="30" t="n">
        <v>9060568</v>
      </c>
      <c r="AT10" s="30" t="n">
        <v>16739904</v>
      </c>
      <c r="AU10" s="31" t="n">
        <v>65.8341196666666</v>
      </c>
      <c r="AV10" s="31" t="n">
        <v>67.73077733333341</v>
      </c>
      <c r="AW10" s="31" t="n">
        <v>32.444584</v>
      </c>
      <c r="AX10" s="31" t="n">
        <v>39.252238</v>
      </c>
      <c r="AY10" s="31" t="n">
        <v>32.1297676666667</v>
      </c>
      <c r="AZ10" s="32" t="n">
        <v>39801.6</v>
      </c>
      <c r="BA10" s="32" t="n">
        <v>13142.5</v>
      </c>
      <c r="BB10" s="32" t="n">
        <v>58.668</v>
      </c>
      <c r="BC10" s="32" t="n">
        <v>208.214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300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215478466</v>
      </c>
      <c r="Q11" s="19" t="n">
        <v>718261.553333333</v>
      </c>
      <c r="R11" s="19" t="n">
        <v>26670.7866666667</v>
      </c>
      <c r="S11" s="20" t="n">
        <v>50339280</v>
      </c>
      <c r="T11" s="20" t="n">
        <v>12904600</v>
      </c>
      <c r="U11" s="20" t="n">
        <v>9023752</v>
      </c>
      <c r="V11" s="20" t="n">
        <v>28407352</v>
      </c>
      <c r="W11" s="21" t="n">
        <v>67.560714</v>
      </c>
      <c r="X11" s="21" t="n">
        <v>69.6094646666666</v>
      </c>
      <c r="Y11" s="21" t="n">
        <v>34.2893636666666</v>
      </c>
      <c r="Z11" s="21" t="n">
        <v>40.1105</v>
      </c>
      <c r="AA11" s="21" t="n">
        <v>33.9079293333333</v>
      </c>
      <c r="AB11" s="22" t="n">
        <v>41258.8</v>
      </c>
      <c r="AC11" s="22" t="n">
        <v>14310.9</v>
      </c>
      <c r="AD11" s="22" t="n">
        <v>64.511</v>
      </c>
      <c r="AE11" s="22" t="n">
        <v>225.222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215478466</v>
      </c>
      <c r="AO11" s="19" t="n">
        <v>718261.553333333</v>
      </c>
      <c r="AP11" s="19" t="n">
        <v>26670.7866666667</v>
      </c>
      <c r="AQ11" s="20" t="n">
        <v>50372008</v>
      </c>
      <c r="AR11" s="20" t="n">
        <v>12904280</v>
      </c>
      <c r="AS11" s="20" t="n">
        <v>9060568</v>
      </c>
      <c r="AT11" s="20" t="n">
        <v>28407032</v>
      </c>
      <c r="AU11" s="21" t="n">
        <v>67.560714</v>
      </c>
      <c r="AV11" s="21" t="n">
        <v>69.6094646666666</v>
      </c>
      <c r="AW11" s="21" t="n">
        <v>34.2893636666666</v>
      </c>
      <c r="AX11" s="21" t="n">
        <v>40.1105</v>
      </c>
      <c r="AY11" s="21" t="n">
        <v>33.9079293333333</v>
      </c>
      <c r="AZ11" s="22" t="n">
        <v>40107.3</v>
      </c>
      <c r="BA11" s="22" t="n">
        <v>13911.8</v>
      </c>
      <c r="BB11" s="22" t="n">
        <v>63.473</v>
      </c>
      <c r="BC11" s="22" t="n">
        <v>223.486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300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219709303</v>
      </c>
      <c r="Q12" s="29" t="n">
        <v>732364.343333333</v>
      </c>
      <c r="R12" s="29" t="n">
        <v>28524.7433333333</v>
      </c>
      <c r="S12" s="30" t="n">
        <v>78073600</v>
      </c>
      <c r="T12" s="30" t="n">
        <v>18335032</v>
      </c>
      <c r="U12" s="30" t="n">
        <v>9023752</v>
      </c>
      <c r="V12" s="30" t="n">
        <v>50711240</v>
      </c>
      <c r="W12" s="31" t="n">
        <v>68.92651833333331</v>
      </c>
      <c r="X12" s="31" t="n">
        <v>71.2594636666667</v>
      </c>
      <c r="Y12" s="31" t="n">
        <v>36.4017093333334</v>
      </c>
      <c r="Z12" s="31" t="n">
        <v>41.0160893333333</v>
      </c>
      <c r="AA12" s="31" t="n">
        <v>35.6788273333333</v>
      </c>
      <c r="AB12" s="32" t="n">
        <v>40881.6</v>
      </c>
      <c r="AC12" s="32" t="n">
        <v>15086.1</v>
      </c>
      <c r="AD12" s="32" t="n">
        <v>64.545</v>
      </c>
      <c r="AE12" s="32" t="n">
        <v>229.872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219709303</v>
      </c>
      <c r="AO12" s="29" t="n">
        <v>732364.343333333</v>
      </c>
      <c r="AP12" s="29" t="n">
        <v>28524.7433333333</v>
      </c>
      <c r="AQ12" s="30" t="n">
        <v>78106328</v>
      </c>
      <c r="AR12" s="30" t="n">
        <v>18334712</v>
      </c>
      <c r="AS12" s="30" t="n">
        <v>9060568</v>
      </c>
      <c r="AT12" s="30" t="n">
        <v>50710920</v>
      </c>
      <c r="AU12" s="31" t="n">
        <v>68.92651833333331</v>
      </c>
      <c r="AV12" s="31" t="n">
        <v>71.2594636666667</v>
      </c>
      <c r="AW12" s="31" t="n">
        <v>36.4017093333334</v>
      </c>
      <c r="AX12" s="31" t="n">
        <v>41.0160893333333</v>
      </c>
      <c r="AY12" s="31" t="n">
        <v>35.6788273333333</v>
      </c>
      <c r="AZ12" s="32" t="n">
        <v>38052.3</v>
      </c>
      <c r="BA12" s="32" t="n">
        <v>14687.7</v>
      </c>
      <c r="BB12" s="32" t="n">
        <v>61.133</v>
      </c>
      <c r="BC12" s="32" t="n">
        <v>221.853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300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229066635</v>
      </c>
      <c r="Q13" s="19" t="n">
        <v>763555.45</v>
      </c>
      <c r="R13" s="19" t="n">
        <v>32650.86</v>
      </c>
      <c r="S13" s="20" t="n">
        <v>135205688</v>
      </c>
      <c r="T13" s="20" t="n">
        <v>27866064</v>
      </c>
      <c r="U13" s="20" t="n">
        <v>9023752</v>
      </c>
      <c r="V13" s="20" t="n">
        <v>98312296</v>
      </c>
      <c r="W13" s="21" t="n">
        <v>69.9288996666666</v>
      </c>
      <c r="X13" s="21" t="n">
        <v>72.4904786666666</v>
      </c>
      <c r="Y13" s="21" t="n">
        <v>38.7457816666667</v>
      </c>
      <c r="Z13" s="21" t="n">
        <v>42.192334</v>
      </c>
      <c r="AA13" s="21" t="n">
        <v>37.729373</v>
      </c>
      <c r="AB13" s="22" t="n">
        <v>41122.1</v>
      </c>
      <c r="AC13" s="22" t="n">
        <v>16536.6</v>
      </c>
      <c r="AD13" s="22" t="n">
        <v>64.01600000000001</v>
      </c>
      <c r="AE13" s="22" t="n">
        <v>239.928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229066635</v>
      </c>
      <c r="AO13" s="19" t="n">
        <v>763555.45</v>
      </c>
      <c r="AP13" s="19" t="n">
        <v>32650.86</v>
      </c>
      <c r="AQ13" s="20" t="n">
        <v>135238416</v>
      </c>
      <c r="AR13" s="20" t="n">
        <v>27865744</v>
      </c>
      <c r="AS13" s="20" t="n">
        <v>9060568</v>
      </c>
      <c r="AT13" s="20" t="n">
        <v>98311976</v>
      </c>
      <c r="AU13" s="21" t="n">
        <v>69.9288996666666</v>
      </c>
      <c r="AV13" s="21" t="n">
        <v>72.4904786666666</v>
      </c>
      <c r="AW13" s="21" t="n">
        <v>38.7457816666667</v>
      </c>
      <c r="AX13" s="21" t="n">
        <v>42.192334</v>
      </c>
      <c r="AY13" s="21" t="n">
        <v>37.729373</v>
      </c>
      <c r="AZ13" s="22" t="n">
        <v>37927.9</v>
      </c>
      <c r="BA13" s="22" t="n">
        <v>16256</v>
      </c>
      <c r="BB13" s="22" t="n">
        <v>63.852</v>
      </c>
      <c r="BC13" s="22" t="n">
        <v>231.873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300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216349200</v>
      </c>
      <c r="Q14" s="49" t="n">
        <v>721164</v>
      </c>
      <c r="R14" s="49" t="n">
        <v>15203.4333333333</v>
      </c>
      <c r="S14" s="50" t="n">
        <v>243753512</v>
      </c>
      <c r="T14" s="50" t="n">
        <v>43923824</v>
      </c>
      <c r="U14" s="50" t="n">
        <v>16988104</v>
      </c>
      <c r="V14" s="50" t="n">
        <v>182838008</v>
      </c>
      <c r="W14" s="51" t="n">
        <v>71.11413766666671</v>
      </c>
      <c r="X14" s="51" t="n">
        <v>74.67217733333339</v>
      </c>
      <c r="Y14" s="51" t="n">
        <v>40.989111</v>
      </c>
      <c r="Z14" s="51" t="n">
        <v>43.5106</v>
      </c>
      <c r="AA14" s="51" t="n">
        <v>39.497589</v>
      </c>
      <c r="AB14" s="52" t="n">
        <v>41210.1</v>
      </c>
      <c r="AC14" s="52" t="n">
        <v>19103.9</v>
      </c>
      <c r="AD14" s="52" t="n">
        <v>61.088</v>
      </c>
      <c r="AE14" s="52" t="n">
        <v>247.985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216349200</v>
      </c>
      <c r="AO14" s="49" t="n">
        <v>721164</v>
      </c>
      <c r="AP14" s="49" t="n">
        <v>15203.4333333333</v>
      </c>
      <c r="AQ14" s="50" t="n">
        <v>243783216</v>
      </c>
      <c r="AR14" s="50" t="n">
        <v>43923504</v>
      </c>
      <c r="AS14" s="50" t="n">
        <v>17021896</v>
      </c>
      <c r="AT14" s="50" t="n">
        <v>182837688</v>
      </c>
      <c r="AU14" s="51" t="n">
        <v>71.11413766666671</v>
      </c>
      <c r="AV14" s="51" t="n">
        <v>74.67217733333339</v>
      </c>
      <c r="AW14" s="51" t="n">
        <v>40.989111</v>
      </c>
      <c r="AX14" s="51" t="n">
        <v>43.5106</v>
      </c>
      <c r="AY14" s="51" t="n">
        <v>39.497589</v>
      </c>
      <c r="AZ14" s="52" t="n">
        <v>38043.5</v>
      </c>
      <c r="BA14" s="52" t="n">
        <v>18740.2</v>
      </c>
      <c r="BB14" s="52" t="n">
        <v>59.771</v>
      </c>
      <c r="BC14" s="52" t="n">
        <v>245.392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300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294862202</v>
      </c>
      <c r="Q15" s="19" t="n">
        <v>982874.0066666669</v>
      </c>
      <c r="R15" s="19" t="n">
        <v>30528.44</v>
      </c>
      <c r="S15" s="20" t="n">
        <v>45479936</v>
      </c>
      <c r="T15" s="20" t="n">
        <v>13311448</v>
      </c>
      <c r="U15" s="20" t="n">
        <v>12130392</v>
      </c>
      <c r="V15" s="20" t="n">
        <v>20034520</v>
      </c>
      <c r="W15" s="21" t="n">
        <v>65.9999036666667</v>
      </c>
      <c r="X15" s="21" t="n">
        <v>67.84561600000001</v>
      </c>
      <c r="Y15" s="21" t="n">
        <v>29.7079316666666</v>
      </c>
      <c r="Z15" s="21" t="n">
        <v>43.2565626666667</v>
      </c>
      <c r="AA15" s="21" t="n">
        <v>43.555041</v>
      </c>
      <c r="AB15" s="22" t="n">
        <v>47467.4</v>
      </c>
      <c r="AC15" s="22" t="n">
        <v>16256.4</v>
      </c>
      <c r="AD15" s="22" t="n">
        <v>77.04300000000001</v>
      </c>
      <c r="AE15" s="22" t="n">
        <v>235.965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294862202</v>
      </c>
      <c r="AO15" s="19" t="n">
        <v>982874.0066666669</v>
      </c>
      <c r="AP15" s="19" t="n">
        <v>30528.44</v>
      </c>
      <c r="AQ15" s="20" t="n">
        <v>45510816</v>
      </c>
      <c r="AR15" s="20" t="n">
        <v>13311128</v>
      </c>
      <c r="AS15" s="20" t="n">
        <v>12165360</v>
      </c>
      <c r="AT15" s="20" t="n">
        <v>20034200</v>
      </c>
      <c r="AU15" s="21" t="n">
        <v>65.9999036666667</v>
      </c>
      <c r="AV15" s="21" t="n">
        <v>67.84561600000001</v>
      </c>
      <c r="AW15" s="21" t="n">
        <v>29.7079316666666</v>
      </c>
      <c r="AX15" s="21" t="n">
        <v>43.2565626666667</v>
      </c>
      <c r="AY15" s="21" t="n">
        <v>43.555041</v>
      </c>
      <c r="AZ15" s="22" t="n">
        <v>44939.6</v>
      </c>
      <c r="BA15" s="22" t="n">
        <v>15799.4</v>
      </c>
      <c r="BB15" s="22" t="n">
        <v>80.128</v>
      </c>
      <c r="BC15" s="22" t="n">
        <v>246.412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300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318396990</v>
      </c>
      <c r="Q16" s="29" t="n">
        <v>1061323.3</v>
      </c>
      <c r="R16" s="29" t="n">
        <v>38826.28</v>
      </c>
      <c r="S16" s="30" t="n">
        <v>72324432</v>
      </c>
      <c r="T16" s="30" t="n">
        <v>18486072</v>
      </c>
      <c r="U16" s="30" t="n">
        <v>12130392</v>
      </c>
      <c r="V16" s="30" t="n">
        <v>41704392</v>
      </c>
      <c r="W16" s="31" t="n">
        <v>67.83114033333329</v>
      </c>
      <c r="X16" s="31" t="n">
        <v>69.8921609999999</v>
      </c>
      <c r="Y16" s="31" t="n">
        <v>32.1686953333333</v>
      </c>
      <c r="Z16" s="31" t="n">
        <v>44.127071</v>
      </c>
      <c r="AA16" s="31" t="n">
        <v>44.5247576666667</v>
      </c>
      <c r="AB16" s="32" t="n">
        <v>47693.5</v>
      </c>
      <c r="AC16" s="32" t="n">
        <v>17282.1</v>
      </c>
      <c r="AD16" s="32" t="n">
        <v>81.363</v>
      </c>
      <c r="AE16" s="32" t="n">
        <v>243.476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318396990</v>
      </c>
      <c r="AO16" s="29" t="n">
        <v>1061323.3</v>
      </c>
      <c r="AP16" s="29" t="n">
        <v>38826.28</v>
      </c>
      <c r="AQ16" s="30" t="n">
        <v>72355312</v>
      </c>
      <c r="AR16" s="30" t="n">
        <v>18485752</v>
      </c>
      <c r="AS16" s="30" t="n">
        <v>12165360</v>
      </c>
      <c r="AT16" s="30" t="n">
        <v>41704072</v>
      </c>
      <c r="AU16" s="31" t="n">
        <v>67.83114033333329</v>
      </c>
      <c r="AV16" s="31" t="n">
        <v>69.8921609999999</v>
      </c>
      <c r="AW16" s="31" t="n">
        <v>32.1686953333333</v>
      </c>
      <c r="AX16" s="31" t="n">
        <v>44.127071</v>
      </c>
      <c r="AY16" s="31" t="n">
        <v>44.5247576666667</v>
      </c>
      <c r="AZ16" s="32" t="n">
        <v>45049.4</v>
      </c>
      <c r="BA16" s="32" t="n">
        <v>16998.7</v>
      </c>
      <c r="BB16" s="32" t="n">
        <v>85.971</v>
      </c>
      <c r="BC16" s="32" t="n">
        <v>258.046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300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323397771</v>
      </c>
      <c r="Q17" s="19" t="n">
        <v>1077992.57</v>
      </c>
      <c r="R17" s="19" t="n">
        <v>40900.4066666667</v>
      </c>
      <c r="S17" s="20" t="n">
        <v>121186152</v>
      </c>
      <c r="T17" s="20" t="n">
        <v>26030856</v>
      </c>
      <c r="U17" s="20" t="n">
        <v>12130392</v>
      </c>
      <c r="V17" s="20" t="n">
        <v>83021328</v>
      </c>
      <c r="W17" s="21" t="n">
        <v>69.259184</v>
      </c>
      <c r="X17" s="21" t="n">
        <v>71.69599100000001</v>
      </c>
      <c r="Y17" s="21" t="n">
        <v>34.73383</v>
      </c>
      <c r="Z17" s="21" t="n">
        <v>44.9958053333334</v>
      </c>
      <c r="AA17" s="21" t="n">
        <v>45.472534</v>
      </c>
      <c r="AB17" s="22" t="n">
        <v>47200.2</v>
      </c>
      <c r="AC17" s="22" t="n">
        <v>18641.8</v>
      </c>
      <c r="AD17" s="22" t="n">
        <v>79.477</v>
      </c>
      <c r="AE17" s="22" t="n">
        <v>237.891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323397771</v>
      </c>
      <c r="AO17" s="19" t="n">
        <v>1077992.57</v>
      </c>
      <c r="AP17" s="19" t="n">
        <v>40900.4066666667</v>
      </c>
      <c r="AQ17" s="20" t="n">
        <v>121217032</v>
      </c>
      <c r="AR17" s="20" t="n">
        <v>26030536</v>
      </c>
      <c r="AS17" s="20" t="n">
        <v>12165360</v>
      </c>
      <c r="AT17" s="20" t="n">
        <v>83021008</v>
      </c>
      <c r="AU17" s="21" t="n">
        <v>69.259184</v>
      </c>
      <c r="AV17" s="21" t="n">
        <v>71.69599100000001</v>
      </c>
      <c r="AW17" s="21" t="n">
        <v>34.73383</v>
      </c>
      <c r="AX17" s="21" t="n">
        <v>44.9958053333334</v>
      </c>
      <c r="AY17" s="21" t="n">
        <v>45.472534</v>
      </c>
      <c r="AZ17" s="22" t="n">
        <v>45064.6</v>
      </c>
      <c r="BA17" s="22" t="n">
        <v>18443.8</v>
      </c>
      <c r="BB17" s="22" t="n">
        <v>84.52</v>
      </c>
      <c r="BC17" s="22" t="n">
        <v>255.221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300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337388370</v>
      </c>
      <c r="Q18" s="29" t="n">
        <v>1124627.9</v>
      </c>
      <c r="R18" s="29" t="n">
        <v>46577.4866666667</v>
      </c>
      <c r="S18" s="30" t="n">
        <v>217756272</v>
      </c>
      <c r="T18" s="30" t="n">
        <v>38653352</v>
      </c>
      <c r="U18" s="30" t="n">
        <v>12130392</v>
      </c>
      <c r="V18" s="30" t="n">
        <v>166968952</v>
      </c>
      <c r="W18" s="31" t="n">
        <v>70.3802243333334</v>
      </c>
      <c r="X18" s="31" t="n">
        <v>73.02017966666661</v>
      </c>
      <c r="Y18" s="31" t="n">
        <v>37.382725</v>
      </c>
      <c r="Z18" s="31" t="n">
        <v>46.3775256666667</v>
      </c>
      <c r="AA18" s="31" t="n">
        <v>46.915526</v>
      </c>
      <c r="AB18" s="32" t="n">
        <v>46569.9</v>
      </c>
      <c r="AC18" s="32" t="n">
        <v>21227.5</v>
      </c>
      <c r="AD18" s="32" t="n">
        <v>81.59</v>
      </c>
      <c r="AE18" s="32" t="n">
        <v>258.618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337388370</v>
      </c>
      <c r="AO18" s="29" t="n">
        <v>1124627.9</v>
      </c>
      <c r="AP18" s="29" t="n">
        <v>46577.4866666667</v>
      </c>
      <c r="AQ18" s="30" t="n">
        <v>217787152</v>
      </c>
      <c r="AR18" s="30" t="n">
        <v>38653032</v>
      </c>
      <c r="AS18" s="30" t="n">
        <v>12165360</v>
      </c>
      <c r="AT18" s="30" t="n">
        <v>166968632</v>
      </c>
      <c r="AU18" s="31" t="n">
        <v>70.3802243333334</v>
      </c>
      <c r="AV18" s="31" t="n">
        <v>73.02017966666661</v>
      </c>
      <c r="AW18" s="31" t="n">
        <v>37.382725</v>
      </c>
      <c r="AX18" s="31" t="n">
        <v>46.3775256666667</v>
      </c>
      <c r="AY18" s="31" t="n">
        <v>46.915526</v>
      </c>
      <c r="AZ18" s="32" t="n">
        <v>44583.4</v>
      </c>
      <c r="BA18" s="32" t="n">
        <v>21023.8</v>
      </c>
      <c r="BB18" s="32" t="n">
        <v>86.66800000000001</v>
      </c>
      <c r="BC18" s="32" t="n">
        <v>270.099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300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320609687</v>
      </c>
      <c r="Q19" s="39" t="n">
        <v>1068698.95666667</v>
      </c>
      <c r="R19" s="39" t="n">
        <v>20583.0866666667</v>
      </c>
      <c r="S19" s="40" t="n">
        <v>393884392</v>
      </c>
      <c r="T19" s="40" t="n">
        <v>59373368</v>
      </c>
      <c r="U19" s="40" t="n">
        <v>22717776</v>
      </c>
      <c r="V19" s="40" t="n">
        <v>311789672</v>
      </c>
      <c r="W19" s="41" t="n">
        <v>71.527456</v>
      </c>
      <c r="X19" s="41" t="n">
        <v>75.0874206666666</v>
      </c>
      <c r="Y19" s="41" t="n">
        <v>39.4934616666667</v>
      </c>
      <c r="Z19" s="41" t="n">
        <v>48.1753153333334</v>
      </c>
      <c r="AA19" s="41" t="n">
        <v>48.7684333333333</v>
      </c>
      <c r="AB19" s="42" t="n">
        <v>47144.1</v>
      </c>
      <c r="AC19" s="42" t="n">
        <v>25406.1</v>
      </c>
      <c r="AD19" s="42" t="n">
        <v>77.63800000000001</v>
      </c>
      <c r="AE19" s="42" t="n">
        <v>265.978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320609687</v>
      </c>
      <c r="AO19" s="39" t="n">
        <v>1068698.95666667</v>
      </c>
      <c r="AP19" s="39" t="n">
        <v>20583.0866666667</v>
      </c>
      <c r="AQ19" s="40" t="n">
        <v>393912192</v>
      </c>
      <c r="AR19" s="40" t="n">
        <v>59373048</v>
      </c>
      <c r="AS19" s="40" t="n">
        <v>22749664</v>
      </c>
      <c r="AT19" s="40" t="n">
        <v>311789352</v>
      </c>
      <c r="AU19" s="41" t="n">
        <v>71.527456</v>
      </c>
      <c r="AV19" s="41" t="n">
        <v>75.0874206666666</v>
      </c>
      <c r="AW19" s="41" t="n">
        <v>39.4934616666667</v>
      </c>
      <c r="AX19" s="41" t="n">
        <v>48.1753153333334</v>
      </c>
      <c r="AY19" s="41" t="n">
        <v>48.7684333333333</v>
      </c>
      <c r="AZ19" s="42" t="n">
        <v>44813.4</v>
      </c>
      <c r="BA19" s="42" t="n">
        <v>25095.3</v>
      </c>
      <c r="BB19" s="42" t="n">
        <v>80.517</v>
      </c>
      <c r="BC19" s="42" t="n">
        <v>275.909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250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233891467</v>
      </c>
      <c r="Q20" s="29" t="n">
        <v>935565.868</v>
      </c>
      <c r="R20" s="29" t="n">
        <v>26599.272</v>
      </c>
      <c r="S20" s="30" t="n">
        <v>25034784</v>
      </c>
      <c r="T20" s="30" t="n">
        <v>7271224</v>
      </c>
      <c r="U20" s="30" t="n">
        <v>7243568</v>
      </c>
      <c r="V20" s="30" t="n">
        <v>10517104</v>
      </c>
      <c r="W20" s="31" t="n">
        <v>67.2702816</v>
      </c>
      <c r="X20" s="31" t="n">
        <v>69.0697436</v>
      </c>
      <c r="Y20" s="31" t="n">
        <v>31.2330636</v>
      </c>
      <c r="Z20" s="31" t="n">
        <v>40.3565912</v>
      </c>
      <c r="AA20" s="31" t="n">
        <v>39.2198392</v>
      </c>
      <c r="AB20" s="32" t="n">
        <v>40560.5</v>
      </c>
      <c r="AC20" s="32" t="n">
        <v>11778.4</v>
      </c>
      <c r="AD20" s="32" t="n">
        <v>68.751</v>
      </c>
      <c r="AE20" s="32" t="n">
        <v>191.064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233891467</v>
      </c>
      <c r="AO20" s="29" t="n">
        <v>935565.868</v>
      </c>
      <c r="AP20" s="29" t="n">
        <v>26599.272</v>
      </c>
      <c r="AQ20" s="30" t="n">
        <v>25056224</v>
      </c>
      <c r="AR20" s="30" t="n">
        <v>7270968</v>
      </c>
      <c r="AS20" s="30" t="n">
        <v>7268280</v>
      </c>
      <c r="AT20" s="30" t="n">
        <v>10516848</v>
      </c>
      <c r="AU20" s="31" t="n">
        <v>67.2702816</v>
      </c>
      <c r="AV20" s="31" t="n">
        <v>69.0697436</v>
      </c>
      <c r="AW20" s="31" t="n">
        <v>31.2330636</v>
      </c>
      <c r="AX20" s="31" t="n">
        <v>40.3565912</v>
      </c>
      <c r="AY20" s="31" t="n">
        <v>39.2198392</v>
      </c>
      <c r="AZ20" s="32" t="n">
        <v>38089.9</v>
      </c>
      <c r="BA20" s="32" t="n">
        <v>11520.4</v>
      </c>
      <c r="BB20" s="32" t="n">
        <v>62.486</v>
      </c>
      <c r="BC20" s="32" t="n">
        <v>180.528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250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243988700</v>
      </c>
      <c r="Q21" s="19" t="n">
        <v>975954.8</v>
      </c>
      <c r="R21" s="19" t="n">
        <v>32156.404</v>
      </c>
      <c r="S21" s="20" t="n">
        <v>38750872</v>
      </c>
      <c r="T21" s="20" t="n">
        <v>9948296</v>
      </c>
      <c r="U21" s="20" t="n">
        <v>7243568</v>
      </c>
      <c r="V21" s="20" t="n">
        <v>21556120</v>
      </c>
      <c r="W21" s="21" t="n">
        <v>68.865708</v>
      </c>
      <c r="X21" s="21" t="n">
        <v>71.0086148</v>
      </c>
      <c r="Y21" s="21" t="n">
        <v>33.0945436</v>
      </c>
      <c r="Z21" s="21" t="n">
        <v>41.5326836</v>
      </c>
      <c r="AA21" s="21" t="n">
        <v>40.53563</v>
      </c>
      <c r="AB21" s="22" t="n">
        <v>40114.6</v>
      </c>
      <c r="AC21" s="22" t="n">
        <v>12679.1</v>
      </c>
      <c r="AD21" s="22" t="n">
        <v>65.402</v>
      </c>
      <c r="AE21" s="22" t="n">
        <v>199.986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243988700</v>
      </c>
      <c r="AO21" s="19" t="n">
        <v>975954.8</v>
      </c>
      <c r="AP21" s="19" t="n">
        <v>32156.404</v>
      </c>
      <c r="AQ21" s="20" t="n">
        <v>38772312</v>
      </c>
      <c r="AR21" s="20" t="n">
        <v>9948040</v>
      </c>
      <c r="AS21" s="20" t="n">
        <v>7268280</v>
      </c>
      <c r="AT21" s="20" t="n">
        <v>21555864</v>
      </c>
      <c r="AU21" s="21" t="n">
        <v>68.865708</v>
      </c>
      <c r="AV21" s="21" t="n">
        <v>71.0086148</v>
      </c>
      <c r="AW21" s="21" t="n">
        <v>33.0945436</v>
      </c>
      <c r="AX21" s="21" t="n">
        <v>41.5326836</v>
      </c>
      <c r="AY21" s="21" t="n">
        <v>40.53563</v>
      </c>
      <c r="AZ21" s="22" t="n">
        <v>38445.6</v>
      </c>
      <c r="BA21" s="22" t="n">
        <v>12418.2</v>
      </c>
      <c r="BB21" s="22" t="n">
        <v>62.57</v>
      </c>
      <c r="BC21" s="22" t="n">
        <v>184.18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250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255426595</v>
      </c>
      <c r="Q22" s="29" t="n">
        <v>1021706.38</v>
      </c>
      <c r="R22" s="29" t="n">
        <v>34619.4</v>
      </c>
      <c r="S22" s="30" t="n">
        <v>63503312</v>
      </c>
      <c r="T22" s="30" t="n">
        <v>13996424</v>
      </c>
      <c r="U22" s="30" t="n">
        <v>7243568</v>
      </c>
      <c r="V22" s="30" t="n">
        <v>42260432</v>
      </c>
      <c r="W22" s="31" t="n">
        <v>70.0138676</v>
      </c>
      <c r="X22" s="31" t="n">
        <v>72.43262679999999</v>
      </c>
      <c r="Y22" s="31" t="n">
        <v>35.0209396</v>
      </c>
      <c r="Z22" s="31" t="n">
        <v>42.60032</v>
      </c>
      <c r="AA22" s="31" t="n">
        <v>41.654076</v>
      </c>
      <c r="AB22" s="32" t="n">
        <v>41041.9</v>
      </c>
      <c r="AC22" s="32" t="n">
        <v>13492.3</v>
      </c>
      <c r="AD22" s="32" t="n">
        <v>65.83</v>
      </c>
      <c r="AE22" s="32" t="n">
        <v>194.111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255426595</v>
      </c>
      <c r="AO22" s="29" t="n">
        <v>1021706.38</v>
      </c>
      <c r="AP22" s="29" t="n">
        <v>34619.4</v>
      </c>
      <c r="AQ22" s="30" t="n">
        <v>63524752</v>
      </c>
      <c r="AR22" s="30" t="n">
        <v>13996168</v>
      </c>
      <c r="AS22" s="30" t="n">
        <v>7268280</v>
      </c>
      <c r="AT22" s="30" t="n">
        <v>42260176</v>
      </c>
      <c r="AU22" s="31" t="n">
        <v>70.0138676</v>
      </c>
      <c r="AV22" s="31" t="n">
        <v>72.43262679999999</v>
      </c>
      <c r="AW22" s="31" t="n">
        <v>35.0209396</v>
      </c>
      <c r="AX22" s="31" t="n">
        <v>42.60032</v>
      </c>
      <c r="AY22" s="31" t="n">
        <v>41.654076</v>
      </c>
      <c r="AZ22" s="32" t="n">
        <v>38336.5</v>
      </c>
      <c r="BA22" s="32" t="n">
        <v>13301.5</v>
      </c>
      <c r="BB22" s="32" t="n">
        <v>61.772</v>
      </c>
      <c r="BC22" s="32" t="n">
        <v>185.974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250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255507716</v>
      </c>
      <c r="Q23" s="19" t="n">
        <v>1022030.864</v>
      </c>
      <c r="R23" s="19" t="n">
        <v>36611.196</v>
      </c>
      <c r="S23" s="20" t="n">
        <v>109864296</v>
      </c>
      <c r="T23" s="20" t="n">
        <v>20924512</v>
      </c>
      <c r="U23" s="20" t="n">
        <v>7243568</v>
      </c>
      <c r="V23" s="20" t="n">
        <v>81693328</v>
      </c>
      <c r="W23" s="21" t="n">
        <v>71.0349224</v>
      </c>
      <c r="X23" s="21" t="n">
        <v>73.7803392</v>
      </c>
      <c r="Y23" s="21" t="n">
        <v>36.6216672</v>
      </c>
      <c r="Z23" s="21" t="n">
        <v>43.9182056</v>
      </c>
      <c r="AA23" s="21" t="n">
        <v>42.8790936</v>
      </c>
      <c r="AB23" s="22" t="n">
        <v>40094.8</v>
      </c>
      <c r="AC23" s="22" t="n">
        <v>15076.4</v>
      </c>
      <c r="AD23" s="22" t="n">
        <v>68.342</v>
      </c>
      <c r="AE23" s="22" t="n">
        <v>205.198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255507716</v>
      </c>
      <c r="AO23" s="19" t="n">
        <v>1022030.864</v>
      </c>
      <c r="AP23" s="19" t="n">
        <v>36611.196</v>
      </c>
      <c r="AQ23" s="20" t="n">
        <v>109885736</v>
      </c>
      <c r="AR23" s="20" t="n">
        <v>20924256</v>
      </c>
      <c r="AS23" s="20" t="n">
        <v>7268280</v>
      </c>
      <c r="AT23" s="20" t="n">
        <v>81693072</v>
      </c>
      <c r="AU23" s="21" t="n">
        <v>71.0349224</v>
      </c>
      <c r="AV23" s="21" t="n">
        <v>73.7803392</v>
      </c>
      <c r="AW23" s="21" t="n">
        <v>36.6216672</v>
      </c>
      <c r="AX23" s="21" t="n">
        <v>43.9182056</v>
      </c>
      <c r="AY23" s="21" t="n">
        <v>42.8790936</v>
      </c>
      <c r="AZ23" s="22" t="n">
        <v>38256.7</v>
      </c>
      <c r="BA23" s="22" t="n">
        <v>14788.7</v>
      </c>
      <c r="BB23" s="22" t="n">
        <v>58.829</v>
      </c>
      <c r="BC23" s="22" t="n">
        <v>180.521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250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245537984</v>
      </c>
      <c r="Q24" s="49" t="n">
        <v>982151.936</v>
      </c>
      <c r="R24" s="49" t="n">
        <v>18259.372</v>
      </c>
      <c r="S24" s="50" t="n">
        <v>187670128</v>
      </c>
      <c r="T24" s="50" t="n">
        <v>32582464</v>
      </c>
      <c r="U24" s="50" t="n">
        <v>13827672</v>
      </c>
      <c r="V24" s="50" t="n">
        <v>141257104</v>
      </c>
      <c r="W24" s="51" t="n">
        <v>72.00657440000001</v>
      </c>
      <c r="X24" s="51" t="n">
        <v>75.86320480000001</v>
      </c>
      <c r="Y24" s="51" t="n">
        <v>37.6540432</v>
      </c>
      <c r="Z24" s="51" t="n">
        <v>44.9042144</v>
      </c>
      <c r="AA24" s="51" t="n">
        <v>43.63603</v>
      </c>
      <c r="AB24" s="52" t="n">
        <v>41108.7</v>
      </c>
      <c r="AC24" s="52" t="n">
        <v>17094.2</v>
      </c>
      <c r="AD24" s="52" t="n">
        <v>61.623</v>
      </c>
      <c r="AE24" s="52" t="n">
        <v>205.226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245537984</v>
      </c>
      <c r="AO24" s="49" t="n">
        <v>982151.936</v>
      </c>
      <c r="AP24" s="49" t="n">
        <v>18259.372</v>
      </c>
      <c r="AQ24" s="50" t="n">
        <v>187689760</v>
      </c>
      <c r="AR24" s="50" t="n">
        <v>32582208</v>
      </c>
      <c r="AS24" s="50" t="n">
        <v>13850576</v>
      </c>
      <c r="AT24" s="50" t="n">
        <v>141256848</v>
      </c>
      <c r="AU24" s="51" t="n">
        <v>72.00657440000001</v>
      </c>
      <c r="AV24" s="51" t="n">
        <v>75.86320480000001</v>
      </c>
      <c r="AW24" s="51" t="n">
        <v>37.6540432</v>
      </c>
      <c r="AX24" s="51" t="n">
        <v>44.9042144</v>
      </c>
      <c r="AY24" s="51" t="n">
        <v>43.63603</v>
      </c>
      <c r="AZ24" s="52" t="n">
        <v>38770.8</v>
      </c>
      <c r="BA24" s="52" t="n">
        <v>16612.8</v>
      </c>
      <c r="BB24" s="52" t="n">
        <v>57.929</v>
      </c>
      <c r="BC24" s="52" t="n">
        <v>195.497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300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228402566</v>
      </c>
      <c r="Q25" s="19" t="n">
        <v>761341.8866666669</v>
      </c>
      <c r="R25" s="19" t="n">
        <v>18706.0966666667</v>
      </c>
      <c r="S25" s="20" t="n">
        <v>49935984</v>
      </c>
      <c r="T25" s="20" t="n">
        <v>9285000</v>
      </c>
      <c r="U25" s="20" t="n">
        <v>7858088</v>
      </c>
      <c r="V25" s="20" t="n">
        <v>32789320</v>
      </c>
      <c r="W25" s="21" t="n">
        <v>66.2978696666667</v>
      </c>
      <c r="X25" s="21" t="n">
        <v>68.1334396666667</v>
      </c>
      <c r="Y25" s="21" t="n">
        <v>27.461544</v>
      </c>
      <c r="Z25" s="21" t="n">
        <v>33.2126553333333</v>
      </c>
      <c r="AA25" s="21" t="n">
        <v>32.6799443333333</v>
      </c>
      <c r="AB25" s="22" t="n">
        <v>39208.8</v>
      </c>
      <c r="AC25" s="22" t="n">
        <v>14943.3</v>
      </c>
      <c r="AD25" s="22" t="n">
        <v>67.703</v>
      </c>
      <c r="AE25" s="22" t="n">
        <v>238.67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228402566</v>
      </c>
      <c r="AO25" s="19" t="n">
        <v>761341.8866666669</v>
      </c>
      <c r="AP25" s="19" t="n">
        <v>18706.0966666667</v>
      </c>
      <c r="AQ25" s="20" t="n">
        <v>49953696</v>
      </c>
      <c r="AR25" s="20" t="n">
        <v>9284680</v>
      </c>
      <c r="AS25" s="20" t="n">
        <v>7879888</v>
      </c>
      <c r="AT25" s="20" t="n">
        <v>32789000</v>
      </c>
      <c r="AU25" s="21" t="n">
        <v>66.2978696666667</v>
      </c>
      <c r="AV25" s="21" t="n">
        <v>68.1334396666667</v>
      </c>
      <c r="AW25" s="21" t="n">
        <v>27.461544</v>
      </c>
      <c r="AX25" s="21" t="n">
        <v>33.2126553333333</v>
      </c>
      <c r="AY25" s="21" t="n">
        <v>32.6799443333333</v>
      </c>
      <c r="AZ25" s="22" t="n">
        <v>36464.5</v>
      </c>
      <c r="BA25" s="22" t="n">
        <v>14601.9</v>
      </c>
      <c r="BB25" s="22" t="n">
        <v>65.979</v>
      </c>
      <c r="BC25" s="22" t="n">
        <v>227.647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300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246681158</v>
      </c>
      <c r="Q26" s="29" t="n">
        <v>822270.526666667</v>
      </c>
      <c r="R26" s="29" t="n">
        <v>24096.4966666667</v>
      </c>
      <c r="S26" s="30" t="n">
        <v>86189696</v>
      </c>
      <c r="T26" s="30" t="n">
        <v>12851112</v>
      </c>
      <c r="U26" s="30" t="n">
        <v>7858088</v>
      </c>
      <c r="V26" s="30" t="n">
        <v>65476920</v>
      </c>
      <c r="W26" s="31" t="n">
        <v>68.0764093333333</v>
      </c>
      <c r="X26" s="31" t="n">
        <v>70.0892896666667</v>
      </c>
      <c r="Y26" s="31" t="n">
        <v>29.8804653333333</v>
      </c>
      <c r="Z26" s="31" t="n">
        <v>34.396764</v>
      </c>
      <c r="AA26" s="31" t="n">
        <v>34.0137196666667</v>
      </c>
      <c r="AB26" s="32" t="n">
        <v>38681.6</v>
      </c>
      <c r="AC26" s="32" t="n">
        <v>15941.4</v>
      </c>
      <c r="AD26" s="32" t="n">
        <v>75.20999999999999</v>
      </c>
      <c r="AE26" s="32" t="n">
        <v>258.686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246681158</v>
      </c>
      <c r="AO26" s="29" t="n">
        <v>822270.526666667</v>
      </c>
      <c r="AP26" s="29" t="n">
        <v>24096.4966666667</v>
      </c>
      <c r="AQ26" s="30" t="n">
        <v>86207408</v>
      </c>
      <c r="AR26" s="30" t="n">
        <v>12850792</v>
      </c>
      <c r="AS26" s="30" t="n">
        <v>7879888</v>
      </c>
      <c r="AT26" s="30" t="n">
        <v>65476600</v>
      </c>
      <c r="AU26" s="31" t="n">
        <v>68.0764093333333</v>
      </c>
      <c r="AV26" s="31" t="n">
        <v>70.0892896666667</v>
      </c>
      <c r="AW26" s="31" t="n">
        <v>29.8804653333333</v>
      </c>
      <c r="AX26" s="31" t="n">
        <v>34.396764</v>
      </c>
      <c r="AY26" s="31" t="n">
        <v>34.0137196666667</v>
      </c>
      <c r="AZ26" s="32" t="n">
        <v>36622.2</v>
      </c>
      <c r="BA26" s="32" t="n">
        <v>15435.5</v>
      </c>
      <c r="BB26" s="32" t="n">
        <v>71.206</v>
      </c>
      <c r="BC26" s="32" t="n">
        <v>244.831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300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250211149</v>
      </c>
      <c r="Q27" s="19" t="n">
        <v>834037.163333333</v>
      </c>
      <c r="R27" s="19" t="n">
        <v>25647.3066666667</v>
      </c>
      <c r="S27" s="20" t="n">
        <v>156226816</v>
      </c>
      <c r="T27" s="20" t="n">
        <v>18049256</v>
      </c>
      <c r="U27" s="20" t="n">
        <v>7858088</v>
      </c>
      <c r="V27" s="20" t="n">
        <v>130315896</v>
      </c>
      <c r="W27" s="21" t="n">
        <v>69.4455103333334</v>
      </c>
      <c r="X27" s="21" t="n">
        <v>71.81787</v>
      </c>
      <c r="Y27" s="21" t="n">
        <v>32.3827603333333</v>
      </c>
      <c r="Z27" s="21" t="n">
        <v>35.684688</v>
      </c>
      <c r="AA27" s="21" t="n">
        <v>35.3702716666666</v>
      </c>
      <c r="AB27" s="22" t="n">
        <v>38406.8</v>
      </c>
      <c r="AC27" s="22" t="n">
        <v>17618.3</v>
      </c>
      <c r="AD27" s="22" t="n">
        <v>71.553</v>
      </c>
      <c r="AE27" s="22" t="n">
        <v>255.581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250211149</v>
      </c>
      <c r="AO27" s="19" t="n">
        <v>834037.163333333</v>
      </c>
      <c r="AP27" s="19" t="n">
        <v>25647.3066666667</v>
      </c>
      <c r="AQ27" s="20" t="n">
        <v>156244528</v>
      </c>
      <c r="AR27" s="20" t="n">
        <v>18048936</v>
      </c>
      <c r="AS27" s="20" t="n">
        <v>7879888</v>
      </c>
      <c r="AT27" s="20" t="n">
        <v>130315576</v>
      </c>
      <c r="AU27" s="21" t="n">
        <v>69.4455103333334</v>
      </c>
      <c r="AV27" s="21" t="n">
        <v>71.81787</v>
      </c>
      <c r="AW27" s="21" t="n">
        <v>32.3827603333333</v>
      </c>
      <c r="AX27" s="21" t="n">
        <v>35.684688</v>
      </c>
      <c r="AY27" s="21" t="n">
        <v>35.3702716666666</v>
      </c>
      <c r="AZ27" s="22" t="n">
        <v>36432.8</v>
      </c>
      <c r="BA27" s="22" t="n">
        <v>17011.3</v>
      </c>
      <c r="BB27" s="22" t="n">
        <v>71.06</v>
      </c>
      <c r="BC27" s="22" t="n">
        <v>258.885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300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259708182</v>
      </c>
      <c r="Q28" s="29" t="n">
        <v>865693.9399999999</v>
      </c>
      <c r="R28" s="29" t="n">
        <v>29254.7333333333</v>
      </c>
      <c r="S28" s="30" t="n">
        <v>295450816</v>
      </c>
      <c r="T28" s="30" t="n">
        <v>26657464</v>
      </c>
      <c r="U28" s="30" t="n">
        <v>7858088</v>
      </c>
      <c r="V28" s="30" t="n">
        <v>260931688</v>
      </c>
      <c r="W28" s="31" t="n">
        <v>70.48349766666669</v>
      </c>
      <c r="X28" s="31" t="n">
        <v>73.07814</v>
      </c>
      <c r="Y28" s="31" t="n">
        <v>34.795008</v>
      </c>
      <c r="Z28" s="31" t="n">
        <v>37.532067</v>
      </c>
      <c r="AA28" s="31" t="n">
        <v>37.1497343333333</v>
      </c>
      <c r="AB28" s="32" t="n">
        <v>38571.6</v>
      </c>
      <c r="AC28" s="32" t="n">
        <v>20390.8</v>
      </c>
      <c r="AD28" s="32" t="n">
        <v>72.358</v>
      </c>
      <c r="AE28" s="32" t="n">
        <v>269.043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259708182</v>
      </c>
      <c r="AO28" s="29" t="n">
        <v>865693.9399999999</v>
      </c>
      <c r="AP28" s="29" t="n">
        <v>29254.7333333333</v>
      </c>
      <c r="AQ28" s="30" t="n">
        <v>295468528</v>
      </c>
      <c r="AR28" s="30" t="n">
        <v>26657144</v>
      </c>
      <c r="AS28" s="30" t="n">
        <v>7879888</v>
      </c>
      <c r="AT28" s="30" t="n">
        <v>260931368</v>
      </c>
      <c r="AU28" s="31" t="n">
        <v>70.48349766666669</v>
      </c>
      <c r="AV28" s="31" t="n">
        <v>73.07814</v>
      </c>
      <c r="AW28" s="31" t="n">
        <v>34.795008</v>
      </c>
      <c r="AX28" s="31" t="n">
        <v>37.532067</v>
      </c>
      <c r="AY28" s="31" t="n">
        <v>37.1497343333333</v>
      </c>
      <c r="AZ28" s="32" t="n">
        <v>36383.8</v>
      </c>
      <c r="BA28" s="32" t="n">
        <v>19933.6</v>
      </c>
      <c r="BB28" s="32" t="n">
        <v>70.851</v>
      </c>
      <c r="BC28" s="32" t="n">
        <v>267.063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300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248741107</v>
      </c>
      <c r="Q29" s="39" t="n">
        <v>829137.023333333</v>
      </c>
      <c r="R29" s="39" t="n">
        <v>13084.58</v>
      </c>
      <c r="S29" s="40" t="n">
        <v>514609456</v>
      </c>
      <c r="T29" s="40" t="n">
        <v>40715032</v>
      </c>
      <c r="U29" s="40" t="n">
        <v>14834368</v>
      </c>
      <c r="V29" s="40" t="n">
        <v>459056480</v>
      </c>
      <c r="W29" s="41" t="n">
        <v>71.5725823333334</v>
      </c>
      <c r="X29" s="41" t="n">
        <v>75.0008366666667</v>
      </c>
      <c r="Y29" s="41" t="n">
        <v>36.4511846666666</v>
      </c>
      <c r="Z29" s="41" t="n">
        <v>39.6185743333333</v>
      </c>
      <c r="AA29" s="41" t="n">
        <v>39.020491</v>
      </c>
      <c r="AB29" s="42" t="n">
        <v>38724.4</v>
      </c>
      <c r="AC29" s="42" t="n">
        <v>23749.8</v>
      </c>
      <c r="AD29" s="42" t="n">
        <v>64.152</v>
      </c>
      <c r="AE29" s="42" t="n">
        <v>268.324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248741107</v>
      </c>
      <c r="AO29" s="39" t="n">
        <v>829137.023333333</v>
      </c>
      <c r="AP29" s="39" t="n">
        <v>13084.58</v>
      </c>
      <c r="AQ29" s="40" t="n">
        <v>514624224</v>
      </c>
      <c r="AR29" s="40" t="n">
        <v>40714712</v>
      </c>
      <c r="AS29" s="40" t="n">
        <v>14853224</v>
      </c>
      <c r="AT29" s="40" t="n">
        <v>459056160</v>
      </c>
      <c r="AU29" s="41" t="n">
        <v>71.5725823333334</v>
      </c>
      <c r="AV29" s="41" t="n">
        <v>75.0008366666667</v>
      </c>
      <c r="AW29" s="41" t="n">
        <v>36.4511846666666</v>
      </c>
      <c r="AX29" s="41" t="n">
        <v>39.6185743333333</v>
      </c>
      <c r="AY29" s="41" t="n">
        <v>39.020491</v>
      </c>
      <c r="AZ29" s="42" t="n">
        <v>36095.4</v>
      </c>
      <c r="BA29" s="42" t="n">
        <v>23427.5</v>
      </c>
      <c r="BB29" s="42" t="n">
        <v>68.289</v>
      </c>
      <c r="BC29" s="42" t="n">
        <v>286.834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X274"/>
  <sheetViews>
    <sheetView workbookViewId="0">
      <selection activeCell="A1" sqref="A1"/>
    </sheetView>
  </sheetViews>
  <sheetFormatPr baseColWidth="8" defaultRowHeight="14.4"/>
  <sheetData>
    <row r="1">
      <c r="A1" t="inlineStr">
        <is>
          <t>col.C2 lossyG,lossyA,intra.class</t>
        </is>
      </c>
      <c r="B1" t="n">
        <v>1</v>
      </c>
    </row>
    <row r="2">
      <c r="A2" t="inlineStr">
        <is>
          <t>col.C2 lossyG,lossyA,intra.sequence</t>
        </is>
      </c>
      <c r="B2" t="n">
        <v>2</v>
      </c>
    </row>
    <row r="3">
      <c r="A3" t="inlineStr">
        <is>
          <t>col.C2 lossyG,lossyA,intra.variant</t>
        </is>
      </c>
      <c r="B3" t="n">
        <v>3</v>
      </c>
    </row>
    <row r="4">
      <c r="A4" t="inlineStr">
        <is>
          <t>col.C2 lossyG,lossyA,intra.src.numpoints</t>
        </is>
      </c>
      <c r="B4" t="n">
        <v>4</v>
      </c>
    </row>
    <row r="5">
      <c r="A5" t="inlineStr">
        <is>
          <t>col.C2 lossyG,lossyA,intra.src.geometry-precision</t>
        </is>
      </c>
      <c r="B5" t="n">
        <v>5</v>
      </c>
    </row>
    <row r="6">
      <c r="A6" t="inlineStr">
        <is>
          <t>col.C2 lossyG,lossyA,intra.src.framecount</t>
        </is>
      </c>
      <c r="B6" t="n">
        <v>6</v>
      </c>
    </row>
    <row r="7">
      <c r="A7" t="inlineStr">
        <is>
          <t>col.C2 lossyG,lossyA,intra.src.framerate</t>
        </is>
      </c>
      <c r="B7" t="n">
        <v>7</v>
      </c>
    </row>
    <row r="8">
      <c r="A8" t="inlineStr">
        <is>
          <t>col.C2 lossyG,lossyA,intra.A.eqn.bitrate</t>
        </is>
      </c>
      <c r="B8" t="n">
        <v>9</v>
      </c>
    </row>
    <row r="9">
      <c r="A9" t="inlineStr">
        <is>
          <t>col.C2 lossyG,lossyA,intra.A.eqn.bpp</t>
        </is>
      </c>
      <c r="B9" t="n">
        <v>10</v>
      </c>
    </row>
    <row r="10">
      <c r="A10" t="inlineStr">
        <is>
          <t>col.C2 lossyG,lossyA,intra.A.eqn.bpp.geometry+occ+patch</t>
        </is>
      </c>
      <c r="B10" t="n">
        <v>11</v>
      </c>
    </row>
    <row r="11">
      <c r="A11" t="inlineStr">
        <is>
          <t>col.C2 lossyG,lossyA,intra.A.eqn.bpp.geometry</t>
        </is>
      </c>
      <c r="B11" t="n">
        <v>12</v>
      </c>
    </row>
    <row r="12">
      <c r="A12" t="inlineStr">
        <is>
          <t>col.C2 lossyG,lossyA,intra.A.eqn.bpp.colour</t>
        </is>
      </c>
      <c r="B12" t="n">
        <v>13</v>
      </c>
    </row>
    <row r="13">
      <c r="A13" t="inlineStr">
        <is>
          <t>col.C2 lossyG,lossyA,intra.A.eqn.bits.totalgeometry</t>
        </is>
      </c>
      <c r="B13" t="n">
        <v>14</v>
      </c>
    </row>
    <row r="14">
      <c r="A14" t="inlineStr">
        <is>
          <t>col.C2 lossyG,lossyA,intra.A.eqn.bpop</t>
        </is>
      </c>
      <c r="B14" t="n">
        <v>15</v>
      </c>
    </row>
    <row r="15">
      <c r="A15" t="inlineStr">
        <is>
          <t>col.C2 lossyG,lossyA,intra.A.dec.numpoints</t>
        </is>
      </c>
      <c r="B15" t="n">
        <v>16</v>
      </c>
    </row>
    <row r="16">
      <c r="A16" t="inlineStr">
        <is>
          <t>col.C2 lossyG,lossyA,intra.A.dec.numpoints.mean</t>
        </is>
      </c>
      <c r="B16" t="n">
        <v>17</v>
      </c>
    </row>
    <row r="17">
      <c r="A17" t="inlineStr">
        <is>
          <t>col.C2 lossyG,lossyA,intra.A.dec.numduppoints.mean</t>
        </is>
      </c>
      <c r="B17" t="n">
        <v>18</v>
      </c>
    </row>
    <row r="18">
      <c r="A18" t="inlineStr">
        <is>
          <t>col.C2 lossyG,lossyA,intra.A.enc.ext.bits</t>
        </is>
      </c>
      <c r="B18" t="n">
        <v>19</v>
      </c>
    </row>
    <row r="19">
      <c r="A19" t="inlineStr">
        <is>
          <t>col.C2 lossyG,lossyA,intra.A.enc.bits.geometry</t>
        </is>
      </c>
      <c r="B19" t="n">
        <v>20</v>
      </c>
    </row>
    <row r="20">
      <c r="A20" t="inlineStr">
        <is>
          <t>col.C2 lossyG,lossyA,intra.A.enc.bits.occ+patch</t>
        </is>
      </c>
      <c r="B20" t="n">
        <v>21</v>
      </c>
    </row>
    <row r="21">
      <c r="A21" t="inlineStr">
        <is>
          <t>col.C2 lossyG,lossyA,intra.A.enc.bits.colour</t>
        </is>
      </c>
      <c r="B21" t="n">
        <v>22</v>
      </c>
    </row>
    <row r="22">
      <c r="A22" t="inlineStr">
        <is>
          <t>col.C2 lossyG,lossyA,intra.A.dec.d1-psnr</t>
        </is>
      </c>
      <c r="B22" t="n">
        <v>23</v>
      </c>
    </row>
    <row r="23">
      <c r="A23" t="inlineStr">
        <is>
          <t>col.C2 lossyG,lossyA,intra.A.dec.d2-psnr</t>
        </is>
      </c>
      <c r="B23" t="n">
        <v>24</v>
      </c>
    </row>
    <row r="24">
      <c r="A24" t="inlineStr">
        <is>
          <t>col.C2 lossyG,lossyA,intra.A.dec.y-psnr</t>
        </is>
      </c>
      <c r="B24" t="n">
        <v>25</v>
      </c>
    </row>
    <row r="25">
      <c r="A25" t="inlineStr">
        <is>
          <t>col.C2 lossyG,lossyA,intra.A.dec.cb-psnr</t>
        </is>
      </c>
      <c r="B25" t="n">
        <v>26</v>
      </c>
    </row>
    <row r="26">
      <c r="A26" t="inlineStr">
        <is>
          <t>col.C2 lossyG,lossyA,intra.A.dec.cr-psnr</t>
        </is>
      </c>
      <c r="B26" t="n">
        <v>27</v>
      </c>
    </row>
    <row r="27">
      <c r="A27" t="inlineStr">
        <is>
          <t>col.C2 lossyG,lossyA,intra.A.enc.utime.self</t>
        </is>
      </c>
      <c r="B27" t="n">
        <v>28</v>
      </c>
    </row>
    <row r="28">
      <c r="A28" t="inlineStr">
        <is>
          <t>col.C2 lossyG,lossyA,intra.A.enc.utime.children</t>
        </is>
      </c>
      <c r="B28" t="n">
        <v>29</v>
      </c>
    </row>
    <row r="29">
      <c r="A29" t="inlineStr">
        <is>
          <t>col.C2 lossyG,lossyA,intra.A.dec.utime.self</t>
        </is>
      </c>
      <c r="B29" t="n">
        <v>30</v>
      </c>
    </row>
    <row r="30">
      <c r="A30" t="inlineStr">
        <is>
          <t>col.C2 lossyG,lossyA,intra.A.dec.utime.children</t>
        </is>
      </c>
      <c r="B30" t="n">
        <v>31</v>
      </c>
    </row>
    <row r="31">
      <c r="A31" t="inlineStr">
        <is>
          <t>col.C2 lossyG,lossyA,intra.B.eqn.bitrate</t>
        </is>
      </c>
      <c r="B31" t="n">
        <v>33</v>
      </c>
    </row>
    <row r="32">
      <c r="A32" t="inlineStr">
        <is>
          <t>col.C2 lossyG,lossyA,intra.B.eqn.bpp</t>
        </is>
      </c>
      <c r="B32" t="n">
        <v>34</v>
      </c>
    </row>
    <row r="33">
      <c r="A33" t="inlineStr">
        <is>
          <t>col.C2 lossyG,lossyA,intra.B.eqn.bpp.geometry+occ+patch</t>
        </is>
      </c>
      <c r="B33" t="n">
        <v>35</v>
      </c>
    </row>
    <row r="34">
      <c r="A34" t="inlineStr">
        <is>
          <t>col.C2 lossyG,lossyA,intra.B.eqn.bpp.geometry</t>
        </is>
      </c>
      <c r="B34" t="n">
        <v>36</v>
      </c>
    </row>
    <row r="35">
      <c r="A35" t="inlineStr">
        <is>
          <t>col.C2 lossyG,lossyA,intra.B.eqn.bpp.colour</t>
        </is>
      </c>
      <c r="B35" t="n">
        <v>37</v>
      </c>
    </row>
    <row r="36">
      <c r="A36" t="inlineStr">
        <is>
          <t>col.C2 lossyG,lossyA,intra.B.eqn.bits.totalgeometry</t>
        </is>
      </c>
      <c r="B36" t="n">
        <v>38</v>
      </c>
    </row>
    <row r="37">
      <c r="A37" t="inlineStr">
        <is>
          <t>col.C2 lossyG,lossyA,intra.B.eqn.bpop</t>
        </is>
      </c>
      <c r="B37" t="n">
        <v>39</v>
      </c>
    </row>
    <row r="38">
      <c r="A38" t="inlineStr">
        <is>
          <t>col.C2 lossyG,lossyA,intra.B.dec.numpoints</t>
        </is>
      </c>
      <c r="B38" t="n">
        <v>40</v>
      </c>
    </row>
    <row r="39">
      <c r="A39" t="inlineStr">
        <is>
          <t>col.C2 lossyG,lossyA,intra.B.dec.numpoints.mean</t>
        </is>
      </c>
      <c r="B39" t="n">
        <v>41</v>
      </c>
    </row>
    <row r="40">
      <c r="A40" t="inlineStr">
        <is>
          <t>col.C2 lossyG,lossyA,intra.B.dec.numduppoints.mean</t>
        </is>
      </c>
      <c r="B40" t="n">
        <v>42</v>
      </c>
    </row>
    <row r="41">
      <c r="A41" t="inlineStr">
        <is>
          <t>col.C2 lossyG,lossyA,intra.B.enc.ext.bits</t>
        </is>
      </c>
      <c r="B41" t="n">
        <v>43</v>
      </c>
    </row>
    <row r="42">
      <c r="A42" t="inlineStr">
        <is>
          <t>col.C2 lossyG,lossyA,intra.B.enc.bits.geometry</t>
        </is>
      </c>
      <c r="B42" t="n">
        <v>44</v>
      </c>
    </row>
    <row r="43">
      <c r="A43" t="inlineStr">
        <is>
          <t>col.C2 lossyG,lossyA,intra.B.enc.bits.occ+patch</t>
        </is>
      </c>
      <c r="B43" t="n">
        <v>45</v>
      </c>
    </row>
    <row r="44">
      <c r="A44" t="inlineStr">
        <is>
          <t>col.C2 lossyG,lossyA,intra.B.enc.bits.colour</t>
        </is>
      </c>
      <c r="B44" t="n">
        <v>46</v>
      </c>
    </row>
    <row r="45">
      <c r="A45" t="inlineStr">
        <is>
          <t>col.C2 lossyG,lossyA,intra.B.dec.d1-psnr</t>
        </is>
      </c>
      <c r="B45" t="n">
        <v>47</v>
      </c>
    </row>
    <row r="46">
      <c r="A46" t="inlineStr">
        <is>
          <t>col.C2 lossyG,lossyA,intra.B.dec.d2-psnr</t>
        </is>
      </c>
      <c r="B46" t="n">
        <v>48</v>
      </c>
    </row>
    <row r="47">
      <c r="A47" t="inlineStr">
        <is>
          <t>col.C2 lossyG,lossyA,intra.B.dec.y-psnr</t>
        </is>
      </c>
      <c r="B47" t="n">
        <v>49</v>
      </c>
    </row>
    <row r="48">
      <c r="A48" t="inlineStr">
        <is>
          <t>col.C2 lossyG,lossyA,intra.B.dec.cb-psnr</t>
        </is>
      </c>
      <c r="B48" t="n">
        <v>50</v>
      </c>
    </row>
    <row r="49">
      <c r="A49" t="inlineStr">
        <is>
          <t>col.C2 lossyG,lossyA,intra.B.dec.cr-psnr</t>
        </is>
      </c>
      <c r="B49" t="n">
        <v>51</v>
      </c>
    </row>
    <row r="50">
      <c r="A50" t="inlineStr">
        <is>
          <t>col.C2 lossyG,lossyA,intra.B.enc.utime.self</t>
        </is>
      </c>
      <c r="B50" t="n">
        <v>52</v>
      </c>
    </row>
    <row r="51">
      <c r="A51" t="inlineStr">
        <is>
          <t>col.C2 lossyG,lossyA,intra.B.enc.utime.children</t>
        </is>
      </c>
      <c r="B51" t="n">
        <v>53</v>
      </c>
    </row>
    <row r="52">
      <c r="A52" t="inlineStr">
        <is>
          <t>col.C2 lossyG,lossyA,intra.B.dec.utime.self</t>
        </is>
      </c>
      <c r="B52" t="n">
        <v>54</v>
      </c>
    </row>
    <row r="53">
      <c r="A53" t="inlineStr">
        <is>
          <t>col.C2 lossyG,lossyA,intra.B.dec.utime.children</t>
        </is>
      </c>
      <c r="B53" t="n">
        <v>55</v>
      </c>
    </row>
    <row r="54">
      <c r="A54" t="inlineStr">
        <is>
          <t>col.C2 lossyG,lossyA,intra.eqn.ab.delta-duppoints_ratio</t>
        </is>
      </c>
      <c r="B54" t="n">
        <v>57</v>
      </c>
    </row>
    <row r="55">
      <c r="A55" t="inlineStr">
        <is>
          <t>col.C2 lossyG,lossyA,intra.eqn.ab.delta-geom_texture_bits_ratio</t>
        </is>
      </c>
      <c r="B55" t="n">
        <v>58</v>
      </c>
    </row>
    <row r="56">
      <c r="A56" t="inlineStr">
        <is>
          <t>col.C2 lossyG,lossyA,intra.eqn.ab.summary-delta-geom_texture_bits_ratio</t>
        </is>
      </c>
      <c r="B56" t="n">
        <v>59</v>
      </c>
    </row>
    <row r="57">
      <c r="A57" t="inlineStr">
        <is>
          <t>col.C2 lossyG,lossyA,intra.eqn.ab.bdrate-d1-geomrate</t>
        </is>
      </c>
      <c r="B57" t="n">
        <v>61</v>
      </c>
    </row>
    <row r="58">
      <c r="A58" t="inlineStr">
        <is>
          <t>col.C2 lossyG,lossyA,intra.eqn.ab.bdrate-d2-geomrate</t>
        </is>
      </c>
      <c r="B58" t="n">
        <v>62</v>
      </c>
    </row>
    <row r="59">
      <c r="A59" t="inlineStr">
        <is>
          <t>col.C2 lossyG,lossyA,intra.eqn.ab.bdrate-y-attrrate</t>
        </is>
      </c>
      <c r="B59" t="n">
        <v>63</v>
      </c>
    </row>
    <row r="60">
      <c r="A60" t="inlineStr">
        <is>
          <t>col.C2 lossyG,lossyA,intra.eqn.ab.bdrate-cb-attrrate</t>
        </is>
      </c>
      <c r="B60" t="n">
        <v>64</v>
      </c>
    </row>
    <row r="61">
      <c r="A61" t="inlineStr">
        <is>
          <t>col.C2 lossyG,lossyA,intra.eqn.ab.bdrate-cr-attrrate</t>
        </is>
      </c>
      <c r="B61" t="n">
        <v>65</v>
      </c>
    </row>
    <row r="62">
      <c r="A62" t="inlineStr">
        <is>
          <t>col.C2 lossyG,lossyA,intra.eqn.ab.bdrate-d1</t>
        </is>
      </c>
      <c r="B62" t="n">
        <v>67</v>
      </c>
    </row>
    <row r="63">
      <c r="A63" t="inlineStr">
        <is>
          <t>col.C2 lossyG,lossyA,intra.eqn.ab.bdrate-d2</t>
        </is>
      </c>
      <c r="B63" t="n">
        <v>68</v>
      </c>
    </row>
    <row r="64">
      <c r="A64" t="inlineStr">
        <is>
          <t>col.C2 lossyG,lossyA,intra.eqn.ab.bdrate-y</t>
        </is>
      </c>
      <c r="B64" t="n">
        <v>69</v>
      </c>
    </row>
    <row r="65">
      <c r="A65" t="inlineStr">
        <is>
          <t>col.C2 lossyG,lossyA,intra.eqn.ab.bdrate-cb</t>
        </is>
      </c>
      <c r="B65" t="n">
        <v>70</v>
      </c>
    </row>
    <row r="66">
      <c r="A66" t="inlineStr">
        <is>
          <t>col.C2 lossyG,lossyA,intra.eqn.ab.bdrate-cr</t>
        </is>
      </c>
      <c r="B66" t="n">
        <v>71</v>
      </c>
    </row>
    <row r="67">
      <c r="A67" t="inlineStr">
        <is>
          <t>name.A.C2 lossyG,lossyA,intra</t>
        </is>
      </c>
      <c r="B67" t="inlineStr">
        <is>
          <t>'C2 lossyG,lossyA,intra'!$I$1</t>
        </is>
      </c>
    </row>
    <row r="68">
      <c r="A68" t="inlineStr">
        <is>
          <t>name.B.C2 lossyG,lossyA,intra</t>
        </is>
      </c>
      <c r="B68" t="inlineStr">
        <is>
          <t>'C2 lossyG,lossyA,intra'!$AG$1</t>
        </is>
      </c>
    </row>
    <row r="69">
      <c r="A69" t="inlineStr">
        <is>
          <t>range.C2 lossyG,lossyA,intra.8ivfbv2_loot_vox10</t>
        </is>
      </c>
      <c r="B69" t="inlineStr">
        <is>
          <t>'C2 lossyG,lossyA,intra'!$A$5:$BS$9</t>
        </is>
      </c>
    </row>
    <row r="70">
      <c r="A70" t="inlineStr">
        <is>
          <t>range.C2 lossyG,lossyA,intra.8ivfbv2_redandblack_vox10</t>
        </is>
      </c>
      <c r="B70" t="inlineStr">
        <is>
          <t>'C2 lossyG,lossyA,intra'!$A$10:$BS$14</t>
        </is>
      </c>
    </row>
    <row r="71">
      <c r="A71" t="inlineStr">
        <is>
          <t>range.C2 lossyG,lossyA,intra.8ivfbv2_soldier_vox10</t>
        </is>
      </c>
      <c r="B71" t="inlineStr">
        <is>
          <t>'C2 lossyG,lossyA,intra'!$A$15:$BS$19</t>
        </is>
      </c>
    </row>
    <row r="72">
      <c r="A72" t="inlineStr">
        <is>
          <t>range.C2 lossyG,lossyA,intra.queen</t>
        </is>
      </c>
      <c r="B72" t="inlineStr">
        <is>
          <t>'C2 lossyG,lossyA,intra'!$A$20:$BS$24</t>
        </is>
      </c>
    </row>
    <row r="73">
      <c r="A73" t="inlineStr">
        <is>
          <t>range.C2 lossyG,lossyA,intra.8ivfbv2_longdress_vox10</t>
        </is>
      </c>
      <c r="B73" t="inlineStr">
        <is>
          <t>'C2 lossyG,lossyA,intra'!$A$25:$BS$29</t>
        </is>
      </c>
    </row>
    <row r="74">
      <c r="A74" t="inlineStr">
        <is>
          <t>cols.C2 lossyG,lossyA,intra</t>
        </is>
      </c>
      <c r="B74" t="inlineStr">
        <is>
          <t>enc.utime.self</t>
        </is>
      </c>
      <c r="C74" t="inlineStr">
        <is>
          <t>dec.y-psnr</t>
        </is>
      </c>
      <c r="D74" t="inlineStr">
        <is>
          <t>eqn.bits.totalgeometry</t>
        </is>
      </c>
      <c r="E74" t="inlineStr">
        <is>
          <t>enc.bits.colour</t>
        </is>
      </c>
      <c r="F74" t="inlineStr">
        <is>
          <t>eqn.bpop</t>
        </is>
      </c>
      <c r="G74" t="inlineStr">
        <is>
          <t>eqn.bpp.colour</t>
        </is>
      </c>
      <c r="H74" t="inlineStr">
        <is>
          <t>dec.numduppoints.mean</t>
        </is>
      </c>
      <c r="I74" t="inlineStr">
        <is>
          <t>dec.utime.children</t>
        </is>
      </c>
      <c r="J74" t="inlineStr">
        <is>
          <t>enc.bits.occ+patch</t>
        </is>
      </c>
      <c r="K74" t="inlineStr">
        <is>
          <t>enc.bits.geometry</t>
        </is>
      </c>
      <c r="L74" t="inlineStr">
        <is>
          <t>dec.numpoints.mean</t>
        </is>
      </c>
      <c r="M74" t="inlineStr">
        <is>
          <t>dec.utime.self</t>
        </is>
      </c>
      <c r="N74" t="inlineStr">
        <is>
          <t>eqn.bpp</t>
        </is>
      </c>
      <c r="O74" t="inlineStr">
        <is>
          <t>eqn.bitrate</t>
        </is>
      </c>
      <c r="P74" t="inlineStr">
        <is>
          <t>dec.cb-psnr</t>
        </is>
      </c>
      <c r="Q74" t="inlineStr">
        <is>
          <t>dec.d2-psnr</t>
        </is>
      </c>
      <c r="R74" t="inlineStr">
        <is>
          <t>dec.cr-psnr</t>
        </is>
      </c>
      <c r="S74" t="inlineStr">
        <is>
          <t>eqn.bpp.geometry</t>
        </is>
      </c>
      <c r="T74" t="inlineStr">
        <is>
          <t>enc.utime.children</t>
        </is>
      </c>
      <c r="U74" t="inlineStr">
        <is>
          <t>eqn.bpp.geometry+occ+patch</t>
        </is>
      </c>
      <c r="V74" t="inlineStr">
        <is>
          <t>dec.numpoints</t>
        </is>
      </c>
      <c r="W74" t="inlineStr">
        <is>
          <t>dec.d1-psnr</t>
        </is>
      </c>
      <c r="X74" t="inlineStr">
        <is>
          <t>enc.ext.bits</t>
        </is>
      </c>
    </row>
    <row r="75">
      <c r="A75" t="inlineStr">
        <is>
          <t>col.CW losslG,losslA,intra.class</t>
        </is>
      </c>
      <c r="B75" t="n">
        <v>1</v>
      </c>
    </row>
    <row r="76">
      <c r="A76" t="inlineStr">
        <is>
          <t>col.CW losslG,losslA,intra.sequence</t>
        </is>
      </c>
      <c r="B76" t="n">
        <v>2</v>
      </c>
    </row>
    <row r="77">
      <c r="A77" t="inlineStr">
        <is>
          <t>col.CW losslG,losslA,intra.src.numpoints</t>
        </is>
      </c>
      <c r="B77" t="n">
        <v>3</v>
      </c>
    </row>
    <row r="78">
      <c r="A78" t="inlineStr">
        <is>
          <t>col.CW losslG,losslA,intra.src.geometry-precision</t>
        </is>
      </c>
      <c r="B78" t="n">
        <v>4</v>
      </c>
    </row>
    <row r="79">
      <c r="A79" t="inlineStr">
        <is>
          <t>col.CW losslG,losslA,intra.src.framecount</t>
        </is>
      </c>
      <c r="B79" t="n">
        <v>5</v>
      </c>
    </row>
    <row r="80">
      <c r="A80" t="inlineStr">
        <is>
          <t>col.CW losslG,losslA,intra.src.framerate</t>
        </is>
      </c>
      <c r="B80" t="n">
        <v>6</v>
      </c>
    </row>
    <row r="81">
      <c r="A81" t="inlineStr">
        <is>
          <t>col.CW losslG,losslA,intra.A.eqn.compratio</t>
        </is>
      </c>
      <c r="B81" t="n">
        <v>8</v>
      </c>
    </row>
    <row r="82">
      <c r="A82" t="inlineStr">
        <is>
          <t>col.CW losslG,losslA,intra.A.eqn.bitrate</t>
        </is>
      </c>
      <c r="B82" t="n">
        <v>9</v>
      </c>
    </row>
    <row r="83">
      <c r="A83" t="inlineStr">
        <is>
          <t>col.CW losslG,losslA,intra.A.eqn.bpp</t>
        </is>
      </c>
      <c r="B83" t="n">
        <v>10</v>
      </c>
    </row>
    <row r="84">
      <c r="A84" t="inlineStr">
        <is>
          <t>col.CW losslG,losslA,intra.A.eqn.bpp.geometry+occ+patch</t>
        </is>
      </c>
      <c r="B84" t="n">
        <v>11</v>
      </c>
    </row>
    <row r="85">
      <c r="A85" t="inlineStr">
        <is>
          <t>col.CW losslG,losslA,intra.A.eqn.bpp.geometry</t>
        </is>
      </c>
      <c r="B85" t="n">
        <v>12</v>
      </c>
    </row>
    <row r="86">
      <c r="A86" t="inlineStr">
        <is>
          <t>col.CW losslG,losslA,intra.A.eqn.bpp.colour</t>
        </is>
      </c>
      <c r="B86" t="n">
        <v>13</v>
      </c>
    </row>
    <row r="87">
      <c r="A87" t="inlineStr">
        <is>
          <t>col.CW losslG,losslA,intra.A.eqn.bits.totalgeometry</t>
        </is>
      </c>
      <c r="B87" t="n">
        <v>14</v>
      </c>
    </row>
    <row r="88">
      <c r="A88" t="inlineStr">
        <is>
          <t>col.CW losslG,losslA,intra.A.eqn.bpop</t>
        </is>
      </c>
      <c r="B88" t="n">
        <v>15</v>
      </c>
    </row>
    <row r="89">
      <c r="A89" t="inlineStr">
        <is>
          <t>col.CW losslG,losslA,intra.A.dec.numpoints</t>
        </is>
      </c>
      <c r="B89" t="n">
        <v>16</v>
      </c>
    </row>
    <row r="90">
      <c r="A90" t="inlineStr">
        <is>
          <t>col.CW losslG,losslA,intra.A.enc.ext.bits</t>
        </is>
      </c>
      <c r="B90" t="n">
        <v>17</v>
      </c>
    </row>
    <row r="91">
      <c r="A91" t="inlineStr">
        <is>
          <t>col.CW losslG,losslA,intra.A.enc.bits.geometry</t>
        </is>
      </c>
      <c r="B91" t="n">
        <v>18</v>
      </c>
    </row>
    <row r="92">
      <c r="A92" t="inlineStr">
        <is>
          <t>col.CW losslG,losslA,intra.A.enc.bits.occ+patch</t>
        </is>
      </c>
      <c r="B92" t="n">
        <v>19</v>
      </c>
    </row>
    <row r="93">
      <c r="A93" t="inlineStr">
        <is>
          <t>col.CW losslG,losslA,intra.A.enc.bits.colour</t>
        </is>
      </c>
      <c r="B93" t="n">
        <v>20</v>
      </c>
    </row>
    <row r="94">
      <c r="A94" t="inlineStr">
        <is>
          <t>col.CW losslG,losslA,intra.A.dec.d1-psnr</t>
        </is>
      </c>
      <c r="B94" t="n">
        <v>21</v>
      </c>
    </row>
    <row r="95">
      <c r="A95" t="inlineStr">
        <is>
          <t>col.CW losslG,losslA,intra.A.dec.d2-psnr</t>
        </is>
      </c>
      <c r="B95" t="n">
        <v>22</v>
      </c>
    </row>
    <row r="96">
      <c r="A96" t="inlineStr">
        <is>
          <t>col.CW losslG,losslA,intra.A.dec.y-psnr</t>
        </is>
      </c>
      <c r="B96" t="n">
        <v>23</v>
      </c>
    </row>
    <row r="97">
      <c r="A97" t="inlineStr">
        <is>
          <t>col.CW losslG,losslA,intra.A.dec.cb-psnr</t>
        </is>
      </c>
      <c r="B97" t="n">
        <v>24</v>
      </c>
    </row>
    <row r="98">
      <c r="A98" t="inlineStr">
        <is>
          <t>col.CW losslG,losslA,intra.A.dec.cr-psnr</t>
        </is>
      </c>
      <c r="B98" t="n">
        <v>25</v>
      </c>
    </row>
    <row r="99">
      <c r="A99" t="inlineStr">
        <is>
          <t>col.CW losslG,losslA,intra.A.enc.utime.self</t>
        </is>
      </c>
      <c r="B99" t="n">
        <v>26</v>
      </c>
    </row>
    <row r="100">
      <c r="A100" t="inlineStr">
        <is>
          <t>col.CW losslG,losslA,intra.A.enc.utime.children</t>
        </is>
      </c>
      <c r="B100" t="n">
        <v>27</v>
      </c>
    </row>
    <row r="101">
      <c r="A101" t="inlineStr">
        <is>
          <t>col.CW losslG,losslA,intra.A.dec.utime.self</t>
        </is>
      </c>
      <c r="B101" t="n">
        <v>28</v>
      </c>
    </row>
    <row r="102">
      <c r="A102" t="inlineStr">
        <is>
          <t>col.CW losslG,losslA,intra.A.dec.utime.children</t>
        </is>
      </c>
      <c r="B102" t="n">
        <v>29</v>
      </c>
    </row>
    <row r="103">
      <c r="A103" t="inlineStr">
        <is>
          <t>col.CW losslG,losslA,intra.B.eqn.compratio</t>
        </is>
      </c>
      <c r="B103" t="n">
        <v>31</v>
      </c>
    </row>
    <row r="104">
      <c r="A104" t="inlineStr">
        <is>
          <t>col.CW losslG,losslA,intra.B.eqn.bitrate</t>
        </is>
      </c>
      <c r="B104" t="n">
        <v>32</v>
      </c>
    </row>
    <row r="105">
      <c r="A105" t="inlineStr">
        <is>
          <t>col.CW losslG,losslA,intra.B.eqn.bpp</t>
        </is>
      </c>
      <c r="B105" t="n">
        <v>33</v>
      </c>
    </row>
    <row r="106">
      <c r="A106" t="inlineStr">
        <is>
          <t>col.CW losslG,losslA,intra.B.eqn.bpp.geometry+occ+patch</t>
        </is>
      </c>
      <c r="B106" t="n">
        <v>34</v>
      </c>
    </row>
    <row r="107">
      <c r="A107" t="inlineStr">
        <is>
          <t>col.CW losslG,losslA,intra.B.eqn.bpp.geometry</t>
        </is>
      </c>
      <c r="B107" t="n">
        <v>35</v>
      </c>
    </row>
    <row r="108">
      <c r="A108" t="inlineStr">
        <is>
          <t>col.CW losslG,losslA,intra.B.eqn.bpp.colour</t>
        </is>
      </c>
      <c r="B108" t="n">
        <v>36</v>
      </c>
    </row>
    <row r="109">
      <c r="A109" t="inlineStr">
        <is>
          <t>col.CW losslG,losslA,intra.B.eqn.bits.totalgeometry</t>
        </is>
      </c>
      <c r="B109" t="n">
        <v>37</v>
      </c>
    </row>
    <row r="110">
      <c r="A110" t="inlineStr">
        <is>
          <t>col.CW losslG,losslA,intra.B.eqn.bpop</t>
        </is>
      </c>
      <c r="B110" t="n">
        <v>38</v>
      </c>
    </row>
    <row r="111">
      <c r="A111" t="inlineStr">
        <is>
          <t>col.CW losslG,losslA,intra.B.dec.numpoints</t>
        </is>
      </c>
      <c r="B111" t="n">
        <v>39</v>
      </c>
    </row>
    <row r="112">
      <c r="A112" t="inlineStr">
        <is>
          <t>col.CW losslG,losslA,intra.B.enc.ext.bits</t>
        </is>
      </c>
      <c r="B112" t="n">
        <v>40</v>
      </c>
    </row>
    <row r="113">
      <c r="A113" t="inlineStr">
        <is>
          <t>col.CW losslG,losslA,intra.B.enc.bits.geometry</t>
        </is>
      </c>
      <c r="B113" t="n">
        <v>41</v>
      </c>
    </row>
    <row r="114">
      <c r="A114" t="inlineStr">
        <is>
          <t>col.CW losslG,losslA,intra.B.enc.bits.occ+patch</t>
        </is>
      </c>
      <c r="B114" t="n">
        <v>42</v>
      </c>
    </row>
    <row r="115">
      <c r="A115" t="inlineStr">
        <is>
          <t>col.CW losslG,losslA,intra.B.enc.bits.colour</t>
        </is>
      </c>
      <c r="B115" t="n">
        <v>43</v>
      </c>
    </row>
    <row r="116">
      <c r="A116" t="inlineStr">
        <is>
          <t>col.CW losslG,losslA,intra.B.dec.d1-psnr</t>
        </is>
      </c>
      <c r="B116" t="n">
        <v>44</v>
      </c>
    </row>
    <row r="117">
      <c r="A117" t="inlineStr">
        <is>
          <t>col.CW losslG,losslA,intra.B.dec.d2-psnr</t>
        </is>
      </c>
      <c r="B117" t="n">
        <v>45</v>
      </c>
    </row>
    <row r="118">
      <c r="A118" t="inlineStr">
        <is>
          <t>col.CW losslG,losslA,intra.B.dec.y-psnr</t>
        </is>
      </c>
      <c r="B118" t="n">
        <v>46</v>
      </c>
    </row>
    <row r="119">
      <c r="A119" t="inlineStr">
        <is>
          <t>col.CW losslG,losslA,intra.B.dec.cb-psnr</t>
        </is>
      </c>
      <c r="B119" t="n">
        <v>47</v>
      </c>
    </row>
    <row r="120">
      <c r="A120" t="inlineStr">
        <is>
          <t>col.CW losslG,losslA,intra.B.dec.cr-psnr</t>
        </is>
      </c>
      <c r="B120" t="n">
        <v>48</v>
      </c>
    </row>
    <row r="121">
      <c r="A121" t="inlineStr">
        <is>
          <t>col.CW losslG,losslA,intra.B.enc.utime.self</t>
        </is>
      </c>
      <c r="B121" t="n">
        <v>49</v>
      </c>
    </row>
    <row r="122">
      <c r="A122" t="inlineStr">
        <is>
          <t>col.CW losslG,losslA,intra.B.enc.utime.children</t>
        </is>
      </c>
      <c r="B122" t="n">
        <v>50</v>
      </c>
    </row>
    <row r="123">
      <c r="A123" t="inlineStr">
        <is>
          <t>col.CW losslG,losslA,intra.B.dec.utime.self</t>
        </is>
      </c>
      <c r="B123" t="n">
        <v>51</v>
      </c>
    </row>
    <row r="124">
      <c r="A124" t="inlineStr">
        <is>
          <t>col.CW losslG,losslA,intra.B.dec.utime.children</t>
        </is>
      </c>
      <c r="B124" t="n">
        <v>52</v>
      </c>
    </row>
    <row r="125">
      <c r="A125" t="inlineStr">
        <is>
          <t>col.CW losslG,losslA,intra.eqn.ab.ratio-bpp</t>
        </is>
      </c>
      <c r="B125" t="n">
        <v>54</v>
      </c>
    </row>
    <row r="126">
      <c r="A126" t="inlineStr">
        <is>
          <t>col.CW losslG,losslA,intra.eqn.ab.ratio-bpp-geometry</t>
        </is>
      </c>
      <c r="B126" t="n">
        <v>55</v>
      </c>
    </row>
    <row r="127">
      <c r="A127" t="inlineStr">
        <is>
          <t>col.CW losslG,losslA,intra.eqn.ab.ratio-bpp-colour</t>
        </is>
      </c>
      <c r="B127" t="n">
        <v>56</v>
      </c>
    </row>
    <row r="128">
      <c r="A128" t="inlineStr">
        <is>
          <t>col.CW losslG,losslA,intra.eqn.ab.delta-geom_texture_bits_ratio</t>
        </is>
      </c>
      <c r="B128" t="n">
        <v>57</v>
      </c>
    </row>
    <row r="129">
      <c r="A129" t="inlineStr">
        <is>
          <t>col.CW losslG,losslA,intra.eqn.ab.summary-delta-geom_texture_bits_ratio</t>
        </is>
      </c>
      <c r="B129" t="n">
        <v>58</v>
      </c>
    </row>
    <row r="130">
      <c r="A130" t="inlineStr">
        <is>
          <t>name.A.CW losslG,losslA,intra</t>
        </is>
      </c>
      <c r="B130" t="inlineStr">
        <is>
          <t>'CW losslG,losslA,intra'!$H$1</t>
        </is>
      </c>
    </row>
    <row r="131">
      <c r="A131" t="inlineStr">
        <is>
          <t>name.B.CW losslG,losslA,intra</t>
        </is>
      </c>
      <c r="B131" t="inlineStr">
        <is>
          <t>'CW losslG,losslA,intra'!$AE$1</t>
        </is>
      </c>
    </row>
    <row r="132">
      <c r="A132" t="inlineStr">
        <is>
          <t>range.CW losslG,losslA,intra.8ivfbv2_loot_vox10</t>
        </is>
      </c>
      <c r="B132" t="inlineStr">
        <is>
          <t>'CW losslG,losslA,intra'!$A$5:$BF$5</t>
        </is>
      </c>
    </row>
    <row r="133">
      <c r="A133" t="inlineStr">
        <is>
          <t>range.CW losslG,losslA,intra.8ivfbv2_redandblack_vox10</t>
        </is>
      </c>
      <c r="B133" t="inlineStr">
        <is>
          <t>'CW losslG,losslA,intra'!$A$6:$BF$6</t>
        </is>
      </c>
    </row>
    <row r="134">
      <c r="A134" t="inlineStr">
        <is>
          <t>range.CW losslG,losslA,intra.8ivfbv2_soldier_vox10</t>
        </is>
      </c>
      <c r="B134" t="inlineStr">
        <is>
          <t>'CW losslG,losslA,intra'!$A$7:$BF$7</t>
        </is>
      </c>
    </row>
    <row r="135">
      <c r="A135" t="inlineStr">
        <is>
          <t>range.CW losslG,losslA,intra.queen</t>
        </is>
      </c>
      <c r="B135" t="inlineStr">
        <is>
          <t>'CW losslG,losslA,intra'!$A$8:$BF$8</t>
        </is>
      </c>
    </row>
    <row r="136">
      <c r="A136" t="inlineStr">
        <is>
          <t>range.CW losslG,losslA,intra.8ivfbv2_longdress_vox10</t>
        </is>
      </c>
      <c r="B136" t="inlineStr">
        <is>
          <t>'CW losslG,losslA,intra'!$A$9:$BF$9</t>
        </is>
      </c>
    </row>
    <row r="137">
      <c r="A137" t="inlineStr">
        <is>
          <t>cols.CW losslG,losslA,intra</t>
        </is>
      </c>
      <c r="B137" t="inlineStr">
        <is>
          <t>eqn.bpp.geometry</t>
        </is>
      </c>
      <c r="C137" t="inlineStr">
        <is>
          <t>dec.cr-psnr</t>
        </is>
      </c>
      <c r="D137" t="inlineStr">
        <is>
          <t>dec.y-psnr</t>
        </is>
      </c>
      <c r="E137" t="inlineStr">
        <is>
          <t>enc.utime.self</t>
        </is>
      </c>
      <c r="F137" t="inlineStr">
        <is>
          <t>eqn.bpp</t>
        </is>
      </c>
      <c r="G137" t="inlineStr">
        <is>
          <t>eqn.bpp.colour</t>
        </is>
      </c>
      <c r="H137" t="inlineStr">
        <is>
          <t>enc.bits.geometry</t>
        </is>
      </c>
      <c r="I137" t="inlineStr">
        <is>
          <t>eqn.bpop</t>
        </is>
      </c>
      <c r="J137" t="inlineStr">
        <is>
          <t>enc.bits.colour</t>
        </is>
      </c>
      <c r="K137" t="inlineStr">
        <is>
          <t>enc.utime.children</t>
        </is>
      </c>
      <c r="L137" t="inlineStr">
        <is>
          <t>eqn.bits.totalgeometry</t>
        </is>
      </c>
      <c r="M137" t="inlineStr">
        <is>
          <t>dec.d2-psnr</t>
        </is>
      </c>
      <c r="N137" t="inlineStr">
        <is>
          <t>eqn.compratio</t>
        </is>
      </c>
      <c r="O137" t="inlineStr">
        <is>
          <t>dec.utime.self</t>
        </is>
      </c>
      <c r="P137" t="inlineStr">
        <is>
          <t>enc.bits.occ+patch</t>
        </is>
      </c>
      <c r="Q137" t="inlineStr">
        <is>
          <t>eqn.bpp.geometry+occ+patch</t>
        </is>
      </c>
      <c r="R137" t="inlineStr">
        <is>
          <t>dec.utime.children</t>
        </is>
      </c>
      <c r="S137" t="inlineStr">
        <is>
          <t>dec.d1-psnr</t>
        </is>
      </c>
      <c r="T137" t="inlineStr">
        <is>
          <t>dec.numpoints</t>
        </is>
      </c>
      <c r="U137" t="inlineStr">
        <is>
          <t>eqn.bitrate</t>
        </is>
      </c>
      <c r="V137" t="inlineStr">
        <is>
          <t>dec.cb-psnr</t>
        </is>
      </c>
      <c r="W137" t="inlineStr">
        <is>
          <t>enc.ext.bits</t>
        </is>
      </c>
    </row>
    <row r="138">
      <c r="A138" t="inlineStr">
        <is>
          <t>col.CW losslG,losslA,interLD.class</t>
        </is>
      </c>
      <c r="B138" t="n">
        <v>1</v>
      </c>
    </row>
    <row r="139">
      <c r="A139" t="inlineStr">
        <is>
          <t>col.CW losslG,losslA,interLD.sequence</t>
        </is>
      </c>
      <c r="B139" t="n">
        <v>2</v>
      </c>
    </row>
    <row r="140">
      <c r="A140" t="inlineStr">
        <is>
          <t>col.CW losslG,losslA,interLD.src.numpoints</t>
        </is>
      </c>
      <c r="B140" t="n">
        <v>3</v>
      </c>
    </row>
    <row r="141">
      <c r="A141" t="inlineStr">
        <is>
          <t>col.CW losslG,losslA,interLD.src.geometry-precision</t>
        </is>
      </c>
      <c r="B141" t="n">
        <v>4</v>
      </c>
    </row>
    <row r="142">
      <c r="A142" t="inlineStr">
        <is>
          <t>col.CW losslG,losslA,interLD.src.framecount</t>
        </is>
      </c>
      <c r="B142" t="n">
        <v>5</v>
      </c>
    </row>
    <row r="143">
      <c r="A143" t="inlineStr">
        <is>
          <t>col.CW losslG,losslA,interLD.src.framerate</t>
        </is>
      </c>
      <c r="B143" t="n">
        <v>6</v>
      </c>
    </row>
    <row r="144">
      <c r="A144" t="inlineStr">
        <is>
          <t>col.CW losslG,losslA,interLD.A.eqn.compratio</t>
        </is>
      </c>
      <c r="B144" t="n">
        <v>8</v>
      </c>
    </row>
    <row r="145">
      <c r="A145" t="inlineStr">
        <is>
          <t>col.CW losslG,losslA,interLD.A.eqn.bitrate</t>
        </is>
      </c>
      <c r="B145" t="n">
        <v>9</v>
      </c>
    </row>
    <row r="146">
      <c r="A146" t="inlineStr">
        <is>
          <t>col.CW losslG,losslA,interLD.A.eqn.bpp</t>
        </is>
      </c>
      <c r="B146" t="n">
        <v>10</v>
      </c>
    </row>
    <row r="147">
      <c r="A147" t="inlineStr">
        <is>
          <t>col.CW losslG,losslA,interLD.A.eqn.bpp.geometry+occ+patch</t>
        </is>
      </c>
      <c r="B147" t="n">
        <v>11</v>
      </c>
    </row>
    <row r="148">
      <c r="A148" t="inlineStr">
        <is>
          <t>col.CW losslG,losslA,interLD.A.eqn.bpp.geometry</t>
        </is>
      </c>
      <c r="B148" t="n">
        <v>12</v>
      </c>
    </row>
    <row r="149">
      <c r="A149" t="inlineStr">
        <is>
          <t>col.CW losslG,losslA,interLD.A.eqn.bpp.colour</t>
        </is>
      </c>
      <c r="B149" t="n">
        <v>13</v>
      </c>
    </row>
    <row r="150">
      <c r="A150" t="inlineStr">
        <is>
          <t>col.CW losslG,losslA,interLD.A.eqn.bits.totalgeometry</t>
        </is>
      </c>
      <c r="B150" t="n">
        <v>14</v>
      </c>
    </row>
    <row r="151">
      <c r="A151" t="inlineStr">
        <is>
          <t>col.CW losslG,losslA,interLD.A.eqn.bpop</t>
        </is>
      </c>
      <c r="B151" t="n">
        <v>15</v>
      </c>
    </row>
    <row r="152">
      <c r="A152" t="inlineStr">
        <is>
          <t>col.CW losslG,losslA,interLD.A.dec.numpoints</t>
        </is>
      </c>
      <c r="B152" t="n">
        <v>16</v>
      </c>
    </row>
    <row r="153">
      <c r="A153" t="inlineStr">
        <is>
          <t>col.CW losslG,losslA,interLD.A.enc.ext.bits</t>
        </is>
      </c>
      <c r="B153" t="n">
        <v>17</v>
      </c>
    </row>
    <row r="154">
      <c r="A154" t="inlineStr">
        <is>
          <t>col.CW losslG,losslA,interLD.A.enc.bits.geometry</t>
        </is>
      </c>
      <c r="B154" t="n">
        <v>18</v>
      </c>
    </row>
    <row r="155">
      <c r="A155" t="inlineStr">
        <is>
          <t>col.CW losslG,losslA,interLD.A.enc.bits.occ+patch</t>
        </is>
      </c>
      <c r="B155" t="n">
        <v>19</v>
      </c>
    </row>
    <row r="156">
      <c r="A156" t="inlineStr">
        <is>
          <t>col.CW losslG,losslA,interLD.A.enc.bits.colour</t>
        </is>
      </c>
      <c r="B156" t="n">
        <v>20</v>
      </c>
    </row>
    <row r="157">
      <c r="A157" t="inlineStr">
        <is>
          <t>col.CW losslG,losslA,interLD.A.dec.d1-psnr</t>
        </is>
      </c>
      <c r="B157" t="n">
        <v>21</v>
      </c>
    </row>
    <row r="158">
      <c r="A158" t="inlineStr">
        <is>
          <t>col.CW losslG,losslA,interLD.A.dec.d2-psnr</t>
        </is>
      </c>
      <c r="B158" t="n">
        <v>22</v>
      </c>
    </row>
    <row r="159">
      <c r="A159" t="inlineStr">
        <is>
          <t>col.CW losslG,losslA,interLD.A.dec.y-psnr</t>
        </is>
      </c>
      <c r="B159" t="n">
        <v>23</v>
      </c>
    </row>
    <row r="160">
      <c r="A160" t="inlineStr">
        <is>
          <t>col.CW losslG,losslA,interLD.A.dec.cb-psnr</t>
        </is>
      </c>
      <c r="B160" t="n">
        <v>24</v>
      </c>
    </row>
    <row r="161">
      <c r="A161" t="inlineStr">
        <is>
          <t>col.CW losslG,losslA,interLD.A.dec.cr-psnr</t>
        </is>
      </c>
      <c r="B161" t="n">
        <v>25</v>
      </c>
    </row>
    <row r="162">
      <c r="A162" t="inlineStr">
        <is>
          <t>col.CW losslG,losslA,interLD.A.enc.utime.self</t>
        </is>
      </c>
      <c r="B162" t="n">
        <v>26</v>
      </c>
    </row>
    <row r="163">
      <c r="A163" t="inlineStr">
        <is>
          <t>col.CW losslG,losslA,interLD.A.enc.utime.children</t>
        </is>
      </c>
      <c r="B163" t="n">
        <v>27</v>
      </c>
    </row>
    <row r="164">
      <c r="A164" t="inlineStr">
        <is>
          <t>col.CW losslG,losslA,interLD.A.dec.utime.self</t>
        </is>
      </c>
      <c r="B164" t="n">
        <v>28</v>
      </c>
    </row>
    <row r="165">
      <c r="A165" t="inlineStr">
        <is>
          <t>col.CW losslG,losslA,interLD.A.dec.utime.children</t>
        </is>
      </c>
      <c r="B165" t="n">
        <v>29</v>
      </c>
    </row>
    <row r="166">
      <c r="A166" t="inlineStr">
        <is>
          <t>col.CW losslG,losslA,interLD.B.eqn.compratio</t>
        </is>
      </c>
      <c r="B166" t="n">
        <v>31</v>
      </c>
    </row>
    <row r="167">
      <c r="A167" t="inlineStr">
        <is>
          <t>col.CW losslG,losslA,interLD.B.eqn.bitrate</t>
        </is>
      </c>
      <c r="B167" t="n">
        <v>32</v>
      </c>
    </row>
    <row r="168">
      <c r="A168" t="inlineStr">
        <is>
          <t>col.CW losslG,losslA,interLD.B.eqn.bpp</t>
        </is>
      </c>
      <c r="B168" t="n">
        <v>33</v>
      </c>
    </row>
    <row r="169">
      <c r="A169" t="inlineStr">
        <is>
          <t>col.CW losslG,losslA,interLD.B.eqn.bpp.geometry+occ+patch</t>
        </is>
      </c>
      <c r="B169" t="n">
        <v>34</v>
      </c>
    </row>
    <row r="170">
      <c r="A170" t="inlineStr">
        <is>
          <t>col.CW losslG,losslA,interLD.B.eqn.bpp.geometry</t>
        </is>
      </c>
      <c r="B170" t="n">
        <v>35</v>
      </c>
    </row>
    <row r="171">
      <c r="A171" t="inlineStr">
        <is>
          <t>col.CW losslG,losslA,interLD.B.eqn.bpp.colour</t>
        </is>
      </c>
      <c r="B171" t="n">
        <v>36</v>
      </c>
    </row>
    <row r="172">
      <c r="A172" t="inlineStr">
        <is>
          <t>col.CW losslG,losslA,interLD.B.eqn.bits.totalgeometry</t>
        </is>
      </c>
      <c r="B172" t="n">
        <v>37</v>
      </c>
    </row>
    <row r="173">
      <c r="A173" t="inlineStr">
        <is>
          <t>col.CW losslG,losslA,interLD.B.eqn.bpop</t>
        </is>
      </c>
      <c r="B173" t="n">
        <v>38</v>
      </c>
    </row>
    <row r="174">
      <c r="A174" t="inlineStr">
        <is>
          <t>col.CW losslG,losslA,interLD.B.dec.numpoints</t>
        </is>
      </c>
      <c r="B174" t="n">
        <v>39</v>
      </c>
    </row>
    <row r="175">
      <c r="A175" t="inlineStr">
        <is>
          <t>col.CW losslG,losslA,interLD.B.enc.ext.bits</t>
        </is>
      </c>
      <c r="B175" t="n">
        <v>40</v>
      </c>
    </row>
    <row r="176">
      <c r="A176" t="inlineStr">
        <is>
          <t>col.CW losslG,losslA,interLD.B.enc.bits.geometry</t>
        </is>
      </c>
      <c r="B176" t="n">
        <v>41</v>
      </c>
    </row>
    <row r="177">
      <c r="A177" t="inlineStr">
        <is>
          <t>col.CW losslG,losslA,interLD.B.enc.bits.occ+patch</t>
        </is>
      </c>
      <c r="B177" t="n">
        <v>42</v>
      </c>
    </row>
    <row r="178">
      <c r="A178" t="inlineStr">
        <is>
          <t>col.CW losslG,losslA,interLD.B.enc.bits.colour</t>
        </is>
      </c>
      <c r="B178" t="n">
        <v>43</v>
      </c>
    </row>
    <row r="179">
      <c r="A179" t="inlineStr">
        <is>
          <t>col.CW losslG,losslA,interLD.B.dec.d1-psnr</t>
        </is>
      </c>
      <c r="B179" t="n">
        <v>44</v>
      </c>
    </row>
    <row r="180">
      <c r="A180" t="inlineStr">
        <is>
          <t>col.CW losslG,losslA,interLD.B.dec.d2-psnr</t>
        </is>
      </c>
      <c r="B180" t="n">
        <v>45</v>
      </c>
    </row>
    <row r="181">
      <c r="A181" t="inlineStr">
        <is>
          <t>col.CW losslG,losslA,interLD.B.dec.y-psnr</t>
        </is>
      </c>
      <c r="B181" t="n">
        <v>46</v>
      </c>
    </row>
    <row r="182">
      <c r="A182" t="inlineStr">
        <is>
          <t>col.CW losslG,losslA,interLD.B.dec.cb-psnr</t>
        </is>
      </c>
      <c r="B182" t="n">
        <v>47</v>
      </c>
    </row>
    <row r="183">
      <c r="A183" t="inlineStr">
        <is>
          <t>col.CW losslG,losslA,interLD.B.dec.cr-psnr</t>
        </is>
      </c>
      <c r="B183" t="n">
        <v>48</v>
      </c>
    </row>
    <row r="184">
      <c r="A184" t="inlineStr">
        <is>
          <t>col.CW losslG,losslA,interLD.B.enc.utime.self</t>
        </is>
      </c>
      <c r="B184" t="n">
        <v>49</v>
      </c>
    </row>
    <row r="185">
      <c r="A185" t="inlineStr">
        <is>
          <t>col.CW losslG,losslA,interLD.B.enc.utime.children</t>
        </is>
      </c>
      <c r="B185" t="n">
        <v>50</v>
      </c>
    </row>
    <row r="186">
      <c r="A186" t="inlineStr">
        <is>
          <t>col.CW losslG,losslA,interLD.B.dec.utime.self</t>
        </is>
      </c>
      <c r="B186" t="n">
        <v>51</v>
      </c>
    </row>
    <row r="187">
      <c r="A187" t="inlineStr">
        <is>
          <t>col.CW losslG,losslA,interLD.B.dec.utime.children</t>
        </is>
      </c>
      <c r="B187" t="n">
        <v>52</v>
      </c>
    </row>
    <row r="188">
      <c r="A188" t="inlineStr">
        <is>
          <t>col.CW losslG,losslA,interLD.eqn.ab.ratio-bpp</t>
        </is>
      </c>
      <c r="B188" t="n">
        <v>54</v>
      </c>
    </row>
    <row r="189">
      <c r="A189" t="inlineStr">
        <is>
          <t>col.CW losslG,losslA,interLD.eqn.ab.ratio-bpp-geometry</t>
        </is>
      </c>
      <c r="B189" t="n">
        <v>55</v>
      </c>
    </row>
    <row r="190">
      <c r="A190" t="inlineStr">
        <is>
          <t>col.CW losslG,losslA,interLD.eqn.ab.ratio-bpp-colour</t>
        </is>
      </c>
      <c r="B190" t="n">
        <v>56</v>
      </c>
    </row>
    <row r="191">
      <c r="A191" t="inlineStr">
        <is>
          <t>col.CW losslG,losslA,interLD.eqn.ab.delta-geom_texture_bits_ratio</t>
        </is>
      </c>
      <c r="B191" t="n">
        <v>57</v>
      </c>
    </row>
    <row r="192">
      <c r="A192" t="inlineStr">
        <is>
          <t>col.CW losslG,losslA,interLD.eqn.ab.summary-delta-geom_texture_bits_ratio</t>
        </is>
      </c>
      <c r="B192" t="n">
        <v>58</v>
      </c>
    </row>
    <row r="193">
      <c r="A193" t="inlineStr">
        <is>
          <t>name.A.CW losslG,losslA,interLD</t>
        </is>
      </c>
      <c r="B193" t="inlineStr">
        <is>
          <t>'CW losslG,losslA,interLD'!$H$1</t>
        </is>
      </c>
    </row>
    <row r="194">
      <c r="A194" t="inlineStr">
        <is>
          <t>name.B.CW losslG,losslA,interLD</t>
        </is>
      </c>
      <c r="B194" t="inlineStr">
        <is>
          <t>'CW losslG,losslA,interLD'!$AE$1</t>
        </is>
      </c>
    </row>
    <row r="195">
      <c r="A195" t="inlineStr">
        <is>
          <t>range.CW losslG,losslA,interLD.8ivfbv2_loot_vox10</t>
        </is>
      </c>
      <c r="B195" t="inlineStr">
        <is>
          <t>'CW losslG,losslA,interLD'!$A$5:$BF$5</t>
        </is>
      </c>
    </row>
    <row r="196">
      <c r="A196" t="inlineStr">
        <is>
          <t>range.CW losslG,losslA,interLD.8ivfbv2_redandblack_vox10</t>
        </is>
      </c>
      <c r="B196" t="inlineStr">
        <is>
          <t>'CW losslG,losslA,interLD'!$A$6:$BF$6</t>
        </is>
      </c>
    </row>
    <row r="197">
      <c r="A197" t="inlineStr">
        <is>
          <t>range.CW losslG,losslA,interLD.8ivfbv2_soldier_vox10</t>
        </is>
      </c>
      <c r="B197" t="inlineStr">
        <is>
          <t>'CW losslG,losslA,interLD'!$A$7:$BF$7</t>
        </is>
      </c>
    </row>
    <row r="198">
      <c r="A198" t="inlineStr">
        <is>
          <t>range.CW losslG,losslA,interLD.queen</t>
        </is>
      </c>
      <c r="B198" t="inlineStr">
        <is>
          <t>'CW losslG,losslA,interLD'!$A$8:$BF$8</t>
        </is>
      </c>
    </row>
    <row r="199">
      <c r="A199" t="inlineStr">
        <is>
          <t>range.CW losslG,losslA,interLD.8ivfbv2_longdress_vox10</t>
        </is>
      </c>
      <c r="B199" t="inlineStr">
        <is>
          <t>'CW losslG,losslA,interLD'!$A$9:$BF$9</t>
        </is>
      </c>
    </row>
    <row r="200">
      <c r="A200" t="inlineStr">
        <is>
          <t>cols.CW losslG,losslA,interLD</t>
        </is>
      </c>
      <c r="B200" t="inlineStr">
        <is>
          <t>dec.d2-psnr</t>
        </is>
      </c>
      <c r="C200" t="inlineStr">
        <is>
          <t>dec.y-psnr</t>
        </is>
      </c>
      <c r="D200" t="inlineStr">
        <is>
          <t>enc.utime.self</t>
        </is>
      </c>
      <c r="E200" t="inlineStr">
        <is>
          <t>eqn.bpop</t>
        </is>
      </c>
      <c r="F200" t="inlineStr">
        <is>
          <t>eqn.compratio</t>
        </is>
      </c>
      <c r="G200" t="inlineStr">
        <is>
          <t>dec.utime.self</t>
        </is>
      </c>
      <c r="H200" t="inlineStr">
        <is>
          <t>eqn.bits.totalgeometry</t>
        </is>
      </c>
      <c r="I200" t="inlineStr">
        <is>
          <t>dec.cr-psnr</t>
        </is>
      </c>
      <c r="J200" t="inlineStr">
        <is>
          <t>eqn.bpp.geometry</t>
        </is>
      </c>
      <c r="K200" t="inlineStr">
        <is>
          <t>eqn.bpp</t>
        </is>
      </c>
      <c r="L200" t="inlineStr">
        <is>
          <t>enc.bits.geometry</t>
        </is>
      </c>
      <c r="M200" t="inlineStr">
        <is>
          <t>eqn.bpp.colour</t>
        </is>
      </c>
      <c r="N200" t="inlineStr">
        <is>
          <t>enc.utime.children</t>
        </is>
      </c>
      <c r="O200" t="inlineStr">
        <is>
          <t>enc.bits.colour</t>
        </is>
      </c>
      <c r="P200" t="inlineStr">
        <is>
          <t>dec.numpoints</t>
        </is>
      </c>
      <c r="Q200" t="inlineStr">
        <is>
          <t>dec.utime.children</t>
        </is>
      </c>
      <c r="R200" t="inlineStr">
        <is>
          <t>enc.ext.bits</t>
        </is>
      </c>
      <c r="S200" t="inlineStr">
        <is>
          <t>eqn.bpp.geometry+occ+patch</t>
        </is>
      </c>
      <c r="T200" t="inlineStr">
        <is>
          <t>eqn.bitrate</t>
        </is>
      </c>
      <c r="U200" t="inlineStr">
        <is>
          <t>dec.cb-psnr</t>
        </is>
      </c>
      <c r="V200" t="inlineStr">
        <is>
          <t>dec.d1-psnr</t>
        </is>
      </c>
      <c r="W200" t="inlineStr">
        <is>
          <t>enc.bits.occ+patch</t>
        </is>
      </c>
    </row>
    <row r="201">
      <c r="A201" t="inlineStr">
        <is>
          <t>col.C2 lossyG,lossyA,interRA.class</t>
        </is>
      </c>
      <c r="B201" t="n">
        <v>1</v>
      </c>
    </row>
    <row r="202">
      <c r="A202" t="inlineStr">
        <is>
          <t>col.C2 lossyG,lossyA,interRA.sequence</t>
        </is>
      </c>
      <c r="B202" t="n">
        <v>2</v>
      </c>
    </row>
    <row r="203">
      <c r="A203" t="inlineStr">
        <is>
          <t>col.C2 lossyG,lossyA,interRA.variant</t>
        </is>
      </c>
      <c r="B203" t="n">
        <v>3</v>
      </c>
    </row>
    <row r="204">
      <c r="A204" t="inlineStr">
        <is>
          <t>col.C2 lossyG,lossyA,interRA.src.numpoints</t>
        </is>
      </c>
      <c r="B204" t="n">
        <v>4</v>
      </c>
    </row>
    <row r="205">
      <c r="A205" t="inlineStr">
        <is>
          <t>col.C2 lossyG,lossyA,interRA.src.geometry-precision</t>
        </is>
      </c>
      <c r="B205" t="n">
        <v>5</v>
      </c>
    </row>
    <row r="206">
      <c r="A206" t="inlineStr">
        <is>
          <t>col.C2 lossyG,lossyA,interRA.src.framecount</t>
        </is>
      </c>
      <c r="B206" t="n">
        <v>6</v>
      </c>
    </row>
    <row r="207">
      <c r="A207" t="inlineStr">
        <is>
          <t>col.C2 lossyG,lossyA,interRA.src.framerate</t>
        </is>
      </c>
      <c r="B207" t="n">
        <v>7</v>
      </c>
    </row>
    <row r="208">
      <c r="A208" t="inlineStr">
        <is>
          <t>col.C2 lossyG,lossyA,interRA.A.eqn.bitrate</t>
        </is>
      </c>
      <c r="B208" t="n">
        <v>9</v>
      </c>
    </row>
    <row r="209">
      <c r="A209" t="inlineStr">
        <is>
          <t>col.C2 lossyG,lossyA,interRA.A.eqn.bpp</t>
        </is>
      </c>
      <c r="B209" t="n">
        <v>10</v>
      </c>
    </row>
    <row r="210">
      <c r="A210" t="inlineStr">
        <is>
          <t>col.C2 lossyG,lossyA,interRA.A.eqn.bpp.geometry+occ+patch</t>
        </is>
      </c>
      <c r="B210" t="n">
        <v>11</v>
      </c>
    </row>
    <row r="211">
      <c r="A211" t="inlineStr">
        <is>
          <t>col.C2 lossyG,lossyA,interRA.A.eqn.bpp.geometry</t>
        </is>
      </c>
      <c r="B211" t="n">
        <v>12</v>
      </c>
    </row>
    <row r="212">
      <c r="A212" t="inlineStr">
        <is>
          <t>col.C2 lossyG,lossyA,interRA.A.eqn.bpp.colour</t>
        </is>
      </c>
      <c r="B212" t="n">
        <v>13</v>
      </c>
    </row>
    <row r="213">
      <c r="A213" t="inlineStr">
        <is>
          <t>col.C2 lossyG,lossyA,interRA.A.eqn.bits.totalgeometry</t>
        </is>
      </c>
      <c r="B213" t="n">
        <v>14</v>
      </c>
    </row>
    <row r="214">
      <c r="A214" t="inlineStr">
        <is>
          <t>col.C2 lossyG,lossyA,interRA.A.eqn.bpop</t>
        </is>
      </c>
      <c r="B214" t="n">
        <v>15</v>
      </c>
    </row>
    <row r="215">
      <c r="A215" t="inlineStr">
        <is>
          <t>col.C2 lossyG,lossyA,interRA.A.dec.numpoints</t>
        </is>
      </c>
      <c r="B215" t="n">
        <v>16</v>
      </c>
    </row>
    <row r="216">
      <c r="A216" t="inlineStr">
        <is>
          <t>col.C2 lossyG,lossyA,interRA.A.dec.numpoints.mean</t>
        </is>
      </c>
      <c r="B216" t="n">
        <v>17</v>
      </c>
    </row>
    <row r="217">
      <c r="A217" t="inlineStr">
        <is>
          <t>col.C2 lossyG,lossyA,interRA.A.dec.numduppoints.mean</t>
        </is>
      </c>
      <c r="B217" t="n">
        <v>18</v>
      </c>
    </row>
    <row r="218">
      <c r="A218" t="inlineStr">
        <is>
          <t>col.C2 lossyG,lossyA,interRA.A.enc.ext.bits</t>
        </is>
      </c>
      <c r="B218" t="n">
        <v>19</v>
      </c>
    </row>
    <row r="219">
      <c r="A219" t="inlineStr">
        <is>
          <t>col.C2 lossyG,lossyA,interRA.A.enc.bits.geometry</t>
        </is>
      </c>
      <c r="B219" t="n">
        <v>20</v>
      </c>
    </row>
    <row r="220">
      <c r="A220" t="inlineStr">
        <is>
          <t>col.C2 lossyG,lossyA,interRA.A.enc.bits.occ+patch</t>
        </is>
      </c>
      <c r="B220" t="n">
        <v>21</v>
      </c>
    </row>
    <row r="221">
      <c r="A221" t="inlineStr">
        <is>
          <t>col.C2 lossyG,lossyA,interRA.A.enc.bits.colour</t>
        </is>
      </c>
      <c r="B221" t="n">
        <v>22</v>
      </c>
    </row>
    <row r="222">
      <c r="A222" t="inlineStr">
        <is>
          <t>col.C2 lossyG,lossyA,interRA.A.dec.d1-psnr</t>
        </is>
      </c>
      <c r="B222" t="n">
        <v>23</v>
      </c>
    </row>
    <row r="223">
      <c r="A223" t="inlineStr">
        <is>
          <t>col.C2 lossyG,lossyA,interRA.A.dec.d2-psnr</t>
        </is>
      </c>
      <c r="B223" t="n">
        <v>24</v>
      </c>
    </row>
    <row r="224">
      <c r="A224" t="inlineStr">
        <is>
          <t>col.C2 lossyG,lossyA,interRA.A.dec.y-psnr</t>
        </is>
      </c>
      <c r="B224" t="n">
        <v>25</v>
      </c>
    </row>
    <row r="225">
      <c r="A225" t="inlineStr">
        <is>
          <t>col.C2 lossyG,lossyA,interRA.A.dec.cb-psnr</t>
        </is>
      </c>
      <c r="B225" t="n">
        <v>26</v>
      </c>
    </row>
    <row r="226">
      <c r="A226" t="inlineStr">
        <is>
          <t>col.C2 lossyG,lossyA,interRA.A.dec.cr-psnr</t>
        </is>
      </c>
      <c r="B226" t="n">
        <v>27</v>
      </c>
    </row>
    <row r="227">
      <c r="A227" t="inlineStr">
        <is>
          <t>col.C2 lossyG,lossyA,interRA.A.enc.utime.self</t>
        </is>
      </c>
      <c r="B227" t="n">
        <v>28</v>
      </c>
    </row>
    <row r="228">
      <c r="A228" t="inlineStr">
        <is>
          <t>col.C2 lossyG,lossyA,interRA.A.enc.utime.children</t>
        </is>
      </c>
      <c r="B228" t="n">
        <v>29</v>
      </c>
    </row>
    <row r="229">
      <c r="A229" t="inlineStr">
        <is>
          <t>col.C2 lossyG,lossyA,interRA.A.dec.utime.self</t>
        </is>
      </c>
      <c r="B229" t="n">
        <v>30</v>
      </c>
    </row>
    <row r="230">
      <c r="A230" t="inlineStr">
        <is>
          <t>col.C2 lossyG,lossyA,interRA.A.dec.utime.children</t>
        </is>
      </c>
      <c r="B230" t="n">
        <v>31</v>
      </c>
    </row>
    <row r="231">
      <c r="A231" t="inlineStr">
        <is>
          <t>col.C2 lossyG,lossyA,interRA.B.eqn.bitrate</t>
        </is>
      </c>
      <c r="B231" t="n">
        <v>33</v>
      </c>
    </row>
    <row r="232">
      <c r="A232" t="inlineStr">
        <is>
          <t>col.C2 lossyG,lossyA,interRA.B.eqn.bpp</t>
        </is>
      </c>
      <c r="B232" t="n">
        <v>34</v>
      </c>
    </row>
    <row r="233">
      <c r="A233" t="inlineStr">
        <is>
          <t>col.C2 lossyG,lossyA,interRA.B.eqn.bpp.geometry+occ+patch</t>
        </is>
      </c>
      <c r="B233" t="n">
        <v>35</v>
      </c>
    </row>
    <row r="234">
      <c r="A234" t="inlineStr">
        <is>
          <t>col.C2 lossyG,lossyA,interRA.B.eqn.bpp.geometry</t>
        </is>
      </c>
      <c r="B234" t="n">
        <v>36</v>
      </c>
    </row>
    <row r="235">
      <c r="A235" t="inlineStr">
        <is>
          <t>col.C2 lossyG,lossyA,interRA.B.eqn.bpp.colour</t>
        </is>
      </c>
      <c r="B235" t="n">
        <v>37</v>
      </c>
    </row>
    <row r="236">
      <c r="A236" t="inlineStr">
        <is>
          <t>col.C2 lossyG,lossyA,interRA.B.eqn.bits.totalgeometry</t>
        </is>
      </c>
      <c r="B236" t="n">
        <v>38</v>
      </c>
    </row>
    <row r="237">
      <c r="A237" t="inlineStr">
        <is>
          <t>col.C2 lossyG,lossyA,interRA.B.eqn.bpop</t>
        </is>
      </c>
      <c r="B237" t="n">
        <v>39</v>
      </c>
    </row>
    <row r="238">
      <c r="A238" t="inlineStr">
        <is>
          <t>col.C2 lossyG,lossyA,interRA.B.dec.numpoints</t>
        </is>
      </c>
      <c r="B238" t="n">
        <v>40</v>
      </c>
    </row>
    <row r="239">
      <c r="A239" t="inlineStr">
        <is>
          <t>col.C2 lossyG,lossyA,interRA.B.dec.numpoints.mean</t>
        </is>
      </c>
      <c r="B239" t="n">
        <v>41</v>
      </c>
    </row>
    <row r="240">
      <c r="A240" t="inlineStr">
        <is>
          <t>col.C2 lossyG,lossyA,interRA.B.dec.numduppoints.mean</t>
        </is>
      </c>
      <c r="B240" t="n">
        <v>42</v>
      </c>
    </row>
    <row r="241">
      <c r="A241" t="inlineStr">
        <is>
          <t>col.C2 lossyG,lossyA,interRA.B.enc.ext.bits</t>
        </is>
      </c>
      <c r="B241" t="n">
        <v>43</v>
      </c>
    </row>
    <row r="242">
      <c r="A242" t="inlineStr">
        <is>
          <t>col.C2 lossyG,lossyA,interRA.B.enc.bits.geometry</t>
        </is>
      </c>
      <c r="B242" t="n">
        <v>44</v>
      </c>
    </row>
    <row r="243">
      <c r="A243" t="inlineStr">
        <is>
          <t>col.C2 lossyG,lossyA,interRA.B.enc.bits.occ+patch</t>
        </is>
      </c>
      <c r="B243" t="n">
        <v>45</v>
      </c>
    </row>
    <row r="244">
      <c r="A244" t="inlineStr">
        <is>
          <t>col.C2 lossyG,lossyA,interRA.B.enc.bits.colour</t>
        </is>
      </c>
      <c r="B244" t="n">
        <v>46</v>
      </c>
    </row>
    <row r="245">
      <c r="A245" t="inlineStr">
        <is>
          <t>col.C2 lossyG,lossyA,interRA.B.dec.d1-psnr</t>
        </is>
      </c>
      <c r="B245" t="n">
        <v>47</v>
      </c>
    </row>
    <row r="246">
      <c r="A246" t="inlineStr">
        <is>
          <t>col.C2 lossyG,lossyA,interRA.B.dec.d2-psnr</t>
        </is>
      </c>
      <c r="B246" t="n">
        <v>48</v>
      </c>
    </row>
    <row r="247">
      <c r="A247" t="inlineStr">
        <is>
          <t>col.C2 lossyG,lossyA,interRA.B.dec.y-psnr</t>
        </is>
      </c>
      <c r="B247" t="n">
        <v>49</v>
      </c>
    </row>
    <row r="248">
      <c r="A248" t="inlineStr">
        <is>
          <t>col.C2 lossyG,lossyA,interRA.B.dec.cb-psnr</t>
        </is>
      </c>
      <c r="B248" t="n">
        <v>50</v>
      </c>
    </row>
    <row r="249">
      <c r="A249" t="inlineStr">
        <is>
          <t>col.C2 lossyG,lossyA,interRA.B.dec.cr-psnr</t>
        </is>
      </c>
      <c r="B249" t="n">
        <v>51</v>
      </c>
    </row>
    <row r="250">
      <c r="A250" t="inlineStr">
        <is>
          <t>col.C2 lossyG,lossyA,interRA.B.enc.utime.self</t>
        </is>
      </c>
      <c r="B250" t="n">
        <v>52</v>
      </c>
    </row>
    <row r="251">
      <c r="A251" t="inlineStr">
        <is>
          <t>col.C2 lossyG,lossyA,interRA.B.enc.utime.children</t>
        </is>
      </c>
      <c r="B251" t="n">
        <v>53</v>
      </c>
    </row>
    <row r="252">
      <c r="A252" t="inlineStr">
        <is>
          <t>col.C2 lossyG,lossyA,interRA.B.dec.utime.self</t>
        </is>
      </c>
      <c r="B252" t="n">
        <v>54</v>
      </c>
    </row>
    <row r="253">
      <c r="A253" t="inlineStr">
        <is>
          <t>col.C2 lossyG,lossyA,interRA.B.dec.utime.children</t>
        </is>
      </c>
      <c r="B253" t="n">
        <v>55</v>
      </c>
    </row>
    <row r="254">
      <c r="A254" t="inlineStr">
        <is>
          <t>col.C2 lossyG,lossyA,interRA.eqn.ab.delta-duppoints_ratio</t>
        </is>
      </c>
      <c r="B254" t="n">
        <v>57</v>
      </c>
    </row>
    <row r="255">
      <c r="A255" t="inlineStr">
        <is>
          <t>col.C2 lossyG,lossyA,interRA.eqn.ab.delta-geom_texture_bits_ratio</t>
        </is>
      </c>
      <c r="B255" t="n">
        <v>58</v>
      </c>
    </row>
    <row r="256">
      <c r="A256" t="inlineStr">
        <is>
          <t>col.C2 lossyG,lossyA,interRA.eqn.ab.summary-delta-geom_texture_bits_ratio</t>
        </is>
      </c>
      <c r="B256" t="n">
        <v>59</v>
      </c>
    </row>
    <row r="257">
      <c r="A257" t="inlineStr">
        <is>
          <t>col.C2 lossyG,lossyA,interRA.eqn.ab.bdrate-d1-geomrate</t>
        </is>
      </c>
      <c r="B257" t="n">
        <v>61</v>
      </c>
    </row>
    <row r="258">
      <c r="A258" t="inlineStr">
        <is>
          <t>col.C2 lossyG,lossyA,interRA.eqn.ab.bdrate-d2-geomrate</t>
        </is>
      </c>
      <c r="B258" t="n">
        <v>62</v>
      </c>
    </row>
    <row r="259">
      <c r="A259" t="inlineStr">
        <is>
          <t>col.C2 lossyG,lossyA,interRA.eqn.ab.bdrate-y-attrrate</t>
        </is>
      </c>
      <c r="B259" t="n">
        <v>63</v>
      </c>
    </row>
    <row r="260">
      <c r="A260" t="inlineStr">
        <is>
          <t>col.C2 lossyG,lossyA,interRA.eqn.ab.bdrate-cb-attrrate</t>
        </is>
      </c>
      <c r="B260" t="n">
        <v>64</v>
      </c>
    </row>
    <row r="261">
      <c r="A261" t="inlineStr">
        <is>
          <t>col.C2 lossyG,lossyA,interRA.eqn.ab.bdrate-cr-attrrate</t>
        </is>
      </c>
      <c r="B261" t="n">
        <v>65</v>
      </c>
    </row>
    <row r="262">
      <c r="A262" t="inlineStr">
        <is>
          <t>col.C2 lossyG,lossyA,interRA.eqn.ab.bdrate-d1</t>
        </is>
      </c>
      <c r="B262" t="n">
        <v>67</v>
      </c>
    </row>
    <row r="263">
      <c r="A263" t="inlineStr">
        <is>
          <t>col.C2 lossyG,lossyA,interRA.eqn.ab.bdrate-d2</t>
        </is>
      </c>
      <c r="B263" t="n">
        <v>68</v>
      </c>
    </row>
    <row r="264">
      <c r="A264" t="inlineStr">
        <is>
          <t>col.C2 lossyG,lossyA,interRA.eqn.ab.bdrate-y</t>
        </is>
      </c>
      <c r="B264" t="n">
        <v>69</v>
      </c>
    </row>
    <row r="265">
      <c r="A265" t="inlineStr">
        <is>
          <t>col.C2 lossyG,lossyA,interRA.eqn.ab.bdrate-cb</t>
        </is>
      </c>
      <c r="B265" t="n">
        <v>70</v>
      </c>
    </row>
    <row r="266">
      <c r="A266" t="inlineStr">
        <is>
          <t>col.C2 lossyG,lossyA,interRA.eqn.ab.bdrate-cr</t>
        </is>
      </c>
      <c r="B266" t="n">
        <v>71</v>
      </c>
    </row>
    <row r="267">
      <c r="A267" t="inlineStr">
        <is>
          <t>name.A.C2 lossyG,lossyA,interRA</t>
        </is>
      </c>
      <c r="B267" t="inlineStr">
        <is>
          <t>'C2 lossyG,lossyA,interRA'!$I$1</t>
        </is>
      </c>
    </row>
    <row r="268">
      <c r="A268" t="inlineStr">
        <is>
          <t>name.B.C2 lossyG,lossyA,interRA</t>
        </is>
      </c>
      <c r="B268" t="inlineStr">
        <is>
          <t>'C2 lossyG,lossyA,interRA'!$AG$1</t>
        </is>
      </c>
    </row>
    <row r="269">
      <c r="A269" t="inlineStr">
        <is>
          <t>range.C2 lossyG,lossyA,interRA.8ivfbv2_loot_vox10</t>
        </is>
      </c>
      <c r="B269" t="inlineStr">
        <is>
          <t>'C2 lossyG,lossyA,interRA'!$A$5:$BS$9</t>
        </is>
      </c>
    </row>
    <row r="270">
      <c r="A270" t="inlineStr">
        <is>
          <t>range.C2 lossyG,lossyA,interRA.8ivfbv2_redandblack_vox10</t>
        </is>
      </c>
      <c r="B270" t="inlineStr">
        <is>
          <t>'C2 lossyG,lossyA,interRA'!$A$10:$BS$14</t>
        </is>
      </c>
    </row>
    <row r="271">
      <c r="A271" t="inlineStr">
        <is>
          <t>range.C2 lossyG,lossyA,interRA.8ivfbv2_soldier_vox10</t>
        </is>
      </c>
      <c r="B271" t="inlineStr">
        <is>
          <t>'C2 lossyG,lossyA,interRA'!$A$15:$BS$19</t>
        </is>
      </c>
    </row>
    <row r="272">
      <c r="A272" t="inlineStr">
        <is>
          <t>range.C2 lossyG,lossyA,interRA.queen</t>
        </is>
      </c>
      <c r="B272" t="inlineStr">
        <is>
          <t>'C2 lossyG,lossyA,interRA'!$A$20:$BS$24</t>
        </is>
      </c>
    </row>
    <row r="273">
      <c r="A273" t="inlineStr">
        <is>
          <t>range.C2 lossyG,lossyA,interRA.8ivfbv2_longdress_vox10</t>
        </is>
      </c>
      <c r="B273" t="inlineStr">
        <is>
          <t>'C2 lossyG,lossyA,interRA'!$A$25:$BS$29</t>
        </is>
      </c>
    </row>
    <row r="274">
      <c r="A274" t="inlineStr">
        <is>
          <t>cols.C2 lossyG,lossyA,interRA</t>
        </is>
      </c>
      <c r="B274" t="inlineStr">
        <is>
          <t>eqn.bits.totalgeometry</t>
        </is>
      </c>
      <c r="C274" t="inlineStr">
        <is>
          <t>dec.y-psnr</t>
        </is>
      </c>
      <c r="D274" t="inlineStr">
        <is>
          <t>dec.numduppoints.mean</t>
        </is>
      </c>
      <c r="E274" t="inlineStr">
        <is>
          <t>eqn.bpop</t>
        </is>
      </c>
      <c r="F274" t="inlineStr">
        <is>
          <t>eqn.bpp.colour</t>
        </is>
      </c>
      <c r="G274" t="inlineStr">
        <is>
          <t>enc.bits.colour</t>
        </is>
      </c>
      <c r="H274" t="inlineStr">
        <is>
          <t>enc.utime.self</t>
        </is>
      </c>
      <c r="I274" t="inlineStr">
        <is>
          <t>dec.d2-psnr</t>
        </is>
      </c>
      <c r="J274" t="inlineStr">
        <is>
          <t>dec.utime.children</t>
        </is>
      </c>
      <c r="K274" t="inlineStr">
        <is>
          <t>eqn.bitrate</t>
        </is>
      </c>
      <c r="L274" t="inlineStr">
        <is>
          <t>dec.cb-psnr</t>
        </is>
      </c>
      <c r="M274" t="inlineStr">
        <is>
          <t>dec.numpoints.mean</t>
        </is>
      </c>
      <c r="N274" t="inlineStr">
        <is>
          <t>dec.utime.self</t>
        </is>
      </c>
      <c r="O274" t="inlineStr">
        <is>
          <t>eqn.bpp</t>
        </is>
      </c>
      <c r="P274" t="inlineStr">
        <is>
          <t>enc.bits.occ+patch</t>
        </is>
      </c>
      <c r="Q274" t="inlineStr">
        <is>
          <t>enc.bits.geometry</t>
        </is>
      </c>
      <c r="R274" t="inlineStr">
        <is>
          <t>enc.utime.children</t>
        </is>
      </c>
      <c r="S274" t="inlineStr">
        <is>
          <t>dec.cr-psnr</t>
        </is>
      </c>
      <c r="T274" t="inlineStr">
        <is>
          <t>eqn.bpp.geometry</t>
        </is>
      </c>
      <c r="U274" t="inlineStr">
        <is>
          <t>dec.d1-psnr</t>
        </is>
      </c>
      <c r="V274" t="inlineStr">
        <is>
          <t>dec.numpoints</t>
        </is>
      </c>
      <c r="W274" t="inlineStr">
        <is>
          <t>enc.ext.bits</t>
        </is>
      </c>
      <c r="X274" t="inlineStr">
        <is>
          <t>eqn.bpp.geometry+occ+patch</t>
        </is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6">
    <outlinePr summaryBelow="0"/>
    <pageSetUpPr/>
  </sheetPr>
  <dimension ref="A1:BF16"/>
  <sheetViews>
    <sheetView workbookViewId="0">
      <pane activePane="topRight" state="frozen" topLeftCell="Q1" xSplit="2"/>
      <selection activeCell="AE2" pane="topRight" sqref="AE2:AE3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CW_ai — lossless geometry, lossless attributes [all intra]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300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238146391</v>
      </c>
      <c r="Q5" s="20" t="n">
        <v>2156446336</v>
      </c>
      <c r="R5" s="20" t="n">
        <v>313691640</v>
      </c>
      <c r="S5" s="20" t="n">
        <v>21920376</v>
      </c>
      <c r="T5" s="20" t="n">
        <v>1820811624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27510.6</v>
      </c>
      <c r="AA5" s="22" t="n">
        <v>62870.2</v>
      </c>
      <c r="AB5" s="22" t="n">
        <v>30.503</v>
      </c>
      <c r="AC5" s="22" t="n">
        <v>239.783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238146391</v>
      </c>
      <c r="AN5" s="20" t="n">
        <v>2156431208</v>
      </c>
      <c r="AO5" s="20" t="n">
        <v>313691320</v>
      </c>
      <c r="AP5" s="20" t="n">
        <v>21928456</v>
      </c>
      <c r="AQ5" s="20" t="n">
        <v>1820811304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27596.2</v>
      </c>
      <c r="AX5" s="22" t="n">
        <v>62783.6</v>
      </c>
      <c r="AY5" s="22" t="n">
        <v>31.65</v>
      </c>
      <c r="AZ5" s="22" t="n">
        <v>243.149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300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218121242</v>
      </c>
      <c r="Q6" s="30" t="n">
        <v>2811213456</v>
      </c>
      <c r="R6" s="30" t="n">
        <v>342737568</v>
      </c>
      <c r="S6" s="30" t="n">
        <v>33433704</v>
      </c>
      <c r="T6" s="30" t="n">
        <v>2435019488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25050.9</v>
      </c>
      <c r="AA6" s="32" t="n">
        <v>61125.8</v>
      </c>
      <c r="AB6" s="32" t="n">
        <v>29.547</v>
      </c>
      <c r="AC6" s="32" t="n">
        <v>250.091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218121242</v>
      </c>
      <c r="AN6" s="30" t="n">
        <v>2811222528</v>
      </c>
      <c r="AO6" s="30" t="n">
        <v>342737248</v>
      </c>
      <c r="AP6" s="30" t="n">
        <v>33465984</v>
      </c>
      <c r="AQ6" s="30" t="n">
        <v>2435019168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25269.1</v>
      </c>
      <c r="AX6" s="32" t="n">
        <v>60823.8</v>
      </c>
      <c r="AY6" s="32" t="n">
        <v>31.017</v>
      </c>
      <c r="AZ6" s="32" t="n">
        <v>253.466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300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322589704</v>
      </c>
      <c r="Q7" s="20" t="n">
        <v>3220823728</v>
      </c>
      <c r="R7" s="20" t="n">
        <v>463798336</v>
      </c>
      <c r="S7" s="20" t="n">
        <v>36667264</v>
      </c>
      <c r="T7" s="20" t="n">
        <v>2720335432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36317.6</v>
      </c>
      <c r="AA7" s="22" t="n">
        <v>80162.3</v>
      </c>
      <c r="AB7" s="22" t="n">
        <v>37.93</v>
      </c>
      <c r="AC7" s="22" t="n">
        <v>254.435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322589704</v>
      </c>
      <c r="AN7" s="20" t="n">
        <v>3220831440</v>
      </c>
      <c r="AO7" s="20" t="n">
        <v>463798016</v>
      </c>
      <c r="AP7" s="20" t="n">
        <v>36698184</v>
      </c>
      <c r="AQ7" s="20" t="n">
        <v>2720335112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36419.4</v>
      </c>
      <c r="AX7" s="22" t="n">
        <v>80315.60000000001</v>
      </c>
      <c r="AY7" s="22" t="n">
        <v>38.201</v>
      </c>
      <c r="AZ7" s="22" t="n">
        <v>255.159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250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250602891</v>
      </c>
      <c r="Q8" s="50" t="n">
        <v>2116239296</v>
      </c>
      <c r="R8" s="50" t="n">
        <v>227651824</v>
      </c>
      <c r="S8" s="50" t="n">
        <v>33758208</v>
      </c>
      <c r="T8" s="50" t="n">
        <v>1854810440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29731.9</v>
      </c>
      <c r="AA8" s="52" t="n">
        <v>50749.2</v>
      </c>
      <c r="AB8" s="52" t="n">
        <v>28.974</v>
      </c>
      <c r="AC8" s="52" t="n">
        <v>193.465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250602891</v>
      </c>
      <c r="AN8" s="50" t="n">
        <v>2116239464</v>
      </c>
      <c r="AO8" s="50" t="n">
        <v>227651568</v>
      </c>
      <c r="AP8" s="50" t="n">
        <v>33777584</v>
      </c>
      <c r="AQ8" s="50" t="n">
        <v>1854810184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29833.6</v>
      </c>
      <c r="AX8" s="52" t="n">
        <v>50478.7</v>
      </c>
      <c r="AY8" s="52" t="n">
        <v>30.23</v>
      </c>
      <c r="AZ8" s="52" t="n">
        <v>203.778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300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250294582</v>
      </c>
      <c r="Q9" s="40" t="n">
        <v>3723090648</v>
      </c>
      <c r="R9" s="40" t="n">
        <v>353482024</v>
      </c>
      <c r="S9" s="40" t="n">
        <v>25285040</v>
      </c>
      <c r="T9" s="40" t="n">
        <v>3344300888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28970.4</v>
      </c>
      <c r="AA9" s="42" t="n">
        <v>69577.39999999999</v>
      </c>
      <c r="AB9" s="42" t="n">
        <v>32.323</v>
      </c>
      <c r="AC9" s="42" t="n">
        <v>275.537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250294582</v>
      </c>
      <c r="AN9" s="40" t="n">
        <v>3723085144</v>
      </c>
      <c r="AO9" s="40" t="n">
        <v>353481704</v>
      </c>
      <c r="AP9" s="40" t="n">
        <v>25302744</v>
      </c>
      <c r="AQ9" s="40" t="n">
        <v>3344300568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29152.2</v>
      </c>
      <c r="AX9" s="42" t="n">
        <v>68489.8</v>
      </c>
      <c r="AY9" s="42" t="n">
        <v>30.261</v>
      </c>
      <c r="AZ9" s="42" t="n">
        <v>255.239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6.xml><?xml version="1.0" encoding="utf-8"?>
<worksheet xmlns="http://schemas.openxmlformats.org/spreadsheetml/2006/main">
  <sheetPr codeName="Sheet7">
    <outlinePr summaryBelow="0"/>
    <pageSetUpPr/>
  </sheetPr>
  <dimension ref="A1:BF16"/>
  <sheetViews>
    <sheetView workbookViewId="0">
      <pane activePane="topRight" state="frozen" topLeftCell="AM1" xSplit="2"/>
      <selection activeCell="BA1" pane="topRight" sqref="BA1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CW_ld — lossless geometry, lossless attributes [inter, low delay]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300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238146391</v>
      </c>
      <c r="Q5" s="20" t="n">
        <v>2139687080</v>
      </c>
      <c r="R5" s="20" t="n">
        <v>312585184</v>
      </c>
      <c r="S5" s="20" t="n">
        <v>22567248</v>
      </c>
      <c r="T5" s="20" t="n">
        <v>1804511952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27457.2</v>
      </c>
      <c r="AA5" s="22" t="n">
        <v>85726.2</v>
      </c>
      <c r="AB5" s="22" t="n">
        <v>32.81</v>
      </c>
      <c r="AC5" s="22" t="n">
        <v>252.746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238146391</v>
      </c>
      <c r="AN5" s="20" t="n">
        <v>2139676728</v>
      </c>
      <c r="AO5" s="20" t="n">
        <v>312584864</v>
      </c>
      <c r="AP5" s="20" t="n">
        <v>22580104</v>
      </c>
      <c r="AQ5" s="20" t="n">
        <v>1804511632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27355.6</v>
      </c>
      <c r="AX5" s="22" t="n">
        <v>83810.7</v>
      </c>
      <c r="AY5" s="22" t="n">
        <v>30.27</v>
      </c>
      <c r="AZ5" s="22" t="n">
        <v>226.558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300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218121242</v>
      </c>
      <c r="Q6" s="30" t="n">
        <v>2794172360</v>
      </c>
      <c r="R6" s="30" t="n">
        <v>342468776</v>
      </c>
      <c r="S6" s="30" t="n">
        <v>35248656</v>
      </c>
      <c r="T6" s="30" t="n">
        <v>2416432232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25066.5</v>
      </c>
      <c r="AA6" s="32" t="n">
        <v>100237</v>
      </c>
      <c r="AB6" s="32" t="n">
        <v>28.697</v>
      </c>
      <c r="AC6" s="32" t="n">
        <v>252.54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218121242</v>
      </c>
      <c r="AN6" s="30" t="n">
        <v>2794186064</v>
      </c>
      <c r="AO6" s="30" t="n">
        <v>342468456</v>
      </c>
      <c r="AP6" s="30" t="n">
        <v>35285568</v>
      </c>
      <c r="AQ6" s="30" t="n">
        <v>2416431912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24660.1</v>
      </c>
      <c r="AX6" s="32" t="n">
        <v>97098.2</v>
      </c>
      <c r="AY6" s="32" t="n">
        <v>29.056</v>
      </c>
      <c r="AZ6" s="32" t="n">
        <v>249.02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300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322589704</v>
      </c>
      <c r="Q7" s="20" t="n">
        <v>3176248616</v>
      </c>
      <c r="R7" s="20" t="n">
        <v>458402424</v>
      </c>
      <c r="S7" s="20" t="n">
        <v>37109528</v>
      </c>
      <c r="T7" s="20" t="n">
        <v>2680713968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36532.5</v>
      </c>
      <c r="AA7" s="22" t="n">
        <v>107392</v>
      </c>
      <c r="AB7" s="22" t="n">
        <v>38.94</v>
      </c>
      <c r="AC7" s="22" t="n">
        <v>270.942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322589704</v>
      </c>
      <c r="AN7" s="20" t="n">
        <v>3176263488</v>
      </c>
      <c r="AO7" s="20" t="n">
        <v>458402104</v>
      </c>
      <c r="AP7" s="20" t="n">
        <v>37147608</v>
      </c>
      <c r="AQ7" s="20" t="n">
        <v>2680713648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34994.8</v>
      </c>
      <c r="AX7" s="22" t="n">
        <v>100632</v>
      </c>
      <c r="AY7" s="22" t="n">
        <v>40.87</v>
      </c>
      <c r="AZ7" s="22" t="n">
        <v>279.542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250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250602891</v>
      </c>
      <c r="Q8" s="50" t="n">
        <v>2042539816</v>
      </c>
      <c r="R8" s="50" t="n">
        <v>218678288</v>
      </c>
      <c r="S8" s="50" t="n">
        <v>27673264</v>
      </c>
      <c r="T8" s="50" t="n">
        <v>1796169440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29684.6</v>
      </c>
      <c r="AA8" s="52" t="n">
        <v>62347.3</v>
      </c>
      <c r="AB8" s="52" t="n">
        <v>29.83</v>
      </c>
      <c r="AC8" s="52" t="n">
        <v>205.631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250602891</v>
      </c>
      <c r="AN8" s="50" t="n">
        <v>2042543296</v>
      </c>
      <c r="AO8" s="50" t="n">
        <v>218678032</v>
      </c>
      <c r="AP8" s="50" t="n">
        <v>27695952</v>
      </c>
      <c r="AQ8" s="50" t="n">
        <v>1796169184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29270.2</v>
      </c>
      <c r="AX8" s="52" t="n">
        <v>60163.6</v>
      </c>
      <c r="AY8" s="52" t="n">
        <v>28.011</v>
      </c>
      <c r="AZ8" s="52" t="n">
        <v>191.986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300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250294582</v>
      </c>
      <c r="Q9" s="40" t="n">
        <v>3696970848</v>
      </c>
      <c r="R9" s="40" t="n">
        <v>353031008</v>
      </c>
      <c r="S9" s="40" t="n">
        <v>26811432</v>
      </c>
      <c r="T9" s="40" t="n">
        <v>3317105712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28647.2</v>
      </c>
      <c r="AA9" s="42" t="n">
        <v>107183</v>
      </c>
      <c r="AB9" s="42" t="n">
        <v>30.528</v>
      </c>
      <c r="AC9" s="42" t="n">
        <v>278.892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250294582</v>
      </c>
      <c r="AN9" s="40" t="n">
        <v>3696973224</v>
      </c>
      <c r="AO9" s="40" t="n">
        <v>353030688</v>
      </c>
      <c r="AP9" s="40" t="n">
        <v>26837016</v>
      </c>
      <c r="AQ9" s="40" t="n">
        <v>3317105392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27655.7</v>
      </c>
      <c r="AX9" s="42" t="n">
        <v>101531</v>
      </c>
      <c r="AY9" s="42" t="n">
        <v>30.635</v>
      </c>
      <c r="AZ9" s="42" t="n">
        <v>272.213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Sheet8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r="1">
      <c r="A1" s="132" t="inlineStr">
        <is>
          <t>C2_ra — lossy geometry, lossy attributes [inter, random access]</t>
        </is>
      </c>
      <c r="I1" s="128">
        <f>Summary!$C$1</f>
        <v/>
      </c>
      <c r="AG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r="3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300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218481877</v>
      </c>
      <c r="Q5" s="19" t="n">
        <v>728272.923333333</v>
      </c>
      <c r="R5" s="19" t="n">
        <v>16448.07</v>
      </c>
      <c r="S5" s="20" t="n">
        <v>14668504</v>
      </c>
      <c r="T5" s="20" t="n">
        <v>7193936</v>
      </c>
      <c r="U5" s="20" t="n">
        <v>4846992</v>
      </c>
      <c r="V5" s="20" t="n">
        <v>2624000</v>
      </c>
      <c r="W5" s="21" t="n">
        <v>66.5259343333333</v>
      </c>
      <c r="X5" s="21" t="n">
        <v>68.343007</v>
      </c>
      <c r="Y5" s="21" t="n">
        <v>31.5151896666666</v>
      </c>
      <c r="Z5" s="21" t="n">
        <v>43.845203</v>
      </c>
      <c r="AA5" s="21" t="n">
        <v>43.3911443333333</v>
      </c>
      <c r="AB5" s="22" t="n">
        <v>38243.9</v>
      </c>
      <c r="AC5" s="22" t="n">
        <v>47941.7</v>
      </c>
      <c r="AD5" s="22" t="n">
        <v>55.361</v>
      </c>
      <c r="AE5" s="22" t="n">
        <v>214.238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218481877</v>
      </c>
      <c r="AO5" s="19" t="n">
        <v>728272.923333333</v>
      </c>
      <c r="AP5" s="19" t="n">
        <v>16448.07</v>
      </c>
      <c r="AQ5" s="20" t="n">
        <v>14719240</v>
      </c>
      <c r="AR5" s="20" t="n">
        <v>7193616</v>
      </c>
      <c r="AS5" s="20" t="n">
        <v>4901816</v>
      </c>
      <c r="AT5" s="20" t="n">
        <v>2623680</v>
      </c>
      <c r="AU5" s="21" t="n">
        <v>66.5259343333333</v>
      </c>
      <c r="AV5" s="21" t="n">
        <v>68.343007</v>
      </c>
      <c r="AW5" s="21" t="n">
        <v>31.5151896666666</v>
      </c>
      <c r="AX5" s="21" t="n">
        <v>43.845203</v>
      </c>
      <c r="AY5" s="21" t="n">
        <v>43.3911443333333</v>
      </c>
      <c r="AZ5" s="22" t="n">
        <v>37466.7</v>
      </c>
      <c r="BA5" s="22" t="n">
        <v>47406.3</v>
      </c>
      <c r="BB5" s="22" t="n">
        <v>58.65</v>
      </c>
      <c r="BC5" s="22" t="n">
        <v>226.064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300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234352136</v>
      </c>
      <c r="Q6" s="29" t="n">
        <v>781173.786666667</v>
      </c>
      <c r="R6" s="29" t="n">
        <v>20742.3566666667</v>
      </c>
      <c r="S6" s="30" t="n">
        <v>19181368</v>
      </c>
      <c r="T6" s="30" t="n">
        <v>9707912</v>
      </c>
      <c r="U6" s="30" t="n">
        <v>4846992</v>
      </c>
      <c r="V6" s="30" t="n">
        <v>4622888</v>
      </c>
      <c r="W6" s="31" t="n">
        <v>68.2843956666666</v>
      </c>
      <c r="X6" s="31" t="n">
        <v>70.3232656666666</v>
      </c>
      <c r="Y6" s="31" t="n">
        <v>33.5925356666667</v>
      </c>
      <c r="Z6" s="31" t="n">
        <v>45.210102</v>
      </c>
      <c r="AA6" s="31" t="n">
        <v>44.8586613333333</v>
      </c>
      <c r="AB6" s="32" t="n">
        <v>37622.1</v>
      </c>
      <c r="AC6" s="32" t="n">
        <v>51306.2</v>
      </c>
      <c r="AD6" s="32" t="n">
        <v>64.009</v>
      </c>
      <c r="AE6" s="32" t="n">
        <v>241.826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234352136</v>
      </c>
      <c r="AO6" s="29" t="n">
        <v>781173.786666667</v>
      </c>
      <c r="AP6" s="29" t="n">
        <v>20742.3566666667</v>
      </c>
      <c r="AQ6" s="30" t="n">
        <v>19232104</v>
      </c>
      <c r="AR6" s="30" t="n">
        <v>9707592</v>
      </c>
      <c r="AS6" s="30" t="n">
        <v>4901816</v>
      </c>
      <c r="AT6" s="30" t="n">
        <v>4622568</v>
      </c>
      <c r="AU6" s="31" t="n">
        <v>68.2843956666666</v>
      </c>
      <c r="AV6" s="31" t="n">
        <v>70.3232656666666</v>
      </c>
      <c r="AW6" s="31" t="n">
        <v>33.5925356666667</v>
      </c>
      <c r="AX6" s="31" t="n">
        <v>45.210102</v>
      </c>
      <c r="AY6" s="31" t="n">
        <v>44.8586613333333</v>
      </c>
      <c r="AZ6" s="32" t="n">
        <v>37719.4</v>
      </c>
      <c r="BA6" s="32" t="n">
        <v>50442.6</v>
      </c>
      <c r="BB6" s="32" t="n">
        <v>58.613</v>
      </c>
      <c r="BC6" s="32" t="n">
        <v>220.606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300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237306556</v>
      </c>
      <c r="Q7" s="19" t="n">
        <v>791021.853333333</v>
      </c>
      <c r="R7" s="19" t="n">
        <v>22217.72</v>
      </c>
      <c r="S7" s="20" t="n">
        <v>26828480</v>
      </c>
      <c r="T7" s="20" t="n">
        <v>13160208</v>
      </c>
      <c r="U7" s="20" t="n">
        <v>4846992</v>
      </c>
      <c r="V7" s="20" t="n">
        <v>8817704</v>
      </c>
      <c r="W7" s="21" t="n">
        <v>69.6206476666667</v>
      </c>
      <c r="X7" s="21" t="n">
        <v>71.985482</v>
      </c>
      <c r="Y7" s="21" t="n">
        <v>36.02765</v>
      </c>
      <c r="Z7" s="21" t="n">
        <v>46.5690633333333</v>
      </c>
      <c r="AA7" s="21" t="n">
        <v>46.3188893333333</v>
      </c>
      <c r="AB7" s="22" t="n">
        <v>37770.2</v>
      </c>
      <c r="AC7" s="22" t="n">
        <v>54375.6</v>
      </c>
      <c r="AD7" s="22" t="n">
        <v>63.328</v>
      </c>
      <c r="AE7" s="22" t="n">
        <v>237.222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237306556</v>
      </c>
      <c r="AO7" s="19" t="n">
        <v>791021.853333333</v>
      </c>
      <c r="AP7" s="19" t="n">
        <v>22217.72</v>
      </c>
      <c r="AQ7" s="20" t="n">
        <v>26879216</v>
      </c>
      <c r="AR7" s="20" t="n">
        <v>13159888</v>
      </c>
      <c r="AS7" s="20" t="n">
        <v>4901816</v>
      </c>
      <c r="AT7" s="20" t="n">
        <v>8817384</v>
      </c>
      <c r="AU7" s="21" t="n">
        <v>69.6206476666667</v>
      </c>
      <c r="AV7" s="21" t="n">
        <v>71.985482</v>
      </c>
      <c r="AW7" s="21" t="n">
        <v>36.02765</v>
      </c>
      <c r="AX7" s="21" t="n">
        <v>46.5690633333333</v>
      </c>
      <c r="AY7" s="21" t="n">
        <v>46.3188893333333</v>
      </c>
      <c r="AZ7" s="22" t="n">
        <v>38003.2</v>
      </c>
      <c r="BA7" s="22" t="n">
        <v>54038</v>
      </c>
      <c r="BB7" s="22" t="n">
        <v>58.07</v>
      </c>
      <c r="BC7" s="22" t="n">
        <v>222.405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300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247995190</v>
      </c>
      <c r="Q8" s="29" t="n">
        <v>826650.633333333</v>
      </c>
      <c r="R8" s="29" t="n">
        <v>25866.2633333333</v>
      </c>
      <c r="S8" s="30" t="n">
        <v>43541368</v>
      </c>
      <c r="T8" s="30" t="n">
        <v>19953296</v>
      </c>
      <c r="U8" s="30" t="n">
        <v>4846992</v>
      </c>
      <c r="V8" s="30" t="n">
        <v>18737504</v>
      </c>
      <c r="W8" s="31" t="n">
        <v>70.6518093333333</v>
      </c>
      <c r="X8" s="31" t="n">
        <v>73.2084806666667</v>
      </c>
      <c r="Y8" s="31" t="n">
        <v>38.5221356666666</v>
      </c>
      <c r="Z8" s="31" t="n">
        <v>47.8564726666666</v>
      </c>
      <c r="AA8" s="31" t="n">
        <v>47.8167483333334</v>
      </c>
      <c r="AB8" s="32" t="n">
        <v>37614.6</v>
      </c>
      <c r="AC8" s="32" t="n">
        <v>59187.6</v>
      </c>
      <c r="AD8" s="32" t="n">
        <v>63.162</v>
      </c>
      <c r="AE8" s="32" t="n">
        <v>244.783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247995190</v>
      </c>
      <c r="AO8" s="29" t="n">
        <v>826650.633333333</v>
      </c>
      <c r="AP8" s="29" t="n">
        <v>25866.2633333333</v>
      </c>
      <c r="AQ8" s="30" t="n">
        <v>43592104</v>
      </c>
      <c r="AR8" s="30" t="n">
        <v>19952976</v>
      </c>
      <c r="AS8" s="30" t="n">
        <v>4901816</v>
      </c>
      <c r="AT8" s="30" t="n">
        <v>18737184</v>
      </c>
      <c r="AU8" s="31" t="n">
        <v>70.6518093333333</v>
      </c>
      <c r="AV8" s="31" t="n">
        <v>73.2084806666667</v>
      </c>
      <c r="AW8" s="31" t="n">
        <v>38.5221356666666</v>
      </c>
      <c r="AX8" s="31" t="n">
        <v>47.8564726666666</v>
      </c>
      <c r="AY8" s="31" t="n">
        <v>47.8167483333334</v>
      </c>
      <c r="AZ8" s="32" t="n">
        <v>37639.9</v>
      </c>
      <c r="BA8" s="32" t="n">
        <v>58032.3</v>
      </c>
      <c r="BB8" s="32" t="n">
        <v>59.19</v>
      </c>
      <c r="BC8" s="32" t="n">
        <v>230.34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300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238127534</v>
      </c>
      <c r="Q9" s="39" t="n">
        <v>793758.446666667</v>
      </c>
      <c r="R9" s="39" t="n">
        <v>10983.33</v>
      </c>
      <c r="S9" s="40" t="n">
        <v>88925288</v>
      </c>
      <c r="T9" s="40" t="n">
        <v>32029200</v>
      </c>
      <c r="U9" s="40" t="n">
        <v>9849008</v>
      </c>
      <c r="V9" s="40" t="n">
        <v>47043504</v>
      </c>
      <c r="W9" s="41" t="n">
        <v>71.9064206666667</v>
      </c>
      <c r="X9" s="41" t="n">
        <v>75.172364</v>
      </c>
      <c r="Y9" s="41" t="n">
        <v>41.074157</v>
      </c>
      <c r="Z9" s="41" t="n">
        <v>49.3825063333334</v>
      </c>
      <c r="AA9" s="41" t="n">
        <v>49.4664723333333</v>
      </c>
      <c r="AB9" s="42" t="n">
        <v>37636</v>
      </c>
      <c r="AC9" s="42" t="n">
        <v>65407</v>
      </c>
      <c r="AD9" s="42" t="n">
        <v>61.383</v>
      </c>
      <c r="AE9" s="42" t="n">
        <v>258.156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238127534</v>
      </c>
      <c r="AO9" s="39" t="n">
        <v>793758.446666667</v>
      </c>
      <c r="AP9" s="39" t="n">
        <v>10983.33</v>
      </c>
      <c r="AQ9" s="40" t="n">
        <v>88975168</v>
      </c>
      <c r="AR9" s="40" t="n">
        <v>32028880</v>
      </c>
      <c r="AS9" s="40" t="n">
        <v>9902976</v>
      </c>
      <c r="AT9" s="40" t="n">
        <v>47043184</v>
      </c>
      <c r="AU9" s="41" t="n">
        <v>71.9064206666667</v>
      </c>
      <c r="AV9" s="41" t="n">
        <v>75.172364</v>
      </c>
      <c r="AW9" s="41" t="n">
        <v>41.074157</v>
      </c>
      <c r="AX9" s="41" t="n">
        <v>49.3825063333334</v>
      </c>
      <c r="AY9" s="41" t="n">
        <v>49.4664723333333</v>
      </c>
      <c r="AZ9" s="42" t="n">
        <v>40180.7</v>
      </c>
      <c r="BA9" s="42" t="n">
        <v>66313.39999999999</v>
      </c>
      <c r="BB9" s="42" t="n">
        <v>65.33799999999999</v>
      </c>
      <c r="BC9" s="42" t="n">
        <v>278.408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300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202566645</v>
      </c>
      <c r="Q10" s="29" t="n">
        <v>675222.15</v>
      </c>
      <c r="R10" s="29" t="n">
        <v>21236.5</v>
      </c>
      <c r="S10" s="30" t="n">
        <v>22713072</v>
      </c>
      <c r="T10" s="30" t="n">
        <v>8984992</v>
      </c>
      <c r="U10" s="30" t="n">
        <v>7516696</v>
      </c>
      <c r="V10" s="30" t="n">
        <v>6207808</v>
      </c>
      <c r="W10" s="31" t="n">
        <v>65.91861066666669</v>
      </c>
      <c r="X10" s="31" t="n">
        <v>67.7252583333334</v>
      </c>
      <c r="Y10" s="31" t="n">
        <v>30.9328043333333</v>
      </c>
      <c r="Z10" s="31" t="n">
        <v>38.5219096666666</v>
      </c>
      <c r="AA10" s="31" t="n">
        <v>29.938304</v>
      </c>
      <c r="AB10" s="32" t="n">
        <v>39043.5</v>
      </c>
      <c r="AC10" s="32" t="n">
        <v>55372.3</v>
      </c>
      <c r="AD10" s="32" t="n">
        <v>54.392</v>
      </c>
      <c r="AE10" s="32" t="n">
        <v>239.846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202566645</v>
      </c>
      <c r="AO10" s="29" t="n">
        <v>675222.15</v>
      </c>
      <c r="AP10" s="29" t="n">
        <v>21236.5</v>
      </c>
      <c r="AQ10" s="30" t="n">
        <v>22839184</v>
      </c>
      <c r="AR10" s="30" t="n">
        <v>8984672</v>
      </c>
      <c r="AS10" s="30" t="n">
        <v>7646896</v>
      </c>
      <c r="AT10" s="30" t="n">
        <v>6207488</v>
      </c>
      <c r="AU10" s="31" t="n">
        <v>65.91861066666669</v>
      </c>
      <c r="AV10" s="31" t="n">
        <v>67.7252583333334</v>
      </c>
      <c r="AW10" s="31" t="n">
        <v>30.9328043333333</v>
      </c>
      <c r="AX10" s="31" t="n">
        <v>38.5219096666666</v>
      </c>
      <c r="AY10" s="31" t="n">
        <v>29.938304</v>
      </c>
      <c r="AZ10" s="32" t="n">
        <v>41499.5</v>
      </c>
      <c r="BA10" s="32" t="n">
        <v>56438.2</v>
      </c>
      <c r="BB10" s="32" t="n">
        <v>60.156</v>
      </c>
      <c r="BC10" s="32" t="n">
        <v>265.338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300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216505812</v>
      </c>
      <c r="Q11" s="19" t="n">
        <v>721686.04</v>
      </c>
      <c r="R11" s="19" t="n">
        <v>26882.8833333333</v>
      </c>
      <c r="S11" s="20" t="n">
        <v>30703120</v>
      </c>
      <c r="T11" s="20" t="n">
        <v>12394008</v>
      </c>
      <c r="U11" s="20" t="n">
        <v>7516696</v>
      </c>
      <c r="V11" s="20" t="n">
        <v>10788840</v>
      </c>
      <c r="W11" s="21" t="n">
        <v>67.612538</v>
      </c>
      <c r="X11" s="21" t="n">
        <v>69.6428306666667</v>
      </c>
      <c r="Y11" s="21" t="n">
        <v>32.783872</v>
      </c>
      <c r="Z11" s="21" t="n">
        <v>39.6315523333333</v>
      </c>
      <c r="AA11" s="21" t="n">
        <v>32.2125823333334</v>
      </c>
      <c r="AB11" s="22" t="n">
        <v>38624.8</v>
      </c>
      <c r="AC11" s="22" t="n">
        <v>59399.7</v>
      </c>
      <c r="AD11" s="22" t="n">
        <v>57.426</v>
      </c>
      <c r="AE11" s="22" t="n">
        <v>252.886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216505812</v>
      </c>
      <c r="AO11" s="19" t="n">
        <v>721686.04</v>
      </c>
      <c r="AP11" s="19" t="n">
        <v>26882.8833333333</v>
      </c>
      <c r="AQ11" s="20" t="n">
        <v>30829232</v>
      </c>
      <c r="AR11" s="20" t="n">
        <v>12393688</v>
      </c>
      <c r="AS11" s="20" t="n">
        <v>7646896</v>
      </c>
      <c r="AT11" s="20" t="n">
        <v>10788520</v>
      </c>
      <c r="AU11" s="21" t="n">
        <v>67.612538</v>
      </c>
      <c r="AV11" s="21" t="n">
        <v>69.6428306666667</v>
      </c>
      <c r="AW11" s="21" t="n">
        <v>32.783872</v>
      </c>
      <c r="AX11" s="21" t="n">
        <v>39.6315523333333</v>
      </c>
      <c r="AY11" s="21" t="n">
        <v>32.2125823333334</v>
      </c>
      <c r="AZ11" s="22" t="n">
        <v>42133.7</v>
      </c>
      <c r="BA11" s="22" t="n">
        <v>60234.1</v>
      </c>
      <c r="BB11" s="22" t="n">
        <v>65.10899999999999</v>
      </c>
      <c r="BC11" s="22" t="n">
        <v>281.022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300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219941233</v>
      </c>
      <c r="Q12" s="29" t="n">
        <v>733137.443333333</v>
      </c>
      <c r="R12" s="29" t="n">
        <v>28597.2</v>
      </c>
      <c r="S12" s="30" t="n">
        <v>43355800</v>
      </c>
      <c r="T12" s="30" t="n">
        <v>17400400</v>
      </c>
      <c r="U12" s="30" t="n">
        <v>7516696</v>
      </c>
      <c r="V12" s="30" t="n">
        <v>18435128</v>
      </c>
      <c r="W12" s="31" t="n">
        <v>68.96058866666669</v>
      </c>
      <c r="X12" s="31" t="n">
        <v>71.2989506666667</v>
      </c>
      <c r="Y12" s="31" t="n">
        <v>34.8304663333333</v>
      </c>
      <c r="Z12" s="31" t="n">
        <v>40.6053903333334</v>
      </c>
      <c r="AA12" s="31" t="n">
        <v>34.1279506666667</v>
      </c>
      <c r="AB12" s="32" t="n">
        <v>39341.5</v>
      </c>
      <c r="AC12" s="32" t="n">
        <v>63221.7</v>
      </c>
      <c r="AD12" s="32" t="n">
        <v>58.908</v>
      </c>
      <c r="AE12" s="32" t="n">
        <v>256.313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219941233</v>
      </c>
      <c r="AO12" s="29" t="n">
        <v>733137.443333333</v>
      </c>
      <c r="AP12" s="29" t="n">
        <v>28597.2</v>
      </c>
      <c r="AQ12" s="30" t="n">
        <v>43481912</v>
      </c>
      <c r="AR12" s="30" t="n">
        <v>17400080</v>
      </c>
      <c r="AS12" s="30" t="n">
        <v>7646896</v>
      </c>
      <c r="AT12" s="30" t="n">
        <v>18434808</v>
      </c>
      <c r="AU12" s="31" t="n">
        <v>68.96058866666669</v>
      </c>
      <c r="AV12" s="31" t="n">
        <v>71.2989506666667</v>
      </c>
      <c r="AW12" s="31" t="n">
        <v>34.8304663333333</v>
      </c>
      <c r="AX12" s="31" t="n">
        <v>40.6053903333334</v>
      </c>
      <c r="AY12" s="31" t="n">
        <v>34.1279506666667</v>
      </c>
      <c r="AZ12" s="32" t="n">
        <v>40702.5</v>
      </c>
      <c r="BA12" s="32" t="n">
        <v>64044.7</v>
      </c>
      <c r="BB12" s="32" t="n">
        <v>61.431</v>
      </c>
      <c r="BC12" s="32" t="n">
        <v>268.086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300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229435377</v>
      </c>
      <c r="Q13" s="19" t="n">
        <v>764784.59</v>
      </c>
      <c r="R13" s="19" t="n">
        <v>32801.8666666667</v>
      </c>
      <c r="S13" s="20" t="n">
        <v>70324416</v>
      </c>
      <c r="T13" s="20" t="n">
        <v>26537848</v>
      </c>
      <c r="U13" s="20" t="n">
        <v>7516696</v>
      </c>
      <c r="V13" s="20" t="n">
        <v>36266296</v>
      </c>
      <c r="W13" s="21" t="n">
        <v>69.9250383333333</v>
      </c>
      <c r="X13" s="21" t="n">
        <v>72.4815536666667</v>
      </c>
      <c r="Y13" s="21" t="n">
        <v>37.0479613333333</v>
      </c>
      <c r="Z13" s="21" t="n">
        <v>41.6953343333333</v>
      </c>
      <c r="AA13" s="21" t="n">
        <v>36.099225</v>
      </c>
      <c r="AB13" s="22" t="n">
        <v>38871</v>
      </c>
      <c r="AC13" s="22" t="n">
        <v>67469.7</v>
      </c>
      <c r="AD13" s="22" t="n">
        <v>57.403</v>
      </c>
      <c r="AE13" s="22" t="n">
        <v>259.967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229435377</v>
      </c>
      <c r="AO13" s="19" t="n">
        <v>764784.59</v>
      </c>
      <c r="AP13" s="19" t="n">
        <v>32801.8666666667</v>
      </c>
      <c r="AQ13" s="20" t="n">
        <v>70450528</v>
      </c>
      <c r="AR13" s="20" t="n">
        <v>26537528</v>
      </c>
      <c r="AS13" s="20" t="n">
        <v>7646896</v>
      </c>
      <c r="AT13" s="20" t="n">
        <v>36265976</v>
      </c>
      <c r="AU13" s="21" t="n">
        <v>69.9250383333333</v>
      </c>
      <c r="AV13" s="21" t="n">
        <v>72.4815536666667</v>
      </c>
      <c r="AW13" s="21" t="n">
        <v>37.0479613333333</v>
      </c>
      <c r="AX13" s="21" t="n">
        <v>41.6953343333333</v>
      </c>
      <c r="AY13" s="21" t="n">
        <v>36.099225</v>
      </c>
      <c r="AZ13" s="22" t="n">
        <v>40929.7</v>
      </c>
      <c r="BA13" s="22" t="n">
        <v>68292</v>
      </c>
      <c r="BB13" s="22" t="n">
        <v>59.241</v>
      </c>
      <c r="BC13" s="22" t="n">
        <v>265.425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300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216532018</v>
      </c>
      <c r="Q14" s="49" t="n">
        <v>721773.393333333</v>
      </c>
      <c r="R14" s="49" t="n">
        <v>15240.0666666667</v>
      </c>
      <c r="S14" s="50" t="n">
        <v>141847088</v>
      </c>
      <c r="T14" s="50" t="n">
        <v>42730248</v>
      </c>
      <c r="U14" s="50" t="n">
        <v>14658840</v>
      </c>
      <c r="V14" s="50" t="n">
        <v>84454424</v>
      </c>
      <c r="W14" s="51" t="n">
        <v>71.10595366666669</v>
      </c>
      <c r="X14" s="51" t="n">
        <v>74.6459443333333</v>
      </c>
      <c r="Y14" s="51" t="n">
        <v>39.4828963333334</v>
      </c>
      <c r="Z14" s="51" t="n">
        <v>43.004973</v>
      </c>
      <c r="AA14" s="51" t="n">
        <v>38.28472</v>
      </c>
      <c r="AB14" s="52" t="n">
        <v>39377</v>
      </c>
      <c r="AC14" s="52" t="n">
        <v>74240</v>
      </c>
      <c r="AD14" s="52" t="n">
        <v>53.929</v>
      </c>
      <c r="AE14" s="52" t="n">
        <v>265.888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216532018</v>
      </c>
      <c r="AO14" s="49" t="n">
        <v>721773.393333333</v>
      </c>
      <c r="AP14" s="49" t="n">
        <v>15240.0666666667</v>
      </c>
      <c r="AQ14" s="50" t="n">
        <v>141971472</v>
      </c>
      <c r="AR14" s="50" t="n">
        <v>42729928</v>
      </c>
      <c r="AS14" s="50" t="n">
        <v>14787312</v>
      </c>
      <c r="AT14" s="50" t="n">
        <v>84454104</v>
      </c>
      <c r="AU14" s="51" t="n">
        <v>71.10595366666669</v>
      </c>
      <c r="AV14" s="51" t="n">
        <v>74.6459443333333</v>
      </c>
      <c r="AW14" s="51" t="n">
        <v>39.4828963333334</v>
      </c>
      <c r="AX14" s="51" t="n">
        <v>43.004973</v>
      </c>
      <c r="AY14" s="51" t="n">
        <v>38.28472</v>
      </c>
      <c r="AZ14" s="52" t="n">
        <v>40280.7</v>
      </c>
      <c r="BA14" s="52" t="n">
        <v>74943</v>
      </c>
      <c r="BB14" s="52" t="n">
        <v>56.365</v>
      </c>
      <c r="BC14" s="52" t="n">
        <v>274.437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300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309063326</v>
      </c>
      <c r="Q15" s="19" t="n">
        <v>1030211.08666667</v>
      </c>
      <c r="R15" s="19" t="n">
        <v>33998.63</v>
      </c>
      <c r="S15" s="20" t="n">
        <v>22009992</v>
      </c>
      <c r="T15" s="20" t="n">
        <v>9563056</v>
      </c>
      <c r="U15" s="20" t="n">
        <v>8105384</v>
      </c>
      <c r="V15" s="20" t="n">
        <v>4337976</v>
      </c>
      <c r="W15" s="21" t="n">
        <v>66.3102466666667</v>
      </c>
      <c r="X15" s="21" t="n">
        <v>67.92015133333329</v>
      </c>
      <c r="Y15" s="21" t="n">
        <v>29.053137</v>
      </c>
      <c r="Z15" s="21" t="n">
        <v>43.2679046666667</v>
      </c>
      <c r="AA15" s="21" t="n">
        <v>43.5562636666667</v>
      </c>
      <c r="AB15" s="22" t="n">
        <v>45427.7</v>
      </c>
      <c r="AC15" s="22" t="n">
        <v>55343.1</v>
      </c>
      <c r="AD15" s="22" t="n">
        <v>82.41</v>
      </c>
      <c r="AE15" s="22" t="n">
        <v>270.985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309063326</v>
      </c>
      <c r="AO15" s="19" t="n">
        <v>1030211.08666667</v>
      </c>
      <c r="AP15" s="19" t="n">
        <v>33998.63</v>
      </c>
      <c r="AQ15" s="20" t="n">
        <v>22177192</v>
      </c>
      <c r="AR15" s="20" t="n">
        <v>9562736</v>
      </c>
      <c r="AS15" s="20" t="n">
        <v>8276672</v>
      </c>
      <c r="AT15" s="20" t="n">
        <v>4337656</v>
      </c>
      <c r="AU15" s="21" t="n">
        <v>66.3102466666667</v>
      </c>
      <c r="AV15" s="21" t="n">
        <v>67.92015133333329</v>
      </c>
      <c r="AW15" s="21" t="n">
        <v>29.053137</v>
      </c>
      <c r="AX15" s="21" t="n">
        <v>43.2679046666667</v>
      </c>
      <c r="AY15" s="21" t="n">
        <v>43.5562636666667</v>
      </c>
      <c r="AZ15" s="22" t="n">
        <v>46472.8</v>
      </c>
      <c r="BA15" s="22" t="n">
        <v>55713.6</v>
      </c>
      <c r="BB15" s="22" t="n">
        <v>86.193</v>
      </c>
      <c r="BC15" s="22" t="n">
        <v>284.848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300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324108160</v>
      </c>
      <c r="Q16" s="29" t="n">
        <v>1080360.53333333</v>
      </c>
      <c r="R16" s="29" t="n">
        <v>40142.6733333333</v>
      </c>
      <c r="S16" s="30" t="n">
        <v>28843072</v>
      </c>
      <c r="T16" s="30" t="n">
        <v>12670544</v>
      </c>
      <c r="U16" s="30" t="n">
        <v>8105384</v>
      </c>
      <c r="V16" s="30" t="n">
        <v>8063568</v>
      </c>
      <c r="W16" s="31" t="n">
        <v>68.0364170000001</v>
      </c>
      <c r="X16" s="31" t="n">
        <v>70.0521996666666</v>
      </c>
      <c r="Y16" s="31" t="n">
        <v>31.4606706666666</v>
      </c>
      <c r="Z16" s="31" t="n">
        <v>44.0659503333333</v>
      </c>
      <c r="AA16" s="31" t="n">
        <v>44.4418076666667</v>
      </c>
      <c r="AB16" s="32" t="n">
        <v>45568.8</v>
      </c>
      <c r="AC16" s="32" t="n">
        <v>58753.2</v>
      </c>
      <c r="AD16" s="32" t="n">
        <v>82.496</v>
      </c>
      <c r="AE16" s="32" t="n">
        <v>267.755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324108160</v>
      </c>
      <c r="AO16" s="29" t="n">
        <v>1080360.53333333</v>
      </c>
      <c r="AP16" s="29" t="n">
        <v>40142.6733333333</v>
      </c>
      <c r="AQ16" s="30" t="n">
        <v>29010272</v>
      </c>
      <c r="AR16" s="30" t="n">
        <v>12670224</v>
      </c>
      <c r="AS16" s="30" t="n">
        <v>8276672</v>
      </c>
      <c r="AT16" s="30" t="n">
        <v>8063248</v>
      </c>
      <c r="AU16" s="31" t="n">
        <v>68.0364170000001</v>
      </c>
      <c r="AV16" s="31" t="n">
        <v>70.0521996666666</v>
      </c>
      <c r="AW16" s="31" t="n">
        <v>31.4606706666666</v>
      </c>
      <c r="AX16" s="31" t="n">
        <v>44.0659503333333</v>
      </c>
      <c r="AY16" s="31" t="n">
        <v>44.4418076666667</v>
      </c>
      <c r="AZ16" s="32" t="n">
        <v>47070.4</v>
      </c>
      <c r="BA16" s="32" t="n">
        <v>59261.8</v>
      </c>
      <c r="BB16" s="32" t="n">
        <v>88.992</v>
      </c>
      <c r="BC16" s="32" t="n">
        <v>280.013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300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325234127</v>
      </c>
      <c r="Q17" s="19" t="n">
        <v>1084113.75666667</v>
      </c>
      <c r="R17" s="19" t="n">
        <v>41330.3766666667</v>
      </c>
      <c r="S17" s="20" t="n">
        <v>40962648</v>
      </c>
      <c r="T17" s="20" t="n">
        <v>16708048</v>
      </c>
      <c r="U17" s="20" t="n">
        <v>8105384</v>
      </c>
      <c r="V17" s="20" t="n">
        <v>16145640</v>
      </c>
      <c r="W17" s="21" t="n">
        <v>69.4098423333334</v>
      </c>
      <c r="X17" s="21" t="n">
        <v>71.8358843333333</v>
      </c>
      <c r="Y17" s="21" t="n">
        <v>33.937969</v>
      </c>
      <c r="Z17" s="21" t="n">
        <v>45.2419786666666</v>
      </c>
      <c r="AA17" s="21" t="n">
        <v>45.6615343333333</v>
      </c>
      <c r="AB17" s="22" t="n">
        <v>45686.7</v>
      </c>
      <c r="AC17" s="22" t="n">
        <v>62192.5</v>
      </c>
      <c r="AD17" s="22" t="n">
        <v>82.395</v>
      </c>
      <c r="AE17" s="22" t="n">
        <v>271.016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325234127</v>
      </c>
      <c r="AO17" s="19" t="n">
        <v>1084113.75666667</v>
      </c>
      <c r="AP17" s="19" t="n">
        <v>41330.3766666667</v>
      </c>
      <c r="AQ17" s="20" t="n">
        <v>41129848</v>
      </c>
      <c r="AR17" s="20" t="n">
        <v>16707728</v>
      </c>
      <c r="AS17" s="20" t="n">
        <v>8276672</v>
      </c>
      <c r="AT17" s="20" t="n">
        <v>16145320</v>
      </c>
      <c r="AU17" s="21" t="n">
        <v>69.4098423333334</v>
      </c>
      <c r="AV17" s="21" t="n">
        <v>71.8358843333333</v>
      </c>
      <c r="AW17" s="21" t="n">
        <v>33.937969</v>
      </c>
      <c r="AX17" s="21" t="n">
        <v>45.2419786666666</v>
      </c>
      <c r="AY17" s="21" t="n">
        <v>45.6615343333333</v>
      </c>
      <c r="AZ17" s="22" t="n">
        <v>46168.8</v>
      </c>
      <c r="BA17" s="22" t="n">
        <v>62879.6</v>
      </c>
      <c r="BB17" s="22" t="n">
        <v>81.06100000000001</v>
      </c>
      <c r="BC17" s="22" t="n">
        <v>263.969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300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338669252</v>
      </c>
      <c r="Q18" s="29" t="n">
        <v>1128897.50666667</v>
      </c>
      <c r="R18" s="29" t="n">
        <v>46948.19</v>
      </c>
      <c r="S18" s="30" t="n">
        <v>72241504</v>
      </c>
      <c r="T18" s="30" t="n">
        <v>26421224</v>
      </c>
      <c r="U18" s="30" t="n">
        <v>8105384</v>
      </c>
      <c r="V18" s="30" t="n">
        <v>37711320</v>
      </c>
      <c r="W18" s="31" t="n">
        <v>70.4500663333334</v>
      </c>
      <c r="X18" s="31" t="n">
        <v>73.09390266666659</v>
      </c>
      <c r="Y18" s="31" t="n">
        <v>36.3607456666667</v>
      </c>
      <c r="Z18" s="31" t="n">
        <v>46.5481813333333</v>
      </c>
      <c r="AA18" s="31" t="n">
        <v>47.071704</v>
      </c>
      <c r="AB18" s="32" t="n">
        <v>44633.5</v>
      </c>
      <c r="AC18" s="32" t="n">
        <v>66206.60000000001</v>
      </c>
      <c r="AD18" s="32" t="n">
        <v>85.626</v>
      </c>
      <c r="AE18" s="32" t="n">
        <v>280.554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338669252</v>
      </c>
      <c r="AO18" s="29" t="n">
        <v>1128897.50666667</v>
      </c>
      <c r="AP18" s="29" t="n">
        <v>46948.19</v>
      </c>
      <c r="AQ18" s="30" t="n">
        <v>72408704</v>
      </c>
      <c r="AR18" s="30" t="n">
        <v>26420904</v>
      </c>
      <c r="AS18" s="30" t="n">
        <v>8276672</v>
      </c>
      <c r="AT18" s="30" t="n">
        <v>37711000</v>
      </c>
      <c r="AU18" s="31" t="n">
        <v>70.4500663333334</v>
      </c>
      <c r="AV18" s="31" t="n">
        <v>73.09390266666659</v>
      </c>
      <c r="AW18" s="31" t="n">
        <v>36.3607456666667</v>
      </c>
      <c r="AX18" s="31" t="n">
        <v>46.5481813333333</v>
      </c>
      <c r="AY18" s="31" t="n">
        <v>47.071704</v>
      </c>
      <c r="AZ18" s="32" t="n">
        <v>46116.1</v>
      </c>
      <c r="BA18" s="32" t="n">
        <v>67978.89999999999</v>
      </c>
      <c r="BB18" s="32" t="n">
        <v>84.55800000000001</v>
      </c>
      <c r="BC18" s="32" t="n">
        <v>281.224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300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320345662</v>
      </c>
      <c r="Q19" s="39" t="n">
        <v>1067818.87333333</v>
      </c>
      <c r="R19" s="39" t="n">
        <v>20527.0433333333</v>
      </c>
      <c r="S19" s="40" t="n">
        <v>162506232</v>
      </c>
      <c r="T19" s="40" t="n">
        <v>42824224</v>
      </c>
      <c r="U19" s="40" t="n">
        <v>16582056</v>
      </c>
      <c r="V19" s="40" t="n">
        <v>103096376</v>
      </c>
      <c r="W19" s="41" t="n">
        <v>71.5281233333334</v>
      </c>
      <c r="X19" s="41" t="n">
        <v>75.096447</v>
      </c>
      <c r="Y19" s="41" t="n">
        <v>38.789069</v>
      </c>
      <c r="Z19" s="41" t="n">
        <v>48.3503426666667</v>
      </c>
      <c r="AA19" s="41" t="n">
        <v>48.904711</v>
      </c>
      <c r="AB19" s="42" t="n">
        <v>44322.1</v>
      </c>
      <c r="AC19" s="42" t="n">
        <v>75012.2</v>
      </c>
      <c r="AD19" s="42" t="n">
        <v>77.968</v>
      </c>
      <c r="AE19" s="42" t="n">
        <v>294.121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320345662</v>
      </c>
      <c r="AO19" s="39" t="n">
        <v>1067818.87333333</v>
      </c>
      <c r="AP19" s="39" t="n">
        <v>20527.0433333333</v>
      </c>
      <c r="AQ19" s="40" t="n">
        <v>162672408</v>
      </c>
      <c r="AR19" s="40" t="n">
        <v>42823904</v>
      </c>
      <c r="AS19" s="40" t="n">
        <v>16752320</v>
      </c>
      <c r="AT19" s="40" t="n">
        <v>103096056</v>
      </c>
      <c r="AU19" s="41" t="n">
        <v>71.5281233333334</v>
      </c>
      <c r="AV19" s="41" t="n">
        <v>75.096447</v>
      </c>
      <c r="AW19" s="41" t="n">
        <v>38.789069</v>
      </c>
      <c r="AX19" s="41" t="n">
        <v>48.3503426666667</v>
      </c>
      <c r="AY19" s="41" t="n">
        <v>48.904711</v>
      </c>
      <c r="AZ19" s="42" t="n">
        <v>45591.7</v>
      </c>
      <c r="BA19" s="42" t="n">
        <v>76944.5</v>
      </c>
      <c r="BB19" s="42" t="n">
        <v>78.238</v>
      </c>
      <c r="BC19" s="42" t="n">
        <v>296.314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250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236986760</v>
      </c>
      <c r="Q20" s="29" t="n">
        <v>947947.04</v>
      </c>
      <c r="R20" s="29" t="n">
        <v>27801.504</v>
      </c>
      <c r="S20" s="30" t="n">
        <v>12199480</v>
      </c>
      <c r="T20" s="30" t="n">
        <v>5164752</v>
      </c>
      <c r="U20" s="30" t="n">
        <v>4133840</v>
      </c>
      <c r="V20" s="30" t="n">
        <v>2898000</v>
      </c>
      <c r="W20" s="31" t="n">
        <v>67.4199656</v>
      </c>
      <c r="X20" s="31" t="n">
        <v>69.1611372</v>
      </c>
      <c r="Y20" s="31" t="n">
        <v>30.2830184</v>
      </c>
      <c r="Z20" s="31" t="n">
        <v>40.100608</v>
      </c>
      <c r="AA20" s="31" t="n">
        <v>38.7352212</v>
      </c>
      <c r="AB20" s="32" t="n">
        <v>38393.2</v>
      </c>
      <c r="AC20" s="32" t="n">
        <v>33907.5</v>
      </c>
      <c r="AD20" s="32" t="n">
        <v>59.997</v>
      </c>
      <c r="AE20" s="32" t="n">
        <v>180.567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236986760</v>
      </c>
      <c r="AO20" s="29" t="n">
        <v>947947.04</v>
      </c>
      <c r="AP20" s="29" t="n">
        <v>27801.504</v>
      </c>
      <c r="AQ20" s="30" t="n">
        <v>12302720</v>
      </c>
      <c r="AR20" s="30" t="n">
        <v>5164496</v>
      </c>
      <c r="AS20" s="30" t="n">
        <v>4240352</v>
      </c>
      <c r="AT20" s="30" t="n">
        <v>2897744</v>
      </c>
      <c r="AU20" s="31" t="n">
        <v>67.4199656</v>
      </c>
      <c r="AV20" s="31" t="n">
        <v>69.1611372</v>
      </c>
      <c r="AW20" s="31" t="n">
        <v>30.2830184</v>
      </c>
      <c r="AX20" s="31" t="n">
        <v>40.100608</v>
      </c>
      <c r="AY20" s="31" t="n">
        <v>38.7352212</v>
      </c>
      <c r="AZ20" s="32" t="n">
        <v>39019.4</v>
      </c>
      <c r="BA20" s="32" t="n">
        <v>34115.7</v>
      </c>
      <c r="BB20" s="32" t="n">
        <v>61.673</v>
      </c>
      <c r="BC20" s="32" t="n">
        <v>182.61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250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245374486</v>
      </c>
      <c r="Q21" s="19" t="n">
        <v>981497.944</v>
      </c>
      <c r="R21" s="19" t="n">
        <v>32249.596</v>
      </c>
      <c r="S21" s="20" t="n">
        <v>16533848</v>
      </c>
      <c r="T21" s="20" t="n">
        <v>6751344</v>
      </c>
      <c r="U21" s="20" t="n">
        <v>4133840</v>
      </c>
      <c r="V21" s="20" t="n">
        <v>5645776</v>
      </c>
      <c r="W21" s="21" t="n">
        <v>69.0206584</v>
      </c>
      <c r="X21" s="21" t="n">
        <v>71.1779196</v>
      </c>
      <c r="Y21" s="21" t="n">
        <v>31.8593964</v>
      </c>
      <c r="Z21" s="21" t="n">
        <v>41.3095068</v>
      </c>
      <c r="AA21" s="21" t="n">
        <v>40.086002</v>
      </c>
      <c r="AB21" s="22" t="n">
        <v>38116.5</v>
      </c>
      <c r="AC21" s="22" t="n">
        <v>36210</v>
      </c>
      <c r="AD21" s="22" t="n">
        <v>65.758</v>
      </c>
      <c r="AE21" s="22" t="n">
        <v>193.597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245374486</v>
      </c>
      <c r="AO21" s="19" t="n">
        <v>981497.944</v>
      </c>
      <c r="AP21" s="19" t="n">
        <v>32249.596</v>
      </c>
      <c r="AQ21" s="20" t="n">
        <v>16637088</v>
      </c>
      <c r="AR21" s="20" t="n">
        <v>6751088</v>
      </c>
      <c r="AS21" s="20" t="n">
        <v>4240352</v>
      </c>
      <c r="AT21" s="20" t="n">
        <v>5645520</v>
      </c>
      <c r="AU21" s="21" t="n">
        <v>69.0206584</v>
      </c>
      <c r="AV21" s="21" t="n">
        <v>71.1779196</v>
      </c>
      <c r="AW21" s="21" t="n">
        <v>31.8593964</v>
      </c>
      <c r="AX21" s="21" t="n">
        <v>41.3095068</v>
      </c>
      <c r="AY21" s="21" t="n">
        <v>40.086002</v>
      </c>
      <c r="AZ21" s="22" t="n">
        <v>38877.7</v>
      </c>
      <c r="BA21" s="22" t="n">
        <v>36342.4</v>
      </c>
      <c r="BB21" s="22" t="n">
        <v>65.929</v>
      </c>
      <c r="BC21" s="22" t="n">
        <v>195.213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250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252835422</v>
      </c>
      <c r="Q22" s="29" t="n">
        <v>1011341.688</v>
      </c>
      <c r="R22" s="29" t="n">
        <v>34394.74</v>
      </c>
      <c r="S22" s="30" t="n">
        <v>26053128</v>
      </c>
      <c r="T22" s="30" t="n">
        <v>8757248</v>
      </c>
      <c r="U22" s="30" t="n">
        <v>4133840</v>
      </c>
      <c r="V22" s="30" t="n">
        <v>13159152</v>
      </c>
      <c r="W22" s="31" t="n">
        <v>70.206436</v>
      </c>
      <c r="X22" s="31" t="n">
        <v>72.6853596</v>
      </c>
      <c r="Y22" s="31" t="n">
        <v>33.8734112</v>
      </c>
      <c r="Z22" s="31" t="n">
        <v>42.5639532</v>
      </c>
      <c r="AA22" s="31" t="n">
        <v>41.4536564</v>
      </c>
      <c r="AB22" s="32" t="n">
        <v>38318.8</v>
      </c>
      <c r="AC22" s="32" t="n">
        <v>38410.2</v>
      </c>
      <c r="AD22" s="32" t="n">
        <v>62.906</v>
      </c>
      <c r="AE22" s="32" t="n">
        <v>187.094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252835422</v>
      </c>
      <c r="AO22" s="29" t="n">
        <v>1011341.688</v>
      </c>
      <c r="AP22" s="29" t="n">
        <v>34394.74</v>
      </c>
      <c r="AQ22" s="30" t="n">
        <v>26156368</v>
      </c>
      <c r="AR22" s="30" t="n">
        <v>8756992</v>
      </c>
      <c r="AS22" s="30" t="n">
        <v>4240352</v>
      </c>
      <c r="AT22" s="30" t="n">
        <v>13158896</v>
      </c>
      <c r="AU22" s="31" t="n">
        <v>70.206436</v>
      </c>
      <c r="AV22" s="31" t="n">
        <v>72.6853596</v>
      </c>
      <c r="AW22" s="31" t="n">
        <v>33.8734112</v>
      </c>
      <c r="AX22" s="31" t="n">
        <v>42.5639532</v>
      </c>
      <c r="AY22" s="31" t="n">
        <v>41.4536564</v>
      </c>
      <c r="AZ22" s="32" t="n">
        <v>39408.5</v>
      </c>
      <c r="BA22" s="32" t="n">
        <v>38519.9</v>
      </c>
      <c r="BB22" s="32" t="n">
        <v>64.155</v>
      </c>
      <c r="BC22" s="32" t="n">
        <v>189.022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250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256028386</v>
      </c>
      <c r="Q23" s="19" t="n">
        <v>1024113.544</v>
      </c>
      <c r="R23" s="19" t="n">
        <v>36750.168</v>
      </c>
      <c r="S23" s="20" t="n">
        <v>47262584</v>
      </c>
      <c r="T23" s="20" t="n">
        <v>13905976</v>
      </c>
      <c r="U23" s="20" t="n">
        <v>4133840</v>
      </c>
      <c r="V23" s="20" t="n">
        <v>29219880</v>
      </c>
      <c r="W23" s="21" t="n">
        <v>71.1319548</v>
      </c>
      <c r="X23" s="21" t="n">
        <v>73.8979812</v>
      </c>
      <c r="Y23" s="21" t="n">
        <v>35.7939192</v>
      </c>
      <c r="Z23" s="21" t="n">
        <v>43.746648</v>
      </c>
      <c r="AA23" s="21" t="n">
        <v>42.5994692</v>
      </c>
      <c r="AB23" s="22" t="n">
        <v>37898.8</v>
      </c>
      <c r="AC23" s="22" t="n">
        <v>41653.4</v>
      </c>
      <c r="AD23" s="22" t="n">
        <v>61.412</v>
      </c>
      <c r="AE23" s="22" t="n">
        <v>191.016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256028386</v>
      </c>
      <c r="AO23" s="19" t="n">
        <v>1024113.544</v>
      </c>
      <c r="AP23" s="19" t="n">
        <v>36750.168</v>
      </c>
      <c r="AQ23" s="20" t="n">
        <v>47365824</v>
      </c>
      <c r="AR23" s="20" t="n">
        <v>13905720</v>
      </c>
      <c r="AS23" s="20" t="n">
        <v>4240352</v>
      </c>
      <c r="AT23" s="20" t="n">
        <v>29219624</v>
      </c>
      <c r="AU23" s="21" t="n">
        <v>71.1319548</v>
      </c>
      <c r="AV23" s="21" t="n">
        <v>73.8979812</v>
      </c>
      <c r="AW23" s="21" t="n">
        <v>35.7939192</v>
      </c>
      <c r="AX23" s="21" t="n">
        <v>43.746648</v>
      </c>
      <c r="AY23" s="21" t="n">
        <v>42.5994692</v>
      </c>
      <c r="AZ23" s="22" t="n">
        <v>39474.3</v>
      </c>
      <c r="BA23" s="22" t="n">
        <v>41742.3</v>
      </c>
      <c r="BB23" s="22" t="n">
        <v>64.611</v>
      </c>
      <c r="BC23" s="22" t="n">
        <v>201.157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250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244948173</v>
      </c>
      <c r="Q24" s="49" t="n">
        <v>979792.692</v>
      </c>
      <c r="R24" s="49" t="n">
        <v>18094.528</v>
      </c>
      <c r="S24" s="50" t="n">
        <v>91317056</v>
      </c>
      <c r="T24" s="50" t="n">
        <v>22184432</v>
      </c>
      <c r="U24" s="50" t="n">
        <v>8786488</v>
      </c>
      <c r="V24" s="50" t="n">
        <v>60343248</v>
      </c>
      <c r="W24" s="51" t="n">
        <v>72.05847</v>
      </c>
      <c r="X24" s="51" t="n">
        <v>76.0141063999999</v>
      </c>
      <c r="Y24" s="51" t="n">
        <v>37.2920492</v>
      </c>
      <c r="Z24" s="51" t="n">
        <v>44.7398188</v>
      </c>
      <c r="AA24" s="51" t="n">
        <v>43.4597108</v>
      </c>
      <c r="AB24" s="52" t="n">
        <v>38830.8</v>
      </c>
      <c r="AC24" s="52" t="n">
        <v>46601.1</v>
      </c>
      <c r="AD24" s="52" t="n">
        <v>61.797</v>
      </c>
      <c r="AE24" s="52" t="n">
        <v>209.757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244948173</v>
      </c>
      <c r="AO24" s="49" t="n">
        <v>979792.692</v>
      </c>
      <c r="AP24" s="49" t="n">
        <v>18094.528</v>
      </c>
      <c r="AQ24" s="50" t="n">
        <v>91419520</v>
      </c>
      <c r="AR24" s="50" t="n">
        <v>22184176</v>
      </c>
      <c r="AS24" s="50" t="n">
        <v>8892224</v>
      </c>
      <c r="AT24" s="50" t="n">
        <v>60342992</v>
      </c>
      <c r="AU24" s="51" t="n">
        <v>72.05847</v>
      </c>
      <c r="AV24" s="51" t="n">
        <v>76.0141063999999</v>
      </c>
      <c r="AW24" s="51" t="n">
        <v>37.2920492</v>
      </c>
      <c r="AX24" s="51" t="n">
        <v>44.7398188</v>
      </c>
      <c r="AY24" s="51" t="n">
        <v>43.4597108</v>
      </c>
      <c r="AZ24" s="52" t="n">
        <v>38173.6</v>
      </c>
      <c r="BA24" s="52" t="n">
        <v>46025.5</v>
      </c>
      <c r="BB24" s="52" t="n">
        <v>61.973</v>
      </c>
      <c r="BC24" s="52" t="n">
        <v>214.179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300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231895032</v>
      </c>
      <c r="Q25" s="19" t="n">
        <v>772983.4399999999</v>
      </c>
      <c r="R25" s="19" t="n">
        <v>19450.04</v>
      </c>
      <c r="S25" s="20" t="n">
        <v>23961936</v>
      </c>
      <c r="T25" s="20" t="n">
        <v>8872288</v>
      </c>
      <c r="U25" s="20" t="n">
        <v>6296888</v>
      </c>
      <c r="V25" s="20" t="n">
        <v>8789184</v>
      </c>
      <c r="W25" s="21" t="n">
        <v>66.38196366666671</v>
      </c>
      <c r="X25" s="21" t="n">
        <v>68.13305066666661</v>
      </c>
      <c r="Y25" s="21" t="n">
        <v>25.9273263333333</v>
      </c>
      <c r="Z25" s="21" t="n">
        <v>32.4231333333333</v>
      </c>
      <c r="AA25" s="21" t="n">
        <v>31.6197293333333</v>
      </c>
      <c r="AB25" s="22" t="n">
        <v>37287</v>
      </c>
      <c r="AC25" s="22" t="n">
        <v>59860.6</v>
      </c>
      <c r="AD25" s="22" t="n">
        <v>68.745</v>
      </c>
      <c r="AE25" s="22" t="n">
        <v>296.339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231895032</v>
      </c>
      <c r="AO25" s="19" t="n">
        <v>772983.4399999999</v>
      </c>
      <c r="AP25" s="19" t="n">
        <v>19450.04</v>
      </c>
      <c r="AQ25" s="20" t="n">
        <v>24047064</v>
      </c>
      <c r="AR25" s="20" t="n">
        <v>8871968</v>
      </c>
      <c r="AS25" s="20" t="n">
        <v>6386104</v>
      </c>
      <c r="AT25" s="20" t="n">
        <v>8788864</v>
      </c>
      <c r="AU25" s="21" t="n">
        <v>66.38196366666671</v>
      </c>
      <c r="AV25" s="21" t="n">
        <v>68.13305066666661</v>
      </c>
      <c r="AW25" s="21" t="n">
        <v>25.9273263333333</v>
      </c>
      <c r="AX25" s="21" t="n">
        <v>32.4231333333333</v>
      </c>
      <c r="AY25" s="21" t="n">
        <v>31.6197293333333</v>
      </c>
      <c r="AZ25" s="22" t="n">
        <v>37250.7</v>
      </c>
      <c r="BA25" s="22" t="n">
        <v>58914.4</v>
      </c>
      <c r="BB25" s="22" t="n">
        <v>65.163</v>
      </c>
      <c r="BC25" s="22" t="n">
        <v>278.758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300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247508649</v>
      </c>
      <c r="Q26" s="29" t="n">
        <v>825028.83</v>
      </c>
      <c r="R26" s="29" t="n">
        <v>24325.5066666667</v>
      </c>
      <c r="S26" s="30" t="n">
        <v>36569512</v>
      </c>
      <c r="T26" s="30" t="n">
        <v>12145136</v>
      </c>
      <c r="U26" s="30" t="n">
        <v>6296888</v>
      </c>
      <c r="V26" s="30" t="n">
        <v>18123912</v>
      </c>
      <c r="W26" s="31" t="n">
        <v>68.1270353333333</v>
      </c>
      <c r="X26" s="31" t="n">
        <v>70.1323226666667</v>
      </c>
      <c r="Y26" s="31" t="n">
        <v>28.0016876666667</v>
      </c>
      <c r="Z26" s="31" t="n">
        <v>33.670531</v>
      </c>
      <c r="AA26" s="31" t="n">
        <v>33.0843216666667</v>
      </c>
      <c r="AB26" s="32" t="n">
        <v>36708.3</v>
      </c>
      <c r="AC26" s="32" t="n">
        <v>62955.2</v>
      </c>
      <c r="AD26" s="32" t="n">
        <v>60.836</v>
      </c>
      <c r="AE26" s="32" t="n">
        <v>260.414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247508649</v>
      </c>
      <c r="AO26" s="29" t="n">
        <v>825028.83</v>
      </c>
      <c r="AP26" s="29" t="n">
        <v>24325.5066666667</v>
      </c>
      <c r="AQ26" s="30" t="n">
        <v>36654640</v>
      </c>
      <c r="AR26" s="30" t="n">
        <v>12144816</v>
      </c>
      <c r="AS26" s="30" t="n">
        <v>6386104</v>
      </c>
      <c r="AT26" s="30" t="n">
        <v>18123592</v>
      </c>
      <c r="AU26" s="31" t="n">
        <v>68.1270353333333</v>
      </c>
      <c r="AV26" s="31" t="n">
        <v>70.1323226666667</v>
      </c>
      <c r="AW26" s="31" t="n">
        <v>28.0016876666667</v>
      </c>
      <c r="AX26" s="31" t="n">
        <v>33.670531</v>
      </c>
      <c r="AY26" s="31" t="n">
        <v>33.0843216666667</v>
      </c>
      <c r="AZ26" s="32" t="n">
        <v>36959.8</v>
      </c>
      <c r="BA26" s="32" t="n">
        <v>63067.5</v>
      </c>
      <c r="BB26" s="32" t="n">
        <v>64.181</v>
      </c>
      <c r="BC26" s="32" t="n">
        <v>278.718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300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250274073</v>
      </c>
      <c r="Q27" s="19" t="n">
        <v>834246.91</v>
      </c>
      <c r="R27" s="19" t="n">
        <v>25643.2933333333</v>
      </c>
      <c r="S27" s="20" t="n">
        <v>62076648</v>
      </c>
      <c r="T27" s="20" t="n">
        <v>16873272</v>
      </c>
      <c r="U27" s="20" t="n">
        <v>6296888</v>
      </c>
      <c r="V27" s="20" t="n">
        <v>38902912</v>
      </c>
      <c r="W27" s="21" t="n">
        <v>69.4805783333333</v>
      </c>
      <c r="X27" s="21" t="n">
        <v>71.85852066666661</v>
      </c>
      <c r="Y27" s="21" t="n">
        <v>30.3108816666666</v>
      </c>
      <c r="Z27" s="21" t="n">
        <v>34.951973</v>
      </c>
      <c r="AA27" s="21" t="n">
        <v>34.4476763333333</v>
      </c>
      <c r="AB27" s="22" t="n">
        <v>36514.3</v>
      </c>
      <c r="AC27" s="22" t="n">
        <v>66967</v>
      </c>
      <c r="AD27" s="22" t="n">
        <v>62.269</v>
      </c>
      <c r="AE27" s="22" t="n">
        <v>272.269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250274073</v>
      </c>
      <c r="AO27" s="19" t="n">
        <v>834246.91</v>
      </c>
      <c r="AP27" s="19" t="n">
        <v>25643.2933333333</v>
      </c>
      <c r="AQ27" s="20" t="n">
        <v>62161776</v>
      </c>
      <c r="AR27" s="20" t="n">
        <v>16872952</v>
      </c>
      <c r="AS27" s="20" t="n">
        <v>6386104</v>
      </c>
      <c r="AT27" s="20" t="n">
        <v>38902592</v>
      </c>
      <c r="AU27" s="21" t="n">
        <v>69.4805783333333</v>
      </c>
      <c r="AV27" s="21" t="n">
        <v>71.85852066666661</v>
      </c>
      <c r="AW27" s="21" t="n">
        <v>30.3108816666666</v>
      </c>
      <c r="AX27" s="21" t="n">
        <v>34.951973</v>
      </c>
      <c r="AY27" s="21" t="n">
        <v>34.4476763333333</v>
      </c>
      <c r="AZ27" s="22" t="n">
        <v>38866.2</v>
      </c>
      <c r="BA27" s="22" t="n">
        <v>68462.5</v>
      </c>
      <c r="BB27" s="22" t="n">
        <v>68.13</v>
      </c>
      <c r="BC27" s="22" t="n">
        <v>294.151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300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260152455</v>
      </c>
      <c r="Q28" s="29" t="n">
        <v>867174.85</v>
      </c>
      <c r="R28" s="29" t="n">
        <v>29311.5466666667</v>
      </c>
      <c r="S28" s="30" t="n">
        <v>125424136</v>
      </c>
      <c r="T28" s="30" t="n">
        <v>25097080</v>
      </c>
      <c r="U28" s="30" t="n">
        <v>6296888</v>
      </c>
      <c r="V28" s="30" t="n">
        <v>94026592</v>
      </c>
      <c r="W28" s="31" t="n">
        <v>70.4770643333334</v>
      </c>
      <c r="X28" s="31" t="n">
        <v>73.0595426666666</v>
      </c>
      <c r="Y28" s="31" t="n">
        <v>32.8247796666667</v>
      </c>
      <c r="Z28" s="31" t="n">
        <v>36.5281313333333</v>
      </c>
      <c r="AA28" s="31" t="n">
        <v>36.0299953333334</v>
      </c>
      <c r="AB28" s="32" t="n">
        <v>36779.8</v>
      </c>
      <c r="AC28" s="32" t="n">
        <v>72355.3</v>
      </c>
      <c r="AD28" s="32" t="n">
        <v>61.328</v>
      </c>
      <c r="AE28" s="32" t="n">
        <v>270.803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260152455</v>
      </c>
      <c r="AO28" s="29" t="n">
        <v>867174.85</v>
      </c>
      <c r="AP28" s="29" t="n">
        <v>29311.5466666667</v>
      </c>
      <c r="AQ28" s="30" t="n">
        <v>125509264</v>
      </c>
      <c r="AR28" s="30" t="n">
        <v>25096760</v>
      </c>
      <c r="AS28" s="30" t="n">
        <v>6386104</v>
      </c>
      <c r="AT28" s="30" t="n">
        <v>94026272</v>
      </c>
      <c r="AU28" s="31" t="n">
        <v>70.4770643333334</v>
      </c>
      <c r="AV28" s="31" t="n">
        <v>73.0595426666666</v>
      </c>
      <c r="AW28" s="31" t="n">
        <v>32.8247796666667</v>
      </c>
      <c r="AX28" s="31" t="n">
        <v>36.5281313333333</v>
      </c>
      <c r="AY28" s="31" t="n">
        <v>36.0299953333334</v>
      </c>
      <c r="AZ28" s="32" t="n">
        <v>36254</v>
      </c>
      <c r="BA28" s="32" t="n">
        <v>70833.7</v>
      </c>
      <c r="BB28" s="32" t="n">
        <v>62.359</v>
      </c>
      <c r="BC28" s="32" t="n">
        <v>275.821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300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248793715</v>
      </c>
      <c r="Q29" s="39" t="n">
        <v>829312.383333333</v>
      </c>
      <c r="R29" s="39" t="n">
        <v>13074.65</v>
      </c>
      <c r="S29" s="40" t="n">
        <v>289380472</v>
      </c>
      <c r="T29" s="40" t="n">
        <v>39214424</v>
      </c>
      <c r="U29" s="40" t="n">
        <v>12417680</v>
      </c>
      <c r="V29" s="40" t="n">
        <v>237744792</v>
      </c>
      <c r="W29" s="41" t="n">
        <v>71.563841</v>
      </c>
      <c r="X29" s="41" t="n">
        <v>74.9783373333333</v>
      </c>
      <c r="Y29" s="41" t="n">
        <v>35.465627</v>
      </c>
      <c r="Z29" s="41" t="n">
        <v>38.5581743333333</v>
      </c>
      <c r="AA29" s="41" t="n">
        <v>38.0013426666667</v>
      </c>
      <c r="AB29" s="42" t="n">
        <v>36544.6</v>
      </c>
      <c r="AC29" s="42" t="n">
        <v>81094.60000000001</v>
      </c>
      <c r="AD29" s="42" t="n">
        <v>61.765</v>
      </c>
      <c r="AE29" s="42" t="n">
        <v>301.794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248793715</v>
      </c>
      <c r="AO29" s="39" t="n">
        <v>829312.383333333</v>
      </c>
      <c r="AP29" s="39" t="n">
        <v>13074.65</v>
      </c>
      <c r="AQ29" s="40" t="n">
        <v>289464112</v>
      </c>
      <c r="AR29" s="40" t="n">
        <v>39214104</v>
      </c>
      <c r="AS29" s="40" t="n">
        <v>12505408</v>
      </c>
      <c r="AT29" s="40" t="n">
        <v>237744472</v>
      </c>
      <c r="AU29" s="41" t="n">
        <v>71.563841</v>
      </c>
      <c r="AV29" s="41" t="n">
        <v>74.9783373333333</v>
      </c>
      <c r="AW29" s="41" t="n">
        <v>35.465627</v>
      </c>
      <c r="AX29" s="41" t="n">
        <v>38.5581743333333</v>
      </c>
      <c r="AY29" s="41" t="n">
        <v>38.0013426666667</v>
      </c>
      <c r="AZ29" s="42" t="n">
        <v>36538.4</v>
      </c>
      <c r="BA29" s="42" t="n">
        <v>80675.10000000001</v>
      </c>
      <c r="BB29" s="42" t="n">
        <v>62.906</v>
      </c>
      <c r="BC29" s="42" t="n">
        <v>314.732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pageMargins bottom="0.75" footer="0.3" header="0.3" left="0.7" right="0.7" top="0.7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X12"/>
  <sheetViews>
    <sheetView tabSelected="1" workbookViewId="0">
      <selection activeCell="I17" sqref="I17"/>
    </sheetView>
  </sheetViews>
  <sheetFormatPr baseColWidth="8" defaultRowHeight="14.4"/>
  <cols>
    <col customWidth="1" max="1" min="1" style="4" width="2.44140625"/>
    <col customWidth="1" max="2" min="2" style="4" width="6.21875"/>
    <col customWidth="1" max="18" min="3" style="4" width="6.88671875"/>
  </cols>
  <sheetData>
    <row customHeight="1" ht="15" r="1" s="4" thickBot="1"/>
    <row customHeight="1" ht="15" r="2" s="4" thickBot="1">
      <c r="A2" s="165" t="inlineStr">
        <is>
          <t>Class</t>
        </is>
      </c>
      <c r="B2" s="166" t="inlineStr">
        <is>
          <t>Seq.</t>
        </is>
      </c>
      <c r="C2" s="167" t="inlineStr">
        <is>
          <t>CWAI</t>
        </is>
      </c>
      <c r="D2" s="168" t="n"/>
      <c r="E2" s="169" t="n"/>
      <c r="F2" s="167" t="inlineStr">
        <is>
          <t>CWLD</t>
        </is>
      </c>
      <c r="G2" s="168" t="n"/>
      <c r="H2" s="169" t="n"/>
      <c r="I2" s="167" t="inlineStr">
        <is>
          <t>C2AI</t>
        </is>
      </c>
      <c r="J2" s="168" t="n"/>
      <c r="K2" s="168" t="n"/>
      <c r="L2" s="168" t="n"/>
      <c r="M2" s="169" t="n"/>
      <c r="N2" s="167" t="inlineStr">
        <is>
          <t>C2RA</t>
        </is>
      </c>
      <c r="O2" s="168" t="n"/>
      <c r="P2" s="168" t="n"/>
      <c r="Q2" s="168" t="n"/>
      <c r="R2" s="169" t="n"/>
    </row>
    <row customHeight="1" ht="14.4" r="3" s="4">
      <c r="A3" s="170" t="n"/>
      <c r="B3" s="171" t="n"/>
      <c r="C3" s="172" t="inlineStr">
        <is>
          <t>bpip ratio [%]</t>
        </is>
      </c>
      <c r="D3" s="173" t="n"/>
      <c r="E3" s="174" t="n"/>
      <c r="F3" s="172" t="inlineStr">
        <is>
          <t>bpip ratio [%]</t>
        </is>
      </c>
      <c r="G3" s="173" t="n"/>
      <c r="H3" s="174" t="n"/>
      <c r="I3" s="139" t="inlineStr">
        <is>
          <t>Geom. BD‑TotalRate [%]</t>
        </is>
      </c>
      <c r="J3" s="173" t="n"/>
      <c r="K3" s="175" t="inlineStr">
        <is>
          <t>End-to-End BD‑TotalRate [%]</t>
        </is>
      </c>
      <c r="L3" s="159" t="n"/>
      <c r="M3" s="176" t="n"/>
      <c r="N3" s="139" t="inlineStr">
        <is>
          <t>Geom. BD‑TotalRate [%]</t>
        </is>
      </c>
      <c r="O3" s="173" t="n"/>
      <c r="P3" s="175" t="inlineStr">
        <is>
          <t>End-to-End BD‑TotalRate [%]</t>
        </is>
      </c>
      <c r="Q3" s="159" t="n"/>
      <c r="R3" s="176" t="n"/>
      <c r="T3" s="177" t="inlineStr">
        <is>
          <t>Cond.</t>
        </is>
      </c>
      <c r="U3" s="178" t="inlineStr">
        <is>
          <t>Encoder runtime [%]</t>
        </is>
      </c>
      <c r="V3" s="162" t="n"/>
      <c r="W3" s="178" t="inlineStr">
        <is>
          <t>Decoder runtime [%]</t>
        </is>
      </c>
      <c r="X3" s="162" t="n"/>
    </row>
    <row customHeight="1" ht="15" r="4" s="4" thickBot="1">
      <c r="A4" s="179" t="n"/>
      <c r="B4" s="180" t="n"/>
      <c r="C4" s="67" t="inlineStr">
        <is>
          <t>Total</t>
        </is>
      </c>
      <c r="D4" s="68" t="inlineStr">
        <is>
          <t>Geo.</t>
        </is>
      </c>
      <c r="E4" s="69" t="inlineStr">
        <is>
          <t>Colour</t>
        </is>
      </c>
      <c r="F4" s="67" t="inlineStr">
        <is>
          <t>Total</t>
        </is>
      </c>
      <c r="G4" s="68" t="inlineStr">
        <is>
          <t>Geo.</t>
        </is>
      </c>
      <c r="H4" s="69" t="inlineStr">
        <is>
          <t>Colour</t>
        </is>
      </c>
      <c r="I4" s="67" t="inlineStr">
        <is>
          <t>D1</t>
        </is>
      </c>
      <c r="J4" s="68" t="inlineStr">
        <is>
          <t>D2</t>
        </is>
      </c>
      <c r="K4" s="68" t="inlineStr">
        <is>
          <t>Luma</t>
        </is>
      </c>
      <c r="L4" s="68" t="inlineStr">
        <is>
          <t xml:space="preserve"> Cb</t>
        </is>
      </c>
      <c r="M4" s="69" t="inlineStr">
        <is>
          <t>Cr</t>
        </is>
      </c>
      <c r="N4" s="67" t="inlineStr">
        <is>
          <t>D1</t>
        </is>
      </c>
      <c r="O4" s="68" t="inlineStr">
        <is>
          <t>D2</t>
        </is>
      </c>
      <c r="P4" s="68" t="inlineStr">
        <is>
          <t>Luma</t>
        </is>
      </c>
      <c r="Q4" s="68" t="inlineStr">
        <is>
          <t>Cb</t>
        </is>
      </c>
      <c r="R4" s="69" t="inlineStr">
        <is>
          <t>Cr</t>
        </is>
      </c>
      <c r="T4" s="164" t="n"/>
      <c r="U4" s="70" t="inlineStr">
        <is>
          <t>Self</t>
        </is>
      </c>
      <c r="V4" s="71" t="inlineStr">
        <is>
          <t>Child</t>
        </is>
      </c>
      <c r="W4" s="72" t="inlineStr">
        <is>
          <t>Self</t>
        </is>
      </c>
      <c r="X4" s="71" t="inlineStr">
        <is>
          <t>Child</t>
        </is>
      </c>
    </row>
    <row r="5">
      <c r="A5" s="73" t="inlineStr">
        <is>
          <t>A</t>
        </is>
      </c>
      <c r="B5" s="74" t="inlineStr">
        <is>
          <t>Loot</t>
        </is>
      </c>
      <c r="C5" s="75">
        <f>'CW losslG,losslA,intra'!BB5</f>
        <v/>
      </c>
      <c r="D5" s="76">
        <f>'CW losslG,losslA,intra'!BC5</f>
        <v/>
      </c>
      <c r="E5" s="77">
        <f>'CW losslG,losslA,intra'!BD5</f>
        <v/>
      </c>
      <c r="F5" s="75">
        <f>'CW losslG,losslA,interLD'!BB5</f>
        <v/>
      </c>
      <c r="G5" s="76">
        <f>'CW losslG,losslA,interLD'!BC5</f>
        <v/>
      </c>
      <c r="H5" s="77">
        <f>'CW losslG,losslA,interLD'!BD5</f>
        <v/>
      </c>
      <c r="I5" s="75">
        <f>'C2 lossyG,lossyA,intra'!BO5</f>
        <v/>
      </c>
      <c r="J5" s="76">
        <f>'C2 lossyG,lossyA,intra'!BP5</f>
        <v/>
      </c>
      <c r="K5" s="76">
        <f>'C2 lossyG,lossyA,intra'!BQ5</f>
        <v/>
      </c>
      <c r="L5" s="76">
        <f>'C2 lossyG,lossyA,intra'!BR5</f>
        <v/>
      </c>
      <c r="M5" s="77">
        <f>'C2 lossyG,lossyA,intra'!BS5</f>
        <v/>
      </c>
      <c r="N5" s="75">
        <f>'C2 lossyG,lossyA,interRA'!BO5</f>
        <v/>
      </c>
      <c r="O5" s="76">
        <f>'C2 lossyG,lossyA,interRA'!BP5</f>
        <v/>
      </c>
      <c r="P5" s="76">
        <f>'C2 lossyG,lossyA,interRA'!BQ5</f>
        <v/>
      </c>
      <c r="Q5" s="76">
        <f>'C2 lossyG,lossyA,interRA'!BR5</f>
        <v/>
      </c>
      <c r="R5" s="77">
        <f>'C2 lossyG,lossyA,interRA'!BS5</f>
        <v/>
      </c>
      <c r="T5" s="78" t="inlineStr">
        <is>
          <t>CWAI</t>
        </is>
      </c>
      <c r="U5" s="79">
        <f>'CW losslG,losslA,intra'!AW16</f>
        <v/>
      </c>
      <c r="V5" s="80">
        <f>'CW losslG,losslA,intra'!AX16</f>
        <v/>
      </c>
      <c r="W5" s="79">
        <f>'CW losslG,losslA,intra'!AY16</f>
        <v/>
      </c>
      <c r="X5" s="80">
        <f>'CW losslG,losslA,intra'!AZ16</f>
        <v/>
      </c>
    </row>
    <row r="6">
      <c r="A6" s="81" t="n"/>
      <c r="B6" s="82" t="inlineStr">
        <is>
          <t>R&amp;B</t>
        </is>
      </c>
      <c r="C6" s="83">
        <f>'CW losslG,losslA,intra'!BB6</f>
        <v/>
      </c>
      <c r="D6" s="84">
        <f>'CW losslG,losslA,intra'!BC6</f>
        <v/>
      </c>
      <c r="E6" s="85">
        <f>'CW losslG,losslA,intra'!BD6</f>
        <v/>
      </c>
      <c r="F6" s="83">
        <f>'CW losslG,losslA,interLD'!BB6</f>
        <v/>
      </c>
      <c r="G6" s="84">
        <f>'CW losslG,losslA,interLD'!BC6</f>
        <v/>
      </c>
      <c r="H6" s="85">
        <f>'CW losslG,losslA,interLD'!BD6</f>
        <v/>
      </c>
      <c r="I6" s="83">
        <f>'C2 lossyG,lossyA,intra'!BO10</f>
        <v/>
      </c>
      <c r="J6" s="84">
        <f>'C2 lossyG,lossyA,intra'!BP10</f>
        <v/>
      </c>
      <c r="K6" s="84">
        <f>'C2 lossyG,lossyA,intra'!BQ10</f>
        <v/>
      </c>
      <c r="L6" s="84">
        <f>'C2 lossyG,lossyA,intra'!BR10</f>
        <v/>
      </c>
      <c r="M6" s="85">
        <f>'C2 lossyG,lossyA,intra'!BS10</f>
        <v/>
      </c>
      <c r="N6" s="83">
        <f>'C2 lossyG,lossyA,interRA'!BO10</f>
        <v/>
      </c>
      <c r="O6" s="84">
        <f>'C2 lossyG,lossyA,interRA'!BP10</f>
        <v/>
      </c>
      <c r="P6" s="84">
        <f>'C2 lossyG,lossyA,interRA'!BQ10</f>
        <v/>
      </c>
      <c r="Q6" s="84">
        <f>'C2 lossyG,lossyA,interRA'!BR10</f>
        <v/>
      </c>
      <c r="R6" s="85">
        <f>'C2 lossyG,lossyA,interRA'!BS10</f>
        <v/>
      </c>
      <c r="T6" s="86" t="inlineStr">
        <is>
          <t>CWLD</t>
        </is>
      </c>
      <c r="U6" s="87">
        <f>'CW losslG,losslA,interLD'!AW16</f>
        <v/>
      </c>
      <c r="V6" s="88">
        <f>'CW losslG,losslA,interLD'!AX16</f>
        <v/>
      </c>
      <c r="W6" s="87">
        <f>'CW losslG,losslA,interLD'!AY16</f>
        <v/>
      </c>
      <c r="X6" s="88">
        <f>'CW losslG,losslA,interLD'!AZ16</f>
        <v/>
      </c>
    </row>
    <row r="7">
      <c r="A7" s="89" t="n"/>
      <c r="B7" s="90" t="inlineStr">
        <is>
          <t>Soldier</t>
        </is>
      </c>
      <c r="C7" s="91">
        <f>'CW losslG,losslA,intra'!BB7</f>
        <v/>
      </c>
      <c r="D7" s="92">
        <f>'CW losslG,losslA,intra'!BC7</f>
        <v/>
      </c>
      <c r="E7" s="93">
        <f>'CW losslG,losslA,intra'!BD7</f>
        <v/>
      </c>
      <c r="F7" s="91">
        <f>'CW losslG,losslA,interLD'!BB7</f>
        <v/>
      </c>
      <c r="G7" s="92">
        <f>'CW losslG,losslA,interLD'!BC7</f>
        <v/>
      </c>
      <c r="H7" s="93">
        <f>'CW losslG,losslA,interLD'!BD7</f>
        <v/>
      </c>
      <c r="I7" s="91">
        <f>'C2 lossyG,lossyA,intra'!BO15</f>
        <v/>
      </c>
      <c r="J7" s="92">
        <f>'C2 lossyG,lossyA,intra'!BP15</f>
        <v/>
      </c>
      <c r="K7" s="92">
        <f>'C2 lossyG,lossyA,intra'!BQ15</f>
        <v/>
      </c>
      <c r="L7" s="92">
        <f>'C2 lossyG,lossyA,intra'!BR15</f>
        <v/>
      </c>
      <c r="M7" s="93">
        <f>'C2 lossyG,lossyA,intra'!BS15</f>
        <v/>
      </c>
      <c r="N7" s="91">
        <f>'C2 lossyG,lossyA,interRA'!BO15</f>
        <v/>
      </c>
      <c r="O7" s="92">
        <f>'C2 lossyG,lossyA,interRA'!BP15</f>
        <v/>
      </c>
      <c r="P7" s="92">
        <f>'C2 lossyG,lossyA,interRA'!BQ15</f>
        <v/>
      </c>
      <c r="Q7" s="92">
        <f>'C2 lossyG,lossyA,interRA'!BR15</f>
        <v/>
      </c>
      <c r="R7" s="93">
        <f>'C2 lossyG,lossyA,interRA'!BS15</f>
        <v/>
      </c>
      <c r="T7" s="94" t="inlineStr">
        <is>
          <t>C2AI</t>
        </is>
      </c>
      <c r="U7" s="95">
        <f>'C2 lossyG,lossyA,intra'!AZ36</f>
        <v/>
      </c>
      <c r="V7" s="96">
        <f>'C2 lossyG,lossyA,intra'!BA36</f>
        <v/>
      </c>
      <c r="W7" s="95">
        <f>'C2 lossyG,lossyA,intra'!BB36</f>
        <v/>
      </c>
      <c r="X7" s="96">
        <f>'C2 lossyG,lossyA,intra'!BC36</f>
        <v/>
      </c>
    </row>
    <row customHeight="1" ht="15" r="8" s="4" thickBot="1">
      <c r="A8" s="97" t="n"/>
      <c r="B8" s="45" t="inlineStr">
        <is>
          <t>Queen</t>
        </is>
      </c>
      <c r="C8" s="98">
        <f>'CW losslG,losslA,intra'!BB8</f>
        <v/>
      </c>
      <c r="D8" s="54">
        <f>'CW losslG,losslA,intra'!BC8</f>
        <v/>
      </c>
      <c r="E8" s="99">
        <f>'CW losslG,losslA,intra'!BD8</f>
        <v/>
      </c>
      <c r="F8" s="98">
        <f>'CW losslG,losslA,interLD'!BB8</f>
        <v/>
      </c>
      <c r="G8" s="54">
        <f>'CW losslG,losslA,interLD'!BC8</f>
        <v/>
      </c>
      <c r="H8" s="99">
        <f>'CW losslG,losslA,interLD'!BD8</f>
        <v/>
      </c>
      <c r="I8" s="98">
        <f>'C2 lossyG,lossyA,intra'!BO20</f>
        <v/>
      </c>
      <c r="J8" s="54">
        <f>'C2 lossyG,lossyA,intra'!BP20</f>
        <v/>
      </c>
      <c r="K8" s="54">
        <f>'C2 lossyG,lossyA,intra'!BQ20</f>
        <v/>
      </c>
      <c r="L8" s="54">
        <f>'C2 lossyG,lossyA,intra'!BR20</f>
        <v/>
      </c>
      <c r="M8" s="99">
        <f>'C2 lossyG,lossyA,intra'!BS20</f>
        <v/>
      </c>
      <c r="N8" s="98">
        <f>'C2 lossyG,lossyA,interRA'!BO20</f>
        <v/>
      </c>
      <c r="O8" s="54">
        <f>'C2 lossyG,lossyA,interRA'!BP20</f>
        <v/>
      </c>
      <c r="P8" s="54">
        <f>'C2 lossyG,lossyA,interRA'!BQ20</f>
        <v/>
      </c>
      <c r="Q8" s="54">
        <f>'C2 lossyG,lossyA,interRA'!BR20</f>
        <v/>
      </c>
      <c r="R8" s="99">
        <f>'C2 lossyG,lossyA,interRA'!BS20</f>
        <v/>
      </c>
      <c r="T8" s="100" t="inlineStr">
        <is>
          <t>C2RA</t>
        </is>
      </c>
      <c r="U8" s="101">
        <f>'C2 lossyG,lossyA,interRA'!AZ36</f>
        <v/>
      </c>
      <c r="V8" s="102">
        <f>'C2 lossyG,lossyA,interRA'!BA36</f>
        <v/>
      </c>
      <c r="W8" s="101">
        <f>'C2 lossyG,lossyA,interRA'!BB36</f>
        <v/>
      </c>
      <c r="X8" s="102">
        <f>'C2 lossyG,lossyA,interRA'!BC36</f>
        <v/>
      </c>
    </row>
    <row customHeight="1" ht="15" r="9" s="4" thickBot="1">
      <c r="A9" s="103" t="inlineStr">
        <is>
          <t>B</t>
        </is>
      </c>
      <c r="B9" s="35" t="inlineStr">
        <is>
          <t>Long.</t>
        </is>
      </c>
      <c r="C9" s="104">
        <f>'CW losslG,losslA,intra'!BB9</f>
        <v/>
      </c>
      <c r="D9" s="44">
        <f>'CW losslG,losslA,intra'!BC9</f>
        <v/>
      </c>
      <c r="E9" s="105">
        <f>'CW losslG,losslA,intra'!BD9</f>
        <v/>
      </c>
      <c r="F9" s="104">
        <f>'CW losslG,losslA,interLD'!BB9</f>
        <v/>
      </c>
      <c r="G9" s="44">
        <f>'CW losslG,losslA,interLD'!BC9</f>
        <v/>
      </c>
      <c r="H9" s="105">
        <f>'CW losslG,losslA,interLD'!BD9</f>
        <v/>
      </c>
      <c r="I9" s="104">
        <f>'C2 lossyG,lossyA,intra'!BO25</f>
        <v/>
      </c>
      <c r="J9" s="44">
        <f>'C2 lossyG,lossyA,intra'!BP25</f>
        <v/>
      </c>
      <c r="K9" s="44">
        <f>'C2 lossyG,lossyA,intra'!BQ25</f>
        <v/>
      </c>
      <c r="L9" s="44">
        <f>'C2 lossyG,lossyA,intra'!BR25</f>
        <v/>
      </c>
      <c r="M9" s="105">
        <f>'C2 lossyG,lossyA,intra'!BS25</f>
        <v/>
      </c>
      <c r="N9" s="104">
        <f>'C2 lossyG,lossyA,interRA'!BO25</f>
        <v/>
      </c>
      <c r="O9" s="44">
        <f>'C2 lossyG,lossyA,interRA'!BP25</f>
        <v/>
      </c>
      <c r="P9" s="44">
        <f>'C2 lossyG,lossyA,interRA'!BQ25</f>
        <v/>
      </c>
      <c r="Q9" s="44">
        <f>'C2 lossyG,lossyA,interRA'!BR25</f>
        <v/>
      </c>
      <c r="R9" s="105">
        <f>'C2 lossyG,lossyA,interRA'!BS25</f>
        <v/>
      </c>
      <c r="T9" s="106" t="inlineStr">
        <is>
          <t>Avg.</t>
        </is>
      </c>
      <c r="U9" s="107">
        <f>AVERAGE(U5:U8)</f>
        <v/>
      </c>
      <c r="V9" s="108">
        <f>AVERAGE(V5:V8)</f>
        <v/>
      </c>
      <c r="W9" s="109">
        <f>AVERAGE(W5:W8)</f>
        <v/>
      </c>
      <c r="X9" s="108">
        <f>AVERAGE(X5:X8)</f>
        <v/>
      </c>
    </row>
    <row r="10">
      <c r="A10" s="181" t="inlineStr">
        <is>
          <t>A avg</t>
        </is>
      </c>
      <c r="B10" s="174" t="n"/>
      <c r="C10" s="110">
        <f>'CW losslG,losslA,intra'!BB10</f>
        <v/>
      </c>
      <c r="D10" s="111">
        <f>'CW losslG,losslA,intra'!BC10</f>
        <v/>
      </c>
      <c r="E10" s="112">
        <f>'CW losslG,losslA,intra'!BD10</f>
        <v/>
      </c>
      <c r="F10" s="110">
        <f>'CW losslG,losslA,interLD'!BB10</f>
        <v/>
      </c>
      <c r="G10" s="111">
        <f>'CW losslG,losslA,interLD'!BC10</f>
        <v/>
      </c>
      <c r="H10" s="112">
        <f>'CW losslG,losslA,interLD'!BD10</f>
        <v/>
      </c>
      <c r="I10" s="110">
        <f>'C2 lossyG,lossyA,intra'!BO30</f>
        <v/>
      </c>
      <c r="J10" s="111">
        <f>'C2 lossyG,lossyA,intra'!BP30</f>
        <v/>
      </c>
      <c r="K10" s="111">
        <f>'C2 lossyG,lossyA,intra'!BQ30</f>
        <v/>
      </c>
      <c r="L10" s="111">
        <f>'C2 lossyG,lossyA,intra'!BR30</f>
        <v/>
      </c>
      <c r="M10" s="112">
        <f>'C2 lossyG,lossyA,intra'!BS30</f>
        <v/>
      </c>
      <c r="N10" s="110">
        <f>'C2 lossyG,lossyA,interRA'!BO30</f>
        <v/>
      </c>
      <c r="O10" s="111">
        <f>'C2 lossyG,lossyA,interRA'!BP30</f>
        <v/>
      </c>
      <c r="P10" s="111">
        <f>'C2 lossyG,lossyA,interRA'!BQ30</f>
        <v/>
      </c>
      <c r="Q10" s="111">
        <f>'C2 lossyG,lossyA,interRA'!BR30</f>
        <v/>
      </c>
      <c r="R10" s="112">
        <f>'C2 lossyG,lossyA,interRA'!BS30</f>
        <v/>
      </c>
    </row>
    <row r="11">
      <c r="A11" s="182" t="inlineStr">
        <is>
          <t>B avg</t>
        </is>
      </c>
      <c r="B11" s="171" t="n"/>
      <c r="C11" s="110">
        <f>'CW losslG,losslA,intra'!BB11</f>
        <v/>
      </c>
      <c r="D11" s="111">
        <f>'CW losslG,losslA,intra'!BC11</f>
        <v/>
      </c>
      <c r="E11" s="112">
        <f>'CW losslG,losslA,intra'!BD11</f>
        <v/>
      </c>
      <c r="F11" s="110">
        <f>'CW losslG,losslA,interLD'!BB11</f>
        <v/>
      </c>
      <c r="G11" s="111">
        <f>'CW losslG,losslA,interLD'!BC11</f>
        <v/>
      </c>
      <c r="H11" s="112">
        <f>'CW losslG,losslA,interLD'!BD11</f>
        <v/>
      </c>
      <c r="I11" s="110">
        <f>'C2 lossyG,lossyA,intra'!BO31</f>
        <v/>
      </c>
      <c r="J11" s="111">
        <f>'C2 lossyG,lossyA,intra'!BP31</f>
        <v/>
      </c>
      <c r="K11" s="111">
        <f>'C2 lossyG,lossyA,intra'!BQ31</f>
        <v/>
      </c>
      <c r="L11" s="111">
        <f>'C2 lossyG,lossyA,intra'!BR31</f>
        <v/>
      </c>
      <c r="M11" s="112">
        <f>'C2 lossyG,lossyA,intra'!BS31</f>
        <v/>
      </c>
      <c r="N11" s="110">
        <f>'C2 lossyG,lossyA,interRA'!BO31</f>
        <v/>
      </c>
      <c r="O11" s="111">
        <f>'C2 lossyG,lossyA,interRA'!BP31</f>
        <v/>
      </c>
      <c r="P11" s="111">
        <f>'C2 lossyG,lossyA,interRA'!BQ31</f>
        <v/>
      </c>
      <c r="Q11" s="111">
        <f>'C2 lossyG,lossyA,interRA'!BR31</f>
        <v/>
      </c>
      <c r="R11" s="112">
        <f>'C2 lossyG,lossyA,interRA'!BS31</f>
        <v/>
      </c>
    </row>
    <row customHeight="1" ht="15" r="12" s="4" thickBot="1">
      <c r="A12" s="183" t="inlineStr">
        <is>
          <t>Overall average</t>
        </is>
      </c>
      <c r="B12" s="180" t="n"/>
      <c r="C12" s="113">
        <f>'CW losslG,losslA,intra'!BB12</f>
        <v/>
      </c>
      <c r="D12" s="114">
        <f>'CW losslG,losslA,intra'!BC12</f>
        <v/>
      </c>
      <c r="E12" s="115">
        <f>'CW losslG,losslA,intra'!BD12</f>
        <v/>
      </c>
      <c r="F12" s="113">
        <f>'CW losslG,losslA,interLD'!BB12</f>
        <v/>
      </c>
      <c r="G12" s="114">
        <f>'CW losslG,losslA,interLD'!BC12</f>
        <v/>
      </c>
      <c r="H12" s="115">
        <f>'CW losslG,losslA,interLD'!BD12</f>
        <v/>
      </c>
      <c r="I12" s="113">
        <f>'C2 lossyG,lossyA,intra'!BO32</f>
        <v/>
      </c>
      <c r="J12" s="114">
        <f>'C2 lossyG,lossyA,intra'!BP32</f>
        <v/>
      </c>
      <c r="K12" s="114">
        <f>'C2 lossyG,lossyA,intra'!BQ32</f>
        <v/>
      </c>
      <c r="L12" s="114">
        <f>'C2 lossyG,lossyA,intra'!BR32</f>
        <v/>
      </c>
      <c r="M12" s="115">
        <f>'C2 lossyG,lossyA,intra'!BS32</f>
        <v/>
      </c>
      <c r="N12" s="113">
        <f>'C2 lossyG,lossyA,interRA'!BO32</f>
        <v/>
      </c>
      <c r="O12" s="114">
        <f>'C2 lossyG,lossyA,interRA'!BP32</f>
        <v/>
      </c>
      <c r="P12" s="114">
        <f>'C2 lossyG,lossyA,interRA'!BQ32</f>
        <v/>
      </c>
      <c r="Q12" s="114">
        <f>'C2 lossyG,lossyA,interRA'!BR32</f>
        <v/>
      </c>
      <c r="R12" s="115">
        <f>'C2 lossyG,lossyA,interRA'!BS32</f>
        <v/>
      </c>
    </row>
  </sheetData>
  <mergeCells count="18">
    <mergeCell ref="U3:V3"/>
    <mergeCell ref="W3:X3"/>
    <mergeCell ref="A10:B10"/>
    <mergeCell ref="A2:A4"/>
    <mergeCell ref="B2:B4"/>
    <mergeCell ref="C2:E2"/>
    <mergeCell ref="F2:H2"/>
    <mergeCell ref="I2:M2"/>
    <mergeCell ref="N2:R2"/>
    <mergeCell ref="C3:E3"/>
    <mergeCell ref="F3:H3"/>
    <mergeCell ref="I3:J3"/>
    <mergeCell ref="K3:M3"/>
    <mergeCell ref="A11:B11"/>
    <mergeCell ref="A12:B12"/>
    <mergeCell ref="N3:O3"/>
    <mergeCell ref="P3:R3"/>
    <mergeCell ref="T3:T4"/>
  </mergeCells>
  <conditionalFormatting sqref="C10:C12">
    <cfRule dxfId="1" operator="greaterThanOrEqual" priority="15" type="cellIs">
      <formula>1.03</formula>
    </cfRule>
    <cfRule dxfId="0" operator="lessThanOrEqual" priority="16" type="cellIs">
      <formula>0.97</formula>
    </cfRule>
  </conditionalFormatting>
  <conditionalFormatting sqref="D10:D12">
    <cfRule dxfId="1" operator="greaterThanOrEqual" priority="13" type="cellIs">
      <formula>1.03</formula>
    </cfRule>
    <cfRule dxfId="0" operator="lessThanOrEqual" priority="14" type="cellIs">
      <formula>0.97</formula>
    </cfRule>
  </conditionalFormatting>
  <conditionalFormatting sqref="E10:E12">
    <cfRule dxfId="1" operator="greaterThanOrEqual" priority="11" type="cellIs">
      <formula>1.03</formula>
    </cfRule>
    <cfRule dxfId="0" operator="lessThanOrEqual" priority="12" type="cellIs">
      <formula>0.97</formula>
    </cfRule>
  </conditionalFormatting>
  <conditionalFormatting sqref="F10:F12">
    <cfRule dxfId="1" operator="greaterThanOrEqual" priority="9" type="cellIs">
      <formula>1.03</formula>
    </cfRule>
    <cfRule dxfId="0" operator="lessThanOrEqual" priority="10" type="cellIs">
      <formula>0.97</formula>
    </cfRule>
  </conditionalFormatting>
  <conditionalFormatting sqref="G10:G12">
    <cfRule dxfId="1" operator="greaterThanOrEqual" priority="7" type="cellIs">
      <formula>1.03</formula>
    </cfRule>
    <cfRule dxfId="0" operator="lessThanOrEqual" priority="8" type="cellIs">
      <formula>0.97</formula>
    </cfRule>
  </conditionalFormatting>
  <conditionalFormatting sqref="H10:H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N5:R9 I5:M1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N10:R1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MPEG point cloud compression common test condition reporting template N17523</dc:title>
  <dcterms:created xsi:type="dcterms:W3CDTF">2018-08-31T19:13:00Z</dcterms:created>
  <dcterms:modified xsi:type="dcterms:W3CDTF">2019-04-19T06:31:25Z</dcterms:modified>
  <cp:lastModifiedBy>Ricard Julien</cp:lastModifiedBy>
</cp:coreProperties>
</file>