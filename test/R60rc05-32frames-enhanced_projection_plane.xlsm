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code\pcc\mpeg126_samsung_integration_source\"/>
    </mc:Choice>
  </mc:AlternateContent>
  <bookViews>
    <workbookView xWindow="240" yWindow="12" windowWidth="16092" windowHeight="9660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W losslG,losslA,intra" sheetId="5" r:id="rId5"/>
    <sheet name="CW losslG,losslA,interLD" sheetId="6" r:id="rId6"/>
    <sheet name="C2 lossyG,lossyA,interRA" sheetId="7" r:id="rId7"/>
  </sheets>
  <functionGroups builtInGroupCount="18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62913"/>
</workbook>
</file>

<file path=xl/calcChain.xml><?xml version="1.0" encoding="utf-8"?>
<calcChain xmlns="http://schemas.openxmlformats.org/spreadsheetml/2006/main">
  <c r="BU6" i="7" l="1"/>
  <c r="BU7" i="7"/>
  <c r="BU8" i="7"/>
  <c r="BU9" i="7"/>
  <c r="BU10" i="7"/>
  <c r="BU11" i="7"/>
  <c r="BU12" i="7"/>
  <c r="BU13" i="7"/>
  <c r="BU14" i="7"/>
  <c r="BU15" i="7"/>
  <c r="BU16" i="7"/>
  <c r="BU17" i="7"/>
  <c r="BU18" i="7"/>
  <c r="BU19" i="7"/>
  <c r="BU20" i="7"/>
  <c r="BU21" i="7"/>
  <c r="BU22" i="7"/>
  <c r="BU23" i="7"/>
  <c r="BU24" i="7"/>
  <c r="BU25" i="7"/>
  <c r="BU26" i="7"/>
  <c r="BU27" i="7"/>
  <c r="BU28" i="7"/>
  <c r="BU29" i="7"/>
  <c r="BU5" i="7"/>
  <c r="BU6" i="3"/>
  <c r="BU7" i="3"/>
  <c r="BU8" i="3"/>
  <c r="BU9" i="3"/>
  <c r="BU10" i="3"/>
  <c r="BU11" i="3"/>
  <c r="BU12" i="3"/>
  <c r="BU13" i="3"/>
  <c r="BU14" i="3"/>
  <c r="BU15" i="3"/>
  <c r="BU16" i="3"/>
  <c r="BU17" i="3"/>
  <c r="BU18" i="3"/>
  <c r="BU19" i="3"/>
  <c r="BU20" i="3"/>
  <c r="BU21" i="3"/>
  <c r="BU22" i="3"/>
  <c r="BU23" i="3"/>
  <c r="BU24" i="3"/>
  <c r="BU25" i="3"/>
  <c r="BU26" i="3"/>
  <c r="BU27" i="3"/>
  <c r="BU28" i="3"/>
  <c r="BU29" i="3"/>
  <c r="BU5" i="3"/>
  <c r="BH6" i="6"/>
  <c r="BH7" i="6"/>
  <c r="BH8" i="6"/>
  <c r="BH9" i="6"/>
  <c r="BH5" i="6"/>
  <c r="BH6" i="5"/>
  <c r="BH7" i="5"/>
  <c r="BH8" i="5"/>
  <c r="BH9" i="5"/>
  <c r="BH5" i="5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M29" i="7"/>
  <c r="AL29" i="7"/>
  <c r="AK29" i="7"/>
  <c r="AJ29" i="7"/>
  <c r="AH29" i="7"/>
  <c r="AG29" i="7"/>
  <c r="O29" i="7"/>
  <c r="N29" i="7"/>
  <c r="K29" i="7" s="1"/>
  <c r="M29" i="7"/>
  <c r="L29" i="7"/>
  <c r="J29" i="7"/>
  <c r="I29" i="7"/>
  <c r="BE28" i="7"/>
  <c r="AM28" i="7"/>
  <c r="AL28" i="7"/>
  <c r="AK28" i="7"/>
  <c r="AJ28" i="7"/>
  <c r="AH28" i="7"/>
  <c r="AG28" i="7"/>
  <c r="O28" i="7"/>
  <c r="N28" i="7"/>
  <c r="K28" i="7" s="1"/>
  <c r="M28" i="7"/>
  <c r="L28" i="7"/>
  <c r="J28" i="7"/>
  <c r="I28" i="7"/>
  <c r="BE27" i="7"/>
  <c r="AM27" i="7"/>
  <c r="AL27" i="7"/>
  <c r="AK27" i="7"/>
  <c r="AJ27" i="7"/>
  <c r="AH27" i="7"/>
  <c r="AG27" i="7"/>
  <c r="O27" i="7"/>
  <c r="N27" i="7"/>
  <c r="K27" i="7" s="1"/>
  <c r="M27" i="7"/>
  <c r="L27" i="7"/>
  <c r="J27" i="7"/>
  <c r="I27" i="7"/>
  <c r="BE26" i="7"/>
  <c r="AM26" i="7"/>
  <c r="AL26" i="7"/>
  <c r="AK26" i="7"/>
  <c r="AJ26" i="7"/>
  <c r="AH26" i="7"/>
  <c r="AG26" i="7"/>
  <c r="O26" i="7"/>
  <c r="N26" i="7"/>
  <c r="K26" i="7" s="1"/>
  <c r="M26" i="7"/>
  <c r="L26" i="7"/>
  <c r="J26" i="7"/>
  <c r="I26" i="7"/>
  <c r="BE25" i="7"/>
  <c r="AM25" i="7"/>
  <c r="AL25" i="7"/>
  <c r="AK25" i="7"/>
  <c r="AJ25" i="7"/>
  <c r="AH25" i="7"/>
  <c r="AG25" i="7"/>
  <c r="O25" i="7"/>
  <c r="N25" i="7"/>
  <c r="M25" i="7"/>
  <c r="L25" i="7"/>
  <c r="J25" i="7"/>
  <c r="I25" i="7"/>
  <c r="BE24" i="7"/>
  <c r="AM24" i="7"/>
  <c r="AL24" i="7"/>
  <c r="AI24" i="7" s="1"/>
  <c r="AK24" i="7"/>
  <c r="AJ24" i="7"/>
  <c r="AH24" i="7"/>
  <c r="AG24" i="7"/>
  <c r="O24" i="7"/>
  <c r="N24" i="7"/>
  <c r="K24" i="7" s="1"/>
  <c r="M24" i="7"/>
  <c r="L24" i="7"/>
  <c r="J24" i="7"/>
  <c r="I24" i="7"/>
  <c r="BE23" i="7"/>
  <c r="AM23" i="7"/>
  <c r="AL23" i="7"/>
  <c r="AK23" i="7"/>
  <c r="AJ23" i="7"/>
  <c r="AI23" i="7"/>
  <c r="AH23" i="7"/>
  <c r="AG23" i="7"/>
  <c r="O23" i="7"/>
  <c r="N23" i="7"/>
  <c r="K23" i="7" s="1"/>
  <c r="M23" i="7"/>
  <c r="L23" i="7"/>
  <c r="J23" i="7"/>
  <c r="I23" i="7"/>
  <c r="BE22" i="7"/>
  <c r="AM22" i="7"/>
  <c r="AL22" i="7"/>
  <c r="AI22" i="7" s="1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AK21" i="7"/>
  <c r="AJ21" i="7"/>
  <c r="AH21" i="7"/>
  <c r="AG21" i="7"/>
  <c r="O21" i="7"/>
  <c r="N21" i="7"/>
  <c r="K21" i="7" s="1"/>
  <c r="M21" i="7"/>
  <c r="L21" i="7"/>
  <c r="J21" i="7"/>
  <c r="I21" i="7"/>
  <c r="BE20" i="7"/>
  <c r="AM20" i="7"/>
  <c r="AL20" i="7"/>
  <c r="AI20" i="7" s="1"/>
  <c r="AK20" i="7"/>
  <c r="AJ20" i="7"/>
  <c r="AH20" i="7"/>
  <c r="AG20" i="7"/>
  <c r="O20" i="7"/>
  <c r="N20" i="7"/>
  <c r="M20" i="7"/>
  <c r="L20" i="7"/>
  <c r="J20" i="7"/>
  <c r="I20" i="7"/>
  <c r="BE19" i="7"/>
  <c r="AM19" i="7"/>
  <c r="AL19" i="7"/>
  <c r="AK19" i="7"/>
  <c r="AJ19" i="7"/>
  <c r="AH19" i="7"/>
  <c r="AG19" i="7"/>
  <c r="O19" i="7"/>
  <c r="N19" i="7"/>
  <c r="K19" i="7" s="1"/>
  <c r="M19" i="7"/>
  <c r="L19" i="7"/>
  <c r="J19" i="7"/>
  <c r="I19" i="7"/>
  <c r="BE18" i="7"/>
  <c r="AM18" i="7"/>
  <c r="AL18" i="7"/>
  <c r="AI18" i="7" s="1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K17" i="7"/>
  <c r="AJ17" i="7"/>
  <c r="AH17" i="7"/>
  <c r="AG17" i="7"/>
  <c r="O17" i="7"/>
  <c r="N17" i="7"/>
  <c r="K17" i="7" s="1"/>
  <c r="M17" i="7"/>
  <c r="L17" i="7"/>
  <c r="J17" i="7"/>
  <c r="I17" i="7"/>
  <c r="BE16" i="7"/>
  <c r="AM16" i="7"/>
  <c r="AL16" i="7"/>
  <c r="AI16" i="7" s="1"/>
  <c r="AK16" i="7"/>
  <c r="AJ16" i="7"/>
  <c r="AH16" i="7"/>
  <c r="AG16" i="7"/>
  <c r="O16" i="7"/>
  <c r="N16" i="7"/>
  <c r="K16" i="7" s="1"/>
  <c r="M16" i="7"/>
  <c r="L16" i="7"/>
  <c r="J16" i="7"/>
  <c r="I16" i="7"/>
  <c r="BE15" i="7"/>
  <c r="AM15" i="7"/>
  <c r="AL15" i="7"/>
  <c r="AI15" i="7" s="1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AI14" i="7" s="1"/>
  <c r="AK14" i="7"/>
  <c r="AJ14" i="7"/>
  <c r="AH14" i="7"/>
  <c r="AG14" i="7"/>
  <c r="O14" i="7"/>
  <c r="N14" i="7"/>
  <c r="K14" i="7" s="1"/>
  <c r="M14" i="7"/>
  <c r="L14" i="7"/>
  <c r="J14" i="7"/>
  <c r="I14" i="7"/>
  <c r="BE13" i="7"/>
  <c r="AM13" i="7"/>
  <c r="AL13" i="7"/>
  <c r="AK13" i="7"/>
  <c r="AJ13" i="7"/>
  <c r="AH13" i="7"/>
  <c r="AG13" i="7"/>
  <c r="O13" i="7"/>
  <c r="N13" i="7"/>
  <c r="K13" i="7" s="1"/>
  <c r="M13" i="7"/>
  <c r="L13" i="7"/>
  <c r="J13" i="7"/>
  <c r="I13" i="7"/>
  <c r="BE12" i="7"/>
  <c r="AM12" i="7"/>
  <c r="AL12" i="7"/>
  <c r="AI12" i="7" s="1"/>
  <c r="AK12" i="7"/>
  <c r="AJ12" i="7"/>
  <c r="AH12" i="7"/>
  <c r="AG12" i="7"/>
  <c r="O12" i="7"/>
  <c r="N12" i="7"/>
  <c r="K12" i="7" s="1"/>
  <c r="M12" i="7"/>
  <c r="L12" i="7"/>
  <c r="J12" i="7"/>
  <c r="I12" i="7"/>
  <c r="BE11" i="7"/>
  <c r="AM11" i="7"/>
  <c r="AL11" i="7"/>
  <c r="AK11" i="7"/>
  <c r="AJ11" i="7"/>
  <c r="AH11" i="7"/>
  <c r="AG11" i="7"/>
  <c r="O11" i="7"/>
  <c r="N11" i="7"/>
  <c r="K11" i="7" s="1"/>
  <c r="M11" i="7"/>
  <c r="L11" i="7"/>
  <c r="J11" i="7"/>
  <c r="I11" i="7"/>
  <c r="BG10" i="7" a="1"/>
  <c r="BE10" i="7"/>
  <c r="AM10" i="7"/>
  <c r="AL10" i="7"/>
  <c r="AI10" i="7" s="1"/>
  <c r="AK10" i="7"/>
  <c r="AJ10" i="7"/>
  <c r="AH10" i="7"/>
  <c r="AG10" i="7"/>
  <c r="O10" i="7"/>
  <c r="N10" i="7"/>
  <c r="M10" i="7"/>
  <c r="L10" i="7"/>
  <c r="J10" i="7"/>
  <c r="I10" i="7"/>
  <c r="BE9" i="7"/>
  <c r="AM9" i="7"/>
  <c r="AL9" i="7"/>
  <c r="AI9" i="7" s="1"/>
  <c r="AK9" i="7"/>
  <c r="AJ9" i="7"/>
  <c r="AH9" i="7"/>
  <c r="AG9" i="7"/>
  <c r="O9" i="7"/>
  <c r="N9" i="7"/>
  <c r="K9" i="7" s="1"/>
  <c r="M9" i="7"/>
  <c r="L9" i="7"/>
  <c r="J9" i="7"/>
  <c r="I9" i="7"/>
  <c r="BE8" i="7"/>
  <c r="AM8" i="7"/>
  <c r="AL8" i="7"/>
  <c r="AI8" i="7" s="1"/>
  <c r="AK8" i="7"/>
  <c r="AJ8" i="7"/>
  <c r="AH8" i="7"/>
  <c r="AG8" i="7"/>
  <c r="O8" i="7"/>
  <c r="N8" i="7"/>
  <c r="K8" i="7" s="1"/>
  <c r="M8" i="7"/>
  <c r="L8" i="7"/>
  <c r="J8" i="7"/>
  <c r="I8" i="7"/>
  <c r="BE7" i="7"/>
  <c r="AM7" i="7"/>
  <c r="AL7" i="7"/>
  <c r="AI7" i="7" s="1"/>
  <c r="AK7" i="7"/>
  <c r="AJ7" i="7"/>
  <c r="AH7" i="7"/>
  <c r="AG7" i="7"/>
  <c r="O7" i="7"/>
  <c r="N7" i="7"/>
  <c r="K7" i="7" s="1"/>
  <c r="M7" i="7"/>
  <c r="L7" i="7"/>
  <c r="J7" i="7"/>
  <c r="I7" i="7"/>
  <c r="BE6" i="7"/>
  <c r="AM6" i="7"/>
  <c r="AL6" i="7"/>
  <c r="AI6" i="7" s="1"/>
  <c r="AK6" i="7"/>
  <c r="AJ6" i="7"/>
  <c r="AH6" i="7"/>
  <c r="AG6" i="7"/>
  <c r="O6" i="7"/>
  <c r="N6" i="7"/>
  <c r="K6" i="7" s="1"/>
  <c r="M6" i="7"/>
  <c r="L6" i="7"/>
  <c r="J6" i="7"/>
  <c r="I6" i="7"/>
  <c r="BG5" i="7" a="1"/>
  <c r="BE5" i="7"/>
  <c r="AM5" i="7"/>
  <c r="AL5" i="7"/>
  <c r="AI5" i="7" s="1"/>
  <c r="AK5" i="7"/>
  <c r="AJ5" i="7"/>
  <c r="AH5" i="7"/>
  <c r="AG5" i="7"/>
  <c r="O5" i="7"/>
  <c r="N5" i="7"/>
  <c r="M5" i="7"/>
  <c r="L5" i="7"/>
  <c r="J5" i="7"/>
  <c r="I5" i="7"/>
  <c r="AZ15" i="6"/>
  <c r="AY15" i="6"/>
  <c r="AX15" i="6"/>
  <c r="AW15" i="6"/>
  <c r="AC15" i="6"/>
  <c r="AB15" i="6"/>
  <c r="AA15" i="6"/>
  <c r="Z15" i="6"/>
  <c r="AZ13" i="6"/>
  <c r="AY13" i="6"/>
  <c r="AX13" i="6"/>
  <c r="AW13" i="6"/>
  <c r="AC13" i="6"/>
  <c r="AB13" i="6"/>
  <c r="AA13" i="6"/>
  <c r="Z13" i="6"/>
  <c r="AL9" i="6"/>
  <c r="AK9" i="6"/>
  <c r="BF9" i="6" s="1" a="1"/>
  <c r="AJ9" i="6"/>
  <c r="AJ11" i="6" s="1"/>
  <c r="AI9" i="6"/>
  <c r="AI11" i="6" s="1"/>
  <c r="AG9" i="6"/>
  <c r="AG11" i="6" s="1"/>
  <c r="AF9" i="6"/>
  <c r="AE9" i="6"/>
  <c r="O9" i="6"/>
  <c r="N9" i="6"/>
  <c r="BE9" i="6" s="1"/>
  <c r="M9" i="6"/>
  <c r="M11" i="6" s="1"/>
  <c r="L9" i="6"/>
  <c r="L11" i="6" s="1"/>
  <c r="J9" i="6"/>
  <c r="J11" i="6" s="1"/>
  <c r="I9" i="6"/>
  <c r="H9" i="6"/>
  <c r="BF8" i="6" a="1"/>
  <c r="AL8" i="6"/>
  <c r="AK8" i="6"/>
  <c r="AH8" i="6" s="1"/>
  <c r="AJ8" i="6"/>
  <c r="AI8" i="6"/>
  <c r="AG8" i="6"/>
  <c r="AF8" i="6"/>
  <c r="AE8" i="6"/>
  <c r="O8" i="6"/>
  <c r="N8" i="6"/>
  <c r="BE8" i="6" s="1"/>
  <c r="M8" i="6"/>
  <c r="L8" i="6"/>
  <c r="J8" i="6"/>
  <c r="BB8" i="6" s="1"/>
  <c r="I8" i="6"/>
  <c r="H8" i="6"/>
  <c r="AL7" i="6"/>
  <c r="AK7" i="6"/>
  <c r="BF7" i="6" s="1" a="1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BF6" i="6" a="1"/>
  <c r="AL6" i="6"/>
  <c r="AK6" i="6"/>
  <c r="AH6" i="6" s="1"/>
  <c r="AJ6" i="6"/>
  <c r="AI6" i="6"/>
  <c r="AG6" i="6"/>
  <c r="AF6" i="6"/>
  <c r="AE6" i="6"/>
  <c r="O6" i="6"/>
  <c r="N6" i="6"/>
  <c r="M6" i="6"/>
  <c r="L6" i="6"/>
  <c r="J6" i="6"/>
  <c r="I6" i="6"/>
  <c r="H6" i="6"/>
  <c r="AL5" i="6"/>
  <c r="AK5" i="6"/>
  <c r="AH5" i="6" s="1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5" i="5"/>
  <c r="AY15" i="5"/>
  <c r="AX15" i="5"/>
  <c r="AW15" i="5"/>
  <c r="AC15" i="5"/>
  <c r="AB15" i="5"/>
  <c r="AA15" i="5"/>
  <c r="Z15" i="5"/>
  <c r="AZ13" i="5"/>
  <c r="AY13" i="5"/>
  <c r="AX13" i="5"/>
  <c r="AW13" i="5"/>
  <c r="AC13" i="5"/>
  <c r="AB13" i="5"/>
  <c r="AA13" i="5"/>
  <c r="Z13" i="5"/>
  <c r="BF9" i="5" a="1"/>
  <c r="AL9" i="5"/>
  <c r="AK9" i="5"/>
  <c r="AH9" i="5" s="1"/>
  <c r="AH11" i="5" s="1"/>
  <c r="AJ9" i="5"/>
  <c r="AJ11" i="5" s="1"/>
  <c r="AI9" i="5"/>
  <c r="AI11" i="5" s="1"/>
  <c r="AG9" i="5"/>
  <c r="AG11" i="5" s="1"/>
  <c r="AF9" i="5"/>
  <c r="AE9" i="5"/>
  <c r="O9" i="5"/>
  <c r="N9" i="5"/>
  <c r="K9" i="5" s="1"/>
  <c r="K11" i="5" s="1"/>
  <c r="M9" i="5"/>
  <c r="M11" i="5" s="1"/>
  <c r="L9" i="5"/>
  <c r="L11" i="5" s="1"/>
  <c r="J9" i="5"/>
  <c r="J11" i="5" s="1"/>
  <c r="I9" i="5"/>
  <c r="H9" i="5"/>
  <c r="AL8" i="5"/>
  <c r="AK8" i="5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BF7" i="5" a="1"/>
  <c r="AL7" i="5"/>
  <c r="AK7" i="5"/>
  <c r="AH7" i="5" s="1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BF6" i="5" a="1"/>
  <c r="AL6" i="5"/>
  <c r="AK6" i="5"/>
  <c r="AH6" i="5" s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BF5" i="5" a="1"/>
  <c r="AL5" i="5"/>
  <c r="AK5" i="5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BC34" i="3" s="1"/>
  <c r="AD33" i="3"/>
  <c r="AC33" i="3"/>
  <c r="AB33" i="3"/>
  <c r="BE29" i="3"/>
  <c r="AM29" i="3"/>
  <c r="AL29" i="3"/>
  <c r="AI29" i="3" s="1"/>
  <c r="AK29" i="3"/>
  <c r="AJ29" i="3"/>
  <c r="AH29" i="3"/>
  <c r="AG29" i="3"/>
  <c r="O29" i="3"/>
  <c r="N29" i="3"/>
  <c r="M29" i="3"/>
  <c r="L29" i="3"/>
  <c r="J29" i="3"/>
  <c r="I29" i="3"/>
  <c r="BE28" i="3"/>
  <c r="AM28" i="3"/>
  <c r="AL28" i="3"/>
  <c r="AI28" i="3" s="1"/>
  <c r="AK28" i="3"/>
  <c r="AJ28" i="3"/>
  <c r="AH28" i="3"/>
  <c r="AG28" i="3"/>
  <c r="O28" i="3"/>
  <c r="N28" i="3"/>
  <c r="M28" i="3"/>
  <c r="L28" i="3"/>
  <c r="J28" i="3"/>
  <c r="I28" i="3"/>
  <c r="BE27" i="3"/>
  <c r="AM27" i="3"/>
  <c r="AL27" i="3"/>
  <c r="AI27" i="3" s="1"/>
  <c r="AK27" i="3"/>
  <c r="AJ27" i="3"/>
  <c r="AH27" i="3"/>
  <c r="AG27" i="3"/>
  <c r="O27" i="3"/>
  <c r="N27" i="3"/>
  <c r="M27" i="3"/>
  <c r="L27" i="3"/>
  <c r="J27" i="3"/>
  <c r="I27" i="3"/>
  <c r="BE26" i="3"/>
  <c r="AM26" i="3"/>
  <c r="AL26" i="3"/>
  <c r="AI26" i="3" s="1"/>
  <c r="AK26" i="3"/>
  <c r="AJ26" i="3"/>
  <c r="AH26" i="3"/>
  <c r="AG26" i="3"/>
  <c r="O26" i="3"/>
  <c r="N26" i="3"/>
  <c r="M26" i="3"/>
  <c r="L26" i="3"/>
  <c r="J26" i="3"/>
  <c r="I26" i="3"/>
  <c r="BE25" i="3"/>
  <c r="AM25" i="3"/>
  <c r="AL25" i="3"/>
  <c r="AI25" i="3" s="1"/>
  <c r="AK25" i="3"/>
  <c r="AJ25" i="3"/>
  <c r="AH25" i="3"/>
  <c r="AG25" i="3"/>
  <c r="O25" i="3"/>
  <c r="N25" i="3"/>
  <c r="M25" i="3"/>
  <c r="L25" i="3"/>
  <c r="J25" i="3"/>
  <c r="I25" i="3"/>
  <c r="BE24" i="3"/>
  <c r="AM24" i="3"/>
  <c r="AL24" i="3"/>
  <c r="AI24" i="3" s="1"/>
  <c r="AK24" i="3"/>
  <c r="AJ24" i="3"/>
  <c r="AH24" i="3"/>
  <c r="AG24" i="3"/>
  <c r="O24" i="3"/>
  <c r="N24" i="3"/>
  <c r="M24" i="3"/>
  <c r="L24" i="3"/>
  <c r="J24" i="3"/>
  <c r="I24" i="3"/>
  <c r="BE23" i="3"/>
  <c r="AM23" i="3"/>
  <c r="AL23" i="3"/>
  <c r="AI23" i="3" s="1"/>
  <c r="AK23" i="3"/>
  <c r="AJ23" i="3"/>
  <c r="AH23" i="3"/>
  <c r="AG23" i="3"/>
  <c r="O23" i="3"/>
  <c r="N23" i="3"/>
  <c r="M23" i="3"/>
  <c r="L23" i="3"/>
  <c r="J23" i="3"/>
  <c r="I23" i="3"/>
  <c r="BE22" i="3"/>
  <c r="AM22" i="3"/>
  <c r="AL22" i="3"/>
  <c r="AI22" i="3" s="1"/>
  <c r="AK22" i="3"/>
  <c r="AJ22" i="3"/>
  <c r="AH22" i="3"/>
  <c r="AG22" i="3"/>
  <c r="O22" i="3"/>
  <c r="N22" i="3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M21" i="3"/>
  <c r="L21" i="3"/>
  <c r="J21" i="3"/>
  <c r="I21" i="3"/>
  <c r="BE20" i="3"/>
  <c r="AM20" i="3"/>
  <c r="AL20" i="3"/>
  <c r="AI20" i="3" s="1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I19" i="3" s="1"/>
  <c r="AK19" i="3"/>
  <c r="AJ19" i="3"/>
  <c r="AH19" i="3"/>
  <c r="AG19" i="3"/>
  <c r="O19" i="3"/>
  <c r="N19" i="3"/>
  <c r="M19" i="3"/>
  <c r="L19" i="3"/>
  <c r="J19" i="3"/>
  <c r="I19" i="3"/>
  <c r="BE18" i="3"/>
  <c r="AM18" i="3"/>
  <c r="AL18" i="3"/>
  <c r="AI18" i="3" s="1"/>
  <c r="AK18" i="3"/>
  <c r="AJ18" i="3"/>
  <c r="AH18" i="3"/>
  <c r="AG18" i="3"/>
  <c r="O18" i="3"/>
  <c r="N18" i="3"/>
  <c r="M18" i="3"/>
  <c r="L18" i="3"/>
  <c r="J18" i="3"/>
  <c r="I18" i="3"/>
  <c r="BE17" i="3"/>
  <c r="AM17" i="3"/>
  <c r="AL17" i="3"/>
  <c r="AI17" i="3" s="1"/>
  <c r="AK17" i="3"/>
  <c r="AJ17" i="3"/>
  <c r="AH17" i="3"/>
  <c r="AG17" i="3"/>
  <c r="O17" i="3"/>
  <c r="N17" i="3"/>
  <c r="M17" i="3"/>
  <c r="L17" i="3"/>
  <c r="J17" i="3"/>
  <c r="I17" i="3"/>
  <c r="BE16" i="3"/>
  <c r="AM16" i="3"/>
  <c r="AL16" i="3"/>
  <c r="AI16" i="3" s="1"/>
  <c r="AK16" i="3"/>
  <c r="AJ16" i="3"/>
  <c r="AH16" i="3"/>
  <c r="AG16" i="3"/>
  <c r="O16" i="3"/>
  <c r="N16" i="3"/>
  <c r="M16" i="3"/>
  <c r="L16" i="3"/>
  <c r="J16" i="3"/>
  <c r="I16" i="3"/>
  <c r="BE15" i="3"/>
  <c r="AM15" i="3"/>
  <c r="AL15" i="3"/>
  <c r="AI15" i="3" s="1"/>
  <c r="AK15" i="3"/>
  <c r="AJ15" i="3"/>
  <c r="AH15" i="3"/>
  <c r="AG15" i="3"/>
  <c r="O15" i="3"/>
  <c r="N15" i="3"/>
  <c r="M15" i="3"/>
  <c r="L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M14" i="3"/>
  <c r="L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M11" i="3"/>
  <c r="L11" i="3"/>
  <c r="J11" i="3"/>
  <c r="I11" i="3"/>
  <c r="BG10" i="3" a="1"/>
  <c r="BE10" i="3"/>
  <c r="AM10" i="3"/>
  <c r="AL10" i="3"/>
  <c r="AI10" i="3" s="1"/>
  <c r="AK10" i="3"/>
  <c r="AJ10" i="3"/>
  <c r="AH10" i="3"/>
  <c r="AG10" i="3"/>
  <c r="O10" i="3"/>
  <c r="N10" i="3"/>
  <c r="M10" i="3"/>
  <c r="L10" i="3"/>
  <c r="J10" i="3"/>
  <c r="I10" i="3"/>
  <c r="BE9" i="3"/>
  <c r="AM9" i="3"/>
  <c r="AL9" i="3"/>
  <c r="AI9" i="3" s="1"/>
  <c r="AK9" i="3"/>
  <c r="AJ9" i="3"/>
  <c r="AH9" i="3"/>
  <c r="AG9" i="3"/>
  <c r="O9" i="3"/>
  <c r="N9" i="3"/>
  <c r="M9" i="3"/>
  <c r="L9" i="3"/>
  <c r="J9" i="3"/>
  <c r="I9" i="3"/>
  <c r="BE8" i="3"/>
  <c r="AM8" i="3"/>
  <c r="AL8" i="3"/>
  <c r="AI8" i="3" s="1"/>
  <c r="AK8" i="3"/>
  <c r="AJ8" i="3"/>
  <c r="AH8" i="3"/>
  <c r="AG8" i="3"/>
  <c r="O8" i="3"/>
  <c r="N8" i="3"/>
  <c r="M8" i="3"/>
  <c r="L8" i="3"/>
  <c r="J8" i="3"/>
  <c r="I8" i="3"/>
  <c r="BE7" i="3"/>
  <c r="AM7" i="3"/>
  <c r="AL7" i="3"/>
  <c r="AI7" i="3" s="1"/>
  <c r="AK7" i="3"/>
  <c r="AJ7" i="3"/>
  <c r="AH7" i="3"/>
  <c r="AG7" i="3"/>
  <c r="O7" i="3"/>
  <c r="N7" i="3"/>
  <c r="M7" i="3"/>
  <c r="L7" i="3"/>
  <c r="J7" i="3"/>
  <c r="I7" i="3"/>
  <c r="BE6" i="3"/>
  <c r="AM6" i="3"/>
  <c r="AL6" i="3"/>
  <c r="AI6" i="3" s="1"/>
  <c r="AK6" i="3"/>
  <c r="AJ6" i="3"/>
  <c r="AH6" i="3"/>
  <c r="AG6" i="3"/>
  <c r="O6" i="3"/>
  <c r="N6" i="3"/>
  <c r="M6" i="3"/>
  <c r="L6" i="3"/>
  <c r="J6" i="3"/>
  <c r="I6" i="3"/>
  <c r="BG5" i="3" a="1"/>
  <c r="BE5" i="3"/>
  <c r="AM5" i="3"/>
  <c r="AL5" i="3"/>
  <c r="AI5" i="3" s="1"/>
  <c r="AK5" i="3"/>
  <c r="AJ5" i="3"/>
  <c r="AH5" i="3"/>
  <c r="AG5" i="3"/>
  <c r="O5" i="3"/>
  <c r="N5" i="3"/>
  <c r="M5" i="3"/>
  <c r="L5" i="3"/>
  <c r="J5" i="3"/>
  <c r="I5" i="3"/>
  <c r="B2" i="2"/>
  <c r="B1" i="2"/>
  <c r="BK10" i="7"/>
  <c r="BQ25" i="7"/>
  <c r="BP15" i="7"/>
  <c r="BQ20" i="7"/>
  <c r="BP20" i="7"/>
  <c r="BR5" i="7"/>
  <c r="BQ10" i="7"/>
  <c r="BL5" i="7"/>
  <c r="BL25" i="7"/>
  <c r="BM20" i="7"/>
  <c r="BP20" i="3"/>
  <c r="BK25" i="3"/>
  <c r="BR25" i="3"/>
  <c r="BM25" i="3"/>
  <c r="BM20" i="3"/>
  <c r="BL15" i="3"/>
  <c r="BR20" i="3"/>
  <c r="BJ10" i="3"/>
  <c r="BO20" i="3"/>
  <c r="BS25" i="3"/>
  <c r="BQ10" i="3"/>
  <c r="BP10" i="7"/>
  <c r="BS25" i="7"/>
  <c r="BO5" i="7"/>
  <c r="BJ25" i="7"/>
  <c r="BO5" i="3"/>
  <c r="BO15" i="3"/>
  <c r="BR10" i="3"/>
  <c r="BO15" i="7"/>
  <c r="BM5" i="7"/>
  <c r="BR15" i="7"/>
  <c r="BR10" i="7"/>
  <c r="BL10" i="7"/>
  <c r="BP25" i="7"/>
  <c r="BO20" i="7"/>
  <c r="BS5" i="7"/>
  <c r="BM25" i="7"/>
  <c r="BS10" i="7"/>
  <c r="BM15" i="3"/>
  <c r="BQ25" i="3"/>
  <c r="BS15" i="3"/>
  <c r="BL25" i="3"/>
  <c r="BP15" i="3"/>
  <c r="BK20" i="3"/>
  <c r="BR5" i="3"/>
  <c r="BM10" i="3"/>
  <c r="BQ20" i="3"/>
  <c r="BS10" i="3"/>
  <c r="BS20" i="3"/>
  <c r="BS20" i="7"/>
  <c r="BK15" i="7"/>
  <c r="BS15" i="7"/>
  <c r="BM15" i="7"/>
  <c r="BK5" i="3"/>
  <c r="BO25" i="3"/>
  <c r="BK10" i="3"/>
  <c r="BR20" i="7"/>
  <c r="BM10" i="7"/>
  <c r="BP5" i="7"/>
  <c r="BO25" i="7"/>
  <c r="BQ15" i="7"/>
  <c r="BK20" i="7"/>
  <c r="BL20" i="7"/>
  <c r="BQ5" i="7"/>
  <c r="BK5" i="7"/>
  <c r="BL15" i="7"/>
  <c r="BL10" i="3"/>
  <c r="BO10" i="3"/>
  <c r="BL5" i="3"/>
  <c r="BQ5" i="3"/>
  <c r="BS5" i="3"/>
  <c r="BQ15" i="3"/>
  <c r="BP10" i="3"/>
  <c r="BP25" i="3"/>
  <c r="BP5" i="3"/>
  <c r="BR25" i="7"/>
  <c r="BO10" i="7"/>
  <c r="BK25" i="7"/>
  <c r="BL20" i="3"/>
  <c r="BR15" i="3"/>
  <c r="BM5" i="3"/>
  <c r="BK15" i="3"/>
  <c r="K8" i="6" l="1"/>
  <c r="BC8" i="6"/>
  <c r="BC7" i="5"/>
  <c r="AK30" i="7"/>
  <c r="BF21" i="3"/>
  <c r="BF29" i="3"/>
  <c r="BE5" i="5"/>
  <c r="BF15" i="7"/>
  <c r="BF13" i="7"/>
  <c r="BF19" i="7"/>
  <c r="BF23" i="7"/>
  <c r="BF29" i="7"/>
  <c r="BF17" i="7"/>
  <c r="BF21" i="7"/>
  <c r="BF27" i="7"/>
  <c r="AZ36" i="7"/>
  <c r="C43" i="1" s="1"/>
  <c r="BF11" i="7"/>
  <c r="BF25" i="7"/>
  <c r="BE6" i="6"/>
  <c r="K9" i="6"/>
  <c r="K11" i="6" s="1"/>
  <c r="AZ14" i="5"/>
  <c r="BE8" i="5"/>
  <c r="BD8" i="5"/>
  <c r="BF13" i="3"/>
  <c r="BF17" i="3"/>
  <c r="BF23" i="3"/>
  <c r="J31" i="3"/>
  <c r="AI13" i="7"/>
  <c r="AI21" i="7"/>
  <c r="BF8" i="3"/>
  <c r="BE7" i="6"/>
  <c r="AX16" i="6"/>
  <c r="AY16" i="5"/>
  <c r="C22" i="1" s="1"/>
  <c r="AI11" i="7"/>
  <c r="AI19" i="7"/>
  <c r="AI17" i="7"/>
  <c r="AI25" i="7"/>
  <c r="BF8" i="6"/>
  <c r="BD7" i="6"/>
  <c r="BE7" i="5"/>
  <c r="BE9" i="5"/>
  <c r="AH5" i="5"/>
  <c r="BF7" i="5"/>
  <c r="BF6" i="3"/>
  <c r="AJ31" i="3"/>
  <c r="BF11" i="3"/>
  <c r="BF19" i="3"/>
  <c r="BF27" i="3"/>
  <c r="BJ31" i="7"/>
  <c r="D41" i="1" s="1"/>
  <c r="BR31" i="7"/>
  <c r="K41" i="1" s="1"/>
  <c r="BO31" i="7"/>
  <c r="H41" i="1" s="1"/>
  <c r="BS31" i="7"/>
  <c r="L41" i="1" s="1"/>
  <c r="BO32" i="7"/>
  <c r="H42" i="1" s="1"/>
  <c r="BK31" i="7"/>
  <c r="E41" i="1" s="1"/>
  <c r="BP31" i="7"/>
  <c r="I41" i="1" s="1"/>
  <c r="BS32" i="7"/>
  <c r="L42" i="1" s="1"/>
  <c r="BM31" i="7"/>
  <c r="G41" i="1" s="1"/>
  <c r="BL31" i="7"/>
  <c r="F41" i="1" s="1"/>
  <c r="BQ31" i="7"/>
  <c r="J41" i="1" s="1"/>
  <c r="BS31" i="3"/>
  <c r="L10" i="1" s="1"/>
  <c r="BP31" i="3"/>
  <c r="I10" i="1" s="1"/>
  <c r="BL31" i="3"/>
  <c r="F10" i="1" s="1"/>
  <c r="BQ31" i="3"/>
  <c r="J10" i="1" s="1"/>
  <c r="BO31" i="3"/>
  <c r="H10" i="1" s="1"/>
  <c r="BK31" i="3"/>
  <c r="E10" i="1" s="1"/>
  <c r="BM31" i="3"/>
  <c r="G10" i="1" s="1"/>
  <c r="BR31" i="3"/>
  <c r="K10" i="1" s="1"/>
  <c r="BF12" i="3"/>
  <c r="BF14" i="3"/>
  <c r="BF16" i="3"/>
  <c r="BF18" i="3"/>
  <c r="BF24" i="3"/>
  <c r="BF28" i="3"/>
  <c r="BF7" i="3"/>
  <c r="BF9" i="3"/>
  <c r="BF22" i="3"/>
  <c r="BF26" i="3"/>
  <c r="AK30" i="3"/>
  <c r="AI31" i="3"/>
  <c r="AH9" i="6"/>
  <c r="AH11" i="6" s="1"/>
  <c r="AH7" i="6"/>
  <c r="AH12" i="6" s="1"/>
  <c r="BF6" i="5"/>
  <c r="AH30" i="7"/>
  <c r="J31" i="7"/>
  <c r="AJ31" i="7"/>
  <c r="L31" i="7"/>
  <c r="AK31" i="7"/>
  <c r="AJ32" i="7"/>
  <c r="AH31" i="7"/>
  <c r="AK31" i="3"/>
  <c r="AH31" i="3"/>
  <c r="AI32" i="3"/>
  <c r="AH32" i="3"/>
  <c r="AJ32" i="3"/>
  <c r="AI12" i="6"/>
  <c r="BC6" i="6"/>
  <c r="L12" i="6"/>
  <c r="BC7" i="6"/>
  <c r="AJ12" i="6"/>
  <c r="BB6" i="6"/>
  <c r="BC8" i="5"/>
  <c r="BB9" i="5"/>
  <c r="BC6" i="5"/>
  <c r="BB7" i="5"/>
  <c r="AJ12" i="5"/>
  <c r="AG12" i="5"/>
  <c r="L12" i="5"/>
  <c r="AI12" i="5"/>
  <c r="BB5" i="5"/>
  <c r="AZ16" i="6"/>
  <c r="M12" i="6"/>
  <c r="BD5" i="6"/>
  <c r="K6" i="6"/>
  <c r="K10" i="6" s="1"/>
  <c r="BF6" i="6"/>
  <c r="BC11" i="6"/>
  <c r="D30" i="1" s="1"/>
  <c r="BC9" i="6"/>
  <c r="AW14" i="6"/>
  <c r="AW16" i="6"/>
  <c r="C32" i="1" s="1"/>
  <c r="BB7" i="6"/>
  <c r="BF7" i="6"/>
  <c r="AZ14" i="6"/>
  <c r="BD9" i="6"/>
  <c r="AX14" i="6"/>
  <c r="BC5" i="6"/>
  <c r="BF9" i="6"/>
  <c r="BF11" i="6" s="1"/>
  <c r="AY14" i="6"/>
  <c r="AY16" i="6"/>
  <c r="C33" i="1" s="1"/>
  <c r="AX16" i="5"/>
  <c r="AY14" i="5"/>
  <c r="BD11" i="5"/>
  <c r="E19" i="1" s="1"/>
  <c r="J12" i="5"/>
  <c r="BF5" i="5"/>
  <c r="AW14" i="5"/>
  <c r="AZ16" i="5"/>
  <c r="M12" i="5"/>
  <c r="BE6" i="5"/>
  <c r="BF9" i="5"/>
  <c r="BF11" i="5" s="1"/>
  <c r="AX14" i="5"/>
  <c r="AW16" i="5"/>
  <c r="C21" i="1" s="1"/>
  <c r="BG10" i="7"/>
  <c r="M31" i="7"/>
  <c r="BA34" i="7"/>
  <c r="BA36" i="7"/>
  <c r="AZ34" i="7"/>
  <c r="L32" i="7"/>
  <c r="BG5" i="7"/>
  <c r="BB34" i="7"/>
  <c r="BB36" i="7"/>
  <c r="C44" i="1" s="1"/>
  <c r="M30" i="7"/>
  <c r="BF5" i="7"/>
  <c r="BF12" i="7"/>
  <c r="BF14" i="7"/>
  <c r="BF16" i="7"/>
  <c r="BF18" i="7"/>
  <c r="BF20" i="7"/>
  <c r="BF22" i="7"/>
  <c r="BF24" i="7"/>
  <c r="BF26" i="7"/>
  <c r="BF28" i="7"/>
  <c r="BC34" i="7"/>
  <c r="BC36" i="7"/>
  <c r="M30" i="3"/>
  <c r="BK32" i="3"/>
  <c r="E11" i="1" s="1"/>
  <c r="BP30" i="3"/>
  <c r="I9" i="1" s="1"/>
  <c r="L31" i="3"/>
  <c r="BM32" i="3"/>
  <c r="G11" i="1" s="1"/>
  <c r="BR32" i="3"/>
  <c r="K11" i="1" s="1"/>
  <c r="BB36" i="3"/>
  <c r="C13" i="1" s="1"/>
  <c r="AZ34" i="3"/>
  <c r="BC36" i="3"/>
  <c r="J32" i="3"/>
  <c r="BG10" i="3"/>
  <c r="M31" i="3"/>
  <c r="BA34" i="3"/>
  <c r="AZ36" i="3"/>
  <c r="C12" i="1" s="1"/>
  <c r="L30" i="3"/>
  <c r="BG5" i="3"/>
  <c r="BB34" i="3"/>
  <c r="BA36" i="3"/>
  <c r="BL32" i="3"/>
  <c r="F11" i="1" s="1"/>
  <c r="BQ32" i="3"/>
  <c r="J11" i="1" s="1"/>
  <c r="BM32" i="7"/>
  <c r="G42" i="1" s="1"/>
  <c r="BR32" i="7"/>
  <c r="K42" i="1" s="1"/>
  <c r="BO30" i="3"/>
  <c r="H9" i="1" s="1"/>
  <c r="BS30" i="3"/>
  <c r="L9" i="1" s="1"/>
  <c r="BK30" i="7"/>
  <c r="E40" i="1" s="1"/>
  <c r="BP30" i="7"/>
  <c r="I40" i="1" s="1"/>
  <c r="BC11" i="5"/>
  <c r="C19" i="1" s="1"/>
  <c r="J30" i="3"/>
  <c r="AH30" i="3"/>
  <c r="BL30" i="3"/>
  <c r="F9" i="1" s="1"/>
  <c r="BQ30" i="3"/>
  <c r="J9" i="1" s="1"/>
  <c r="L32" i="3"/>
  <c r="AK32" i="3"/>
  <c r="BS32" i="3"/>
  <c r="L11" i="1" s="1"/>
  <c r="BD5" i="5"/>
  <c r="BC5" i="5"/>
  <c r="AH8" i="5"/>
  <c r="AH10" i="5" s="1"/>
  <c r="BF8" i="5" a="1"/>
  <c r="BF8" i="5" s="1"/>
  <c r="AI10" i="5"/>
  <c r="BD6" i="6"/>
  <c r="BB11" i="6"/>
  <c r="C30" i="1" s="1"/>
  <c r="K5" i="7"/>
  <c r="BL30" i="7"/>
  <c r="F40" i="1" s="1"/>
  <c r="BL32" i="7"/>
  <c r="F42" i="1" s="1"/>
  <c r="BQ30" i="7"/>
  <c r="J40" i="1" s="1"/>
  <c r="BQ32" i="7"/>
  <c r="J42" i="1" s="1"/>
  <c r="BF7" i="7"/>
  <c r="BF9" i="7"/>
  <c r="BG15" i="3" a="1"/>
  <c r="BG15" i="3" s="1"/>
  <c r="BG20" i="3" a="1"/>
  <c r="BG20" i="3" s="1"/>
  <c r="BG25" i="3" a="1"/>
  <c r="BG25" i="3" s="1"/>
  <c r="BG31" i="3" s="1"/>
  <c r="AI30" i="3"/>
  <c r="BM30" i="3"/>
  <c r="G9" i="1" s="1"/>
  <c r="BR30" i="3"/>
  <c r="K9" i="1" s="1"/>
  <c r="M32" i="3"/>
  <c r="BO32" i="3"/>
  <c r="H11" i="1" s="1"/>
  <c r="BD6" i="5"/>
  <c r="BD7" i="5"/>
  <c r="AJ10" i="5"/>
  <c r="J30" i="7"/>
  <c r="J32" i="7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AJ30" i="3"/>
  <c r="BP32" i="3"/>
  <c r="I11" i="1" s="1"/>
  <c r="K12" i="5"/>
  <c r="K10" i="5"/>
  <c r="BB6" i="5"/>
  <c r="BD9" i="5"/>
  <c r="BC9" i="5"/>
  <c r="L10" i="5"/>
  <c r="J12" i="6"/>
  <c r="J10" i="6"/>
  <c r="AG12" i="6"/>
  <c r="AG10" i="6"/>
  <c r="BB5" i="6"/>
  <c r="BF5" i="6" a="1"/>
  <c r="BF5" i="6" s="1"/>
  <c r="BE5" i="6"/>
  <c r="BF6" i="7"/>
  <c r="BF8" i="7"/>
  <c r="BF10" i="7"/>
  <c r="BF5" i="3"/>
  <c r="BF10" i="3"/>
  <c r="BF15" i="3"/>
  <c r="BF20" i="3"/>
  <c r="BF25" i="3"/>
  <c r="BK30" i="3"/>
  <c r="E9" i="1" s="1"/>
  <c r="BB8" i="5"/>
  <c r="BB11" i="5"/>
  <c r="D19" i="1" s="1"/>
  <c r="M10" i="5"/>
  <c r="BD8" i="6"/>
  <c r="BD11" i="6"/>
  <c r="E30" i="1" s="1"/>
  <c r="K10" i="7"/>
  <c r="BG15" i="7" a="1"/>
  <c r="BG15" i="7" s="1"/>
  <c r="BG20" i="7" a="1"/>
  <c r="BG20" i="7" s="1"/>
  <c r="BG25" i="7" a="1"/>
  <c r="BG25" i="7" s="1"/>
  <c r="BG31" i="7" s="1"/>
  <c r="AI26" i="7"/>
  <c r="AI27" i="7"/>
  <c r="AI28" i="7"/>
  <c r="AI29" i="7"/>
  <c r="BM30" i="7"/>
  <c r="G40" i="1" s="1"/>
  <c r="BR30" i="7"/>
  <c r="K40" i="1" s="1"/>
  <c r="M32" i="7"/>
  <c r="AK32" i="7"/>
  <c r="BK32" i="7"/>
  <c r="E42" i="1" s="1"/>
  <c r="BP32" i="7"/>
  <c r="I42" i="1" s="1"/>
  <c r="J10" i="5"/>
  <c r="AG10" i="5"/>
  <c r="BB9" i="6"/>
  <c r="L10" i="6"/>
  <c r="AI10" i="6"/>
  <c r="K15" i="7"/>
  <c r="K20" i="7"/>
  <c r="K25" i="7"/>
  <c r="K31" i="7" s="1"/>
  <c r="L30" i="7"/>
  <c r="AJ30" i="7"/>
  <c r="BO30" i="7"/>
  <c r="H40" i="1" s="1"/>
  <c r="BS30" i="7"/>
  <c r="L40" i="1" s="1"/>
  <c r="AH32" i="7"/>
  <c r="M10" i="6"/>
  <c r="AJ10" i="6"/>
  <c r="BJ15" i="7"/>
  <c r="BI15" i="7"/>
  <c r="BI25" i="3"/>
  <c r="BJ25" i="3"/>
  <c r="BI20" i="7"/>
  <c r="BI25" i="7"/>
  <c r="BI5" i="7"/>
  <c r="BI10" i="3"/>
  <c r="BJ20" i="3"/>
  <c r="BI10" i="7"/>
  <c r="BJ5" i="7"/>
  <c r="BJ15" i="3"/>
  <c r="BI20" i="3"/>
  <c r="BJ20" i="7"/>
  <c r="BJ10" i="7"/>
  <c r="BJ5" i="3"/>
  <c r="BI15" i="3"/>
  <c r="BI5" i="3"/>
  <c r="BF12" i="5" l="1"/>
  <c r="BJ31" i="3"/>
  <c r="D10" i="1" s="1"/>
  <c r="AI30" i="7"/>
  <c r="BD12" i="6"/>
  <c r="E31" i="1" s="1"/>
  <c r="BG32" i="7"/>
  <c r="BG30" i="7"/>
  <c r="AH10" i="6"/>
  <c r="BI31" i="7"/>
  <c r="C41" i="1" s="1"/>
  <c r="BI31" i="3"/>
  <c r="C10" i="1" s="1"/>
  <c r="BJ32" i="3"/>
  <c r="D11" i="1" s="1"/>
  <c r="BJ30" i="3"/>
  <c r="D9" i="1" s="1"/>
  <c r="BG32" i="3"/>
  <c r="BD12" i="5"/>
  <c r="E20" i="1" s="1"/>
  <c r="BF10" i="5"/>
  <c r="AI32" i="7"/>
  <c r="BC12" i="6"/>
  <c r="D31" i="1" s="1"/>
  <c r="K12" i="6"/>
  <c r="BC12" i="5"/>
  <c r="C20" i="1" s="1"/>
  <c r="AH12" i="5"/>
  <c r="BB12" i="5"/>
  <c r="D20" i="1" s="1"/>
  <c r="BC10" i="6"/>
  <c r="D29" i="1" s="1"/>
  <c r="BG30" i="3"/>
  <c r="AI31" i="7"/>
  <c r="K31" i="3"/>
  <c r="K32" i="3"/>
  <c r="K30" i="3"/>
  <c r="BB10" i="6"/>
  <c r="C29" i="1" s="1"/>
  <c r="BD10" i="5"/>
  <c r="E18" i="1" s="1"/>
  <c r="K32" i="7"/>
  <c r="K30" i="7"/>
  <c r="BB12" i="6"/>
  <c r="C31" i="1" s="1"/>
  <c r="BI32" i="7"/>
  <c r="C42" i="1" s="1"/>
  <c r="BI30" i="7"/>
  <c r="C40" i="1" s="1"/>
  <c r="BD10" i="6"/>
  <c r="E29" i="1" s="1"/>
  <c r="BB10" i="5"/>
  <c r="D18" i="1" s="1"/>
  <c r="BF12" i="6"/>
  <c r="BF10" i="6"/>
  <c r="BI32" i="3"/>
  <c r="C11" i="1" s="1"/>
  <c r="BI30" i="3"/>
  <c r="C9" i="1" s="1"/>
  <c r="BJ32" i="7"/>
  <c r="D42" i="1" s="1"/>
  <c r="BJ30" i="7"/>
  <c r="D40" i="1" s="1"/>
  <c r="BC10" i="5"/>
  <c r="C18" i="1" s="1"/>
</calcChain>
</file>

<file path=xl/sharedStrings.xml><?xml version="1.0" encoding="utf-8"?>
<sst xmlns="http://schemas.openxmlformats.org/spreadsheetml/2006/main" count="1360" uniqueCount="554">
  <si>
    <t>Reference:</t>
  </si>
  <si>
    <t>Tested:</t>
  </si>
  <si>
    <t>reference</t>
  </si>
  <si>
    <t>tested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</si>
  <si>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</si>
  <si>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</si>
  <si>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</si>
  <si>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</si>
  <si>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</si>
  <si>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</si>
  <si>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</si>
  <si>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</si>
  <si>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</si>
  <si>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</si>
  <si>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</si>
  <si>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</si>
  <si>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</si>
  <si>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</si>
  <si>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</si>
  <si>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</si>
  <si>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</si>
  <si>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</si>
  <si>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</si>
  <si>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</si>
  <si>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</si>
  <si>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</si>
  <si>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</si>
  <si>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</si>
  <si>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</si>
  <si>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</si>
  <si>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</si>
  <si>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</si>
  <si>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</si>
  <si>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</si>
  <si>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</si>
  <si>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</si>
  <si>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</si>
  <si>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</si>
  <si>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</si>
  <si>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</si>
  <si>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</si>
  <si>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</si>
  <si>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</si>
  <si>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</si>
  <si>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</si>
  <si>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</si>
  <si>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</si>
  <si>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</si>
  <si>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</si>
  <si>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</si>
  <si>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</si>
  <si>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</si>
  <si>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</si>
  <si>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</si>
  <si>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</si>
  <si>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</si>
  <si>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</si>
  <si>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</si>
  <si>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</si>
  <si>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</si>
  <si>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</si>
  <si>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</si>
  <si>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</si>
  <si>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</si>
  <si>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</si>
  <si>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</si>
  <si>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</si>
  <si>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</si>
  <si>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</si>
  <si>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</si>
  <si>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</si>
  <si>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</si>
  <si>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</si>
  <si>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</si>
  <si>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</si>
  <si>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</si>
  <si>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</si>
  <si>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</si>
  <si>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</si>
  <si>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</si>
  <si>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</si>
  <si>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</si>
  <si>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</si>
  <si>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</si>
  <si>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</si>
  <si>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</si>
  <si>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</si>
  <si>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</si>
  <si>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</si>
  <si>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</si>
  <si>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</si>
  <si>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</si>
  <si>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</si>
  <si>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</si>
  <si>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</si>
  <si>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</si>
  <si>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</si>
  <si>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</si>
  <si>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</si>
  <si>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</si>
  <si>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</si>
  <si>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</si>
  <si>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</si>
  <si>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</si>
  <si>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</si>
  <si>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</si>
  <si>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</si>
  <si>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</si>
  <si>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</si>
  <si>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</si>
  <si>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</si>
  <si>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</si>
  <si>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</si>
  <si>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</si>
  <si>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</si>
  <si>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</si>
  <si>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</si>
  <si>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</si>
  <si>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</si>
  <si>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</si>
  <si>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</si>
  <si>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</si>
  <si>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</si>
  <si>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</si>
  <si>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</si>
  <si>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</si>
  <si>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</si>
  <si>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</si>
  <si>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</si>
  <si>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</si>
  <si>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</si>
  <si>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</si>
  <si>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</si>
  <si>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</si>
  <si>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</si>
  <si>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</si>
  <si>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</si>
  <si>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</si>
  <si>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</si>
  <si>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</si>
  <si>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</si>
  <si>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</si>
  <si>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</si>
  <si>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</si>
  <si>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</si>
  <si>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</si>
  <si>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</si>
  <si>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</si>
  <si>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</si>
  <si>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</si>
  <si>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</si>
  <si>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</si>
  <si>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</si>
  <si>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</si>
  <si>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</si>
  <si>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</si>
  <si>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</si>
  <si>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</si>
  <si>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</si>
  <si>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</si>
  <si>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</si>
  <si>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</si>
  <si>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</si>
  <si>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</si>
  <si>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</si>
  <si>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</si>
  <si>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</si>
  <si>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</si>
  <si>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</si>
  <si>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</si>
  <si>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</si>
  <si>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</si>
  <si>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</si>
  <si>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</si>
  <si>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</si>
  <si>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</si>
  <si>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</si>
  <si>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</si>
  <si>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</si>
  <si>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</si>
  <si>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</si>
  <si>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</si>
  <si>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</si>
  <si>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</si>
  <si>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</si>
  <si>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</si>
  <si>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</si>
  <si>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</si>
  <si>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</si>
  <si>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</si>
  <si>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</si>
  <si>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</si>
  <si>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</si>
  <si>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</si>
  <si>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</si>
  <si>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</si>
  <si>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</si>
  <si>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</si>
  <si>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</si>
  <si>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</si>
  <si>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</si>
  <si>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</si>
  <si>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</si>
  <si>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</si>
  <si>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</si>
  <si>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</si>
  <si>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</si>
  <si>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</si>
  <si>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</si>
  <si>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</si>
  <si>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</si>
  <si>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</si>
  <si>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</si>
  <si>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</si>
  <si>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</si>
  <si>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</si>
  <si>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</si>
  <si>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</si>
  <si>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</si>
  <si>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</si>
  <si>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</si>
  <si>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</si>
  <si>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</si>
  <si>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</si>
  <si>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</si>
  <si>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</si>
  <si>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</si>
  <si>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</si>
  <si>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</si>
  <si>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</si>
  <si>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</si>
  <si>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</si>
  <si>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</si>
  <si>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</si>
  <si>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</si>
  <si>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</si>
  <si>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</si>
  <si>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</si>
  <si>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</si>
  <si>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</si>
  <si>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</si>
  <si>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</si>
  <si>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</si>
  <si>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</si>
  <si>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</si>
  <si>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</si>
  <si>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</si>
  <si>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</si>
  <si>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</si>
  <si>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</si>
  <si>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</si>
  <si>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</si>
  <si>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</si>
  <si>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</si>
  <si>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</si>
  <si>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</si>
  <si>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</si>
  <si>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</si>
  <si>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</si>
  <si>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</si>
  <si>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</si>
  <si>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</si>
  <si>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</si>
  <si>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</si>
  <si>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</si>
  <si>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</si>
  <si>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</si>
  <si>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</si>
  <si>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</si>
  <si>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</si>
  <si>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</si>
  <si>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</si>
  <si>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</si>
  <si>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</si>
  <si>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</si>
  <si>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</si>
  <si>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</si>
  <si>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</si>
  <si>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</si>
  <si>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</si>
  <si>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</si>
  <si>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</si>
  <si>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</si>
  <si>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</si>
  <si>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</si>
  <si>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</si>
  <si>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</si>
  <si>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</si>
  <si>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</si>
  <si>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</si>
  <si>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</si>
  <si>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</si>
  <si>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</si>
  <si>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</si>
  <si>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</si>
  <si>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</si>
  <si>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</si>
  <si>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</si>
  <si>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</si>
  <si>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</si>
  <si>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</si>
  <si>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</si>
  <si>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</si>
  <si>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</si>
  <si>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</si>
  <si>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</si>
  <si>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</si>
  <si>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</si>
  <si>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</si>
  <si>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</si>
  <si>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</si>
  <si>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</si>
  <si>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</si>
  <si>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</si>
  <si>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</si>
  <si>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</si>
  <si>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</si>
  <si>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</si>
  <si>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</si>
  <si>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</si>
  <si>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</si>
  <si>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</si>
  <si>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</si>
  <si>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</si>
  <si>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</si>
  <si>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</si>
  <si>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</si>
  <si>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</si>
  <si>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</si>
  <si>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</si>
  <si>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</si>
  <si>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</si>
  <si>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</si>
  <si>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</si>
  <si>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</si>
  <si>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</si>
  <si>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</si>
  <si>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</si>
  <si>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</si>
  <si>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</si>
  <si>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</si>
  <si>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</si>
  <si>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</si>
  <si>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</si>
  <si>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</si>
  <si>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</si>
  <si>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</si>
  <si>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</si>
  <si>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</si>
  <si>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</si>
  <si>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</si>
  <si>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</si>
  <si>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</si>
  <si>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</si>
  <si>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</si>
  <si>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</si>
  <si>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</si>
  <si>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</si>
  <si>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</si>
  <si>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</si>
  <si>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</si>
  <si>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</si>
  <si>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</si>
  <si>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</si>
  <si>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</si>
  <si>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</si>
  <si>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</si>
  <si>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</si>
  <si>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</si>
  <si>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</si>
  <si>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</si>
  <si>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</si>
  <si>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</si>
  <si>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</si>
  <si>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</si>
  <si>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</si>
  <si>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</si>
  <si>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</si>
  <si>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</si>
  <si>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</si>
  <si>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</si>
  <si>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</si>
  <si>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</si>
  <si>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</si>
  <si>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</si>
  <si>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</si>
  <si>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</si>
  <si>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</si>
  <si>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</si>
  <si>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</si>
  <si>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</si>
  <si>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</si>
  <si>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</si>
  <si>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</si>
  <si>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</si>
  <si>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</si>
  <si>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</si>
  <si>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</si>
  <si>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</si>
  <si>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</si>
  <si>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</si>
  <si>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</si>
  <si>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</si>
  <si>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</si>
  <si>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</si>
  <si>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</si>
  <si>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</si>
  <si>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</si>
  <si>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</si>
  <si>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</si>
  <si>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</si>
  <si>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</si>
  <si>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</si>
  <si>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</si>
  <si>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</si>
  <si>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</si>
  <si>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</si>
  <si>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</si>
  <si>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</si>
  <si>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</si>
  <si>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</si>
  <si>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</si>
  <si>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</si>
  <si>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</si>
  <si>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</si>
  <si>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</si>
  <si>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</si>
  <si>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</si>
  <si>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</si>
  <si>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</si>
  <si>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</si>
  <si>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</si>
  <si>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</si>
  <si>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</si>
  <si>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</si>
  <si>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</si>
  <si>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</si>
  <si>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</si>
  <si>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</si>
  <si>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</si>
  <si>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</si>
  <si>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</si>
  <si>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</si>
  <si>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</si>
  <si>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</si>
  <si>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</si>
  <si>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</si>
  <si>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</si>
  <si>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</si>
  <si>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</si>
  <si>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</si>
  <si>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</si>
  <si>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</si>
  <si>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</si>
  <si>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</si>
  <si>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</si>
  <si>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</si>
  <si>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</si>
  <si>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</si>
  <si>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</si>
  <si>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</si>
  <si>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</si>
  <si>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</si>
  <si>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</si>
  <si>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</si>
  <si>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</si>
  <si>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</si>
  <si>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</si>
  <si>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</si>
  <si>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</si>
  <si>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</si>
  <si>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</si>
  <si>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</si>
  <si>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</si>
  <si>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</si>
  <si>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</si>
  <si>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</si>
  <si>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</si>
  <si>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</si>
  <si>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</si>
  <si>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</si>
  <si>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</si>
  <si>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</si>
  <si>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</si>
  <si>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</si>
  <si>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</si>
  <si>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</si>
  <si>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</si>
  <si>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</si>
  <si>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</si>
  <si>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</si>
  <si>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</si>
  <si>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</si>
  <si>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</si>
  <si>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</si>
  <si>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</si>
  <si>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</si>
  <si>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</si>
  <si>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</si>
  <si>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</si>
  <si>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</si>
  <si>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</si>
  <si>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</si>
  <si>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</si>
  <si>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</si>
  <si>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</si>
  <si>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</si>
  <si>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</si>
  <si>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</si>
  <si>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</si>
  <si>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</si>
  <si>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</si>
  <si>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</si>
  <si>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</si>
  <si>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</si>
  <si>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</si>
  <si>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</si>
  <si>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</si>
  <si>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</si>
  <si>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</si>
  <si>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</si>
  <si>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</si>
  <si>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</si>
  <si>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</si>
  <si>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</si>
  <si>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</si>
  <si>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</si>
  <si>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</si>
  <si>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</si>
  <si>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</si>
  <si>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</si>
  <si>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</si>
  <si>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</si>
  <si>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</si>
  <si>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</si>
  <si>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</si>
  <si>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</si>
  <si>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</si>
  <si>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</si>
  <si>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</si>
  <si>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</si>
  <si>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</si>
  <si>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</si>
  <si>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</si>
  <si>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</si>
  <si>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</si>
  <si>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</si>
  <si>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</si>
  <si>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</si>
  <si>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inf</t>
  </si>
  <si>
    <t>Diff</t>
  </si>
  <si>
    <t>Add Enhnaced projecion plane</t>
    <phoneticPr fontId="2" type="noConversion"/>
  </si>
  <si>
    <t>reference-rc0.4</t>
  </si>
  <si>
    <t>tested-rc0.5 (Enhanced Projection Plane)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</si>
</sst>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00"/>
    <numFmt numFmtId="166" formatCode="[&gt;1000]0;[&gt;100]0.0;0.00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</cellXfs>
  <cellStyles count="1">
    <cellStyle name="Normal" xfId="0" builtinId="0"/>
  </cellStyles>
  <dxfs count="10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9.6608838983572615E-2</c:v>
                </c:pt>
                <c:pt idx="1">
                  <c:v>0.14964961422374418</c:v>
                </c:pt>
                <c:pt idx="2">
                  <c:v>0.24469686582153322</c:v>
                </c:pt>
                <c:pt idx="3">
                  <c:v>0.42623548524673655</c:v>
                </c:pt>
                <c:pt idx="4">
                  <c:v>0.77573976417002155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66.315200000000004</c:v>
                </c:pt>
                <c:pt idx="1">
                  <c:v>68.236996875000003</c:v>
                </c:pt>
                <c:pt idx="2">
                  <c:v>69.661175</c:v>
                </c:pt>
                <c:pt idx="3">
                  <c:v>70.739718749999994</c:v>
                </c:pt>
                <c:pt idx="4">
                  <c:v>72.071484374999997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0A-4E9C-8D2A-F3CCB41420FC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Add Enhnaced projecion plane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9.6086493931484107E-2</c:v>
                </c:pt>
                <c:pt idx="1">
                  <c:v>0.14909201889206689</c:v>
                </c:pt>
                <c:pt idx="2">
                  <c:v>0.24425848052628346</c:v>
                </c:pt>
                <c:pt idx="3">
                  <c:v>0.42463223843962072</c:v>
                </c:pt>
                <c:pt idx="4">
                  <c:v>0.77477230422385268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66.333168749999999</c:v>
                </c:pt>
                <c:pt idx="1">
                  <c:v>68.2381125</c:v>
                </c:pt>
                <c:pt idx="2">
                  <c:v>69.677409374999996</c:v>
                </c:pt>
                <c:pt idx="3">
                  <c:v>70.749765624999995</c:v>
                </c:pt>
                <c:pt idx="4">
                  <c:v>72.062162499999999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0A-4E9C-8D2A-F3CCB414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9.6608838983572615E-2</c:v>
                </c:pt>
                <c:pt idx="1">
                  <c:v>0.14964961422374418</c:v>
                </c:pt>
                <c:pt idx="2">
                  <c:v>0.24469686582153322</c:v>
                </c:pt>
                <c:pt idx="3">
                  <c:v>0.42623548524673655</c:v>
                </c:pt>
                <c:pt idx="4">
                  <c:v>0.77573976417002155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68.412687500000004</c:v>
                </c:pt>
                <c:pt idx="1">
                  <c:v>70.346675000000005</c:v>
                </c:pt>
                <c:pt idx="2">
                  <c:v>72.030415625000003</c:v>
                </c:pt>
                <c:pt idx="3">
                  <c:v>73.278437499999995</c:v>
                </c:pt>
                <c:pt idx="4">
                  <c:v>75.303931250000005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CF-4903-9C37-D411CCEB7BDA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Add Enhnaced projecion plane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9.6086493931484107E-2</c:v>
                </c:pt>
                <c:pt idx="1">
                  <c:v>0.14909201889206689</c:v>
                </c:pt>
                <c:pt idx="2">
                  <c:v>0.24425848052628346</c:v>
                </c:pt>
                <c:pt idx="3">
                  <c:v>0.42463223843962072</c:v>
                </c:pt>
                <c:pt idx="4">
                  <c:v>0.77477230422385268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68.402850000000001</c:v>
                </c:pt>
                <c:pt idx="1">
                  <c:v>70.356650000000002</c:v>
                </c:pt>
                <c:pt idx="2">
                  <c:v>72.041343749999996</c:v>
                </c:pt>
                <c:pt idx="3">
                  <c:v>73.293743750000004</c:v>
                </c:pt>
                <c:pt idx="4">
                  <c:v>75.321165625000006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CF-4903-9C37-D411CCEB7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9.6608838983572615E-2</c:v>
                </c:pt>
                <c:pt idx="1">
                  <c:v>0.14964961422374418</c:v>
                </c:pt>
                <c:pt idx="2">
                  <c:v>0.24469686582153322</c:v>
                </c:pt>
                <c:pt idx="3">
                  <c:v>0.42623548524673655</c:v>
                </c:pt>
                <c:pt idx="4">
                  <c:v>0.77573976417002155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32.176012499999999</c:v>
                </c:pt>
                <c:pt idx="1">
                  <c:v>34.464996874999997</c:v>
                </c:pt>
                <c:pt idx="2">
                  <c:v>37.007618749999999</c:v>
                </c:pt>
                <c:pt idx="3">
                  <c:v>39.629553125000001</c:v>
                </c:pt>
                <c:pt idx="4">
                  <c:v>42.040424999999999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8B-40DB-BAE9-63E188F7BDEE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Add Enhnaced projecion plane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9.6086493931484107E-2</c:v>
                </c:pt>
                <c:pt idx="1">
                  <c:v>0.14909201889206689</c:v>
                </c:pt>
                <c:pt idx="2">
                  <c:v>0.24425848052628346</c:v>
                </c:pt>
                <c:pt idx="3">
                  <c:v>0.42463223843962072</c:v>
                </c:pt>
                <c:pt idx="4">
                  <c:v>0.77477230422385268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32.165624999999999</c:v>
                </c:pt>
                <c:pt idx="1">
                  <c:v>34.445496875000003</c:v>
                </c:pt>
                <c:pt idx="2">
                  <c:v>36.986228124999997</c:v>
                </c:pt>
                <c:pt idx="3">
                  <c:v>39.614121875000002</c:v>
                </c:pt>
                <c:pt idx="4">
                  <c:v>42.039612499999997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8B-40DB-BAE9-63E188F7B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9.6608838983572615E-2</c:v>
                </c:pt>
                <c:pt idx="1">
                  <c:v>0.14964961422374418</c:v>
                </c:pt>
                <c:pt idx="2">
                  <c:v>0.24469686582153322</c:v>
                </c:pt>
                <c:pt idx="3">
                  <c:v>0.42623548524673655</c:v>
                </c:pt>
                <c:pt idx="4">
                  <c:v>0.77573976417002155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44.123815624999999</c:v>
                </c:pt>
                <c:pt idx="1">
                  <c:v>45.410350000000001</c:v>
                </c:pt>
                <c:pt idx="2">
                  <c:v>46.562859375000002</c:v>
                </c:pt>
                <c:pt idx="3">
                  <c:v>47.881868750000002</c:v>
                </c:pt>
                <c:pt idx="4">
                  <c:v>49.43336875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3-4189-B622-871A1E3A6D5F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Add Enhnaced projecion plane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9.6086493931484107E-2</c:v>
                </c:pt>
                <c:pt idx="1">
                  <c:v>0.14909201889206689</c:v>
                </c:pt>
                <c:pt idx="2">
                  <c:v>0.24425848052628346</c:v>
                </c:pt>
                <c:pt idx="3">
                  <c:v>0.42463223843962072</c:v>
                </c:pt>
                <c:pt idx="4">
                  <c:v>0.77477230422385268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44.153831250000003</c:v>
                </c:pt>
                <c:pt idx="1">
                  <c:v>45.472078125000003</c:v>
                </c:pt>
                <c:pt idx="2">
                  <c:v>46.565628125000003</c:v>
                </c:pt>
                <c:pt idx="3">
                  <c:v>47.886353124999999</c:v>
                </c:pt>
                <c:pt idx="4">
                  <c:v>49.434653124999997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3-4189-B622-871A1E3A6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9.6608838983572615E-2</c:v>
                </c:pt>
                <c:pt idx="1">
                  <c:v>0.14964961422374418</c:v>
                </c:pt>
                <c:pt idx="2">
                  <c:v>0.24469686582153322</c:v>
                </c:pt>
                <c:pt idx="3">
                  <c:v>0.42623548524673655</c:v>
                </c:pt>
                <c:pt idx="4">
                  <c:v>0.77573976417002155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43.710996874999999</c:v>
                </c:pt>
                <c:pt idx="1">
                  <c:v>45.138706249999998</c:v>
                </c:pt>
                <c:pt idx="2">
                  <c:v>46.389384374999999</c:v>
                </c:pt>
                <c:pt idx="3">
                  <c:v>47.937731249999999</c:v>
                </c:pt>
                <c:pt idx="4">
                  <c:v>49.587196874999997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92-4E32-A536-24C5B0680239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Add Enhnaced projecion plane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9.6086493931484107E-2</c:v>
                </c:pt>
                <c:pt idx="1">
                  <c:v>0.14909201889206689</c:v>
                </c:pt>
                <c:pt idx="2">
                  <c:v>0.24425848052628346</c:v>
                </c:pt>
                <c:pt idx="3">
                  <c:v>0.42463223843962072</c:v>
                </c:pt>
                <c:pt idx="4">
                  <c:v>0.77477230422385268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43.731209374999999</c:v>
                </c:pt>
                <c:pt idx="1">
                  <c:v>45.189937499999999</c:v>
                </c:pt>
                <c:pt idx="2">
                  <c:v>46.444781249999998</c:v>
                </c:pt>
                <c:pt idx="3">
                  <c:v>47.917003125000001</c:v>
                </c:pt>
                <c:pt idx="4">
                  <c:v>49.581253125000003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92-4E32-A536-24C5B0680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9.6608838983572615E-2</c:v>
                </c:pt>
                <c:pt idx="1">
                  <c:v>0.14964961422374418</c:v>
                </c:pt>
                <c:pt idx="2">
                  <c:v>0.24469686582153322</c:v>
                </c:pt>
                <c:pt idx="3">
                  <c:v>0.42623548524673655</c:v>
                </c:pt>
                <c:pt idx="4">
                  <c:v>0.77573976417002155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8B-4A00-95A9-E37EA0CAEBFA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Add Enhnaced projecion plane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9.6086493931484107E-2</c:v>
                </c:pt>
                <c:pt idx="1">
                  <c:v>0.14909201889206689</c:v>
                </c:pt>
                <c:pt idx="2">
                  <c:v>0.24425848052628346</c:v>
                </c:pt>
                <c:pt idx="3">
                  <c:v>0.42463223843962072</c:v>
                </c:pt>
                <c:pt idx="4">
                  <c:v>0.77477230422385268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8B-4A00-95A9-E37EA0CAE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44"/>
  <sheetViews>
    <sheetView tabSelected="1" workbookViewId="0">
      <selection activeCell="G20" sqref="G20"/>
    </sheetView>
  </sheetViews>
  <sheetFormatPr defaultRowHeight="14.4"/>
  <cols>
    <col min="2" max="2" width="16.6640625" customWidth="1"/>
    <col min="3" max="12" width="24.6640625" customWidth="1"/>
  </cols>
  <sheetData>
    <row r="1" spans="2:12">
      <c r="B1" t="s">
        <v>0</v>
      </c>
      <c r="C1" s="64" t="s">
        <v>552</v>
      </c>
      <c r="D1" s="64"/>
      <c r="E1" s="64"/>
    </row>
    <row r="2" spans="2:12">
      <c r="B2" t="s">
        <v>1</v>
      </c>
      <c r="C2" s="65" t="s">
        <v>553</v>
      </c>
      <c r="D2" s="65"/>
      <c r="E2" s="65"/>
    </row>
    <row r="4" spans="2:12" s="1" customFormat="1">
      <c r="B4" s="1" t="s">
        <v>296</v>
      </c>
    </row>
    <row r="6" spans="2:12">
      <c r="B6" s="60" t="s">
        <v>297</v>
      </c>
      <c r="C6" s="61" t="s">
        <v>298</v>
      </c>
      <c r="D6" s="61"/>
      <c r="E6" s="61"/>
      <c r="F6" s="61"/>
      <c r="G6" s="61"/>
      <c r="H6" s="61"/>
      <c r="I6" s="61"/>
      <c r="J6" s="61"/>
      <c r="K6" s="61"/>
      <c r="L6" s="61"/>
    </row>
    <row r="7" spans="2:12">
      <c r="B7" s="60"/>
      <c r="C7" s="62" t="s">
        <v>237</v>
      </c>
      <c r="D7" s="62"/>
      <c r="E7" s="63" t="s">
        <v>242</v>
      </c>
      <c r="F7" s="63"/>
      <c r="G7" s="63"/>
      <c r="H7" s="62" t="s">
        <v>249</v>
      </c>
      <c r="I7" s="62"/>
      <c r="J7" s="63" t="s">
        <v>254</v>
      </c>
      <c r="K7" s="63"/>
      <c r="L7" s="63"/>
    </row>
    <row r="8" spans="2:12">
      <c r="B8" s="60"/>
      <c r="C8" s="2" t="s">
        <v>154</v>
      </c>
      <c r="D8" s="2" t="s">
        <v>157</v>
      </c>
      <c r="E8" s="3" t="s">
        <v>161</v>
      </c>
      <c r="F8" s="3" t="s">
        <v>164</v>
      </c>
      <c r="G8" s="3" t="s">
        <v>167</v>
      </c>
      <c r="H8" s="2" t="s">
        <v>154</v>
      </c>
      <c r="I8" s="2" t="s">
        <v>157</v>
      </c>
      <c r="J8" s="3" t="s">
        <v>161</v>
      </c>
      <c r="K8" s="3" t="s">
        <v>164</v>
      </c>
      <c r="L8" s="3" t="s">
        <v>167</v>
      </c>
    </row>
    <row r="9" spans="2:12">
      <c r="B9" s="4" t="s">
        <v>288</v>
      </c>
      <c r="C9" s="5">
        <f>'C2 lossyG,lossyA,intra'!$BI$30:$BI$30</f>
        <v>-5.2779076221454169E-4</v>
      </c>
      <c r="D9" s="5">
        <f>'C2 lossyG,lossyA,intra'!$BJ$30:$BJ$30</f>
        <v>-1.5610473834032912E-3</v>
      </c>
      <c r="E9" s="5">
        <f>'C2 lossyG,lossyA,intra'!$BK$30:$BK$30</f>
        <v>1.7531797242004432E-3</v>
      </c>
      <c r="F9" s="5">
        <f>'C2 lossyG,lossyA,intra'!$BL$30:$BL$30</f>
        <v>2.4358287553118418E-3</v>
      </c>
      <c r="G9" s="5">
        <f>'C2 lossyG,lossyA,intra'!$BM$30:$BM$30</f>
        <v>6.5616758852029833E-3</v>
      </c>
      <c r="H9" s="5">
        <f>'C2 lossyG,lossyA,intra'!$BO$30:$BO$30</f>
        <v>-1.5445390349809462E-3</v>
      </c>
      <c r="I9" s="5">
        <f>'C2 lossyG,lossyA,intra'!$BP$30:$BP$30</f>
        <v>-2.6651410185706825E-3</v>
      </c>
      <c r="J9" s="5">
        <f>'C2 lossyG,lossyA,intra'!$BQ$30:$BQ$30</f>
        <v>1.1053386678221977E-3</v>
      </c>
      <c r="K9" s="5">
        <f>'C2 lossyG,lossyA,intra'!$BR$30:$BR$30</f>
        <v>2.1912485597585241E-3</v>
      </c>
      <c r="L9" s="5">
        <f>'C2 lossyG,lossyA,intra'!$BS$30:$BS$30</f>
        <v>5.3630362972023615E-3</v>
      </c>
    </row>
    <row r="10" spans="2:12">
      <c r="B10" s="4" t="s">
        <v>289</v>
      </c>
      <c r="C10" s="5">
        <f>'C2 lossyG,lossyA,intra'!$BI$31:$BI$31</f>
        <v>-6.6380077027456963E-3</v>
      </c>
      <c r="D10" s="5">
        <f>'C2 lossyG,lossyA,intra'!$BJ$31:$BJ$31</f>
        <v>-8.7623472018437676E-3</v>
      </c>
      <c r="E10" s="5">
        <f>'C2 lossyG,lossyA,intra'!$BK$31:$BK$31</f>
        <v>-5.4068436779204365E-3</v>
      </c>
      <c r="F10" s="5">
        <f>'C2 lossyG,lossyA,intra'!$BL$31:$BL$31</f>
        <v>-2.6355584632326012E-3</v>
      </c>
      <c r="G10" s="5">
        <f>'C2 lossyG,lossyA,intra'!$BM$31:$BM$31</f>
        <v>-2.1522248245733344E-3</v>
      </c>
      <c r="H10" s="5">
        <f>'C2 lossyG,lossyA,intra'!$BO$31:$BO$31</f>
        <v>-7.797012223919042E-3</v>
      </c>
      <c r="I10" s="5">
        <f>'C2 lossyG,lossyA,intra'!$BP$31:$BP$31</f>
        <v>-1.1406044268436499E-2</v>
      </c>
      <c r="J10" s="5">
        <f>'C2 lossyG,lossyA,intra'!$BQ$31:$BQ$31</f>
        <v>-5.5242347871514719E-3</v>
      </c>
      <c r="K10" s="5">
        <f>'C2 lossyG,lossyA,intra'!$BR$31:$BR$31</f>
        <v>-2.9593564614169843E-3</v>
      </c>
      <c r="L10" s="5">
        <f>'C2 lossyG,lossyA,intra'!$BS$31:$BS$31</f>
        <v>-2.4106730739111848E-3</v>
      </c>
    </row>
    <row r="11" spans="2:12">
      <c r="B11" s="6" t="s">
        <v>290</v>
      </c>
      <c r="C11" s="7">
        <f>'C2 lossyG,lossyA,intra'!$BI$32:$BI$32</f>
        <v>-1.7498341503207726E-3</v>
      </c>
      <c r="D11" s="7">
        <f>'C2 lossyG,lossyA,intra'!$BJ$32:$BJ$32</f>
        <v>-3.0013073470913864E-3</v>
      </c>
      <c r="E11" s="7">
        <f>'C2 lossyG,lossyA,intra'!$BK$32:$BK$32</f>
        <v>3.2117504377626727E-4</v>
      </c>
      <c r="F11" s="7">
        <f>'C2 lossyG,lossyA,intra'!$BL$32:$BL$32</f>
        <v>1.4215513116029531E-3</v>
      </c>
      <c r="G11" s="7">
        <f>'C2 lossyG,lossyA,intra'!$BM$32:$BM$32</f>
        <v>4.8188957432477196E-3</v>
      </c>
      <c r="H11" s="7">
        <f>'C2 lossyG,lossyA,intra'!$BO$32:$BO$32</f>
        <v>-2.7950336727685654E-3</v>
      </c>
      <c r="I11" s="7">
        <f>'C2 lossyG,lossyA,intra'!$BP$32:$BP$32</f>
        <v>-4.4133216685438457E-3</v>
      </c>
      <c r="J11" s="7">
        <f>'C2 lossyG,lossyA,intra'!$BQ$32:$BQ$32</f>
        <v>-2.2057602317253621E-4</v>
      </c>
      <c r="K11" s="7">
        <f>'C2 lossyG,lossyA,intra'!$BR$32:$BR$32</f>
        <v>1.1611275555234225E-3</v>
      </c>
      <c r="L11" s="7">
        <f>'C2 lossyG,lossyA,intra'!$BS$32:$BS$32</f>
        <v>3.8082944229796524E-3</v>
      </c>
    </row>
    <row r="12" spans="2:12">
      <c r="B12" t="s">
        <v>299</v>
      </c>
      <c r="C12" s="58">
        <f>'C2 lossyG,lossyA,intra'!AZ36</f>
        <v>0.54492676396034279</v>
      </c>
      <c r="D12" s="58"/>
      <c r="E12" s="58"/>
      <c r="F12" s="58"/>
      <c r="G12" s="58"/>
      <c r="H12" s="58"/>
      <c r="I12" s="58"/>
      <c r="J12" s="58"/>
      <c r="K12" s="58"/>
      <c r="L12" s="58"/>
    </row>
    <row r="13" spans="2:12">
      <c r="B13" s="9" t="s">
        <v>300</v>
      </c>
      <c r="C13" s="59">
        <f>'C2 lossyG,lossyA,intra'!BB36</f>
        <v>0.57267019671713637</v>
      </c>
      <c r="D13" s="59"/>
      <c r="E13" s="59"/>
      <c r="F13" s="59"/>
      <c r="G13" s="59"/>
      <c r="H13" s="59"/>
      <c r="I13" s="59"/>
      <c r="J13" s="59"/>
      <c r="K13" s="59"/>
      <c r="L13" s="59"/>
    </row>
    <row r="15" spans="2:12">
      <c r="B15" s="60" t="s">
        <v>381</v>
      </c>
      <c r="C15" s="61" t="s">
        <v>382</v>
      </c>
      <c r="D15" s="61"/>
      <c r="E15" s="61"/>
    </row>
    <row r="16" spans="2:12">
      <c r="B16" s="60"/>
      <c r="C16" s="62" t="s">
        <v>357</v>
      </c>
      <c r="D16" s="62"/>
      <c r="E16" s="62"/>
    </row>
    <row r="17" spans="2:5">
      <c r="B17" s="60"/>
      <c r="C17" s="2" t="s">
        <v>124</v>
      </c>
      <c r="D17" s="2" t="s">
        <v>118</v>
      </c>
      <c r="E17" s="2" t="s">
        <v>150</v>
      </c>
    </row>
    <row r="18" spans="2:5">
      <c r="B18" s="4" t="s">
        <v>288</v>
      </c>
      <c r="C18" s="5" t="e">
        <f>'CW losslG,losslA,intra'!BC10</f>
        <v>#DIV/0!</v>
      </c>
      <c r="D18" s="5" t="e">
        <f>'CW losslG,losslA,intra'!BB10</f>
        <v>#DIV/0!</v>
      </c>
      <c r="E18" s="5" t="e">
        <f>'CW losslG,losslA,intra'!BD10</f>
        <v>#DIV/0!</v>
      </c>
    </row>
    <row r="19" spans="2:5">
      <c r="B19" s="4" t="s">
        <v>289</v>
      </c>
      <c r="C19" s="5" t="e">
        <f>'CW losslG,losslA,intra'!BC11</f>
        <v>#DIV/0!</v>
      </c>
      <c r="D19" s="5" t="e">
        <f>'CW losslG,losslA,intra'!BB11</f>
        <v>#DIV/0!</v>
      </c>
      <c r="E19" s="5" t="e">
        <f>'CW losslG,losslA,intra'!BD11</f>
        <v>#DIV/0!</v>
      </c>
    </row>
    <row r="20" spans="2:5">
      <c r="B20" s="6" t="s">
        <v>290</v>
      </c>
      <c r="C20" s="7" t="e">
        <f>'CW losslG,losslA,intra'!BC12</f>
        <v>#DIV/0!</v>
      </c>
      <c r="D20" s="7" t="e">
        <f>'CW losslG,losslA,intra'!BB12</f>
        <v>#DIV/0!</v>
      </c>
      <c r="E20" s="7" t="e">
        <f>'CW losslG,losslA,intra'!BD12</f>
        <v>#DIV/0!</v>
      </c>
    </row>
    <row r="21" spans="2:5">
      <c r="B21" t="s">
        <v>299</v>
      </c>
      <c r="C21" s="58" t="e">
        <f>'CW losslG,losslA,intra'!AW16</f>
        <v>#NUM!</v>
      </c>
      <c r="D21" s="58"/>
      <c r="E21" s="58"/>
    </row>
    <row r="22" spans="2:5">
      <c r="B22" s="9" t="s">
        <v>300</v>
      </c>
      <c r="C22" s="59" t="e">
        <f>'CW losslG,losslA,intra'!AY16</f>
        <v>#NUM!</v>
      </c>
      <c r="D22" s="59"/>
      <c r="E22" s="59"/>
    </row>
    <row r="24" spans="2:5" s="1" customFormat="1">
      <c r="B24" s="1" t="s">
        <v>456</v>
      </c>
    </row>
    <row r="26" spans="2:5">
      <c r="B26" s="60" t="s">
        <v>457</v>
      </c>
      <c r="C26" s="61" t="s">
        <v>458</v>
      </c>
      <c r="D26" s="61"/>
      <c r="E26" s="61"/>
    </row>
    <row r="27" spans="2:5">
      <c r="B27" s="60"/>
      <c r="C27" s="62" t="s">
        <v>357</v>
      </c>
      <c r="D27" s="62"/>
      <c r="E27" s="62"/>
    </row>
    <row r="28" spans="2:5">
      <c r="B28" s="60"/>
      <c r="C28" s="2" t="s">
        <v>118</v>
      </c>
      <c r="D28" s="2" t="s">
        <v>124</v>
      </c>
      <c r="E28" s="2" t="s">
        <v>150</v>
      </c>
    </row>
    <row r="29" spans="2:5">
      <c r="B29" s="4" t="s">
        <v>288</v>
      </c>
      <c r="C29" s="5" t="e">
        <f>'CW losslG,losslA,interLD'!BB10</f>
        <v>#DIV/0!</v>
      </c>
      <c r="D29" s="5" t="e">
        <f>'CW losslG,losslA,interLD'!BC10</f>
        <v>#DIV/0!</v>
      </c>
      <c r="E29" s="5" t="e">
        <f>'CW losslG,losslA,interLD'!BD10</f>
        <v>#DIV/0!</v>
      </c>
    </row>
    <row r="30" spans="2:5">
      <c r="B30" s="4" t="s">
        <v>289</v>
      </c>
      <c r="C30" s="5" t="e">
        <f>'CW losslG,losslA,interLD'!BB11</f>
        <v>#DIV/0!</v>
      </c>
      <c r="D30" s="5" t="e">
        <f>'CW losslG,losslA,interLD'!BC11</f>
        <v>#DIV/0!</v>
      </c>
      <c r="E30" s="5" t="e">
        <f>'CW losslG,losslA,interLD'!BD11</f>
        <v>#DIV/0!</v>
      </c>
    </row>
    <row r="31" spans="2:5">
      <c r="B31" s="6" t="s">
        <v>290</v>
      </c>
      <c r="C31" s="7" t="e">
        <f>'CW losslG,losslA,interLD'!BB12</f>
        <v>#DIV/0!</v>
      </c>
      <c r="D31" s="7" t="e">
        <f>'CW losslG,losslA,interLD'!BC12</f>
        <v>#DIV/0!</v>
      </c>
      <c r="E31" s="7" t="e">
        <f>'CW losslG,losslA,interLD'!BD12</f>
        <v>#DIV/0!</v>
      </c>
    </row>
    <row r="32" spans="2:5">
      <c r="B32" t="s">
        <v>299</v>
      </c>
      <c r="C32" s="58" t="e">
        <f>'CW losslG,losslA,interLD'!AW16</f>
        <v>#NUM!</v>
      </c>
      <c r="D32" s="58"/>
      <c r="E32" s="58"/>
    </row>
    <row r="33" spans="2:12">
      <c r="B33" s="9" t="s">
        <v>300</v>
      </c>
      <c r="C33" s="59" t="e">
        <f>'CW losslG,losslA,interLD'!AY16</f>
        <v>#NUM!</v>
      </c>
      <c r="D33" s="59"/>
      <c r="E33" s="59"/>
    </row>
    <row r="35" spans="2:12" s="1" customFormat="1">
      <c r="B35" s="1" t="s">
        <v>543</v>
      </c>
    </row>
    <row r="37" spans="2:12">
      <c r="B37" s="60" t="s">
        <v>544</v>
      </c>
      <c r="C37" s="61" t="s">
        <v>545</v>
      </c>
      <c r="D37" s="61"/>
      <c r="E37" s="61"/>
      <c r="F37" s="61"/>
      <c r="G37" s="61"/>
      <c r="H37" s="61"/>
      <c r="I37" s="61"/>
      <c r="J37" s="61"/>
      <c r="K37" s="61"/>
      <c r="L37" s="61"/>
    </row>
    <row r="38" spans="2:12">
      <c r="B38" s="60"/>
      <c r="C38" s="62" t="s">
        <v>237</v>
      </c>
      <c r="D38" s="62"/>
      <c r="E38" s="63" t="s">
        <v>242</v>
      </c>
      <c r="F38" s="63"/>
      <c r="G38" s="63"/>
      <c r="H38" s="62" t="s">
        <v>249</v>
      </c>
      <c r="I38" s="62"/>
      <c r="J38" s="63" t="s">
        <v>254</v>
      </c>
      <c r="K38" s="63"/>
      <c r="L38" s="63"/>
    </row>
    <row r="39" spans="2:12">
      <c r="B39" s="60"/>
      <c r="C39" s="2" t="s">
        <v>154</v>
      </c>
      <c r="D39" s="2" t="s">
        <v>157</v>
      </c>
      <c r="E39" s="3" t="s">
        <v>161</v>
      </c>
      <c r="F39" s="3" t="s">
        <v>164</v>
      </c>
      <c r="G39" s="3" t="s">
        <v>167</v>
      </c>
      <c r="H39" s="2" t="s">
        <v>154</v>
      </c>
      <c r="I39" s="2" t="s">
        <v>157</v>
      </c>
      <c r="J39" s="3" t="s">
        <v>161</v>
      </c>
      <c r="K39" s="3" t="s">
        <v>164</v>
      </c>
      <c r="L39" s="3" t="s">
        <v>167</v>
      </c>
    </row>
    <row r="40" spans="2:12">
      <c r="B40" s="4" t="s">
        <v>288</v>
      </c>
      <c r="C40" s="5">
        <f>'C2 lossyG,lossyA,interRA'!$BI$30:$BI$30</f>
        <v>-1.5700316300877565E-2</v>
      </c>
      <c r="D40" s="5">
        <f>'C2 lossyG,lossyA,interRA'!$BJ$30:$BJ$30</f>
        <v>-1.658859168284349E-2</v>
      </c>
      <c r="E40" s="5">
        <f>'C2 lossyG,lossyA,interRA'!$BK$30:$BK$30</f>
        <v>-3.1586195178468696E-2</v>
      </c>
      <c r="F40" s="5">
        <f>'C2 lossyG,lossyA,interRA'!$BL$30:$BL$30</f>
        <v>-2.994852764648287E-2</v>
      </c>
      <c r="G40" s="5">
        <f>'C2 lossyG,lossyA,interRA'!$BM$30:$BM$30</f>
        <v>-2.5016440144257385E-2</v>
      </c>
      <c r="H40" s="5">
        <f>'C2 lossyG,lossyA,interRA'!$BO$30:$BO$30</f>
        <v>-2.0956032492676691E-2</v>
      </c>
      <c r="I40" s="5">
        <f>'C2 lossyG,lossyA,interRA'!$BP$30:$BP$30</f>
        <v>-2.2166989528529635E-2</v>
      </c>
      <c r="J40" s="5">
        <f>'C2 lossyG,lossyA,interRA'!$BQ$30:$BQ$30</f>
        <v>-2.0181478222819904E-2</v>
      </c>
      <c r="K40" s="5">
        <f>'C2 lossyG,lossyA,interRA'!$BR$30:$BR$30</f>
        <v>-1.9767973309548631E-2</v>
      </c>
      <c r="L40" s="5">
        <f>'C2 lossyG,lossyA,interRA'!$BS$30:$BS$30</f>
        <v>-1.6219088918530133E-2</v>
      </c>
    </row>
    <row r="41" spans="2:12">
      <c r="B41" s="4" t="s">
        <v>289</v>
      </c>
      <c r="C41" s="5">
        <f>'C2 lossyG,lossyA,interRA'!$BI$31:$BI$31</f>
        <v>-1.47141258401432E-2</v>
      </c>
      <c r="D41" s="5">
        <f>'C2 lossyG,lossyA,interRA'!$BJ$31:$BJ$31</f>
        <v>-1.5842889521874071E-2</v>
      </c>
      <c r="E41" s="5">
        <f>'C2 lossyG,lossyA,interRA'!$BK$31:$BK$31</f>
        <v>-1.2823318969511277E-2</v>
      </c>
      <c r="F41" s="5">
        <f>'C2 lossyG,lossyA,interRA'!$BL$31:$BL$31</f>
        <v>-1.2292774634729109E-2</v>
      </c>
      <c r="G41" s="5">
        <f>'C2 lossyG,lossyA,interRA'!$BM$31:$BM$31</f>
        <v>-1.3878068941872712E-2</v>
      </c>
      <c r="H41" s="5">
        <f>'C2 lossyG,lossyA,interRA'!$BO$31:$BO$31</f>
        <v>-1.8102809480882054E-2</v>
      </c>
      <c r="I41" s="5">
        <f>'C2 lossyG,lossyA,interRA'!$BP$31:$BP$31</f>
        <v>-2.0180147712388963E-2</v>
      </c>
      <c r="J41" s="5">
        <f>'C2 lossyG,lossyA,interRA'!$BQ$31:$BQ$31</f>
        <v>-1.1864658258879723E-2</v>
      </c>
      <c r="K41" s="5">
        <f>'C2 lossyG,lossyA,interRA'!$BR$31:$BR$31</f>
        <v>-1.1320838640716535E-2</v>
      </c>
      <c r="L41" s="5">
        <f>'C2 lossyG,lossyA,interRA'!$BS$31:$BS$31</f>
        <v>-1.1905539368052498E-2</v>
      </c>
    </row>
    <row r="42" spans="2:12">
      <c r="B42" s="6" t="s">
        <v>290</v>
      </c>
      <c r="C42" s="7">
        <f>'C2 lossyG,lossyA,interRA'!$BI$32:$BI$32</f>
        <v>-1.5503078208730692E-2</v>
      </c>
      <c r="D42" s="7">
        <f>'C2 lossyG,lossyA,interRA'!$BJ$32:$BJ$32</f>
        <v>-1.6439451250649606E-2</v>
      </c>
      <c r="E42" s="7">
        <f>'C2 lossyG,lossyA,interRA'!$BK$32:$BK$32</f>
        <v>-2.7833619936677212E-2</v>
      </c>
      <c r="F42" s="7">
        <f>'C2 lossyG,lossyA,interRA'!$BL$32:$BL$32</f>
        <v>-2.6417377044132117E-2</v>
      </c>
      <c r="G42" s="7">
        <f>'C2 lossyG,lossyA,interRA'!$BM$32:$BM$32</f>
        <v>-2.2788765903780449E-2</v>
      </c>
      <c r="H42" s="7">
        <f>'C2 lossyG,lossyA,interRA'!$BO$32:$BO$32</f>
        <v>-2.0385387890317762E-2</v>
      </c>
      <c r="I42" s="7">
        <f>'C2 lossyG,lossyA,interRA'!$BP$32:$BP$32</f>
        <v>-2.1769621165301501E-2</v>
      </c>
      <c r="J42" s="7">
        <f>'C2 lossyG,lossyA,interRA'!$BQ$32:$BQ$32</f>
        <v>-1.8518114230031867E-2</v>
      </c>
      <c r="K42" s="7">
        <f>'C2 lossyG,lossyA,interRA'!$BR$32:$BR$32</f>
        <v>-1.8078546375782212E-2</v>
      </c>
      <c r="L42" s="7">
        <f>'C2 lossyG,lossyA,interRA'!$BS$32:$BS$32</f>
        <v>-1.5356379008434607E-2</v>
      </c>
    </row>
    <row r="43" spans="2:12">
      <c r="B43" t="s">
        <v>299</v>
      </c>
      <c r="C43" s="58">
        <f>'C2 lossyG,lossyA,interRA'!AZ36</f>
        <v>0.33373892930287857</v>
      </c>
      <c r="D43" s="58"/>
      <c r="E43" s="58"/>
      <c r="F43" s="58"/>
      <c r="G43" s="58"/>
      <c r="H43" s="58"/>
      <c r="I43" s="58"/>
      <c r="J43" s="58"/>
      <c r="K43" s="58"/>
      <c r="L43" s="58"/>
    </row>
    <row r="44" spans="2:12">
      <c r="B44" s="9" t="s">
        <v>300</v>
      </c>
      <c r="C44" s="59">
        <f>'C2 lossyG,lossyA,interRA'!BB36</f>
        <v>0.57146664348922438</v>
      </c>
      <c r="D44" s="59"/>
      <c r="E44" s="59"/>
      <c r="F44" s="59"/>
      <c r="G44" s="59"/>
      <c r="H44" s="59"/>
      <c r="I44" s="59"/>
      <c r="J44" s="59"/>
      <c r="K44" s="59"/>
      <c r="L44" s="59"/>
    </row>
  </sheetData>
  <mergeCells count="28">
    <mergeCell ref="C1:E1"/>
    <mergeCell ref="C2:E2"/>
    <mergeCell ref="B6:B8"/>
    <mergeCell ref="C6:L6"/>
    <mergeCell ref="C7:D7"/>
    <mergeCell ref="E7:G7"/>
    <mergeCell ref="H7:I7"/>
    <mergeCell ref="J7:L7"/>
    <mergeCell ref="C12:L12"/>
    <mergeCell ref="C13:L13"/>
    <mergeCell ref="B15:B17"/>
    <mergeCell ref="C15:E15"/>
    <mergeCell ref="C16:E16"/>
    <mergeCell ref="C21:E21"/>
    <mergeCell ref="C22:E22"/>
    <mergeCell ref="B26:B28"/>
    <mergeCell ref="C26:E26"/>
    <mergeCell ref="C27:E27"/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</mergeCells>
  <phoneticPr fontId="2" type="noConversion"/>
  <conditionalFormatting sqref="C18 C19 C20">
    <cfRule type="cellIs" dxfId="105" priority="23" operator="greaterThanOrEqual">
      <formula>1.03</formula>
    </cfRule>
    <cfRule type="cellIs" dxfId="104" priority="24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5" operator="greaterThanOrEqual">
      <formula>0.03</formula>
    </cfRule>
    <cfRule type="cellIs" dxfId="100" priority="36" operator="lessThanOrEqual">
      <formula>-0.03</formula>
    </cfRule>
  </conditionalFormatting>
  <conditionalFormatting sqref="C9 C10 C11">
    <cfRule type="cellIs" dxfId="99" priority="1" operator="greaterThanOrEqual">
      <formula>0.03</formula>
    </cfRule>
    <cfRule type="cellIs" dxfId="98" priority="2" operator="lessThanOrEqual">
      <formula>-0.03</formula>
    </cfRule>
  </conditionalFormatting>
  <conditionalFormatting sqref="D18 D19 D20">
    <cfRule type="cellIs" dxfId="97" priority="25" operator="greaterThanOrEqual">
      <formula>1.03</formula>
    </cfRule>
    <cfRule type="cellIs" dxfId="96" priority="26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D9 D10 D11">
    <cfRule type="cellIs" dxfId="91" priority="7" operator="greaterThanOrEqual">
      <formula>0.03</formula>
    </cfRule>
    <cfRule type="cellIs" dxfId="90" priority="8" operator="lessThanOrEqual">
      <formula>-0.03</formula>
    </cfRule>
  </conditionalFormatting>
  <conditionalFormatting sqref="E18 E19 E20">
    <cfRule type="cellIs" dxfId="89" priority="21" operator="greaterThanOrEqual">
      <formula>1.03</formula>
    </cfRule>
    <cfRule type="cellIs" dxfId="88" priority="22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E9 E10 E11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F40 F41 F42">
    <cfRule type="cellIs" dxfId="81" priority="47" operator="greaterThanOrEqual">
      <formula>0.03</formula>
    </cfRule>
    <cfRule type="cellIs" dxfId="80" priority="48" operator="lessThanOrEqual">
      <formula>-0.03</formula>
    </cfRule>
  </conditionalFormatting>
  <conditionalFormatting sqref="F9 F10 F11">
    <cfRule type="cellIs" dxfId="79" priority="11" operator="greaterThanOrEqual">
      <formula>0.03</formula>
    </cfRule>
    <cfRule type="cellIs" dxfId="78" priority="12" operator="lessThanOrEqual">
      <formula>-0.03</formula>
    </cfRule>
  </conditionalFormatting>
  <conditionalFormatting sqref="G40 G41 G42">
    <cfRule type="cellIs" dxfId="77" priority="49" operator="greaterThanOrEqual">
      <formula>0.03</formula>
    </cfRule>
    <cfRule type="cellIs" dxfId="76" priority="50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H9 H10 H11">
    <cfRule type="cellIs" dxfId="71" priority="17" operator="greaterThanOrEqual">
      <formula>0.03</formula>
    </cfRule>
    <cfRule type="cellIs" dxfId="70" priority="18" operator="lessThanOrEqual">
      <formula>-0.03</formula>
    </cfRule>
  </conditionalFormatting>
  <conditionalFormatting sqref="I40 I41 I42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I9 I10 I11">
    <cfRule type="cellIs" dxfId="67" priority="15" operator="greaterThanOrEqual">
      <formula>0.03</formula>
    </cfRule>
    <cfRule type="cellIs" dxfId="66" priority="16" operator="lessThanOrEqual">
      <formula>-0.03</formula>
    </cfRule>
  </conditionalFormatting>
  <conditionalFormatting sqref="J40 J41 J42">
    <cfRule type="cellIs" dxfId="65" priority="37" operator="greaterThanOrEqual">
      <formula>0.03</formula>
    </cfRule>
    <cfRule type="cellIs" dxfId="64" priority="38" operator="lessThanOrEqual">
      <formula>-0.03</formula>
    </cfRule>
  </conditionalFormatting>
  <conditionalFormatting sqref="J9 J10 J11">
    <cfRule type="cellIs" dxfId="63" priority="5" operator="greaterThanOrEqual">
      <formula>0.03</formula>
    </cfRule>
    <cfRule type="cellIs" dxfId="62" priority="6" operator="lessThanOrEqual">
      <formula>-0.03</formula>
    </cfRule>
  </conditionalFormatting>
  <conditionalFormatting sqref="K40 K41 K42">
    <cfRule type="cellIs" dxfId="61" priority="39" operator="greaterThanOrEqual">
      <formula>0.03</formula>
    </cfRule>
    <cfRule type="cellIs" dxfId="60" priority="40" operator="lessThanOrEqual">
      <formula>-0.03</formula>
    </cfRule>
  </conditionalFormatting>
  <conditionalFormatting sqref="K9 K10 K11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L40 L41 L42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L9 L10 L11">
    <cfRule type="cellIs" dxfId="55" priority="13" operator="greaterThanOrEqual">
      <formula>0.03</formula>
    </cfRule>
    <cfRule type="cellIs" dxfId="54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9"/>
  <sheetViews>
    <sheetView workbookViewId="0"/>
  </sheetViews>
  <sheetFormatPr defaultRowHeight="14.4"/>
  <cols>
    <col min="1" max="1" width="12.6640625" customWidth="1"/>
    <col min="2" max="2" width="24.6640625" customWidth="1"/>
    <col min="4" max="4" width="24.6640625" customWidth="1"/>
    <col min="9" max="9" width="16.6640625" customWidth="1"/>
  </cols>
  <sheetData>
    <row r="1" spans="1:16">
      <c r="A1" t="s">
        <v>81</v>
      </c>
      <c r="B1" s="10" t="str">
        <f>M1</f>
        <v>C2 lossyG,lossyA,intra</v>
      </c>
      <c r="C1" t="s">
        <v>82</v>
      </c>
      <c r="I1" t="s">
        <v>4</v>
      </c>
      <c r="M1" t="s">
        <v>301</v>
      </c>
      <c r="N1" t="s">
        <v>383</v>
      </c>
      <c r="O1" t="s">
        <v>459</v>
      </c>
      <c r="P1" t="s">
        <v>546</v>
      </c>
    </row>
    <row r="2" spans="1:16">
      <c r="A2" t="s">
        <v>83</v>
      </c>
      <c r="B2" s="10" t="str">
        <f>HLOOKUP(B1,M1:ZZ3,3,0)</f>
        <v>8ivfbv2_loot_vox10</v>
      </c>
      <c r="C2" t="s">
        <v>84</v>
      </c>
      <c r="I2" t="s">
        <v>5</v>
      </c>
      <c r="J2" t="s">
        <v>6</v>
      </c>
      <c r="M2" t="s">
        <v>303</v>
      </c>
      <c r="N2" t="s">
        <v>385</v>
      </c>
      <c r="O2" t="s">
        <v>461</v>
      </c>
      <c r="P2" t="s">
        <v>548</v>
      </c>
    </row>
    <row r="3" spans="1:16">
      <c r="I3" t="s">
        <v>7</v>
      </c>
      <c r="J3" t="s">
        <v>8</v>
      </c>
      <c r="M3" t="s">
        <v>266</v>
      </c>
      <c r="N3" t="s">
        <v>266</v>
      </c>
      <c r="O3" t="s">
        <v>266</v>
      </c>
      <c r="P3" t="s">
        <v>266</v>
      </c>
    </row>
    <row r="4" spans="1:16">
      <c r="A4" t="s">
        <v>85</v>
      </c>
      <c r="B4" s="10" t="s">
        <v>69</v>
      </c>
      <c r="C4" t="s">
        <v>86</v>
      </c>
      <c r="D4" s="10" t="s">
        <v>15</v>
      </c>
      <c r="E4" t="s">
        <v>87</v>
      </c>
      <c r="I4" t="s">
        <v>9</v>
      </c>
      <c r="J4" t="s">
        <v>10</v>
      </c>
      <c r="M4" t="s">
        <v>275</v>
      </c>
      <c r="N4" t="s">
        <v>275</v>
      </c>
      <c r="O4" t="s">
        <v>275</v>
      </c>
      <c r="P4" t="s">
        <v>275</v>
      </c>
    </row>
    <row r="5" spans="1:16">
      <c r="A5" t="s">
        <v>85</v>
      </c>
      <c r="B5" s="10" t="s">
        <v>69</v>
      </c>
      <c r="C5" t="s">
        <v>86</v>
      </c>
      <c r="D5" s="10" t="s">
        <v>19</v>
      </c>
      <c r="E5" t="s">
        <v>88</v>
      </c>
      <c r="I5" t="s">
        <v>11</v>
      </c>
      <c r="J5" t="s">
        <v>12</v>
      </c>
      <c r="M5" t="s">
        <v>278</v>
      </c>
      <c r="N5" t="s">
        <v>278</v>
      </c>
      <c r="O5" t="s">
        <v>278</v>
      </c>
      <c r="P5" t="s">
        <v>278</v>
      </c>
    </row>
    <row r="6" spans="1:16">
      <c r="A6" t="s">
        <v>85</v>
      </c>
      <c r="B6" s="10" t="s">
        <v>69</v>
      </c>
      <c r="C6" t="s">
        <v>86</v>
      </c>
      <c r="D6" s="10" t="s">
        <v>45</v>
      </c>
      <c r="E6" t="s">
        <v>89</v>
      </c>
      <c r="I6" t="s">
        <v>13</v>
      </c>
      <c r="J6" t="s">
        <v>14</v>
      </c>
      <c r="M6" t="s">
        <v>281</v>
      </c>
      <c r="N6" t="s">
        <v>281</v>
      </c>
      <c r="O6" t="s">
        <v>281</v>
      </c>
      <c r="P6" t="s">
        <v>281</v>
      </c>
    </row>
    <row r="7" spans="1:16">
      <c r="A7" t="s">
        <v>85</v>
      </c>
      <c r="B7" s="10" t="s">
        <v>69</v>
      </c>
      <c r="C7" t="s">
        <v>86</v>
      </c>
      <c r="D7" s="10" t="s">
        <v>7</v>
      </c>
      <c r="E7" t="s">
        <v>90</v>
      </c>
      <c r="I7" t="s">
        <v>15</v>
      </c>
      <c r="J7" t="s">
        <v>16</v>
      </c>
      <c r="M7" t="s">
        <v>284</v>
      </c>
      <c r="N7" t="s">
        <v>284</v>
      </c>
      <c r="O7" t="s">
        <v>284</v>
      </c>
      <c r="P7" t="s">
        <v>284</v>
      </c>
    </row>
    <row r="8" spans="1:16">
      <c r="A8" t="s">
        <v>85</v>
      </c>
      <c r="B8" s="10" t="s">
        <v>69</v>
      </c>
      <c r="C8" t="s">
        <v>86</v>
      </c>
      <c r="D8" s="10" t="s">
        <v>11</v>
      </c>
      <c r="E8" t="s">
        <v>91</v>
      </c>
      <c r="I8" t="s">
        <v>17</v>
      </c>
      <c r="J8" t="s">
        <v>18</v>
      </c>
    </row>
    <row r="9" spans="1:16">
      <c r="A9" t="s">
        <v>85</v>
      </c>
      <c r="B9" s="10" t="s">
        <v>69</v>
      </c>
      <c r="C9" t="s">
        <v>86</v>
      </c>
      <c r="D9" s="10" t="s">
        <v>35</v>
      </c>
      <c r="E9" t="s">
        <v>92</v>
      </c>
      <c r="I9" t="s">
        <v>19</v>
      </c>
      <c r="J9" t="s">
        <v>20</v>
      </c>
    </row>
    <row r="10" spans="1:16">
      <c r="I10" t="s">
        <v>21</v>
      </c>
      <c r="J10" t="s">
        <v>22</v>
      </c>
    </row>
    <row r="11" spans="1:16">
      <c r="I11" t="s">
        <v>23</v>
      </c>
      <c r="J11" t="s">
        <v>24</v>
      </c>
    </row>
    <row r="12" spans="1:16">
      <c r="I12" t="s">
        <v>25</v>
      </c>
      <c r="J12" t="s">
        <v>26</v>
      </c>
    </row>
    <row r="13" spans="1:16">
      <c r="I13" t="s">
        <v>27</v>
      </c>
      <c r="J13" t="s">
        <v>28</v>
      </c>
    </row>
    <row r="14" spans="1:16">
      <c r="I14" t="s">
        <v>29</v>
      </c>
      <c r="J14" t="s">
        <v>30</v>
      </c>
    </row>
    <row r="15" spans="1:16">
      <c r="I15" t="s">
        <v>31</v>
      </c>
      <c r="J15" t="s">
        <v>32</v>
      </c>
    </row>
    <row r="16" spans="1:16">
      <c r="I16" t="s">
        <v>33</v>
      </c>
      <c r="J16" t="s">
        <v>34</v>
      </c>
    </row>
    <row r="17" spans="9:10">
      <c r="I17" t="s">
        <v>35</v>
      </c>
      <c r="J17" t="s">
        <v>36</v>
      </c>
    </row>
    <row r="18" spans="9:10">
      <c r="I18" t="s">
        <v>37</v>
      </c>
      <c r="J18" t="s">
        <v>38</v>
      </c>
    </row>
    <row r="19" spans="9:10">
      <c r="I19" t="s">
        <v>39</v>
      </c>
      <c r="J19" t="s">
        <v>40</v>
      </c>
    </row>
    <row r="20" spans="9:10">
      <c r="I20" t="s">
        <v>41</v>
      </c>
      <c r="J20" t="s">
        <v>42</v>
      </c>
    </row>
    <row r="21" spans="9:10">
      <c r="I21" t="s">
        <v>43</v>
      </c>
      <c r="J21" t="s">
        <v>44</v>
      </c>
    </row>
    <row r="22" spans="9:10">
      <c r="I22" t="s">
        <v>45</v>
      </c>
      <c r="J22" t="s">
        <v>46</v>
      </c>
    </row>
    <row r="23" spans="9:10">
      <c r="I23" t="s">
        <v>47</v>
      </c>
      <c r="J23" t="s">
        <v>48</v>
      </c>
    </row>
    <row r="24" spans="9:10">
      <c r="I24" t="s">
        <v>49</v>
      </c>
      <c r="J24" t="s">
        <v>50</v>
      </c>
    </row>
    <row r="25" spans="9:10">
      <c r="I25" t="s">
        <v>51</v>
      </c>
      <c r="J25" t="s">
        <v>52</v>
      </c>
    </row>
    <row r="26" spans="9:10">
      <c r="I26" t="s">
        <v>53</v>
      </c>
      <c r="J26" t="s">
        <v>54</v>
      </c>
    </row>
    <row r="27" spans="9:10">
      <c r="I27" t="s">
        <v>55</v>
      </c>
      <c r="J27" t="s">
        <v>56</v>
      </c>
    </row>
    <row r="28" spans="9:10">
      <c r="I28" t="s">
        <v>57</v>
      </c>
      <c r="J28" t="s">
        <v>58</v>
      </c>
    </row>
    <row r="29" spans="9:10">
      <c r="I29" t="s">
        <v>59</v>
      </c>
      <c r="J29" t="s">
        <v>60</v>
      </c>
    </row>
    <row r="30" spans="9:10">
      <c r="I30" t="s">
        <v>61</v>
      </c>
      <c r="J30" t="s">
        <v>62</v>
      </c>
    </row>
    <row r="31" spans="9:10">
      <c r="I31" t="s">
        <v>63</v>
      </c>
      <c r="J31" t="s">
        <v>64</v>
      </c>
    </row>
    <row r="32" spans="9:10">
      <c r="I32" t="s">
        <v>65</v>
      </c>
      <c r="J32" t="s">
        <v>66</v>
      </c>
    </row>
    <row r="33" spans="9:10">
      <c r="I33" t="s">
        <v>67</v>
      </c>
      <c r="J33" t="s">
        <v>68</v>
      </c>
    </row>
    <row r="34" spans="9:10">
      <c r="I34" t="s">
        <v>69</v>
      </c>
      <c r="J34" t="s">
        <v>70</v>
      </c>
    </row>
    <row r="35" spans="9:10">
      <c r="I35" t="s">
        <v>71</v>
      </c>
      <c r="J35" t="s">
        <v>72</v>
      </c>
    </row>
    <row r="36" spans="9:10">
      <c r="I36" t="s">
        <v>73</v>
      </c>
      <c r="J36" t="s">
        <v>74</v>
      </c>
    </row>
    <row r="37" spans="9:10">
      <c r="I37" t="s">
        <v>75</v>
      </c>
      <c r="J37" t="s">
        <v>76</v>
      </c>
    </row>
    <row r="38" spans="9:10">
      <c r="I38" t="s">
        <v>77</v>
      </c>
      <c r="J38" t="s">
        <v>78</v>
      </c>
    </row>
    <row r="39" spans="9:10">
      <c r="I39" t="s">
        <v>79</v>
      </c>
      <c r="J39" t="s">
        <v>80</v>
      </c>
    </row>
  </sheetData>
  <phoneticPr fontId="2" type="noConversion"/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14">
    <dataValidation type="list" allowBlank="1" showInputMessage="1" showErrorMessage="1" sqref="B1">
      <formula1>OFFSET(1:1,0,COLUMN(M1)-1,1,COUNTA(M1:ZZ1))</formula1>
    </dataValidation>
    <dataValidation type="list" allowBlank="1" showInputMessage="1" showErrorMessage="1" sqref="B2">
      <formula1>OFFSET(M:M,2,MATCH(B1,M1:ZZ1,0)-1,COUNTA(INDEX(M:ZZ,,MATCH(B1,M1:ZZ1,0)))-2)</formula1>
    </dataValidation>
    <dataValidation type="list" allowBlank="1" showInputMessage="1" showErrorMessage="1" sqref="B4">
      <formula1>Graphs!filter_cols</formula1>
    </dataValidation>
    <dataValidation type="list" allowBlank="1" showInputMessage="1" showErrorMessage="1" sqref="D4">
      <formula1>Graphs!filter_cols</formula1>
    </dataValidation>
    <dataValidation type="list" allowBlank="1" showInputMessage="1" showErrorMessage="1" sqref="B5">
      <formula1>Graphs!filter_cols</formula1>
    </dataValidation>
    <dataValidation type="list" allowBlank="1" showInputMessage="1" showErrorMessage="1" sqref="D5">
      <formula1>Graphs!filter_cols</formula1>
    </dataValidation>
    <dataValidation type="list" allowBlank="1" showInputMessage="1" showErrorMessage="1" sqref="B6">
      <formula1>Graphs!filter_cols</formula1>
    </dataValidation>
    <dataValidation type="list" allowBlank="1" showInputMessage="1" showErrorMessage="1" sqref="D6">
      <formula1>Graphs!filter_cols</formula1>
    </dataValidation>
    <dataValidation type="list" allowBlank="1" showInputMessage="1" showErrorMessage="1" sqref="B7">
      <formula1>Graphs!filter_cols</formula1>
    </dataValidation>
    <dataValidation type="list" allowBlank="1" showInputMessage="1" showErrorMessage="1" sqref="D7">
      <formula1>Graphs!filter_cols</formula1>
    </dataValidation>
    <dataValidation type="list" allowBlank="1" showInputMessage="1" showErrorMessage="1" sqref="B8">
      <formula1>Graphs!filter_cols</formula1>
    </dataValidation>
    <dataValidation type="list" allowBlank="1" showInputMessage="1" showErrorMessage="1" sqref="D8">
      <formula1>Graphs!filter_cols</formula1>
    </dataValidation>
    <dataValidation type="list" allowBlank="1" showInputMessage="1" showErrorMessage="1" sqref="B9">
      <formula1>Graphs!filter_cols</formula1>
    </dataValidation>
    <dataValidation type="list" allowBlank="1" showInputMessage="1" showErrorMessage="1" sqref="D9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U36"/>
  <sheetViews>
    <sheetView zoomScale="85" zoomScaleNormal="85" workbookViewId="0">
      <pane xSplit="2" topLeftCell="AW1" activePane="topRight" state="frozen"/>
      <selection pane="topRight" activeCell="AG1" sqref="AG1:BC1"/>
    </sheetView>
  </sheetViews>
  <sheetFormatPr defaultRowHeight="14.4" outlineLevelRow="2"/>
  <cols>
    <col min="1" max="1" width="9.109375"/>
    <col min="2" max="2" width="24.6640625" customWidth="1"/>
    <col min="3" max="3" width="9.109375"/>
    <col min="4" max="5" width="10.6640625" customWidth="1"/>
    <col min="6" max="7" width="9.109375"/>
    <col min="8" max="8" width="1.6640625" customWidth="1"/>
    <col min="9" max="9" width="9.10937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18" width="9.109375"/>
    <col min="19" max="22" width="12.6640625" customWidth="1"/>
    <col min="23" max="27" width="11.6640625" customWidth="1"/>
    <col min="28" max="31" width="9.109375"/>
    <col min="32" max="32" width="1.6640625" customWidth="1"/>
    <col min="33" max="33" width="9.109375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1" max="42" width="9.109375"/>
    <col min="43" max="46" width="12.6640625" customWidth="1"/>
    <col min="47" max="51" width="11.6640625" customWidth="1"/>
    <col min="52" max="55" width="9.109375"/>
    <col min="56" max="56" width="1.6640625" customWidth="1"/>
    <col min="57" max="59" width="9.109375"/>
    <col min="60" max="60" width="1.6640625" customWidth="1"/>
    <col min="61" max="62" width="9.109375"/>
    <col min="63" max="65" width="11.6640625" customWidth="1"/>
    <col min="66" max="66" width="1.6640625" customWidth="1"/>
    <col min="67" max="68" width="9.109375"/>
    <col min="69" max="71" width="11.6640625" customWidth="1"/>
    <col min="72" max="72" width="1.6640625" customWidth="1"/>
  </cols>
  <sheetData>
    <row r="1" spans="1:73">
      <c r="A1" s="68" t="s">
        <v>261</v>
      </c>
      <c r="B1" s="68"/>
      <c r="C1" s="68"/>
      <c r="D1" s="68"/>
      <c r="E1" s="68"/>
      <c r="F1" s="68"/>
      <c r="G1" s="68"/>
      <c r="I1" s="64" t="s">
        <v>2</v>
      </c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G1" s="65" t="s">
        <v>551</v>
      </c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</row>
    <row r="2" spans="1:73" ht="30" customHeight="1">
      <c r="A2" s="70" t="s">
        <v>93</v>
      </c>
      <c r="B2" s="69" t="s">
        <v>96</v>
      </c>
      <c r="C2" s="70" t="s">
        <v>99</v>
      </c>
      <c r="D2" s="69" t="s">
        <v>102</v>
      </c>
      <c r="E2" s="70" t="s">
        <v>105</v>
      </c>
      <c r="F2" s="69" t="s">
        <v>108</v>
      </c>
      <c r="G2" s="70" t="s">
        <v>111</v>
      </c>
      <c r="I2" s="69" t="s">
        <v>114</v>
      </c>
      <c r="J2" s="67" t="s">
        <v>117</v>
      </c>
      <c r="K2" s="67"/>
      <c r="L2" s="67"/>
      <c r="M2" s="67"/>
      <c r="N2" s="70" t="s">
        <v>130</v>
      </c>
      <c r="O2" s="69" t="s">
        <v>133</v>
      </c>
      <c r="P2" s="70" t="s">
        <v>24</v>
      </c>
      <c r="Q2" s="69" t="s">
        <v>26</v>
      </c>
      <c r="R2" s="70" t="s">
        <v>22</v>
      </c>
      <c r="S2" s="66" t="s">
        <v>142</v>
      </c>
      <c r="T2" s="66"/>
      <c r="U2" s="66"/>
      <c r="V2" s="66"/>
      <c r="W2" s="67" t="s">
        <v>153</v>
      </c>
      <c r="X2" s="67"/>
      <c r="Y2" s="66" t="s">
        <v>160</v>
      </c>
      <c r="Z2" s="66"/>
      <c r="AA2" s="66"/>
      <c r="AB2" s="67" t="s">
        <v>170</v>
      </c>
      <c r="AC2" s="67"/>
      <c r="AD2" s="66" t="s">
        <v>177</v>
      </c>
      <c r="AE2" s="66"/>
      <c r="AG2" s="70" t="s">
        <v>114</v>
      </c>
      <c r="AH2" s="66" t="s">
        <v>117</v>
      </c>
      <c r="AI2" s="66"/>
      <c r="AJ2" s="66"/>
      <c r="AK2" s="66"/>
      <c r="AL2" s="69" t="s">
        <v>192</v>
      </c>
      <c r="AM2" s="70" t="s">
        <v>133</v>
      </c>
      <c r="AN2" s="69" t="s">
        <v>24</v>
      </c>
      <c r="AO2" s="70" t="s">
        <v>26</v>
      </c>
      <c r="AP2" s="69" t="s">
        <v>22</v>
      </c>
      <c r="AQ2" s="67" t="s">
        <v>142</v>
      </c>
      <c r="AR2" s="67"/>
      <c r="AS2" s="67"/>
      <c r="AT2" s="67"/>
      <c r="AU2" s="66" t="s">
        <v>153</v>
      </c>
      <c r="AV2" s="66"/>
      <c r="AW2" s="67" t="s">
        <v>160</v>
      </c>
      <c r="AX2" s="67"/>
      <c r="AY2" s="67"/>
      <c r="AZ2" s="66" t="s">
        <v>170</v>
      </c>
      <c r="BA2" s="66"/>
      <c r="BB2" s="67" t="s">
        <v>177</v>
      </c>
      <c r="BC2" s="67"/>
      <c r="BE2" s="69" t="s">
        <v>229</v>
      </c>
      <c r="BF2" s="70" t="s">
        <v>232</v>
      </c>
      <c r="BG2" s="69" t="s">
        <v>232</v>
      </c>
      <c r="BI2" s="67" t="s">
        <v>237</v>
      </c>
      <c r="BJ2" s="67"/>
      <c r="BK2" s="66" t="s">
        <v>242</v>
      </c>
      <c r="BL2" s="66"/>
      <c r="BM2" s="66"/>
      <c r="BO2" s="67" t="s">
        <v>249</v>
      </c>
      <c r="BP2" s="67"/>
      <c r="BQ2" s="66" t="s">
        <v>254</v>
      </c>
      <c r="BR2" s="66"/>
      <c r="BS2" s="66"/>
      <c r="BU2" t="s">
        <v>550</v>
      </c>
    </row>
    <row r="3" spans="1:73" ht="15" thickBot="1">
      <c r="A3" s="70"/>
      <c r="B3" s="69"/>
      <c r="C3" s="70"/>
      <c r="D3" s="69"/>
      <c r="E3" s="70"/>
      <c r="F3" s="69"/>
      <c r="G3" s="70"/>
      <c r="I3" s="69"/>
      <c r="J3" s="11" t="s">
        <v>118</v>
      </c>
      <c r="K3" s="11" t="s">
        <v>121</v>
      </c>
      <c r="L3" s="11" t="s">
        <v>124</v>
      </c>
      <c r="M3" s="11" t="s">
        <v>127</v>
      </c>
      <c r="N3" s="70"/>
      <c r="O3" s="69"/>
      <c r="P3" s="70"/>
      <c r="Q3" s="69"/>
      <c r="R3" s="70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70"/>
      <c r="AH3" s="12" t="s">
        <v>118</v>
      </c>
      <c r="AI3" s="12" t="s">
        <v>121</v>
      </c>
      <c r="AJ3" s="12" t="s">
        <v>124</v>
      </c>
      <c r="AK3" s="12" t="s">
        <v>127</v>
      </c>
      <c r="AL3" s="69"/>
      <c r="AM3" s="70"/>
      <c r="AN3" s="69"/>
      <c r="AO3" s="70"/>
      <c r="AP3" s="69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69"/>
      <c r="BF3" s="70"/>
      <c r="BG3" s="69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27.2" hidden="1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2.2610399999999999</v>
      </c>
      <c r="J5" s="18">
        <f t="shared" ref="J5:J29" si="1">IF(ISBLANK(S5),"·",S5/D5)</f>
        <v>9.6608838983572615E-2</v>
      </c>
      <c r="K5" s="18">
        <f t="shared" ref="K5:K29" si="2">IF(N5="","·",N5/D5)</f>
        <v>6.1540044925146108E-2</v>
      </c>
      <c r="L5" s="18">
        <f t="shared" ref="L5:L29" si="3">IF(T5="","·",T5/D5)</f>
        <v>3.365034417157925E-2</v>
      </c>
      <c r="M5" s="18">
        <f t="shared" ref="M5:M29" si="4">IF(ISBLANK(V5),"·",V5/D5)</f>
        <v>3.5064521297264242E-2</v>
      </c>
      <c r="N5" s="15">
        <f t="shared" ref="N5:N29" si="5">IF(OR(ISBLANK(T5),ISBLANK(U5)),"",T5+U5)</f>
        <v>1536306.666666667</v>
      </c>
      <c r="O5" s="18">
        <f t="shared" ref="O5:O29" si="6">IF(ISBLANK(S5),"·",S5/P5)</f>
        <v>0.11187038306269813</v>
      </c>
      <c r="P5" s="19">
        <v>21558664</v>
      </c>
      <c r="Q5" s="19">
        <v>673708.25</v>
      </c>
      <c r="R5" s="19">
        <v>13654.3125</v>
      </c>
      <c r="S5" s="20">
        <v>2411776</v>
      </c>
      <c r="T5" s="20">
        <v>840058.66666666698</v>
      </c>
      <c r="U5" s="20">
        <v>696248</v>
      </c>
      <c r="V5" s="20">
        <v>875362.66666666698</v>
      </c>
      <c r="W5" s="21">
        <v>66.315200000000004</v>
      </c>
      <c r="X5" s="21">
        <v>68.412687500000004</v>
      </c>
      <c r="Y5" s="21">
        <v>32.176012499999999</v>
      </c>
      <c r="Z5" s="21">
        <v>44.123815624999999</v>
      </c>
      <c r="AA5" s="21">
        <v>43.710996874999999</v>
      </c>
      <c r="AB5" s="22">
        <v>4423.1000000000004</v>
      </c>
      <c r="AC5" s="22">
        <v>1766</v>
      </c>
      <c r="AD5" s="22">
        <v>7.5510000000000002</v>
      </c>
      <c r="AE5" s="22">
        <v>29.213999999999999</v>
      </c>
      <c r="AG5" s="17">
        <f t="shared" ref="AG5:AG29" si="7">IF(OR(ISBLANK(AQ5),ISBLANK(G5)),"·",AQ5*G5/F5/1000000)</f>
        <v>2.248815</v>
      </c>
      <c r="AH5" s="18">
        <f t="shared" ref="AH5:AH29" si="8">IF(ISBLANK(AQ5),"·",AQ5/D5)</f>
        <v>9.6086493931484107E-2</v>
      </c>
      <c r="AI5" s="18">
        <f t="shared" ref="AI5:AI29" si="9">IF(AL5="","·",AL5/D5)</f>
        <v>6.1031159070718786E-2</v>
      </c>
      <c r="AJ5" s="18">
        <f t="shared" ref="AJ5:AJ29" si="10">IF(AR5="","·",AR5/D5)</f>
        <v>3.392882138033073E-2</v>
      </c>
      <c r="AK5" s="18">
        <f t="shared" ref="AK5:AK29" si="11">IF(ISBLANK(AT5),"·",AT5/D5)</f>
        <v>3.505106209960307E-2</v>
      </c>
      <c r="AL5" s="15">
        <f t="shared" ref="AL5:AL29" si="12">IF(OR(ISBLANK(AR5),ISBLANK(AS5)),"",AR5+AS5)</f>
        <v>1523602.666666667</v>
      </c>
      <c r="AM5" s="18">
        <f t="shared" ref="AM5:AM29" si="13">IF(ISBLANK(AQ5),"·",AQ5/AN5)</f>
        <v>0.11071654225801031</v>
      </c>
      <c r="AN5" s="19">
        <v>21665561</v>
      </c>
      <c r="AO5" s="19">
        <v>677048.78125</v>
      </c>
      <c r="AP5" s="19">
        <v>13554.6875</v>
      </c>
      <c r="AQ5" s="20">
        <v>2398736</v>
      </c>
      <c r="AR5" s="20">
        <v>847010.66666666698</v>
      </c>
      <c r="AS5" s="20">
        <v>676592</v>
      </c>
      <c r="AT5" s="20">
        <v>875026.66666666698</v>
      </c>
      <c r="AU5" s="21">
        <v>66.333168749999999</v>
      </c>
      <c r="AV5" s="21">
        <v>68.402850000000001</v>
      </c>
      <c r="AW5" s="21">
        <v>32.165624999999999</v>
      </c>
      <c r="AX5" s="21">
        <v>44.153831250000003</v>
      </c>
      <c r="AY5" s="21">
        <v>43.731209374999999</v>
      </c>
      <c r="AZ5" s="22">
        <v>2430.35</v>
      </c>
      <c r="BA5" s="22">
        <v>742.52599999999995</v>
      </c>
      <c r="BB5" s="22">
        <v>4.7590000000000003</v>
      </c>
      <c r="BC5" s="22">
        <v>12.256</v>
      </c>
      <c r="BE5" s="23">
        <f t="shared" ref="BE5:BE29" si="14">(AP5/AO5) - (R5/Q5)</f>
        <v>-2.4714448551816162E-4</v>
      </c>
      <c r="BF5" s="23">
        <f t="shared" ref="BF5:BF29" si="15">(AL5/AQ5) - (N5/S5)</f>
        <v>-1.8332534503034958E-3</v>
      </c>
      <c r="BG5" s="23">
        <f t="array" ref="BG5">AVERAGE(AL5:AL9/AQ5:AQ9) - AVERAGE(N5:N9/S5:S9)</f>
        <v>-1.4712501912158005E-3</v>
      </c>
      <c r="BI5" s="24">
        <f>IF( OR(ISBLANK(N5:N9),ISBLANK(AL5:AL9), ISBLANK(W5:W9),ISBLANK(AU5:AU9)), "·", bdRateExtend( N5:N9,W5:W9, AL5:AL9,AU5:AU9))</f>
        <v>-8.7570301518887783E-3</v>
      </c>
      <c r="BJ5" s="24">
        <f>IF( OR(ISBLANK(N5:N9),ISBLANK(AL5:AL9), ISBLANK(X5:X9),ISBLANK(AV5:AV9)), "·", bdRateExtend( N5:N9,X5:X9, AL5:AL9,AV5:AV9))</f>
        <v>-9.4490159901382542E-3</v>
      </c>
      <c r="BK5" s="24">
        <f>IF( OR(ISBLANK(V5:V9),ISBLANK(AT5:AT9), ISBLANK(Y5:Y9),ISBLANK(AW5:AW9)), "·", bdRateExtend( V5:V9,Y5:Y9, AT5:AT9,AW5:AW9))</f>
        <v>4.5143501945172915E-3</v>
      </c>
      <c r="BL5" s="24">
        <f>IF( OR(ISBLANK(V5:V9),ISBLANK(AT5:AT9), ISBLANK(Z5:Z9),ISBLANK(AX5:AX9)), "·", bdRateExtend( V5:V9,Z5:Z9, AT5:AT9,AX5:AX9))</f>
        <v>-1.3138611896359009E-2</v>
      </c>
      <c r="BM5" s="24">
        <f>IF( OR(ISBLANK(V5:V9),ISBLANK(AT5:AT9), ISBLANK(AA5:AA9),ISBLANK(AY5:AY9)), "·", bdRateExtend( V5:V9,AA5:AA9, AT5:AT9,AY5:AY9))</f>
        <v>-1.1638263106550695E-2</v>
      </c>
      <c r="BO5" s="24">
        <f>IF( OR(ISBLANK(S5:S9),ISBLANK(AQ5:AQ9), ISBLANK(W5:W9),ISBLANK(AU5:AU9)), "·", bdRateExtend( S5:S9,W5:W9, AQ5:AQ9,AU5:AU9))</f>
        <v>-6.0420476287125213E-3</v>
      </c>
      <c r="BP5" s="24">
        <f>IF( OR(ISBLANK(S5:S9),ISBLANK(AQ5:AQ9), ISBLANK(X5:X9),ISBLANK(AV5:AV9)), "·", bdRateExtend( S5:S9,X5:X9, AQ5:AQ9,AV5:AV9))</f>
        <v>-6.7644614972897088E-3</v>
      </c>
      <c r="BQ5" s="24">
        <f>IF( OR(ISBLANK(S5:S9),ISBLANK(AQ5:AQ9), ISBLANK(Y5:Y9),ISBLANK(AW5:AW9)), "·", bdRateExtend( S5:S9,Y5:Y9, AQ5:AQ9,AW5:AW9))</f>
        <v>1.6253192751847223E-4</v>
      </c>
      <c r="BR5" s="24">
        <f>IF( OR(ISBLANK(S5:S9),ISBLANK(AQ5:AQ9), ISBLANK(Z5:Z9),ISBLANK(AX5:AX9)), "·", bdRateExtend( S5:S9,Z5:Z9, AQ5:AQ9,AX5:AX9))</f>
        <v>-1.1435289470513532E-2</v>
      </c>
      <c r="BS5" s="24">
        <f>IF( OR(ISBLANK(S5:S9),ISBLANK(AQ5:AQ9), ISBLANK(AA5:AA9),ISBLANK(AY5:AY9)), "·", bdRateExtend( S5:S9,AA5:AA9, AQ5:AQ9,AY5:AY9))</f>
        <v>-1.0322033798770169E-2</v>
      </c>
      <c r="BU5">
        <f>AQ5-S5</f>
        <v>-13040</v>
      </c>
    </row>
    <row r="6" spans="1:73" outlineLevel="1">
      <c r="A6" s="25"/>
      <c r="B6" s="25" t="s">
        <v>266</v>
      </c>
      <c r="C6" s="26" t="s">
        <v>269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3.5024099999999998</v>
      </c>
      <c r="J6" s="28">
        <f t="shared" si="1"/>
        <v>0.14964961422374418</v>
      </c>
      <c r="K6" s="28">
        <f t="shared" si="2"/>
        <v>7.4386528635651553E-2</v>
      </c>
      <c r="L6" s="28">
        <f t="shared" si="3"/>
        <v>4.6496827882084688E-2</v>
      </c>
      <c r="M6" s="28">
        <f t="shared" si="4"/>
        <v>7.5258812826930616E-2</v>
      </c>
      <c r="N6" s="25">
        <f t="shared" si="5"/>
        <v>1857010.66666667</v>
      </c>
      <c r="O6" s="28">
        <f t="shared" si="6"/>
        <v>0.15472685287268387</v>
      </c>
      <c r="P6" s="29">
        <v>24145156</v>
      </c>
      <c r="Q6" s="29">
        <v>754536.125</v>
      </c>
      <c r="R6" s="29">
        <v>19085.875</v>
      </c>
      <c r="S6" s="30">
        <v>3735904</v>
      </c>
      <c r="T6" s="30">
        <v>1160762.66666667</v>
      </c>
      <c r="U6" s="30">
        <v>696248</v>
      </c>
      <c r="V6" s="30">
        <v>1878786.66666667</v>
      </c>
      <c r="W6" s="31">
        <v>68.236996875000003</v>
      </c>
      <c r="X6" s="31">
        <v>70.346675000000005</v>
      </c>
      <c r="Y6" s="31">
        <v>34.464996874999997</v>
      </c>
      <c r="Z6" s="31">
        <v>45.410350000000001</v>
      </c>
      <c r="AA6" s="31">
        <v>45.138706249999998</v>
      </c>
      <c r="AB6" s="32">
        <v>4496.53</v>
      </c>
      <c r="AC6" s="32">
        <v>1742.29</v>
      </c>
      <c r="AD6" s="32">
        <v>9.0129999999999999</v>
      </c>
      <c r="AE6" s="32">
        <v>26.353000000000002</v>
      </c>
      <c r="AG6" s="27">
        <f t="shared" si="7"/>
        <v>3.48936</v>
      </c>
      <c r="AH6" s="28">
        <f t="shared" si="8"/>
        <v>0.14909201889206689</v>
      </c>
      <c r="AI6" s="28">
        <f t="shared" si="9"/>
        <v>7.3698507269495714E-2</v>
      </c>
      <c r="AJ6" s="28">
        <f t="shared" si="10"/>
        <v>4.6596169579107657E-2</v>
      </c>
      <c r="AK6" s="28">
        <f t="shared" si="11"/>
        <v>7.5389238861409164E-2</v>
      </c>
      <c r="AL6" s="25">
        <f t="shared" si="12"/>
        <v>1839834.66666667</v>
      </c>
      <c r="AM6" s="28">
        <f t="shared" si="13"/>
        <v>0.15404818177664259</v>
      </c>
      <c r="AN6" s="29">
        <v>24161168</v>
      </c>
      <c r="AO6" s="29">
        <v>755036.5</v>
      </c>
      <c r="AP6" s="29">
        <v>19192.28125</v>
      </c>
      <c r="AQ6" s="30">
        <v>3721984</v>
      </c>
      <c r="AR6" s="30">
        <v>1163242.66666667</v>
      </c>
      <c r="AS6" s="30">
        <v>676592</v>
      </c>
      <c r="AT6" s="30">
        <v>1882042.66666667</v>
      </c>
      <c r="AU6" s="31">
        <v>68.2381125</v>
      </c>
      <c r="AV6" s="31">
        <v>70.356650000000002</v>
      </c>
      <c r="AW6" s="31">
        <v>34.445496875000003</v>
      </c>
      <c r="AX6" s="31">
        <v>45.472078125000003</v>
      </c>
      <c r="AY6" s="31">
        <v>45.189937499999999</v>
      </c>
      <c r="AZ6" s="32">
        <v>2679.79</v>
      </c>
      <c r="BA6" s="32">
        <v>823.86</v>
      </c>
      <c r="BB6" s="32">
        <v>4.6989999999999998</v>
      </c>
      <c r="BC6" s="32">
        <v>14.689</v>
      </c>
      <c r="BE6" s="33">
        <f t="shared" si="14"/>
        <v>1.2416531053531868E-4</v>
      </c>
      <c r="BF6" s="33">
        <f t="shared" si="15"/>
        <v>-2.7557258364197534E-3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-13920</v>
      </c>
    </row>
    <row r="7" spans="1:73" outlineLevel="1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5.7269024999999996</v>
      </c>
      <c r="J7" s="18">
        <f t="shared" si="1"/>
        <v>0.24469686582153322</v>
      </c>
      <c r="K7" s="18">
        <f t="shared" si="2"/>
        <v>9.2144978578311748E-2</v>
      </c>
      <c r="L7" s="18">
        <f t="shared" si="3"/>
        <v>6.4255277824744897E-2</v>
      </c>
      <c r="M7" s="18">
        <f t="shared" si="4"/>
        <v>0.15254761448205942</v>
      </c>
      <c r="N7" s="15">
        <f t="shared" si="5"/>
        <v>2300338.6666666698</v>
      </c>
      <c r="O7" s="18">
        <f t="shared" si="6"/>
        <v>0.24636095389868773</v>
      </c>
      <c r="P7" s="19">
        <v>24795715</v>
      </c>
      <c r="Q7" s="19">
        <v>774866.09375</v>
      </c>
      <c r="R7" s="19">
        <v>21114.21875</v>
      </c>
      <c r="S7" s="20">
        <v>6108696</v>
      </c>
      <c r="T7" s="20">
        <v>1604090.66666667</v>
      </c>
      <c r="U7" s="20">
        <v>696248</v>
      </c>
      <c r="V7" s="20">
        <v>3808250.6666666698</v>
      </c>
      <c r="W7" s="21">
        <v>69.661175</v>
      </c>
      <c r="X7" s="21">
        <v>72.030415625000003</v>
      </c>
      <c r="Y7" s="21">
        <v>37.007618749999999</v>
      </c>
      <c r="Z7" s="21">
        <v>46.562859375000002</v>
      </c>
      <c r="AA7" s="21">
        <v>46.389384374999999</v>
      </c>
      <c r="AB7" s="22">
        <v>4493.08</v>
      </c>
      <c r="AC7" s="22">
        <v>1741.24</v>
      </c>
      <c r="AD7" s="22">
        <v>8.66</v>
      </c>
      <c r="AE7" s="22">
        <v>23.867000000000001</v>
      </c>
      <c r="AG7" s="17">
        <f t="shared" si="7"/>
        <v>5.7166424999999998</v>
      </c>
      <c r="AH7" s="18">
        <f t="shared" si="8"/>
        <v>0.24425848052628346</v>
      </c>
      <c r="AI7" s="18">
        <f t="shared" si="9"/>
        <v>9.1613981184869644E-2</v>
      </c>
      <c r="AJ7" s="18">
        <f t="shared" si="10"/>
        <v>6.4511643494481588E-2</v>
      </c>
      <c r="AK7" s="18">
        <f t="shared" si="11"/>
        <v>0.15264022658025181</v>
      </c>
      <c r="AL7" s="15">
        <f t="shared" si="12"/>
        <v>2287082.6666666698</v>
      </c>
      <c r="AM7" s="18">
        <f t="shared" si="13"/>
        <v>0.24536686232029356</v>
      </c>
      <c r="AN7" s="19">
        <v>24851571</v>
      </c>
      <c r="AO7" s="19">
        <v>776611.59375</v>
      </c>
      <c r="AP7" s="19">
        <v>21049.5</v>
      </c>
      <c r="AQ7" s="20">
        <v>6097752</v>
      </c>
      <c r="AR7" s="20">
        <v>1610490.66666667</v>
      </c>
      <c r="AS7" s="20">
        <v>676592</v>
      </c>
      <c r="AT7" s="20">
        <v>3810562.6666666698</v>
      </c>
      <c r="AU7" s="21">
        <v>69.677409374999996</v>
      </c>
      <c r="AV7" s="21">
        <v>72.041343749999996</v>
      </c>
      <c r="AW7" s="21">
        <v>36.986228124999997</v>
      </c>
      <c r="AX7" s="21">
        <v>46.565628125000003</v>
      </c>
      <c r="AY7" s="21">
        <v>46.444781249999998</v>
      </c>
      <c r="AZ7" s="22">
        <v>2337.1999999999998</v>
      </c>
      <c r="BA7" s="22">
        <v>855.99699999999996</v>
      </c>
      <c r="BB7" s="22">
        <v>4.4560000000000004</v>
      </c>
      <c r="BC7" s="22">
        <v>14.342000000000001</v>
      </c>
      <c r="BE7" s="23">
        <f t="shared" si="14"/>
        <v>-1.4457888393936205E-4</v>
      </c>
      <c r="BF7" s="23">
        <f t="shared" si="15"/>
        <v>-1.4980670229111648E-3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-10944</v>
      </c>
    </row>
    <row r="8" spans="1:73" outlineLevel="1">
      <c r="A8" s="25"/>
      <c r="B8" s="25" t="s">
        <v>266</v>
      </c>
      <c r="C8" s="26" t="s">
        <v>271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9.9756450000000001</v>
      </c>
      <c r="J8" s="28">
        <f t="shared" si="1"/>
        <v>0.42623548524673655</v>
      </c>
      <c r="K8" s="28">
        <f t="shared" si="2"/>
        <v>0.12204618846805008</v>
      </c>
      <c r="L8" s="28">
        <f t="shared" si="3"/>
        <v>9.415648771448322E-2</v>
      </c>
      <c r="M8" s="28">
        <f t="shared" si="4"/>
        <v>0.30418502401752445</v>
      </c>
      <c r="N8" s="25">
        <f t="shared" si="5"/>
        <v>3046802.6666666698</v>
      </c>
      <c r="O8" s="28">
        <f t="shared" si="6"/>
        <v>0.40985857211347743</v>
      </c>
      <c r="P8" s="29">
        <v>25961853</v>
      </c>
      <c r="Q8" s="29">
        <v>811307.90625</v>
      </c>
      <c r="R8" s="29">
        <v>24718.375</v>
      </c>
      <c r="S8" s="30">
        <v>10640688</v>
      </c>
      <c r="T8" s="30">
        <v>2350554.6666666698</v>
      </c>
      <c r="U8" s="30">
        <v>696248</v>
      </c>
      <c r="V8" s="30">
        <v>7593778.6666666698</v>
      </c>
      <c r="W8" s="31">
        <v>70.739718749999994</v>
      </c>
      <c r="X8" s="31">
        <v>73.278437499999995</v>
      </c>
      <c r="Y8" s="31">
        <v>39.629553125000001</v>
      </c>
      <c r="Z8" s="31">
        <v>47.881868750000002</v>
      </c>
      <c r="AA8" s="31">
        <v>47.937731249999999</v>
      </c>
      <c r="AB8" s="32">
        <v>4524.3500000000004</v>
      </c>
      <c r="AC8" s="32">
        <v>1951.14</v>
      </c>
      <c r="AD8" s="32">
        <v>9.0609999999999999</v>
      </c>
      <c r="AE8" s="32">
        <v>21.024999999999999</v>
      </c>
      <c r="AG8" s="27">
        <f t="shared" si="7"/>
        <v>9.9381225000000004</v>
      </c>
      <c r="AH8" s="28">
        <f t="shared" si="8"/>
        <v>0.42463223843962072</v>
      </c>
      <c r="AI8" s="28">
        <f t="shared" si="9"/>
        <v>0.1210630261246099</v>
      </c>
      <c r="AJ8" s="28">
        <f t="shared" si="10"/>
        <v>9.3960688434221826E-2</v>
      </c>
      <c r="AK8" s="28">
        <f t="shared" si="11"/>
        <v>0.30356493955384883</v>
      </c>
      <c r="AL8" s="25">
        <f t="shared" si="12"/>
        <v>3022258.6666666698</v>
      </c>
      <c r="AM8" s="28">
        <f t="shared" si="13"/>
        <v>0.40887672861095381</v>
      </c>
      <c r="AN8" s="29">
        <v>25926308</v>
      </c>
      <c r="AO8" s="29">
        <v>810197.125</v>
      </c>
      <c r="AP8" s="29">
        <v>24362.6875</v>
      </c>
      <c r="AQ8" s="30">
        <v>10600664</v>
      </c>
      <c r="AR8" s="30">
        <v>2345666.6666666698</v>
      </c>
      <c r="AS8" s="30">
        <v>676592</v>
      </c>
      <c r="AT8" s="30">
        <v>7578298.6666666698</v>
      </c>
      <c r="AU8" s="31">
        <v>70.749765624999995</v>
      </c>
      <c r="AV8" s="31">
        <v>73.293743750000004</v>
      </c>
      <c r="AW8" s="31">
        <v>39.614121875000002</v>
      </c>
      <c r="AX8" s="31">
        <v>47.886353124999999</v>
      </c>
      <c r="AY8" s="31">
        <v>47.917003125000001</v>
      </c>
      <c r="AZ8" s="32">
        <v>2090.0300000000002</v>
      </c>
      <c r="BA8" s="32">
        <v>897.58399999999995</v>
      </c>
      <c r="BB8" s="32">
        <v>4.4880000000000004</v>
      </c>
      <c r="BC8" s="32">
        <v>13.625999999999999</v>
      </c>
      <c r="BE8" s="33">
        <f t="shared" si="14"/>
        <v>-3.9724280157569722E-4</v>
      </c>
      <c r="BF8" s="33">
        <f t="shared" si="15"/>
        <v>-1.2342361940562152E-3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-40024</v>
      </c>
    </row>
    <row r="9" spans="1:73" ht="15" outlineLevel="1" thickBot="1">
      <c r="A9" s="15"/>
      <c r="B9" s="35" t="s">
        <v>266</v>
      </c>
      <c r="C9" s="36" t="s">
        <v>272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18.1554675</v>
      </c>
      <c r="J9" s="38">
        <f t="shared" si="1"/>
        <v>0.77573976417002155</v>
      </c>
      <c r="K9" s="38">
        <f t="shared" si="2"/>
        <v>0.19617207867280254</v>
      </c>
      <c r="L9" s="38">
        <f t="shared" si="3"/>
        <v>0.14397442602897748</v>
      </c>
      <c r="M9" s="38">
        <f t="shared" si="4"/>
        <v>0.57956341273605816</v>
      </c>
      <c r="N9" s="35">
        <f t="shared" si="5"/>
        <v>4897306.6666666698</v>
      </c>
      <c r="O9" s="38">
        <f t="shared" si="6"/>
        <v>0.77404358263700379</v>
      </c>
      <c r="P9" s="39">
        <v>25019046</v>
      </c>
      <c r="Q9" s="39">
        <v>781845.1875</v>
      </c>
      <c r="R9" s="39">
        <v>10463.8125</v>
      </c>
      <c r="S9" s="40">
        <v>19365832</v>
      </c>
      <c r="T9" s="40">
        <v>3594226.6666666698</v>
      </c>
      <c r="U9" s="40">
        <v>1303080</v>
      </c>
      <c r="V9" s="40">
        <v>14468418.6666667</v>
      </c>
      <c r="W9" s="41">
        <v>72.071484374999997</v>
      </c>
      <c r="X9" s="41">
        <v>75.303931250000005</v>
      </c>
      <c r="Y9" s="41">
        <v>42.040424999999999</v>
      </c>
      <c r="Z9" s="41">
        <v>49.43336875</v>
      </c>
      <c r="AA9" s="41">
        <v>49.587196874999997</v>
      </c>
      <c r="AB9" s="42">
        <v>4462.62</v>
      </c>
      <c r="AC9" s="42">
        <v>2082.5500000000002</v>
      </c>
      <c r="AD9" s="42">
        <v>6.3819999999999997</v>
      </c>
      <c r="AE9" s="42">
        <v>30.835999999999999</v>
      </c>
      <c r="AG9" s="37">
        <f t="shared" si="7"/>
        <v>18.132825</v>
      </c>
      <c r="AH9" s="38">
        <f t="shared" si="8"/>
        <v>0.77477230422385268</v>
      </c>
      <c r="AI9" s="38">
        <f t="shared" si="9"/>
        <v>0.19590033106288166</v>
      </c>
      <c r="AJ9" s="38">
        <f t="shared" si="10"/>
        <v>0.14376292435144472</v>
      </c>
      <c r="AK9" s="38">
        <f t="shared" si="11"/>
        <v>0.57886770039981028</v>
      </c>
      <c r="AL9" s="35">
        <f t="shared" si="12"/>
        <v>4890522.6666666698</v>
      </c>
      <c r="AM9" s="38">
        <f t="shared" si="13"/>
        <v>0.77391435728914382</v>
      </c>
      <c r="AN9" s="39">
        <v>24992016</v>
      </c>
      <c r="AO9" s="39">
        <v>781000.5</v>
      </c>
      <c r="AP9" s="39">
        <v>10306.34375</v>
      </c>
      <c r="AQ9" s="40">
        <v>19341680</v>
      </c>
      <c r="AR9" s="40">
        <v>3588946.6666666698</v>
      </c>
      <c r="AS9" s="40">
        <v>1301576</v>
      </c>
      <c r="AT9" s="40">
        <v>14451050.6666667</v>
      </c>
      <c r="AU9" s="41">
        <v>72.062162499999999</v>
      </c>
      <c r="AV9" s="41">
        <v>75.321165625000006</v>
      </c>
      <c r="AW9" s="41">
        <v>42.039612499999997</v>
      </c>
      <c r="AX9" s="41">
        <v>49.434653124999997</v>
      </c>
      <c r="AY9" s="41">
        <v>49.581253125000003</v>
      </c>
      <c r="AZ9" s="42">
        <v>2339.96</v>
      </c>
      <c r="BA9" s="42">
        <v>971.46100000000001</v>
      </c>
      <c r="BB9" s="42">
        <v>3.6419999999999999</v>
      </c>
      <c r="BC9" s="42">
        <v>12.016</v>
      </c>
      <c r="BE9" s="43">
        <f t="shared" si="14"/>
        <v>-1.8714954525732817E-4</v>
      </c>
      <c r="BF9" s="43">
        <f t="shared" si="15"/>
        <v>-3.4968452388539628E-5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-24152</v>
      </c>
    </row>
    <row r="10" spans="1:73">
      <c r="A10" s="25"/>
      <c r="B10" s="25" t="s">
        <v>275</v>
      </c>
      <c r="C10" s="26" t="s">
        <v>268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3.2843550000000001</v>
      </c>
      <c r="J10" s="28">
        <f t="shared" si="1"/>
        <v>0.15463891541872229</v>
      </c>
      <c r="K10" s="28">
        <f t="shared" si="2"/>
        <v>8.0179544672283942E-2</v>
      </c>
      <c r="L10" s="28">
        <f t="shared" si="3"/>
        <v>4.0192944046694365E-2</v>
      </c>
      <c r="M10" s="28">
        <f t="shared" si="4"/>
        <v>7.445466239684112E-2</v>
      </c>
      <c r="N10" s="25">
        <f t="shared" si="5"/>
        <v>1816450.666666667</v>
      </c>
      <c r="O10" s="28">
        <f t="shared" si="6"/>
        <v>0.16992684871391675</v>
      </c>
      <c r="P10" s="29">
        <v>20616589</v>
      </c>
      <c r="Q10" s="29">
        <v>644268.40625</v>
      </c>
      <c r="R10" s="29">
        <v>18739.96875</v>
      </c>
      <c r="S10" s="30">
        <v>3503312</v>
      </c>
      <c r="T10" s="30">
        <v>910562.66666666698</v>
      </c>
      <c r="U10" s="30">
        <v>905888</v>
      </c>
      <c r="V10" s="30">
        <v>1686754.66666667</v>
      </c>
      <c r="W10" s="31">
        <v>65.911412499999997</v>
      </c>
      <c r="X10" s="31">
        <v>67.863568749999999</v>
      </c>
      <c r="Y10" s="31">
        <v>32.529512500000003</v>
      </c>
      <c r="Z10" s="31">
        <v>39.2318</v>
      </c>
      <c r="AA10" s="31">
        <v>32.225631249999999</v>
      </c>
      <c r="AB10" s="32">
        <v>4116.66</v>
      </c>
      <c r="AC10" s="32">
        <v>1757.57</v>
      </c>
      <c r="AD10" s="32">
        <v>9.5429999999999993</v>
      </c>
      <c r="AE10" s="32">
        <v>20.472999999999999</v>
      </c>
      <c r="AG10" s="27">
        <f t="shared" si="7"/>
        <v>3.2629575000000002</v>
      </c>
      <c r="AH10" s="28">
        <f t="shared" si="8"/>
        <v>0.15363144631362491</v>
      </c>
      <c r="AI10" s="28">
        <f t="shared" si="9"/>
        <v>7.9618073982797494E-2</v>
      </c>
      <c r="AJ10" s="28">
        <f t="shared" si="10"/>
        <v>4.0423182342005787E-2</v>
      </c>
      <c r="AK10" s="28">
        <f t="shared" si="11"/>
        <v>7.4008663981230197E-2</v>
      </c>
      <c r="AL10" s="25">
        <f t="shared" si="12"/>
        <v>1803730.666666667</v>
      </c>
      <c r="AM10" s="28">
        <f t="shared" si="13"/>
        <v>0.16845753543815711</v>
      </c>
      <c r="AN10" s="29">
        <v>20660922</v>
      </c>
      <c r="AO10" s="29">
        <v>645653.8125</v>
      </c>
      <c r="AP10" s="29">
        <v>18447.71875</v>
      </c>
      <c r="AQ10" s="30">
        <v>3480488</v>
      </c>
      <c r="AR10" s="30">
        <v>915778.66666666698</v>
      </c>
      <c r="AS10" s="30">
        <v>887952</v>
      </c>
      <c r="AT10" s="30">
        <v>1676650.66666667</v>
      </c>
      <c r="AU10" s="31">
        <v>65.910393749999997</v>
      </c>
      <c r="AV10" s="31">
        <v>67.841156249999997</v>
      </c>
      <c r="AW10" s="31">
        <v>32.503643750000002</v>
      </c>
      <c r="AX10" s="31">
        <v>39.236006250000003</v>
      </c>
      <c r="AY10" s="31">
        <v>32.222728125000003</v>
      </c>
      <c r="AZ10" s="32">
        <v>2988.38</v>
      </c>
      <c r="BA10" s="32">
        <v>1032.96</v>
      </c>
      <c r="BB10" s="32">
        <v>5.3529999999999998</v>
      </c>
      <c r="BC10" s="32">
        <v>15.773</v>
      </c>
      <c r="BE10" s="33">
        <f t="shared" si="14"/>
        <v>-5.150555800655203E-4</v>
      </c>
      <c r="BF10" s="33">
        <f t="shared" si="15"/>
        <v>-2.5452298165606901E-4</v>
      </c>
      <c r="BG10" s="33">
        <f t="array" ref="BG10">AVERAGE(AL10:AL14/AQ10:AQ14) - AVERAGE(N10:N14/S10:S14)</f>
        <v>7.2083866395217244E-4</v>
      </c>
      <c r="BI10" s="34">
        <f>IF( OR(ISBLANK(N10:N14),ISBLANK(AL10:AL14), ISBLANK(W10:W14),ISBLANK(AU10:AU14)), "·", bdRateExtend( N10:N14,W10:W14, AL10:AL14,AU10:AU14))</f>
        <v>-3.0621155024931346E-3</v>
      </c>
      <c r="BJ10" s="34">
        <f>IF( OR(ISBLANK(N10:N14),ISBLANK(AL10:AL14), ISBLANK(X10:X14),ISBLANK(AV10:AV14)), "·", bdRateExtend( N10:N14,X10:X14, AL10:AL14,AV10:AV14))</f>
        <v>-6.7844688082988602E-3</v>
      </c>
      <c r="BK10" s="34">
        <f>IF( OR(ISBLANK(V10:V14),ISBLANK(AT10:AT14), ISBLANK(Y10:Y14),ISBLANK(AW10:AW14)), "·", bdRateExtend( V10:V14,Y10:Y14, AT10:AT14,AW10:AW14))</f>
        <v>-2.2853246109008074E-3</v>
      </c>
      <c r="BL10" s="34">
        <f>IF( OR(ISBLANK(V10:V14),ISBLANK(AT10:AT14), ISBLANK(Z10:Z14),ISBLANK(AX10:AX14)), "·", bdRateExtend( V10:V14,Z10:Z14, AT10:AT14,AX10:AX14))</f>
        <v>4.0486357861553302E-3</v>
      </c>
      <c r="BM10" s="34">
        <f>IF( OR(ISBLANK(V10:V14),ISBLANK(AT10:AT14), ISBLANK(AA10:AA14),ISBLANK(AY10:AY14)), "·", bdRateExtend( V10:V14,AA10:AA14, AT10:AT14,AY10:AY14))</f>
        <v>1.939527185628398E-3</v>
      </c>
      <c r="BO10" s="34">
        <f>IF( OR(ISBLANK(S10:S14),ISBLANK(AQ10:AQ14), ISBLANK(W10:W14),ISBLANK(AU10:AU14)), "·", bdRateExtend( S10:S14,W10:W14, AQ10:AQ14,AU10:AU14))</f>
        <v>-5.1702231135517529E-3</v>
      </c>
      <c r="BP10" s="34">
        <f>IF( OR(ISBLANK(S10:S14),ISBLANK(AQ10:AQ14), ISBLANK(X10:X14),ISBLANK(AV10:AV14)), "·", bdRateExtend( S10:S14,X10:X14, AQ10:AQ14,AV10:AV14))</f>
        <v>-1.1091864572535748E-2</v>
      </c>
      <c r="BQ10" s="34">
        <f>IF( OR(ISBLANK(S10:S14),ISBLANK(AQ10:AQ14), ISBLANK(Y10:Y14),ISBLANK(AW10:AW14)), "·", bdRateExtend( S10:S14,Y10:Y14, AQ10:AQ14,AW10:AW14))</f>
        <v>-2.0221819366021965E-3</v>
      </c>
      <c r="BR10" s="34">
        <f>IF( OR(ISBLANK(S10:S14),ISBLANK(AQ10:AQ14), ISBLANK(Z10:Z14),ISBLANK(AX10:AX14)), "·", bdRateExtend( S10:S14,Z10:Z14, AQ10:AQ14,AX10:AX14))</f>
        <v>3.0093429151090145E-3</v>
      </c>
      <c r="BS10" s="34">
        <f>IF( OR(ISBLANK(S10:S14),ISBLANK(AQ10:AQ14), ISBLANK(AA10:AA14),ISBLANK(AY10:AY14)), "·", bdRateExtend( S10:S14,AA10:AA14, AQ10:AQ14,AY10:AY14))</f>
        <v>1.6287136440984451E-3</v>
      </c>
      <c r="BU10" s="4">
        <f t="shared" si="16"/>
        <v>-22824</v>
      </c>
    </row>
    <row r="11" spans="1:73" outlineLevel="1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4.7392725000000002</v>
      </c>
      <c r="J11" s="18">
        <f t="shared" si="1"/>
        <v>0.22314151767204718</v>
      </c>
      <c r="K11" s="18">
        <f t="shared" si="2"/>
        <v>9.6242550158673723E-2</v>
      </c>
      <c r="L11" s="18">
        <f t="shared" si="3"/>
        <v>5.6255949533084153E-2</v>
      </c>
      <c r="M11" s="18">
        <f t="shared" si="4"/>
        <v>0.12689425916377636</v>
      </c>
      <c r="N11" s="15">
        <f t="shared" si="5"/>
        <v>2180354.6666666698</v>
      </c>
      <c r="O11" s="18">
        <f t="shared" si="6"/>
        <v>0.22613470867244767</v>
      </c>
      <c r="P11" s="19">
        <v>22354923</v>
      </c>
      <c r="Q11" s="19">
        <v>698591.34375</v>
      </c>
      <c r="R11" s="19">
        <v>24804.25</v>
      </c>
      <c r="S11" s="20">
        <v>5055224</v>
      </c>
      <c r="T11" s="20">
        <v>1274466.66666667</v>
      </c>
      <c r="U11" s="20">
        <v>905888</v>
      </c>
      <c r="V11" s="20">
        <v>2874762.6666666698</v>
      </c>
      <c r="W11" s="21">
        <v>67.647353124999995</v>
      </c>
      <c r="X11" s="21">
        <v>69.711856249999997</v>
      </c>
      <c r="Y11" s="21">
        <v>34.409750000000003</v>
      </c>
      <c r="Z11" s="21">
        <v>40.117953125</v>
      </c>
      <c r="AA11" s="21">
        <v>34.017837499999999</v>
      </c>
      <c r="AB11" s="22">
        <v>4050.41</v>
      </c>
      <c r="AC11" s="22">
        <v>1794.98</v>
      </c>
      <c r="AD11" s="22">
        <v>8.3149999999999995</v>
      </c>
      <c r="AE11" s="22">
        <v>24.119</v>
      </c>
      <c r="AG11" s="17">
        <f t="shared" si="7"/>
        <v>4.7057925000000003</v>
      </c>
      <c r="AH11" s="18">
        <f t="shared" si="8"/>
        <v>0.2215651622268475</v>
      </c>
      <c r="AI11" s="18">
        <f t="shared" si="9"/>
        <v>9.5640469953909957E-2</v>
      </c>
      <c r="AJ11" s="18">
        <f t="shared" si="10"/>
        <v>5.6445578313118257E-2</v>
      </c>
      <c r="AK11" s="18">
        <f t="shared" si="11"/>
        <v>0.12591998392334044</v>
      </c>
      <c r="AL11" s="15">
        <f t="shared" si="12"/>
        <v>2166714.6666666698</v>
      </c>
      <c r="AM11" s="18">
        <f t="shared" si="13"/>
        <v>0.22600629970511416</v>
      </c>
      <c r="AN11" s="19">
        <v>22209611</v>
      </c>
      <c r="AO11" s="19">
        <v>694050.34375</v>
      </c>
      <c r="AP11" s="19">
        <v>23853.375</v>
      </c>
      <c r="AQ11" s="20">
        <v>5019512</v>
      </c>
      <c r="AR11" s="20">
        <v>1278762.66666667</v>
      </c>
      <c r="AS11" s="20">
        <v>887952</v>
      </c>
      <c r="AT11" s="20">
        <v>2852690.6666666698</v>
      </c>
      <c r="AU11" s="21">
        <v>67.633171875000002</v>
      </c>
      <c r="AV11" s="21">
        <v>69.747609374999996</v>
      </c>
      <c r="AW11" s="21">
        <v>34.396753124999996</v>
      </c>
      <c r="AX11" s="21">
        <v>40.0805875</v>
      </c>
      <c r="AY11" s="21">
        <v>33.994296875000003</v>
      </c>
      <c r="AZ11" s="22">
        <v>2495.14</v>
      </c>
      <c r="BA11" s="22">
        <v>828.40099999999995</v>
      </c>
      <c r="BB11" s="22">
        <v>3.8559999999999999</v>
      </c>
      <c r="BC11" s="22">
        <v>12.311999999999999</v>
      </c>
      <c r="BE11" s="23">
        <f t="shared" si="14"/>
        <v>-1.1377298977355496E-3</v>
      </c>
      <c r="BF11" s="23">
        <f t="shared" si="15"/>
        <v>3.5119825224821932E-4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-35712</v>
      </c>
    </row>
    <row r="12" spans="1:73" outlineLevel="1">
      <c r="A12" s="25"/>
      <c r="B12" s="25" t="s">
        <v>275</v>
      </c>
      <c r="C12" s="26" t="s">
        <v>270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7.3507724999999997</v>
      </c>
      <c r="J12" s="28">
        <f t="shared" si="1"/>
        <v>0.34610006740738131</v>
      </c>
      <c r="K12" s="28">
        <f t="shared" si="2"/>
        <v>0.1199069506525384</v>
      </c>
      <c r="L12" s="28">
        <f t="shared" si="3"/>
        <v>7.9920350026948833E-2</v>
      </c>
      <c r="M12" s="28">
        <f t="shared" si="4"/>
        <v>0.22618840840524579</v>
      </c>
      <c r="N12" s="25">
        <f t="shared" si="5"/>
        <v>2716466.6666666698</v>
      </c>
      <c r="O12" s="28">
        <f t="shared" si="6"/>
        <v>0.34473973654099876</v>
      </c>
      <c r="P12" s="29">
        <v>22744184</v>
      </c>
      <c r="Q12" s="29">
        <v>710755.75</v>
      </c>
      <c r="R12" s="29">
        <v>26442.53125</v>
      </c>
      <c r="S12" s="30">
        <v>7840824</v>
      </c>
      <c r="T12" s="30">
        <v>1810578.66666667</v>
      </c>
      <c r="U12" s="30">
        <v>905888</v>
      </c>
      <c r="V12" s="30">
        <v>5124250.6666666698</v>
      </c>
      <c r="W12" s="31">
        <v>69.019006250000004</v>
      </c>
      <c r="X12" s="31">
        <v>71.354128125000003</v>
      </c>
      <c r="Y12" s="31">
        <v>36.532943750000001</v>
      </c>
      <c r="Z12" s="31">
        <v>41.038721875</v>
      </c>
      <c r="AA12" s="31">
        <v>35.820659374999998</v>
      </c>
      <c r="AB12" s="32">
        <v>4043.83</v>
      </c>
      <c r="AC12" s="32">
        <v>1925.9</v>
      </c>
      <c r="AD12" s="32">
        <v>6.8129999999999997</v>
      </c>
      <c r="AE12" s="32">
        <v>28.795999999999999</v>
      </c>
      <c r="AG12" s="27">
        <f t="shared" si="7"/>
        <v>7.3000575000000003</v>
      </c>
      <c r="AH12" s="28">
        <f t="shared" si="8"/>
        <v>0.34371222790907474</v>
      </c>
      <c r="AI12" s="28">
        <f t="shared" si="9"/>
        <v>0.11955594319005441</v>
      </c>
      <c r="AJ12" s="28">
        <f t="shared" si="10"/>
        <v>8.0361051549262721E-2</v>
      </c>
      <c r="AK12" s="28">
        <f t="shared" si="11"/>
        <v>0.22415157636942326</v>
      </c>
      <c r="AL12" s="25">
        <f t="shared" si="12"/>
        <v>2708514.6666666698</v>
      </c>
      <c r="AM12" s="28">
        <f t="shared" si="13"/>
        <v>0.34275196880183467</v>
      </c>
      <c r="AN12" s="29">
        <v>22718259</v>
      </c>
      <c r="AO12" s="29">
        <v>709945.59375</v>
      </c>
      <c r="AP12" s="29">
        <v>25700.59375</v>
      </c>
      <c r="AQ12" s="30">
        <v>7786728</v>
      </c>
      <c r="AR12" s="30">
        <v>1820562.66666667</v>
      </c>
      <c r="AS12" s="30">
        <v>887952</v>
      </c>
      <c r="AT12" s="30">
        <v>5078106.6666666698</v>
      </c>
      <c r="AU12" s="31">
        <v>69.019671875</v>
      </c>
      <c r="AV12" s="31">
        <v>71.363140625</v>
      </c>
      <c r="AW12" s="31">
        <v>36.512412500000003</v>
      </c>
      <c r="AX12" s="31">
        <v>41.018809374999996</v>
      </c>
      <c r="AY12" s="31">
        <v>35.786293749999999</v>
      </c>
      <c r="AZ12" s="32">
        <v>2155.2800000000002</v>
      </c>
      <c r="BA12" s="32">
        <v>811.38800000000003</v>
      </c>
      <c r="BB12" s="32">
        <v>3.645</v>
      </c>
      <c r="BC12" s="32">
        <v>11.755000000000001</v>
      </c>
      <c r="BE12" s="33">
        <f t="shared" si="14"/>
        <v>-1.0026077185990717E-3</v>
      </c>
      <c r="BF12" s="33">
        <f t="shared" si="15"/>
        <v>1.3856462193509445E-3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-54096</v>
      </c>
    </row>
    <row r="13" spans="1:73" outlineLevel="1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12.735555</v>
      </c>
      <c r="J13" s="18">
        <f t="shared" si="1"/>
        <v>0.59963445256541559</v>
      </c>
      <c r="K13" s="18">
        <f t="shared" si="2"/>
        <v>0.16155253825876154</v>
      </c>
      <c r="L13" s="18">
        <f t="shared" si="3"/>
        <v>0.12156593763317194</v>
      </c>
      <c r="M13" s="18">
        <f t="shared" si="4"/>
        <v>0.43807720595705701</v>
      </c>
      <c r="N13" s="15">
        <f t="shared" si="5"/>
        <v>3659938.6666666698</v>
      </c>
      <c r="O13" s="18">
        <f t="shared" si="6"/>
        <v>0.5726036198150154</v>
      </c>
      <c r="P13" s="19">
        <v>23724251</v>
      </c>
      <c r="Q13" s="19">
        <v>741382.84375</v>
      </c>
      <c r="R13" s="19">
        <v>30299.78125</v>
      </c>
      <c r="S13" s="20">
        <v>13584592</v>
      </c>
      <c r="T13" s="20">
        <v>2754050.6666666698</v>
      </c>
      <c r="U13" s="20">
        <v>905888</v>
      </c>
      <c r="V13" s="20">
        <v>9924546.6666666698</v>
      </c>
      <c r="W13" s="21">
        <v>70.047775000000001</v>
      </c>
      <c r="X13" s="21">
        <v>72.594934374999994</v>
      </c>
      <c r="Y13" s="21">
        <v>38.867293750000002</v>
      </c>
      <c r="Z13" s="21">
        <v>42.215028125000003</v>
      </c>
      <c r="AA13" s="21">
        <v>37.908743749999999</v>
      </c>
      <c r="AB13" s="22">
        <v>4001.83</v>
      </c>
      <c r="AC13" s="22">
        <v>2080.7199999999998</v>
      </c>
      <c r="AD13" s="22">
        <v>7.3879999999999999</v>
      </c>
      <c r="AE13" s="22">
        <v>24.207999999999998</v>
      </c>
      <c r="AG13" s="17">
        <f t="shared" si="7"/>
        <v>12.649844999999999</v>
      </c>
      <c r="AH13" s="18">
        <f t="shared" si="8"/>
        <v>0.59559892612550924</v>
      </c>
      <c r="AI13" s="18">
        <f t="shared" si="9"/>
        <v>0.16115068062062593</v>
      </c>
      <c r="AJ13" s="18">
        <f t="shared" si="10"/>
        <v>0.12195578897983424</v>
      </c>
      <c r="AK13" s="18">
        <f t="shared" si="11"/>
        <v>0.43444353715528622</v>
      </c>
      <c r="AL13" s="15">
        <f t="shared" si="12"/>
        <v>3650834.6666666698</v>
      </c>
      <c r="AM13" s="18">
        <f t="shared" si="13"/>
        <v>0.57202375312520204</v>
      </c>
      <c r="AN13" s="19">
        <v>23588475</v>
      </c>
      <c r="AO13" s="19">
        <v>737139.84375</v>
      </c>
      <c r="AP13" s="19">
        <v>29305.53125</v>
      </c>
      <c r="AQ13" s="20">
        <v>13493168</v>
      </c>
      <c r="AR13" s="20">
        <v>2762882.6666666698</v>
      </c>
      <c r="AS13" s="20">
        <v>887952</v>
      </c>
      <c r="AT13" s="20">
        <v>9842226.6666666698</v>
      </c>
      <c r="AU13" s="21">
        <v>70.058049999999994</v>
      </c>
      <c r="AV13" s="21">
        <v>72.60575</v>
      </c>
      <c r="AW13" s="21">
        <v>38.843421874999997</v>
      </c>
      <c r="AX13" s="21">
        <v>42.199859375000003</v>
      </c>
      <c r="AY13" s="21">
        <v>37.872881249999999</v>
      </c>
      <c r="AZ13" s="22">
        <v>1902</v>
      </c>
      <c r="BA13" s="22">
        <v>944.71400000000006</v>
      </c>
      <c r="BB13" s="22">
        <v>4.6269999999999998</v>
      </c>
      <c r="BC13" s="22">
        <v>13.903</v>
      </c>
      <c r="BE13" s="23">
        <f t="shared" si="14"/>
        <v>-1.113549433120066E-3</v>
      </c>
      <c r="BF13" s="23">
        <f t="shared" si="15"/>
        <v>1.1507531278328598E-3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-91424</v>
      </c>
    </row>
    <row r="14" spans="1:73" ht="15" outlineLevel="1" thickBot="1">
      <c r="A14" s="25"/>
      <c r="B14" s="45" t="s">
        <v>275</v>
      </c>
      <c r="C14" s="46" t="s">
        <v>272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23.031532500000001</v>
      </c>
      <c r="J14" s="48">
        <f t="shared" si="1"/>
        <v>1.0844050677320367</v>
      </c>
      <c r="K14" s="48">
        <f t="shared" si="2"/>
        <v>0.26495036730055926</v>
      </c>
      <c r="L14" s="48">
        <f t="shared" si="3"/>
        <v>0.1909608898439385</v>
      </c>
      <c r="M14" s="48">
        <f t="shared" si="4"/>
        <v>0.81944999208188174</v>
      </c>
      <c r="N14" s="45">
        <f t="shared" si="5"/>
        <v>6002394.6666666698</v>
      </c>
      <c r="O14" s="48">
        <f t="shared" si="6"/>
        <v>1.0926404364127313</v>
      </c>
      <c r="P14" s="49">
        <v>22484037</v>
      </c>
      <c r="Q14" s="49">
        <v>702626.15625</v>
      </c>
      <c r="R14" s="49">
        <v>14049.1875</v>
      </c>
      <c r="S14" s="50">
        <v>24566968</v>
      </c>
      <c r="T14" s="50">
        <v>4326178.6666666698</v>
      </c>
      <c r="U14" s="50">
        <v>1676216</v>
      </c>
      <c r="V14" s="50">
        <v>18564466.666666701</v>
      </c>
      <c r="W14" s="51">
        <v>71.211693749999995</v>
      </c>
      <c r="X14" s="51">
        <v>74.745203125000003</v>
      </c>
      <c r="Y14" s="51">
        <v>41.129918750000002</v>
      </c>
      <c r="Z14" s="51">
        <v>43.543981250000002</v>
      </c>
      <c r="AA14" s="51">
        <v>39.753968749999999</v>
      </c>
      <c r="AB14" s="52">
        <v>4024.24</v>
      </c>
      <c r="AC14" s="52">
        <v>2328.7800000000002</v>
      </c>
      <c r="AD14" s="52">
        <v>9.9640000000000004</v>
      </c>
      <c r="AE14" s="52">
        <v>24.452000000000002</v>
      </c>
      <c r="AG14" s="47">
        <f t="shared" si="7"/>
        <v>22.875869999999999</v>
      </c>
      <c r="AH14" s="48">
        <f t="shared" si="8"/>
        <v>1.0770759330400297</v>
      </c>
      <c r="AI14" s="48">
        <f t="shared" si="9"/>
        <v>0.26420562410299514</v>
      </c>
      <c r="AJ14" s="48">
        <f t="shared" si="10"/>
        <v>0.19156473567980128</v>
      </c>
      <c r="AK14" s="48">
        <f t="shared" si="11"/>
        <v>0.81286560058743873</v>
      </c>
      <c r="AL14" s="45">
        <f t="shared" si="12"/>
        <v>5985522.6666666698</v>
      </c>
      <c r="AM14" s="48">
        <f t="shared" si="13"/>
        <v>1.0898601525880178</v>
      </c>
      <c r="AN14" s="49">
        <v>22389045</v>
      </c>
      <c r="AO14" s="49">
        <v>699657.65625</v>
      </c>
      <c r="AP14" s="49">
        <v>13460.21875</v>
      </c>
      <c r="AQ14" s="50">
        <v>24400928</v>
      </c>
      <c r="AR14" s="50">
        <v>4339858.6666666698</v>
      </c>
      <c r="AS14" s="50">
        <v>1645664</v>
      </c>
      <c r="AT14" s="50">
        <v>18415298.666666701</v>
      </c>
      <c r="AU14" s="51">
        <v>71.168831249999997</v>
      </c>
      <c r="AV14" s="51">
        <v>74.761062499999994</v>
      </c>
      <c r="AW14" s="51">
        <v>41.099753124999999</v>
      </c>
      <c r="AX14" s="51">
        <v>43.515153124999998</v>
      </c>
      <c r="AY14" s="51">
        <v>39.69825625</v>
      </c>
      <c r="AZ14" s="52">
        <v>1700.1</v>
      </c>
      <c r="BA14" s="52">
        <v>959.65200000000004</v>
      </c>
      <c r="BB14" s="52">
        <v>3.3450000000000002</v>
      </c>
      <c r="BC14" s="52">
        <v>11.869</v>
      </c>
      <c r="BE14" s="53">
        <f t="shared" si="14"/>
        <v>-7.5695997582703872E-4</v>
      </c>
      <c r="BF14" s="53">
        <f t="shared" si="15"/>
        <v>9.7111870198490768E-4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-166040</v>
      </c>
    </row>
    <row r="15" spans="1:73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4.52475</v>
      </c>
      <c r="J15" s="18">
        <f t="shared" si="1"/>
        <v>0.14217155921938554</v>
      </c>
      <c r="K15" s="18">
        <f t="shared" si="2"/>
        <v>7.9161806006125948E-2</v>
      </c>
      <c r="L15" s="18">
        <f t="shared" si="3"/>
        <v>4.1034235840732208E-2</v>
      </c>
      <c r="M15" s="18">
        <f t="shared" si="4"/>
        <v>6.3006611126752904E-2</v>
      </c>
      <c r="N15" s="15">
        <f t="shared" si="5"/>
        <v>2687362.6666666698</v>
      </c>
      <c r="O15" s="18">
        <f t="shared" si="6"/>
        <v>0.15559468204302163</v>
      </c>
      <c r="P15" s="19">
        <v>31019055</v>
      </c>
      <c r="Q15" s="19">
        <v>969345.46875</v>
      </c>
      <c r="R15" s="19">
        <v>30632.5625</v>
      </c>
      <c r="S15" s="20">
        <v>4826400</v>
      </c>
      <c r="T15" s="20">
        <v>1393018.66666667</v>
      </c>
      <c r="U15" s="20">
        <v>1294344</v>
      </c>
      <c r="V15" s="20">
        <v>2138930.6666666698</v>
      </c>
      <c r="W15" s="21">
        <v>65.993662499999999</v>
      </c>
      <c r="X15" s="21">
        <v>67.834546875000001</v>
      </c>
      <c r="Y15" s="21">
        <v>29.606371875000001</v>
      </c>
      <c r="Z15" s="21">
        <v>43.158903125000002</v>
      </c>
      <c r="AA15" s="21">
        <v>43.472906250000001</v>
      </c>
      <c r="AB15" s="22">
        <v>6058.56</v>
      </c>
      <c r="AC15" s="22">
        <v>1709.28</v>
      </c>
      <c r="AD15" s="22">
        <v>10.013</v>
      </c>
      <c r="AE15" s="22">
        <v>25.265000000000001</v>
      </c>
      <c r="AG15" s="17">
        <f t="shared" si="7"/>
        <v>4.5382575000000003</v>
      </c>
      <c r="AH15" s="18">
        <f t="shared" si="8"/>
        <v>0.14259597655430034</v>
      </c>
      <c r="AI15" s="18">
        <f t="shared" si="9"/>
        <v>7.9609553333354247E-2</v>
      </c>
      <c r="AJ15" s="18">
        <f t="shared" si="10"/>
        <v>4.1411757534532072E-2</v>
      </c>
      <c r="AK15" s="18">
        <f t="shared" si="11"/>
        <v>6.2983281134439434E-2</v>
      </c>
      <c r="AL15" s="15">
        <f t="shared" si="12"/>
        <v>2702562.6666666698</v>
      </c>
      <c r="AM15" s="18">
        <f t="shared" si="13"/>
        <v>0.15668379845333588</v>
      </c>
      <c r="AN15" s="19">
        <v>30895396</v>
      </c>
      <c r="AO15" s="19">
        <v>965481.125</v>
      </c>
      <c r="AP15" s="19">
        <v>29621.5625</v>
      </c>
      <c r="AQ15" s="20">
        <v>4840808</v>
      </c>
      <c r="AR15" s="20">
        <v>1405834.66666667</v>
      </c>
      <c r="AS15" s="20">
        <v>1296728</v>
      </c>
      <c r="AT15" s="20">
        <v>2138138.6666666698</v>
      </c>
      <c r="AU15" s="21">
        <v>65.996243750000005</v>
      </c>
      <c r="AV15" s="21">
        <v>67.799565625</v>
      </c>
      <c r="AW15" s="21">
        <v>29.58718125</v>
      </c>
      <c r="AX15" s="21">
        <v>43.17996875</v>
      </c>
      <c r="AY15" s="21">
        <v>43.414346875</v>
      </c>
      <c r="AZ15" s="22">
        <v>3244.01</v>
      </c>
      <c r="BA15" s="22">
        <v>989.47500000000002</v>
      </c>
      <c r="BB15" s="22">
        <v>5.42</v>
      </c>
      <c r="BC15" s="22">
        <v>16.155999999999999</v>
      </c>
      <c r="BE15" s="23">
        <f t="shared" si="14"/>
        <v>-9.2066198757126752E-4</v>
      </c>
      <c r="BF15" s="23">
        <f t="shared" si="15"/>
        <v>1.4827186910665313E-3</v>
      </c>
      <c r="BG15" s="23">
        <f t="array" ref="BG15">AVERAGE(AL15:AL19/AQ15:AQ19) - AVERAGE(N15:N19/S15:S19)</f>
        <v>1.4338039467098329E-3</v>
      </c>
      <c r="BI15" s="24">
        <f>IF( OR(ISBLANK(N15:N19),ISBLANK(AL15:AL19), ISBLANK(W15:W19),ISBLANK(AU15:AU19)), "·", bdRateExtend( N15:N19,W15:W19, AL15:AL19,AU15:AU19))</f>
        <v>9.7079826055237461E-3</v>
      </c>
      <c r="BJ15" s="24">
        <f>IF( OR(ISBLANK(N15:N19),ISBLANK(AL15:AL19), ISBLANK(X15:X19),ISBLANK(AV15:AV19)), "·", bdRateExtend( N15:N19,X15:X19, AL15:AL19,AV15:AV19))</f>
        <v>9.9892952648239497E-3</v>
      </c>
      <c r="BK15" s="24">
        <f>IF( OR(ISBLANK(V15:V19),ISBLANK(AT15:AT19), ISBLANK(Y15:Y19),ISBLANK(AW15:AW19)), "·", bdRateExtend( V15:V19,Y15:Y19, AT15:AT19,AW15:AW19))</f>
        <v>4.7836933131852888E-3</v>
      </c>
      <c r="BL15" s="24">
        <f>IF( OR(ISBLANK(V15:V19),ISBLANK(AT15:AT19), ISBLANK(Z15:Z19),ISBLANK(AX15:AX19)), "·", bdRateExtend( V15:V19,Z15:Z19, AT15:AT19,AX15:AX19))</f>
        <v>1.8833291131451046E-2</v>
      </c>
      <c r="BM15" s="24">
        <f>IF( OR(ISBLANK(V15:V19),ISBLANK(AT15:AT19), ISBLANK(AA15:AA19),ISBLANK(AY15:AY19)), "·", bdRateExtend( V15:V19,AA15:AA19, AT15:AT19,AY15:AY19))</f>
        <v>3.594543946173423E-2</v>
      </c>
      <c r="BO15" s="24">
        <f>IF( OR(ISBLANK(S15:S19),ISBLANK(AQ15:AQ19), ISBLANK(W15:W19),ISBLANK(AU15:AU19)), "·", bdRateExtend( S15:S19,W15:W19, AQ15:AQ19,AU15:AU19))</f>
        <v>5.0341146023404892E-3</v>
      </c>
      <c r="BP15" s="24">
        <f>IF( OR(ISBLANK(S15:S19),ISBLANK(AQ15:AQ19), ISBLANK(X15:X19),ISBLANK(AV15:AV19)), "·", bdRateExtend( S15:S19,X15:X19, AQ15:AQ19,AV15:AV19))</f>
        <v>7.1957619955427266E-3</v>
      </c>
      <c r="BQ15" s="24">
        <f>IF( OR(ISBLANK(S15:S19),ISBLANK(AQ15:AQ19), ISBLANK(Y15:Y19),ISBLANK(AW15:AW19)), "·", bdRateExtend( S15:S19,Y15:Y19, AQ15:AQ19,AW15:AW19))</f>
        <v>6.281004680372515E-3</v>
      </c>
      <c r="BR15" s="24">
        <f>IF( OR(ISBLANK(S15:S19),ISBLANK(AQ15:AQ19), ISBLANK(Z15:Z19),ISBLANK(AX15:AX19)), "·", bdRateExtend( S15:S19,Z15:Z19, AQ15:AQ19,AX15:AX19))</f>
        <v>1.7190940794438614E-2</v>
      </c>
      <c r="BS15" s="24">
        <f>IF( OR(ISBLANK(S15:S19),ISBLANK(AQ15:AQ19), ISBLANK(AA15:AA19),ISBLANK(AY15:AY19)), "·", bdRateExtend( S15:S19,AA15:AA19, AQ15:AQ19,AY15:AY19))</f>
        <v>3.014546534348117E-2</v>
      </c>
      <c r="BU15" s="4">
        <f t="shared" si="16"/>
        <v>14408</v>
      </c>
    </row>
    <row r="16" spans="1:73" outlineLevel="1">
      <c r="A16" s="25"/>
      <c r="B16" s="25" t="s">
        <v>278</v>
      </c>
      <c r="C16" s="26" t="s">
        <v>269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7.2257999999999996</v>
      </c>
      <c r="J16" s="28">
        <f t="shared" si="1"/>
        <v>0.22704088681306944</v>
      </c>
      <c r="K16" s="28">
        <f t="shared" si="2"/>
        <v>9.506909026010732E-2</v>
      </c>
      <c r="L16" s="28">
        <f t="shared" si="3"/>
        <v>5.694152009471358E-2</v>
      </c>
      <c r="M16" s="28">
        <f t="shared" si="4"/>
        <v>0.13196865446645545</v>
      </c>
      <c r="N16" s="25">
        <f t="shared" si="5"/>
        <v>3227378.6666666698</v>
      </c>
      <c r="O16" s="28">
        <f t="shared" si="6"/>
        <v>0.22985768245306942</v>
      </c>
      <c r="P16" s="29">
        <v>33531705</v>
      </c>
      <c r="Q16" s="29">
        <v>1047865.78125</v>
      </c>
      <c r="R16" s="29">
        <v>38886.46875</v>
      </c>
      <c r="S16" s="30">
        <v>7707520</v>
      </c>
      <c r="T16" s="30">
        <v>1933034.66666667</v>
      </c>
      <c r="U16" s="30">
        <v>1294344</v>
      </c>
      <c r="V16" s="30">
        <v>4480034.6666666698</v>
      </c>
      <c r="W16" s="31">
        <v>67.824271874999994</v>
      </c>
      <c r="X16" s="31">
        <v>69.877096875000007</v>
      </c>
      <c r="Y16" s="31">
        <v>32.061403124999998</v>
      </c>
      <c r="Z16" s="31">
        <v>44.034912499999997</v>
      </c>
      <c r="AA16" s="31">
        <v>44.458859375000003</v>
      </c>
      <c r="AB16" s="32">
        <v>6020.15</v>
      </c>
      <c r="AC16" s="32">
        <v>1792.71</v>
      </c>
      <c r="AD16" s="32">
        <v>9.2249999999999996</v>
      </c>
      <c r="AE16" s="32">
        <v>26.021000000000001</v>
      </c>
      <c r="AG16" s="27">
        <f t="shared" si="7"/>
        <v>7.2577199999999999</v>
      </c>
      <c r="AH16" s="28">
        <f t="shared" si="8"/>
        <v>0.22804384082606083</v>
      </c>
      <c r="AI16" s="28">
        <f t="shared" si="9"/>
        <v>9.5813057792770329E-2</v>
      </c>
      <c r="AJ16" s="28">
        <f t="shared" si="10"/>
        <v>5.7615261993948168E-2</v>
      </c>
      <c r="AK16" s="28">
        <f t="shared" si="11"/>
        <v>0.1322276409467838</v>
      </c>
      <c r="AL16" s="25">
        <f t="shared" si="12"/>
        <v>3252634.6666666698</v>
      </c>
      <c r="AM16" s="28">
        <f t="shared" si="13"/>
        <v>0.23094375051385019</v>
      </c>
      <c r="AN16" s="29">
        <v>33521444</v>
      </c>
      <c r="AO16" s="29">
        <v>1047545.125</v>
      </c>
      <c r="AP16" s="29">
        <v>37744.8125</v>
      </c>
      <c r="AQ16" s="30">
        <v>7741568</v>
      </c>
      <c r="AR16" s="30">
        <v>1955906.66666667</v>
      </c>
      <c r="AS16" s="30">
        <v>1296728</v>
      </c>
      <c r="AT16" s="30">
        <v>4488826.6666666698</v>
      </c>
      <c r="AU16" s="31">
        <v>67.830737499999998</v>
      </c>
      <c r="AV16" s="31">
        <v>69.850415624999997</v>
      </c>
      <c r="AW16" s="31">
        <v>32.045284375000001</v>
      </c>
      <c r="AX16" s="31">
        <v>43.979681249999999</v>
      </c>
      <c r="AY16" s="31">
        <v>44.391762499999999</v>
      </c>
      <c r="AZ16" s="32">
        <v>3296.79</v>
      </c>
      <c r="BA16" s="32">
        <v>1101.3699999999999</v>
      </c>
      <c r="BB16" s="32">
        <v>6.1239999999999997</v>
      </c>
      <c r="BC16" s="32">
        <v>19.04</v>
      </c>
      <c r="BE16" s="33">
        <f t="shared" si="14"/>
        <v>-1.0784801701606839E-3</v>
      </c>
      <c r="BF16" s="33">
        <f t="shared" si="15"/>
        <v>1.4207770325821989E-3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34048</v>
      </c>
    </row>
    <row r="17" spans="1:73" outlineLevel="1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12.183285</v>
      </c>
      <c r="J17" s="18">
        <f t="shared" si="1"/>
        <v>0.38280935407793831</v>
      </c>
      <c r="K17" s="18">
        <f t="shared" si="2"/>
        <v>0.11867338672563116</v>
      </c>
      <c r="L17" s="18">
        <f t="shared" si="3"/>
        <v>8.0545816560237418E-2</v>
      </c>
      <c r="M17" s="18">
        <f t="shared" si="4"/>
        <v>0.26413282526580051</v>
      </c>
      <c r="N17" s="15">
        <f t="shared" si="5"/>
        <v>4028690.6666666698</v>
      </c>
      <c r="O17" s="18">
        <f t="shared" si="6"/>
        <v>0.38177976148665238</v>
      </c>
      <c r="P17" s="19">
        <v>34039269</v>
      </c>
      <c r="Q17" s="19">
        <v>1063727.15625</v>
      </c>
      <c r="R17" s="19">
        <v>40807.28125</v>
      </c>
      <c r="S17" s="20">
        <v>12995504</v>
      </c>
      <c r="T17" s="20">
        <v>2734346.6666666698</v>
      </c>
      <c r="U17" s="20">
        <v>1294344</v>
      </c>
      <c r="V17" s="20">
        <v>8966706.6666666698</v>
      </c>
      <c r="W17" s="21">
        <v>69.261243750000006</v>
      </c>
      <c r="X17" s="21">
        <v>71.672759374999998</v>
      </c>
      <c r="Y17" s="21">
        <v>34.616384375000003</v>
      </c>
      <c r="Z17" s="21">
        <v>44.868765625000002</v>
      </c>
      <c r="AA17" s="21">
        <v>45.380062500000001</v>
      </c>
      <c r="AB17" s="22">
        <v>6114.91</v>
      </c>
      <c r="AC17" s="22">
        <v>1876.7</v>
      </c>
      <c r="AD17" s="22">
        <v>9.6910000000000007</v>
      </c>
      <c r="AE17" s="22">
        <v>26.838999999999999</v>
      </c>
      <c r="AG17" s="17">
        <f t="shared" si="7"/>
        <v>12.218715</v>
      </c>
      <c r="AH17" s="18">
        <f t="shared" si="8"/>
        <v>0.38392259532732065</v>
      </c>
      <c r="AI17" s="18">
        <f t="shared" si="9"/>
        <v>0.11976989636436446</v>
      </c>
      <c r="AJ17" s="18">
        <f t="shared" si="10"/>
        <v>8.1572100565542274E-2</v>
      </c>
      <c r="AK17" s="18">
        <f t="shared" si="11"/>
        <v>0.26414955687644953</v>
      </c>
      <c r="AL17" s="15">
        <f t="shared" si="12"/>
        <v>4065914.6666666698</v>
      </c>
      <c r="AM17" s="18">
        <f t="shared" si="13"/>
        <v>0.38390290696532159</v>
      </c>
      <c r="AN17" s="19">
        <v>33949459</v>
      </c>
      <c r="AO17" s="19">
        <v>1060920.59375</v>
      </c>
      <c r="AP17" s="19">
        <v>39535.09375</v>
      </c>
      <c r="AQ17" s="20">
        <v>13033296</v>
      </c>
      <c r="AR17" s="20">
        <v>2769186.6666666698</v>
      </c>
      <c r="AS17" s="20">
        <v>1296728</v>
      </c>
      <c r="AT17" s="20">
        <v>8967274.6666666698</v>
      </c>
      <c r="AU17" s="21">
        <v>69.250596874999999</v>
      </c>
      <c r="AV17" s="21">
        <v>71.669684375000003</v>
      </c>
      <c r="AW17" s="21">
        <v>34.602318750000002</v>
      </c>
      <c r="AX17" s="21">
        <v>44.831874999999997</v>
      </c>
      <c r="AY17" s="21">
        <v>45.299362500000001</v>
      </c>
      <c r="AZ17" s="22">
        <v>3574.92</v>
      </c>
      <c r="BA17" s="22">
        <v>1134.3699999999999</v>
      </c>
      <c r="BB17" s="22">
        <v>5.718</v>
      </c>
      <c r="BC17" s="22">
        <v>15.097</v>
      </c>
      <c r="BE17" s="23">
        <f t="shared" si="14"/>
        <v>-1.0976510643054965E-3</v>
      </c>
      <c r="BF17" s="23">
        <f t="shared" si="15"/>
        <v>1.9571591468707239E-3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37792</v>
      </c>
    </row>
    <row r="18" spans="1:73" outlineLevel="1">
      <c r="A18" s="25"/>
      <c r="B18" s="25" t="s">
        <v>278</v>
      </c>
      <c r="C18" s="26" t="s">
        <v>271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22.021394999999998</v>
      </c>
      <c r="J18" s="28">
        <f t="shared" si="1"/>
        <v>0.69193128091849943</v>
      </c>
      <c r="K18" s="28">
        <f t="shared" si="2"/>
        <v>0.15757697370605794</v>
      </c>
      <c r="L18" s="28">
        <f t="shared" si="3"/>
        <v>0.1194494035406642</v>
      </c>
      <c r="M18" s="28">
        <f t="shared" si="4"/>
        <v>0.53435116512593572</v>
      </c>
      <c r="N18" s="25">
        <f t="shared" si="5"/>
        <v>5349378.6666666698</v>
      </c>
      <c r="O18" s="28">
        <f t="shared" si="6"/>
        <v>0.66060914158987705</v>
      </c>
      <c r="P18" s="29">
        <v>35557316</v>
      </c>
      <c r="Q18" s="29">
        <v>1111166.125</v>
      </c>
      <c r="R18" s="29">
        <v>46580.46875</v>
      </c>
      <c r="S18" s="30">
        <v>23489488</v>
      </c>
      <c r="T18" s="30">
        <v>4055034.6666666698</v>
      </c>
      <c r="U18" s="30">
        <v>1294344</v>
      </c>
      <c r="V18" s="30">
        <v>18140002.666666701</v>
      </c>
      <c r="W18" s="31">
        <v>70.382015624999994</v>
      </c>
      <c r="X18" s="31">
        <v>73.005503125000004</v>
      </c>
      <c r="Y18" s="31">
        <v>37.271878125000001</v>
      </c>
      <c r="Z18" s="31">
        <v>46.219296874999998</v>
      </c>
      <c r="AA18" s="31">
        <v>46.757787499999999</v>
      </c>
      <c r="AB18" s="32">
        <v>6070.94</v>
      </c>
      <c r="AC18" s="32">
        <v>2174.23</v>
      </c>
      <c r="AD18" s="32">
        <v>9.9130000000000003</v>
      </c>
      <c r="AE18" s="32">
        <v>28.222999999999999</v>
      </c>
      <c r="AG18" s="27">
        <f t="shared" si="7"/>
        <v>22.058264999999999</v>
      </c>
      <c r="AH18" s="28">
        <f t="shared" si="8"/>
        <v>0.6930897682135807</v>
      </c>
      <c r="AI18" s="28">
        <f t="shared" si="9"/>
        <v>0.15907692725227274</v>
      </c>
      <c r="AJ18" s="28">
        <f t="shared" si="10"/>
        <v>0.12087913145345056</v>
      </c>
      <c r="AK18" s="28">
        <f t="shared" si="11"/>
        <v>0.53400969887480221</v>
      </c>
      <c r="AL18" s="25">
        <f t="shared" si="12"/>
        <v>5400298.6666666698</v>
      </c>
      <c r="AM18" s="28">
        <f t="shared" si="13"/>
        <v>0.66452723131258495</v>
      </c>
      <c r="AN18" s="29">
        <v>35406850</v>
      </c>
      <c r="AO18" s="29">
        <v>1106464.0625</v>
      </c>
      <c r="AP18" s="29">
        <v>45080.28125</v>
      </c>
      <c r="AQ18" s="30">
        <v>23528816</v>
      </c>
      <c r="AR18" s="30">
        <v>4103570.6666666698</v>
      </c>
      <c r="AS18" s="30">
        <v>1296728</v>
      </c>
      <c r="AT18" s="30">
        <v>18128410.666666701</v>
      </c>
      <c r="AU18" s="31">
        <v>70.379759375000006</v>
      </c>
      <c r="AV18" s="31">
        <v>72.996671875000004</v>
      </c>
      <c r="AW18" s="31">
        <v>37.257087499999997</v>
      </c>
      <c r="AX18" s="31">
        <v>46.193543750000003</v>
      </c>
      <c r="AY18" s="31">
        <v>46.690234375000003</v>
      </c>
      <c r="AZ18" s="32">
        <v>4355.62</v>
      </c>
      <c r="BA18" s="32">
        <v>1769.62</v>
      </c>
      <c r="BB18" s="32">
        <v>7.7759999999999998</v>
      </c>
      <c r="BC18" s="32">
        <v>22.77</v>
      </c>
      <c r="BE18" s="33">
        <f t="shared" si="14"/>
        <v>-1.1776933891195912E-3</v>
      </c>
      <c r="BF18" s="33">
        <f t="shared" si="15"/>
        <v>1.783499761489532E-3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39328</v>
      </c>
    </row>
    <row r="19" spans="1:73" ht="15" outlineLevel="1" thickBot="1">
      <c r="A19" s="15"/>
      <c r="B19" s="35" t="s">
        <v>278</v>
      </c>
      <c r="C19" s="36" t="s">
        <v>272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39.918089999999999</v>
      </c>
      <c r="J19" s="38">
        <f t="shared" si="1"/>
        <v>1.2542609196883279</v>
      </c>
      <c r="K19" s="38">
        <f t="shared" si="2"/>
        <v>0.25410823392213489</v>
      </c>
      <c r="L19" s="38">
        <f t="shared" si="3"/>
        <v>0.18329204533473117</v>
      </c>
      <c r="M19" s="38">
        <f t="shared" si="4"/>
        <v>1.0001495436796872</v>
      </c>
      <c r="N19" s="35">
        <f t="shared" si="5"/>
        <v>8626394.6666666698</v>
      </c>
      <c r="O19" s="38">
        <f t="shared" si="6"/>
        <v>1.2615860431314303</v>
      </c>
      <c r="P19" s="39">
        <v>33750608</v>
      </c>
      <c r="Q19" s="39">
        <v>1054706.5</v>
      </c>
      <c r="R19" s="39">
        <v>20504</v>
      </c>
      <c r="S19" s="40">
        <v>42579296</v>
      </c>
      <c r="T19" s="40">
        <v>6222346.6666666698</v>
      </c>
      <c r="U19" s="40">
        <v>2404048</v>
      </c>
      <c r="V19" s="40">
        <v>33952794.666666701</v>
      </c>
      <c r="W19" s="41">
        <v>71.537806250000003</v>
      </c>
      <c r="X19" s="41">
        <v>75.080746875000003</v>
      </c>
      <c r="Y19" s="41">
        <v>39.349924999999999</v>
      </c>
      <c r="Z19" s="41">
        <v>47.969212499999998</v>
      </c>
      <c r="AA19" s="41">
        <v>48.555018750000002</v>
      </c>
      <c r="AB19" s="42">
        <v>6153.5</v>
      </c>
      <c r="AC19" s="42">
        <v>2528.1999999999998</v>
      </c>
      <c r="AD19" s="42">
        <v>9.2520000000000007</v>
      </c>
      <c r="AE19" s="42">
        <v>29.928999999999998</v>
      </c>
      <c r="AG19" s="37">
        <f t="shared" si="7"/>
        <v>39.948974999999997</v>
      </c>
      <c r="AH19" s="38">
        <f t="shared" si="8"/>
        <v>1.2552313531059731</v>
      </c>
      <c r="AI19" s="38">
        <f t="shared" si="9"/>
        <v>0.25496366697362899</v>
      </c>
      <c r="AJ19" s="38">
        <f t="shared" si="10"/>
        <v>0.184159496867114</v>
      </c>
      <c r="AK19" s="38">
        <f t="shared" si="11"/>
        <v>1.0002645440458384</v>
      </c>
      <c r="AL19" s="35">
        <f t="shared" si="12"/>
        <v>8655434.6666666698</v>
      </c>
      <c r="AM19" s="38">
        <f t="shared" si="13"/>
        <v>1.2653018575086077</v>
      </c>
      <c r="AN19" s="39">
        <v>33677529</v>
      </c>
      <c r="AO19" s="39">
        <v>1052422.78125</v>
      </c>
      <c r="AP19" s="39">
        <v>20027.96875</v>
      </c>
      <c r="AQ19" s="40">
        <v>42612240</v>
      </c>
      <c r="AR19" s="40">
        <v>6251794.6666666698</v>
      </c>
      <c r="AS19" s="40">
        <v>2403640</v>
      </c>
      <c r="AT19" s="40">
        <v>33956698.666666701</v>
      </c>
      <c r="AU19" s="41">
        <v>71.497065625000005</v>
      </c>
      <c r="AV19" s="41">
        <v>75.069756249999998</v>
      </c>
      <c r="AW19" s="41">
        <v>39.335715624999999</v>
      </c>
      <c r="AX19" s="41">
        <v>47.947415624999998</v>
      </c>
      <c r="AY19" s="41">
        <v>48.551328124999998</v>
      </c>
      <c r="AZ19" s="42">
        <v>3964.85</v>
      </c>
      <c r="BA19" s="42">
        <v>2081.27</v>
      </c>
      <c r="BB19" s="42">
        <v>7.3879999999999999</v>
      </c>
      <c r="BC19" s="42">
        <v>24.148</v>
      </c>
      <c r="BE19" s="43">
        <f t="shared" si="14"/>
        <v>-4.1013428286196252E-4</v>
      </c>
      <c r="BF19" s="43">
        <f t="shared" si="15"/>
        <v>5.2486510154023391E-4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32944</v>
      </c>
    </row>
    <row r="20" spans="1:73">
      <c r="A20" s="25"/>
      <c r="B20" s="25" t="s">
        <v>281</v>
      </c>
      <c r="C20" s="26" t="s">
        <v>268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5.3419999999999996</v>
      </c>
      <c r="J20" s="28">
        <f t="shared" si="1"/>
        <v>0.10614461017155639</v>
      </c>
      <c r="K20" s="28">
        <f t="shared" si="2"/>
        <v>5.9846756658143242E-2</v>
      </c>
      <c r="L20" s="28">
        <f t="shared" si="3"/>
        <v>2.9249956811587978E-2</v>
      </c>
      <c r="M20" s="28">
        <f t="shared" si="4"/>
        <v>4.6294541875756587E-2</v>
      </c>
      <c r="N20" s="25">
        <f t="shared" si="5"/>
        <v>1927642.666666667</v>
      </c>
      <c r="O20" s="28">
        <f t="shared" si="6"/>
        <v>0.11309396178778489</v>
      </c>
      <c r="P20" s="29">
        <v>30230438</v>
      </c>
      <c r="Q20" s="29">
        <v>944701.1875</v>
      </c>
      <c r="R20" s="29">
        <v>27161</v>
      </c>
      <c r="S20" s="30">
        <v>3418880</v>
      </c>
      <c r="T20" s="30">
        <v>942130.66666666698</v>
      </c>
      <c r="U20" s="30">
        <v>985512</v>
      </c>
      <c r="V20" s="30">
        <v>1491130.66666667</v>
      </c>
      <c r="W20" s="31">
        <v>67.065771874999996</v>
      </c>
      <c r="X20" s="31">
        <v>68.733975000000001</v>
      </c>
      <c r="Y20" s="31">
        <v>30.882368750000001</v>
      </c>
      <c r="Z20" s="31">
        <v>39.533853125</v>
      </c>
      <c r="AA20" s="31">
        <v>38.395637499999999</v>
      </c>
      <c r="AB20" s="32">
        <v>5985.49</v>
      </c>
      <c r="AC20" s="32">
        <v>1526.07</v>
      </c>
      <c r="AD20" s="32">
        <v>8.0310000000000006</v>
      </c>
      <c r="AE20" s="32">
        <v>22.733000000000001</v>
      </c>
      <c r="AG20" s="27">
        <f t="shared" si="7"/>
        <v>5.3419999999999996</v>
      </c>
      <c r="AH20" s="28">
        <f t="shared" si="8"/>
        <v>0.10614461017155639</v>
      </c>
      <c r="AI20" s="28">
        <f t="shared" si="9"/>
        <v>5.9846756658143242E-2</v>
      </c>
      <c r="AJ20" s="28">
        <f t="shared" si="10"/>
        <v>2.9249956811587978E-2</v>
      </c>
      <c r="AK20" s="28">
        <f t="shared" si="11"/>
        <v>4.6294541875756587E-2</v>
      </c>
      <c r="AL20" s="25">
        <f t="shared" si="12"/>
        <v>1927642.666666667</v>
      </c>
      <c r="AM20" s="28">
        <f t="shared" si="13"/>
        <v>0.11309396178778489</v>
      </c>
      <c r="AN20" s="29">
        <v>30230438</v>
      </c>
      <c r="AO20" s="29">
        <v>944701.1875</v>
      </c>
      <c r="AP20" s="29">
        <v>27161</v>
      </c>
      <c r="AQ20" s="30">
        <v>3418880</v>
      </c>
      <c r="AR20" s="30">
        <v>942130.66666666698</v>
      </c>
      <c r="AS20" s="30">
        <v>985512</v>
      </c>
      <c r="AT20" s="30">
        <v>1491130.66666667</v>
      </c>
      <c r="AU20" s="31">
        <v>67.065771874999996</v>
      </c>
      <c r="AV20" s="31">
        <v>68.733975000000001</v>
      </c>
      <c r="AW20" s="31">
        <v>30.882368750000001</v>
      </c>
      <c r="AX20" s="31">
        <v>39.533853125</v>
      </c>
      <c r="AY20" s="31">
        <v>38.395637499999999</v>
      </c>
      <c r="AZ20" s="32">
        <v>2780.55</v>
      </c>
      <c r="BA20" s="32">
        <v>751.65599999999995</v>
      </c>
      <c r="BB20" s="32">
        <v>4.95</v>
      </c>
      <c r="BC20" s="32">
        <v>12.741</v>
      </c>
      <c r="BE20" s="33">
        <f t="shared" si="14"/>
        <v>0</v>
      </c>
      <c r="BF20" s="33">
        <f t="shared" si="15"/>
        <v>0</v>
      </c>
      <c r="BG20" s="33">
        <f t="array" ref="BG20">AVERAGE(AL20:AL24/AQ20:AQ24) - AVERAGE(N20:N24/S20:S24)</f>
        <v>0</v>
      </c>
      <c r="BI20" s="34">
        <f>IF( OR(ISBLANK(N20:N24),ISBLANK(AL20:AL24), ISBLANK(W20:W24),ISBLANK(AU20:AU24)), "·", bdRateExtend( N20:N24,W20:W24, AL20:AL24,AU20:AU24))</f>
        <v>0</v>
      </c>
      <c r="BJ20" s="34">
        <f>IF( OR(ISBLANK(N20:N24),ISBLANK(AL20:AL24), ISBLANK(X20:X24),ISBLANK(AV20:AV24)), "·", bdRateExtend( N20:N24,X20:X24, AL20:AL24,AV20:AV24))</f>
        <v>0</v>
      </c>
      <c r="BK20" s="34">
        <f>IF( OR(ISBLANK(V20:V24),ISBLANK(AT20:AT24), ISBLANK(Y20:Y24),ISBLANK(AW20:AW24)), "·", bdRateExtend( V20:V24,Y20:Y24, AT20:AT24,AW20:AW24))</f>
        <v>0</v>
      </c>
      <c r="BL20" s="34">
        <f>IF( OR(ISBLANK(V20:V24),ISBLANK(AT20:AT24), ISBLANK(Z20:Z24),ISBLANK(AX20:AX24)), "·", bdRateExtend( V20:V24,Z20:Z24, AT20:AT24,AX20:AX24))</f>
        <v>0</v>
      </c>
      <c r="BM20" s="34">
        <f>IF( OR(ISBLANK(V20:V24),ISBLANK(AT20:AT24), ISBLANK(AA20:AA24),ISBLANK(AY20:AY24)), "·", bdRateExtend( V20:V24,AA20:AA24, AT20:AT24,AY20:AY24))</f>
        <v>0</v>
      </c>
      <c r="BO20" s="34">
        <f>IF( OR(ISBLANK(S20:S24),ISBLANK(AQ20:AQ24), ISBLANK(W20:W24),ISBLANK(AU20:AU24)), "·", bdRateExtend( S20:S24,W20:W24, AQ20:AQ24,AU20:AU24))</f>
        <v>0</v>
      </c>
      <c r="BP20" s="34">
        <f>IF( OR(ISBLANK(S20:S24),ISBLANK(AQ20:AQ24), ISBLANK(X20:X24),ISBLANK(AV20:AV24)), "·", bdRateExtend( S20:S24,X20:X24, AQ20:AQ24,AV20:AV24))</f>
        <v>0</v>
      </c>
      <c r="BQ20" s="34">
        <f>IF( OR(ISBLANK(S20:S24),ISBLANK(AQ20:AQ24), ISBLANK(Y20:Y24),ISBLANK(AW20:AW24)), "·", bdRateExtend( S20:S24,Y20:Y24, AQ20:AQ24,AW20:AW24))</f>
        <v>0</v>
      </c>
      <c r="BR20" s="34">
        <f>IF( OR(ISBLANK(S20:S24),ISBLANK(AQ20:AQ24), ISBLANK(Z20:Z24),ISBLANK(AX20:AX24)), "·", bdRateExtend( S20:S24,Z20:Z24, AQ20:AQ24,AX20:AX24))</f>
        <v>0</v>
      </c>
      <c r="BS20" s="34">
        <f>IF( OR(ISBLANK(S20:S24),ISBLANK(AQ20:AQ24), ISBLANK(AA20:AA24),ISBLANK(AY20:AY24)), "·", bdRateExtend( S20:S24,AA20:AA24, AQ20:AQ24,AY20:AY24))</f>
        <v>0</v>
      </c>
      <c r="BU20" s="4">
        <f t="shared" si="16"/>
        <v>0</v>
      </c>
    </row>
    <row r="21" spans="1:73" outlineLevel="1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8.4036124999999995</v>
      </c>
      <c r="J21" s="18">
        <f t="shared" si="1"/>
        <v>0.16697831764232843</v>
      </c>
      <c r="K21" s="18">
        <f t="shared" si="2"/>
        <v>7.0820861524813233E-2</v>
      </c>
      <c r="L21" s="18">
        <f t="shared" si="3"/>
        <v>4.0224061678257969E-2</v>
      </c>
      <c r="M21" s="18">
        <f t="shared" si="4"/>
        <v>9.6154144479858705E-2</v>
      </c>
      <c r="N21" s="15">
        <f t="shared" si="5"/>
        <v>2281114.6666666698</v>
      </c>
      <c r="O21" s="18">
        <f t="shared" si="6"/>
        <v>0.17029318174636451</v>
      </c>
      <c r="P21" s="19">
        <v>31582662</v>
      </c>
      <c r="Q21" s="19">
        <v>986958.1875</v>
      </c>
      <c r="R21" s="19">
        <v>32537.78125</v>
      </c>
      <c r="S21" s="20">
        <v>5378312</v>
      </c>
      <c r="T21" s="20">
        <v>1295602.66666667</v>
      </c>
      <c r="U21" s="20">
        <v>985512</v>
      </c>
      <c r="V21" s="20">
        <v>3097090.6666666698</v>
      </c>
      <c r="W21" s="21">
        <v>68.659734374999999</v>
      </c>
      <c r="X21" s="21">
        <v>70.740428124999994</v>
      </c>
      <c r="Y21" s="21">
        <v>32.778812500000001</v>
      </c>
      <c r="Z21" s="21">
        <v>40.701953125000003</v>
      </c>
      <c r="AA21" s="21">
        <v>39.685953124999997</v>
      </c>
      <c r="AB21" s="22">
        <v>6049.52</v>
      </c>
      <c r="AC21" s="22">
        <v>1614.33</v>
      </c>
      <c r="AD21" s="22">
        <v>9.5519999999999996</v>
      </c>
      <c r="AE21" s="22">
        <v>24.149000000000001</v>
      </c>
      <c r="AG21" s="17">
        <f t="shared" si="7"/>
        <v>8.4036124999999995</v>
      </c>
      <c r="AH21" s="18">
        <f t="shared" si="8"/>
        <v>0.16697831764232843</v>
      </c>
      <c r="AI21" s="18">
        <f t="shared" si="9"/>
        <v>7.0820861524813233E-2</v>
      </c>
      <c r="AJ21" s="18">
        <f t="shared" si="10"/>
        <v>4.0224061678257969E-2</v>
      </c>
      <c r="AK21" s="18">
        <f t="shared" si="11"/>
        <v>9.6154144479858705E-2</v>
      </c>
      <c r="AL21" s="15">
        <f t="shared" si="12"/>
        <v>2281114.6666666698</v>
      </c>
      <c r="AM21" s="18">
        <f t="shared" si="13"/>
        <v>0.17029318174636451</v>
      </c>
      <c r="AN21" s="19">
        <v>31582662</v>
      </c>
      <c r="AO21" s="19">
        <v>986958.1875</v>
      </c>
      <c r="AP21" s="19">
        <v>32537.78125</v>
      </c>
      <c r="AQ21" s="20">
        <v>5378312</v>
      </c>
      <c r="AR21" s="20">
        <v>1295602.66666667</v>
      </c>
      <c r="AS21" s="20">
        <v>985512</v>
      </c>
      <c r="AT21" s="20">
        <v>3097090.6666666698</v>
      </c>
      <c r="AU21" s="21">
        <v>68.659734374999999</v>
      </c>
      <c r="AV21" s="21">
        <v>70.740428124999994</v>
      </c>
      <c r="AW21" s="21">
        <v>32.778812500000001</v>
      </c>
      <c r="AX21" s="21">
        <v>40.701953125000003</v>
      </c>
      <c r="AY21" s="21">
        <v>39.685953124999997</v>
      </c>
      <c r="AZ21" s="22">
        <v>3108.38</v>
      </c>
      <c r="BA21" s="22">
        <v>854.47299999999996</v>
      </c>
      <c r="BB21" s="22">
        <v>7.7930000000000001</v>
      </c>
      <c r="BC21" s="22">
        <v>14.867000000000001</v>
      </c>
      <c r="BE21" s="23">
        <f t="shared" si="14"/>
        <v>0</v>
      </c>
      <c r="BF21" s="23">
        <f t="shared" si="15"/>
        <v>0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0</v>
      </c>
    </row>
    <row r="22" spans="1:73" outlineLevel="1">
      <c r="A22" s="25"/>
      <c r="B22" s="25" t="s">
        <v>281</v>
      </c>
      <c r="C22" s="26" t="s">
        <v>270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13.930987500000001</v>
      </c>
      <c r="J22" s="28">
        <f t="shared" si="1"/>
        <v>0.27680629679751495</v>
      </c>
      <c r="K22" s="28">
        <f t="shared" si="2"/>
        <v>8.7322503595170853E-2</v>
      </c>
      <c r="L22" s="28">
        <f t="shared" si="3"/>
        <v>5.6725703748615595E-2</v>
      </c>
      <c r="M22" s="28">
        <f t="shared" si="4"/>
        <v>0.18948048156468764</v>
      </c>
      <c r="N22" s="25">
        <f t="shared" si="5"/>
        <v>2812626.6666666698</v>
      </c>
      <c r="O22" s="28">
        <f t="shared" si="6"/>
        <v>0.27091101927633854</v>
      </c>
      <c r="P22" s="29">
        <v>32910555</v>
      </c>
      <c r="Q22" s="29">
        <v>1028454.84375</v>
      </c>
      <c r="R22" s="29">
        <v>34769.59375</v>
      </c>
      <c r="S22" s="30">
        <v>8915832</v>
      </c>
      <c r="T22" s="30">
        <v>1827114.66666667</v>
      </c>
      <c r="U22" s="30">
        <v>985512</v>
      </c>
      <c r="V22" s="30">
        <v>6103098.6666666698</v>
      </c>
      <c r="W22" s="31">
        <v>69.831643749999998</v>
      </c>
      <c r="X22" s="31">
        <v>72.240359374999997</v>
      </c>
      <c r="Y22" s="31">
        <v>34.624715625</v>
      </c>
      <c r="Z22" s="31">
        <v>41.744956250000001</v>
      </c>
      <c r="AA22" s="31">
        <v>40.748353125000001</v>
      </c>
      <c r="AB22" s="32">
        <v>5944.61</v>
      </c>
      <c r="AC22" s="32">
        <v>1805.02</v>
      </c>
      <c r="AD22" s="32">
        <v>8.4169999999999998</v>
      </c>
      <c r="AE22" s="32">
        <v>23.507000000000001</v>
      </c>
      <c r="AG22" s="27">
        <f t="shared" si="7"/>
        <v>13.930987500000001</v>
      </c>
      <c r="AH22" s="28">
        <f t="shared" si="8"/>
        <v>0.27680629679751495</v>
      </c>
      <c r="AI22" s="28">
        <f t="shared" si="9"/>
        <v>8.7322503595170853E-2</v>
      </c>
      <c r="AJ22" s="28">
        <f t="shared" si="10"/>
        <v>5.6725703748615595E-2</v>
      </c>
      <c r="AK22" s="28">
        <f t="shared" si="11"/>
        <v>0.18948048156468764</v>
      </c>
      <c r="AL22" s="25">
        <f t="shared" si="12"/>
        <v>2812626.6666666698</v>
      </c>
      <c r="AM22" s="28">
        <f t="shared" si="13"/>
        <v>0.27091101927633854</v>
      </c>
      <c r="AN22" s="29">
        <v>32910555</v>
      </c>
      <c r="AO22" s="29">
        <v>1028454.84375</v>
      </c>
      <c r="AP22" s="29">
        <v>34769.59375</v>
      </c>
      <c r="AQ22" s="30">
        <v>8915832</v>
      </c>
      <c r="AR22" s="30">
        <v>1827114.66666667</v>
      </c>
      <c r="AS22" s="30">
        <v>985512</v>
      </c>
      <c r="AT22" s="30">
        <v>6103098.6666666698</v>
      </c>
      <c r="AU22" s="31">
        <v>69.831643749999998</v>
      </c>
      <c r="AV22" s="31">
        <v>72.240359374999997</v>
      </c>
      <c r="AW22" s="31">
        <v>34.624715625</v>
      </c>
      <c r="AX22" s="31">
        <v>41.744956250000001</v>
      </c>
      <c r="AY22" s="31">
        <v>40.748353125000001</v>
      </c>
      <c r="AZ22" s="32">
        <v>3029.47</v>
      </c>
      <c r="BA22" s="32">
        <v>926.50400000000002</v>
      </c>
      <c r="BB22" s="32">
        <v>5.1920000000000002</v>
      </c>
      <c r="BC22" s="32">
        <v>13.493</v>
      </c>
      <c r="BE22" s="33">
        <f t="shared" si="14"/>
        <v>0</v>
      </c>
      <c r="BF22" s="33">
        <f t="shared" si="15"/>
        <v>0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0</v>
      </c>
    </row>
    <row r="23" spans="1:73" outlineLevel="1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24.304987499999999</v>
      </c>
      <c r="J23" s="18">
        <f t="shared" si="1"/>
        <v>0.48293587109922331</v>
      </c>
      <c r="K23" s="18">
        <f t="shared" si="2"/>
        <v>0.11576193709028908</v>
      </c>
      <c r="L23" s="18">
        <f t="shared" si="3"/>
        <v>8.5165137243733799E-2</v>
      </c>
      <c r="M23" s="18">
        <f t="shared" si="4"/>
        <v>0.36717062237127868</v>
      </c>
      <c r="N23" s="15">
        <f t="shared" si="5"/>
        <v>3728650.6666666698</v>
      </c>
      <c r="O23" s="18">
        <f t="shared" si="6"/>
        <v>0.47201717654007397</v>
      </c>
      <c r="P23" s="19">
        <v>32954716</v>
      </c>
      <c r="Q23" s="19">
        <v>1029834.875</v>
      </c>
      <c r="R23" s="19">
        <v>36665.46875</v>
      </c>
      <c r="S23" s="20">
        <v>15555192</v>
      </c>
      <c r="T23" s="20">
        <v>2743138.6666666698</v>
      </c>
      <c r="U23" s="20">
        <v>985512</v>
      </c>
      <c r="V23" s="20">
        <v>11826434.6666667</v>
      </c>
      <c r="W23" s="21">
        <v>70.837203125000002</v>
      </c>
      <c r="X23" s="21">
        <v>73.567968750000006</v>
      </c>
      <c r="Y23" s="21">
        <v>36.275565624999999</v>
      </c>
      <c r="Z23" s="21">
        <v>42.939684374999999</v>
      </c>
      <c r="AA23" s="21">
        <v>41.844209374999998</v>
      </c>
      <c r="AB23" s="22">
        <v>6005.18</v>
      </c>
      <c r="AC23" s="22">
        <v>1831.79</v>
      </c>
      <c r="AD23" s="22">
        <v>7.4429999999999996</v>
      </c>
      <c r="AE23" s="22">
        <v>22.957000000000001</v>
      </c>
      <c r="AG23" s="17">
        <f t="shared" si="7"/>
        <v>24.304987499999999</v>
      </c>
      <c r="AH23" s="18">
        <f t="shared" si="8"/>
        <v>0.48293587109922331</v>
      </c>
      <c r="AI23" s="18">
        <f t="shared" si="9"/>
        <v>0.11576193709028908</v>
      </c>
      <c r="AJ23" s="18">
        <f t="shared" si="10"/>
        <v>8.5165137243733799E-2</v>
      </c>
      <c r="AK23" s="18">
        <f t="shared" si="11"/>
        <v>0.36717062237127868</v>
      </c>
      <c r="AL23" s="15">
        <f t="shared" si="12"/>
        <v>3728650.6666666698</v>
      </c>
      <c r="AM23" s="18">
        <f t="shared" si="13"/>
        <v>0.47201717654007397</v>
      </c>
      <c r="AN23" s="19">
        <v>32954716</v>
      </c>
      <c r="AO23" s="19">
        <v>1029834.875</v>
      </c>
      <c r="AP23" s="19">
        <v>36665.46875</v>
      </c>
      <c r="AQ23" s="20">
        <v>15555192</v>
      </c>
      <c r="AR23" s="20">
        <v>2743138.6666666698</v>
      </c>
      <c r="AS23" s="20">
        <v>985512</v>
      </c>
      <c r="AT23" s="20">
        <v>11826434.6666667</v>
      </c>
      <c r="AU23" s="21">
        <v>70.837203125000002</v>
      </c>
      <c r="AV23" s="21">
        <v>73.567968750000006</v>
      </c>
      <c r="AW23" s="21">
        <v>36.275565624999999</v>
      </c>
      <c r="AX23" s="21">
        <v>42.939684374999999</v>
      </c>
      <c r="AY23" s="21">
        <v>41.844209374999998</v>
      </c>
      <c r="AZ23" s="22">
        <v>4169.57</v>
      </c>
      <c r="BA23" s="22">
        <v>1368.07</v>
      </c>
      <c r="BB23" s="22">
        <v>6.375</v>
      </c>
      <c r="BC23" s="22">
        <v>16.513999999999999</v>
      </c>
      <c r="BE23" s="23">
        <f t="shared" si="14"/>
        <v>0</v>
      </c>
      <c r="BF23" s="23">
        <f t="shared" si="15"/>
        <v>0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0</v>
      </c>
    </row>
    <row r="24" spans="1:73" ht="15" outlineLevel="1" thickBot="1">
      <c r="A24" s="45"/>
      <c r="B24" s="45" t="s">
        <v>281</v>
      </c>
      <c r="C24" s="46" t="s">
        <v>272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41.250987500000001</v>
      </c>
      <c r="J24" s="48">
        <f t="shared" si="1"/>
        <v>0.81964994147870562</v>
      </c>
      <c r="K24" s="48">
        <f t="shared" si="2"/>
        <v>0.19082641389929933</v>
      </c>
      <c r="L24" s="48">
        <f t="shared" si="3"/>
        <v>0.13218459660253515</v>
      </c>
      <c r="M24" s="48">
        <f t="shared" si="4"/>
        <v>0.62882021594175075</v>
      </c>
      <c r="N24" s="45">
        <f t="shared" si="5"/>
        <v>6146450.6666666698</v>
      </c>
      <c r="O24" s="48">
        <f t="shared" si="6"/>
        <v>0.83586205630124377</v>
      </c>
      <c r="P24" s="49">
        <v>31584915</v>
      </c>
      <c r="Q24" s="49">
        <v>987028.59375</v>
      </c>
      <c r="R24" s="49">
        <v>18072.71875</v>
      </c>
      <c r="S24" s="50">
        <v>26400632</v>
      </c>
      <c r="T24" s="50">
        <v>4257618.6666666698</v>
      </c>
      <c r="U24" s="50">
        <v>1888832</v>
      </c>
      <c r="V24" s="50">
        <v>20254074.666666701</v>
      </c>
      <c r="W24" s="51">
        <v>71.893762499999994</v>
      </c>
      <c r="X24" s="51">
        <v>75.707471874999996</v>
      </c>
      <c r="Y24" s="51">
        <v>37.303737499999997</v>
      </c>
      <c r="Z24" s="51">
        <v>43.797081249999998</v>
      </c>
      <c r="AA24" s="51">
        <v>42.424003124999999</v>
      </c>
      <c r="AB24" s="52">
        <v>5904.1</v>
      </c>
      <c r="AC24" s="52">
        <v>1915.69</v>
      </c>
      <c r="AD24" s="52">
        <v>8.9320000000000004</v>
      </c>
      <c r="AE24" s="52">
        <v>22.72</v>
      </c>
      <c r="AG24" s="47">
        <f t="shared" si="7"/>
        <v>41.250987500000001</v>
      </c>
      <c r="AH24" s="48">
        <f t="shared" si="8"/>
        <v>0.81964994147870562</v>
      </c>
      <c r="AI24" s="48">
        <f t="shared" si="9"/>
        <v>0.19082641389929933</v>
      </c>
      <c r="AJ24" s="48">
        <f t="shared" si="10"/>
        <v>0.13218459660253515</v>
      </c>
      <c r="AK24" s="48">
        <f t="shared" si="11"/>
        <v>0.62882021594175075</v>
      </c>
      <c r="AL24" s="45">
        <f t="shared" si="12"/>
        <v>6146450.6666666698</v>
      </c>
      <c r="AM24" s="48">
        <f t="shared" si="13"/>
        <v>0.83586205630124377</v>
      </c>
      <c r="AN24" s="49">
        <v>31584915</v>
      </c>
      <c r="AO24" s="49">
        <v>987028.59375</v>
      </c>
      <c r="AP24" s="49">
        <v>18072.71875</v>
      </c>
      <c r="AQ24" s="50">
        <v>26400632</v>
      </c>
      <c r="AR24" s="50">
        <v>4257618.6666666698</v>
      </c>
      <c r="AS24" s="50">
        <v>1888832</v>
      </c>
      <c r="AT24" s="50">
        <v>20254074.666666701</v>
      </c>
      <c r="AU24" s="51">
        <v>71.893762499999994</v>
      </c>
      <c r="AV24" s="51">
        <v>75.707471874999996</v>
      </c>
      <c r="AW24" s="51">
        <v>37.303737499999997</v>
      </c>
      <c r="AX24" s="51">
        <v>43.797081249999998</v>
      </c>
      <c r="AY24" s="51">
        <v>42.424003124999999</v>
      </c>
      <c r="AZ24" s="52">
        <v>3017.44</v>
      </c>
      <c r="BA24" s="52">
        <v>1036.1099999999999</v>
      </c>
      <c r="BB24" s="52">
        <v>4.0990000000000002</v>
      </c>
      <c r="BC24" s="52">
        <v>11.893000000000001</v>
      </c>
      <c r="BE24" s="53">
        <f t="shared" si="14"/>
        <v>0</v>
      </c>
      <c r="BF24" s="53">
        <f t="shared" si="15"/>
        <v>0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0</v>
      </c>
    </row>
    <row r="25" spans="1:73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4.7646075000000003</v>
      </c>
      <c r="J25" s="18">
        <f t="shared" si="1"/>
        <v>0.20078089765304036</v>
      </c>
      <c r="K25" s="18">
        <f t="shared" si="2"/>
        <v>7.0246760666415733E-2</v>
      </c>
      <c r="L25" s="18">
        <f t="shared" si="3"/>
        <v>3.7841783629067094E-2</v>
      </c>
      <c r="M25" s="18">
        <f t="shared" si="4"/>
        <v>0.13052992297953911</v>
      </c>
      <c r="N25" s="15">
        <f t="shared" si="5"/>
        <v>1778114.666666667</v>
      </c>
      <c r="O25" s="18">
        <f t="shared" si="6"/>
        <v>0.22050420716422345</v>
      </c>
      <c r="P25" s="19">
        <v>23048304</v>
      </c>
      <c r="Q25" s="19">
        <v>720259.5</v>
      </c>
      <c r="R25" s="19">
        <v>17692.46875</v>
      </c>
      <c r="S25" s="20">
        <v>5082248</v>
      </c>
      <c r="T25" s="20">
        <v>957866.66666666698</v>
      </c>
      <c r="U25" s="20">
        <v>820248</v>
      </c>
      <c r="V25" s="20">
        <v>3304026.6666666698</v>
      </c>
      <c r="W25" s="21">
        <v>66.198771875000006</v>
      </c>
      <c r="X25" s="21">
        <v>68.019659375000003</v>
      </c>
      <c r="Y25" s="21">
        <v>27.512149999999998</v>
      </c>
      <c r="Z25" s="21">
        <v>33.292087500000001</v>
      </c>
      <c r="AA25" s="21">
        <v>32.735662499999997</v>
      </c>
      <c r="AB25" s="22">
        <v>4588.1400000000003</v>
      </c>
      <c r="AC25" s="22">
        <v>2147.77</v>
      </c>
      <c r="AD25" s="22">
        <v>11.869</v>
      </c>
      <c r="AE25" s="22">
        <v>34.649000000000001</v>
      </c>
      <c r="AG25" s="17">
        <f t="shared" si="7"/>
        <v>4.7024474999999999</v>
      </c>
      <c r="AH25" s="18">
        <f t="shared" si="8"/>
        <v>0.19816147084860516</v>
      </c>
      <c r="AI25" s="18">
        <f t="shared" si="9"/>
        <v>6.961592380569509E-2</v>
      </c>
      <c r="AJ25" s="18">
        <f t="shared" si="10"/>
        <v>3.770366954683517E-2</v>
      </c>
      <c r="AK25" s="18">
        <f t="shared" si="11"/>
        <v>0.12854133303582455</v>
      </c>
      <c r="AL25" s="15">
        <f t="shared" si="12"/>
        <v>1762146.666666667</v>
      </c>
      <c r="AM25" s="18">
        <f t="shared" si="13"/>
        <v>0.21862072232901314</v>
      </c>
      <c r="AN25" s="19">
        <v>22943589</v>
      </c>
      <c r="AO25" s="19">
        <v>716987.15625</v>
      </c>
      <c r="AP25" s="19">
        <v>16957.03125</v>
      </c>
      <c r="AQ25" s="20">
        <v>5015944</v>
      </c>
      <c r="AR25" s="20">
        <v>954370.66666666698</v>
      </c>
      <c r="AS25" s="20">
        <v>807776</v>
      </c>
      <c r="AT25" s="20">
        <v>3253690.6666666698</v>
      </c>
      <c r="AU25" s="21">
        <v>66.188337500000003</v>
      </c>
      <c r="AV25" s="21">
        <v>68.025690624999996</v>
      </c>
      <c r="AW25" s="21">
        <v>27.492265625000002</v>
      </c>
      <c r="AX25" s="21">
        <v>33.271618750000002</v>
      </c>
      <c r="AY25" s="21">
        <v>32.724562499999998</v>
      </c>
      <c r="AZ25" s="22">
        <v>2128.3000000000002</v>
      </c>
      <c r="BA25" s="22">
        <v>916.96799999999996</v>
      </c>
      <c r="BB25" s="22">
        <v>4.3659999999999997</v>
      </c>
      <c r="BC25" s="22">
        <v>15.601000000000001</v>
      </c>
      <c r="BE25" s="23">
        <f t="shared" si="14"/>
        <v>-9.1362247848920247E-4</v>
      </c>
      <c r="BF25" s="23">
        <f t="shared" si="15"/>
        <v>1.4413301299340264E-3</v>
      </c>
      <c r="BG25" s="23">
        <f t="array" ref="BG25">AVERAGE(AL25:AL29/AQ25:AQ29) - AVERAGE(N25:N29/S25:S29)</f>
        <v>4.2130057812883592E-4</v>
      </c>
      <c r="BI25" s="24">
        <f>IF( OR(ISBLANK(N25:N29),ISBLANK(AL25:AL29), ISBLANK(W25:W29),ISBLANK(AU25:AU29)), "·", bdRateExtend( N25:N29,W25:W29, AL25:AL29,AU25:AU29))</f>
        <v>-6.6380077027456963E-3</v>
      </c>
      <c r="BJ25" s="24">
        <f>IF( OR(ISBLANK(N25:N29),ISBLANK(AL25:AL29), ISBLANK(X25:X29),ISBLANK(AV25:AV29)), "·", bdRateExtend( N25:N29,X25:X29, AL25:AL29,AV25:AV29))</f>
        <v>-8.7623472018437676E-3</v>
      </c>
      <c r="BK25" s="24">
        <f>IF( OR(ISBLANK(V25:V29),ISBLANK(AT25:AT29), ISBLANK(Y25:Y29),ISBLANK(AW25:AW29)), "·", bdRateExtend( V25:V29,Y25:Y29, AT25:AT29,AW25:AW29))</f>
        <v>-5.4068436779204365E-3</v>
      </c>
      <c r="BL25" s="24">
        <f>IF( OR(ISBLANK(V25:V29),ISBLANK(AT25:AT29), ISBLANK(Z25:Z29),ISBLANK(AX25:AX29)), "·", bdRateExtend( V25:V29,Z25:Z29, AT25:AT29,AX25:AX29))</f>
        <v>-2.6355584632326012E-3</v>
      </c>
      <c r="BM25" s="24">
        <f>IF( OR(ISBLANK(V25:V29),ISBLANK(AT25:AT29), ISBLANK(AA25:AA29),ISBLANK(AY25:AY29)), "·", bdRateExtend( V25:V29,AA25:AA29, AT25:AT29,AY25:AY29))</f>
        <v>-2.1522248245733344E-3</v>
      </c>
      <c r="BO25" s="24">
        <f>IF( OR(ISBLANK(S25:S29),ISBLANK(AQ25:AQ29), ISBLANK(W25:W29),ISBLANK(AU25:AU29)), "·", bdRateExtend( S25:S29,W25:W29, AQ25:AQ29,AU25:AU29))</f>
        <v>-7.797012223919042E-3</v>
      </c>
      <c r="BP25" s="24">
        <f>IF( OR(ISBLANK(S25:S29),ISBLANK(AQ25:AQ29), ISBLANK(X25:X29),ISBLANK(AV25:AV29)), "·", bdRateExtend( S25:S29,X25:X29, AQ25:AQ29,AV25:AV29))</f>
        <v>-1.1406044268436499E-2</v>
      </c>
      <c r="BQ25" s="24">
        <f>IF( OR(ISBLANK(S25:S29),ISBLANK(AQ25:AQ29), ISBLANK(Y25:Y29),ISBLANK(AW25:AW29)), "·", bdRateExtend( S25:S29,Y25:Y29, AQ25:AQ29,AW25:AW29))</f>
        <v>-5.5242347871514719E-3</v>
      </c>
      <c r="BR25" s="24">
        <f>IF( OR(ISBLANK(S25:S29),ISBLANK(AQ25:AQ29), ISBLANK(Z25:Z29),ISBLANK(AX25:AX29)), "·", bdRateExtend( S25:S29,Z25:Z29, AQ25:AQ29,AX25:AX29))</f>
        <v>-2.9593564614169843E-3</v>
      </c>
      <c r="BS25" s="24">
        <f>IF( OR(ISBLANK(S25:S29),ISBLANK(AQ25:AQ29), ISBLANK(AA25:AA29),ISBLANK(AY25:AY29)), "·", bdRateExtend( S25:S29,AA25:AA29, AQ25:AQ29,AY25:AY29))</f>
        <v>-2.4106730739111848E-3</v>
      </c>
      <c r="BU25" s="4">
        <f t="shared" si="16"/>
        <v>-66304</v>
      </c>
    </row>
    <row r="26" spans="1:73" outlineLevel="1">
      <c r="A26" s="25"/>
      <c r="B26" s="25" t="s">
        <v>284</v>
      </c>
      <c r="C26" s="26" t="s">
        <v>269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8.1816975000000003</v>
      </c>
      <c r="J26" s="28">
        <f t="shared" si="1"/>
        <v>0.34477731237581188</v>
      </c>
      <c r="K26" s="28">
        <f t="shared" si="2"/>
        <v>8.4982300643489536E-2</v>
      </c>
      <c r="L26" s="28">
        <f t="shared" si="3"/>
        <v>5.257732360614091E-2</v>
      </c>
      <c r="M26" s="28">
        <f t="shared" si="4"/>
        <v>0.25979079772523694</v>
      </c>
      <c r="N26" s="25">
        <f t="shared" si="5"/>
        <v>2151106.6666666698</v>
      </c>
      <c r="O26" s="28">
        <f t="shared" si="6"/>
        <v>0.34963192702584561</v>
      </c>
      <c r="P26" s="29">
        <v>24960947</v>
      </c>
      <c r="Q26" s="29">
        <v>780029.59375</v>
      </c>
      <c r="R26" s="29">
        <v>23053.84375</v>
      </c>
      <c r="S26" s="30">
        <v>8727144</v>
      </c>
      <c r="T26" s="30">
        <v>1330858.66666667</v>
      </c>
      <c r="U26" s="30">
        <v>820248</v>
      </c>
      <c r="V26" s="30">
        <v>6575930.6666666698</v>
      </c>
      <c r="W26" s="31">
        <v>68.025103125000001</v>
      </c>
      <c r="X26" s="31">
        <v>69.987703124999996</v>
      </c>
      <c r="Y26" s="31">
        <v>29.925571874999999</v>
      </c>
      <c r="Z26" s="31">
        <v>34.472450000000002</v>
      </c>
      <c r="AA26" s="31">
        <v>34.057806249999999</v>
      </c>
      <c r="AB26" s="32">
        <v>4659.1499999999996</v>
      </c>
      <c r="AC26" s="32">
        <v>2205.9899999999998</v>
      </c>
      <c r="AD26" s="32">
        <v>8.5389999999999997</v>
      </c>
      <c r="AE26" s="32">
        <v>32.780999999999999</v>
      </c>
      <c r="AG26" s="27">
        <f t="shared" si="7"/>
        <v>8.1052800000000005</v>
      </c>
      <c r="AH26" s="28">
        <f t="shared" si="8"/>
        <v>0.34155707351114123</v>
      </c>
      <c r="AI26" s="28">
        <f t="shared" si="9"/>
        <v>8.4206080538314243E-2</v>
      </c>
      <c r="AJ26" s="28">
        <f t="shared" si="10"/>
        <v>5.2293826279454329E-2</v>
      </c>
      <c r="AK26" s="28">
        <f t="shared" si="11"/>
        <v>0.2573467789657416</v>
      </c>
      <c r="AL26" s="25">
        <f t="shared" si="12"/>
        <v>2131458.6666666698</v>
      </c>
      <c r="AM26" s="28">
        <f t="shared" si="13"/>
        <v>0.3470702626806671</v>
      </c>
      <c r="AN26" s="29">
        <v>24910322</v>
      </c>
      <c r="AO26" s="29">
        <v>778447.5625</v>
      </c>
      <c r="AP26" s="29">
        <v>22364.375</v>
      </c>
      <c r="AQ26" s="30">
        <v>8645632</v>
      </c>
      <c r="AR26" s="30">
        <v>1323682.66666667</v>
      </c>
      <c r="AS26" s="30">
        <v>807776</v>
      </c>
      <c r="AT26" s="30">
        <v>6514066.6666666698</v>
      </c>
      <c r="AU26" s="31">
        <v>68.016528124999994</v>
      </c>
      <c r="AV26" s="31">
        <v>69.989903124999998</v>
      </c>
      <c r="AW26" s="31">
        <v>29.910231249999999</v>
      </c>
      <c r="AX26" s="31">
        <v>34.460487499999999</v>
      </c>
      <c r="AY26" s="31">
        <v>34.047587499999999</v>
      </c>
      <c r="AZ26" s="32">
        <v>2619.27</v>
      </c>
      <c r="BA26" s="32">
        <v>1050.46</v>
      </c>
      <c r="BB26" s="32">
        <v>4.3899999999999997</v>
      </c>
      <c r="BC26" s="32">
        <v>17.169</v>
      </c>
      <c r="BE26" s="33">
        <f t="shared" si="14"/>
        <v>-8.2563258876695161E-4</v>
      </c>
      <c r="BF26" s="33">
        <f t="shared" si="15"/>
        <v>5.1292185084317321E-5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-81512</v>
      </c>
    </row>
    <row r="27" spans="1:73" outlineLevel="1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14.7845925</v>
      </c>
      <c r="J27" s="18">
        <f t="shared" si="1"/>
        <v>0.62302377553332733</v>
      </c>
      <c r="K27" s="18">
        <f t="shared" si="2"/>
        <v>0.10626261502527416</v>
      </c>
      <c r="L27" s="18">
        <f t="shared" si="3"/>
        <v>7.3857637987925523E-2</v>
      </c>
      <c r="M27" s="18">
        <f t="shared" si="4"/>
        <v>0.51675694650096904</v>
      </c>
      <c r="N27" s="15">
        <f t="shared" si="5"/>
        <v>2689762.6666666698</v>
      </c>
      <c r="O27" s="18">
        <f t="shared" si="6"/>
        <v>0.62250191721454184</v>
      </c>
      <c r="P27" s="19">
        <v>25333628</v>
      </c>
      <c r="Q27" s="19">
        <v>791675.875</v>
      </c>
      <c r="R27" s="19">
        <v>24565.9375</v>
      </c>
      <c r="S27" s="20">
        <v>15770232</v>
      </c>
      <c r="T27" s="20">
        <v>1869514.66666667</v>
      </c>
      <c r="U27" s="20">
        <v>820248</v>
      </c>
      <c r="V27" s="20">
        <v>13080362.6666667</v>
      </c>
      <c r="W27" s="21">
        <v>69.401081250000004</v>
      </c>
      <c r="X27" s="21">
        <v>71.728734375000002</v>
      </c>
      <c r="Y27" s="21">
        <v>32.426196875000002</v>
      </c>
      <c r="Z27" s="21">
        <v>35.740456250000001</v>
      </c>
      <c r="AA27" s="21">
        <v>35.406509374999999</v>
      </c>
      <c r="AB27" s="22">
        <v>4630.49</v>
      </c>
      <c r="AC27" s="22">
        <v>2444.7800000000002</v>
      </c>
      <c r="AD27" s="22">
        <v>7.625</v>
      </c>
      <c r="AE27" s="22">
        <v>30.425999999999998</v>
      </c>
      <c r="AG27" s="17">
        <f t="shared" si="7"/>
        <v>14.6541525</v>
      </c>
      <c r="AH27" s="18">
        <f t="shared" si="8"/>
        <v>0.61752702469081566</v>
      </c>
      <c r="AI27" s="18">
        <f t="shared" si="9"/>
        <v>0.1054705923935277</v>
      </c>
      <c r="AJ27" s="18">
        <f t="shared" si="10"/>
        <v>7.3558338134667792E-2</v>
      </c>
      <c r="AK27" s="18">
        <f t="shared" si="11"/>
        <v>0.51205221829020375</v>
      </c>
      <c r="AL27" s="15">
        <f t="shared" si="12"/>
        <v>2669714.6666666698</v>
      </c>
      <c r="AM27" s="18">
        <f t="shared" si="13"/>
        <v>0.61871687197417014</v>
      </c>
      <c r="AN27" s="19">
        <v>25263730</v>
      </c>
      <c r="AO27" s="19">
        <v>789491.5625</v>
      </c>
      <c r="AP27" s="19">
        <v>23753.8125</v>
      </c>
      <c r="AQ27" s="20">
        <v>15631096</v>
      </c>
      <c r="AR27" s="20">
        <v>1861938.66666667</v>
      </c>
      <c r="AS27" s="20">
        <v>807776</v>
      </c>
      <c r="AT27" s="20">
        <v>12961274.6666667</v>
      </c>
      <c r="AU27" s="21">
        <v>69.394446875</v>
      </c>
      <c r="AV27" s="21">
        <v>71.733012500000001</v>
      </c>
      <c r="AW27" s="21">
        <v>32.411193750000002</v>
      </c>
      <c r="AX27" s="21">
        <v>35.725225000000002</v>
      </c>
      <c r="AY27" s="21">
        <v>35.386656250000001</v>
      </c>
      <c r="AZ27" s="22">
        <v>3268.77</v>
      </c>
      <c r="BA27" s="22">
        <v>1521.1</v>
      </c>
      <c r="BB27" s="22">
        <v>5.6310000000000002</v>
      </c>
      <c r="BC27" s="22">
        <v>20.663</v>
      </c>
      <c r="BE27" s="23">
        <f t="shared" si="14"/>
        <v>-9.4281581947135498E-4</v>
      </c>
      <c r="BF27" s="23">
        <f t="shared" si="15"/>
        <v>2.3561781383982239E-4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-139136</v>
      </c>
    </row>
    <row r="28" spans="1:73" outlineLevel="1">
      <c r="A28" s="25"/>
      <c r="B28" s="25" t="s">
        <v>284</v>
      </c>
      <c r="C28" s="26" t="s">
        <v>271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28.006852500000001</v>
      </c>
      <c r="J28" s="28">
        <f t="shared" si="1"/>
        <v>1.1802107488153637</v>
      </c>
      <c r="K28" s="28">
        <f t="shared" si="2"/>
        <v>0.14123834708521882</v>
      </c>
      <c r="L28" s="28">
        <f t="shared" si="3"/>
        <v>0.10883337004787019</v>
      </c>
      <c r="M28" s="28">
        <f t="shared" si="4"/>
        <v>1.0389681877230605</v>
      </c>
      <c r="N28" s="25">
        <f t="shared" si="5"/>
        <v>3575082.6666666698</v>
      </c>
      <c r="O28" s="28">
        <f t="shared" si="6"/>
        <v>1.1360569414678838</v>
      </c>
      <c r="P28" s="29">
        <v>26296196</v>
      </c>
      <c r="Q28" s="29">
        <v>821756.125</v>
      </c>
      <c r="R28" s="29">
        <v>28034.46875</v>
      </c>
      <c r="S28" s="30">
        <v>29873976</v>
      </c>
      <c r="T28" s="30">
        <v>2754834.6666666698</v>
      </c>
      <c r="U28" s="30">
        <v>820248</v>
      </c>
      <c r="V28" s="30">
        <v>26298786.666666701</v>
      </c>
      <c r="W28" s="31">
        <v>70.442003124999999</v>
      </c>
      <c r="X28" s="31">
        <v>73.004021875000007</v>
      </c>
      <c r="Y28" s="31">
        <v>34.889843749999997</v>
      </c>
      <c r="Z28" s="31">
        <v>37.560703125000003</v>
      </c>
      <c r="AA28" s="31">
        <v>37.173903125000002</v>
      </c>
      <c r="AB28" s="32">
        <v>4573.29</v>
      </c>
      <c r="AC28" s="32">
        <v>2498.08</v>
      </c>
      <c r="AD28" s="32">
        <v>7.35</v>
      </c>
      <c r="AE28" s="32">
        <v>34.679000000000002</v>
      </c>
      <c r="AG28" s="27">
        <f t="shared" si="7"/>
        <v>27.818850000000001</v>
      </c>
      <c r="AH28" s="28">
        <f t="shared" si="8"/>
        <v>1.172288310144179</v>
      </c>
      <c r="AI28" s="28">
        <f t="shared" si="9"/>
        <v>0.14073930329610165</v>
      </c>
      <c r="AJ28" s="28">
        <f t="shared" si="10"/>
        <v>0.10882704903724173</v>
      </c>
      <c r="AK28" s="28">
        <f t="shared" si="11"/>
        <v>1.0315447928409933</v>
      </c>
      <c r="AL28" s="25">
        <f t="shared" si="12"/>
        <v>3562450.6666666698</v>
      </c>
      <c r="AM28" s="28">
        <f t="shared" si="13"/>
        <v>1.1329628855827161</v>
      </c>
      <c r="AN28" s="29">
        <v>26191008</v>
      </c>
      <c r="AO28" s="29">
        <v>818469</v>
      </c>
      <c r="AP28" s="29">
        <v>27045</v>
      </c>
      <c r="AQ28" s="30">
        <v>29673440</v>
      </c>
      <c r="AR28" s="30">
        <v>2754674.6666666698</v>
      </c>
      <c r="AS28" s="30">
        <v>807776</v>
      </c>
      <c r="AT28" s="30">
        <v>26110882.666666701</v>
      </c>
      <c r="AU28" s="31">
        <v>70.457109375000002</v>
      </c>
      <c r="AV28" s="31">
        <v>73.018118749999999</v>
      </c>
      <c r="AW28" s="31">
        <v>34.880259375000001</v>
      </c>
      <c r="AX28" s="31">
        <v>37.548418750000003</v>
      </c>
      <c r="AY28" s="31">
        <v>37.157228125000003</v>
      </c>
      <c r="AZ28" s="32">
        <v>2143.91</v>
      </c>
      <c r="BA28" s="32">
        <v>1224.8699999999999</v>
      </c>
      <c r="BB28" s="32">
        <v>4.6849999999999996</v>
      </c>
      <c r="BC28" s="32">
        <v>17.655000000000001</v>
      </c>
      <c r="BE28" s="33">
        <f t="shared" si="14"/>
        <v>-1.0719128597550809E-3</v>
      </c>
      <c r="BF28" s="33">
        <f t="shared" si="15"/>
        <v>3.8305543468963865E-4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-200536</v>
      </c>
    </row>
    <row r="29" spans="1:73" ht="15" outlineLevel="1" thickBot="1">
      <c r="A29" s="35"/>
      <c r="B29" s="35" t="s">
        <v>284</v>
      </c>
      <c r="C29" s="36" t="s">
        <v>272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48.977572500000001</v>
      </c>
      <c r="J29" s="38">
        <f t="shared" si="1"/>
        <v>2.0639183755255526</v>
      </c>
      <c r="K29" s="38">
        <f t="shared" si="2"/>
        <v>0.22670726019692278</v>
      </c>
      <c r="L29" s="38">
        <f t="shared" si="3"/>
        <v>0.1664512782295019</v>
      </c>
      <c r="M29" s="38">
        <f t="shared" si="4"/>
        <v>1.8372069013215455</v>
      </c>
      <c r="N29" s="35">
        <f t="shared" si="5"/>
        <v>5738506.6666666698</v>
      </c>
      <c r="O29" s="38">
        <f t="shared" si="6"/>
        <v>2.0777410573038644</v>
      </c>
      <c r="P29" s="39">
        <v>25144011</v>
      </c>
      <c r="Q29" s="39">
        <v>785750.34375</v>
      </c>
      <c r="R29" s="39">
        <v>12609.28125</v>
      </c>
      <c r="S29" s="40">
        <v>52242744</v>
      </c>
      <c r="T29" s="40">
        <v>4213282.6666666698</v>
      </c>
      <c r="U29" s="40">
        <v>1525224</v>
      </c>
      <c r="V29" s="40">
        <v>46504130.666666701</v>
      </c>
      <c r="W29" s="41">
        <v>71.520856249999994</v>
      </c>
      <c r="X29" s="41">
        <v>74.912312499999999</v>
      </c>
      <c r="Y29" s="41">
        <v>36.556653124999997</v>
      </c>
      <c r="Z29" s="41">
        <v>39.639712500000002</v>
      </c>
      <c r="AA29" s="41">
        <v>39.044609375</v>
      </c>
      <c r="AB29" s="42">
        <v>4641.9799999999996</v>
      </c>
      <c r="AC29" s="42">
        <v>2863.57</v>
      </c>
      <c r="AD29" s="42">
        <v>8.5050000000000008</v>
      </c>
      <c r="AE29" s="42">
        <v>34.167000000000002</v>
      </c>
      <c r="AG29" s="37">
        <f t="shared" si="7"/>
        <v>48.662197499999998</v>
      </c>
      <c r="AH29" s="38">
        <f t="shared" si="8"/>
        <v>2.0506284506792083</v>
      </c>
      <c r="AI29" s="38">
        <f t="shared" si="9"/>
        <v>0.22523762522580507</v>
      </c>
      <c r="AJ29" s="38">
        <f t="shared" si="10"/>
        <v>0.16586374029158624</v>
      </c>
      <c r="AK29" s="38">
        <f t="shared" si="11"/>
        <v>1.8253866114463191</v>
      </c>
      <c r="AL29" s="35">
        <f t="shared" si="12"/>
        <v>5701306.6666666698</v>
      </c>
      <c r="AM29" s="38">
        <f t="shared" si="13"/>
        <v>2.0708679295236121</v>
      </c>
      <c r="AN29" s="39">
        <v>25065019</v>
      </c>
      <c r="AO29" s="39">
        <v>783281.84375</v>
      </c>
      <c r="AP29" s="39">
        <v>12136.59375</v>
      </c>
      <c r="AQ29" s="40">
        <v>51906344</v>
      </c>
      <c r="AR29" s="40">
        <v>4198410.6666666698</v>
      </c>
      <c r="AS29" s="40">
        <v>1502896</v>
      </c>
      <c r="AT29" s="40">
        <v>46204930.666666701</v>
      </c>
      <c r="AU29" s="41">
        <v>71.492812499999999</v>
      </c>
      <c r="AV29" s="41">
        <v>74.934843749999999</v>
      </c>
      <c r="AW29" s="41">
        <v>36.5576875</v>
      </c>
      <c r="AX29" s="41">
        <v>39.620221874999999</v>
      </c>
      <c r="AY29" s="41">
        <v>39.018403124999999</v>
      </c>
      <c r="AZ29" s="42">
        <v>2039.72</v>
      </c>
      <c r="BA29" s="42">
        <v>1315.64</v>
      </c>
      <c r="BB29" s="42">
        <v>3.74</v>
      </c>
      <c r="BC29" s="42">
        <v>15.648</v>
      </c>
      <c r="BE29" s="43">
        <f t="shared" si="14"/>
        <v>-5.5289727266041346E-4</v>
      </c>
      <c r="BF29" s="43">
        <f t="shared" si="15"/>
        <v>-4.7926729035141502E-6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-336400</v>
      </c>
    </row>
    <row r="30" spans="1:73">
      <c r="B30" s="55" t="s">
        <v>288</v>
      </c>
      <c r="J30" s="56">
        <f>AVERAGE(J5:J24)</f>
        <v>0.43257898135738804</v>
      </c>
      <c r="K30" s="56">
        <f>AVERAGE(K5:K24)</f>
        <v>0.12491448668552756</v>
      </c>
      <c r="L30" s="56">
        <f>AVERAGE(L5:L24)</f>
        <v>8.4812095608075816E-2</v>
      </c>
      <c r="M30" s="56">
        <f>AVERAGE(M5:M24)</f>
        <v>0.30766063596313009</v>
      </c>
      <c r="AH30" s="56">
        <f>AVERAGE(AH5:AH24)</f>
        <v>0.43179119014224793</v>
      </c>
      <c r="AI30" s="56">
        <f>AVERAGE(AI5:AI24)</f>
        <v>0.12486446855235325</v>
      </c>
      <c r="AJ30" s="56">
        <f>AVERAGE(AJ5:AJ24)</f>
        <v>8.5134889430146327E-2</v>
      </c>
      <c r="AK30" s="56">
        <f>AVERAGE(AK5:AK24)</f>
        <v>0.30692286288116438</v>
      </c>
      <c r="BG30" s="8">
        <f>AVERAGE(BG5:BG24)</f>
        <v>1.7084810486155122E-4</v>
      </c>
      <c r="BI30" s="5">
        <f>AVERAGE(BI5:BI24)</f>
        <v>-5.2779076221454169E-4</v>
      </c>
      <c r="BJ30" s="5">
        <f>AVERAGE(BJ5:BJ24)</f>
        <v>-1.5610473834032912E-3</v>
      </c>
      <c r="BK30" s="5">
        <f>AVERAGE(BK5:BK24)</f>
        <v>1.7531797242004432E-3</v>
      </c>
      <c r="BL30" s="5">
        <f>AVERAGE(BL5:BL24)</f>
        <v>2.4358287553118418E-3</v>
      </c>
      <c r="BM30" s="5">
        <f>AVERAGE(BM5:BM24)</f>
        <v>6.5616758852029833E-3</v>
      </c>
      <c r="BO30" s="5">
        <f>AVERAGE(BO5:BO24)</f>
        <v>-1.5445390349809462E-3</v>
      </c>
      <c r="BP30" s="5">
        <f>AVERAGE(BP5:BP24)</f>
        <v>-2.6651410185706825E-3</v>
      </c>
      <c r="BQ30" s="5">
        <f>AVERAGE(BQ5:BQ24)</f>
        <v>1.1053386678221977E-3</v>
      </c>
      <c r="BR30" s="5">
        <f>AVERAGE(BR5:BR24)</f>
        <v>2.1912485597585241E-3</v>
      </c>
      <c r="BS30" s="5">
        <f>AVERAGE(BS5:BS24)</f>
        <v>5.3630362972023615E-3</v>
      </c>
    </row>
    <row r="31" spans="1:73">
      <c r="B31" s="55" t="s">
        <v>289</v>
      </c>
      <c r="J31" s="56">
        <f>AVERAGE(J25:J29)</f>
        <v>0.88254222198061927</v>
      </c>
      <c r="K31" s="56">
        <f>AVERAGE(K25:K29)</f>
        <v>0.12588745672346419</v>
      </c>
      <c r="L31" s="56">
        <f>AVERAGE(L25:L29)</f>
        <v>8.7912278700101126E-2</v>
      </c>
      <c r="M31" s="56">
        <f>AVERAGE(M25:M29)</f>
        <v>0.7566505512500703</v>
      </c>
      <c r="AH31" s="56">
        <f>AVERAGE(AH25:AH29)</f>
        <v>0.87603246597478979</v>
      </c>
      <c r="AI31" s="56">
        <f>AVERAGE(AI25:AI29)</f>
        <v>0.12505390505188874</v>
      </c>
      <c r="AJ31" s="56">
        <f>AVERAGE(AJ25:AJ29)</f>
        <v>8.7649324657957051E-2</v>
      </c>
      <c r="AK31" s="56">
        <f>AVERAGE(AK25:AK29)</f>
        <v>0.75097434691581655</v>
      </c>
      <c r="BG31" s="8">
        <f>AVERAGE(BG25:BG29)</f>
        <v>4.2130057812883592E-4</v>
      </c>
      <c r="BI31" s="5">
        <f>AVERAGE(BI25:BI29)</f>
        <v>-6.6380077027456963E-3</v>
      </c>
      <c r="BJ31" s="5">
        <f>AVERAGE(BJ25:BJ29)</f>
        <v>-8.7623472018437676E-3</v>
      </c>
      <c r="BK31" s="5">
        <f>AVERAGE(BK25:BK29)</f>
        <v>-5.4068436779204365E-3</v>
      </c>
      <c r="BL31" s="5">
        <f>AVERAGE(BL25:BL29)</f>
        <v>-2.6355584632326012E-3</v>
      </c>
      <c r="BM31" s="5">
        <f>AVERAGE(BM25:BM29)</f>
        <v>-2.1522248245733344E-3</v>
      </c>
      <c r="BO31" s="5">
        <f>AVERAGE(BO25:BO29)</f>
        <v>-7.797012223919042E-3</v>
      </c>
      <c r="BP31" s="5">
        <f>AVERAGE(BP25:BP29)</f>
        <v>-1.1406044268436499E-2</v>
      </c>
      <c r="BQ31" s="5">
        <f>AVERAGE(BQ25:BQ29)</f>
        <v>-5.5242347871514719E-3</v>
      </c>
      <c r="BR31" s="5">
        <f>AVERAGE(BR25:BR29)</f>
        <v>-2.9593564614169843E-3</v>
      </c>
      <c r="BS31" s="5">
        <f>AVERAGE(BS25:BS29)</f>
        <v>-2.4106730739111848E-3</v>
      </c>
    </row>
    <row r="32" spans="1:73" collapsed="1">
      <c r="B32" s="55" t="s">
        <v>290</v>
      </c>
      <c r="J32" s="56">
        <f>AVERAGE(J5:J29)</f>
        <v>0.52257162948203428</v>
      </c>
      <c r="K32" s="56">
        <f>AVERAGE(K5:K29)</f>
        <v>0.12510908069311488</v>
      </c>
      <c r="L32" s="56">
        <f>AVERAGE(L5:L29)</f>
        <v>8.5432132226480884E-2</v>
      </c>
      <c r="M32" s="56">
        <f>AVERAGE(M5:M29)</f>
        <v>0.39745861902051816</v>
      </c>
      <c r="AH32" s="56">
        <f>AVERAGE(AH5:AH29)</f>
        <v>0.52063944530875628</v>
      </c>
      <c r="AI32" s="56">
        <f>AVERAGE(AI5:AI29)</f>
        <v>0.12490235585226035</v>
      </c>
      <c r="AJ32" s="56">
        <f>AVERAGE(AJ5:AJ29)</f>
        <v>8.5637776475708471E-2</v>
      </c>
      <c r="AK32" s="56">
        <f>AVERAGE(AK5:AK29)</f>
        <v>0.3957331596880948</v>
      </c>
      <c r="BG32" s="8">
        <f>AVERAGE(BG5:BG29)</f>
        <v>2.2093859951500817E-4</v>
      </c>
      <c r="BI32" s="5">
        <f>AVERAGE(BI5:BI29)</f>
        <v>-1.7498341503207726E-3</v>
      </c>
      <c r="BJ32" s="5">
        <f>AVERAGE(BJ5:BJ29)</f>
        <v>-3.0013073470913864E-3</v>
      </c>
      <c r="BK32" s="5">
        <f>AVERAGE(BK5:BK29)</f>
        <v>3.2117504377626727E-4</v>
      </c>
      <c r="BL32" s="5">
        <f>AVERAGE(BL5:BL29)</f>
        <v>1.4215513116029531E-3</v>
      </c>
      <c r="BM32" s="5">
        <f>AVERAGE(BM5:BM29)</f>
        <v>4.8188957432477196E-3</v>
      </c>
      <c r="BO32" s="5">
        <f>AVERAGE(BO5:BO29)</f>
        <v>-2.7950336727685654E-3</v>
      </c>
      <c r="BP32" s="5">
        <f>AVERAGE(BP5:BP29)</f>
        <v>-4.4133216685438457E-3</v>
      </c>
      <c r="BQ32" s="5">
        <f>AVERAGE(BQ5:BQ29)</f>
        <v>-2.2057602317253621E-4</v>
      </c>
      <c r="BR32" s="5">
        <f>AVERAGE(BR5:BR29)</f>
        <v>1.1611275555234225E-3</v>
      </c>
      <c r="BS32" s="5">
        <f>AVERAGE(BS5:BS29)</f>
        <v>3.8082944229796524E-3</v>
      </c>
    </row>
    <row r="33" spans="1:55" hidden="1" outlineLevel="2">
      <c r="A33" s="55" t="s">
        <v>291</v>
      </c>
      <c r="B33" s="55" t="s">
        <v>292</v>
      </c>
      <c r="AB33" s="57">
        <f>SUM(AB5:AB24,AB25:AB29)</f>
        <v>126036.66</v>
      </c>
      <c r="AC33" s="57">
        <f>SUM(AC5:AC24,AC25:AC29)</f>
        <v>50105.37999999999</v>
      </c>
      <c r="AD33" s="57">
        <f>SUM(AD5:AD24,AD25:AD29)</f>
        <v>217.04699999999997</v>
      </c>
      <c r="AE33" s="57">
        <f>SUM(AE5:AE24,AE25:AE29)</f>
        <v>672.38800000000003</v>
      </c>
      <c r="AZ33" s="57">
        <f>SUM(AZ5:AZ24,AZ25:AZ29)</f>
        <v>69859.8</v>
      </c>
      <c r="BA33" s="57">
        <f>SUM(BA5:BA24,BA25:BA29)</f>
        <v>26910.498999999993</v>
      </c>
      <c r="BB33" s="57">
        <f>SUM(BB5:BB24,BB25:BB29)</f>
        <v>126.51700000000002</v>
      </c>
      <c r="BC33" s="57">
        <f>SUM(BC5:BC24,BC25:BC29)</f>
        <v>385.99599999999998</v>
      </c>
    </row>
    <row r="34" spans="1:55" hidden="1" outlineLevel="2">
      <c r="B34" s="55" t="s">
        <v>293</v>
      </c>
      <c r="AZ34" s="8">
        <f>AZ33/AB33</f>
        <v>0.55428158759522828</v>
      </c>
      <c r="BA34" s="8">
        <f>BA33/AC33</f>
        <v>0.53707803433483581</v>
      </c>
      <c r="BB34" s="8">
        <f>BB33/AD33</f>
        <v>0.5829013992361104</v>
      </c>
      <c r="BC34" s="8">
        <f>BC33/AE33</f>
        <v>0.57406735396824449</v>
      </c>
    </row>
    <row r="35" spans="1:55" hidden="1" outlineLevel="2">
      <c r="B35" s="55" t="s">
        <v>294</v>
      </c>
      <c r="AB35" s="57">
        <f>GEOMEAN(AB5:AB24,AB25:AB29)</f>
        <v>4974.1375982792351</v>
      </c>
      <c r="AC35" s="57">
        <f>GEOMEAN(AC5:AC24,AC25:AC29)</f>
        <v>1980.2921588093272</v>
      </c>
      <c r="AD35" s="57">
        <f>GEOMEAN(AD5:AD24,AD25:AD29)</f>
        <v>8.6007842976316571</v>
      </c>
      <c r="AE35" s="57">
        <f>GEOMEAN(AE5:AE24,AE25:AE29)</f>
        <v>26.582197365577887</v>
      </c>
      <c r="AZ35" s="57">
        <f>GEOMEAN(AZ5:AZ24,AZ25:AZ29)</f>
        <v>2710.5407049237751</v>
      </c>
      <c r="BA35" s="57">
        <f>GEOMEAN(BA5:BA24,BA25:BA29)</f>
        <v>1039.0588223024063</v>
      </c>
      <c r="BB35" s="57">
        <f>GEOMEAN(BB5:BB24,BB25:BB29)</f>
        <v>4.9254128356463784</v>
      </c>
      <c r="BC35" s="57">
        <f>GEOMEAN(BC5:BC24,BC25:BC29)</f>
        <v>15.127667547618771</v>
      </c>
    </row>
    <row r="36" spans="1:55" outlineLevel="2" collapsed="1">
      <c r="B36" s="55" t="s">
        <v>295</v>
      </c>
      <c r="AZ36" s="8">
        <f>AZ35/AB35</f>
        <v>0.54492676396034279</v>
      </c>
      <c r="BA36" s="8">
        <f>BA35/AC35</f>
        <v>0.52469976093181725</v>
      </c>
      <c r="BB36" s="8">
        <f>BB35/AD35</f>
        <v>0.57267019671713637</v>
      </c>
      <c r="BC36" s="8">
        <f>BC35/AE35</f>
        <v>0.56909018240937659</v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phoneticPr fontId="2" type="noConversion"/>
  <conditionalFormatting sqref="BI5 BI6 BI7 BI8 BI9 BI10 BI11 BI12 BI13 BI14 BI15 BI16 BI17 BI18 BI19 BI20 BI21 BI22 BI23 BI24 BI25 BI26 BI27 BI28 BI29 BI30 BI31 BI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11" operator="greaterThanOrEqual">
      <formula>0.03</formula>
    </cfRule>
    <cfRule type="cellIs" dxfId="48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5" operator="greaterThanOrEqual">
      <formula>0.03</formula>
    </cfRule>
    <cfRule type="cellIs" dxfId="36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7" operator="greaterThanOrEqual">
      <formula>0.03</formula>
    </cfRule>
    <cfRule type="cellIs" dxfId="32" priority="8" operator="lessThanOrEqual">
      <formula>-0.03</formula>
    </cfRule>
  </conditionalFormatting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274"/>
  <sheetViews>
    <sheetView workbookViewId="0"/>
  </sheetViews>
  <sheetFormatPr defaultRowHeight="14.4"/>
  <sheetData>
    <row r="1" spans="1:2">
      <c r="A1" t="s">
        <v>95</v>
      </c>
      <c r="B1">
        <v>1</v>
      </c>
    </row>
    <row r="2" spans="1:2">
      <c r="A2" t="s">
        <v>98</v>
      </c>
      <c r="B2">
        <v>2</v>
      </c>
    </row>
    <row r="3" spans="1:2">
      <c r="A3" t="s">
        <v>101</v>
      </c>
      <c r="B3">
        <v>3</v>
      </c>
    </row>
    <row r="4" spans="1:2">
      <c r="A4" t="s">
        <v>104</v>
      </c>
      <c r="B4">
        <v>4</v>
      </c>
    </row>
    <row r="5" spans="1:2">
      <c r="A5" t="s">
        <v>107</v>
      </c>
      <c r="B5">
        <v>5</v>
      </c>
    </row>
    <row r="6" spans="1:2">
      <c r="A6" t="s">
        <v>110</v>
      </c>
      <c r="B6">
        <v>6</v>
      </c>
    </row>
    <row r="7" spans="1:2">
      <c r="A7" t="s">
        <v>113</v>
      </c>
      <c r="B7">
        <v>7</v>
      </c>
    </row>
    <row r="8" spans="1:2">
      <c r="A8" t="s">
        <v>116</v>
      </c>
      <c r="B8">
        <v>9</v>
      </c>
    </row>
    <row r="9" spans="1:2">
      <c r="A9" t="s">
        <v>120</v>
      </c>
      <c r="B9">
        <v>10</v>
      </c>
    </row>
    <row r="10" spans="1:2">
      <c r="A10" t="s">
        <v>123</v>
      </c>
      <c r="B10">
        <v>11</v>
      </c>
    </row>
    <row r="11" spans="1:2">
      <c r="A11" t="s">
        <v>126</v>
      </c>
      <c r="B11">
        <v>12</v>
      </c>
    </row>
    <row r="12" spans="1:2">
      <c r="A12" t="s">
        <v>129</v>
      </c>
      <c r="B12">
        <v>13</v>
      </c>
    </row>
    <row r="13" spans="1:2">
      <c r="A13" t="s">
        <v>132</v>
      </c>
      <c r="B13">
        <v>14</v>
      </c>
    </row>
    <row r="14" spans="1:2">
      <c r="A14" t="s">
        <v>135</v>
      </c>
      <c r="B14">
        <v>15</v>
      </c>
    </row>
    <row r="15" spans="1:2">
      <c r="A15" t="s">
        <v>137</v>
      </c>
      <c r="B15">
        <v>16</v>
      </c>
    </row>
    <row r="16" spans="1:2">
      <c r="A16" t="s">
        <v>139</v>
      </c>
      <c r="B16">
        <v>17</v>
      </c>
    </row>
    <row r="17" spans="1:2">
      <c r="A17" t="s">
        <v>141</v>
      </c>
      <c r="B17">
        <v>18</v>
      </c>
    </row>
    <row r="18" spans="1:2">
      <c r="A18" t="s">
        <v>144</v>
      </c>
      <c r="B18">
        <v>19</v>
      </c>
    </row>
    <row r="19" spans="1:2">
      <c r="A19" t="s">
        <v>146</v>
      </c>
      <c r="B19">
        <v>20</v>
      </c>
    </row>
    <row r="20" spans="1:2">
      <c r="A20" t="s">
        <v>149</v>
      </c>
      <c r="B20">
        <v>21</v>
      </c>
    </row>
    <row r="21" spans="1:2">
      <c r="A21" t="s">
        <v>152</v>
      </c>
      <c r="B21">
        <v>22</v>
      </c>
    </row>
    <row r="22" spans="1:2">
      <c r="A22" t="s">
        <v>156</v>
      </c>
      <c r="B22">
        <v>23</v>
      </c>
    </row>
    <row r="23" spans="1:2">
      <c r="A23" t="s">
        <v>159</v>
      </c>
      <c r="B23">
        <v>24</v>
      </c>
    </row>
    <row r="24" spans="1:2">
      <c r="A24" t="s">
        <v>163</v>
      </c>
      <c r="B24">
        <v>25</v>
      </c>
    </row>
    <row r="25" spans="1:2">
      <c r="A25" t="s">
        <v>166</v>
      </c>
      <c r="B25">
        <v>26</v>
      </c>
    </row>
    <row r="26" spans="1:2">
      <c r="A26" t="s">
        <v>169</v>
      </c>
      <c r="B26">
        <v>27</v>
      </c>
    </row>
    <row r="27" spans="1:2">
      <c r="A27" t="s">
        <v>173</v>
      </c>
      <c r="B27">
        <v>28</v>
      </c>
    </row>
    <row r="28" spans="1:2">
      <c r="A28" t="s">
        <v>176</v>
      </c>
      <c r="B28">
        <v>29</v>
      </c>
    </row>
    <row r="29" spans="1:2">
      <c r="A29" t="s">
        <v>179</v>
      </c>
      <c r="B29">
        <v>30</v>
      </c>
    </row>
    <row r="30" spans="1:2">
      <c r="A30" t="s">
        <v>181</v>
      </c>
      <c r="B30">
        <v>31</v>
      </c>
    </row>
    <row r="31" spans="1:2">
      <c r="A31" t="s">
        <v>183</v>
      </c>
      <c r="B31">
        <v>33</v>
      </c>
    </row>
    <row r="32" spans="1:2">
      <c r="A32" t="s">
        <v>185</v>
      </c>
      <c r="B32">
        <v>34</v>
      </c>
    </row>
    <row r="33" spans="1:2">
      <c r="A33" t="s">
        <v>187</v>
      </c>
      <c r="B33">
        <v>35</v>
      </c>
    </row>
    <row r="34" spans="1:2">
      <c r="A34" t="s">
        <v>189</v>
      </c>
      <c r="B34">
        <v>36</v>
      </c>
    </row>
    <row r="35" spans="1:2">
      <c r="A35" t="s">
        <v>191</v>
      </c>
      <c r="B35">
        <v>37</v>
      </c>
    </row>
    <row r="36" spans="1:2">
      <c r="A36" t="s">
        <v>194</v>
      </c>
      <c r="B36">
        <v>38</v>
      </c>
    </row>
    <row r="37" spans="1:2">
      <c r="A37" t="s">
        <v>196</v>
      </c>
      <c r="B37">
        <v>39</v>
      </c>
    </row>
    <row r="38" spans="1:2">
      <c r="A38" t="s">
        <v>198</v>
      </c>
      <c r="B38">
        <v>40</v>
      </c>
    </row>
    <row r="39" spans="1:2">
      <c r="A39" t="s">
        <v>200</v>
      </c>
      <c r="B39">
        <v>41</v>
      </c>
    </row>
    <row r="40" spans="1:2">
      <c r="A40" t="s">
        <v>202</v>
      </c>
      <c r="B40">
        <v>42</v>
      </c>
    </row>
    <row r="41" spans="1:2">
      <c r="A41" t="s">
        <v>204</v>
      </c>
      <c r="B41">
        <v>43</v>
      </c>
    </row>
    <row r="42" spans="1:2">
      <c r="A42" t="s">
        <v>206</v>
      </c>
      <c r="B42">
        <v>44</v>
      </c>
    </row>
    <row r="43" spans="1:2">
      <c r="A43" t="s">
        <v>208</v>
      </c>
      <c r="B43">
        <v>45</v>
      </c>
    </row>
    <row r="44" spans="1:2">
      <c r="A44" t="s">
        <v>210</v>
      </c>
      <c r="B44">
        <v>46</v>
      </c>
    </row>
    <row r="45" spans="1:2">
      <c r="A45" t="s">
        <v>212</v>
      </c>
      <c r="B45">
        <v>47</v>
      </c>
    </row>
    <row r="46" spans="1:2">
      <c r="A46" t="s">
        <v>214</v>
      </c>
      <c r="B46">
        <v>48</v>
      </c>
    </row>
    <row r="47" spans="1:2">
      <c r="A47" t="s">
        <v>216</v>
      </c>
      <c r="B47">
        <v>49</v>
      </c>
    </row>
    <row r="48" spans="1:2">
      <c r="A48" t="s">
        <v>218</v>
      </c>
      <c r="B48">
        <v>50</v>
      </c>
    </row>
    <row r="49" spans="1:2">
      <c r="A49" t="s">
        <v>220</v>
      </c>
      <c r="B49">
        <v>51</v>
      </c>
    </row>
    <row r="50" spans="1:2">
      <c r="A50" t="s">
        <v>222</v>
      </c>
      <c r="B50">
        <v>52</v>
      </c>
    </row>
    <row r="51" spans="1:2">
      <c r="A51" t="s">
        <v>224</v>
      </c>
      <c r="B51">
        <v>53</v>
      </c>
    </row>
    <row r="52" spans="1:2">
      <c r="A52" t="s">
        <v>226</v>
      </c>
      <c r="B52">
        <v>54</v>
      </c>
    </row>
    <row r="53" spans="1:2">
      <c r="A53" t="s">
        <v>228</v>
      </c>
      <c r="B53">
        <v>55</v>
      </c>
    </row>
    <row r="54" spans="1:2">
      <c r="A54" t="s">
        <v>231</v>
      </c>
      <c r="B54">
        <v>57</v>
      </c>
    </row>
    <row r="55" spans="1:2">
      <c r="A55" t="s">
        <v>234</v>
      </c>
      <c r="B55">
        <v>58</v>
      </c>
    </row>
    <row r="56" spans="1:2">
      <c r="A56" t="s">
        <v>236</v>
      </c>
      <c r="B56">
        <v>59</v>
      </c>
    </row>
    <row r="57" spans="1:2">
      <c r="A57" t="s">
        <v>239</v>
      </c>
      <c r="B57">
        <v>61</v>
      </c>
    </row>
    <row r="58" spans="1:2">
      <c r="A58" t="s">
        <v>241</v>
      </c>
      <c r="B58">
        <v>62</v>
      </c>
    </row>
    <row r="59" spans="1:2">
      <c r="A59" t="s">
        <v>244</v>
      </c>
      <c r="B59">
        <v>63</v>
      </c>
    </row>
    <row r="60" spans="1:2">
      <c r="A60" t="s">
        <v>246</v>
      </c>
      <c r="B60">
        <v>64</v>
      </c>
    </row>
    <row r="61" spans="1:2">
      <c r="A61" t="s">
        <v>248</v>
      </c>
      <c r="B61">
        <v>65</v>
      </c>
    </row>
    <row r="62" spans="1:2">
      <c r="A62" t="s">
        <v>251</v>
      </c>
      <c r="B62">
        <v>67</v>
      </c>
    </row>
    <row r="63" spans="1:2">
      <c r="A63" t="s">
        <v>253</v>
      </c>
      <c r="B63">
        <v>68</v>
      </c>
    </row>
    <row r="64" spans="1:2">
      <c r="A64" t="s">
        <v>256</v>
      </c>
      <c r="B64">
        <v>69</v>
      </c>
    </row>
    <row r="65" spans="1:24">
      <c r="A65" t="s">
        <v>258</v>
      </c>
      <c r="B65">
        <v>70</v>
      </c>
    </row>
    <row r="66" spans="1:24">
      <c r="A66" t="s">
        <v>260</v>
      </c>
      <c r="B66">
        <v>71</v>
      </c>
    </row>
    <row r="67" spans="1:24">
      <c r="A67" t="s">
        <v>262</v>
      </c>
      <c r="B67" t="s">
        <v>263</v>
      </c>
    </row>
    <row r="68" spans="1:24">
      <c r="A68" t="s">
        <v>264</v>
      </c>
      <c r="B68" t="s">
        <v>265</v>
      </c>
    </row>
    <row r="69" spans="1:24">
      <c r="A69" t="s">
        <v>273</v>
      </c>
      <c r="B69" t="s">
        <v>274</v>
      </c>
    </row>
    <row r="70" spans="1:24">
      <c r="A70" t="s">
        <v>276</v>
      </c>
      <c r="B70" t="s">
        <v>277</v>
      </c>
    </row>
    <row r="71" spans="1:24">
      <c r="A71" t="s">
        <v>279</v>
      </c>
      <c r="B71" t="s">
        <v>280</v>
      </c>
    </row>
    <row r="72" spans="1:24">
      <c r="A72" t="s">
        <v>282</v>
      </c>
      <c r="B72" t="s">
        <v>283</v>
      </c>
    </row>
    <row r="73" spans="1:24">
      <c r="A73" t="s">
        <v>286</v>
      </c>
      <c r="B73" t="s">
        <v>287</v>
      </c>
    </row>
    <row r="74" spans="1:24">
      <c r="A74" t="s">
        <v>302</v>
      </c>
      <c r="B74" t="s">
        <v>61</v>
      </c>
      <c r="C74" t="s">
        <v>45</v>
      </c>
      <c r="D74" t="s">
        <v>65</v>
      </c>
      <c r="E74" t="s">
        <v>47</v>
      </c>
      <c r="F74" t="s">
        <v>67</v>
      </c>
      <c r="G74" t="s">
        <v>71</v>
      </c>
      <c r="H74" t="s">
        <v>21</v>
      </c>
      <c r="I74" t="s">
        <v>39</v>
      </c>
      <c r="J74" t="s">
        <v>51</v>
      </c>
      <c r="K74" t="s">
        <v>49</v>
      </c>
      <c r="L74" t="s">
        <v>25</v>
      </c>
      <c r="M74" t="s">
        <v>41</v>
      </c>
      <c r="N74" t="s">
        <v>69</v>
      </c>
      <c r="O74" t="s">
        <v>63</v>
      </c>
      <c r="P74" t="s">
        <v>7</v>
      </c>
      <c r="Q74" t="s">
        <v>19</v>
      </c>
      <c r="R74" t="s">
        <v>11</v>
      </c>
      <c r="S74" t="s">
        <v>73</v>
      </c>
      <c r="T74" t="s">
        <v>59</v>
      </c>
      <c r="U74" t="s">
        <v>75</v>
      </c>
      <c r="V74" t="s">
        <v>23</v>
      </c>
      <c r="W74" t="s">
        <v>15</v>
      </c>
      <c r="X74" t="s">
        <v>55</v>
      </c>
    </row>
    <row r="75" spans="1:24">
      <c r="A75" t="s">
        <v>304</v>
      </c>
      <c r="B75">
        <v>1</v>
      </c>
    </row>
    <row r="76" spans="1:24">
      <c r="A76" t="s">
        <v>305</v>
      </c>
      <c r="B76">
        <v>2</v>
      </c>
    </row>
    <row r="77" spans="1:24">
      <c r="A77" t="s">
        <v>306</v>
      </c>
      <c r="B77">
        <v>3</v>
      </c>
    </row>
    <row r="78" spans="1:24">
      <c r="A78" t="s">
        <v>307</v>
      </c>
      <c r="B78">
        <v>4</v>
      </c>
    </row>
    <row r="79" spans="1:24">
      <c r="A79" t="s">
        <v>308</v>
      </c>
      <c r="B79">
        <v>5</v>
      </c>
    </row>
    <row r="80" spans="1:24">
      <c r="A80" t="s">
        <v>309</v>
      </c>
      <c r="B80">
        <v>6</v>
      </c>
    </row>
    <row r="81" spans="1:2">
      <c r="A81" t="s">
        <v>312</v>
      </c>
      <c r="B81">
        <v>8</v>
      </c>
    </row>
    <row r="82" spans="1:2">
      <c r="A82" t="s">
        <v>313</v>
      </c>
      <c r="B82">
        <v>9</v>
      </c>
    </row>
    <row r="83" spans="1:2">
      <c r="A83" t="s">
        <v>314</v>
      </c>
      <c r="B83">
        <v>10</v>
      </c>
    </row>
    <row r="84" spans="1:2">
      <c r="A84" t="s">
        <v>315</v>
      </c>
      <c r="B84">
        <v>11</v>
      </c>
    </row>
    <row r="85" spans="1:2">
      <c r="A85" t="s">
        <v>316</v>
      </c>
      <c r="B85">
        <v>12</v>
      </c>
    </row>
    <row r="86" spans="1:2">
      <c r="A86" t="s">
        <v>317</v>
      </c>
      <c r="B86">
        <v>13</v>
      </c>
    </row>
    <row r="87" spans="1:2">
      <c r="A87" t="s">
        <v>318</v>
      </c>
      <c r="B87">
        <v>14</v>
      </c>
    </row>
    <row r="88" spans="1:2">
      <c r="A88" t="s">
        <v>319</v>
      </c>
      <c r="B88">
        <v>15</v>
      </c>
    </row>
    <row r="89" spans="1:2">
      <c r="A89" t="s">
        <v>320</v>
      </c>
      <c r="B89">
        <v>16</v>
      </c>
    </row>
    <row r="90" spans="1:2">
      <c r="A90" t="s">
        <v>321</v>
      </c>
      <c r="B90">
        <v>17</v>
      </c>
    </row>
    <row r="91" spans="1:2">
      <c r="A91" t="s">
        <v>322</v>
      </c>
      <c r="B91">
        <v>18</v>
      </c>
    </row>
    <row r="92" spans="1:2">
      <c r="A92" t="s">
        <v>323</v>
      </c>
      <c r="B92">
        <v>19</v>
      </c>
    </row>
    <row r="93" spans="1:2">
      <c r="A93" t="s">
        <v>324</v>
      </c>
      <c r="B93">
        <v>20</v>
      </c>
    </row>
    <row r="94" spans="1:2">
      <c r="A94" t="s">
        <v>325</v>
      </c>
      <c r="B94">
        <v>21</v>
      </c>
    </row>
    <row r="95" spans="1:2">
      <c r="A95" t="s">
        <v>326</v>
      </c>
      <c r="B95">
        <v>22</v>
      </c>
    </row>
    <row r="96" spans="1:2">
      <c r="A96" t="s">
        <v>327</v>
      </c>
      <c r="B96">
        <v>23</v>
      </c>
    </row>
    <row r="97" spans="1:2">
      <c r="A97" t="s">
        <v>328</v>
      </c>
      <c r="B97">
        <v>24</v>
      </c>
    </row>
    <row r="98" spans="1:2">
      <c r="A98" t="s">
        <v>329</v>
      </c>
      <c r="B98">
        <v>25</v>
      </c>
    </row>
    <row r="99" spans="1:2">
      <c r="A99" t="s">
        <v>330</v>
      </c>
      <c r="B99">
        <v>26</v>
      </c>
    </row>
    <row r="100" spans="1:2">
      <c r="A100" t="s">
        <v>331</v>
      </c>
      <c r="B100">
        <v>27</v>
      </c>
    </row>
    <row r="101" spans="1:2">
      <c r="A101" t="s">
        <v>332</v>
      </c>
      <c r="B101">
        <v>28</v>
      </c>
    </row>
    <row r="102" spans="1:2">
      <c r="A102" t="s">
        <v>333</v>
      </c>
      <c r="B102">
        <v>29</v>
      </c>
    </row>
    <row r="103" spans="1:2">
      <c r="A103" t="s">
        <v>335</v>
      </c>
      <c r="B103">
        <v>31</v>
      </c>
    </row>
    <row r="104" spans="1:2">
      <c r="A104" t="s">
        <v>336</v>
      </c>
      <c r="B104">
        <v>32</v>
      </c>
    </row>
    <row r="105" spans="1:2">
      <c r="A105" t="s">
        <v>337</v>
      </c>
      <c r="B105">
        <v>33</v>
      </c>
    </row>
    <row r="106" spans="1:2">
      <c r="A106" t="s">
        <v>338</v>
      </c>
      <c r="B106">
        <v>34</v>
      </c>
    </row>
    <row r="107" spans="1:2">
      <c r="A107" t="s">
        <v>339</v>
      </c>
      <c r="B107">
        <v>35</v>
      </c>
    </row>
    <row r="108" spans="1:2">
      <c r="A108" t="s">
        <v>340</v>
      </c>
      <c r="B108">
        <v>36</v>
      </c>
    </row>
    <row r="109" spans="1:2">
      <c r="A109" t="s">
        <v>341</v>
      </c>
      <c r="B109">
        <v>37</v>
      </c>
    </row>
    <row r="110" spans="1:2">
      <c r="A110" t="s">
        <v>342</v>
      </c>
      <c r="B110">
        <v>38</v>
      </c>
    </row>
    <row r="111" spans="1:2">
      <c r="A111" t="s">
        <v>343</v>
      </c>
      <c r="B111">
        <v>39</v>
      </c>
    </row>
    <row r="112" spans="1:2">
      <c r="A112" t="s">
        <v>344</v>
      </c>
      <c r="B112">
        <v>40</v>
      </c>
    </row>
    <row r="113" spans="1:2">
      <c r="A113" t="s">
        <v>345</v>
      </c>
      <c r="B113">
        <v>41</v>
      </c>
    </row>
    <row r="114" spans="1:2">
      <c r="A114" t="s">
        <v>346</v>
      </c>
      <c r="B114">
        <v>42</v>
      </c>
    </row>
    <row r="115" spans="1:2">
      <c r="A115" t="s">
        <v>347</v>
      </c>
      <c r="B115">
        <v>43</v>
      </c>
    </row>
    <row r="116" spans="1:2">
      <c r="A116" t="s">
        <v>348</v>
      </c>
      <c r="B116">
        <v>44</v>
      </c>
    </row>
    <row r="117" spans="1:2">
      <c r="A117" t="s">
        <v>349</v>
      </c>
      <c r="B117">
        <v>45</v>
      </c>
    </row>
    <row r="118" spans="1:2">
      <c r="A118" t="s">
        <v>350</v>
      </c>
      <c r="B118">
        <v>46</v>
      </c>
    </row>
    <row r="119" spans="1:2">
      <c r="A119" t="s">
        <v>351</v>
      </c>
      <c r="B119">
        <v>47</v>
      </c>
    </row>
    <row r="120" spans="1:2">
      <c r="A120" t="s">
        <v>352</v>
      </c>
      <c r="B120">
        <v>48</v>
      </c>
    </row>
    <row r="121" spans="1:2">
      <c r="A121" t="s">
        <v>353</v>
      </c>
      <c r="B121">
        <v>49</v>
      </c>
    </row>
    <row r="122" spans="1:2">
      <c r="A122" t="s">
        <v>354</v>
      </c>
      <c r="B122">
        <v>50</v>
      </c>
    </row>
    <row r="123" spans="1:2">
      <c r="A123" t="s">
        <v>355</v>
      </c>
      <c r="B123">
        <v>51</v>
      </c>
    </row>
    <row r="124" spans="1:2">
      <c r="A124" t="s">
        <v>356</v>
      </c>
      <c r="B124">
        <v>52</v>
      </c>
    </row>
    <row r="125" spans="1:2">
      <c r="A125" t="s">
        <v>359</v>
      </c>
      <c r="B125">
        <v>54</v>
      </c>
    </row>
    <row r="126" spans="1:2">
      <c r="A126" t="s">
        <v>361</v>
      </c>
      <c r="B126">
        <v>55</v>
      </c>
    </row>
    <row r="127" spans="1:2">
      <c r="A127" t="s">
        <v>363</v>
      </c>
      <c r="B127">
        <v>56</v>
      </c>
    </row>
    <row r="128" spans="1:2">
      <c r="A128" t="s">
        <v>364</v>
      </c>
      <c r="B128">
        <v>57</v>
      </c>
    </row>
    <row r="129" spans="1:23">
      <c r="A129" t="s">
        <v>365</v>
      </c>
      <c r="B129">
        <v>58</v>
      </c>
    </row>
    <row r="130" spans="1:23">
      <c r="A130" t="s">
        <v>367</v>
      </c>
      <c r="B130" t="s">
        <v>368</v>
      </c>
    </row>
    <row r="131" spans="1:23">
      <c r="A131" t="s">
        <v>369</v>
      </c>
      <c r="B131" t="s">
        <v>370</v>
      </c>
    </row>
    <row r="132" spans="1:23">
      <c r="A132" t="s">
        <v>371</v>
      </c>
      <c r="B132" t="s">
        <v>372</v>
      </c>
    </row>
    <row r="133" spans="1:23">
      <c r="A133" t="s">
        <v>373</v>
      </c>
      <c r="B133" t="s">
        <v>374</v>
      </c>
    </row>
    <row r="134" spans="1:23">
      <c r="A134" t="s">
        <v>375</v>
      </c>
      <c r="B134" t="s">
        <v>376</v>
      </c>
    </row>
    <row r="135" spans="1:23">
      <c r="A135" t="s">
        <v>377</v>
      </c>
      <c r="B135" t="s">
        <v>378</v>
      </c>
    </row>
    <row r="136" spans="1:23">
      <c r="A136" t="s">
        <v>379</v>
      </c>
      <c r="B136" t="s">
        <v>380</v>
      </c>
    </row>
    <row r="137" spans="1:23">
      <c r="A137" t="s">
        <v>384</v>
      </c>
      <c r="B137" t="s">
        <v>73</v>
      </c>
      <c r="C137" t="s">
        <v>11</v>
      </c>
      <c r="D137" t="s">
        <v>45</v>
      </c>
      <c r="E137" t="s">
        <v>61</v>
      </c>
      <c r="F137" t="s">
        <v>69</v>
      </c>
      <c r="G137" t="s">
        <v>71</v>
      </c>
      <c r="H137" t="s">
        <v>49</v>
      </c>
      <c r="I137" t="s">
        <v>67</v>
      </c>
      <c r="J137" t="s">
        <v>47</v>
      </c>
      <c r="K137" t="s">
        <v>59</v>
      </c>
      <c r="L137" t="s">
        <v>65</v>
      </c>
      <c r="M137" t="s">
        <v>19</v>
      </c>
      <c r="N137" t="s">
        <v>79</v>
      </c>
      <c r="O137" t="s">
        <v>41</v>
      </c>
      <c r="P137" t="s">
        <v>51</v>
      </c>
      <c r="Q137" t="s">
        <v>75</v>
      </c>
      <c r="R137" t="s">
        <v>39</v>
      </c>
      <c r="S137" t="s">
        <v>15</v>
      </c>
      <c r="T137" t="s">
        <v>23</v>
      </c>
      <c r="U137" t="s">
        <v>63</v>
      </c>
      <c r="V137" t="s">
        <v>7</v>
      </c>
      <c r="W137" t="s">
        <v>55</v>
      </c>
    </row>
    <row r="138" spans="1:23">
      <c r="A138" t="s">
        <v>386</v>
      </c>
      <c r="B138">
        <v>1</v>
      </c>
    </row>
    <row r="139" spans="1:23">
      <c r="A139" t="s">
        <v>387</v>
      </c>
      <c r="B139">
        <v>2</v>
      </c>
    </row>
    <row r="140" spans="1:23">
      <c r="A140" t="s">
        <v>388</v>
      </c>
      <c r="B140">
        <v>3</v>
      </c>
    </row>
    <row r="141" spans="1:23">
      <c r="A141" t="s">
        <v>389</v>
      </c>
      <c r="B141">
        <v>4</v>
      </c>
    </row>
    <row r="142" spans="1:23">
      <c r="A142" t="s">
        <v>390</v>
      </c>
      <c r="B142">
        <v>5</v>
      </c>
    </row>
    <row r="143" spans="1:23">
      <c r="A143" t="s">
        <v>391</v>
      </c>
      <c r="B143">
        <v>6</v>
      </c>
    </row>
    <row r="144" spans="1:23">
      <c r="A144" t="s">
        <v>392</v>
      </c>
      <c r="B144">
        <v>8</v>
      </c>
    </row>
    <row r="145" spans="1:2">
      <c r="A145" t="s">
        <v>393</v>
      </c>
      <c r="B145">
        <v>9</v>
      </c>
    </row>
    <row r="146" spans="1:2">
      <c r="A146" t="s">
        <v>394</v>
      </c>
      <c r="B146">
        <v>10</v>
      </c>
    </row>
    <row r="147" spans="1:2">
      <c r="A147" t="s">
        <v>395</v>
      </c>
      <c r="B147">
        <v>11</v>
      </c>
    </row>
    <row r="148" spans="1:2">
      <c r="A148" t="s">
        <v>396</v>
      </c>
      <c r="B148">
        <v>12</v>
      </c>
    </row>
    <row r="149" spans="1:2">
      <c r="A149" t="s">
        <v>397</v>
      </c>
      <c r="B149">
        <v>13</v>
      </c>
    </row>
    <row r="150" spans="1:2">
      <c r="A150" t="s">
        <v>398</v>
      </c>
      <c r="B150">
        <v>14</v>
      </c>
    </row>
    <row r="151" spans="1:2">
      <c r="A151" t="s">
        <v>399</v>
      </c>
      <c r="B151">
        <v>15</v>
      </c>
    </row>
    <row r="152" spans="1:2">
      <c r="A152" t="s">
        <v>400</v>
      </c>
      <c r="B152">
        <v>16</v>
      </c>
    </row>
    <row r="153" spans="1:2">
      <c r="A153" t="s">
        <v>401</v>
      </c>
      <c r="B153">
        <v>17</v>
      </c>
    </row>
    <row r="154" spans="1:2">
      <c r="A154" t="s">
        <v>402</v>
      </c>
      <c r="B154">
        <v>18</v>
      </c>
    </row>
    <row r="155" spans="1:2">
      <c r="A155" t="s">
        <v>403</v>
      </c>
      <c r="B155">
        <v>19</v>
      </c>
    </row>
    <row r="156" spans="1:2">
      <c r="A156" t="s">
        <v>404</v>
      </c>
      <c r="B156">
        <v>20</v>
      </c>
    </row>
    <row r="157" spans="1:2">
      <c r="A157" t="s">
        <v>405</v>
      </c>
      <c r="B157">
        <v>21</v>
      </c>
    </row>
    <row r="158" spans="1:2">
      <c r="A158" t="s">
        <v>406</v>
      </c>
      <c r="B158">
        <v>22</v>
      </c>
    </row>
    <row r="159" spans="1:2">
      <c r="A159" t="s">
        <v>407</v>
      </c>
      <c r="B159">
        <v>23</v>
      </c>
    </row>
    <row r="160" spans="1:2">
      <c r="A160" t="s">
        <v>408</v>
      </c>
      <c r="B160">
        <v>24</v>
      </c>
    </row>
    <row r="161" spans="1:2">
      <c r="A161" t="s">
        <v>409</v>
      </c>
      <c r="B161">
        <v>25</v>
      </c>
    </row>
    <row r="162" spans="1:2">
      <c r="A162" t="s">
        <v>410</v>
      </c>
      <c r="B162">
        <v>26</v>
      </c>
    </row>
    <row r="163" spans="1:2">
      <c r="A163" t="s">
        <v>411</v>
      </c>
      <c r="B163">
        <v>27</v>
      </c>
    </row>
    <row r="164" spans="1:2">
      <c r="A164" t="s">
        <v>412</v>
      </c>
      <c r="B164">
        <v>28</v>
      </c>
    </row>
    <row r="165" spans="1:2">
      <c r="A165" t="s">
        <v>413</v>
      </c>
      <c r="B165">
        <v>29</v>
      </c>
    </row>
    <row r="166" spans="1:2">
      <c r="A166" t="s">
        <v>414</v>
      </c>
      <c r="B166">
        <v>31</v>
      </c>
    </row>
    <row r="167" spans="1:2">
      <c r="A167" t="s">
        <v>415</v>
      </c>
      <c r="B167">
        <v>32</v>
      </c>
    </row>
    <row r="168" spans="1:2">
      <c r="A168" t="s">
        <v>416</v>
      </c>
      <c r="B168">
        <v>33</v>
      </c>
    </row>
    <row r="169" spans="1:2">
      <c r="A169" t="s">
        <v>417</v>
      </c>
      <c r="B169">
        <v>34</v>
      </c>
    </row>
    <row r="170" spans="1:2">
      <c r="A170" t="s">
        <v>418</v>
      </c>
      <c r="B170">
        <v>35</v>
      </c>
    </row>
    <row r="171" spans="1:2">
      <c r="A171" t="s">
        <v>419</v>
      </c>
      <c r="B171">
        <v>36</v>
      </c>
    </row>
    <row r="172" spans="1:2">
      <c r="A172" t="s">
        <v>420</v>
      </c>
      <c r="B172">
        <v>37</v>
      </c>
    </row>
    <row r="173" spans="1:2">
      <c r="A173" t="s">
        <v>421</v>
      </c>
      <c r="B173">
        <v>38</v>
      </c>
    </row>
    <row r="174" spans="1:2">
      <c r="A174" t="s">
        <v>422</v>
      </c>
      <c r="B174">
        <v>39</v>
      </c>
    </row>
    <row r="175" spans="1:2">
      <c r="A175" t="s">
        <v>423</v>
      </c>
      <c r="B175">
        <v>40</v>
      </c>
    </row>
    <row r="176" spans="1:2">
      <c r="A176" t="s">
        <v>424</v>
      </c>
      <c r="B176">
        <v>41</v>
      </c>
    </row>
    <row r="177" spans="1:2">
      <c r="A177" t="s">
        <v>425</v>
      </c>
      <c r="B177">
        <v>42</v>
      </c>
    </row>
    <row r="178" spans="1:2">
      <c r="A178" t="s">
        <v>426</v>
      </c>
      <c r="B178">
        <v>43</v>
      </c>
    </row>
    <row r="179" spans="1:2">
      <c r="A179" t="s">
        <v>427</v>
      </c>
      <c r="B179">
        <v>44</v>
      </c>
    </row>
    <row r="180" spans="1:2">
      <c r="A180" t="s">
        <v>428</v>
      </c>
      <c r="B180">
        <v>45</v>
      </c>
    </row>
    <row r="181" spans="1:2">
      <c r="A181" t="s">
        <v>429</v>
      </c>
      <c r="B181">
        <v>46</v>
      </c>
    </row>
    <row r="182" spans="1:2">
      <c r="A182" t="s">
        <v>430</v>
      </c>
      <c r="B182">
        <v>47</v>
      </c>
    </row>
    <row r="183" spans="1:2">
      <c r="A183" t="s">
        <v>431</v>
      </c>
      <c r="B183">
        <v>48</v>
      </c>
    </row>
    <row r="184" spans="1:2">
      <c r="A184" t="s">
        <v>432</v>
      </c>
      <c r="B184">
        <v>49</v>
      </c>
    </row>
    <row r="185" spans="1:2">
      <c r="A185" t="s">
        <v>433</v>
      </c>
      <c r="B185">
        <v>50</v>
      </c>
    </row>
    <row r="186" spans="1:2">
      <c r="A186" t="s">
        <v>434</v>
      </c>
      <c r="B186">
        <v>51</v>
      </c>
    </row>
    <row r="187" spans="1:2">
      <c r="A187" t="s">
        <v>435</v>
      </c>
      <c r="B187">
        <v>52</v>
      </c>
    </row>
    <row r="188" spans="1:2">
      <c r="A188" t="s">
        <v>436</v>
      </c>
      <c r="B188">
        <v>54</v>
      </c>
    </row>
    <row r="189" spans="1:2">
      <c r="A189" t="s">
        <v>437</v>
      </c>
      <c r="B189">
        <v>55</v>
      </c>
    </row>
    <row r="190" spans="1:2">
      <c r="A190" t="s">
        <v>438</v>
      </c>
      <c r="B190">
        <v>56</v>
      </c>
    </row>
    <row r="191" spans="1:2">
      <c r="A191" t="s">
        <v>439</v>
      </c>
      <c r="B191">
        <v>57</v>
      </c>
    </row>
    <row r="192" spans="1:2">
      <c r="A192" t="s">
        <v>440</v>
      </c>
      <c r="B192">
        <v>58</v>
      </c>
    </row>
    <row r="193" spans="1:23">
      <c r="A193" t="s">
        <v>442</v>
      </c>
      <c r="B193" t="s">
        <v>443</v>
      </c>
    </row>
    <row r="194" spans="1:23">
      <c r="A194" t="s">
        <v>444</v>
      </c>
      <c r="B194" t="s">
        <v>445</v>
      </c>
    </row>
    <row r="195" spans="1:23">
      <c r="A195" t="s">
        <v>446</v>
      </c>
      <c r="B195" t="s">
        <v>447</v>
      </c>
    </row>
    <row r="196" spans="1:23">
      <c r="A196" t="s">
        <v>448</v>
      </c>
      <c r="B196" t="s">
        <v>449</v>
      </c>
    </row>
    <row r="197" spans="1:23">
      <c r="A197" t="s">
        <v>450</v>
      </c>
      <c r="B197" t="s">
        <v>451</v>
      </c>
    </row>
    <row r="198" spans="1:23">
      <c r="A198" t="s">
        <v>452</v>
      </c>
      <c r="B198" t="s">
        <v>453</v>
      </c>
    </row>
    <row r="199" spans="1:23">
      <c r="A199" t="s">
        <v>454</v>
      </c>
      <c r="B199" t="s">
        <v>455</v>
      </c>
    </row>
    <row r="200" spans="1:23">
      <c r="A200" t="s">
        <v>460</v>
      </c>
      <c r="B200" t="s">
        <v>19</v>
      </c>
      <c r="C200" t="s">
        <v>45</v>
      </c>
      <c r="D200" t="s">
        <v>61</v>
      </c>
      <c r="E200" t="s">
        <v>67</v>
      </c>
      <c r="F200" t="s">
        <v>79</v>
      </c>
      <c r="G200" t="s">
        <v>41</v>
      </c>
      <c r="H200" t="s">
        <v>65</v>
      </c>
      <c r="I200" t="s">
        <v>11</v>
      </c>
      <c r="J200" t="s">
        <v>73</v>
      </c>
      <c r="K200" t="s">
        <v>69</v>
      </c>
      <c r="L200" t="s">
        <v>49</v>
      </c>
      <c r="M200" t="s">
        <v>71</v>
      </c>
      <c r="N200" t="s">
        <v>59</v>
      </c>
      <c r="O200" t="s">
        <v>47</v>
      </c>
      <c r="P200" t="s">
        <v>23</v>
      </c>
      <c r="Q200" t="s">
        <v>39</v>
      </c>
      <c r="R200" t="s">
        <v>55</v>
      </c>
      <c r="S200" t="s">
        <v>75</v>
      </c>
      <c r="T200" t="s">
        <v>63</v>
      </c>
      <c r="U200" t="s">
        <v>7</v>
      </c>
      <c r="V200" t="s">
        <v>15</v>
      </c>
      <c r="W200" t="s">
        <v>51</v>
      </c>
    </row>
    <row r="201" spans="1:23">
      <c r="A201" t="s">
        <v>462</v>
      </c>
      <c r="B201">
        <v>1</v>
      </c>
    </row>
    <row r="202" spans="1:23">
      <c r="A202" t="s">
        <v>463</v>
      </c>
      <c r="B202">
        <v>2</v>
      </c>
    </row>
    <row r="203" spans="1:23">
      <c r="A203" t="s">
        <v>464</v>
      </c>
      <c r="B203">
        <v>3</v>
      </c>
    </row>
    <row r="204" spans="1:23">
      <c r="A204" t="s">
        <v>465</v>
      </c>
      <c r="B204">
        <v>4</v>
      </c>
    </row>
    <row r="205" spans="1:23">
      <c r="A205" t="s">
        <v>466</v>
      </c>
      <c r="B205">
        <v>5</v>
      </c>
    </row>
    <row r="206" spans="1:23">
      <c r="A206" t="s">
        <v>467</v>
      </c>
      <c r="B206">
        <v>6</v>
      </c>
    </row>
    <row r="207" spans="1:23">
      <c r="A207" t="s">
        <v>468</v>
      </c>
      <c r="B207">
        <v>7</v>
      </c>
    </row>
    <row r="208" spans="1:23">
      <c r="A208" t="s">
        <v>469</v>
      </c>
      <c r="B208">
        <v>9</v>
      </c>
    </row>
    <row r="209" spans="1:2">
      <c r="A209" t="s">
        <v>470</v>
      </c>
      <c r="B209">
        <v>10</v>
      </c>
    </row>
    <row r="210" spans="1:2">
      <c r="A210" t="s">
        <v>471</v>
      </c>
      <c r="B210">
        <v>11</v>
      </c>
    </row>
    <row r="211" spans="1:2">
      <c r="A211" t="s">
        <v>472</v>
      </c>
      <c r="B211">
        <v>12</v>
      </c>
    </row>
    <row r="212" spans="1:2">
      <c r="A212" t="s">
        <v>473</v>
      </c>
      <c r="B212">
        <v>13</v>
      </c>
    </row>
    <row r="213" spans="1:2">
      <c r="A213" t="s">
        <v>474</v>
      </c>
      <c r="B213">
        <v>14</v>
      </c>
    </row>
    <row r="214" spans="1:2">
      <c r="A214" t="s">
        <v>475</v>
      </c>
      <c r="B214">
        <v>15</v>
      </c>
    </row>
    <row r="215" spans="1:2">
      <c r="A215" t="s">
        <v>476</v>
      </c>
      <c r="B215">
        <v>16</v>
      </c>
    </row>
    <row r="216" spans="1:2">
      <c r="A216" t="s">
        <v>477</v>
      </c>
      <c r="B216">
        <v>17</v>
      </c>
    </row>
    <row r="217" spans="1:2">
      <c r="A217" t="s">
        <v>478</v>
      </c>
      <c r="B217">
        <v>18</v>
      </c>
    </row>
    <row r="218" spans="1:2">
      <c r="A218" t="s">
        <v>479</v>
      </c>
      <c r="B218">
        <v>19</v>
      </c>
    </row>
    <row r="219" spans="1:2">
      <c r="A219" t="s">
        <v>480</v>
      </c>
      <c r="B219">
        <v>20</v>
      </c>
    </row>
    <row r="220" spans="1:2">
      <c r="A220" t="s">
        <v>481</v>
      </c>
      <c r="B220">
        <v>21</v>
      </c>
    </row>
    <row r="221" spans="1:2">
      <c r="A221" t="s">
        <v>482</v>
      </c>
      <c r="B221">
        <v>22</v>
      </c>
    </row>
    <row r="222" spans="1:2">
      <c r="A222" t="s">
        <v>483</v>
      </c>
      <c r="B222">
        <v>23</v>
      </c>
    </row>
    <row r="223" spans="1:2">
      <c r="A223" t="s">
        <v>484</v>
      </c>
      <c r="B223">
        <v>24</v>
      </c>
    </row>
    <row r="224" spans="1:2">
      <c r="A224" t="s">
        <v>485</v>
      </c>
      <c r="B224">
        <v>25</v>
      </c>
    </row>
    <row r="225" spans="1:2">
      <c r="A225" t="s">
        <v>486</v>
      </c>
      <c r="B225">
        <v>26</v>
      </c>
    </row>
    <row r="226" spans="1:2">
      <c r="A226" t="s">
        <v>487</v>
      </c>
      <c r="B226">
        <v>27</v>
      </c>
    </row>
    <row r="227" spans="1:2">
      <c r="A227" t="s">
        <v>488</v>
      </c>
      <c r="B227">
        <v>28</v>
      </c>
    </row>
    <row r="228" spans="1:2">
      <c r="A228" t="s">
        <v>489</v>
      </c>
      <c r="B228">
        <v>29</v>
      </c>
    </row>
    <row r="229" spans="1:2">
      <c r="A229" t="s">
        <v>490</v>
      </c>
      <c r="B229">
        <v>30</v>
      </c>
    </row>
    <row r="230" spans="1:2">
      <c r="A230" t="s">
        <v>491</v>
      </c>
      <c r="B230">
        <v>31</v>
      </c>
    </row>
    <row r="231" spans="1:2">
      <c r="A231" t="s">
        <v>492</v>
      </c>
      <c r="B231">
        <v>33</v>
      </c>
    </row>
    <row r="232" spans="1:2">
      <c r="A232" t="s">
        <v>493</v>
      </c>
      <c r="B232">
        <v>34</v>
      </c>
    </row>
    <row r="233" spans="1:2">
      <c r="A233" t="s">
        <v>494</v>
      </c>
      <c r="B233">
        <v>35</v>
      </c>
    </row>
    <row r="234" spans="1:2">
      <c r="A234" t="s">
        <v>495</v>
      </c>
      <c r="B234">
        <v>36</v>
      </c>
    </row>
    <row r="235" spans="1:2">
      <c r="A235" t="s">
        <v>496</v>
      </c>
      <c r="B235">
        <v>37</v>
      </c>
    </row>
    <row r="236" spans="1:2">
      <c r="A236" t="s">
        <v>497</v>
      </c>
      <c r="B236">
        <v>38</v>
      </c>
    </row>
    <row r="237" spans="1:2">
      <c r="A237" t="s">
        <v>498</v>
      </c>
      <c r="B237">
        <v>39</v>
      </c>
    </row>
    <row r="238" spans="1:2">
      <c r="A238" t="s">
        <v>499</v>
      </c>
      <c r="B238">
        <v>40</v>
      </c>
    </row>
    <row r="239" spans="1:2">
      <c r="A239" t="s">
        <v>500</v>
      </c>
      <c r="B239">
        <v>41</v>
      </c>
    </row>
    <row r="240" spans="1:2">
      <c r="A240" t="s">
        <v>501</v>
      </c>
      <c r="B240">
        <v>42</v>
      </c>
    </row>
    <row r="241" spans="1:2">
      <c r="A241" t="s">
        <v>502</v>
      </c>
      <c r="B241">
        <v>43</v>
      </c>
    </row>
    <row r="242" spans="1:2">
      <c r="A242" t="s">
        <v>503</v>
      </c>
      <c r="B242">
        <v>44</v>
      </c>
    </row>
    <row r="243" spans="1:2">
      <c r="A243" t="s">
        <v>504</v>
      </c>
      <c r="B243">
        <v>45</v>
      </c>
    </row>
    <row r="244" spans="1:2">
      <c r="A244" t="s">
        <v>505</v>
      </c>
      <c r="B244">
        <v>46</v>
      </c>
    </row>
    <row r="245" spans="1:2">
      <c r="A245" t="s">
        <v>506</v>
      </c>
      <c r="B245">
        <v>47</v>
      </c>
    </row>
    <row r="246" spans="1:2">
      <c r="A246" t="s">
        <v>507</v>
      </c>
      <c r="B246">
        <v>48</v>
      </c>
    </row>
    <row r="247" spans="1:2">
      <c r="A247" t="s">
        <v>508</v>
      </c>
      <c r="B247">
        <v>49</v>
      </c>
    </row>
    <row r="248" spans="1:2">
      <c r="A248" t="s">
        <v>509</v>
      </c>
      <c r="B248">
        <v>50</v>
      </c>
    </row>
    <row r="249" spans="1:2">
      <c r="A249" t="s">
        <v>510</v>
      </c>
      <c r="B249">
        <v>51</v>
      </c>
    </row>
    <row r="250" spans="1:2">
      <c r="A250" t="s">
        <v>511</v>
      </c>
      <c r="B250">
        <v>52</v>
      </c>
    </row>
    <row r="251" spans="1:2">
      <c r="A251" t="s">
        <v>512</v>
      </c>
      <c r="B251">
        <v>53</v>
      </c>
    </row>
    <row r="252" spans="1:2">
      <c r="A252" t="s">
        <v>513</v>
      </c>
      <c r="B252">
        <v>54</v>
      </c>
    </row>
    <row r="253" spans="1:2">
      <c r="A253" t="s">
        <v>514</v>
      </c>
      <c r="B253">
        <v>55</v>
      </c>
    </row>
    <row r="254" spans="1:2">
      <c r="A254" t="s">
        <v>515</v>
      </c>
      <c r="B254">
        <v>57</v>
      </c>
    </row>
    <row r="255" spans="1:2">
      <c r="A255" t="s">
        <v>516</v>
      </c>
      <c r="B255">
        <v>58</v>
      </c>
    </row>
    <row r="256" spans="1:2">
      <c r="A256" t="s">
        <v>517</v>
      </c>
      <c r="B256">
        <v>59</v>
      </c>
    </row>
    <row r="257" spans="1:2">
      <c r="A257" t="s">
        <v>518</v>
      </c>
      <c r="B257">
        <v>61</v>
      </c>
    </row>
    <row r="258" spans="1:2">
      <c r="A258" t="s">
        <v>519</v>
      </c>
      <c r="B258">
        <v>62</v>
      </c>
    </row>
    <row r="259" spans="1:2">
      <c r="A259" t="s">
        <v>520</v>
      </c>
      <c r="B259">
        <v>63</v>
      </c>
    </row>
    <row r="260" spans="1:2">
      <c r="A260" t="s">
        <v>521</v>
      </c>
      <c r="B260">
        <v>64</v>
      </c>
    </row>
    <row r="261" spans="1:2">
      <c r="A261" t="s">
        <v>522</v>
      </c>
      <c r="B261">
        <v>65</v>
      </c>
    </row>
    <row r="262" spans="1:2">
      <c r="A262" t="s">
        <v>523</v>
      </c>
      <c r="B262">
        <v>67</v>
      </c>
    </row>
    <row r="263" spans="1:2">
      <c r="A263" t="s">
        <v>524</v>
      </c>
      <c r="B263">
        <v>68</v>
      </c>
    </row>
    <row r="264" spans="1:2">
      <c r="A264" t="s">
        <v>525</v>
      </c>
      <c r="B264">
        <v>69</v>
      </c>
    </row>
    <row r="265" spans="1:2">
      <c r="A265" t="s">
        <v>526</v>
      </c>
      <c r="B265">
        <v>70</v>
      </c>
    </row>
    <row r="266" spans="1:2">
      <c r="A266" t="s">
        <v>527</v>
      </c>
      <c r="B266">
        <v>71</v>
      </c>
    </row>
    <row r="267" spans="1:2">
      <c r="A267" t="s">
        <v>529</v>
      </c>
      <c r="B267" t="s">
        <v>530</v>
      </c>
    </row>
    <row r="268" spans="1:2">
      <c r="A268" t="s">
        <v>531</v>
      </c>
      <c r="B268" t="s">
        <v>532</v>
      </c>
    </row>
    <row r="269" spans="1:2">
      <c r="A269" t="s">
        <v>533</v>
      </c>
      <c r="B269" t="s">
        <v>534</v>
      </c>
    </row>
    <row r="270" spans="1:2">
      <c r="A270" t="s">
        <v>535</v>
      </c>
      <c r="B270" t="s">
        <v>536</v>
      </c>
    </row>
    <row r="271" spans="1:2">
      <c r="A271" t="s">
        <v>537</v>
      </c>
      <c r="B271" t="s">
        <v>538</v>
      </c>
    </row>
    <row r="272" spans="1:2">
      <c r="A272" t="s">
        <v>539</v>
      </c>
      <c r="B272" t="s">
        <v>540</v>
      </c>
    </row>
    <row r="273" spans="1:24">
      <c r="A273" t="s">
        <v>541</v>
      </c>
      <c r="B273" t="s">
        <v>542</v>
      </c>
    </row>
    <row r="274" spans="1:24">
      <c r="A274" t="s">
        <v>547</v>
      </c>
      <c r="B274" t="s">
        <v>65</v>
      </c>
      <c r="C274" t="s">
        <v>45</v>
      </c>
      <c r="D274" t="s">
        <v>21</v>
      </c>
      <c r="E274" t="s">
        <v>67</v>
      </c>
      <c r="F274" t="s">
        <v>71</v>
      </c>
      <c r="G274" t="s">
        <v>47</v>
      </c>
      <c r="H274" t="s">
        <v>61</v>
      </c>
      <c r="I274" t="s">
        <v>19</v>
      </c>
      <c r="J274" t="s">
        <v>39</v>
      </c>
      <c r="K274" t="s">
        <v>63</v>
      </c>
      <c r="L274" t="s">
        <v>7</v>
      </c>
      <c r="M274" t="s">
        <v>25</v>
      </c>
      <c r="N274" t="s">
        <v>41</v>
      </c>
      <c r="O274" t="s">
        <v>69</v>
      </c>
      <c r="P274" t="s">
        <v>51</v>
      </c>
      <c r="Q274" t="s">
        <v>49</v>
      </c>
      <c r="R274" t="s">
        <v>59</v>
      </c>
      <c r="S274" t="s">
        <v>11</v>
      </c>
      <c r="T274" t="s">
        <v>73</v>
      </c>
      <c r="U274" t="s">
        <v>15</v>
      </c>
      <c r="V274" t="s">
        <v>23</v>
      </c>
      <c r="W274" t="s">
        <v>55</v>
      </c>
      <c r="X274" t="s">
        <v>75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H38"/>
  <sheetViews>
    <sheetView zoomScale="85" zoomScaleNormal="85" workbookViewId="0">
      <pane xSplit="2" topLeftCell="AL1" activePane="topRight" state="frozen"/>
      <selection pane="topRight" activeCell="AM5" sqref="AM5"/>
    </sheetView>
  </sheetViews>
  <sheetFormatPr defaultRowHeight="14.4" outlineLevelRow="2"/>
  <cols>
    <col min="1" max="1" width="9.109375"/>
    <col min="2" max="2" width="24.6640625" customWidth="1"/>
    <col min="3" max="4" width="10.6640625" customWidth="1"/>
    <col min="5" max="6" width="9.109375"/>
    <col min="7" max="7" width="1.6640625" customWidth="1"/>
    <col min="8" max="9" width="9.10937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26" max="29" width="9.109375"/>
    <col min="30" max="30" width="1.6640625" customWidth="1"/>
    <col min="31" max="32" width="9.109375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49" max="52" width="9.109375"/>
    <col min="53" max="53" width="1.6640625" customWidth="1"/>
    <col min="54" max="58" width="9.109375"/>
    <col min="59" max="59" width="1.6640625" customWidth="1"/>
  </cols>
  <sheetData>
    <row r="1" spans="1:60">
      <c r="A1" s="68" t="s">
        <v>366</v>
      </c>
      <c r="B1" s="68"/>
      <c r="C1" s="68"/>
      <c r="D1" s="68"/>
      <c r="E1" s="68"/>
      <c r="F1" s="68"/>
      <c r="H1" s="64" t="s">
        <v>2</v>
      </c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E1" s="65" t="s">
        <v>3</v>
      </c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</row>
    <row r="2" spans="1:60" ht="30" customHeight="1">
      <c r="A2" s="70" t="s">
        <v>93</v>
      </c>
      <c r="B2" s="69" t="s">
        <v>96</v>
      </c>
      <c r="C2" s="70" t="s">
        <v>102</v>
      </c>
      <c r="D2" s="69" t="s">
        <v>105</v>
      </c>
      <c r="E2" s="70" t="s">
        <v>108</v>
      </c>
      <c r="F2" s="69" t="s">
        <v>111</v>
      </c>
      <c r="H2" s="70" t="s">
        <v>310</v>
      </c>
      <c r="I2" s="69" t="s">
        <v>114</v>
      </c>
      <c r="J2" s="67" t="s">
        <v>117</v>
      </c>
      <c r="K2" s="67"/>
      <c r="L2" s="67"/>
      <c r="M2" s="67"/>
      <c r="N2" s="70" t="s">
        <v>130</v>
      </c>
      <c r="O2" s="69" t="s">
        <v>133</v>
      </c>
      <c r="P2" s="70" t="s">
        <v>24</v>
      </c>
      <c r="Q2" s="66" t="s">
        <v>142</v>
      </c>
      <c r="R2" s="66"/>
      <c r="S2" s="66"/>
      <c r="T2" s="66"/>
      <c r="U2" s="67" t="s">
        <v>153</v>
      </c>
      <c r="V2" s="67"/>
      <c r="W2" s="66" t="s">
        <v>160</v>
      </c>
      <c r="X2" s="66"/>
      <c r="Y2" s="66"/>
      <c r="Z2" s="67" t="s">
        <v>170</v>
      </c>
      <c r="AA2" s="67"/>
      <c r="AB2" s="66" t="s">
        <v>177</v>
      </c>
      <c r="AC2" s="66"/>
      <c r="AE2" s="70" t="s">
        <v>310</v>
      </c>
      <c r="AF2" s="69" t="s">
        <v>114</v>
      </c>
      <c r="AG2" s="67" t="s">
        <v>117</v>
      </c>
      <c r="AH2" s="67"/>
      <c r="AI2" s="67"/>
      <c r="AJ2" s="67"/>
      <c r="AK2" s="70" t="s">
        <v>192</v>
      </c>
      <c r="AL2" s="69" t="s">
        <v>133</v>
      </c>
      <c r="AM2" s="70" t="s">
        <v>24</v>
      </c>
      <c r="AN2" s="66" t="s">
        <v>142</v>
      </c>
      <c r="AO2" s="66"/>
      <c r="AP2" s="66"/>
      <c r="AQ2" s="66"/>
      <c r="AR2" s="67" t="s">
        <v>153</v>
      </c>
      <c r="AS2" s="67"/>
      <c r="AT2" s="66" t="s">
        <v>160</v>
      </c>
      <c r="AU2" s="66"/>
      <c r="AV2" s="66"/>
      <c r="AW2" s="67" t="s">
        <v>170</v>
      </c>
      <c r="AX2" s="67"/>
      <c r="AY2" s="66" t="s">
        <v>177</v>
      </c>
      <c r="AZ2" s="66"/>
      <c r="BB2" s="67" t="s">
        <v>357</v>
      </c>
      <c r="BC2" s="67"/>
      <c r="BD2" s="67"/>
      <c r="BE2" s="69" t="s">
        <v>232</v>
      </c>
      <c r="BF2" s="70" t="s">
        <v>232</v>
      </c>
      <c r="BH2" t="s">
        <v>550</v>
      </c>
    </row>
    <row r="3" spans="1:60" ht="29.4" thickBot="1">
      <c r="A3" s="70"/>
      <c r="B3" s="69"/>
      <c r="C3" s="70"/>
      <c r="D3" s="69"/>
      <c r="E3" s="70"/>
      <c r="F3" s="69"/>
      <c r="H3" s="70"/>
      <c r="I3" s="69"/>
      <c r="J3" s="11" t="s">
        <v>118</v>
      </c>
      <c r="K3" s="11" t="s">
        <v>121</v>
      </c>
      <c r="L3" s="11" t="s">
        <v>124</v>
      </c>
      <c r="M3" s="11" t="s">
        <v>127</v>
      </c>
      <c r="N3" s="70"/>
      <c r="O3" s="69"/>
      <c r="P3" s="70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70"/>
      <c r="AF3" s="69"/>
      <c r="AG3" s="11" t="s">
        <v>118</v>
      </c>
      <c r="AH3" s="11" t="s">
        <v>121</v>
      </c>
      <c r="AI3" s="11" t="s">
        <v>124</v>
      </c>
      <c r="AJ3" s="11" t="s">
        <v>127</v>
      </c>
      <c r="AK3" s="70"/>
      <c r="AL3" s="69"/>
      <c r="AM3" s="70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69"/>
      <c r="BF3" s="70"/>
    </row>
    <row r="4" spans="1:60" ht="127.2" hidden="1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0.2960046198161877</v>
      </c>
      <c r="I5" s="17">
        <f>IF(OR(ISBLANK(Q5),ISBLANK(F5)),"·",Q5*F5/E5/1000000)</f>
        <v>207.83138249999999</v>
      </c>
      <c r="J5" s="18">
        <f>IF(ISBLANK(Q5),"·",Q5/C5)</f>
        <v>8.880138594485631</v>
      </c>
      <c r="K5" s="18">
        <f>IF(N5="","·",N5/C5)</f>
        <v>1.3759194631521297</v>
      </c>
      <c r="L5" s="18">
        <f>IF(R5="","·",R5/C5)</f>
        <v>1.2950767924002762</v>
      </c>
      <c r="M5" s="18">
        <f>IF(ISBLANK(T5),"·",T5/C5)</f>
        <v>7.5042148585723538</v>
      </c>
      <c r="N5" s="15">
        <f>IF(OR(ISBLANK(R5),ISBLANK(S5)),"",R5+S5)</f>
        <v>34348922.666666701</v>
      </c>
      <c r="O5" s="18">
        <f>IF(ISBLANK(Q5),"·",Q5/P5)</f>
        <v>8.880138594485631</v>
      </c>
      <c r="P5" s="19">
        <v>24964341</v>
      </c>
      <c r="Q5" s="20">
        <v>221686808</v>
      </c>
      <c r="R5" s="20">
        <v>32330738.666666701</v>
      </c>
      <c r="S5" s="20">
        <v>2018184</v>
      </c>
      <c r="T5" s="20">
        <v>187337778.66666701</v>
      </c>
      <c r="U5" s="21" t="s">
        <v>549</v>
      </c>
      <c r="V5" s="21" t="s">
        <v>549</v>
      </c>
      <c r="W5" s="21" t="s">
        <v>549</v>
      </c>
      <c r="X5" s="21" t="s">
        <v>549</v>
      </c>
      <c r="Y5" s="21" t="s">
        <v>549</v>
      </c>
      <c r="Z5" s="22">
        <v>4506.74</v>
      </c>
      <c r="AA5" s="22">
        <v>5470.87</v>
      </c>
      <c r="AB5" s="22">
        <v>3.9420000000000002</v>
      </c>
      <c r="AC5" s="22">
        <v>23.63</v>
      </c>
      <c r="AE5" s="23" t="str">
        <f>IF(ISBLANK(AN5),"·",AN5/(C5*D5*3))</f>
        <v>·</v>
      </c>
      <c r="AF5" s="17" t="str">
        <f>IF(OR(ISBLANK(AN5),ISBLANK(F5)),"·",AN5*F5/E5/1000000)</f>
        <v>·</v>
      </c>
      <c r="AG5" s="18" t="str">
        <f>IF(ISBLANK(AN5),"·",AN5/C5)</f>
        <v>·</v>
      </c>
      <c r="AH5" s="18" t="str">
        <f>IF(AK5="","·",AK5/C5)</f>
        <v>·</v>
      </c>
      <c r="AI5" s="18" t="str">
        <f>IF(AO5="","·",AO5/C5)</f>
        <v>·</v>
      </c>
      <c r="AJ5" s="18" t="str">
        <f>IF(ISBLANK(AQ5),"·",AQ5/C5)</f>
        <v>·</v>
      </c>
      <c r="AK5" s="15" t="str">
        <f>IF(OR(ISBLANK(AO5),ISBLANK(AP5)),"",AO5+AP5)</f>
        <v/>
      </c>
      <c r="AL5" s="18" t="str">
        <f>IF(ISBLANK(AN5),"·",AN5/AM5)</f>
        <v>·</v>
      </c>
      <c r="AM5" s="19"/>
      <c r="AN5" s="20"/>
      <c r="AO5" s="20"/>
      <c r="AP5" s="20"/>
      <c r="AQ5" s="20"/>
      <c r="AR5" s="21"/>
      <c r="AS5" s="21"/>
      <c r="AT5" s="21"/>
      <c r="AU5" s="21"/>
      <c r="AV5" s="21"/>
      <c r="AW5" s="22"/>
      <c r="AX5" s="22"/>
      <c r="AY5" s="22"/>
      <c r="AZ5" s="22"/>
      <c r="BB5" s="24" t="e">
        <f t="shared" ref="BB5:BB12" si="0">AG5/J5</f>
        <v>#VALUE!</v>
      </c>
      <c r="BC5" s="24" t="e">
        <f t="shared" ref="BC5:BD12" si="1">AI5/L5</f>
        <v>#VALUE!</v>
      </c>
      <c r="BD5" s="24" t="e">
        <f t="shared" si="1"/>
        <v>#VALUE!</v>
      </c>
      <c r="BE5" s="23" t="e">
        <f>(AK5/AN5) - (N5/Q5)</f>
        <v>#VALUE!</v>
      </c>
      <c r="BF5" s="23" t="e">
        <f t="array" ref="BF5">AVERAGE(AK5:AK5/AN5:AN5) - AVERAGE(N5:N5/Q5:Q5)</f>
        <v>#VALUE!</v>
      </c>
      <c r="BH5">
        <f>AN5-Q5</f>
        <v>-221686808</v>
      </c>
    </row>
    <row r="6" spans="1:60" collapsed="1">
      <c r="A6" s="25"/>
      <c r="B6" s="25" t="s">
        <v>275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0.42520766212683186</v>
      </c>
      <c r="I6" s="27">
        <f>IF(OR(ISBLANK(Q6),ISBLANK(F6)),"·",Q6*F6/E6/1000000)</f>
        <v>270.92784</v>
      </c>
      <c r="J6" s="28">
        <f>IF(ISBLANK(Q6),"·",Q6/C6)</f>
        <v>12.756229863804956</v>
      </c>
      <c r="K6" s="28">
        <f>IF(N6="","·",N6/C6)</f>
        <v>1.6764675524749624</v>
      </c>
      <c r="L6" s="28">
        <f>IF(R6="","·",R6/C6)</f>
        <v>1.5349109041212743</v>
      </c>
      <c r="M6" s="28">
        <f>IF(ISBLANK(T6),"·",T6/C6)</f>
        <v>11.079757602980413</v>
      </c>
      <c r="N6" s="25">
        <f>IF(OR(ISBLANK(R6),ISBLANK(S6)),"",R6+S6)</f>
        <v>37980018.666666701</v>
      </c>
      <c r="O6" s="28">
        <f>IF(ISBLANK(Q6),"·",Q6/P6)</f>
        <v>12.756229863804956</v>
      </c>
      <c r="P6" s="29">
        <v>22654789</v>
      </c>
      <c r="Q6" s="30">
        <v>288989696</v>
      </c>
      <c r="R6" s="30">
        <v>34773082.666666701</v>
      </c>
      <c r="S6" s="30">
        <v>3206936</v>
      </c>
      <c r="T6" s="30">
        <v>251009570.66666701</v>
      </c>
      <c r="U6" s="31" t="s">
        <v>549</v>
      </c>
      <c r="V6" s="31" t="s">
        <v>549</v>
      </c>
      <c r="W6" s="31" t="s">
        <v>549</v>
      </c>
      <c r="X6" s="31" t="s">
        <v>549</v>
      </c>
      <c r="Y6" s="31" t="s">
        <v>549</v>
      </c>
      <c r="Z6" s="32">
        <v>4105.2700000000004</v>
      </c>
      <c r="AA6" s="32">
        <v>5585.92</v>
      </c>
      <c r="AB6" s="32">
        <v>4.3099999999999996</v>
      </c>
      <c r="AC6" s="32">
        <v>26.187000000000001</v>
      </c>
      <c r="AE6" s="33" t="str">
        <f>IF(ISBLANK(AN6),"·",AN6/(C6*D6*3))</f>
        <v>·</v>
      </c>
      <c r="AF6" s="27" t="str">
        <f>IF(OR(ISBLANK(AN6),ISBLANK(F6)),"·",AN6*F6/E6/1000000)</f>
        <v>·</v>
      </c>
      <c r="AG6" s="28" t="str">
        <f>IF(ISBLANK(AN6),"·",AN6/C6)</f>
        <v>·</v>
      </c>
      <c r="AH6" s="28" t="str">
        <f>IF(AK6="","·",AK6/C6)</f>
        <v>·</v>
      </c>
      <c r="AI6" s="28" t="str">
        <f>IF(AO6="","·",AO6/C6)</f>
        <v>·</v>
      </c>
      <c r="AJ6" s="28" t="str">
        <f>IF(ISBLANK(AQ6),"·",AQ6/C6)</f>
        <v>·</v>
      </c>
      <c r="AK6" s="25" t="str">
        <f>IF(OR(ISBLANK(AO6),ISBLANK(AP6)),"",AO6+AP6)</f>
        <v/>
      </c>
      <c r="AL6" s="28" t="str">
        <f>IF(ISBLANK(AN6),"·",AN6/AM6)</f>
        <v>·</v>
      </c>
      <c r="AM6" s="29"/>
      <c r="AN6" s="30"/>
      <c r="AO6" s="30"/>
      <c r="AP6" s="30"/>
      <c r="AQ6" s="30"/>
      <c r="AR6" s="31"/>
      <c r="AS6" s="31"/>
      <c r="AT6" s="31"/>
      <c r="AU6" s="31"/>
      <c r="AV6" s="31"/>
      <c r="AW6" s="32"/>
      <c r="AX6" s="32"/>
      <c r="AY6" s="32"/>
      <c r="AZ6" s="32"/>
      <c r="BB6" s="34" t="e">
        <f t="shared" si="0"/>
        <v>#VALUE!</v>
      </c>
      <c r="BC6" s="34" t="e">
        <f t="shared" si="1"/>
        <v>#VALUE!</v>
      </c>
      <c r="BD6" s="34" t="e">
        <f t="shared" si="1"/>
        <v>#VALUE!</v>
      </c>
      <c r="BE6" s="33" t="e">
        <f>(AK6/AN6) - (N6/Q6)</f>
        <v>#VALUE!</v>
      </c>
      <c r="BF6" s="33" t="e">
        <f t="array" ref="BF6">AVERAGE(AK6:AK6/AN6:AN6) - AVERAGE(N6:N6/Q6:Q6)</f>
        <v>#VALUE!</v>
      </c>
      <c r="BH6" s="4">
        <f t="shared" ref="BH6:BH9" si="2">AN6-Q6</f>
        <v>-288989696</v>
      </c>
    </row>
    <row r="7" spans="1:60" collapsed="1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0.32926431952411844</v>
      </c>
      <c r="I7" s="17">
        <f>IF(OR(ISBLANK(Q7),ISBLANK(F7)),"·",Q7*F7/E7/1000000)</f>
        <v>314.37484499999999</v>
      </c>
      <c r="J7" s="18">
        <f>IF(ISBLANK(Q7),"·",Q7/C7)</f>
        <v>9.8779295857235532</v>
      </c>
      <c r="K7" s="18">
        <f>IF(N7="","·",N7/C7)</f>
        <v>1.6103822550507432</v>
      </c>
      <c r="L7" s="18">
        <f>IF(R7="","·",R7/C7)</f>
        <v>1.4965773742631743</v>
      </c>
      <c r="M7" s="18">
        <f>IF(ISBLANK(T7),"·",T7/C7)</f>
        <v>8.2675441885863137</v>
      </c>
      <c r="N7" s="15">
        <f>IF(OR(ISBLANK(R7),ISBLANK(S7)),"",R7+S7)</f>
        <v>54668802.666666701</v>
      </c>
      <c r="O7" s="18">
        <f>IF(ISBLANK(Q7),"·",Q7/P7)</f>
        <v>9.8779295857235532</v>
      </c>
      <c r="P7" s="19">
        <v>33947718</v>
      </c>
      <c r="Q7" s="20">
        <v>335333168</v>
      </c>
      <c r="R7" s="20">
        <v>50805386.666666701</v>
      </c>
      <c r="S7" s="20">
        <v>3863416</v>
      </c>
      <c r="T7" s="20">
        <v>280664258.66666698</v>
      </c>
      <c r="U7" s="21" t="s">
        <v>549</v>
      </c>
      <c r="V7" s="21" t="s">
        <v>549</v>
      </c>
      <c r="W7" s="21" t="s">
        <v>549</v>
      </c>
      <c r="X7" s="21" t="s">
        <v>549</v>
      </c>
      <c r="Y7" s="21" t="s">
        <v>549</v>
      </c>
      <c r="Z7" s="22">
        <v>6033.73</v>
      </c>
      <c r="AA7" s="22">
        <v>7255.5</v>
      </c>
      <c r="AB7" s="22">
        <v>5.4530000000000003</v>
      </c>
      <c r="AC7" s="22">
        <v>26.210999999999999</v>
      </c>
      <c r="AE7" s="23" t="str">
        <f>IF(ISBLANK(AN7),"·",AN7/(C7*D7*3))</f>
        <v>·</v>
      </c>
      <c r="AF7" s="17" t="str">
        <f>IF(OR(ISBLANK(AN7),ISBLANK(F7)),"·",AN7*F7/E7/1000000)</f>
        <v>·</v>
      </c>
      <c r="AG7" s="18" t="str">
        <f>IF(ISBLANK(AN7),"·",AN7/C7)</f>
        <v>·</v>
      </c>
      <c r="AH7" s="18" t="str">
        <f>IF(AK7="","·",AK7/C7)</f>
        <v>·</v>
      </c>
      <c r="AI7" s="18" t="str">
        <f>IF(AO7="","·",AO7/C7)</f>
        <v>·</v>
      </c>
      <c r="AJ7" s="18" t="str">
        <f>IF(ISBLANK(AQ7),"·",AQ7/C7)</f>
        <v>·</v>
      </c>
      <c r="AK7" s="15" t="str">
        <f>IF(OR(ISBLANK(AO7),ISBLANK(AP7)),"",AO7+AP7)</f>
        <v/>
      </c>
      <c r="AL7" s="18" t="str">
        <f>IF(ISBLANK(AN7),"·",AN7/AM7)</f>
        <v>·</v>
      </c>
      <c r="AM7" s="19"/>
      <c r="AN7" s="20"/>
      <c r="AO7" s="20"/>
      <c r="AP7" s="20"/>
      <c r="AQ7" s="20"/>
      <c r="AR7" s="21"/>
      <c r="AS7" s="21"/>
      <c r="AT7" s="21"/>
      <c r="AU7" s="21"/>
      <c r="AV7" s="21"/>
      <c r="AW7" s="22"/>
      <c r="AX7" s="22"/>
      <c r="AY7" s="22"/>
      <c r="AZ7" s="22"/>
      <c r="BB7" s="24" t="e">
        <f t="shared" si="0"/>
        <v>#VALUE!</v>
      </c>
      <c r="BC7" s="24" t="e">
        <f t="shared" si="1"/>
        <v>#VALUE!</v>
      </c>
      <c r="BD7" s="24" t="e">
        <f t="shared" si="1"/>
        <v>#VALUE!</v>
      </c>
      <c r="BE7" s="23" t="e">
        <f>(AK7/AN7) - (N7/Q7)</f>
        <v>#VALUE!</v>
      </c>
      <c r="BF7" s="23" t="e">
        <f t="array" ref="BF7">AVERAGE(AK7:AK7/AN7:AN7) - AVERAGE(N7:N7/Q7:Q7)</f>
        <v>#VALUE!</v>
      </c>
      <c r="BH7" s="4">
        <f t="shared" si="2"/>
        <v>-335333168</v>
      </c>
    </row>
    <row r="8" spans="1:60" ht="15" collapsed="1" thickBot="1">
      <c r="A8" s="45"/>
      <c r="B8" s="45" t="s">
        <v>281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0.26317798058177794</v>
      </c>
      <c r="I8" s="47">
        <f>IF(OR(ISBLANK(Q8),ISBLANK(F8)),"·",Q8*F8/E8/1000000)</f>
        <v>397.35322500000001</v>
      </c>
      <c r="J8" s="48">
        <f>IF(ISBLANK(Q8),"·",Q8/C8)</f>
        <v>7.8953394174533384</v>
      </c>
      <c r="K8" s="48">
        <f>IF(N8="","·",N8/C8)</f>
        <v>1.2380124382833644</v>
      </c>
      <c r="L8" s="48">
        <f>IF(R8="","·",R8/C8)</f>
        <v>1.0871895309943889</v>
      </c>
      <c r="M8" s="48">
        <f>IF(ISBLANK(T8),"·",T8/C8)</f>
        <v>6.6573236675323288</v>
      </c>
      <c r="N8" s="45">
        <f>IF(OR(ISBLANK(R8),ISBLANK(S8)),"",R8+S8)</f>
        <v>39875938.666666701</v>
      </c>
      <c r="O8" s="48">
        <f>IF(ISBLANK(Q8),"·",Q8/P8)</f>
        <v>7.8953394174533384</v>
      </c>
      <c r="P8" s="49">
        <v>32209643</v>
      </c>
      <c r="Q8" s="50">
        <v>254306064</v>
      </c>
      <c r="R8" s="50">
        <v>35017986.666666701</v>
      </c>
      <c r="S8" s="50">
        <v>4857952</v>
      </c>
      <c r="T8" s="50">
        <v>214430018.66666701</v>
      </c>
      <c r="U8" s="51" t="s">
        <v>549</v>
      </c>
      <c r="V8" s="51" t="s">
        <v>549</v>
      </c>
      <c r="W8" s="51" t="s">
        <v>549</v>
      </c>
      <c r="X8" s="51" t="s">
        <v>549</v>
      </c>
      <c r="Y8" s="51" t="s">
        <v>549</v>
      </c>
      <c r="Z8" s="52">
        <v>5986.11</v>
      </c>
      <c r="AA8" s="52">
        <v>5404.6</v>
      </c>
      <c r="AB8" s="52">
        <v>4.1280000000000001</v>
      </c>
      <c r="AC8" s="52">
        <v>23.835000000000001</v>
      </c>
      <c r="AE8" s="53" t="str">
        <f>IF(ISBLANK(AN8),"·",AN8/(C8*D8*3))</f>
        <v>·</v>
      </c>
      <c r="AF8" s="47" t="str">
        <f>IF(OR(ISBLANK(AN8),ISBLANK(F8)),"·",AN8*F8/E8/1000000)</f>
        <v>·</v>
      </c>
      <c r="AG8" s="48" t="str">
        <f>IF(ISBLANK(AN8),"·",AN8/C8)</f>
        <v>·</v>
      </c>
      <c r="AH8" s="48" t="str">
        <f>IF(AK8="","·",AK8/C8)</f>
        <v>·</v>
      </c>
      <c r="AI8" s="48" t="str">
        <f>IF(AO8="","·",AO8/C8)</f>
        <v>·</v>
      </c>
      <c r="AJ8" s="48" t="str">
        <f>IF(ISBLANK(AQ8),"·",AQ8/C8)</f>
        <v>·</v>
      </c>
      <c r="AK8" s="45" t="str">
        <f>IF(OR(ISBLANK(AO8),ISBLANK(AP8)),"",AO8+AP8)</f>
        <v/>
      </c>
      <c r="AL8" s="48" t="str">
        <f>IF(ISBLANK(AN8),"·",AN8/AM8)</f>
        <v>·</v>
      </c>
      <c r="AM8" s="49"/>
      <c r="AN8" s="50"/>
      <c r="AO8" s="50"/>
      <c r="AP8" s="50"/>
      <c r="AQ8" s="50"/>
      <c r="AR8" s="51"/>
      <c r="AS8" s="51"/>
      <c r="AT8" s="51"/>
      <c r="AU8" s="51"/>
      <c r="AV8" s="51"/>
      <c r="AW8" s="52"/>
      <c r="AX8" s="52"/>
      <c r="AY8" s="52"/>
      <c r="AZ8" s="52"/>
      <c r="BB8" s="54" t="e">
        <f t="shared" si="0"/>
        <v>#VALUE!</v>
      </c>
      <c r="BC8" s="54" t="e">
        <f t="shared" si="1"/>
        <v>#VALUE!</v>
      </c>
      <c r="BD8" s="54" t="e">
        <f t="shared" si="1"/>
        <v>#VALUE!</v>
      </c>
      <c r="BE8" s="53" t="e">
        <f>(AK8/AN8) - (N8/Q8)</f>
        <v>#VALUE!</v>
      </c>
      <c r="BF8" s="53" t="e">
        <f t="array" ref="BF8">AVERAGE(AK8:AK8/AN8:AN8) - AVERAGE(N8:N8/Q8:Q8)</f>
        <v>#VALUE!</v>
      </c>
      <c r="BH8" s="4">
        <f t="shared" si="2"/>
        <v>-254306064</v>
      </c>
    </row>
    <row r="9" spans="1:60" ht="15" collapsed="1" thickBot="1">
      <c r="A9" s="35" t="s">
        <v>285</v>
      </c>
      <c r="B9" s="35" t="s">
        <v>284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0.50143253063872861</v>
      </c>
      <c r="I9" s="37">
        <f>IF(OR(ISBLANK(Q9),ISBLANK(F9)),"·",Q9*F9/E9/1000000)</f>
        <v>356.9755725</v>
      </c>
      <c r="J9" s="38">
        <f>IF(ISBLANK(Q9),"·",Q9/C9)</f>
        <v>15.04297591916186</v>
      </c>
      <c r="K9" s="38">
        <f>IF(N9="","·",N9/C9)</f>
        <v>1.5178865111002755</v>
      </c>
      <c r="L9" s="38">
        <f>IF(R9="","·",R9/C9)</f>
        <v>1.4171732166559066</v>
      </c>
      <c r="M9" s="38">
        <f>IF(ISBLANK(T9),"·",T9/C9)</f>
        <v>13.525085194054512</v>
      </c>
      <c r="N9" s="35">
        <f>IF(OR(ISBLANK(R9),ISBLANK(S9)),"",R9+S9)</f>
        <v>38421362.666666701</v>
      </c>
      <c r="O9" s="38">
        <f>IF(ISBLANK(Q9),"·",Q9/P9)</f>
        <v>15.04297591916186</v>
      </c>
      <c r="P9" s="39">
        <v>25312408</v>
      </c>
      <c r="Q9" s="40">
        <v>380773944</v>
      </c>
      <c r="R9" s="40">
        <v>35872066.666666701</v>
      </c>
      <c r="S9" s="40">
        <v>2549296</v>
      </c>
      <c r="T9" s="40">
        <v>342352474.66666698</v>
      </c>
      <c r="U9" s="41" t="s">
        <v>549</v>
      </c>
      <c r="V9" s="41" t="s">
        <v>549</v>
      </c>
      <c r="W9" s="41" t="s">
        <v>549</v>
      </c>
      <c r="X9" s="41" t="s">
        <v>549</v>
      </c>
      <c r="Y9" s="41" t="s">
        <v>549</v>
      </c>
      <c r="Z9" s="42">
        <v>4607.9399999999996</v>
      </c>
      <c r="AA9" s="42">
        <v>6586.69</v>
      </c>
      <c r="AB9" s="42">
        <v>4.5279999999999996</v>
      </c>
      <c r="AC9" s="42">
        <v>30.175000000000001</v>
      </c>
      <c r="AE9" s="43" t="str">
        <f>IF(ISBLANK(AN9),"·",AN9/(C9*D9*3))</f>
        <v>·</v>
      </c>
      <c r="AF9" s="37" t="str">
        <f>IF(OR(ISBLANK(AN9),ISBLANK(F9)),"·",AN9*F9/E9/1000000)</f>
        <v>·</v>
      </c>
      <c r="AG9" s="38" t="str">
        <f>IF(ISBLANK(AN9),"·",AN9/C9)</f>
        <v>·</v>
      </c>
      <c r="AH9" s="38" t="str">
        <f>IF(AK9="","·",AK9/C9)</f>
        <v>·</v>
      </c>
      <c r="AI9" s="38" t="str">
        <f>IF(AO9="","·",AO9/C9)</f>
        <v>·</v>
      </c>
      <c r="AJ9" s="38" t="str">
        <f>IF(ISBLANK(AQ9),"·",AQ9/C9)</f>
        <v>·</v>
      </c>
      <c r="AK9" s="35" t="str">
        <f>IF(OR(ISBLANK(AO9),ISBLANK(AP9)),"",AO9+AP9)</f>
        <v/>
      </c>
      <c r="AL9" s="38" t="str">
        <f>IF(ISBLANK(AN9),"·",AN9/AM9)</f>
        <v>·</v>
      </c>
      <c r="AM9" s="39"/>
      <c r="AN9" s="40"/>
      <c r="AO9" s="40"/>
      <c r="AP9" s="40"/>
      <c r="AQ9" s="40"/>
      <c r="AR9" s="41"/>
      <c r="AS9" s="41"/>
      <c r="AT9" s="41"/>
      <c r="AU9" s="41"/>
      <c r="AV9" s="41"/>
      <c r="AW9" s="42"/>
      <c r="AX9" s="42"/>
      <c r="AY9" s="42"/>
      <c r="AZ9" s="42"/>
      <c r="BB9" s="44" t="e">
        <f t="shared" si="0"/>
        <v>#VALUE!</v>
      </c>
      <c r="BC9" s="44" t="e">
        <f t="shared" si="1"/>
        <v>#VALUE!</v>
      </c>
      <c r="BD9" s="44" t="e">
        <f t="shared" si="1"/>
        <v>#VALUE!</v>
      </c>
      <c r="BE9" s="43" t="e">
        <f>(AK9/AN9) - (N9/Q9)</f>
        <v>#VALUE!</v>
      </c>
      <c r="BF9" s="43" t="e">
        <f t="array" ref="BF9">AVERAGE(AK9:AK9/AN9:AN9) - AVERAGE(N9:N9/Q9:Q9)</f>
        <v>#VALUE!</v>
      </c>
      <c r="BH9" s="4">
        <f t="shared" si="2"/>
        <v>-380773944</v>
      </c>
    </row>
    <row r="10" spans="1:60">
      <c r="B10" s="55" t="s">
        <v>288</v>
      </c>
      <c r="J10" s="56">
        <f>AVERAGE(J5:J8)</f>
        <v>9.852409365366869</v>
      </c>
      <c r="K10" s="56">
        <f>AVERAGE(K5:K8)</f>
        <v>1.4751954272402998</v>
      </c>
      <c r="L10" s="56">
        <f>AVERAGE(L5:L8)</f>
        <v>1.3534386504447786</v>
      </c>
      <c r="M10" s="56">
        <f>AVERAGE(M5:M8)</f>
        <v>8.3772100794178534</v>
      </c>
      <c r="AG10" s="56" t="e">
        <f>AVERAGE(AG5:AG8)</f>
        <v>#DIV/0!</v>
      </c>
      <c r="AH10" s="56" t="e">
        <f>AVERAGE(AH5:AH8)</f>
        <v>#DIV/0!</v>
      </c>
      <c r="AI10" s="56" t="e">
        <f>AVERAGE(AI5:AI8)</f>
        <v>#DIV/0!</v>
      </c>
      <c r="AJ10" s="56" t="e">
        <f>AVERAGE(AJ5:AJ8)</f>
        <v>#DIV/0!</v>
      </c>
      <c r="BB10" s="5" t="e">
        <f t="shared" si="0"/>
        <v>#DIV/0!</v>
      </c>
      <c r="BC10" s="5" t="e">
        <f t="shared" si="1"/>
        <v>#DIV/0!</v>
      </c>
      <c r="BD10" s="5" t="e">
        <f t="shared" si="1"/>
        <v>#DIV/0!</v>
      </c>
      <c r="BF10" s="8" t="e">
        <f>AVERAGE(BF5:BF8)</f>
        <v>#VALUE!</v>
      </c>
    </row>
    <row r="11" spans="1:60">
      <c r="B11" s="55" t="s">
        <v>289</v>
      </c>
      <c r="J11" s="56">
        <f>AVERAGE(J9:J9)</f>
        <v>15.04297591916186</v>
      </c>
      <c r="K11" s="56">
        <f>AVERAGE(K9:K9)</f>
        <v>1.5178865111002755</v>
      </c>
      <c r="L11" s="56">
        <f>AVERAGE(L9:L9)</f>
        <v>1.4171732166559066</v>
      </c>
      <c r="M11" s="56">
        <f>AVERAGE(M9:M9)</f>
        <v>13.525085194054512</v>
      </c>
      <c r="AG11" s="56" t="e">
        <f>AVERAGE(AG9:AG9)</f>
        <v>#DIV/0!</v>
      </c>
      <c r="AH11" s="56" t="e">
        <f>AVERAGE(AH9:AH9)</f>
        <v>#DIV/0!</v>
      </c>
      <c r="AI11" s="56" t="e">
        <f>AVERAGE(AI9:AI9)</f>
        <v>#DIV/0!</v>
      </c>
      <c r="AJ11" s="56" t="e">
        <f>AVERAGE(AJ9:AJ9)</f>
        <v>#DIV/0!</v>
      </c>
      <c r="BB11" s="5" t="e">
        <f t="shared" si="0"/>
        <v>#DIV/0!</v>
      </c>
      <c r="BC11" s="5" t="e">
        <f t="shared" si="1"/>
        <v>#DIV/0!</v>
      </c>
      <c r="BD11" s="5" t="e">
        <f t="shared" si="1"/>
        <v>#DIV/0!</v>
      </c>
      <c r="BF11" s="8" t="e">
        <f>AVERAGE(BF9:BF9)</f>
        <v>#VALUE!</v>
      </c>
    </row>
    <row r="12" spans="1:60" collapsed="1">
      <c r="B12" s="55" t="s">
        <v>290</v>
      </c>
      <c r="J12" s="56">
        <f>AVERAGE(J5:J9)</f>
        <v>10.890522676125867</v>
      </c>
      <c r="K12" s="56">
        <f>AVERAGE(K5:K9)</f>
        <v>1.483733644012295</v>
      </c>
      <c r="L12" s="56">
        <f>AVERAGE(L5:L9)</f>
        <v>1.3661855636870042</v>
      </c>
      <c r="M12" s="56">
        <f>AVERAGE(M5:M9)</f>
        <v>9.4067851023451858</v>
      </c>
      <c r="AG12" s="56" t="e">
        <f>AVERAGE(AG5:AG9)</f>
        <v>#DIV/0!</v>
      </c>
      <c r="AH12" s="56" t="e">
        <f>AVERAGE(AH5:AH9)</f>
        <v>#DIV/0!</v>
      </c>
      <c r="AI12" s="56" t="e">
        <f>AVERAGE(AI5:AI9)</f>
        <v>#DIV/0!</v>
      </c>
      <c r="AJ12" s="56" t="e">
        <f>AVERAGE(AJ5:AJ9)</f>
        <v>#DIV/0!</v>
      </c>
      <c r="BB12" s="5" t="e">
        <f t="shared" si="0"/>
        <v>#DIV/0!</v>
      </c>
      <c r="BC12" s="5" t="e">
        <f t="shared" si="1"/>
        <v>#DIV/0!</v>
      </c>
      <c r="BD12" s="5" t="e">
        <f t="shared" si="1"/>
        <v>#DIV/0!</v>
      </c>
      <c r="BF12" s="8" t="e">
        <f>AVERAGE(BF5:BF9)</f>
        <v>#VALUE!</v>
      </c>
    </row>
    <row r="13" spans="1:60" hidden="1" outlineLevel="2">
      <c r="A13" s="55" t="s">
        <v>291</v>
      </c>
      <c r="B13" s="55" t="s">
        <v>292</v>
      </c>
      <c r="Z13" s="57">
        <f>SUM(Z5:Z8,Z9:Z9)</f>
        <v>25239.789999999997</v>
      </c>
      <c r="AA13" s="57">
        <f>SUM(AA5:AA8,AA9:AA9)</f>
        <v>30303.579999999998</v>
      </c>
      <c r="AB13" s="57">
        <f>SUM(AB5:AB8,AB9:AB9)</f>
        <v>22.360999999999997</v>
      </c>
      <c r="AC13" s="57">
        <f>SUM(AC5:AC8,AC9:AC9)</f>
        <v>130.03800000000001</v>
      </c>
      <c r="AW13" s="57">
        <f>SUM(AW5:AW8,AW9:AW9)</f>
        <v>0</v>
      </c>
      <c r="AX13" s="57">
        <f>SUM(AX5:AX8,AX9:AX9)</f>
        <v>0</v>
      </c>
      <c r="AY13" s="57">
        <f>SUM(AY5:AY8,AY9:AY9)</f>
        <v>0</v>
      </c>
      <c r="AZ13" s="57">
        <f>SUM(AZ5:AZ8,AZ9:AZ9)</f>
        <v>0</v>
      </c>
    </row>
    <row r="14" spans="1:60" hidden="1" outlineLevel="2">
      <c r="B14" s="55" t="s">
        <v>293</v>
      </c>
      <c r="AW14" s="8">
        <f>AW13/Z13</f>
        <v>0</v>
      </c>
      <c r="AX14" s="8">
        <f>AX13/AA13</f>
        <v>0</v>
      </c>
      <c r="AY14" s="8">
        <f>AY13/AB13</f>
        <v>0</v>
      </c>
      <c r="AZ14" s="8">
        <f>AZ13/AC13</f>
        <v>0</v>
      </c>
    </row>
    <row r="15" spans="1:60" hidden="1" outlineLevel="2">
      <c r="B15" s="55" t="s">
        <v>294</v>
      </c>
      <c r="Z15" s="57">
        <f>GEOMEAN(Z5:Z8,Z9:Z9)</f>
        <v>4985.2658395612279</v>
      </c>
      <c r="AA15" s="57">
        <f>GEOMEAN(AA5:AA8,AA9:AA9)</f>
        <v>6017.9676219433486</v>
      </c>
      <c r="AB15" s="57">
        <f>GEOMEAN(AB5:AB8,AB9:AB9)</f>
        <v>4.4431921888774948</v>
      </c>
      <c r="AC15" s="57">
        <f>GEOMEAN(AC5:AC8,AC9:AC9)</f>
        <v>25.904731728747134</v>
      </c>
      <c r="AW15" s="57" t="e">
        <f>GEOMEAN(AW5:AW8,AW9:AW9)</f>
        <v>#NUM!</v>
      </c>
      <c r="AX15" s="57" t="e">
        <f>GEOMEAN(AX5:AX8,AX9:AX9)</f>
        <v>#NUM!</v>
      </c>
      <c r="AY15" s="57" t="e">
        <f>GEOMEAN(AY5:AY8,AY9:AY9)</f>
        <v>#NUM!</v>
      </c>
      <c r="AZ15" s="57" t="e">
        <f>GEOMEAN(AZ5:AZ8,AZ9:AZ9)</f>
        <v>#NUM!</v>
      </c>
    </row>
    <row r="16" spans="1:60" outlineLevel="2" collapsed="1">
      <c r="B16" s="55" t="s">
        <v>295</v>
      </c>
      <c r="AW16" s="8" t="e">
        <f>AW15/Z15</f>
        <v>#NUM!</v>
      </c>
      <c r="AX16" s="8" t="e">
        <f>AX15/AA15</f>
        <v>#NUM!</v>
      </c>
      <c r="AY16" s="8" t="e">
        <f>AY15/AB15</f>
        <v>#NUM!</v>
      </c>
      <c r="AZ16" s="8" t="e">
        <f>AZ15/AC15</f>
        <v>#NUM!</v>
      </c>
    </row>
    <row r="34" spans="3:3">
      <c r="C34" s="4"/>
    </row>
    <row r="35" spans="3:3">
      <c r="C35" s="4"/>
    </row>
    <row r="36" spans="3:3">
      <c r="C36" s="4"/>
    </row>
    <row r="37" spans="3:3">
      <c r="C37" s="4"/>
    </row>
    <row r="38" spans="3:3">
      <c r="C38" s="4"/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phoneticPr fontId="2" type="noConversion"/>
  <conditionalFormatting sqref="BB10 BB11 BB12">
    <cfRule type="cellIs" dxfId="31" priority="3" operator="greaterThanOrEqual">
      <formula>1.03</formula>
    </cfRule>
    <cfRule type="cellIs" dxfId="30" priority="4" operator="lessThanOrEqual">
      <formula>0.97</formula>
    </cfRule>
  </conditionalFormatting>
  <conditionalFormatting sqref="BC10 BC11 BC12">
    <cfRule type="cellIs" dxfId="29" priority="5" operator="greaterThanOrEqual">
      <formula>1.03</formula>
    </cfRule>
    <cfRule type="cellIs" dxfId="28" priority="6" operator="lessThanOrEqual">
      <formula>0.97</formula>
    </cfRule>
  </conditionalFormatting>
  <conditionalFormatting sqref="BD10 BD11 BD12">
    <cfRule type="cellIs" dxfId="27" priority="1" operator="greaterThanOrEqual">
      <formula>1.03</formula>
    </cfRule>
    <cfRule type="cellIs" dxfId="26" priority="2" operator="lessThanOrEqual">
      <formula>0.97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H16"/>
  <sheetViews>
    <sheetView zoomScale="85" zoomScaleNormal="85" workbookViewId="0">
      <pane xSplit="2" topLeftCell="AL1" activePane="topRight" state="frozen"/>
      <selection pane="topRight" activeCell="AM5" sqref="AM5"/>
    </sheetView>
  </sheetViews>
  <sheetFormatPr defaultRowHeight="14.4" outlineLevelRow="2"/>
  <cols>
    <col min="1" max="1" width="9.109375"/>
    <col min="2" max="2" width="24.6640625" customWidth="1"/>
    <col min="3" max="4" width="10.6640625" customWidth="1"/>
    <col min="5" max="6" width="9.109375"/>
    <col min="7" max="7" width="1.6640625" customWidth="1"/>
    <col min="8" max="9" width="9.10937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26" max="29" width="9.109375"/>
    <col min="30" max="30" width="1.6640625" customWidth="1"/>
    <col min="31" max="32" width="9.109375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49" max="52" width="9.109375"/>
    <col min="53" max="53" width="1.6640625" customWidth="1"/>
    <col min="54" max="58" width="9.109375"/>
    <col min="59" max="59" width="1.6640625" customWidth="1"/>
  </cols>
  <sheetData>
    <row r="1" spans="1:60">
      <c r="A1" s="68" t="s">
        <v>441</v>
      </c>
      <c r="B1" s="68"/>
      <c r="C1" s="68"/>
      <c r="D1" s="68"/>
      <c r="E1" s="68"/>
      <c r="F1" s="68"/>
      <c r="H1" s="64" t="s">
        <v>2</v>
      </c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E1" s="65" t="s">
        <v>3</v>
      </c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</row>
    <row r="2" spans="1:60" ht="30" customHeight="1">
      <c r="A2" s="70" t="s">
        <v>93</v>
      </c>
      <c r="B2" s="69" t="s">
        <v>96</v>
      </c>
      <c r="C2" s="70" t="s">
        <v>102</v>
      </c>
      <c r="D2" s="69" t="s">
        <v>105</v>
      </c>
      <c r="E2" s="70" t="s">
        <v>108</v>
      </c>
      <c r="F2" s="69" t="s">
        <v>111</v>
      </c>
      <c r="H2" s="70" t="s">
        <v>310</v>
      </c>
      <c r="I2" s="69" t="s">
        <v>114</v>
      </c>
      <c r="J2" s="67" t="s">
        <v>117</v>
      </c>
      <c r="K2" s="67"/>
      <c r="L2" s="67"/>
      <c r="M2" s="67"/>
      <c r="N2" s="70" t="s">
        <v>130</v>
      </c>
      <c r="O2" s="69" t="s">
        <v>133</v>
      </c>
      <c r="P2" s="70" t="s">
        <v>24</v>
      </c>
      <c r="Q2" s="66" t="s">
        <v>142</v>
      </c>
      <c r="R2" s="66"/>
      <c r="S2" s="66"/>
      <c r="T2" s="66"/>
      <c r="U2" s="67" t="s">
        <v>153</v>
      </c>
      <c r="V2" s="67"/>
      <c r="W2" s="66" t="s">
        <v>160</v>
      </c>
      <c r="X2" s="66"/>
      <c r="Y2" s="66"/>
      <c r="Z2" s="67" t="s">
        <v>170</v>
      </c>
      <c r="AA2" s="67"/>
      <c r="AB2" s="66" t="s">
        <v>177</v>
      </c>
      <c r="AC2" s="66"/>
      <c r="AE2" s="70" t="s">
        <v>310</v>
      </c>
      <c r="AF2" s="69" t="s">
        <v>114</v>
      </c>
      <c r="AG2" s="67" t="s">
        <v>117</v>
      </c>
      <c r="AH2" s="67"/>
      <c r="AI2" s="67"/>
      <c r="AJ2" s="67"/>
      <c r="AK2" s="70" t="s">
        <v>192</v>
      </c>
      <c r="AL2" s="69" t="s">
        <v>133</v>
      </c>
      <c r="AM2" s="70" t="s">
        <v>24</v>
      </c>
      <c r="AN2" s="66" t="s">
        <v>142</v>
      </c>
      <c r="AO2" s="66"/>
      <c r="AP2" s="66"/>
      <c r="AQ2" s="66"/>
      <c r="AR2" s="67" t="s">
        <v>153</v>
      </c>
      <c r="AS2" s="67"/>
      <c r="AT2" s="66" t="s">
        <v>160</v>
      </c>
      <c r="AU2" s="66"/>
      <c r="AV2" s="66"/>
      <c r="AW2" s="67" t="s">
        <v>170</v>
      </c>
      <c r="AX2" s="67"/>
      <c r="AY2" s="66" t="s">
        <v>177</v>
      </c>
      <c r="AZ2" s="66"/>
      <c r="BB2" s="67" t="s">
        <v>357</v>
      </c>
      <c r="BC2" s="67"/>
      <c r="BD2" s="67"/>
      <c r="BE2" s="69" t="s">
        <v>232</v>
      </c>
      <c r="BF2" s="70" t="s">
        <v>232</v>
      </c>
      <c r="BH2" t="s">
        <v>550</v>
      </c>
    </row>
    <row r="3" spans="1:60" ht="29.4" thickBot="1">
      <c r="A3" s="70"/>
      <c r="B3" s="69"/>
      <c r="C3" s="70"/>
      <c r="D3" s="69"/>
      <c r="E3" s="70"/>
      <c r="F3" s="69"/>
      <c r="H3" s="70"/>
      <c r="I3" s="69"/>
      <c r="J3" s="11" t="s">
        <v>118</v>
      </c>
      <c r="K3" s="11" t="s">
        <v>121</v>
      </c>
      <c r="L3" s="11" t="s">
        <v>124</v>
      </c>
      <c r="M3" s="11" t="s">
        <v>127</v>
      </c>
      <c r="N3" s="70"/>
      <c r="O3" s="69"/>
      <c r="P3" s="70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70"/>
      <c r="AF3" s="69"/>
      <c r="AG3" s="11" t="s">
        <v>118</v>
      </c>
      <c r="AH3" s="11" t="s">
        <v>121</v>
      </c>
      <c r="AI3" s="11" t="s">
        <v>124</v>
      </c>
      <c r="AJ3" s="11" t="s">
        <v>127</v>
      </c>
      <c r="AK3" s="70"/>
      <c r="AL3" s="69"/>
      <c r="AM3" s="70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69"/>
      <c r="BF3" s="70"/>
    </row>
    <row r="4" spans="1:60" ht="127.2" hidden="1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23">
        <f>IF(ISBLANK(Q5),"·",Q5/(C5*D5*3))</f>
        <v>0.29287159633014148</v>
      </c>
      <c r="I5" s="17">
        <f>IF(OR(ISBLANK(Q5),ISBLANK(F5)),"·",Q5*F5/E5/1000000)</f>
        <v>205.6316175</v>
      </c>
      <c r="J5" s="18">
        <f>IF(ISBLANK(Q5),"·",Q5/C5)</f>
        <v>8.7861478899042442</v>
      </c>
      <c r="K5" s="18">
        <f>IF(N5="","·",N5/C5)</f>
        <v>1.3513836662728931</v>
      </c>
      <c r="L5" s="18">
        <f>IF(R5="","·",R5/C5)</f>
        <v>1.2699513544806451</v>
      </c>
      <c r="M5" s="18">
        <f>IF(ISBLANK(T5),"·",T5/C5)</f>
        <v>7.4347599508702036</v>
      </c>
      <c r="N5" s="15">
        <f>IF(OR(ISBLANK(R5),ISBLANK(S5)),"",R5+S5)</f>
        <v>33736402.666666701</v>
      </c>
      <c r="O5" s="18">
        <f>IF(ISBLANK(Q5),"·",Q5/P5)</f>
        <v>8.7861478899042442</v>
      </c>
      <c r="P5" s="19">
        <v>24964341</v>
      </c>
      <c r="Q5" s="20">
        <v>219340392</v>
      </c>
      <c r="R5" s="20">
        <v>31703498.666666701</v>
      </c>
      <c r="S5" s="20">
        <v>2032904</v>
      </c>
      <c r="T5" s="20">
        <v>185603882.66666701</v>
      </c>
      <c r="U5" s="21" t="s">
        <v>549</v>
      </c>
      <c r="V5" s="21" t="s">
        <v>549</v>
      </c>
      <c r="W5" s="21" t="s">
        <v>549</v>
      </c>
      <c r="X5" s="21" t="s">
        <v>549</v>
      </c>
      <c r="Y5" s="21" t="s">
        <v>549</v>
      </c>
      <c r="Z5" s="22">
        <v>7034.11</v>
      </c>
      <c r="AA5" s="22">
        <v>6471.47</v>
      </c>
      <c r="AB5" s="22">
        <v>5.6879999999999997</v>
      </c>
      <c r="AC5" s="22">
        <v>25.288</v>
      </c>
      <c r="AE5" s="23" t="str">
        <f>IF(ISBLANK(AN5),"·",AN5/(C5*D5*3))</f>
        <v>·</v>
      </c>
      <c r="AF5" s="17" t="str">
        <f>IF(OR(ISBLANK(AN5),ISBLANK(F5)),"·",AN5*F5/E5/1000000)</f>
        <v>·</v>
      </c>
      <c r="AG5" s="18" t="str">
        <f>IF(ISBLANK(AN5),"·",AN5/C5)</f>
        <v>·</v>
      </c>
      <c r="AH5" s="18" t="str">
        <f>IF(AK5="","·",AK5/C5)</f>
        <v>·</v>
      </c>
      <c r="AI5" s="18" t="str">
        <f>IF(AO5="","·",AO5/C5)</f>
        <v>·</v>
      </c>
      <c r="AJ5" s="18" t="str">
        <f>IF(ISBLANK(AQ5),"·",AQ5/C5)</f>
        <v>·</v>
      </c>
      <c r="AK5" s="15" t="str">
        <f>IF(OR(ISBLANK(AO5),ISBLANK(AP5)),"",AO5+AP5)</f>
        <v/>
      </c>
      <c r="AL5" s="18" t="str">
        <f>IF(ISBLANK(AN5),"·",AN5/AM5)</f>
        <v>·</v>
      </c>
      <c r="AM5" s="19"/>
      <c r="AN5" s="20"/>
      <c r="AO5" s="20"/>
      <c r="AP5" s="20"/>
      <c r="AQ5" s="20"/>
      <c r="AR5" s="21"/>
      <c r="AS5" s="21"/>
      <c r="AT5" s="21"/>
      <c r="AU5" s="21"/>
      <c r="AV5" s="21"/>
      <c r="AW5" s="22"/>
      <c r="AX5" s="22"/>
      <c r="AY5" s="22"/>
      <c r="AZ5" s="22"/>
      <c r="BB5" s="24" t="e">
        <f t="shared" ref="BB5:BB12" si="0">AG5/J5</f>
        <v>#VALUE!</v>
      </c>
      <c r="BC5" s="24" t="e">
        <f t="shared" ref="BC5:BD12" si="1">AI5/L5</f>
        <v>#VALUE!</v>
      </c>
      <c r="BD5" s="24" t="e">
        <f t="shared" si="1"/>
        <v>#VALUE!</v>
      </c>
      <c r="BE5" s="23" t="e">
        <f>(AK5/AN5) - (N5/Q5)</f>
        <v>#VALUE!</v>
      </c>
      <c r="BF5" s="23" t="e">
        <f t="array" ref="BF5">AVERAGE(AK5:AK5/AN5:AN5) - AVERAGE(N5:N5/Q5:Q5)</f>
        <v>#VALUE!</v>
      </c>
      <c r="BH5">
        <f>AN5-Q5</f>
        <v>-219340392</v>
      </c>
    </row>
    <row r="6" spans="1:60" collapsed="1">
      <c r="A6" s="25"/>
      <c r="B6" s="25" t="s">
        <v>275</v>
      </c>
      <c r="C6" s="25">
        <v>22654789</v>
      </c>
      <c r="D6" s="26">
        <v>10</v>
      </c>
      <c r="E6" s="26">
        <v>32</v>
      </c>
      <c r="F6" s="26">
        <v>30</v>
      </c>
      <c r="H6" s="33">
        <f>IF(ISBLANK(Q6),"·",Q6/(C6*D6*3))</f>
        <v>0.42264516640021088</v>
      </c>
      <c r="I6" s="27">
        <f>IF(OR(ISBLANK(Q6),ISBLANK(F6)),"·",Q6*F6/E6/1000000)</f>
        <v>269.29510499999998</v>
      </c>
      <c r="J6" s="28">
        <f>IF(ISBLANK(Q6),"·",Q6/C6)</f>
        <v>12.679354992006326</v>
      </c>
      <c r="K6" s="28">
        <f>IF(N6="","·",N6/C6)</f>
        <v>1.6759406881550167</v>
      </c>
      <c r="L6" s="28">
        <f>IF(R6="","·",R6/C6)</f>
        <v>1.5267685197450616</v>
      </c>
      <c r="M6" s="28">
        <f>IF(ISBLANK(T6),"·",T6/C6)</f>
        <v>11.003409595501729</v>
      </c>
      <c r="N6" s="25">
        <f>IF(OR(ISBLANK(R6),ISBLANK(S6)),"",R6+S6)</f>
        <v>37968082.666666701</v>
      </c>
      <c r="O6" s="28">
        <f>IF(ISBLANK(Q6),"·",Q6/P6)</f>
        <v>12.679354992006326</v>
      </c>
      <c r="P6" s="29">
        <v>22654789</v>
      </c>
      <c r="Q6" s="30">
        <v>287248112</v>
      </c>
      <c r="R6" s="30">
        <v>34588618.666666701</v>
      </c>
      <c r="S6" s="30">
        <v>3379464</v>
      </c>
      <c r="T6" s="30">
        <v>249279922.66666701</v>
      </c>
      <c r="U6" s="31" t="s">
        <v>549</v>
      </c>
      <c r="V6" s="31" t="s">
        <v>549</v>
      </c>
      <c r="W6" s="31" t="s">
        <v>549</v>
      </c>
      <c r="X6" s="31" t="s">
        <v>549</v>
      </c>
      <c r="Y6" s="31" t="s">
        <v>549</v>
      </c>
      <c r="Z6" s="32">
        <v>3996.88</v>
      </c>
      <c r="AA6" s="32">
        <v>9162.58</v>
      </c>
      <c r="AB6" s="32">
        <v>4.78</v>
      </c>
      <c r="AC6" s="32">
        <v>27.007000000000001</v>
      </c>
      <c r="AE6" s="33" t="str">
        <f>IF(ISBLANK(AN6),"·",AN6/(C6*D6*3))</f>
        <v>·</v>
      </c>
      <c r="AF6" s="27" t="str">
        <f>IF(OR(ISBLANK(AN6),ISBLANK(F6)),"·",AN6*F6/E6/1000000)</f>
        <v>·</v>
      </c>
      <c r="AG6" s="28" t="str">
        <f>IF(ISBLANK(AN6),"·",AN6/C6)</f>
        <v>·</v>
      </c>
      <c r="AH6" s="28" t="str">
        <f>IF(AK6="","·",AK6/C6)</f>
        <v>·</v>
      </c>
      <c r="AI6" s="28" t="str">
        <f>IF(AO6="","·",AO6/C6)</f>
        <v>·</v>
      </c>
      <c r="AJ6" s="28" t="str">
        <f>IF(ISBLANK(AQ6),"·",AQ6/C6)</f>
        <v>·</v>
      </c>
      <c r="AK6" s="25" t="str">
        <f>IF(OR(ISBLANK(AO6),ISBLANK(AP6)),"",AO6+AP6)</f>
        <v/>
      </c>
      <c r="AL6" s="28" t="str">
        <f>IF(ISBLANK(AN6),"·",AN6/AM6)</f>
        <v>·</v>
      </c>
      <c r="AM6" s="29"/>
      <c r="AN6" s="30"/>
      <c r="AO6" s="30"/>
      <c r="AP6" s="30"/>
      <c r="AQ6" s="30"/>
      <c r="AR6" s="31"/>
      <c r="AS6" s="31"/>
      <c r="AT6" s="31"/>
      <c r="AU6" s="31"/>
      <c r="AV6" s="31"/>
      <c r="AW6" s="32"/>
      <c r="AX6" s="32"/>
      <c r="AY6" s="32"/>
      <c r="AZ6" s="32"/>
      <c r="BB6" s="34" t="e">
        <f t="shared" si="0"/>
        <v>#VALUE!</v>
      </c>
      <c r="BC6" s="34" t="e">
        <f t="shared" si="1"/>
        <v>#VALUE!</v>
      </c>
      <c r="BD6" s="34" t="e">
        <f t="shared" si="1"/>
        <v>#VALUE!</v>
      </c>
      <c r="BE6" s="33" t="e">
        <f>(AK6/AN6) - (N6/Q6)</f>
        <v>#VALUE!</v>
      </c>
      <c r="BF6" s="33" t="e">
        <f t="array" ref="BF6">AVERAGE(AK6:AK6/AN6:AN6) - AVERAGE(N6:N6/Q6:Q6)</f>
        <v>#VALUE!</v>
      </c>
      <c r="BH6" s="4">
        <f t="shared" ref="BH6:BH9" si="2">AN6-Q6</f>
        <v>-287248112</v>
      </c>
    </row>
    <row r="7" spans="1:60" collapsed="1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23">
        <f>IF(ISBLANK(Q7),"·",Q7/(C7*D7*3))</f>
        <v>0.321043977094425</v>
      </c>
      <c r="I7" s="17">
        <f>IF(OR(ISBLANK(Q7),ISBLANK(F7)),"·",Q7*F7/E7/1000000)</f>
        <v>306.52623</v>
      </c>
      <c r="J7" s="18">
        <f>IF(ISBLANK(Q7),"·",Q7/C7)</f>
        <v>9.6313193128327512</v>
      </c>
      <c r="K7" s="18">
        <f>IF(N7="","·",N7/C7)</f>
        <v>1.4778429191224782</v>
      </c>
      <c r="L7" s="18">
        <f>IF(R7="","·",R7/C7)</f>
        <v>1.36331622251212</v>
      </c>
      <c r="M7" s="18">
        <f>IF(ISBLANK(T7),"·",T7/C7)</f>
        <v>8.153473251623776</v>
      </c>
      <c r="N7" s="15">
        <f>IF(OR(ISBLANK(R7),ISBLANK(S7)),"",R7+S7)</f>
        <v>50169394.666666701</v>
      </c>
      <c r="O7" s="18">
        <f>IF(ISBLANK(Q7),"·",Q7/P7)</f>
        <v>9.6313193128327512</v>
      </c>
      <c r="P7" s="19">
        <v>33947718</v>
      </c>
      <c r="Q7" s="20">
        <v>326961312</v>
      </c>
      <c r="R7" s="20">
        <v>46281474.666666701</v>
      </c>
      <c r="S7" s="20">
        <v>3887920</v>
      </c>
      <c r="T7" s="20">
        <v>276791810.66666698</v>
      </c>
      <c r="U7" s="21" t="s">
        <v>549</v>
      </c>
      <c r="V7" s="21" t="s">
        <v>549</v>
      </c>
      <c r="W7" s="21" t="s">
        <v>549</v>
      </c>
      <c r="X7" s="21" t="s">
        <v>549</v>
      </c>
      <c r="Y7" s="21" t="s">
        <v>549</v>
      </c>
      <c r="Z7" s="22">
        <v>10111.1</v>
      </c>
      <c r="AA7" s="22">
        <v>10010.6</v>
      </c>
      <c r="AB7" s="22">
        <v>9.343</v>
      </c>
      <c r="AC7" s="22">
        <v>29.576000000000001</v>
      </c>
      <c r="AE7" s="23" t="str">
        <f>IF(ISBLANK(AN7),"·",AN7/(C7*D7*3))</f>
        <v>·</v>
      </c>
      <c r="AF7" s="17" t="str">
        <f>IF(OR(ISBLANK(AN7),ISBLANK(F7)),"·",AN7*F7/E7/1000000)</f>
        <v>·</v>
      </c>
      <c r="AG7" s="18" t="str">
        <f>IF(ISBLANK(AN7),"·",AN7/C7)</f>
        <v>·</v>
      </c>
      <c r="AH7" s="18" t="str">
        <f>IF(AK7="","·",AK7/C7)</f>
        <v>·</v>
      </c>
      <c r="AI7" s="18" t="str">
        <f>IF(AO7="","·",AO7/C7)</f>
        <v>·</v>
      </c>
      <c r="AJ7" s="18" t="str">
        <f>IF(ISBLANK(AQ7),"·",AQ7/C7)</f>
        <v>·</v>
      </c>
      <c r="AK7" s="15" t="str">
        <f>IF(OR(ISBLANK(AO7),ISBLANK(AP7)),"",AO7+AP7)</f>
        <v/>
      </c>
      <c r="AL7" s="18" t="str">
        <f>IF(ISBLANK(AN7),"·",AN7/AM7)</f>
        <v>·</v>
      </c>
      <c r="AM7" s="19"/>
      <c r="AN7" s="20"/>
      <c r="AO7" s="20"/>
      <c r="AP7" s="20"/>
      <c r="AQ7" s="20"/>
      <c r="AR7" s="21"/>
      <c r="AS7" s="21"/>
      <c r="AT7" s="21"/>
      <c r="AU7" s="21"/>
      <c r="AV7" s="21"/>
      <c r="AW7" s="22"/>
      <c r="AX7" s="22"/>
      <c r="AY7" s="22"/>
      <c r="AZ7" s="22"/>
      <c r="BB7" s="24" t="e">
        <f t="shared" si="0"/>
        <v>#VALUE!</v>
      </c>
      <c r="BC7" s="24" t="e">
        <f t="shared" si="1"/>
        <v>#VALUE!</v>
      </c>
      <c r="BD7" s="24" t="e">
        <f t="shared" si="1"/>
        <v>#VALUE!</v>
      </c>
      <c r="BE7" s="23" t="e">
        <f>(AK7/AN7) - (N7/Q7)</f>
        <v>#VALUE!</v>
      </c>
      <c r="BF7" s="23" t="e">
        <f t="array" ref="BF7">AVERAGE(AK7:AK7/AN7:AN7) - AVERAGE(N7:N7/Q7:Q7)</f>
        <v>#VALUE!</v>
      </c>
      <c r="BH7" s="4">
        <f t="shared" si="2"/>
        <v>-326961312</v>
      </c>
    </row>
    <row r="8" spans="1:60" ht="15" collapsed="1" thickBot="1">
      <c r="A8" s="45"/>
      <c r="B8" s="45" t="s">
        <v>281</v>
      </c>
      <c r="C8" s="45">
        <v>32209643</v>
      </c>
      <c r="D8" s="46">
        <v>10</v>
      </c>
      <c r="E8" s="46">
        <v>32</v>
      </c>
      <c r="F8" s="46">
        <v>50</v>
      </c>
      <c r="H8" s="53">
        <f>IF(ISBLANK(Q8),"·",Q8/(C8*D8*3))</f>
        <v>0.24077100968385978</v>
      </c>
      <c r="I8" s="47">
        <f>IF(OR(ISBLANK(Q8),ISBLANK(F8)),"·",Q8*F8/E8/1000000)</f>
        <v>363.52257500000002</v>
      </c>
      <c r="J8" s="48">
        <f>IF(ISBLANK(Q8),"·",Q8/C8)</f>
        <v>7.2231302905157939</v>
      </c>
      <c r="K8" s="48">
        <f>IF(N8="","·",N8/C8)</f>
        <v>0.88954089514952717</v>
      </c>
      <c r="L8" s="48">
        <f>IF(R8="","·",R8/C8)</f>
        <v>0.78847004503175344</v>
      </c>
      <c r="M8" s="48">
        <f>IF(ISBLANK(T8),"·",T8/C8)</f>
        <v>6.3335860837286218</v>
      </c>
      <c r="N8" s="45">
        <f>IF(OR(ISBLANK(R8),ISBLANK(S8)),"",R8+S8)</f>
        <v>28651794.666666701</v>
      </c>
      <c r="O8" s="48">
        <f>IF(ISBLANK(Q8),"·",Q8/P8)</f>
        <v>7.2231302905157939</v>
      </c>
      <c r="P8" s="49">
        <v>32209643</v>
      </c>
      <c r="Q8" s="50">
        <v>232654448</v>
      </c>
      <c r="R8" s="50">
        <v>25396338.666666701</v>
      </c>
      <c r="S8" s="50">
        <v>3255456</v>
      </c>
      <c r="T8" s="50">
        <v>204002546.66666701</v>
      </c>
      <c r="U8" s="51" t="s">
        <v>549</v>
      </c>
      <c r="V8" s="51" t="s">
        <v>549</v>
      </c>
      <c r="W8" s="51" t="s">
        <v>549</v>
      </c>
      <c r="X8" s="51" t="s">
        <v>549</v>
      </c>
      <c r="Y8" s="51" t="s">
        <v>549</v>
      </c>
      <c r="Z8" s="52">
        <v>5770.01</v>
      </c>
      <c r="AA8" s="52">
        <v>6252.04</v>
      </c>
      <c r="AB8" s="52">
        <v>6.7450000000000001</v>
      </c>
      <c r="AC8" s="52">
        <v>23.454000000000001</v>
      </c>
      <c r="AE8" s="53" t="str">
        <f>IF(ISBLANK(AN8),"·",AN8/(C8*D8*3))</f>
        <v>·</v>
      </c>
      <c r="AF8" s="47" t="str">
        <f>IF(OR(ISBLANK(AN8),ISBLANK(F8)),"·",AN8*F8/E8/1000000)</f>
        <v>·</v>
      </c>
      <c r="AG8" s="48" t="str">
        <f>IF(ISBLANK(AN8),"·",AN8/C8)</f>
        <v>·</v>
      </c>
      <c r="AH8" s="48" t="str">
        <f>IF(AK8="","·",AK8/C8)</f>
        <v>·</v>
      </c>
      <c r="AI8" s="48" t="str">
        <f>IF(AO8="","·",AO8/C8)</f>
        <v>·</v>
      </c>
      <c r="AJ8" s="48" t="str">
        <f>IF(ISBLANK(AQ8),"·",AQ8/C8)</f>
        <v>·</v>
      </c>
      <c r="AK8" s="45" t="str">
        <f>IF(OR(ISBLANK(AO8),ISBLANK(AP8)),"",AO8+AP8)</f>
        <v/>
      </c>
      <c r="AL8" s="48" t="str">
        <f>IF(ISBLANK(AN8),"·",AN8/AM8)</f>
        <v>·</v>
      </c>
      <c r="AM8" s="49"/>
      <c r="AN8" s="50"/>
      <c r="AO8" s="50"/>
      <c r="AP8" s="50"/>
      <c r="AQ8" s="50"/>
      <c r="AR8" s="51"/>
      <c r="AS8" s="51"/>
      <c r="AT8" s="51"/>
      <c r="AU8" s="51"/>
      <c r="AV8" s="51"/>
      <c r="AW8" s="52"/>
      <c r="AX8" s="52"/>
      <c r="AY8" s="52"/>
      <c r="AZ8" s="52"/>
      <c r="BB8" s="54" t="e">
        <f t="shared" si="0"/>
        <v>#VALUE!</v>
      </c>
      <c r="BC8" s="54" t="e">
        <f t="shared" si="1"/>
        <v>#VALUE!</v>
      </c>
      <c r="BD8" s="54" t="e">
        <f t="shared" si="1"/>
        <v>#VALUE!</v>
      </c>
      <c r="BE8" s="53" t="e">
        <f>(AK8/AN8) - (N8/Q8)</f>
        <v>#VALUE!</v>
      </c>
      <c r="BF8" s="53" t="e">
        <f t="array" ref="BF8">AVERAGE(AK8:AK8/AN8:AN8) - AVERAGE(N8:N8/Q8:Q8)</f>
        <v>#VALUE!</v>
      </c>
      <c r="BH8" s="4">
        <f t="shared" si="2"/>
        <v>-232654448</v>
      </c>
    </row>
    <row r="9" spans="1:60" ht="15" collapsed="1" thickBot="1">
      <c r="A9" s="35" t="s">
        <v>285</v>
      </c>
      <c r="B9" s="35" t="s">
        <v>284</v>
      </c>
      <c r="C9" s="35">
        <v>25312408</v>
      </c>
      <c r="D9" s="36">
        <v>10</v>
      </c>
      <c r="E9" s="36">
        <v>32</v>
      </c>
      <c r="F9" s="36">
        <v>30</v>
      </c>
      <c r="H9" s="43">
        <f>IF(ISBLANK(Q9),"·",Q9/(C9*D9*3))</f>
        <v>0.49735886052405603</v>
      </c>
      <c r="I9" s="37">
        <f>IF(OR(ISBLANK(Q9),ISBLANK(F9)),"·",Q9*F9/E9/1000000)</f>
        <v>354.07548000000003</v>
      </c>
      <c r="J9" s="38">
        <f>IF(ISBLANK(Q9),"·",Q9/C9)</f>
        <v>14.920765815721682</v>
      </c>
      <c r="K9" s="38">
        <f>IF(N9="","·",N9/C9)</f>
        <v>1.5192019134120587</v>
      </c>
      <c r="L9" s="38">
        <f>IF(R9="","·",R9/C9)</f>
        <v>1.4119356272491619</v>
      </c>
      <c r="M9" s="38">
        <f>IF(ISBLANK(T9),"·",T9/C9)</f>
        <v>13.40155968830255</v>
      </c>
      <c r="N9" s="35">
        <f>IF(OR(ISBLANK(R9),ISBLANK(S9)),"",R9+S9)</f>
        <v>38454658.666666701</v>
      </c>
      <c r="O9" s="38">
        <f>IF(ISBLANK(Q9),"·",Q9/P9)</f>
        <v>14.920765815721682</v>
      </c>
      <c r="P9" s="39">
        <v>25312408</v>
      </c>
      <c r="Q9" s="40">
        <v>377680512</v>
      </c>
      <c r="R9" s="40">
        <v>35739490.666666701</v>
      </c>
      <c r="S9" s="40">
        <v>2715168</v>
      </c>
      <c r="T9" s="40">
        <v>339225746.66666698</v>
      </c>
      <c r="U9" s="41" t="s">
        <v>549</v>
      </c>
      <c r="V9" s="41" t="s">
        <v>549</v>
      </c>
      <c r="W9" s="41" t="s">
        <v>549</v>
      </c>
      <c r="X9" s="41" t="s">
        <v>549</v>
      </c>
      <c r="Y9" s="41" t="s">
        <v>549</v>
      </c>
      <c r="Z9" s="42">
        <v>4253.91</v>
      </c>
      <c r="AA9" s="42">
        <v>9881.23</v>
      </c>
      <c r="AB9" s="42">
        <v>4.4489999999999998</v>
      </c>
      <c r="AC9" s="42">
        <v>27.439</v>
      </c>
      <c r="AE9" s="43" t="str">
        <f>IF(ISBLANK(AN9),"·",AN9/(C9*D9*3))</f>
        <v>·</v>
      </c>
      <c r="AF9" s="37" t="str">
        <f>IF(OR(ISBLANK(AN9),ISBLANK(F9)),"·",AN9*F9/E9/1000000)</f>
        <v>·</v>
      </c>
      <c r="AG9" s="38" t="str">
        <f>IF(ISBLANK(AN9),"·",AN9/C9)</f>
        <v>·</v>
      </c>
      <c r="AH9" s="38" t="str">
        <f>IF(AK9="","·",AK9/C9)</f>
        <v>·</v>
      </c>
      <c r="AI9" s="38" t="str">
        <f>IF(AO9="","·",AO9/C9)</f>
        <v>·</v>
      </c>
      <c r="AJ9" s="38" t="str">
        <f>IF(ISBLANK(AQ9),"·",AQ9/C9)</f>
        <v>·</v>
      </c>
      <c r="AK9" s="35" t="str">
        <f>IF(OR(ISBLANK(AO9),ISBLANK(AP9)),"",AO9+AP9)</f>
        <v/>
      </c>
      <c r="AL9" s="38" t="str">
        <f>IF(ISBLANK(AN9),"·",AN9/AM9)</f>
        <v>·</v>
      </c>
      <c r="AM9" s="39"/>
      <c r="AN9" s="40"/>
      <c r="AO9" s="40"/>
      <c r="AP9" s="40"/>
      <c r="AQ9" s="40"/>
      <c r="AR9" s="41"/>
      <c r="AS9" s="41"/>
      <c r="AT9" s="41"/>
      <c r="AU9" s="41"/>
      <c r="AV9" s="41"/>
      <c r="AW9" s="42"/>
      <c r="AX9" s="42"/>
      <c r="AY9" s="42"/>
      <c r="AZ9" s="42"/>
      <c r="BB9" s="44" t="e">
        <f t="shared" si="0"/>
        <v>#VALUE!</v>
      </c>
      <c r="BC9" s="44" t="e">
        <f t="shared" si="1"/>
        <v>#VALUE!</v>
      </c>
      <c r="BD9" s="44" t="e">
        <f t="shared" si="1"/>
        <v>#VALUE!</v>
      </c>
      <c r="BE9" s="43" t="e">
        <f>(AK9/AN9) - (N9/Q9)</f>
        <v>#VALUE!</v>
      </c>
      <c r="BF9" s="43" t="e">
        <f t="array" ref="BF9">AVERAGE(AK9:AK9/AN9:AN9) - AVERAGE(N9:N9/Q9:Q9)</f>
        <v>#VALUE!</v>
      </c>
      <c r="BH9" s="4">
        <f t="shared" si="2"/>
        <v>-377680512</v>
      </c>
    </row>
    <row r="10" spans="1:60">
      <c r="B10" s="55" t="s">
        <v>288</v>
      </c>
      <c r="J10" s="56">
        <f>AVERAGE(J5:J8)</f>
        <v>9.5799881213147788</v>
      </c>
      <c r="K10" s="56">
        <f>AVERAGE(K5:K8)</f>
        <v>1.3486770421749787</v>
      </c>
      <c r="L10" s="56">
        <f>AVERAGE(L5:L8)</f>
        <v>1.237126535442395</v>
      </c>
      <c r="M10" s="56">
        <f>AVERAGE(M5:M8)</f>
        <v>8.2313072204310824</v>
      </c>
      <c r="AG10" s="56" t="e">
        <f>AVERAGE(AG5:AG8)</f>
        <v>#DIV/0!</v>
      </c>
      <c r="AH10" s="56" t="e">
        <f>AVERAGE(AH5:AH8)</f>
        <v>#DIV/0!</v>
      </c>
      <c r="AI10" s="56" t="e">
        <f>AVERAGE(AI5:AI8)</f>
        <v>#DIV/0!</v>
      </c>
      <c r="AJ10" s="56" t="e">
        <f>AVERAGE(AJ5:AJ8)</f>
        <v>#DIV/0!</v>
      </c>
      <c r="BB10" s="5" t="e">
        <f t="shared" si="0"/>
        <v>#DIV/0!</v>
      </c>
      <c r="BC10" s="5" t="e">
        <f t="shared" si="1"/>
        <v>#DIV/0!</v>
      </c>
      <c r="BD10" s="5" t="e">
        <f t="shared" si="1"/>
        <v>#DIV/0!</v>
      </c>
      <c r="BF10" s="8" t="e">
        <f>AVERAGE(BF5:BF8)</f>
        <v>#VALUE!</v>
      </c>
    </row>
    <row r="11" spans="1:60">
      <c r="B11" s="55" t="s">
        <v>289</v>
      </c>
      <c r="J11" s="56">
        <f>AVERAGE(J9:J9)</f>
        <v>14.920765815721682</v>
      </c>
      <c r="K11" s="56">
        <f>AVERAGE(K9:K9)</f>
        <v>1.5192019134120587</v>
      </c>
      <c r="L11" s="56">
        <f>AVERAGE(L9:L9)</f>
        <v>1.4119356272491619</v>
      </c>
      <c r="M11" s="56">
        <f>AVERAGE(M9:M9)</f>
        <v>13.40155968830255</v>
      </c>
      <c r="AG11" s="56" t="e">
        <f>AVERAGE(AG9:AG9)</f>
        <v>#DIV/0!</v>
      </c>
      <c r="AH11" s="56" t="e">
        <f>AVERAGE(AH9:AH9)</f>
        <v>#DIV/0!</v>
      </c>
      <c r="AI11" s="56" t="e">
        <f>AVERAGE(AI9:AI9)</f>
        <v>#DIV/0!</v>
      </c>
      <c r="AJ11" s="56" t="e">
        <f>AVERAGE(AJ9:AJ9)</f>
        <v>#DIV/0!</v>
      </c>
      <c r="BB11" s="5" t="e">
        <f t="shared" si="0"/>
        <v>#DIV/0!</v>
      </c>
      <c r="BC11" s="5" t="e">
        <f t="shared" si="1"/>
        <v>#DIV/0!</v>
      </c>
      <c r="BD11" s="5" t="e">
        <f t="shared" si="1"/>
        <v>#DIV/0!</v>
      </c>
      <c r="BF11" s="8" t="e">
        <f>AVERAGE(BF9:BF9)</f>
        <v>#VALUE!</v>
      </c>
    </row>
    <row r="12" spans="1:60" collapsed="1">
      <c r="B12" s="55" t="s">
        <v>290</v>
      </c>
      <c r="J12" s="56">
        <f>AVERAGE(J5:J9)</f>
        <v>10.648143660196158</v>
      </c>
      <c r="K12" s="56">
        <f>AVERAGE(K5:K9)</f>
        <v>1.3827820164223947</v>
      </c>
      <c r="L12" s="56">
        <f>AVERAGE(L5:L9)</f>
        <v>1.2720883538037484</v>
      </c>
      <c r="M12" s="56">
        <f>AVERAGE(M5:M9)</f>
        <v>9.2653577140053756</v>
      </c>
      <c r="AG12" s="56" t="e">
        <f>AVERAGE(AG5:AG9)</f>
        <v>#DIV/0!</v>
      </c>
      <c r="AH12" s="56" t="e">
        <f>AVERAGE(AH5:AH9)</f>
        <v>#DIV/0!</v>
      </c>
      <c r="AI12" s="56" t="e">
        <f>AVERAGE(AI5:AI9)</f>
        <v>#DIV/0!</v>
      </c>
      <c r="AJ12" s="56" t="e">
        <f>AVERAGE(AJ5:AJ9)</f>
        <v>#DIV/0!</v>
      </c>
      <c r="BB12" s="5" t="e">
        <f t="shared" si="0"/>
        <v>#DIV/0!</v>
      </c>
      <c r="BC12" s="5" t="e">
        <f t="shared" si="1"/>
        <v>#DIV/0!</v>
      </c>
      <c r="BD12" s="5" t="e">
        <f t="shared" si="1"/>
        <v>#DIV/0!</v>
      </c>
      <c r="BF12" s="8" t="e">
        <f>AVERAGE(BF5:BF9)</f>
        <v>#VALUE!</v>
      </c>
    </row>
    <row r="13" spans="1:60" hidden="1" outlineLevel="2">
      <c r="A13" s="55" t="s">
        <v>291</v>
      </c>
      <c r="B13" s="55" t="s">
        <v>292</v>
      </c>
      <c r="Z13" s="57">
        <f>SUM(Z5:Z8,Z9:Z9)</f>
        <v>31166.01</v>
      </c>
      <c r="AA13" s="57">
        <f>SUM(AA5:AA8,AA9:AA9)</f>
        <v>41777.919999999998</v>
      </c>
      <c r="AB13" s="57">
        <f>SUM(AB5:AB8,AB9:AB9)</f>
        <v>31.005000000000003</v>
      </c>
      <c r="AC13" s="57">
        <f>SUM(AC5:AC8,AC9:AC9)</f>
        <v>132.76400000000001</v>
      </c>
      <c r="AW13" s="57">
        <f>SUM(AW5:AW8,AW9:AW9)</f>
        <v>0</v>
      </c>
      <c r="AX13" s="57">
        <f>SUM(AX5:AX8,AX9:AX9)</f>
        <v>0</v>
      </c>
      <c r="AY13" s="57">
        <f>SUM(AY5:AY8,AY9:AY9)</f>
        <v>0</v>
      </c>
      <c r="AZ13" s="57">
        <f>SUM(AZ5:AZ8,AZ9:AZ9)</f>
        <v>0</v>
      </c>
    </row>
    <row r="14" spans="1:60" hidden="1" outlineLevel="2">
      <c r="B14" s="55" t="s">
        <v>293</v>
      </c>
      <c r="AW14" s="8">
        <f>AW13/Z13</f>
        <v>0</v>
      </c>
      <c r="AX14" s="8">
        <f>AX13/AA13</f>
        <v>0</v>
      </c>
      <c r="AY14" s="8">
        <f>AY13/AB13</f>
        <v>0</v>
      </c>
      <c r="AZ14" s="8">
        <f>AZ13/AC13</f>
        <v>0</v>
      </c>
    </row>
    <row r="15" spans="1:60" hidden="1" outlineLevel="2">
      <c r="B15" s="55" t="s">
        <v>294</v>
      </c>
      <c r="Z15" s="57">
        <f>GEOMEAN(Z5:Z8,Z9:Z9)</f>
        <v>5871.359959114011</v>
      </c>
      <c r="AA15" s="57">
        <f>GEOMEAN(AA5:AA8,AA9:AA9)</f>
        <v>8182.061080624665</v>
      </c>
      <c r="AB15" s="57">
        <f>GEOMEAN(AB5:AB8,AB9:AB9)</f>
        <v>5.9761795709157779</v>
      </c>
      <c r="AC15" s="57">
        <f>GEOMEAN(AC5:AC8,AC9:AC9)</f>
        <v>26.471776843021527</v>
      </c>
      <c r="AW15" s="57" t="e">
        <f>GEOMEAN(AW5:AW8,AW9:AW9)</f>
        <v>#NUM!</v>
      </c>
      <c r="AX15" s="57" t="e">
        <f>GEOMEAN(AX5:AX8,AX9:AX9)</f>
        <v>#NUM!</v>
      </c>
      <c r="AY15" s="57" t="e">
        <f>GEOMEAN(AY5:AY8,AY9:AY9)</f>
        <v>#NUM!</v>
      </c>
      <c r="AZ15" s="57" t="e">
        <f>GEOMEAN(AZ5:AZ8,AZ9:AZ9)</f>
        <v>#NUM!</v>
      </c>
    </row>
    <row r="16" spans="1:60" outlineLevel="2" collapsed="1">
      <c r="B16" s="55" t="s">
        <v>295</v>
      </c>
      <c r="AW16" s="8" t="e">
        <f>AW15/Z15</f>
        <v>#NUM!</v>
      </c>
      <c r="AX16" s="8" t="e">
        <f>AX15/AA15</f>
        <v>#NUM!</v>
      </c>
      <c r="AY16" s="8" t="e">
        <f>AY15/AB15</f>
        <v>#NUM!</v>
      </c>
      <c r="AZ16" s="8" t="e">
        <f>AZ15/AC15</f>
        <v>#NUM!</v>
      </c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phoneticPr fontId="2" type="noConversion"/>
  <conditionalFormatting sqref="BB10 BB11 BB12">
    <cfRule type="cellIs" dxfId="25" priority="3" operator="greaterThanOrEqual">
      <formula>1.03</formula>
    </cfRule>
    <cfRule type="cellIs" dxfId="24" priority="4" operator="lessThanOrEqual">
      <formula>0.97</formula>
    </cfRule>
  </conditionalFormatting>
  <conditionalFormatting sqref="BC10 BC11 BC12">
    <cfRule type="cellIs" dxfId="23" priority="5" operator="greaterThanOrEqual">
      <formula>1.03</formula>
    </cfRule>
    <cfRule type="cellIs" dxfId="22" priority="6" operator="lessThanOrEqual">
      <formula>0.97</formula>
    </cfRule>
  </conditionalFormatting>
  <conditionalFormatting sqref="BD10 BD11 BD12">
    <cfRule type="cellIs" dxfId="21" priority="1" operator="greaterThanOrEqual">
      <formula>1.03</formula>
    </cfRule>
    <cfRule type="cellIs" dxfId="20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U36"/>
  <sheetViews>
    <sheetView zoomScale="85" zoomScaleNormal="85" workbookViewId="0">
      <pane xSplit="2" topLeftCell="AY1" activePane="topRight" state="frozen"/>
      <selection pane="topRight" activeCell="AG1" sqref="AG1:BC1"/>
    </sheetView>
  </sheetViews>
  <sheetFormatPr defaultRowHeight="14.4" outlineLevelRow="2"/>
  <cols>
    <col min="1" max="1" width="9.109375"/>
    <col min="2" max="2" width="24.6640625" customWidth="1"/>
    <col min="3" max="3" width="9.109375"/>
    <col min="4" max="5" width="10.6640625" customWidth="1"/>
    <col min="6" max="7" width="9.109375"/>
    <col min="8" max="8" width="1.6640625" customWidth="1"/>
    <col min="9" max="9" width="9.109375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18" width="9.109375"/>
    <col min="19" max="22" width="12.6640625" customWidth="1"/>
    <col min="23" max="27" width="11.6640625" customWidth="1"/>
    <col min="28" max="31" width="9.109375"/>
    <col min="32" max="32" width="1.6640625" customWidth="1"/>
    <col min="33" max="33" width="9.109375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1" max="42" width="9.109375"/>
    <col min="43" max="46" width="12.6640625" customWidth="1"/>
    <col min="47" max="51" width="11.6640625" customWidth="1"/>
    <col min="52" max="55" width="9.109375"/>
    <col min="56" max="56" width="1.6640625" customWidth="1"/>
    <col min="57" max="59" width="9.109375"/>
    <col min="60" max="60" width="1.6640625" customWidth="1"/>
    <col min="61" max="62" width="9.109375"/>
    <col min="63" max="65" width="11.6640625" customWidth="1"/>
    <col min="66" max="66" width="1.6640625" customWidth="1"/>
    <col min="67" max="68" width="9.109375"/>
    <col min="69" max="71" width="11.6640625" customWidth="1"/>
    <col min="72" max="72" width="1.6640625" customWidth="1"/>
  </cols>
  <sheetData>
    <row r="1" spans="1:73">
      <c r="A1" s="68" t="s">
        <v>528</v>
      </c>
      <c r="B1" s="68"/>
      <c r="C1" s="68"/>
      <c r="D1" s="68"/>
      <c r="E1" s="68"/>
      <c r="F1" s="68"/>
      <c r="G1" s="68"/>
      <c r="I1" s="64" t="s">
        <v>2</v>
      </c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G1" s="65" t="s">
        <v>551</v>
      </c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</row>
    <row r="2" spans="1:73" ht="30" customHeight="1">
      <c r="A2" s="70" t="s">
        <v>93</v>
      </c>
      <c r="B2" s="69" t="s">
        <v>96</v>
      </c>
      <c r="C2" s="70" t="s">
        <v>99</v>
      </c>
      <c r="D2" s="69" t="s">
        <v>102</v>
      </c>
      <c r="E2" s="70" t="s">
        <v>105</v>
      </c>
      <c r="F2" s="69" t="s">
        <v>108</v>
      </c>
      <c r="G2" s="70" t="s">
        <v>111</v>
      </c>
      <c r="I2" s="69" t="s">
        <v>114</v>
      </c>
      <c r="J2" s="67" t="s">
        <v>117</v>
      </c>
      <c r="K2" s="67"/>
      <c r="L2" s="67"/>
      <c r="M2" s="67"/>
      <c r="N2" s="70" t="s">
        <v>130</v>
      </c>
      <c r="O2" s="69" t="s">
        <v>133</v>
      </c>
      <c r="P2" s="70" t="s">
        <v>24</v>
      </c>
      <c r="Q2" s="69" t="s">
        <v>26</v>
      </c>
      <c r="R2" s="70" t="s">
        <v>22</v>
      </c>
      <c r="S2" s="66" t="s">
        <v>142</v>
      </c>
      <c r="T2" s="66"/>
      <c r="U2" s="66"/>
      <c r="V2" s="66"/>
      <c r="W2" s="67" t="s">
        <v>153</v>
      </c>
      <c r="X2" s="67"/>
      <c r="Y2" s="66" t="s">
        <v>160</v>
      </c>
      <c r="Z2" s="66"/>
      <c r="AA2" s="66"/>
      <c r="AB2" s="67" t="s">
        <v>170</v>
      </c>
      <c r="AC2" s="67"/>
      <c r="AD2" s="66" t="s">
        <v>177</v>
      </c>
      <c r="AE2" s="66"/>
      <c r="AG2" s="70" t="s">
        <v>114</v>
      </c>
      <c r="AH2" s="66" t="s">
        <v>117</v>
      </c>
      <c r="AI2" s="66"/>
      <c r="AJ2" s="66"/>
      <c r="AK2" s="66"/>
      <c r="AL2" s="69" t="s">
        <v>192</v>
      </c>
      <c r="AM2" s="70" t="s">
        <v>133</v>
      </c>
      <c r="AN2" s="69" t="s">
        <v>24</v>
      </c>
      <c r="AO2" s="70" t="s">
        <v>26</v>
      </c>
      <c r="AP2" s="69" t="s">
        <v>22</v>
      </c>
      <c r="AQ2" s="67" t="s">
        <v>142</v>
      </c>
      <c r="AR2" s="67"/>
      <c r="AS2" s="67"/>
      <c r="AT2" s="67"/>
      <c r="AU2" s="66" t="s">
        <v>153</v>
      </c>
      <c r="AV2" s="66"/>
      <c r="AW2" s="67" t="s">
        <v>160</v>
      </c>
      <c r="AX2" s="67"/>
      <c r="AY2" s="67"/>
      <c r="AZ2" s="66" t="s">
        <v>170</v>
      </c>
      <c r="BA2" s="66"/>
      <c r="BB2" s="67" t="s">
        <v>177</v>
      </c>
      <c r="BC2" s="67"/>
      <c r="BE2" s="69" t="s">
        <v>229</v>
      </c>
      <c r="BF2" s="70" t="s">
        <v>232</v>
      </c>
      <c r="BG2" s="69" t="s">
        <v>232</v>
      </c>
      <c r="BI2" s="67" t="s">
        <v>237</v>
      </c>
      <c r="BJ2" s="67"/>
      <c r="BK2" s="66" t="s">
        <v>242</v>
      </c>
      <c r="BL2" s="66"/>
      <c r="BM2" s="66"/>
      <c r="BO2" s="67" t="s">
        <v>249</v>
      </c>
      <c r="BP2" s="67"/>
      <c r="BQ2" s="66" t="s">
        <v>254</v>
      </c>
      <c r="BR2" s="66"/>
      <c r="BS2" s="66"/>
      <c r="BU2" t="s">
        <v>550</v>
      </c>
    </row>
    <row r="3" spans="1:73" ht="15" thickBot="1">
      <c r="A3" s="70"/>
      <c r="B3" s="69"/>
      <c r="C3" s="70"/>
      <c r="D3" s="69"/>
      <c r="E3" s="70"/>
      <c r="F3" s="69"/>
      <c r="G3" s="70"/>
      <c r="I3" s="69"/>
      <c r="J3" s="11" t="s">
        <v>118</v>
      </c>
      <c r="K3" s="11" t="s">
        <v>121</v>
      </c>
      <c r="L3" s="11" t="s">
        <v>124</v>
      </c>
      <c r="M3" s="11" t="s">
        <v>127</v>
      </c>
      <c r="N3" s="70"/>
      <c r="O3" s="69"/>
      <c r="P3" s="70"/>
      <c r="Q3" s="69"/>
      <c r="R3" s="70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70"/>
      <c r="AH3" s="12" t="s">
        <v>118</v>
      </c>
      <c r="AI3" s="12" t="s">
        <v>121</v>
      </c>
      <c r="AJ3" s="12" t="s">
        <v>124</v>
      </c>
      <c r="AK3" s="12" t="s">
        <v>127</v>
      </c>
      <c r="AL3" s="69"/>
      <c r="AM3" s="70"/>
      <c r="AN3" s="69"/>
      <c r="AO3" s="70"/>
      <c r="AP3" s="69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69"/>
      <c r="BF3" s="70"/>
      <c r="BG3" s="69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27.2" hidden="1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1.2325275</v>
      </c>
      <c r="J5" s="18">
        <f t="shared" ref="J5:J29" si="1">IF(ISBLANK(S5),"·",S5/D5)</f>
        <v>5.2662956334397132E-2</v>
      </c>
      <c r="K5" s="18">
        <f t="shared" ref="K5:K29" si="2">IF(N5="","·",N5/D5)</f>
        <v>4.3988610260798269E-2</v>
      </c>
      <c r="L5" s="18">
        <f t="shared" ref="L5:L29" si="3">IF(T5="","·",T5/D5)</f>
        <v>2.616350524400652E-2</v>
      </c>
      <c r="M5" s="18">
        <f t="shared" ref="M5:M29" si="4">IF(ISBLANK(V5),"·",V5/D5)</f>
        <v>8.6700733124366065E-3</v>
      </c>
      <c r="N5" s="15">
        <f t="shared" ref="N5:N29" si="5">IF(OR(ISBLANK(T5),ISBLANK(U5)),"",T5+U5)</f>
        <v>1098146.666666667</v>
      </c>
      <c r="O5" s="18">
        <f t="shared" ref="O5:O29" si="6">IF(ISBLANK(S5),"·",S5/P5)</f>
        <v>5.6445368406649349E-2</v>
      </c>
      <c r="P5" s="19">
        <v>23291477</v>
      </c>
      <c r="Q5" s="19">
        <v>727858.65625</v>
      </c>
      <c r="R5" s="19">
        <v>16263.4375</v>
      </c>
      <c r="S5" s="20">
        <v>1314696</v>
      </c>
      <c r="T5" s="20">
        <v>653154.66666666698</v>
      </c>
      <c r="U5" s="20">
        <v>444992</v>
      </c>
      <c r="V5" s="20">
        <v>216442.66666666701</v>
      </c>
      <c r="W5" s="21">
        <v>66.755174999999994</v>
      </c>
      <c r="X5" s="21">
        <v>68.482021875000001</v>
      </c>
      <c r="Y5" s="21">
        <v>31.680265625000001</v>
      </c>
      <c r="Z5" s="21">
        <v>44.159965624999998</v>
      </c>
      <c r="AA5" s="21">
        <v>43.676034375</v>
      </c>
      <c r="AB5" s="22">
        <v>4630.88</v>
      </c>
      <c r="AC5" s="22">
        <v>7621.35</v>
      </c>
      <c r="AD5" s="22">
        <v>8.718</v>
      </c>
      <c r="AE5" s="22">
        <v>29.965</v>
      </c>
      <c r="AG5" s="17">
        <f t="shared" ref="AG5:AG29" si="7">IF(OR(ISBLANK(AQ5),ISBLANK(G5)),"·",AQ5*G5/F5/1000000)</f>
        <v>1.2086625</v>
      </c>
      <c r="AH5" s="18">
        <f t="shared" ref="AH5:AH29" si="8">IF(ISBLANK(AQ5),"·",AQ5/D5)</f>
        <v>5.1643261883019466E-2</v>
      </c>
      <c r="AI5" s="18">
        <f t="shared" ref="AI5:AI29" si="9">IF(AL5="","·",AL5/D5)</f>
        <v>4.3432937671644002E-2</v>
      </c>
      <c r="AJ5" s="18">
        <f t="shared" ref="AJ5:AJ29" si="10">IF(AR5="","·",AR5/D5)</f>
        <v>2.6001033500810896E-2</v>
      </c>
      <c r="AK5" s="18">
        <f t="shared" ref="AK5:AK29" si="11">IF(ISBLANK(AT5),"·",AT5/D5)</f>
        <v>8.2060514502132059E-3</v>
      </c>
      <c r="AL5" s="15">
        <f t="shared" ref="AL5:AL29" si="12">IF(OR(ISBLANK(AR5),ISBLANK(AS5)),"",AR5+AS5)</f>
        <v>1084274.666666667</v>
      </c>
      <c r="AM5" s="18">
        <f t="shared" ref="AM5:AM29" si="13">IF(ISBLANK(AQ5),"·",AQ5/AN5)</f>
        <v>5.5326480478151523E-2</v>
      </c>
      <c r="AN5" s="19">
        <v>23302404</v>
      </c>
      <c r="AO5" s="19">
        <v>728200.125</v>
      </c>
      <c r="AP5" s="19">
        <v>16212.03125</v>
      </c>
      <c r="AQ5" s="20">
        <v>1289240</v>
      </c>
      <c r="AR5" s="20">
        <v>649098.66666666698</v>
      </c>
      <c r="AS5" s="20">
        <v>435176</v>
      </c>
      <c r="AT5" s="20">
        <v>204858.66666666701</v>
      </c>
      <c r="AU5" s="21">
        <v>66.750615624999995</v>
      </c>
      <c r="AV5" s="21">
        <v>68.466490625000006</v>
      </c>
      <c r="AW5" s="21">
        <v>31.668503125000001</v>
      </c>
      <c r="AX5" s="21">
        <v>44.340690625000001</v>
      </c>
      <c r="AY5" s="21">
        <v>43.451671875000002</v>
      </c>
      <c r="AZ5" s="22">
        <v>2513.79</v>
      </c>
      <c r="BA5" s="22">
        <v>2219.9699999999998</v>
      </c>
      <c r="BB5" s="22">
        <v>3.5339999999999998</v>
      </c>
      <c r="BC5" s="22">
        <v>10.301</v>
      </c>
      <c r="BE5" s="23">
        <f t="shared" ref="BE5:BE29" si="14">(AP5/AO5) - (R5/Q5)</f>
        <v>-8.1071263948656602E-5</v>
      </c>
      <c r="BF5" s="23">
        <f t="shared" ref="BF5:BF29" si="15">(AL5/AQ5) - (N5/S5)</f>
        <v>5.7328587420391042E-3</v>
      </c>
      <c r="BG5" s="23">
        <f t="array" ref="BG5">AVERAGE(AL5:AL9/AQ5:AQ9) - AVERAGE(N5:N9/S5:S9)</f>
        <v>2.4386955105267782E-3</v>
      </c>
      <c r="BI5" s="24">
        <f>IF( OR(ISBLANK(N5:N9),ISBLANK(AL5:AL9), ISBLANK(W5:W9),ISBLANK(AU5:AU9)), "·", bdRateExtend( N5:N9,W5:W9, AL5:AL9,AU5:AU9))</f>
        <v>-1.8880403074243435E-2</v>
      </c>
      <c r="BJ5" s="24">
        <f>IF( OR(ISBLANK(N5:N9),ISBLANK(AL5:AL9), ISBLANK(X5:X9),ISBLANK(AV5:AV9)), "·", bdRateExtend( N5:N9,X5:X9, AL5:AL9,AV5:AV9))</f>
        <v>-2.197846454630592E-2</v>
      </c>
      <c r="BK5" s="24">
        <f>IF( OR(ISBLANK(V5:V9),ISBLANK(AT5:AT9), ISBLANK(Y5:Y9),ISBLANK(AW5:AW9)), "·", bdRateExtend( V5:V9,Y5:Y9, AT5:AT9,AW5:AW9))</f>
        <v>-3.370568353859893E-2</v>
      </c>
      <c r="BL5" s="24">
        <f>IF( OR(ISBLANK(V5:V9),ISBLANK(AT5:AT9), ISBLANK(Z5:Z9),ISBLANK(AX5:AX9)), "·", bdRateExtend( V5:V9,Z5:Z9, AT5:AT9,AX5:AX9))</f>
        <v>-6.0179305465143051E-2</v>
      </c>
      <c r="BM5" s="24">
        <f>IF( OR(ISBLANK(V5:V9),ISBLANK(AT5:AT9), ISBLANK(AA5:AA9),ISBLANK(AY5:AY9)), "·", bdRateExtend( V5:V9,AA5:AA9, AT5:AT9,AY5:AY9))</f>
        <v>-1.760411374894455E-2</v>
      </c>
      <c r="BO5" s="24">
        <f>IF( OR(ISBLANK(S5:S9),ISBLANK(AQ5:AQ9), ISBLANK(W5:W9),ISBLANK(AU5:AU9)), "·", bdRateExtend( S5:S9,W5:W9, AQ5:AQ9,AU5:AU9))</f>
        <v>-2.172056443213588E-2</v>
      </c>
      <c r="BP5" s="24">
        <f>IF( OR(ISBLANK(S5:S9),ISBLANK(AQ5:AQ9), ISBLANK(X5:X9),ISBLANK(AV5:AV9)), "·", bdRateExtend( S5:S9,X5:X9, AQ5:AQ9,AV5:AV9))</f>
        <v>-2.6070024510681633E-2</v>
      </c>
      <c r="BQ5" s="24">
        <f>IF( OR(ISBLANK(S5:S9),ISBLANK(AQ5:AQ9), ISBLANK(Y5:Y9),ISBLANK(AW5:AW9)), "·", bdRateExtend( S5:S9,Y5:Y9, AQ5:AQ9,AW5:AW9))</f>
        <v>-2.3063399901876336E-2</v>
      </c>
      <c r="BR5" s="24">
        <f>IF( OR(ISBLANK(S5:S9),ISBLANK(AQ5:AQ9), ISBLANK(Z5:Z9),ISBLANK(AX5:AX9)), "·", bdRateExtend( S5:S9,Z5:Z9, AQ5:AQ9,AX5:AX9))</f>
        <v>-4.0529898237262829E-2</v>
      </c>
      <c r="BS5" s="24">
        <f>IF( OR(ISBLANK(S5:S9),ISBLANK(AQ5:AQ9), ISBLANK(AA5:AA9),ISBLANK(AY5:AY9)), "·", bdRateExtend( S5:S9,AA5:AA9, AQ5:AQ9,AY5:AY9))</f>
        <v>-1.613004405356111E-2</v>
      </c>
      <c r="BU5">
        <f>AQ5-S5</f>
        <v>-25456</v>
      </c>
    </row>
    <row r="6" spans="1:73" outlineLevel="1">
      <c r="A6" s="25"/>
      <c r="B6" s="25" t="s">
        <v>266</v>
      </c>
      <c r="C6" s="26" t="s">
        <v>269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1.5948675000000001</v>
      </c>
      <c r="J6" s="28">
        <f t="shared" si="1"/>
        <v>6.8144879129795569E-2</v>
      </c>
      <c r="K6" s="28">
        <f t="shared" si="2"/>
        <v>5.3073889139179237E-2</v>
      </c>
      <c r="L6" s="28">
        <f t="shared" si="3"/>
        <v>3.5248784122387487E-2</v>
      </c>
      <c r="M6" s="28">
        <f t="shared" si="4"/>
        <v>1.5066717229454083E-2</v>
      </c>
      <c r="N6" s="25">
        <f t="shared" si="5"/>
        <v>1324954.666666667</v>
      </c>
      <c r="O6" s="28">
        <f t="shared" si="6"/>
        <v>6.8674652103847281E-2</v>
      </c>
      <c r="P6" s="29">
        <v>24771760</v>
      </c>
      <c r="Q6" s="29">
        <v>774117.5</v>
      </c>
      <c r="R6" s="29">
        <v>20008.375</v>
      </c>
      <c r="S6" s="30">
        <v>1701192</v>
      </c>
      <c r="T6" s="30">
        <v>879962.66666666698</v>
      </c>
      <c r="U6" s="30">
        <v>444992</v>
      </c>
      <c r="V6" s="30">
        <v>376130.66666666698</v>
      </c>
      <c r="W6" s="31">
        <v>68.484087500000001</v>
      </c>
      <c r="X6" s="31">
        <v>70.470168749999999</v>
      </c>
      <c r="Y6" s="31">
        <v>33.820796874999999</v>
      </c>
      <c r="Z6" s="31">
        <v>45.333096875000003</v>
      </c>
      <c r="AA6" s="31">
        <v>45.051343750000001</v>
      </c>
      <c r="AB6" s="32">
        <v>20238.2</v>
      </c>
      <c r="AC6" s="32">
        <v>4416.22</v>
      </c>
      <c r="AD6" s="32">
        <v>9.5250000000000004</v>
      </c>
      <c r="AE6" s="32">
        <v>30.414000000000001</v>
      </c>
      <c r="AG6" s="27">
        <f t="shared" si="7"/>
        <v>1.5521475</v>
      </c>
      <c r="AH6" s="28">
        <f t="shared" si="8"/>
        <v>6.631955556127038E-2</v>
      </c>
      <c r="AI6" s="28">
        <f t="shared" si="9"/>
        <v>5.1896529800913513E-2</v>
      </c>
      <c r="AJ6" s="28">
        <f t="shared" si="10"/>
        <v>3.4464625630080403E-2</v>
      </c>
      <c r="AK6" s="28">
        <f t="shared" si="11"/>
        <v>1.4418752999194611E-2</v>
      </c>
      <c r="AL6" s="25">
        <f t="shared" si="12"/>
        <v>1295562.666666667</v>
      </c>
      <c r="AM6" s="28">
        <f t="shared" si="13"/>
        <v>6.7219616735184534E-2</v>
      </c>
      <c r="AN6" s="29">
        <v>24630072</v>
      </c>
      <c r="AO6" s="29">
        <v>769689.75</v>
      </c>
      <c r="AP6" s="29">
        <v>19807.3125</v>
      </c>
      <c r="AQ6" s="30">
        <v>1655624</v>
      </c>
      <c r="AR6" s="30">
        <v>860386.66666666698</v>
      </c>
      <c r="AS6" s="30">
        <v>435176</v>
      </c>
      <c r="AT6" s="30">
        <v>359954.66666666698</v>
      </c>
      <c r="AU6" s="31">
        <v>68.474656249999995</v>
      </c>
      <c r="AV6" s="31">
        <v>70.500003125000006</v>
      </c>
      <c r="AW6" s="31">
        <v>33.831906250000003</v>
      </c>
      <c r="AX6" s="31">
        <v>45.376818749999998</v>
      </c>
      <c r="AY6" s="31">
        <v>44.926993750000001</v>
      </c>
      <c r="AZ6" s="32">
        <v>2593.11</v>
      </c>
      <c r="BA6" s="32">
        <v>2337.4499999999998</v>
      </c>
      <c r="BB6" s="32">
        <v>6.4</v>
      </c>
      <c r="BC6" s="32">
        <v>15.704000000000001</v>
      </c>
      <c r="BE6" s="33">
        <f t="shared" si="14"/>
        <v>-1.1253861522261127E-4</v>
      </c>
      <c r="BF6" s="33">
        <f t="shared" si="15"/>
        <v>3.683285153900151E-3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-45568</v>
      </c>
    </row>
    <row r="7" spans="1:73" outlineLevel="1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2.1907725</v>
      </c>
      <c r="J7" s="18">
        <f t="shared" si="1"/>
        <v>9.3606476533868846E-2</v>
      </c>
      <c r="K7" s="18">
        <f t="shared" si="2"/>
        <v>6.4841714294267577E-2</v>
      </c>
      <c r="L7" s="18">
        <f t="shared" si="3"/>
        <v>4.7016609277475821E-2</v>
      </c>
      <c r="M7" s="18">
        <f t="shared" si="4"/>
        <v>2.8760489478439146E-2</v>
      </c>
      <c r="N7" s="15">
        <f t="shared" si="5"/>
        <v>1618730.66666667</v>
      </c>
      <c r="O7" s="18">
        <f t="shared" si="6"/>
        <v>9.3659053045677523E-2</v>
      </c>
      <c r="P7" s="19">
        <v>24950327</v>
      </c>
      <c r="Q7" s="19">
        <v>779697.71875</v>
      </c>
      <c r="R7" s="19">
        <v>21339.03125</v>
      </c>
      <c r="S7" s="20">
        <v>2336824</v>
      </c>
      <c r="T7" s="20">
        <v>1173738.66666667</v>
      </c>
      <c r="U7" s="20">
        <v>444992</v>
      </c>
      <c r="V7" s="20">
        <v>717986.66666666698</v>
      </c>
      <c r="W7" s="21">
        <v>69.813803125000007</v>
      </c>
      <c r="X7" s="21">
        <v>72.148834375000007</v>
      </c>
      <c r="Y7" s="21">
        <v>36.248771875000003</v>
      </c>
      <c r="Z7" s="21">
        <v>46.839840625000001</v>
      </c>
      <c r="AA7" s="21">
        <v>46.438049999999997</v>
      </c>
      <c r="AB7" s="22">
        <v>7013.89</v>
      </c>
      <c r="AC7" s="22">
        <v>7264.46</v>
      </c>
      <c r="AD7" s="22">
        <v>9.3940000000000001</v>
      </c>
      <c r="AE7" s="22">
        <v>34.594000000000001</v>
      </c>
      <c r="AG7" s="17">
        <f t="shared" si="7"/>
        <v>2.1322725</v>
      </c>
      <c r="AH7" s="18">
        <f t="shared" si="8"/>
        <v>9.1106911253936163E-2</v>
      </c>
      <c r="AI7" s="18">
        <f t="shared" si="9"/>
        <v>6.3400618773260226E-2</v>
      </c>
      <c r="AJ7" s="18">
        <f t="shared" si="10"/>
        <v>4.5968714602427116E-2</v>
      </c>
      <c r="AK7" s="18">
        <f t="shared" si="11"/>
        <v>2.7702019719513804E-2</v>
      </c>
      <c r="AL7" s="15">
        <f t="shared" si="12"/>
        <v>1582754.66666667</v>
      </c>
      <c r="AM7" s="18">
        <f t="shared" si="13"/>
        <v>9.1272419775503683E-2</v>
      </c>
      <c r="AN7" s="19">
        <v>24919072</v>
      </c>
      <c r="AO7" s="19">
        <v>778721</v>
      </c>
      <c r="AP7" s="19">
        <v>21072.28125</v>
      </c>
      <c r="AQ7" s="20">
        <v>2274424</v>
      </c>
      <c r="AR7" s="20">
        <v>1147578.66666667</v>
      </c>
      <c r="AS7" s="20">
        <v>435176</v>
      </c>
      <c r="AT7" s="20">
        <v>691562.66666666698</v>
      </c>
      <c r="AU7" s="21">
        <v>69.796599999999998</v>
      </c>
      <c r="AV7" s="21">
        <v>72.151678125000004</v>
      </c>
      <c r="AW7" s="21">
        <v>36.257321875000002</v>
      </c>
      <c r="AX7" s="21">
        <v>46.796909374999998</v>
      </c>
      <c r="AY7" s="21">
        <v>46.487650000000002</v>
      </c>
      <c r="AZ7" s="22">
        <v>2678.48</v>
      </c>
      <c r="BA7" s="22">
        <v>2574.62</v>
      </c>
      <c r="BB7" s="22">
        <v>3.9969999999999999</v>
      </c>
      <c r="BC7" s="22">
        <v>11.007999999999999</v>
      </c>
      <c r="BE7" s="23">
        <f t="shared" si="14"/>
        <v>-3.0822185408614991E-4</v>
      </c>
      <c r="BF7" s="23">
        <f t="shared" si="15"/>
        <v>3.1871008408015378E-3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-62400</v>
      </c>
    </row>
    <row r="8" spans="1:73" outlineLevel="1">
      <c r="A8" s="25"/>
      <c r="B8" s="25" t="s">
        <v>266</v>
      </c>
      <c r="C8" s="26" t="s">
        <v>271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3.5944275000000001</v>
      </c>
      <c r="J8" s="28">
        <f t="shared" si="1"/>
        <v>0.15358130222624342</v>
      </c>
      <c r="K8" s="28">
        <f t="shared" si="2"/>
        <v>9.0271906903798091E-2</v>
      </c>
      <c r="L8" s="28">
        <f t="shared" si="3"/>
        <v>7.2446801887006348E-2</v>
      </c>
      <c r="M8" s="28">
        <f t="shared" si="4"/>
        <v>6.3305122561283317E-2</v>
      </c>
      <c r="N8" s="25">
        <f t="shared" si="5"/>
        <v>2253578.6666666698</v>
      </c>
      <c r="O8" s="28">
        <f t="shared" si="6"/>
        <v>0.14721501783199373</v>
      </c>
      <c r="P8" s="29">
        <v>26043919</v>
      </c>
      <c r="Q8" s="29">
        <v>813872.46875</v>
      </c>
      <c r="R8" s="29">
        <v>24933.6875</v>
      </c>
      <c r="S8" s="30">
        <v>3834056</v>
      </c>
      <c r="T8" s="30">
        <v>1808586.66666667</v>
      </c>
      <c r="U8" s="30">
        <v>444992</v>
      </c>
      <c r="V8" s="30">
        <v>1580370.66666667</v>
      </c>
      <c r="W8" s="31">
        <v>70.797706250000005</v>
      </c>
      <c r="X8" s="31">
        <v>73.331156250000006</v>
      </c>
      <c r="Y8" s="31">
        <v>38.7179</v>
      </c>
      <c r="Z8" s="31">
        <v>48.004215625000001</v>
      </c>
      <c r="AA8" s="31">
        <v>47.964578125000003</v>
      </c>
      <c r="AB8" s="32">
        <v>9273.34</v>
      </c>
      <c r="AC8" s="32">
        <v>7618.45</v>
      </c>
      <c r="AD8" s="32">
        <v>9.3849999999999998</v>
      </c>
      <c r="AE8" s="32">
        <v>29.859000000000002</v>
      </c>
      <c r="AG8" s="27">
        <f t="shared" si="7"/>
        <v>3.5141399999999998</v>
      </c>
      <c r="AH8" s="28">
        <f t="shared" si="8"/>
        <v>0.1501508091080794</v>
      </c>
      <c r="AI8" s="28">
        <f t="shared" si="9"/>
        <v>8.8525095321629749E-2</v>
      </c>
      <c r="AJ8" s="28">
        <f t="shared" si="10"/>
        <v>7.1093191150796653E-2</v>
      </c>
      <c r="AK8" s="28">
        <f t="shared" si="11"/>
        <v>6.1621441025287632E-2</v>
      </c>
      <c r="AL8" s="25">
        <f t="shared" si="12"/>
        <v>2209970.6666666698</v>
      </c>
      <c r="AM8" s="28">
        <f t="shared" si="13"/>
        <v>0.14414709308961385</v>
      </c>
      <c r="AN8" s="29">
        <v>26004104</v>
      </c>
      <c r="AO8" s="29">
        <v>812628.25</v>
      </c>
      <c r="AP8" s="29">
        <v>24474.75</v>
      </c>
      <c r="AQ8" s="30">
        <v>3748416</v>
      </c>
      <c r="AR8" s="30">
        <v>1774794.66666667</v>
      </c>
      <c r="AS8" s="30">
        <v>435176</v>
      </c>
      <c r="AT8" s="30">
        <v>1538338.66666667</v>
      </c>
      <c r="AU8" s="31">
        <v>70.793118750000005</v>
      </c>
      <c r="AV8" s="31">
        <v>73.333334375000007</v>
      </c>
      <c r="AW8" s="31">
        <v>38.702150000000003</v>
      </c>
      <c r="AX8" s="31">
        <v>48.108049999999999</v>
      </c>
      <c r="AY8" s="31">
        <v>47.962968750000002</v>
      </c>
      <c r="AZ8" s="32">
        <v>2104.7800000000002</v>
      </c>
      <c r="BA8" s="32">
        <v>2963.19</v>
      </c>
      <c r="BB8" s="32">
        <v>4.5199999999999996</v>
      </c>
      <c r="BC8" s="32">
        <v>13.33</v>
      </c>
      <c r="BE8" s="33">
        <f t="shared" si="14"/>
        <v>-5.1785029834024165E-4</v>
      </c>
      <c r="BF8" s="33">
        <f t="shared" si="15"/>
        <v>1.7952696150839165E-3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-85640</v>
      </c>
    </row>
    <row r="9" spans="1:73" ht="15" outlineLevel="1" thickBot="1">
      <c r="A9" s="15"/>
      <c r="B9" s="35" t="s">
        <v>266</v>
      </c>
      <c r="C9" s="36" t="s">
        <v>272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7.6444650000000003</v>
      </c>
      <c r="J9" s="38">
        <f t="shared" si="1"/>
        <v>0.3266297315839421</v>
      </c>
      <c r="K9" s="38">
        <f t="shared" si="2"/>
        <v>0.15439120410455337</v>
      </c>
      <c r="L9" s="38">
        <f t="shared" si="3"/>
        <v>0.11731079409092632</v>
      </c>
      <c r="M9" s="38">
        <f t="shared" si="4"/>
        <v>0.17223425471822668</v>
      </c>
      <c r="N9" s="35">
        <f t="shared" si="5"/>
        <v>3854274.6666666698</v>
      </c>
      <c r="O9" s="38">
        <f t="shared" si="6"/>
        <v>0.32563444956265702</v>
      </c>
      <c r="P9" s="39">
        <v>25040643</v>
      </c>
      <c r="Q9" s="39">
        <v>782520.09375</v>
      </c>
      <c r="R9" s="39">
        <v>10525.34375</v>
      </c>
      <c r="S9" s="40">
        <v>8154096</v>
      </c>
      <c r="T9" s="40">
        <v>2928586.6666666698</v>
      </c>
      <c r="U9" s="40">
        <v>925688</v>
      </c>
      <c r="V9" s="40">
        <v>4299714.6666666698</v>
      </c>
      <c r="W9" s="41">
        <v>72.046912500000005</v>
      </c>
      <c r="X9" s="41">
        <v>75.239984375000006</v>
      </c>
      <c r="Y9" s="41">
        <v>41.153465625000003</v>
      </c>
      <c r="Z9" s="41">
        <v>49.549090624999998</v>
      </c>
      <c r="AA9" s="41">
        <v>49.635853124999997</v>
      </c>
      <c r="AB9" s="42">
        <v>4989.72</v>
      </c>
      <c r="AC9" s="42">
        <v>9558.16</v>
      </c>
      <c r="AD9" s="42">
        <v>12.545</v>
      </c>
      <c r="AE9" s="42">
        <v>44.487000000000002</v>
      </c>
      <c r="AG9" s="37">
        <f t="shared" si="7"/>
        <v>7.4982749999999996</v>
      </c>
      <c r="AH9" s="38">
        <f t="shared" si="8"/>
        <v>0.32038338204080774</v>
      </c>
      <c r="AI9" s="38">
        <f t="shared" si="9"/>
        <v>0.15073222508323653</v>
      </c>
      <c r="AJ9" s="38">
        <f t="shared" si="10"/>
        <v>0.11441418247998895</v>
      </c>
      <c r="AK9" s="38">
        <f t="shared" si="11"/>
        <v>0.16964688419640919</v>
      </c>
      <c r="AL9" s="35">
        <f t="shared" si="12"/>
        <v>3762930.6666666698</v>
      </c>
      <c r="AM9" s="38">
        <f t="shared" si="13"/>
        <v>0.3195972787223717</v>
      </c>
      <c r="AN9" s="39">
        <v>25025745</v>
      </c>
      <c r="AO9" s="39">
        <v>782054.53125</v>
      </c>
      <c r="AP9" s="39">
        <v>10275.84375</v>
      </c>
      <c r="AQ9" s="40">
        <v>7998160</v>
      </c>
      <c r="AR9" s="40">
        <v>2856274.6666666698</v>
      </c>
      <c r="AS9" s="40">
        <v>906656</v>
      </c>
      <c r="AT9" s="40">
        <v>4235122.6666666698</v>
      </c>
      <c r="AU9" s="41">
        <v>72.048096874999999</v>
      </c>
      <c r="AV9" s="41">
        <v>75.254450000000006</v>
      </c>
      <c r="AW9" s="41">
        <v>41.140931250000001</v>
      </c>
      <c r="AX9" s="41">
        <v>49.543940624999998</v>
      </c>
      <c r="AY9" s="41">
        <v>49.608296875000001</v>
      </c>
      <c r="AZ9" s="42">
        <v>2130.9499999999998</v>
      </c>
      <c r="BA9" s="42">
        <v>3336.93</v>
      </c>
      <c r="BB9" s="42">
        <v>4.4820000000000002</v>
      </c>
      <c r="BC9" s="42">
        <v>14.941000000000001</v>
      </c>
      <c r="BE9" s="43">
        <f t="shared" si="14"/>
        <v>-3.110242416937449E-4</v>
      </c>
      <c r="BF9" s="43">
        <f t="shared" si="15"/>
        <v>-2.2050367991908182E-3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-155936</v>
      </c>
    </row>
    <row r="10" spans="1:73">
      <c r="A10" s="25"/>
      <c r="B10" s="25" t="s">
        <v>275</v>
      </c>
      <c r="C10" s="26" t="s">
        <v>268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2.1042074999999998</v>
      </c>
      <c r="J10" s="28">
        <f t="shared" si="1"/>
        <v>9.9073445354092682E-2</v>
      </c>
      <c r="K10" s="28">
        <f t="shared" si="2"/>
        <v>7.2606752888612958E-2</v>
      </c>
      <c r="L10" s="28">
        <f t="shared" si="3"/>
        <v>3.9493754131484822E-2</v>
      </c>
      <c r="M10" s="28">
        <f t="shared" si="4"/>
        <v>2.6461984115882384E-2</v>
      </c>
      <c r="N10" s="25">
        <f t="shared" si="5"/>
        <v>1644890.666666667</v>
      </c>
      <c r="O10" s="28">
        <f t="shared" si="6"/>
        <v>0.10727801970360519</v>
      </c>
      <c r="P10" s="29">
        <v>20922161</v>
      </c>
      <c r="Q10" s="29">
        <v>653817.53125</v>
      </c>
      <c r="R10" s="29">
        <v>19494.9375</v>
      </c>
      <c r="S10" s="30">
        <v>2244488</v>
      </c>
      <c r="T10" s="30">
        <v>894722.66666666698</v>
      </c>
      <c r="U10" s="30">
        <v>750168</v>
      </c>
      <c r="V10" s="30">
        <v>599490.66666666698</v>
      </c>
      <c r="W10" s="31">
        <v>65.964271874999994</v>
      </c>
      <c r="X10" s="31">
        <v>67.864968750000003</v>
      </c>
      <c r="Y10" s="31">
        <v>31.090803125000001</v>
      </c>
      <c r="Z10" s="31">
        <v>38.580871875</v>
      </c>
      <c r="AA10" s="31">
        <v>30.067271874999999</v>
      </c>
      <c r="AB10" s="32">
        <v>14725.6</v>
      </c>
      <c r="AC10" s="32">
        <v>6949.45</v>
      </c>
      <c r="AD10" s="32">
        <v>9.0609999999999999</v>
      </c>
      <c r="AE10" s="32">
        <v>30.125</v>
      </c>
      <c r="AG10" s="27">
        <f t="shared" si="7"/>
        <v>2.0552100000000002</v>
      </c>
      <c r="AH10" s="28">
        <f t="shared" si="8"/>
        <v>9.6766471760121001E-2</v>
      </c>
      <c r="AI10" s="28">
        <f t="shared" si="9"/>
        <v>7.1226735621623627E-2</v>
      </c>
      <c r="AJ10" s="28">
        <f t="shared" si="10"/>
        <v>3.9123677853131492E-2</v>
      </c>
      <c r="AK10" s="28">
        <f t="shared" si="11"/>
        <v>2.5535027788900041E-2</v>
      </c>
      <c r="AL10" s="25">
        <f t="shared" si="12"/>
        <v>1613626.666666667</v>
      </c>
      <c r="AM10" s="28">
        <f t="shared" si="13"/>
        <v>0.10503648806522674</v>
      </c>
      <c r="AN10" s="29">
        <v>20871071</v>
      </c>
      <c r="AO10" s="29">
        <v>652220.96875</v>
      </c>
      <c r="AP10" s="29">
        <v>18933.5625</v>
      </c>
      <c r="AQ10" s="30">
        <v>2192224</v>
      </c>
      <c r="AR10" s="30">
        <v>886338.66666666698</v>
      </c>
      <c r="AS10" s="30">
        <v>727288</v>
      </c>
      <c r="AT10" s="30">
        <v>578490.66666666698</v>
      </c>
      <c r="AU10" s="31">
        <v>65.969918750000005</v>
      </c>
      <c r="AV10" s="31">
        <v>67.878562500000001</v>
      </c>
      <c r="AW10" s="31">
        <v>31.036003125000001</v>
      </c>
      <c r="AX10" s="31">
        <v>38.622875000000001</v>
      </c>
      <c r="AY10" s="31">
        <v>30.111215625</v>
      </c>
      <c r="AZ10" s="32">
        <v>3091.08</v>
      </c>
      <c r="BA10" s="32">
        <v>4619.12</v>
      </c>
      <c r="BB10" s="32">
        <v>6.3</v>
      </c>
      <c r="BC10" s="32">
        <v>18.324999999999999</v>
      </c>
      <c r="BE10" s="33">
        <f t="shared" si="14"/>
        <v>-7.8772405921075095E-4</v>
      </c>
      <c r="BF10" s="33">
        <f t="shared" si="15"/>
        <v>3.2104762377267448E-3</v>
      </c>
      <c r="BG10" s="33">
        <f t="array" ref="BG10">AVERAGE(AL10:AL14/AQ10:AQ14) - AVERAGE(N10:N14/S10:S14)</f>
        <v>2.8489288743958063E-3</v>
      </c>
      <c r="BI10" s="34">
        <f>IF( OR(ISBLANK(N10:N14),ISBLANK(AL10:AL14), ISBLANK(W10:W14),ISBLANK(AU10:AU14)), "·", bdRateExtend( N10:N14,W10:W14, AL10:AL14,AU10:AU14))</f>
        <v>-1.1855047611331493E-2</v>
      </c>
      <c r="BJ10" s="34">
        <f>IF( OR(ISBLANK(N10:N14),ISBLANK(AL10:AL14), ISBLANK(X10:X14),ISBLANK(AV10:AV14)), "·", bdRateExtend( N10:N14,X10:X14, AL10:AL14,AV10:AV14))</f>
        <v>-1.4726763788211583E-2</v>
      </c>
      <c r="BK10" s="34">
        <f>IF( OR(ISBLANK(V10:V14),ISBLANK(AT10:AT14), ISBLANK(Y10:Y14),ISBLANK(AW10:AW14)), "·", bdRateExtend( V10:V14,Y10:Y14, AT10:AT14,AW10:AW14))</f>
        <v>-6.0369808870393005E-3</v>
      </c>
      <c r="BL10" s="34">
        <f>IF( OR(ISBLANK(V10:V14),ISBLANK(AT10:AT14), ISBLANK(Z10:Z14),ISBLANK(AX10:AX14)), "·", bdRateExtend( V10:V14,Z10:Z14, AT10:AT14,AX10:AX14))</f>
        <v>2.5627994524324293E-3</v>
      </c>
      <c r="BM10" s="34">
        <f>IF( OR(ISBLANK(V10:V14),ISBLANK(AT10:AT14), ISBLANK(AA10:AA14),ISBLANK(AY10:AY14)), "·", bdRateExtend( V10:V14,AA10:AA14, AT10:AT14,AY10:AY14))</f>
        <v>-1.2168207903043737E-2</v>
      </c>
      <c r="BO10" s="34">
        <f>IF( OR(ISBLANK(S10:S14),ISBLANK(AQ10:AQ14), ISBLANK(W10:W14),ISBLANK(AU10:AU14)), "·", bdRateExtend( S10:S14,W10:W14, AQ10:AQ14,AU10:AU14))</f>
        <v>-1.7800219099747938E-2</v>
      </c>
      <c r="BP10" s="34">
        <f>IF( OR(ISBLANK(S10:S14),ISBLANK(AQ10:AQ14), ISBLANK(X10:X14),ISBLANK(AV10:AV14)), "·", bdRateExtend( S10:S14,X10:X14, AQ10:AQ14,AV10:AV14))</f>
        <v>-2.2222324459834297E-2</v>
      </c>
      <c r="BQ10" s="34">
        <f>IF( OR(ISBLANK(S10:S14),ISBLANK(AQ10:AQ14), ISBLANK(Y10:Y14),ISBLANK(AW10:AW14)), "·", bdRateExtend( S10:S14,Y10:Y14, AQ10:AQ14,AW10:AW14))</f>
        <v>-3.8041943773574616E-3</v>
      </c>
      <c r="BR10" s="34">
        <f>IF( OR(ISBLANK(S10:S14),ISBLANK(AQ10:AQ14), ISBLANK(Z10:Z14),ISBLANK(AX10:AX14)), "·", bdRateExtend( S10:S14,Z10:Z14, AQ10:AQ14,AX10:AX14))</f>
        <v>3.471926254566382E-3</v>
      </c>
      <c r="BS10" s="34">
        <f>IF( OR(ISBLANK(S10:S14),ISBLANK(AQ10:AQ14), ISBLANK(AA10:AA14),ISBLANK(AY10:AY14)), "·", bdRateExtend( S10:S14,AA10:AA14, AQ10:AQ14,AY10:AY14))</f>
        <v>-7.5227331350624649E-3</v>
      </c>
      <c r="BU10" s="4">
        <f t="shared" si="16"/>
        <v>-52264</v>
      </c>
    </row>
    <row r="11" spans="1:73" outlineLevel="1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2.8487925000000001</v>
      </c>
      <c r="J11" s="18">
        <f t="shared" si="1"/>
        <v>0.13413111020367482</v>
      </c>
      <c r="K11" s="18">
        <f t="shared" si="2"/>
        <v>8.7555645151524919E-2</v>
      </c>
      <c r="L11" s="18">
        <f t="shared" si="3"/>
        <v>5.444264639439679E-2</v>
      </c>
      <c r="M11" s="18">
        <f t="shared" si="4"/>
        <v>4.6570756702552826E-2</v>
      </c>
      <c r="N11" s="15">
        <f t="shared" si="5"/>
        <v>1983554.66666667</v>
      </c>
      <c r="O11" s="18">
        <f t="shared" si="6"/>
        <v>0.13553208409583861</v>
      </c>
      <c r="P11" s="19">
        <v>22420610</v>
      </c>
      <c r="Q11" s="19">
        <v>700644.0625</v>
      </c>
      <c r="R11" s="19">
        <v>24865.21875</v>
      </c>
      <c r="S11" s="20">
        <v>3038712</v>
      </c>
      <c r="T11" s="20">
        <v>1233386.66666667</v>
      </c>
      <c r="U11" s="20">
        <v>750168</v>
      </c>
      <c r="V11" s="20">
        <v>1055050.66666667</v>
      </c>
      <c r="W11" s="21">
        <v>67.688396874999995</v>
      </c>
      <c r="X11" s="21">
        <v>69.747328124999996</v>
      </c>
      <c r="Y11" s="21">
        <v>32.961771874999997</v>
      </c>
      <c r="Z11" s="21">
        <v>39.699915625000003</v>
      </c>
      <c r="AA11" s="21">
        <v>32.333121875000003</v>
      </c>
      <c r="AB11" s="22">
        <v>4786.99</v>
      </c>
      <c r="AC11" s="22">
        <v>9289.66</v>
      </c>
      <c r="AD11" s="22">
        <v>9.7420000000000009</v>
      </c>
      <c r="AE11" s="22">
        <v>36.753</v>
      </c>
      <c r="AG11" s="17">
        <f t="shared" si="7"/>
        <v>2.7926774999999999</v>
      </c>
      <c r="AH11" s="18">
        <f t="shared" si="8"/>
        <v>0.13148901982711028</v>
      </c>
      <c r="AI11" s="18">
        <f t="shared" si="9"/>
        <v>8.6264262565706087E-2</v>
      </c>
      <c r="AJ11" s="18">
        <f t="shared" si="10"/>
        <v>5.4161204797213959E-2</v>
      </c>
      <c r="AK11" s="18">
        <f t="shared" si="11"/>
        <v>4.5220048911807122E-2</v>
      </c>
      <c r="AL11" s="15">
        <f t="shared" si="12"/>
        <v>1954298.66666667</v>
      </c>
      <c r="AM11" s="18">
        <f t="shared" si="13"/>
        <v>0.13310806493342264</v>
      </c>
      <c r="AN11" s="19">
        <v>22379230</v>
      </c>
      <c r="AO11" s="19">
        <v>699350.9375</v>
      </c>
      <c r="AP11" s="19">
        <v>24081.75</v>
      </c>
      <c r="AQ11" s="20">
        <v>2978856</v>
      </c>
      <c r="AR11" s="20">
        <v>1227010.66666667</v>
      </c>
      <c r="AS11" s="20">
        <v>727288</v>
      </c>
      <c r="AT11" s="20">
        <v>1024450.66666667</v>
      </c>
      <c r="AU11" s="21">
        <v>67.698618749999994</v>
      </c>
      <c r="AV11" s="21">
        <v>69.777518749999999</v>
      </c>
      <c r="AW11" s="21">
        <v>32.909609375000002</v>
      </c>
      <c r="AX11" s="21">
        <v>39.656315624999998</v>
      </c>
      <c r="AY11" s="21">
        <v>32.299137500000001</v>
      </c>
      <c r="AZ11" s="22">
        <v>2488.85</v>
      </c>
      <c r="BA11" s="22">
        <v>3332.95</v>
      </c>
      <c r="BB11" s="22">
        <v>6.2789999999999999</v>
      </c>
      <c r="BC11" s="22">
        <v>15.347</v>
      </c>
      <c r="BE11" s="23">
        <f t="shared" si="14"/>
        <v>-1.0546592327334847E-3</v>
      </c>
      <c r="BF11" s="23">
        <f t="shared" si="15"/>
        <v>3.2951245288523889E-3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-59856</v>
      </c>
    </row>
    <row r="12" spans="1:73" outlineLevel="1">
      <c r="A12" s="25"/>
      <c r="B12" s="25" t="s">
        <v>275</v>
      </c>
      <c r="C12" s="26" t="s">
        <v>270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4.0163774999999999</v>
      </c>
      <c r="J12" s="28">
        <f t="shared" si="1"/>
        <v>0.18910509385013474</v>
      </c>
      <c r="K12" s="28">
        <f t="shared" si="2"/>
        <v>0.10929197648526631</v>
      </c>
      <c r="L12" s="28">
        <f t="shared" si="3"/>
        <v>7.6178977728138184E-2</v>
      </c>
      <c r="M12" s="28">
        <f t="shared" si="4"/>
        <v>7.9808409015271337E-2</v>
      </c>
      <c r="N12" s="25">
        <f t="shared" si="5"/>
        <v>2475986.6666666698</v>
      </c>
      <c r="O12" s="28">
        <f t="shared" si="6"/>
        <v>0.18799268624595439</v>
      </c>
      <c r="P12" s="29">
        <v>22788844</v>
      </c>
      <c r="Q12" s="29">
        <v>712151.375</v>
      </c>
      <c r="R12" s="29">
        <v>26439.4375</v>
      </c>
      <c r="S12" s="30">
        <v>4284136</v>
      </c>
      <c r="T12" s="30">
        <v>1725818.66666667</v>
      </c>
      <c r="U12" s="30">
        <v>750168</v>
      </c>
      <c r="V12" s="30">
        <v>1808042.66666667</v>
      </c>
      <c r="W12" s="31">
        <v>69.049475000000001</v>
      </c>
      <c r="X12" s="31">
        <v>71.393259375</v>
      </c>
      <c r="Y12" s="31">
        <v>35.002734375000003</v>
      </c>
      <c r="Z12" s="31">
        <v>40.688562500000003</v>
      </c>
      <c r="AA12" s="31">
        <v>34.275971875000003</v>
      </c>
      <c r="AB12" s="32">
        <v>5522.45</v>
      </c>
      <c r="AC12" s="32">
        <v>9988.5300000000007</v>
      </c>
      <c r="AD12" s="32">
        <v>7.6719999999999997</v>
      </c>
      <c r="AE12" s="32">
        <v>39.909999999999997</v>
      </c>
      <c r="AG12" s="27">
        <f t="shared" si="7"/>
        <v>3.956655</v>
      </c>
      <c r="AH12" s="28">
        <f t="shared" si="8"/>
        <v>0.18629314976184505</v>
      </c>
      <c r="AI12" s="28">
        <f t="shared" si="9"/>
        <v>0.10819763833009743</v>
      </c>
      <c r="AJ12" s="28">
        <f t="shared" si="10"/>
        <v>7.6094580561605313E-2</v>
      </c>
      <c r="AK12" s="28">
        <f t="shared" si="11"/>
        <v>7.8090803082150537E-2</v>
      </c>
      <c r="AL12" s="25">
        <f t="shared" si="12"/>
        <v>2451194.6666666698</v>
      </c>
      <c r="AM12" s="28">
        <f t="shared" si="13"/>
        <v>0.18578370158761015</v>
      </c>
      <c r="AN12" s="29">
        <v>22716912</v>
      </c>
      <c r="AO12" s="29">
        <v>709903.5</v>
      </c>
      <c r="AP12" s="29">
        <v>25579.28125</v>
      </c>
      <c r="AQ12" s="30">
        <v>4220432</v>
      </c>
      <c r="AR12" s="30">
        <v>1723906.66666667</v>
      </c>
      <c r="AS12" s="30">
        <v>727288</v>
      </c>
      <c r="AT12" s="30">
        <v>1769130.66666667</v>
      </c>
      <c r="AU12" s="31">
        <v>69.047799999999995</v>
      </c>
      <c r="AV12" s="31">
        <v>71.398093750000001</v>
      </c>
      <c r="AW12" s="31">
        <v>34.942528125000003</v>
      </c>
      <c r="AX12" s="31">
        <v>40.653209375000003</v>
      </c>
      <c r="AY12" s="31">
        <v>34.211896875000001</v>
      </c>
      <c r="AZ12" s="32">
        <v>3130.64</v>
      </c>
      <c r="BA12" s="32">
        <v>5204.6899999999996</v>
      </c>
      <c r="BB12" s="32">
        <v>8.0549999999999997</v>
      </c>
      <c r="BC12" s="32">
        <v>21.428000000000001</v>
      </c>
      <c r="BE12" s="33">
        <f t="shared" si="14"/>
        <v>-1.09409421080537E-3</v>
      </c>
      <c r="BF12" s="33">
        <f t="shared" si="15"/>
        <v>2.8493018380915114E-3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-63704</v>
      </c>
    </row>
    <row r="13" spans="1:73" outlineLevel="1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6.53721</v>
      </c>
      <c r="J13" s="18">
        <f t="shared" si="1"/>
        <v>0.30779470071427284</v>
      </c>
      <c r="K13" s="18">
        <f t="shared" si="2"/>
        <v>0.14918535178882794</v>
      </c>
      <c r="L13" s="18">
        <f t="shared" si="3"/>
        <v>0.11607235303169983</v>
      </c>
      <c r="M13" s="18">
        <f t="shared" si="4"/>
        <v>0.15860464057584778</v>
      </c>
      <c r="N13" s="15">
        <f t="shared" si="5"/>
        <v>3379762.6666666698</v>
      </c>
      <c r="O13" s="18">
        <f t="shared" si="6"/>
        <v>0.29356958930964105</v>
      </c>
      <c r="P13" s="19">
        <v>23752542</v>
      </c>
      <c r="Q13" s="19">
        <v>742266.9375</v>
      </c>
      <c r="R13" s="19">
        <v>30458.15625</v>
      </c>
      <c r="S13" s="20">
        <v>6973024</v>
      </c>
      <c r="T13" s="20">
        <v>2629594.6666666698</v>
      </c>
      <c r="U13" s="20">
        <v>750168</v>
      </c>
      <c r="V13" s="20">
        <v>3593154.6666666698</v>
      </c>
      <c r="W13" s="21">
        <v>70.030603124999999</v>
      </c>
      <c r="X13" s="21">
        <v>72.561171874999999</v>
      </c>
      <c r="Y13" s="21">
        <v>37.207334375000002</v>
      </c>
      <c r="Z13" s="21">
        <v>41.768996874999999</v>
      </c>
      <c r="AA13" s="21">
        <v>36.271490624999998</v>
      </c>
      <c r="AB13" s="22">
        <v>16231</v>
      </c>
      <c r="AC13" s="22">
        <v>6699.6</v>
      </c>
      <c r="AD13" s="22">
        <v>7.6</v>
      </c>
      <c r="AE13" s="22">
        <v>33.344999999999999</v>
      </c>
      <c r="AG13" s="17">
        <f t="shared" si="7"/>
        <v>6.4486724999999998</v>
      </c>
      <c r="AH13" s="18">
        <f t="shared" si="8"/>
        <v>0.3036260456895008</v>
      </c>
      <c r="AI13" s="18">
        <f t="shared" si="9"/>
        <v>0.14838410839609539</v>
      </c>
      <c r="AJ13" s="18">
        <f t="shared" si="10"/>
        <v>0.11628105062760327</v>
      </c>
      <c r="AK13" s="18">
        <f t="shared" si="11"/>
        <v>0.15523722894380829</v>
      </c>
      <c r="AL13" s="15">
        <f t="shared" si="12"/>
        <v>3361610.6666666698</v>
      </c>
      <c r="AM13" s="18">
        <f t="shared" si="13"/>
        <v>0.2910484105527783</v>
      </c>
      <c r="AN13" s="19">
        <v>23633814</v>
      </c>
      <c r="AO13" s="19">
        <v>738556.6875</v>
      </c>
      <c r="AP13" s="19">
        <v>29497.75</v>
      </c>
      <c r="AQ13" s="20">
        <v>6878584</v>
      </c>
      <c r="AR13" s="20">
        <v>2634322.6666666698</v>
      </c>
      <c r="AS13" s="20">
        <v>727288</v>
      </c>
      <c r="AT13" s="20">
        <v>3516866.6666666698</v>
      </c>
      <c r="AU13" s="21">
        <v>70.054337500000003</v>
      </c>
      <c r="AV13" s="21">
        <v>72.592015625000002</v>
      </c>
      <c r="AW13" s="21">
        <v>37.139621875000003</v>
      </c>
      <c r="AX13" s="21">
        <v>41.702190625</v>
      </c>
      <c r="AY13" s="21">
        <v>36.228109375000003</v>
      </c>
      <c r="AZ13" s="22">
        <v>2191.0300000000002</v>
      </c>
      <c r="BA13" s="22">
        <v>4017.55</v>
      </c>
      <c r="BB13" s="22">
        <v>4.1609999999999996</v>
      </c>
      <c r="BC13" s="22">
        <v>16.376000000000001</v>
      </c>
      <c r="BE13" s="23">
        <f t="shared" si="14"/>
        <v>-1.0942423126863304E-3</v>
      </c>
      <c r="BF13" s="23">
        <f t="shared" si="15"/>
        <v>4.0156851177164388E-3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-94440</v>
      </c>
    </row>
    <row r="14" spans="1:73" ht="15" outlineLevel="1" thickBot="1">
      <c r="A14" s="25"/>
      <c r="B14" s="45" t="s">
        <v>275</v>
      </c>
      <c r="C14" s="46" t="s">
        <v>272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13.235557500000001</v>
      </c>
      <c r="J14" s="48">
        <f t="shared" si="1"/>
        <v>0.62317631826100872</v>
      </c>
      <c r="K14" s="48">
        <f t="shared" si="2"/>
        <v>0.25061167714546667</v>
      </c>
      <c r="L14" s="48">
        <f t="shared" si="3"/>
        <v>0.18695361350161635</v>
      </c>
      <c r="M14" s="48">
        <f t="shared" si="4"/>
        <v>0.37255993276594496</v>
      </c>
      <c r="N14" s="45">
        <f t="shared" si="5"/>
        <v>5677554.6666666698</v>
      </c>
      <c r="O14" s="48">
        <f t="shared" si="6"/>
        <v>0.62722729468264216</v>
      </c>
      <c r="P14" s="49">
        <v>22508472</v>
      </c>
      <c r="Q14" s="49">
        <v>703389.75</v>
      </c>
      <c r="R14" s="49">
        <v>13989.71875</v>
      </c>
      <c r="S14" s="50">
        <v>14117928</v>
      </c>
      <c r="T14" s="50">
        <v>4235394.6666666698</v>
      </c>
      <c r="U14" s="50">
        <v>1442160</v>
      </c>
      <c r="V14" s="50">
        <v>8440266.6666666698</v>
      </c>
      <c r="W14" s="51">
        <v>71.218100000000007</v>
      </c>
      <c r="X14" s="51">
        <v>74.730703125000005</v>
      </c>
      <c r="Y14" s="51">
        <v>39.638843749999999</v>
      </c>
      <c r="Z14" s="51">
        <v>43.068621874999998</v>
      </c>
      <c r="AA14" s="51">
        <v>38.509409374999997</v>
      </c>
      <c r="AB14" s="52">
        <v>4581.09</v>
      </c>
      <c r="AC14" s="52">
        <v>11430.6</v>
      </c>
      <c r="AD14" s="52">
        <v>9.3970000000000002</v>
      </c>
      <c r="AE14" s="52">
        <v>36.353000000000002</v>
      </c>
      <c r="AG14" s="47">
        <f t="shared" si="7"/>
        <v>13.0901175</v>
      </c>
      <c r="AH14" s="48">
        <f t="shared" si="8"/>
        <v>0.61632849460659289</v>
      </c>
      <c r="AI14" s="48">
        <f t="shared" si="9"/>
        <v>0.24839651636864371</v>
      </c>
      <c r="AJ14" s="48">
        <f t="shared" si="10"/>
        <v>0.1863416457626981</v>
      </c>
      <c r="AK14" s="48">
        <f t="shared" si="11"/>
        <v>0.36792726988835206</v>
      </c>
      <c r="AL14" s="45">
        <f t="shared" si="12"/>
        <v>5627370.6666666698</v>
      </c>
      <c r="AM14" s="48">
        <f t="shared" si="13"/>
        <v>0.62316032637074548</v>
      </c>
      <c r="AN14" s="49">
        <v>22406420</v>
      </c>
      <c r="AO14" s="49">
        <v>700200.625</v>
      </c>
      <c r="AP14" s="49">
        <v>13452.625</v>
      </c>
      <c r="AQ14" s="50">
        <v>13962792</v>
      </c>
      <c r="AR14" s="50">
        <v>4221530.6666666698</v>
      </c>
      <c r="AS14" s="50">
        <v>1405840</v>
      </c>
      <c r="AT14" s="50">
        <v>8335314.6666666698</v>
      </c>
      <c r="AU14" s="51">
        <v>71.156053125</v>
      </c>
      <c r="AV14" s="51">
        <v>74.73165625</v>
      </c>
      <c r="AW14" s="51">
        <v>39.604943749999997</v>
      </c>
      <c r="AX14" s="51">
        <v>43.019550000000002</v>
      </c>
      <c r="AY14" s="51">
        <v>38.466506250000002</v>
      </c>
      <c r="AZ14" s="52">
        <v>1921.72</v>
      </c>
      <c r="BA14" s="52">
        <v>4457.88</v>
      </c>
      <c r="BB14" s="52">
        <v>4.2709999999999999</v>
      </c>
      <c r="BC14" s="52">
        <v>18.189</v>
      </c>
      <c r="BE14" s="53">
        <f t="shared" si="14"/>
        <v>-6.7647075124998429E-4</v>
      </c>
      <c r="BF14" s="53">
        <f t="shared" si="15"/>
        <v>8.7405664959200324E-4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-155136</v>
      </c>
    </row>
    <row r="15" spans="1:73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2.0153025000000002</v>
      </c>
      <c r="J15" s="18">
        <f t="shared" si="1"/>
        <v>6.3322547925018111E-2</v>
      </c>
      <c r="K15" s="18">
        <f t="shared" si="2"/>
        <v>5.1448367359086318E-2</v>
      </c>
      <c r="L15" s="18">
        <f t="shared" si="3"/>
        <v>2.6396668744174998E-2</v>
      </c>
      <c r="M15" s="18">
        <f t="shared" si="4"/>
        <v>1.187103847942495E-2</v>
      </c>
      <c r="N15" s="15">
        <f t="shared" si="5"/>
        <v>1746554.666666667</v>
      </c>
      <c r="O15" s="18">
        <f t="shared" si="6"/>
        <v>6.6095071113688925E-2</v>
      </c>
      <c r="P15" s="19">
        <v>32523696</v>
      </c>
      <c r="Q15" s="19">
        <v>1016365.5</v>
      </c>
      <c r="R15" s="19">
        <v>34573</v>
      </c>
      <c r="S15" s="20">
        <v>2149656</v>
      </c>
      <c r="T15" s="20">
        <v>896106.66666666698</v>
      </c>
      <c r="U15" s="20">
        <v>850448</v>
      </c>
      <c r="V15" s="20">
        <v>402994.66666666698</v>
      </c>
      <c r="W15" s="21">
        <v>66.386921874999999</v>
      </c>
      <c r="X15" s="21">
        <v>67.997512499999999</v>
      </c>
      <c r="Y15" s="21">
        <v>29.245506249999998</v>
      </c>
      <c r="Z15" s="21">
        <v>43.1833375</v>
      </c>
      <c r="AA15" s="21">
        <v>43.470537499999999</v>
      </c>
      <c r="AB15" s="22">
        <v>9897.7000000000007</v>
      </c>
      <c r="AC15" s="22">
        <v>7364.33</v>
      </c>
      <c r="AD15" s="22">
        <v>11.893000000000001</v>
      </c>
      <c r="AE15" s="22">
        <v>34.720999999999997</v>
      </c>
      <c r="AG15" s="17">
        <f t="shared" si="7"/>
        <v>1.9025475000000001</v>
      </c>
      <c r="AH15" s="18">
        <f t="shared" si="8"/>
        <v>5.9779688284202194E-2</v>
      </c>
      <c r="AI15" s="18">
        <f t="shared" si="9"/>
        <v>4.9229190211450058E-2</v>
      </c>
      <c r="AJ15" s="18">
        <f t="shared" si="10"/>
        <v>2.5807527524137765E-2</v>
      </c>
      <c r="AK15" s="18">
        <f t="shared" si="11"/>
        <v>1.054735598624529E-2</v>
      </c>
      <c r="AL15" s="15">
        <f t="shared" si="12"/>
        <v>1671218.666666667</v>
      </c>
      <c r="AM15" s="18">
        <f t="shared" si="13"/>
        <v>6.2234520252368579E-2</v>
      </c>
      <c r="AN15" s="19">
        <v>32608655</v>
      </c>
      <c r="AO15" s="19">
        <v>1019020.46875</v>
      </c>
      <c r="AP15" s="19">
        <v>33932.375</v>
      </c>
      <c r="AQ15" s="20">
        <v>2029384</v>
      </c>
      <c r="AR15" s="20">
        <v>876106.66666666698</v>
      </c>
      <c r="AS15" s="20">
        <v>795112</v>
      </c>
      <c r="AT15" s="20">
        <v>358058.66666666698</v>
      </c>
      <c r="AU15" s="21">
        <v>66.342974999999996</v>
      </c>
      <c r="AV15" s="21">
        <v>67.898153124999993</v>
      </c>
      <c r="AW15" s="21">
        <v>29.318606249999998</v>
      </c>
      <c r="AX15" s="21">
        <v>43.358424999999997</v>
      </c>
      <c r="AY15" s="21">
        <v>43.505356249999998</v>
      </c>
      <c r="AZ15" s="22">
        <v>4573.3</v>
      </c>
      <c r="BA15" s="22">
        <v>4364.26</v>
      </c>
      <c r="BB15" s="22">
        <v>7.516</v>
      </c>
      <c r="BC15" s="22">
        <v>20.645</v>
      </c>
      <c r="BE15" s="23">
        <f t="shared" si="14"/>
        <v>-7.1729396240060445E-4</v>
      </c>
      <c r="BF15" s="23">
        <f t="shared" si="15"/>
        <v>1.1029315003372897E-2</v>
      </c>
      <c r="BG15" s="23">
        <f t="array" ref="BG15">AVERAGE(AL15:AL19/AQ15:AQ19) - AVERAGE(N15:N19/S15:S19)</f>
        <v>7.8189255868353902E-3</v>
      </c>
      <c r="BI15" s="24">
        <f>IF( OR(ISBLANK(N15:N19),ISBLANK(AL15:AL19), ISBLANK(W15:W19),ISBLANK(AU15:AU19)), "·", bdRateExtend( N15:N19,W15:W19, AL15:AL19,AU15:AU19))</f>
        <v>-3.2065814517935332E-2</v>
      </c>
      <c r="BJ15" s="24">
        <f>IF( OR(ISBLANK(N15:N19),ISBLANK(AL15:AL19), ISBLANK(X15:X19),ISBLANK(AV15:AV19)), "·", bdRateExtend( N15:N19,X15:X19, AL15:AL19,AV15:AV19))</f>
        <v>-2.9649138396856456E-2</v>
      </c>
      <c r="BK15" s="24">
        <f>IF( OR(ISBLANK(V15:V19),ISBLANK(AT15:AT19), ISBLANK(Y15:Y19),ISBLANK(AW15:AW19)), "·", bdRateExtend( V15:V19,Y15:Y19, AT15:AT19,AW15:AW19))</f>
        <v>-8.6602116288236552E-2</v>
      </c>
      <c r="BL15" s="24">
        <f>IF( OR(ISBLANK(V15:V19),ISBLANK(AT15:AT19), ISBLANK(Z15:Z19),ISBLANK(AX15:AX19)), "·", bdRateExtend( V15:V19,Z15:Z19, AT15:AT19,AX15:AX19))</f>
        <v>-6.2177604573220857E-2</v>
      </c>
      <c r="BM15" s="24">
        <f>IF( OR(ISBLANK(V15:V19),ISBLANK(AT15:AT19), ISBLANK(AA15:AA19),ISBLANK(AY15:AY19)), "·", bdRateExtend( V15:V19,AA15:AA19, AT15:AT19,AY15:AY19))</f>
        <v>-7.0293438925041252E-2</v>
      </c>
      <c r="BO15" s="24">
        <f>IF( OR(ISBLANK(S15:S19),ISBLANK(AQ15:AQ19), ISBLANK(W15:W19),ISBLANK(AU15:AU19)), "·", bdRateExtend( S15:S19,W15:W19, AQ15:AQ19,AU15:AU19))</f>
        <v>-4.4303346438822944E-2</v>
      </c>
      <c r="BP15" s="24">
        <f>IF( OR(ISBLANK(S15:S19),ISBLANK(AQ15:AQ19), ISBLANK(X15:X19),ISBLANK(AV15:AV19)), "·", bdRateExtend( S15:S19,X15:X19, AQ15:AQ19,AV15:AV19))</f>
        <v>-4.0375609143602609E-2</v>
      </c>
      <c r="BQ15" s="24">
        <f>IF( OR(ISBLANK(S15:S19),ISBLANK(AQ15:AQ19), ISBLANK(Y15:Y19),ISBLANK(AW15:AW19)), "·", bdRateExtend( S15:S19,Y15:Y19, AQ15:AQ19,AW15:AW19))</f>
        <v>-5.3858318612045819E-2</v>
      </c>
      <c r="BR15" s="24">
        <f>IF( OR(ISBLANK(S15:S19),ISBLANK(AQ15:AQ19), ISBLANK(Z15:Z19),ISBLANK(AX15:AX19)), "·", bdRateExtend( S15:S19,Z15:Z19, AQ15:AQ19,AX15:AX19))</f>
        <v>-4.2013921255498077E-2</v>
      </c>
      <c r="BS15" s="24">
        <f>IF( OR(ISBLANK(S15:S19),ISBLANK(AQ15:AQ19), ISBLANK(AA15:AA19),ISBLANK(AY15:AY19)), "·", bdRateExtend( S15:S19,AA15:AA19, AQ15:AQ19,AY15:AY19))</f>
        <v>-4.1223578485496959E-2</v>
      </c>
      <c r="BU15" s="4">
        <f t="shared" si="16"/>
        <v>-120272</v>
      </c>
    </row>
    <row r="16" spans="1:73" outlineLevel="1">
      <c r="A16" s="25"/>
      <c r="B16" s="25" t="s">
        <v>278</v>
      </c>
      <c r="C16" s="26" t="s">
        <v>269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2.5835249999999998</v>
      </c>
      <c r="J16" s="28">
        <f t="shared" si="1"/>
        <v>8.1176590426490516E-2</v>
      </c>
      <c r="K16" s="28">
        <f t="shared" si="2"/>
        <v>5.9761621286787817E-2</v>
      </c>
      <c r="L16" s="28">
        <f t="shared" si="3"/>
        <v>3.4709922671876503E-2</v>
      </c>
      <c r="M16" s="28">
        <f t="shared" si="4"/>
        <v>2.1411827053195946E-2</v>
      </c>
      <c r="N16" s="25">
        <f t="shared" si="5"/>
        <v>2028770.66666667</v>
      </c>
      <c r="O16" s="28">
        <f t="shared" si="6"/>
        <v>8.0817849325986124E-2</v>
      </c>
      <c r="P16" s="29">
        <v>34098408</v>
      </c>
      <c r="Q16" s="29">
        <v>1065575.25</v>
      </c>
      <c r="R16" s="29">
        <v>40281.5</v>
      </c>
      <c r="S16" s="30">
        <v>2755760</v>
      </c>
      <c r="T16" s="30">
        <v>1178322.66666667</v>
      </c>
      <c r="U16" s="30">
        <v>850448</v>
      </c>
      <c r="V16" s="30">
        <v>726882.66666666698</v>
      </c>
      <c r="W16" s="31">
        <v>68.101581249999995</v>
      </c>
      <c r="X16" s="31">
        <v>70.121399999999994</v>
      </c>
      <c r="Y16" s="31">
        <v>31.6691875</v>
      </c>
      <c r="Z16" s="31">
        <v>43.980621874999997</v>
      </c>
      <c r="AA16" s="31">
        <v>44.292178125</v>
      </c>
      <c r="AB16" s="32">
        <v>8461.51</v>
      </c>
      <c r="AC16" s="32">
        <v>8012.71</v>
      </c>
      <c r="AD16" s="32">
        <v>12.913</v>
      </c>
      <c r="AE16" s="32">
        <v>34.628999999999998</v>
      </c>
      <c r="AG16" s="27">
        <f t="shared" si="7"/>
        <v>2.4427275000000002</v>
      </c>
      <c r="AH16" s="28">
        <f t="shared" si="8"/>
        <v>7.6752611176986923E-2</v>
      </c>
      <c r="AI16" s="28">
        <f t="shared" si="9"/>
        <v>5.7445353666089424E-2</v>
      </c>
      <c r="AJ16" s="28">
        <f t="shared" si="10"/>
        <v>3.4023690978777131E-2</v>
      </c>
      <c r="AK16" s="28">
        <f t="shared" si="11"/>
        <v>1.9304115424390735E-2</v>
      </c>
      <c r="AL16" s="25">
        <f t="shared" si="12"/>
        <v>1950138.66666667</v>
      </c>
      <c r="AM16" s="28">
        <f t="shared" si="13"/>
        <v>7.6399650322358709E-2</v>
      </c>
      <c r="AN16" s="29">
        <v>34104554</v>
      </c>
      <c r="AO16" s="29">
        <v>1065767.3125</v>
      </c>
      <c r="AP16" s="29">
        <v>39391.28125</v>
      </c>
      <c r="AQ16" s="30">
        <v>2605576</v>
      </c>
      <c r="AR16" s="30">
        <v>1155026.66666667</v>
      </c>
      <c r="AS16" s="30">
        <v>795112</v>
      </c>
      <c r="AT16" s="30">
        <v>655330.66666666698</v>
      </c>
      <c r="AU16" s="31">
        <v>68.094181250000005</v>
      </c>
      <c r="AV16" s="31">
        <v>70.090278124999998</v>
      </c>
      <c r="AW16" s="31">
        <v>31.73281875</v>
      </c>
      <c r="AX16" s="31">
        <v>43.915612500000002</v>
      </c>
      <c r="AY16" s="31">
        <v>44.425890625000001</v>
      </c>
      <c r="AZ16" s="32">
        <v>3703.41</v>
      </c>
      <c r="BA16" s="32">
        <v>3218.97</v>
      </c>
      <c r="BB16" s="32">
        <v>6.1349999999999998</v>
      </c>
      <c r="BC16" s="32">
        <v>17.352</v>
      </c>
      <c r="BE16" s="33">
        <f t="shared" si="14"/>
        <v>-8.4209676788023213E-4</v>
      </c>
      <c r="BF16" s="33">
        <f t="shared" si="15"/>
        <v>1.2255401210620853E-2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-150184</v>
      </c>
    </row>
    <row r="17" spans="1:73" outlineLevel="1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3.5750025000000001</v>
      </c>
      <c r="J17" s="18">
        <f t="shared" si="1"/>
        <v>0.11232967117259546</v>
      </c>
      <c r="K17" s="18">
        <f t="shared" si="2"/>
        <v>6.9831694332640262E-2</v>
      </c>
      <c r="L17" s="18">
        <f t="shared" si="3"/>
        <v>4.4779995717728949E-2</v>
      </c>
      <c r="M17" s="18">
        <f t="shared" si="4"/>
        <v>4.2494834753448521E-2</v>
      </c>
      <c r="N17" s="15">
        <f t="shared" si="5"/>
        <v>2370626.6666666698</v>
      </c>
      <c r="O17" s="18">
        <f t="shared" si="6"/>
        <v>0.11135758368852387</v>
      </c>
      <c r="P17" s="19">
        <v>34244062</v>
      </c>
      <c r="Q17" s="19">
        <v>1070126.9375</v>
      </c>
      <c r="R17" s="19">
        <v>41416.84375</v>
      </c>
      <c r="S17" s="20">
        <v>3813336</v>
      </c>
      <c r="T17" s="20">
        <v>1520178.66666667</v>
      </c>
      <c r="U17" s="20">
        <v>850448</v>
      </c>
      <c r="V17" s="20">
        <v>1442602.66666667</v>
      </c>
      <c r="W17" s="21">
        <v>69.444721874999999</v>
      </c>
      <c r="X17" s="21">
        <v>71.859571875</v>
      </c>
      <c r="Y17" s="21">
        <v>34.121584374999998</v>
      </c>
      <c r="Z17" s="21">
        <v>45.216481250000001</v>
      </c>
      <c r="AA17" s="21">
        <v>45.676812499999997</v>
      </c>
      <c r="AB17" s="22">
        <v>11755.6</v>
      </c>
      <c r="AC17" s="22">
        <v>7647.04</v>
      </c>
      <c r="AD17" s="22">
        <v>10.888999999999999</v>
      </c>
      <c r="AE17" s="22">
        <v>29.643999999999998</v>
      </c>
      <c r="AG17" s="17">
        <f t="shared" si="7"/>
        <v>3.4026225000000001</v>
      </c>
      <c r="AH17" s="18">
        <f t="shared" si="8"/>
        <v>0.10691334245206113</v>
      </c>
      <c r="AI17" s="18">
        <f t="shared" si="9"/>
        <v>6.7353295048187614E-2</v>
      </c>
      <c r="AJ17" s="18">
        <f t="shared" si="10"/>
        <v>4.3931632360875335E-2</v>
      </c>
      <c r="AK17" s="18">
        <f t="shared" si="11"/>
        <v>3.9556905317366838E-2</v>
      </c>
      <c r="AL17" s="15">
        <f t="shared" si="12"/>
        <v>2286490.6666666698</v>
      </c>
      <c r="AM17" s="18">
        <f t="shared" si="13"/>
        <v>0.10600119007558505</v>
      </c>
      <c r="AN17" s="19">
        <v>34239842</v>
      </c>
      <c r="AO17" s="19">
        <v>1069995.0625</v>
      </c>
      <c r="AP17" s="19">
        <v>40498.25</v>
      </c>
      <c r="AQ17" s="20">
        <v>3629464</v>
      </c>
      <c r="AR17" s="20">
        <v>1491378.66666667</v>
      </c>
      <c r="AS17" s="20">
        <v>795112</v>
      </c>
      <c r="AT17" s="20">
        <v>1342866.66666667</v>
      </c>
      <c r="AU17" s="21">
        <v>69.468378125000001</v>
      </c>
      <c r="AV17" s="21">
        <v>71.867181250000002</v>
      </c>
      <c r="AW17" s="21">
        <v>34.163890625000001</v>
      </c>
      <c r="AX17" s="21">
        <v>45.253209374999997</v>
      </c>
      <c r="AY17" s="21">
        <v>45.705962499999998</v>
      </c>
      <c r="AZ17" s="22">
        <v>3754.29</v>
      </c>
      <c r="BA17" s="22">
        <v>3482.49</v>
      </c>
      <c r="BB17" s="22">
        <v>9.2439999999999998</v>
      </c>
      <c r="BC17" s="22">
        <v>20.786999999999999</v>
      </c>
      <c r="BE17" s="23">
        <f t="shared" si="14"/>
        <v>-8.5373274913670694E-4</v>
      </c>
      <c r="BF17" s="23">
        <f t="shared" si="15"/>
        <v>8.3128604392382899E-3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-183872</v>
      </c>
    </row>
    <row r="18" spans="1:73" outlineLevel="1">
      <c r="A18" s="25"/>
      <c r="B18" s="25" t="s">
        <v>278</v>
      </c>
      <c r="C18" s="26" t="s">
        <v>271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6.4196625000000003</v>
      </c>
      <c r="J18" s="28">
        <f t="shared" si="1"/>
        <v>0.20171134919878855</v>
      </c>
      <c r="K18" s="28">
        <f t="shared" si="2"/>
        <v>9.765141405577453E-2</v>
      </c>
      <c r="L18" s="28">
        <f t="shared" si="3"/>
        <v>7.2599715440863202E-2</v>
      </c>
      <c r="M18" s="28">
        <f t="shared" si="4"/>
        <v>0.10405679305650735</v>
      </c>
      <c r="N18" s="25">
        <f t="shared" si="5"/>
        <v>3315042.6666666698</v>
      </c>
      <c r="O18" s="28">
        <f t="shared" si="6"/>
        <v>0.19225647463611276</v>
      </c>
      <c r="P18" s="29">
        <v>35617214</v>
      </c>
      <c r="Q18" s="29">
        <v>1113037.9375</v>
      </c>
      <c r="R18" s="29">
        <v>46682.59375</v>
      </c>
      <c r="S18" s="30">
        <v>6847640</v>
      </c>
      <c r="T18" s="30">
        <v>2464594.6666666698</v>
      </c>
      <c r="U18" s="30">
        <v>850448</v>
      </c>
      <c r="V18" s="30">
        <v>3532490.6666666698</v>
      </c>
      <c r="W18" s="31">
        <v>70.503553124999996</v>
      </c>
      <c r="X18" s="31">
        <v>73.141296874999995</v>
      </c>
      <c r="Y18" s="31">
        <v>36.480912500000002</v>
      </c>
      <c r="Z18" s="31">
        <v>46.485374999999998</v>
      </c>
      <c r="AA18" s="31">
        <v>47.055568749999999</v>
      </c>
      <c r="AB18" s="32">
        <v>9876.81</v>
      </c>
      <c r="AC18" s="32">
        <v>8124.23</v>
      </c>
      <c r="AD18" s="32">
        <v>13.093999999999999</v>
      </c>
      <c r="AE18" s="32">
        <v>30.169</v>
      </c>
      <c r="AG18" s="27">
        <f t="shared" si="7"/>
        <v>6.1873874999999998</v>
      </c>
      <c r="AH18" s="28">
        <f t="shared" si="8"/>
        <v>0.19441306776496731</v>
      </c>
      <c r="AI18" s="28">
        <f t="shared" si="9"/>
        <v>9.5223209603269049E-2</v>
      </c>
      <c r="AJ18" s="28">
        <f t="shared" si="10"/>
        <v>7.1801546915956763E-2</v>
      </c>
      <c r="AK18" s="28">
        <f t="shared" si="11"/>
        <v>9.9186716075191556E-2</v>
      </c>
      <c r="AL18" s="25">
        <f t="shared" si="12"/>
        <v>3232610.6666666698</v>
      </c>
      <c r="AM18" s="28">
        <f t="shared" si="13"/>
        <v>0.18559780932110517</v>
      </c>
      <c r="AN18" s="29">
        <v>35560118</v>
      </c>
      <c r="AO18" s="29">
        <v>1111253.6875</v>
      </c>
      <c r="AP18" s="29">
        <v>45639.40625</v>
      </c>
      <c r="AQ18" s="30">
        <v>6599880</v>
      </c>
      <c r="AR18" s="30">
        <v>2437498.6666666698</v>
      </c>
      <c r="AS18" s="30">
        <v>795112</v>
      </c>
      <c r="AT18" s="30">
        <v>3367162.6666666698</v>
      </c>
      <c r="AU18" s="31">
        <v>70.4932625</v>
      </c>
      <c r="AV18" s="31">
        <v>73.121421874999996</v>
      </c>
      <c r="AW18" s="31">
        <v>36.5251375</v>
      </c>
      <c r="AX18" s="31">
        <v>46.468596875000003</v>
      </c>
      <c r="AY18" s="31">
        <v>46.962015624999999</v>
      </c>
      <c r="AZ18" s="32">
        <v>2880.3</v>
      </c>
      <c r="BA18" s="32">
        <v>3857.48</v>
      </c>
      <c r="BB18" s="32">
        <v>6.3869999999999996</v>
      </c>
      <c r="BC18" s="32">
        <v>18.262</v>
      </c>
      <c r="BE18" s="33">
        <f t="shared" si="14"/>
        <v>-8.7140605986035791E-4</v>
      </c>
      <c r="BF18" s="33">
        <f t="shared" si="15"/>
        <v>5.6837759690782641E-3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-247760</v>
      </c>
    </row>
    <row r="19" spans="1:73" ht="15" outlineLevel="1" thickBot="1">
      <c r="A19" s="15"/>
      <c r="B19" s="35" t="s">
        <v>278</v>
      </c>
      <c r="C19" s="36" t="s">
        <v>272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14.9087175</v>
      </c>
      <c r="J19" s="38">
        <f t="shared" si="1"/>
        <v>0.46844480091415863</v>
      </c>
      <c r="K19" s="38">
        <f t="shared" si="2"/>
        <v>0.1686867631770321</v>
      </c>
      <c r="L19" s="38">
        <f t="shared" si="3"/>
        <v>0.11773995137660416</v>
      </c>
      <c r="M19" s="38">
        <f t="shared" si="4"/>
        <v>0.29975489565062075</v>
      </c>
      <c r="N19" s="35">
        <f t="shared" si="5"/>
        <v>5726530.6666666698</v>
      </c>
      <c r="O19" s="38">
        <f t="shared" si="6"/>
        <v>0.47228363285662656</v>
      </c>
      <c r="P19" s="39">
        <v>33671783</v>
      </c>
      <c r="Q19" s="39">
        <v>1052243.21875</v>
      </c>
      <c r="R19" s="39">
        <v>20401.53125</v>
      </c>
      <c r="S19" s="40">
        <v>15902632</v>
      </c>
      <c r="T19" s="40">
        <v>3997002.6666666698</v>
      </c>
      <c r="U19" s="40">
        <v>1729528</v>
      </c>
      <c r="V19" s="40">
        <v>10175994.6666667</v>
      </c>
      <c r="W19" s="41">
        <v>71.550134374999999</v>
      </c>
      <c r="X19" s="41">
        <v>75.140709375</v>
      </c>
      <c r="Y19" s="41">
        <v>38.799587500000001</v>
      </c>
      <c r="Z19" s="41">
        <v>48.219396875000001</v>
      </c>
      <c r="AA19" s="41">
        <v>48.781934374999999</v>
      </c>
      <c r="AB19" s="42">
        <v>10402.200000000001</v>
      </c>
      <c r="AC19" s="42">
        <v>8863.36</v>
      </c>
      <c r="AD19" s="42">
        <v>11.35</v>
      </c>
      <c r="AE19" s="42">
        <v>32.244</v>
      </c>
      <c r="AG19" s="37">
        <f t="shared" si="7"/>
        <v>14.5409325</v>
      </c>
      <c r="AH19" s="38">
        <f t="shared" si="8"/>
        <v>0.45688867805488426</v>
      </c>
      <c r="AI19" s="38">
        <f t="shared" si="9"/>
        <v>0.16535387346703745</v>
      </c>
      <c r="AJ19" s="38">
        <f t="shared" si="10"/>
        <v>0.11670188454689855</v>
      </c>
      <c r="AK19" s="38">
        <f t="shared" si="11"/>
        <v>0.29153166250134016</v>
      </c>
      <c r="AL19" s="35">
        <f t="shared" si="12"/>
        <v>5613386.6666666698</v>
      </c>
      <c r="AM19" s="38">
        <f t="shared" si="13"/>
        <v>0.46137549278158951</v>
      </c>
      <c r="AN19" s="39">
        <v>33617581</v>
      </c>
      <c r="AO19" s="39">
        <v>1050549.40625</v>
      </c>
      <c r="AP19" s="39">
        <v>19923.5625</v>
      </c>
      <c r="AQ19" s="40">
        <v>15510328</v>
      </c>
      <c r="AR19" s="40">
        <v>3961762.6666666698</v>
      </c>
      <c r="AS19" s="40">
        <v>1651624</v>
      </c>
      <c r="AT19" s="40">
        <v>9896834.6666666698</v>
      </c>
      <c r="AU19" s="41">
        <v>71.522968750000004</v>
      </c>
      <c r="AV19" s="41">
        <v>75.136296874999999</v>
      </c>
      <c r="AW19" s="41">
        <v>38.812965624999997</v>
      </c>
      <c r="AX19" s="41">
        <v>48.258625000000002</v>
      </c>
      <c r="AY19" s="41">
        <v>48.851871875000001</v>
      </c>
      <c r="AZ19" s="42">
        <v>2898.37</v>
      </c>
      <c r="BA19" s="42">
        <v>4484.28</v>
      </c>
      <c r="BB19" s="42">
        <v>6.1520000000000001</v>
      </c>
      <c r="BC19" s="42">
        <v>20.335999999999999</v>
      </c>
      <c r="BE19" s="43">
        <f t="shared" si="14"/>
        <v>-4.2370980443813197E-4</v>
      </c>
      <c r="BF19" s="43">
        <f t="shared" si="15"/>
        <v>1.8132753118668687E-3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-392304</v>
      </c>
    </row>
    <row r="20" spans="1:73">
      <c r="A20" s="25"/>
      <c r="B20" s="25" t="s">
        <v>281</v>
      </c>
      <c r="C20" s="26" t="s">
        <v>268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2.2821500000000001</v>
      </c>
      <c r="J20" s="28">
        <f t="shared" si="1"/>
        <v>4.5345923269003635E-2</v>
      </c>
      <c r="K20" s="28">
        <f t="shared" si="2"/>
        <v>3.3990152162402636E-2</v>
      </c>
      <c r="L20" s="28">
        <f t="shared" si="3"/>
        <v>1.8869462994876005E-2</v>
      </c>
      <c r="M20" s="28">
        <f t="shared" si="4"/>
        <v>1.1352459468944346E-2</v>
      </c>
      <c r="N20" s="25">
        <f t="shared" si="5"/>
        <v>1094810.666666667</v>
      </c>
      <c r="O20" s="28">
        <f t="shared" si="6"/>
        <v>4.7418518251819392E-2</v>
      </c>
      <c r="P20" s="29">
        <v>30801806</v>
      </c>
      <c r="Q20" s="29">
        <v>962556.4375</v>
      </c>
      <c r="R20" s="29">
        <v>28246.0625</v>
      </c>
      <c r="S20" s="30">
        <v>1460576</v>
      </c>
      <c r="T20" s="30">
        <v>607778.66666666698</v>
      </c>
      <c r="U20" s="30">
        <v>487032</v>
      </c>
      <c r="V20" s="30">
        <v>365658.66666666698</v>
      </c>
      <c r="W20" s="31">
        <v>67.130621875000003</v>
      </c>
      <c r="X20" s="31">
        <v>68.790568750000006</v>
      </c>
      <c r="Y20" s="31">
        <v>30.041068750000001</v>
      </c>
      <c r="Z20" s="31">
        <v>39.297615624999999</v>
      </c>
      <c r="AA20" s="31">
        <v>37.967503125</v>
      </c>
      <c r="AB20" s="32">
        <v>20471.099999999999</v>
      </c>
      <c r="AC20" s="32">
        <v>3709.66</v>
      </c>
      <c r="AD20" s="32">
        <v>12.864000000000001</v>
      </c>
      <c r="AE20" s="32">
        <v>38.338000000000001</v>
      </c>
      <c r="AG20" s="27">
        <f t="shared" si="7"/>
        <v>2.2821500000000001</v>
      </c>
      <c r="AH20" s="28">
        <f t="shared" si="8"/>
        <v>4.5345923269003635E-2</v>
      </c>
      <c r="AI20" s="28">
        <f t="shared" si="9"/>
        <v>3.3990152162402636E-2</v>
      </c>
      <c r="AJ20" s="28">
        <f t="shared" si="10"/>
        <v>1.8869462994876005E-2</v>
      </c>
      <c r="AK20" s="28">
        <f t="shared" si="11"/>
        <v>1.1352459468944346E-2</v>
      </c>
      <c r="AL20" s="25">
        <f t="shared" si="12"/>
        <v>1094810.666666667</v>
      </c>
      <c r="AM20" s="28">
        <f t="shared" si="13"/>
        <v>4.7418518251819392E-2</v>
      </c>
      <c r="AN20" s="29">
        <v>30801806</v>
      </c>
      <c r="AO20" s="29">
        <v>962556.4375</v>
      </c>
      <c r="AP20" s="29">
        <v>28246.0625</v>
      </c>
      <c r="AQ20" s="30">
        <v>1460576</v>
      </c>
      <c r="AR20" s="30">
        <v>607778.66666666698</v>
      </c>
      <c r="AS20" s="30">
        <v>487032</v>
      </c>
      <c r="AT20" s="30">
        <v>365658.66666666698</v>
      </c>
      <c r="AU20" s="31">
        <v>67.130621875000003</v>
      </c>
      <c r="AV20" s="31">
        <v>68.790568750000006</v>
      </c>
      <c r="AW20" s="31">
        <v>30.041068750000001</v>
      </c>
      <c r="AX20" s="31">
        <v>39.297615624999999</v>
      </c>
      <c r="AY20" s="31">
        <v>37.967503125</v>
      </c>
      <c r="AZ20" s="32">
        <v>3323.68</v>
      </c>
      <c r="BA20" s="32">
        <v>2197.54</v>
      </c>
      <c r="BB20" s="32">
        <v>4.226</v>
      </c>
      <c r="BC20" s="32">
        <v>10.839</v>
      </c>
      <c r="BE20" s="33">
        <f t="shared" si="14"/>
        <v>0</v>
      </c>
      <c r="BF20" s="33">
        <f t="shared" si="15"/>
        <v>0</v>
      </c>
      <c r="BG20" s="33">
        <f t="array" ref="BG20">AVERAGE(AL20:AL24/AQ20:AQ24) - AVERAGE(N20:N24/S20:S24)</f>
        <v>0</v>
      </c>
      <c r="BI20" s="34">
        <f>IF( OR(ISBLANK(N20:N24),ISBLANK(AL20:AL24), ISBLANK(W20:W24),ISBLANK(AU20:AU24)), "·", bdRateExtend( N20:N24,W20:W24, AL20:AL24,AU20:AU24))</f>
        <v>0</v>
      </c>
      <c r="BJ20" s="34">
        <f>IF( OR(ISBLANK(N20:N24),ISBLANK(AL20:AL24), ISBLANK(X20:X24),ISBLANK(AV20:AV24)), "·", bdRateExtend( N20:N24,X20:X24, AL20:AL24,AV20:AV24))</f>
        <v>0</v>
      </c>
      <c r="BK20" s="34">
        <f>IF( OR(ISBLANK(V20:V24),ISBLANK(AT20:AT24), ISBLANK(Y20:Y24),ISBLANK(AW20:AW24)), "·", bdRateExtend( V20:V24,Y20:Y24, AT20:AT24,AW20:AW24))</f>
        <v>0</v>
      </c>
      <c r="BL20" s="34">
        <f>IF( OR(ISBLANK(V20:V24),ISBLANK(AT20:AT24), ISBLANK(Z20:Z24),ISBLANK(AX20:AX24)), "·", bdRateExtend( V20:V24,Z20:Z24, AT20:AT24,AX20:AX24))</f>
        <v>0</v>
      </c>
      <c r="BM20" s="34">
        <f>IF( OR(ISBLANK(V20:V24),ISBLANK(AT20:AT24), ISBLANK(AA20:AA24),ISBLANK(AY20:AY24)), "·", bdRateExtend( V20:V24,AA20:AA24, AT20:AT24,AY20:AY24))</f>
        <v>0</v>
      </c>
      <c r="BO20" s="34">
        <f>IF( OR(ISBLANK(S20:S24),ISBLANK(AQ20:AQ24), ISBLANK(W20:W24),ISBLANK(AU20:AU24)), "·", bdRateExtend( S20:S24,W20:W24, AQ20:AQ24,AU20:AU24))</f>
        <v>0</v>
      </c>
      <c r="BP20" s="34">
        <f>IF( OR(ISBLANK(S20:S24),ISBLANK(AQ20:AQ24), ISBLANK(X20:X24),ISBLANK(AV20:AV24)), "·", bdRateExtend( S20:S24,X20:X24, AQ20:AQ24,AV20:AV24))</f>
        <v>0</v>
      </c>
      <c r="BQ20" s="34">
        <f>IF( OR(ISBLANK(S20:S24),ISBLANK(AQ20:AQ24), ISBLANK(Y20:Y24),ISBLANK(AW20:AW24)), "·", bdRateExtend( S20:S24,Y20:Y24, AQ20:AQ24,AW20:AW24))</f>
        <v>0</v>
      </c>
      <c r="BR20" s="34">
        <f>IF( OR(ISBLANK(S20:S24),ISBLANK(AQ20:AQ24), ISBLANK(Z20:Z24),ISBLANK(AX20:AX24)), "·", bdRateExtend( S20:S24,Z20:Z24, AQ20:AQ24,AX20:AX24))</f>
        <v>0</v>
      </c>
      <c r="BS20" s="34">
        <f>IF( OR(ISBLANK(S20:S24),ISBLANK(AQ20:AQ24), ISBLANK(AA20:AA24),ISBLANK(AY20:AY24)), "·", bdRateExtend( S20:S24,AA20:AA24, AQ20:AQ24,AY20:AY24))</f>
        <v>0</v>
      </c>
      <c r="BU20" s="4">
        <f t="shared" si="16"/>
        <v>0</v>
      </c>
    </row>
    <row r="21" spans="1:73" outlineLevel="1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3.1210749999999998</v>
      </c>
      <c r="J21" s="18">
        <f t="shared" si="1"/>
        <v>6.2015216995730128E-2</v>
      </c>
      <c r="K21" s="18">
        <f t="shared" si="2"/>
        <v>3.9556187153849141E-2</v>
      </c>
      <c r="L21" s="18">
        <f t="shared" si="3"/>
        <v>2.443549798632251E-2</v>
      </c>
      <c r="M21" s="18">
        <f t="shared" si="4"/>
        <v>2.2455718204224338E-2</v>
      </c>
      <c r="N21" s="15">
        <f t="shared" si="5"/>
        <v>1274090.666666667</v>
      </c>
      <c r="O21" s="18">
        <f t="shared" si="6"/>
        <v>6.3156437649455985E-2</v>
      </c>
      <c r="P21" s="19">
        <v>31627623</v>
      </c>
      <c r="Q21" s="19">
        <v>988363.21875</v>
      </c>
      <c r="R21" s="19">
        <v>32272.96875</v>
      </c>
      <c r="S21" s="20">
        <v>1997488</v>
      </c>
      <c r="T21" s="20">
        <v>787058.66666666698</v>
      </c>
      <c r="U21" s="20">
        <v>487032</v>
      </c>
      <c r="V21" s="20">
        <v>723290.66666666698</v>
      </c>
      <c r="W21" s="21">
        <v>68.791021874999998</v>
      </c>
      <c r="X21" s="21">
        <v>70.898106249999998</v>
      </c>
      <c r="Y21" s="21">
        <v>31.547462500000002</v>
      </c>
      <c r="Z21" s="21">
        <v>40.477543750000002</v>
      </c>
      <c r="AA21" s="21">
        <v>39.232834375000003</v>
      </c>
      <c r="AB21" s="22">
        <v>9003.49</v>
      </c>
      <c r="AC21" s="22">
        <v>6267.44</v>
      </c>
      <c r="AD21" s="22">
        <v>9.968</v>
      </c>
      <c r="AE21" s="22">
        <v>21.28</v>
      </c>
      <c r="AG21" s="17">
        <f t="shared" si="7"/>
        <v>3.1210749999999998</v>
      </c>
      <c r="AH21" s="18">
        <f t="shared" si="8"/>
        <v>6.2015216995730128E-2</v>
      </c>
      <c r="AI21" s="18">
        <f t="shared" si="9"/>
        <v>3.9556187153849141E-2</v>
      </c>
      <c r="AJ21" s="18">
        <f t="shared" si="10"/>
        <v>2.443549798632251E-2</v>
      </c>
      <c r="AK21" s="18">
        <f t="shared" si="11"/>
        <v>2.2455718204224338E-2</v>
      </c>
      <c r="AL21" s="15">
        <f t="shared" si="12"/>
        <v>1274090.666666667</v>
      </c>
      <c r="AM21" s="18">
        <f t="shared" si="13"/>
        <v>6.3156437649455985E-2</v>
      </c>
      <c r="AN21" s="19">
        <v>31627623</v>
      </c>
      <c r="AO21" s="19">
        <v>988363.21875</v>
      </c>
      <c r="AP21" s="19">
        <v>32272.96875</v>
      </c>
      <c r="AQ21" s="20">
        <v>1997488</v>
      </c>
      <c r="AR21" s="20">
        <v>787058.66666666698</v>
      </c>
      <c r="AS21" s="20">
        <v>487032</v>
      </c>
      <c r="AT21" s="20">
        <v>723290.66666666698</v>
      </c>
      <c r="AU21" s="21">
        <v>68.791021874999998</v>
      </c>
      <c r="AV21" s="21">
        <v>70.898106249999998</v>
      </c>
      <c r="AW21" s="21">
        <v>31.547462500000002</v>
      </c>
      <c r="AX21" s="21">
        <v>40.477543750000002</v>
      </c>
      <c r="AY21" s="21">
        <v>39.232834375000003</v>
      </c>
      <c r="AZ21" s="22">
        <v>3389.65</v>
      </c>
      <c r="BA21" s="22">
        <v>2399.33</v>
      </c>
      <c r="BB21" s="22">
        <v>7.0170000000000003</v>
      </c>
      <c r="BC21" s="22">
        <v>15.281000000000001</v>
      </c>
      <c r="BE21" s="23">
        <f t="shared" si="14"/>
        <v>0</v>
      </c>
      <c r="BF21" s="23">
        <f t="shared" si="15"/>
        <v>0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0</v>
      </c>
    </row>
    <row r="22" spans="1:73" outlineLevel="1">
      <c r="A22" s="25"/>
      <c r="B22" s="25" t="s">
        <v>281</v>
      </c>
      <c r="C22" s="26" t="s">
        <v>270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5.1036374999999996</v>
      </c>
      <c r="J22" s="28">
        <f t="shared" si="1"/>
        <v>0.10140838878592973</v>
      </c>
      <c r="K22" s="28">
        <f t="shared" si="2"/>
        <v>4.6555830086867776E-2</v>
      </c>
      <c r="L22" s="28">
        <f t="shared" si="3"/>
        <v>3.1435140919341145E-2</v>
      </c>
      <c r="M22" s="28">
        <f t="shared" si="4"/>
        <v>5.4849247061405496E-2</v>
      </c>
      <c r="N22" s="25">
        <f t="shared" si="5"/>
        <v>1499546.66666667</v>
      </c>
      <c r="O22" s="28">
        <f t="shared" si="6"/>
        <v>9.9745500451649663E-2</v>
      </c>
      <c r="P22" s="29">
        <v>32746620</v>
      </c>
      <c r="Q22" s="29">
        <v>1023331.875</v>
      </c>
      <c r="R22" s="29">
        <v>34640.1875</v>
      </c>
      <c r="S22" s="30">
        <v>3266328</v>
      </c>
      <c r="T22" s="30">
        <v>1012514.66666667</v>
      </c>
      <c r="U22" s="30">
        <v>487032</v>
      </c>
      <c r="V22" s="30">
        <v>1766674.66666667</v>
      </c>
      <c r="W22" s="31">
        <v>70.003465625000004</v>
      </c>
      <c r="X22" s="31">
        <v>72.449924999999993</v>
      </c>
      <c r="Y22" s="31">
        <v>33.569618749999997</v>
      </c>
      <c r="Z22" s="31">
        <v>41.681912500000003</v>
      </c>
      <c r="AA22" s="31">
        <v>40.571950000000001</v>
      </c>
      <c r="AB22" s="32">
        <v>20773.7</v>
      </c>
      <c r="AC22" s="32">
        <v>3888.12</v>
      </c>
      <c r="AD22" s="32">
        <v>9.4139999999999997</v>
      </c>
      <c r="AE22" s="32">
        <v>30.402000000000001</v>
      </c>
      <c r="AG22" s="27">
        <f t="shared" si="7"/>
        <v>5.1036374999999996</v>
      </c>
      <c r="AH22" s="28">
        <f t="shared" si="8"/>
        <v>0.10140838878592973</v>
      </c>
      <c r="AI22" s="28">
        <f t="shared" si="9"/>
        <v>4.6555830086867776E-2</v>
      </c>
      <c r="AJ22" s="28">
        <f t="shared" si="10"/>
        <v>3.1435140919341145E-2</v>
      </c>
      <c r="AK22" s="28">
        <f t="shared" si="11"/>
        <v>5.4849247061405496E-2</v>
      </c>
      <c r="AL22" s="25">
        <f t="shared" si="12"/>
        <v>1499546.66666667</v>
      </c>
      <c r="AM22" s="28">
        <f t="shared" si="13"/>
        <v>9.9745500451649663E-2</v>
      </c>
      <c r="AN22" s="29">
        <v>32746620</v>
      </c>
      <c r="AO22" s="29">
        <v>1023331.875</v>
      </c>
      <c r="AP22" s="29">
        <v>34640.1875</v>
      </c>
      <c r="AQ22" s="30">
        <v>3266328</v>
      </c>
      <c r="AR22" s="30">
        <v>1012514.66666667</v>
      </c>
      <c r="AS22" s="30">
        <v>487032</v>
      </c>
      <c r="AT22" s="30">
        <v>1766674.66666667</v>
      </c>
      <c r="AU22" s="31">
        <v>70.003465625000004</v>
      </c>
      <c r="AV22" s="31">
        <v>72.449924999999993</v>
      </c>
      <c r="AW22" s="31">
        <v>33.569618749999997</v>
      </c>
      <c r="AX22" s="31">
        <v>41.681912500000003</v>
      </c>
      <c r="AY22" s="31">
        <v>40.571950000000001</v>
      </c>
      <c r="AZ22" s="32">
        <v>4532.26</v>
      </c>
      <c r="BA22" s="32">
        <v>3725.81</v>
      </c>
      <c r="BB22" s="32">
        <v>9.4179999999999993</v>
      </c>
      <c r="BC22" s="32">
        <v>21.837</v>
      </c>
      <c r="BE22" s="33">
        <f t="shared" si="14"/>
        <v>0</v>
      </c>
      <c r="BF22" s="33">
        <f t="shared" si="15"/>
        <v>0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0</v>
      </c>
    </row>
    <row r="23" spans="1:73" outlineLevel="1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9.4714749999999999</v>
      </c>
      <c r="J23" s="18">
        <f t="shared" si="1"/>
        <v>0.18819655964519694</v>
      </c>
      <c r="K23" s="18">
        <f t="shared" si="2"/>
        <v>6.6084391766362327E-2</v>
      </c>
      <c r="L23" s="18">
        <f t="shared" si="3"/>
        <v>5.0963702598835696E-2</v>
      </c>
      <c r="M23" s="18">
        <f t="shared" si="4"/>
        <v>0.12210885624117813</v>
      </c>
      <c r="N23" s="15">
        <f t="shared" si="5"/>
        <v>2128554.6666666698</v>
      </c>
      <c r="O23" s="18">
        <f t="shared" si="6"/>
        <v>0.18341011750119879</v>
      </c>
      <c r="P23" s="19">
        <v>33050216</v>
      </c>
      <c r="Q23" s="19">
        <v>1032819.25</v>
      </c>
      <c r="R23" s="19">
        <v>36820.71875</v>
      </c>
      <c r="S23" s="20">
        <v>6061744</v>
      </c>
      <c r="T23" s="20">
        <v>1641522.66666667</v>
      </c>
      <c r="U23" s="20">
        <v>487032</v>
      </c>
      <c r="V23" s="20">
        <v>3933082.6666666698</v>
      </c>
      <c r="W23" s="21">
        <v>70.935637499999999</v>
      </c>
      <c r="X23" s="21">
        <v>73.669268750000001</v>
      </c>
      <c r="Y23" s="21">
        <v>35.486553125</v>
      </c>
      <c r="Z23" s="21">
        <v>42.753943749999998</v>
      </c>
      <c r="AA23" s="21">
        <v>41.608881250000003</v>
      </c>
      <c r="AB23" s="22">
        <v>19473.2</v>
      </c>
      <c r="AC23" s="22">
        <v>4460.49</v>
      </c>
      <c r="AD23" s="22">
        <v>9.6210000000000004</v>
      </c>
      <c r="AE23" s="22">
        <v>29.8</v>
      </c>
      <c r="AG23" s="17">
        <f t="shared" si="7"/>
        <v>9.4714749999999999</v>
      </c>
      <c r="AH23" s="18">
        <f t="shared" si="8"/>
        <v>0.18819655964519694</v>
      </c>
      <c r="AI23" s="18">
        <f t="shared" si="9"/>
        <v>6.6084391766362327E-2</v>
      </c>
      <c r="AJ23" s="18">
        <f t="shared" si="10"/>
        <v>5.0963702598835696E-2</v>
      </c>
      <c r="AK23" s="18">
        <f t="shared" si="11"/>
        <v>0.12210885624117813</v>
      </c>
      <c r="AL23" s="15">
        <f t="shared" si="12"/>
        <v>2128554.6666666698</v>
      </c>
      <c r="AM23" s="18">
        <f t="shared" si="13"/>
        <v>0.18341011750119879</v>
      </c>
      <c r="AN23" s="19">
        <v>33050216</v>
      </c>
      <c r="AO23" s="19">
        <v>1032819.25</v>
      </c>
      <c r="AP23" s="19">
        <v>36820.71875</v>
      </c>
      <c r="AQ23" s="20">
        <v>6061744</v>
      </c>
      <c r="AR23" s="20">
        <v>1641522.66666667</v>
      </c>
      <c r="AS23" s="20">
        <v>487032</v>
      </c>
      <c r="AT23" s="20">
        <v>3933082.6666666698</v>
      </c>
      <c r="AU23" s="21">
        <v>70.935637499999999</v>
      </c>
      <c r="AV23" s="21">
        <v>73.669268750000001</v>
      </c>
      <c r="AW23" s="21">
        <v>35.486553125</v>
      </c>
      <c r="AX23" s="21">
        <v>42.753943749999998</v>
      </c>
      <c r="AY23" s="21">
        <v>41.608881250000003</v>
      </c>
      <c r="AZ23" s="22">
        <v>4331.32</v>
      </c>
      <c r="BA23" s="22">
        <v>4179.12</v>
      </c>
      <c r="BB23" s="22">
        <v>7.1559999999999997</v>
      </c>
      <c r="BC23" s="22">
        <v>24.452999999999999</v>
      </c>
      <c r="BE23" s="23">
        <f t="shared" si="14"/>
        <v>0</v>
      </c>
      <c r="BF23" s="23">
        <f t="shared" si="15"/>
        <v>0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0</v>
      </c>
    </row>
    <row r="24" spans="1:73" ht="15" outlineLevel="1" thickBot="1">
      <c r="A24" s="45"/>
      <c r="B24" s="45" t="s">
        <v>281</v>
      </c>
      <c r="C24" s="46" t="s">
        <v>272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18.404037500000001</v>
      </c>
      <c r="J24" s="48">
        <f t="shared" si="1"/>
        <v>0.36568502171849593</v>
      </c>
      <c r="K24" s="48">
        <f t="shared" si="2"/>
        <v>0.11235749078829187</v>
      </c>
      <c r="L24" s="48">
        <f t="shared" si="3"/>
        <v>8.0884183244957719E-2</v>
      </c>
      <c r="M24" s="48">
        <f t="shared" si="4"/>
        <v>0.25332421929254756</v>
      </c>
      <c r="N24" s="45">
        <f t="shared" si="5"/>
        <v>3618994.6666666698</v>
      </c>
      <c r="O24" s="48">
        <f t="shared" si="6"/>
        <v>0.37401162769836344</v>
      </c>
      <c r="P24" s="49">
        <v>31492561</v>
      </c>
      <c r="Q24" s="49">
        <v>984142.53125</v>
      </c>
      <c r="R24" s="49">
        <v>17732.5</v>
      </c>
      <c r="S24" s="50">
        <v>11778584</v>
      </c>
      <c r="T24" s="50">
        <v>2605250.6666666698</v>
      </c>
      <c r="U24" s="50">
        <v>1013744</v>
      </c>
      <c r="V24" s="50">
        <v>8159482.6666666698</v>
      </c>
      <c r="W24" s="51">
        <v>71.941287500000001</v>
      </c>
      <c r="X24" s="51">
        <v>75.855562500000005</v>
      </c>
      <c r="Y24" s="51">
        <v>36.955393749999999</v>
      </c>
      <c r="Z24" s="51">
        <v>43.62135</v>
      </c>
      <c r="AA24" s="51">
        <v>42.239159375</v>
      </c>
      <c r="AB24" s="52">
        <v>6864.46</v>
      </c>
      <c r="AC24" s="52">
        <v>8600.41</v>
      </c>
      <c r="AD24" s="52">
        <v>10.117000000000001</v>
      </c>
      <c r="AE24" s="52">
        <v>32.14</v>
      </c>
      <c r="AG24" s="47">
        <f t="shared" si="7"/>
        <v>18.404037500000001</v>
      </c>
      <c r="AH24" s="48">
        <f t="shared" si="8"/>
        <v>0.36568502171849593</v>
      </c>
      <c r="AI24" s="48">
        <f t="shared" si="9"/>
        <v>0.11235749078829187</v>
      </c>
      <c r="AJ24" s="48">
        <f t="shared" si="10"/>
        <v>8.0884183244957719E-2</v>
      </c>
      <c r="AK24" s="48">
        <f t="shared" si="11"/>
        <v>0.25332421929254756</v>
      </c>
      <c r="AL24" s="45">
        <f t="shared" si="12"/>
        <v>3618994.6666666698</v>
      </c>
      <c r="AM24" s="48">
        <f t="shared" si="13"/>
        <v>0.37401162769836344</v>
      </c>
      <c r="AN24" s="49">
        <v>31492561</v>
      </c>
      <c r="AO24" s="49">
        <v>984142.53125</v>
      </c>
      <c r="AP24" s="49">
        <v>17732.5</v>
      </c>
      <c r="AQ24" s="50">
        <v>11778584</v>
      </c>
      <c r="AR24" s="50">
        <v>2605250.6666666698</v>
      </c>
      <c r="AS24" s="50">
        <v>1013744</v>
      </c>
      <c r="AT24" s="50">
        <v>8159482.6666666698</v>
      </c>
      <c r="AU24" s="51">
        <v>71.941287500000001</v>
      </c>
      <c r="AV24" s="51">
        <v>75.855562500000005</v>
      </c>
      <c r="AW24" s="51">
        <v>36.955393749999999</v>
      </c>
      <c r="AX24" s="51">
        <v>43.62135</v>
      </c>
      <c r="AY24" s="51">
        <v>42.239159375</v>
      </c>
      <c r="AZ24" s="52">
        <v>2804.07</v>
      </c>
      <c r="BA24" s="52">
        <v>3297.41</v>
      </c>
      <c r="BB24" s="52">
        <v>5.0190000000000001</v>
      </c>
      <c r="BC24" s="52">
        <v>15.452999999999999</v>
      </c>
      <c r="BE24" s="53">
        <f t="shared" si="14"/>
        <v>0</v>
      </c>
      <c r="BF24" s="53">
        <f t="shared" si="15"/>
        <v>0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0</v>
      </c>
    </row>
    <row r="25" spans="1:73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2.3099625000000001</v>
      </c>
      <c r="J25" s="18">
        <f t="shared" si="1"/>
        <v>9.7341983425678028E-2</v>
      </c>
      <c r="K25" s="18">
        <f t="shared" si="2"/>
        <v>6.233696401648816E-2</v>
      </c>
      <c r="L25" s="18">
        <f t="shared" si="3"/>
        <v>3.640691421640592E-2</v>
      </c>
      <c r="M25" s="18">
        <f t="shared" si="4"/>
        <v>3.5000805402104256E-2</v>
      </c>
      <c r="N25" s="15">
        <f t="shared" si="5"/>
        <v>1577898.666666667</v>
      </c>
      <c r="O25" s="18">
        <f t="shared" si="6"/>
        <v>0.10594337810674648</v>
      </c>
      <c r="P25" s="19">
        <v>23257329</v>
      </c>
      <c r="Q25" s="19">
        <v>726791.53125</v>
      </c>
      <c r="R25" s="19">
        <v>18230.15625</v>
      </c>
      <c r="S25" s="20">
        <v>2463960</v>
      </c>
      <c r="T25" s="20">
        <v>921546.66666666698</v>
      </c>
      <c r="U25" s="20">
        <v>656352</v>
      </c>
      <c r="V25" s="20">
        <v>885954.66666666698</v>
      </c>
      <c r="W25" s="21">
        <v>66.245484375000004</v>
      </c>
      <c r="X25" s="21">
        <v>68.005643750000004</v>
      </c>
      <c r="Y25" s="21">
        <v>25.998818750000002</v>
      </c>
      <c r="Z25" s="21">
        <v>32.510081249999999</v>
      </c>
      <c r="AA25" s="21">
        <v>31.677084375</v>
      </c>
      <c r="AB25" s="22">
        <v>5183.82</v>
      </c>
      <c r="AC25" s="22">
        <v>9491.01</v>
      </c>
      <c r="AD25" s="22">
        <v>10.488</v>
      </c>
      <c r="AE25" s="22">
        <v>39.040999999999997</v>
      </c>
      <c r="AG25" s="17">
        <f t="shared" si="7"/>
        <v>2.2620075000000002</v>
      </c>
      <c r="AH25" s="18">
        <f t="shared" si="8"/>
        <v>9.5321156327758311E-2</v>
      </c>
      <c r="AI25" s="18">
        <f t="shared" si="9"/>
        <v>6.1182747475730756E-2</v>
      </c>
      <c r="AJ25" s="18">
        <f t="shared" si="10"/>
        <v>3.5995732475024383E-2</v>
      </c>
      <c r="AK25" s="18">
        <f t="shared" si="11"/>
        <v>3.4134194844941936E-2</v>
      </c>
      <c r="AL25" s="15">
        <f t="shared" si="12"/>
        <v>1548682.666666667</v>
      </c>
      <c r="AM25" s="18">
        <f t="shared" si="13"/>
        <v>0.10358414640622633</v>
      </c>
      <c r="AN25" s="19">
        <v>23293217</v>
      </c>
      <c r="AO25" s="19">
        <v>727913.03125</v>
      </c>
      <c r="AP25" s="19">
        <v>18037.96875</v>
      </c>
      <c r="AQ25" s="20">
        <v>2412808</v>
      </c>
      <c r="AR25" s="20">
        <v>911138.66666666698</v>
      </c>
      <c r="AS25" s="20">
        <v>637544</v>
      </c>
      <c r="AT25" s="20">
        <v>864018.66666666698</v>
      </c>
      <c r="AU25" s="21">
        <v>66.258609375000006</v>
      </c>
      <c r="AV25" s="21">
        <v>68.024615624999996</v>
      </c>
      <c r="AW25" s="21">
        <v>26.0055625</v>
      </c>
      <c r="AX25" s="21">
        <v>32.538881250000003</v>
      </c>
      <c r="AY25" s="21">
        <v>31.726471875000001</v>
      </c>
      <c r="AZ25" s="22">
        <v>2509.2199999999998</v>
      </c>
      <c r="BA25" s="22">
        <v>4084.24</v>
      </c>
      <c r="BB25" s="22">
        <v>3.992</v>
      </c>
      <c r="BC25" s="22">
        <v>16.527000000000001</v>
      </c>
      <c r="BE25" s="23">
        <f t="shared" si="14"/>
        <v>-3.0267098314825172E-4</v>
      </c>
      <c r="BF25" s="23">
        <f t="shared" si="15"/>
        <v>1.4677082679237508E-3</v>
      </c>
      <c r="BG25" s="23">
        <f t="array" ref="BG25">AVERAGE(AL25:AL29/AQ25:AQ29) - AVERAGE(N25:N29/S25:S29)</f>
        <v>3.2558869702453697E-4</v>
      </c>
      <c r="BI25" s="24">
        <f>IF( OR(ISBLANK(N25:N29),ISBLANK(AL25:AL29), ISBLANK(W25:W29),ISBLANK(AU25:AU29)), "·", bdRateExtend( N25:N29,W25:W29, AL25:AL29,AU25:AU29))</f>
        <v>-1.47141258401432E-2</v>
      </c>
      <c r="BJ25" s="24">
        <f>IF( OR(ISBLANK(N25:N29),ISBLANK(AL25:AL29), ISBLANK(X25:X29),ISBLANK(AV25:AV29)), "·", bdRateExtend( N25:N29,X25:X29, AL25:AL29,AV25:AV29))</f>
        <v>-1.5842889521874071E-2</v>
      </c>
      <c r="BK25" s="24">
        <f>IF( OR(ISBLANK(V25:V29),ISBLANK(AT25:AT29), ISBLANK(Y25:Y29),ISBLANK(AW25:AW29)), "·", bdRateExtend( V25:V29,Y25:Y29, AT25:AT29,AW25:AW29))</f>
        <v>-1.2823318969511277E-2</v>
      </c>
      <c r="BL25" s="24">
        <f>IF( OR(ISBLANK(V25:V29),ISBLANK(AT25:AT29), ISBLANK(Z25:Z29),ISBLANK(AX25:AX29)), "·", bdRateExtend( V25:V29,Z25:Z29, AT25:AT29,AX25:AX29))</f>
        <v>-1.2292774634729109E-2</v>
      </c>
      <c r="BM25" s="24">
        <f>IF( OR(ISBLANK(V25:V29),ISBLANK(AT25:AT29), ISBLANK(AA25:AA29),ISBLANK(AY25:AY29)), "·", bdRateExtend( V25:V29,AA25:AA29, AT25:AT29,AY25:AY29))</f>
        <v>-1.3878068941872712E-2</v>
      </c>
      <c r="BO25" s="24">
        <f>IF( OR(ISBLANK(S25:S29),ISBLANK(AQ25:AQ29), ISBLANK(W25:W29),ISBLANK(AU25:AU29)), "·", bdRateExtend( S25:S29,W25:W29, AQ25:AQ29,AU25:AU29))</f>
        <v>-1.8102809480882054E-2</v>
      </c>
      <c r="BP25" s="24">
        <f>IF( OR(ISBLANK(S25:S29),ISBLANK(AQ25:AQ29), ISBLANK(X25:X29),ISBLANK(AV25:AV29)), "·", bdRateExtend( S25:S29,X25:X29, AQ25:AQ29,AV25:AV29))</f>
        <v>-2.0180147712388963E-2</v>
      </c>
      <c r="BQ25" s="24">
        <f>IF( OR(ISBLANK(S25:S29),ISBLANK(AQ25:AQ29), ISBLANK(Y25:Y29),ISBLANK(AW25:AW29)), "·", bdRateExtend( S25:S29,Y25:Y29, AQ25:AQ29,AW25:AW29))</f>
        <v>-1.1864658258879723E-2</v>
      </c>
      <c r="BR25" s="24">
        <f>IF( OR(ISBLANK(S25:S29),ISBLANK(AQ25:AQ29), ISBLANK(Z25:Z29),ISBLANK(AX25:AX29)), "·", bdRateExtend( S25:S29,Z25:Z29, AQ25:AQ29,AX25:AX29))</f>
        <v>-1.1320838640716535E-2</v>
      </c>
      <c r="BS25" s="24">
        <f>IF( OR(ISBLANK(S25:S29),ISBLANK(AQ25:AQ29), ISBLANK(AA25:AA29),ISBLANK(AY25:AY29)), "·", bdRateExtend( S25:S29,AA25:AA29, AQ25:AQ29,AY25:AY29))</f>
        <v>-1.1905539368052498E-2</v>
      </c>
      <c r="BU25" s="4">
        <f t="shared" si="16"/>
        <v>-51152</v>
      </c>
    </row>
    <row r="26" spans="1:73" outlineLevel="1">
      <c r="A26" s="25"/>
      <c r="B26" s="25" t="s">
        <v>284</v>
      </c>
      <c r="C26" s="26" t="s">
        <v>269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3.5184825000000002</v>
      </c>
      <c r="J26" s="28">
        <f t="shared" si="1"/>
        <v>0.14826910185708131</v>
      </c>
      <c r="K26" s="28">
        <f t="shared" si="2"/>
        <v>7.6069043556293417E-2</v>
      </c>
      <c r="L26" s="28">
        <f t="shared" si="3"/>
        <v>5.0138993756211184E-2</v>
      </c>
      <c r="M26" s="28">
        <f t="shared" si="4"/>
        <v>7.2195844293702516E-2</v>
      </c>
      <c r="N26" s="25">
        <f t="shared" si="5"/>
        <v>1925490.66666667</v>
      </c>
      <c r="O26" s="28">
        <f t="shared" si="6"/>
        <v>0.15018211299088674</v>
      </c>
      <c r="P26" s="29">
        <v>24989980</v>
      </c>
      <c r="Q26" s="29">
        <v>780936.875</v>
      </c>
      <c r="R26" s="29">
        <v>23153.53125</v>
      </c>
      <c r="S26" s="30">
        <v>3753048</v>
      </c>
      <c r="T26" s="30">
        <v>1269138.66666667</v>
      </c>
      <c r="U26" s="30">
        <v>656352</v>
      </c>
      <c r="V26" s="30">
        <v>1827450.66666667</v>
      </c>
      <c r="W26" s="31">
        <v>68.037040625000003</v>
      </c>
      <c r="X26" s="31">
        <v>70.009081249999994</v>
      </c>
      <c r="Y26" s="31">
        <v>28.049334375000001</v>
      </c>
      <c r="Z26" s="31">
        <v>33.766318750000003</v>
      </c>
      <c r="AA26" s="31">
        <v>33.145734375000004</v>
      </c>
      <c r="AB26" s="32">
        <v>10087.299999999999</v>
      </c>
      <c r="AC26" s="32">
        <v>8603.67</v>
      </c>
      <c r="AD26" s="32">
        <v>9.2810000000000006</v>
      </c>
      <c r="AE26" s="32">
        <v>31.222000000000001</v>
      </c>
      <c r="AG26" s="27">
        <f t="shared" si="7"/>
        <v>3.4634174999999998</v>
      </c>
      <c r="AH26" s="28">
        <f t="shared" si="8"/>
        <v>0.14594865885537242</v>
      </c>
      <c r="AI26" s="28">
        <f t="shared" si="9"/>
        <v>7.4952120978243955E-2</v>
      </c>
      <c r="AJ26" s="28">
        <f t="shared" si="10"/>
        <v>4.9765105977537576E-2</v>
      </c>
      <c r="AK26" s="28">
        <f t="shared" si="11"/>
        <v>7.0992323870043103E-2</v>
      </c>
      <c r="AL26" s="25">
        <f t="shared" si="12"/>
        <v>1897218.66666667</v>
      </c>
      <c r="AM26" s="28">
        <f t="shared" si="13"/>
        <v>0.14802473190613588</v>
      </c>
      <c r="AN26" s="29">
        <v>24957397</v>
      </c>
      <c r="AO26" s="29">
        <v>779918.65625</v>
      </c>
      <c r="AP26" s="29">
        <v>22437.59375</v>
      </c>
      <c r="AQ26" s="30">
        <v>3694312</v>
      </c>
      <c r="AR26" s="30">
        <v>1259674.66666667</v>
      </c>
      <c r="AS26" s="30">
        <v>637544</v>
      </c>
      <c r="AT26" s="30">
        <v>1796986.66666667</v>
      </c>
      <c r="AU26" s="31">
        <v>68.062037500000002</v>
      </c>
      <c r="AV26" s="31">
        <v>70.048765625000001</v>
      </c>
      <c r="AW26" s="31">
        <v>28.064584374999999</v>
      </c>
      <c r="AX26" s="31">
        <v>33.763143749999998</v>
      </c>
      <c r="AY26" s="31">
        <v>33.161640624999997</v>
      </c>
      <c r="AZ26" s="32">
        <v>3524.17</v>
      </c>
      <c r="BA26" s="32">
        <v>6249.83</v>
      </c>
      <c r="BB26" s="32">
        <v>6.9509999999999996</v>
      </c>
      <c r="BC26" s="32">
        <v>27.123000000000001</v>
      </c>
      <c r="BE26" s="33">
        <f t="shared" si="14"/>
        <v>-8.7925700274134669E-4</v>
      </c>
      <c r="BF26" s="33">
        <f t="shared" si="15"/>
        <v>5.0410976534065455E-4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-58736</v>
      </c>
    </row>
    <row r="27" spans="1:73" outlineLevel="1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5.9657099999999996</v>
      </c>
      <c r="J27" s="18">
        <f t="shared" si="1"/>
        <v>0.25139544210886611</v>
      </c>
      <c r="K27" s="18">
        <f t="shared" si="2"/>
        <v>9.59546269429076E-2</v>
      </c>
      <c r="L27" s="18">
        <f t="shared" si="3"/>
        <v>7.0024577142825367E-2</v>
      </c>
      <c r="M27" s="18">
        <f t="shared" si="4"/>
        <v>0.15543660115887314</v>
      </c>
      <c r="N27" s="15">
        <f t="shared" si="5"/>
        <v>2428842.6666666698</v>
      </c>
      <c r="O27" s="18">
        <f t="shared" si="6"/>
        <v>0.25168126357645504</v>
      </c>
      <c r="P27" s="19">
        <v>25283662</v>
      </c>
      <c r="Q27" s="19">
        <v>790114.4375</v>
      </c>
      <c r="R27" s="19">
        <v>24406.4375</v>
      </c>
      <c r="S27" s="20">
        <v>6363424</v>
      </c>
      <c r="T27" s="20">
        <v>1772490.66666667</v>
      </c>
      <c r="U27" s="20">
        <v>656352</v>
      </c>
      <c r="V27" s="20">
        <v>3934474.6666666698</v>
      </c>
      <c r="W27" s="21">
        <v>69.410449999999997</v>
      </c>
      <c r="X27" s="21">
        <v>71.751656249999996</v>
      </c>
      <c r="Y27" s="21">
        <v>30.353609375000001</v>
      </c>
      <c r="Z27" s="21">
        <v>35.027640624999997</v>
      </c>
      <c r="AA27" s="21">
        <v>34.501403125000003</v>
      </c>
      <c r="AB27" s="22">
        <v>4736.38</v>
      </c>
      <c r="AC27" s="22">
        <v>10265.9</v>
      </c>
      <c r="AD27" s="22">
        <v>9.6259999999999994</v>
      </c>
      <c r="AE27" s="22">
        <v>35.493000000000002</v>
      </c>
      <c r="AG27" s="17">
        <f t="shared" si="7"/>
        <v>5.8895549999999997</v>
      </c>
      <c r="AH27" s="18">
        <f t="shared" si="8"/>
        <v>0.24818626501279531</v>
      </c>
      <c r="AI27" s="18">
        <f t="shared" si="9"/>
        <v>9.4729299032579983E-2</v>
      </c>
      <c r="AJ27" s="18">
        <f t="shared" si="10"/>
        <v>6.9542284031873611E-2</v>
      </c>
      <c r="AK27" s="18">
        <f t="shared" si="11"/>
        <v>0.15345275197312994</v>
      </c>
      <c r="AL27" s="15">
        <f t="shared" si="12"/>
        <v>2397826.6666666698</v>
      </c>
      <c r="AM27" s="18">
        <f t="shared" si="13"/>
        <v>0.24866170300511664</v>
      </c>
      <c r="AN27" s="19">
        <v>25264011</v>
      </c>
      <c r="AO27" s="19">
        <v>789500.34375</v>
      </c>
      <c r="AP27" s="19">
        <v>23649.9375</v>
      </c>
      <c r="AQ27" s="20">
        <v>6282192</v>
      </c>
      <c r="AR27" s="20">
        <v>1760282.66666667</v>
      </c>
      <c r="AS27" s="20">
        <v>637544</v>
      </c>
      <c r="AT27" s="20">
        <v>3884258.6666666698</v>
      </c>
      <c r="AU27" s="21">
        <v>69.418368749999999</v>
      </c>
      <c r="AV27" s="21">
        <v>71.767525000000006</v>
      </c>
      <c r="AW27" s="21">
        <v>30.349296875</v>
      </c>
      <c r="AX27" s="21">
        <v>35.025328125000001</v>
      </c>
      <c r="AY27" s="21">
        <v>34.500487499999998</v>
      </c>
      <c r="AZ27" s="22">
        <v>3513.62</v>
      </c>
      <c r="BA27" s="22">
        <v>6599.45</v>
      </c>
      <c r="BB27" s="22">
        <v>5.9359999999999999</v>
      </c>
      <c r="BC27" s="22">
        <v>24.609000000000002</v>
      </c>
      <c r="BE27" s="23">
        <f t="shared" si="14"/>
        <v>-9.3417413099610574E-4</v>
      </c>
      <c r="BF27" s="23">
        <f t="shared" si="15"/>
        <v>-1.7062951886970268E-6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-81232</v>
      </c>
    </row>
    <row r="28" spans="1:73" outlineLevel="1">
      <c r="A28" s="25"/>
      <c r="B28" s="25" t="s">
        <v>284</v>
      </c>
      <c r="C28" s="26" t="s">
        <v>271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11.9898825</v>
      </c>
      <c r="J28" s="28">
        <f t="shared" si="1"/>
        <v>0.50525449811017586</v>
      </c>
      <c r="K28" s="28">
        <f t="shared" si="2"/>
        <v>0.13007006945631841</v>
      </c>
      <c r="L28" s="28">
        <f t="shared" si="3"/>
        <v>0.10414001965623618</v>
      </c>
      <c r="M28" s="28">
        <f t="shared" si="4"/>
        <v>0.37518021464677204</v>
      </c>
      <c r="N28" s="25">
        <f t="shared" si="5"/>
        <v>3292386.6666666698</v>
      </c>
      <c r="O28" s="28">
        <f t="shared" si="6"/>
        <v>0.48625140708922415</v>
      </c>
      <c r="P28" s="29">
        <v>26301637</v>
      </c>
      <c r="Q28" s="29">
        <v>821926.15625</v>
      </c>
      <c r="R28" s="29">
        <v>28152.53125</v>
      </c>
      <c r="S28" s="30">
        <v>12789208</v>
      </c>
      <c r="T28" s="30">
        <v>2636034.6666666698</v>
      </c>
      <c r="U28" s="30">
        <v>656352</v>
      </c>
      <c r="V28" s="30">
        <v>9496714.6666666698</v>
      </c>
      <c r="W28" s="31">
        <v>70.434312500000004</v>
      </c>
      <c r="X28" s="31">
        <v>72.984228125000001</v>
      </c>
      <c r="Y28" s="31">
        <v>32.844309375000002</v>
      </c>
      <c r="Z28" s="31">
        <v>36.565928124999999</v>
      </c>
      <c r="AA28" s="31">
        <v>36.060368750000002</v>
      </c>
      <c r="AB28" s="32">
        <v>5418.89</v>
      </c>
      <c r="AC28" s="32">
        <v>10370.1</v>
      </c>
      <c r="AD28" s="32">
        <v>8.0679999999999996</v>
      </c>
      <c r="AE28" s="32">
        <v>35.982999999999997</v>
      </c>
      <c r="AG28" s="27">
        <f t="shared" si="7"/>
        <v>11.874112500000001</v>
      </c>
      <c r="AH28" s="28">
        <f t="shared" si="8"/>
        <v>0.50037594210712788</v>
      </c>
      <c r="AI28" s="28">
        <f t="shared" si="9"/>
        <v>0.12905207069460439</v>
      </c>
      <c r="AJ28" s="28">
        <f t="shared" si="10"/>
        <v>0.10386505569389802</v>
      </c>
      <c r="AK28" s="28">
        <f t="shared" si="11"/>
        <v>0.37131965740543804</v>
      </c>
      <c r="AL28" s="25">
        <f t="shared" si="12"/>
        <v>3266618.6666666698</v>
      </c>
      <c r="AM28" s="28">
        <f t="shared" si="13"/>
        <v>0.48284978095343856</v>
      </c>
      <c r="AN28" s="29">
        <v>26231181</v>
      </c>
      <c r="AO28" s="29">
        <v>819724.40625</v>
      </c>
      <c r="AP28" s="29">
        <v>27138.5625</v>
      </c>
      <c r="AQ28" s="30">
        <v>12665720</v>
      </c>
      <c r="AR28" s="30">
        <v>2629074.6666666698</v>
      </c>
      <c r="AS28" s="30">
        <v>637544</v>
      </c>
      <c r="AT28" s="30">
        <v>9398994.6666666698</v>
      </c>
      <c r="AU28" s="31">
        <v>70.446950000000001</v>
      </c>
      <c r="AV28" s="31">
        <v>72.997609374999996</v>
      </c>
      <c r="AW28" s="31">
        <v>32.832218750000003</v>
      </c>
      <c r="AX28" s="31">
        <v>36.566724999999998</v>
      </c>
      <c r="AY28" s="31">
        <v>36.046300000000002</v>
      </c>
      <c r="AZ28" s="32">
        <v>2152.11</v>
      </c>
      <c r="BA28" s="32">
        <v>5066.93</v>
      </c>
      <c r="BB28" s="32">
        <v>4.8230000000000004</v>
      </c>
      <c r="BC28" s="32">
        <v>20.821999999999999</v>
      </c>
      <c r="BE28" s="33">
        <f t="shared" si="14"/>
        <v>-1.144963630944254E-3</v>
      </c>
      <c r="BF28" s="33">
        <f t="shared" si="15"/>
        <v>4.7546475033349855E-4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-123488</v>
      </c>
    </row>
    <row r="29" spans="1:73" ht="15" outlineLevel="1" thickBot="1">
      <c r="A29" s="35"/>
      <c r="B29" s="35" t="s">
        <v>284</v>
      </c>
      <c r="C29" s="36" t="s">
        <v>272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27.728384999999999</v>
      </c>
      <c r="J29" s="38">
        <f t="shared" si="1"/>
        <v>1.1684761086341529</v>
      </c>
      <c r="K29" s="38">
        <f t="shared" si="2"/>
        <v>0.21361644718537523</v>
      </c>
      <c r="L29" s="38">
        <f t="shared" si="3"/>
        <v>0.16276044012354215</v>
      </c>
      <c r="M29" s="38">
        <f t="shared" si="4"/>
        <v>0.95485544744169348</v>
      </c>
      <c r="N29" s="35">
        <f t="shared" si="5"/>
        <v>5407146.6666666698</v>
      </c>
      <c r="O29" s="38">
        <f t="shared" si="6"/>
        <v>1.1761685694491137</v>
      </c>
      <c r="P29" s="39">
        <v>25146858</v>
      </c>
      <c r="Q29" s="39">
        <v>785839.3125</v>
      </c>
      <c r="R29" s="39">
        <v>12625.625</v>
      </c>
      <c r="S29" s="40">
        <v>29576944</v>
      </c>
      <c r="T29" s="40">
        <v>4119858.6666666698</v>
      </c>
      <c r="U29" s="40">
        <v>1287288</v>
      </c>
      <c r="V29" s="40">
        <v>24169690.666666701</v>
      </c>
      <c r="W29" s="41">
        <v>71.510181250000002</v>
      </c>
      <c r="X29" s="41">
        <v>74.895196874999996</v>
      </c>
      <c r="Y29" s="41">
        <v>35.528799999999997</v>
      </c>
      <c r="Z29" s="41">
        <v>38.574312499999998</v>
      </c>
      <c r="AA29" s="41">
        <v>38.012787500000002</v>
      </c>
      <c r="AB29" s="42">
        <v>5105.3100000000004</v>
      </c>
      <c r="AC29" s="42">
        <v>11323.6</v>
      </c>
      <c r="AD29" s="42">
        <v>7.8620000000000001</v>
      </c>
      <c r="AE29" s="42">
        <v>41.752000000000002</v>
      </c>
      <c r="AG29" s="37">
        <f t="shared" si="7"/>
        <v>27.5536125</v>
      </c>
      <c r="AH29" s="38">
        <f t="shared" si="8"/>
        <v>1.1611111831003988</v>
      </c>
      <c r="AI29" s="38">
        <f t="shared" si="9"/>
        <v>0.21132065612511736</v>
      </c>
      <c r="AJ29" s="38">
        <f t="shared" si="10"/>
        <v>0.16190394318338538</v>
      </c>
      <c r="AK29" s="38">
        <f t="shared" si="11"/>
        <v>0.94978631296819727</v>
      </c>
      <c r="AL29" s="35">
        <f t="shared" si="12"/>
        <v>5349034.6666666698</v>
      </c>
      <c r="AM29" s="38">
        <f t="shared" si="13"/>
        <v>1.1722851797495406</v>
      </c>
      <c r="AN29" s="39">
        <v>25071135</v>
      </c>
      <c r="AO29" s="39">
        <v>783472.96875</v>
      </c>
      <c r="AP29" s="39">
        <v>12108.53125</v>
      </c>
      <c r="AQ29" s="40">
        <v>29390520</v>
      </c>
      <c r="AR29" s="40">
        <v>4098178.6666666698</v>
      </c>
      <c r="AS29" s="40">
        <v>1250856</v>
      </c>
      <c r="AT29" s="40">
        <v>24041378.666666701</v>
      </c>
      <c r="AU29" s="41">
        <v>71.482781250000002</v>
      </c>
      <c r="AV29" s="41">
        <v>74.907206250000002</v>
      </c>
      <c r="AW29" s="41">
        <v>35.524450000000002</v>
      </c>
      <c r="AX29" s="41">
        <v>38.553015625</v>
      </c>
      <c r="AY29" s="41">
        <v>37.999200000000002</v>
      </c>
      <c r="AZ29" s="42">
        <v>2173.6</v>
      </c>
      <c r="BA29" s="42">
        <v>5717.01</v>
      </c>
      <c r="BB29" s="42">
        <v>4.6840000000000002</v>
      </c>
      <c r="BC29" s="42">
        <v>22.414000000000001</v>
      </c>
      <c r="BE29" s="43">
        <f t="shared" si="14"/>
        <v>-6.1147620261573291E-4</v>
      </c>
      <c r="BF29" s="43">
        <f t="shared" si="15"/>
        <v>-8.1763300328663302E-4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-186424</v>
      </c>
    </row>
    <row r="30" spans="1:73">
      <c r="B30" s="55" t="s">
        <v>288</v>
      </c>
      <c r="J30" s="56">
        <f>AVERAGE(J5:J24)</f>
        <v>0.18687710421214193</v>
      </c>
      <c r="K30" s="56">
        <f>AVERAGE(K5:K24)</f>
        <v>9.1087132016569511E-2</v>
      </c>
      <c r="L30" s="56">
        <f>AVERAGE(L5:L24)</f>
        <v>6.3707104055235969E-2</v>
      </c>
      <c r="M30" s="56">
        <f>AVERAGE(M5:M24)</f>
        <v>9.5786113486841823E-2</v>
      </c>
      <c r="AH30" s="56">
        <f>AVERAGE(AH5:AH24)</f>
        <v>0.18357527998198706</v>
      </c>
      <c r="AI30" s="56">
        <f>AVERAGE(AI5:AI24)</f>
        <v>8.9680282094332889E-2</v>
      </c>
      <c r="AJ30" s="56">
        <f>AVERAGE(AJ5:AJ24)</f>
        <v>6.3139908851866738E-2</v>
      </c>
      <c r="AK30" s="56">
        <f>AVERAGE(AK5:AK24)</f>
        <v>9.3891139178923555E-2</v>
      </c>
      <c r="BG30" s="8">
        <f>AVERAGE(BG5:BG24)</f>
        <v>3.2766374929394937E-3</v>
      </c>
      <c r="BI30" s="5">
        <f>AVERAGE(BI5:BI24)</f>
        <v>-1.5700316300877565E-2</v>
      </c>
      <c r="BJ30" s="5">
        <f>AVERAGE(BJ5:BJ24)</f>
        <v>-1.658859168284349E-2</v>
      </c>
      <c r="BK30" s="5">
        <f>AVERAGE(BK5:BK24)</f>
        <v>-3.1586195178468696E-2</v>
      </c>
      <c r="BL30" s="5">
        <f>AVERAGE(BL5:BL24)</f>
        <v>-2.994852764648287E-2</v>
      </c>
      <c r="BM30" s="5">
        <f>AVERAGE(BM5:BM24)</f>
        <v>-2.5016440144257385E-2</v>
      </c>
      <c r="BO30" s="5">
        <f>AVERAGE(BO5:BO24)</f>
        <v>-2.0956032492676691E-2</v>
      </c>
      <c r="BP30" s="5">
        <f>AVERAGE(BP5:BP24)</f>
        <v>-2.2166989528529635E-2</v>
      </c>
      <c r="BQ30" s="5">
        <f>AVERAGE(BQ5:BQ24)</f>
        <v>-2.0181478222819904E-2</v>
      </c>
      <c r="BR30" s="5">
        <f>AVERAGE(BR5:BR24)</f>
        <v>-1.9767973309548631E-2</v>
      </c>
      <c r="BS30" s="5">
        <f>AVERAGE(BS5:BS24)</f>
        <v>-1.6219088918530133E-2</v>
      </c>
    </row>
    <row r="31" spans="1:73">
      <c r="B31" s="55" t="s">
        <v>289</v>
      </c>
      <c r="J31" s="56">
        <f>AVERAGE(J25:J29)</f>
        <v>0.43414742682719087</v>
      </c>
      <c r="K31" s="56">
        <f>AVERAGE(K25:K29)</f>
        <v>0.11560943023147656</v>
      </c>
      <c r="L31" s="56">
        <f>AVERAGE(L25:L29)</f>
        <v>8.4694188979044169E-2</v>
      </c>
      <c r="M31" s="56">
        <f>AVERAGE(M25:M29)</f>
        <v>0.31853378258862908</v>
      </c>
      <c r="AH31" s="56">
        <f>AVERAGE(AH25:AH29)</f>
        <v>0.43018864108069055</v>
      </c>
      <c r="AI31" s="56">
        <f>AVERAGE(AI25:AI29)</f>
        <v>0.11424737886125529</v>
      </c>
      <c r="AJ31" s="56">
        <f>AVERAGE(AJ25:AJ29)</f>
        <v>8.4214424272343796E-2</v>
      </c>
      <c r="AK31" s="56">
        <f>AVERAGE(AK25:AK29)</f>
        <v>0.31593704821235002</v>
      </c>
      <c r="BG31" s="8">
        <f>AVERAGE(BG25:BG29)</f>
        <v>3.2558869702453697E-4</v>
      </c>
      <c r="BI31" s="5">
        <f>AVERAGE(BI25:BI29)</f>
        <v>-1.47141258401432E-2</v>
      </c>
      <c r="BJ31" s="5">
        <f>AVERAGE(BJ25:BJ29)</f>
        <v>-1.5842889521874071E-2</v>
      </c>
      <c r="BK31" s="5">
        <f>AVERAGE(BK25:BK29)</f>
        <v>-1.2823318969511277E-2</v>
      </c>
      <c r="BL31" s="5">
        <f>AVERAGE(BL25:BL29)</f>
        <v>-1.2292774634729109E-2</v>
      </c>
      <c r="BM31" s="5">
        <f>AVERAGE(BM25:BM29)</f>
        <v>-1.3878068941872712E-2</v>
      </c>
      <c r="BO31" s="5">
        <f>AVERAGE(BO25:BO29)</f>
        <v>-1.8102809480882054E-2</v>
      </c>
      <c r="BP31" s="5">
        <f>AVERAGE(BP25:BP29)</f>
        <v>-2.0180147712388963E-2</v>
      </c>
      <c r="BQ31" s="5">
        <f>AVERAGE(BQ25:BQ29)</f>
        <v>-1.1864658258879723E-2</v>
      </c>
      <c r="BR31" s="5">
        <f>AVERAGE(BR25:BR29)</f>
        <v>-1.1320838640716535E-2</v>
      </c>
      <c r="BS31" s="5">
        <f>AVERAGE(BS25:BS29)</f>
        <v>-1.1905539368052498E-2</v>
      </c>
    </row>
    <row r="32" spans="1:73" collapsed="1">
      <c r="B32" s="55" t="s">
        <v>290</v>
      </c>
      <c r="J32" s="56">
        <f>AVERAGE(J5:J29)</f>
        <v>0.2363311687351517</v>
      </c>
      <c r="K32" s="56">
        <f>AVERAGE(K5:K29)</f>
        <v>9.5991591659550915E-2</v>
      </c>
      <c r="L32" s="56">
        <f>AVERAGE(L5:L29)</f>
        <v>6.7904521039997598E-2</v>
      </c>
      <c r="M32" s="56">
        <f>AVERAGE(M5:M29)</f>
        <v>0.1403356473071993</v>
      </c>
      <c r="AH32" s="56">
        <f>AVERAGE(AH5:AH29)</f>
        <v>0.23289795220172776</v>
      </c>
      <c r="AI32" s="56">
        <f>AVERAGE(AI5:AI29)</f>
        <v>9.4593701447717379E-2</v>
      </c>
      <c r="AJ32" s="56">
        <f>AVERAGE(AJ5:AJ29)</f>
        <v>6.7354811935962142E-2</v>
      </c>
      <c r="AK32" s="56">
        <f>AVERAGE(AK5:AK29)</f>
        <v>0.13830032098560888</v>
      </c>
      <c r="BG32" s="8">
        <f>AVERAGE(BG5:BG29)</f>
        <v>2.6864277337565025E-3</v>
      </c>
      <c r="BI32" s="5">
        <f>AVERAGE(BI5:BI29)</f>
        <v>-1.5503078208730692E-2</v>
      </c>
      <c r="BJ32" s="5">
        <f>AVERAGE(BJ5:BJ29)</f>
        <v>-1.6439451250649606E-2</v>
      </c>
      <c r="BK32" s="5">
        <f>AVERAGE(BK5:BK29)</f>
        <v>-2.7833619936677212E-2</v>
      </c>
      <c r="BL32" s="5">
        <f>AVERAGE(BL5:BL29)</f>
        <v>-2.6417377044132117E-2</v>
      </c>
      <c r="BM32" s="5">
        <f>AVERAGE(BM5:BM29)</f>
        <v>-2.2788765903780449E-2</v>
      </c>
      <c r="BO32" s="5">
        <f>AVERAGE(BO5:BO29)</f>
        <v>-2.0385387890317762E-2</v>
      </c>
      <c r="BP32" s="5">
        <f>AVERAGE(BP5:BP29)</f>
        <v>-2.1769621165301501E-2</v>
      </c>
      <c r="BQ32" s="5">
        <f>AVERAGE(BQ5:BQ29)</f>
        <v>-1.8518114230031867E-2</v>
      </c>
      <c r="BR32" s="5">
        <f>AVERAGE(BR5:BR29)</f>
        <v>-1.8078546375782212E-2</v>
      </c>
      <c r="BS32" s="5">
        <f>AVERAGE(BS5:BS29)</f>
        <v>-1.5356379008434607E-2</v>
      </c>
    </row>
    <row r="33" spans="1:55" hidden="1" outlineLevel="2">
      <c r="A33" s="55" t="s">
        <v>291</v>
      </c>
      <c r="B33" s="55" t="s">
        <v>292</v>
      </c>
      <c r="AB33" s="57">
        <f>SUM(AB5:AB24,AB25:AB29)</f>
        <v>249504.63000000003</v>
      </c>
      <c r="AC33" s="57">
        <f>SUM(AC5:AC24,AC25:AC29)</f>
        <v>197828.55000000005</v>
      </c>
      <c r="AD33" s="57">
        <f>SUM(AD5:AD24,AD25:AD29)</f>
        <v>250.48699999999999</v>
      </c>
      <c r="AE33" s="57">
        <f>SUM(AE5:AE24,AE25:AE29)</f>
        <v>842.6629999999999</v>
      </c>
      <c r="AZ33" s="57">
        <f>SUM(AZ5:AZ24,AZ25:AZ29)</f>
        <v>74907.800000000017</v>
      </c>
      <c r="BA33" s="57">
        <f>SUM(BA5:BA24,BA25:BA29)</f>
        <v>97988.500000000015</v>
      </c>
      <c r="BB33" s="57">
        <f>SUM(BB5:BB24,BB25:BB29)</f>
        <v>146.65500000000003</v>
      </c>
      <c r="BC33" s="57">
        <f>SUM(BC5:BC24,BC25:BC29)</f>
        <v>451.68899999999991</v>
      </c>
    </row>
    <row r="34" spans="1:55" hidden="1" outlineLevel="2">
      <c r="B34" s="55" t="s">
        <v>293</v>
      </c>
      <c r="AZ34" s="8">
        <f>AZ33/AB33</f>
        <v>0.30022609199676981</v>
      </c>
      <c r="BA34" s="8">
        <f>BA33/AC33</f>
        <v>0.49532031650638897</v>
      </c>
      <c r="BB34" s="8">
        <f>BB33/AD33</f>
        <v>0.58547948596134747</v>
      </c>
      <c r="BC34" s="8">
        <f>BC33/AE33</f>
        <v>0.5360256709977772</v>
      </c>
    </row>
    <row r="35" spans="1:55" hidden="1" outlineLevel="2">
      <c r="B35" s="55" t="s">
        <v>294</v>
      </c>
      <c r="AB35" s="57">
        <f>GEOMEAN(AB5:AB24,AB25:AB29)</f>
        <v>8705.2814797189749</v>
      </c>
      <c r="AC35" s="57">
        <f>GEOMEAN(AC5:AC24,AC25:AC29)</f>
        <v>7578.1706846481675</v>
      </c>
      <c r="AD35" s="57">
        <f>GEOMEAN(AD5:AD24,AD25:AD29)</f>
        <v>9.8964722123508171</v>
      </c>
      <c r="AE35" s="57">
        <f>GEOMEAN(AE5:AE24,AE25:AE29)</f>
        <v>33.356502615662116</v>
      </c>
      <c r="AZ35" s="57">
        <f>GEOMEAN(AZ5:AZ24,AZ25:AZ29)</f>
        <v>2905.291320321589</v>
      </c>
      <c r="BA35" s="57">
        <f>GEOMEAN(BA5:BA24,BA25:BA29)</f>
        <v>3741.5200427368727</v>
      </c>
      <c r="BB35" s="57">
        <f>GEOMEAN(BB5:BB24,BB25:BB29)</f>
        <v>5.6555037575765006</v>
      </c>
      <c r="BC35" s="57">
        <f>GEOMEAN(BC5:BC24,BC25:BC29)</f>
        <v>17.527485215080457</v>
      </c>
    </row>
    <row r="36" spans="1:55" outlineLevel="2" collapsed="1">
      <c r="B36" s="55" t="s">
        <v>295</v>
      </c>
      <c r="AZ36" s="8">
        <f>AZ35/AB35</f>
        <v>0.33373892930287857</v>
      </c>
      <c r="BA36" s="8">
        <f>BA35/AC35</f>
        <v>0.49372337974868147</v>
      </c>
      <c r="BB36" s="8">
        <f>BB35/AD35</f>
        <v>0.57146664348922438</v>
      </c>
      <c r="BC36" s="8">
        <f>BC35/AE35</f>
        <v>0.52545932099160342</v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phoneticPr fontId="2" type="noConversion"/>
  <conditionalFormatting sqref="BI5 BI6 BI7 BI8 BI9 BI10 BI11 BI12 BI13 BI14 BI15 BI16 BI17 BI18 BI19 BI20 BI21 BI22 BI23 BI24 BI25 BI26 BI27 BI28 BI29 BI30 BI31 BI32">
    <cfRule type="cellIs" dxfId="19" priority="17" operator="greaterThanOrEqual">
      <formula>0.03</formula>
    </cfRule>
    <cfRule type="cellIs" dxfId="18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17" priority="15" operator="greaterThanOrEqual">
      <formula>0.03</formula>
    </cfRule>
    <cfRule type="cellIs" dxfId="16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15" priority="11" operator="greaterThanOrEqual">
      <formula>0.03</formula>
    </cfRule>
    <cfRule type="cellIs" dxfId="14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13" priority="5" operator="greaterThanOrEqual">
      <formula>0.03</formula>
    </cfRule>
    <cfRule type="cellIs" dxfId="12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11" priority="7" operator="greaterThanOrEqual">
      <formula>0.03</formula>
    </cfRule>
    <cfRule type="cellIs" dxfId="10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9" priority="1" operator="greaterThanOrEqual">
      <formula>0.03</formula>
    </cfRule>
    <cfRule type="cellIs" dxfId="8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5" priority="19" operator="greaterThanOrEqual">
      <formula>0.03</formula>
    </cfRule>
    <cfRule type="cellIs" dxfId="4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" priority="9" operator="greaterThanOrEqual">
      <formula>0.03</formula>
    </cfRule>
    <cfRule type="cellIs" dxfId="2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" priority="3" operator="greaterThanOrEqual">
      <formula>0.03</formula>
    </cfRule>
    <cfRule type="cellIs" dxfId="0" priority="4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names</vt:lpstr>
      <vt:lpstr>CW losslG,losslA,intra</vt:lpstr>
      <vt:lpstr>CW losslG,losslA,interLD</vt:lpstr>
      <vt:lpstr>C2 lossyG,lossyA,interRA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>오영호/Media Research팀(SR)/Principal Engineer/삼성전자</dc:creator>
  <cp:lastModifiedBy>Indranil Sinharoy</cp:lastModifiedBy>
  <dcterms:created xsi:type="dcterms:W3CDTF">2018-08-31T19:13:00Z</dcterms:created>
  <dcterms:modified xsi:type="dcterms:W3CDTF">2019-04-25T16:52:46Z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2018-08-31T19:13:00Z</vt:filetime>
  </property>
  <property fmtid="{D5CDD505-2E9C-101B-9397-08002B2CF9AE}" pid="4" name="NSCPROP_SA">
    <vt:lpwstr>C:\mySingle\TEMP\pcc-tmc2-v5.0_anchor_32_frames.xlsm</vt:lpwstr>
  </property>
</Properties>
</file>