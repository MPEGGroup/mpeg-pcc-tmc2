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AFBF9515-8B17-8C46-A0C9-7E537FE98462}" xr6:coauthVersionLast="36" xr6:coauthVersionMax="36" xr10:uidLastSave="{00000000-0000-0000-0000-000000000000}"/>
  <bookViews>
    <workbookView xWindow="7260" yWindow="820" windowWidth="43940" windowHeight="25540" activeTab="2"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K31" i="7" s="1"/>
  <c r="M31" i="7"/>
  <c r="L31" i="7"/>
  <c r="J31" i="7"/>
  <c r="I31" i="7"/>
  <c r="BF30" i="7"/>
  <c r="AL30" i="7"/>
  <c r="AK30" i="7"/>
  <c r="AJ30" i="7"/>
  <c r="AH30" i="7"/>
  <c r="AG30" i="7"/>
  <c r="N30" i="7"/>
  <c r="M30" i="7"/>
  <c r="L30" i="7"/>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I25" i="7" s="1"/>
  <c r="AK25" i="7"/>
  <c r="AJ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K23" i="7" s="1"/>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K15" i="7" s="1"/>
  <c r="M15" i="7"/>
  <c r="L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I11" i="7" s="1"/>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K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J35" i="3"/>
  <c r="I35" i="3"/>
  <c r="BF34" i="3"/>
  <c r="AL34" i="3"/>
  <c r="AI34" i="3" s="1"/>
  <c r="AK34" i="3"/>
  <c r="AJ34" i="3"/>
  <c r="AH34" i="3"/>
  <c r="AG34" i="3"/>
  <c r="N34" i="3"/>
  <c r="M34" i="3"/>
  <c r="L34" i="3"/>
  <c r="K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H25" i="3"/>
  <c r="AG25" i="3"/>
  <c r="N25" i="3"/>
  <c r="M25" i="3"/>
  <c r="M41" i="3" s="1"/>
  <c r="L25" i="3"/>
  <c r="J25" i="3"/>
  <c r="I25" i="3"/>
  <c r="BF24" i="3"/>
  <c r="AL24" i="3"/>
  <c r="AI24" i="3" s="1"/>
  <c r="AK24" i="3"/>
  <c r="AJ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H20" i="3" a="1"/>
  <c r="BF20" i="3"/>
  <c r="AL20" i="3"/>
  <c r="AI20" i="3" s="1"/>
  <c r="AK20" i="3"/>
  <c r="AJ20" i="3"/>
  <c r="AH20" i="3"/>
  <c r="AG20" i="3"/>
  <c r="N20" i="3"/>
  <c r="M20" i="3"/>
  <c r="L20" i="3"/>
  <c r="J20" i="3"/>
  <c r="I20" i="3"/>
  <c r="BF19" i="3"/>
  <c r="AL19" i="3"/>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K16" i="3" s="1"/>
  <c r="M16" i="3"/>
  <c r="L16" i="3"/>
  <c r="J16" i="3"/>
  <c r="I16" i="3"/>
  <c r="BF15" i="3"/>
  <c r="AL15" i="3"/>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K10" i="3" s="1"/>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M6" i="3"/>
  <c r="L6" i="3"/>
  <c r="K6" i="3"/>
  <c r="J6" i="3"/>
  <c r="I6" i="3"/>
  <c r="BF5" i="3"/>
  <c r="AL5" i="3"/>
  <c r="AK5" i="3"/>
  <c r="AJ5" i="3"/>
  <c r="AH5" i="3"/>
  <c r="AG5" i="3"/>
  <c r="N5" i="3"/>
  <c r="M5" i="3"/>
  <c r="L5" i="3"/>
  <c r="J5" i="3"/>
  <c r="I5" i="3"/>
  <c r="B2" i="2"/>
  <c r="B1" i="2"/>
  <c r="BL30" i="7"/>
  <c r="BM25" i="7"/>
  <c r="BR35" i="7"/>
  <c r="BQ25" i="7"/>
  <c r="BQ35" i="7"/>
  <c r="BM5" i="7"/>
  <c r="BN35" i="7"/>
  <c r="BQ15" i="7"/>
  <c r="BT5" i="7"/>
  <c r="BN15" i="7"/>
  <c r="BN30" i="7"/>
  <c r="BL15" i="7"/>
  <c r="BS35" i="7"/>
  <c r="BS15" i="7"/>
  <c r="BM35" i="7"/>
  <c r="BN20" i="7"/>
  <c r="BR30" i="7"/>
  <c r="BP25" i="7"/>
  <c r="BK35" i="7"/>
  <c r="BT35" i="7"/>
  <c r="BR25" i="7"/>
  <c r="BM15" i="7"/>
  <c r="BS10" i="7"/>
  <c r="BM30" i="7"/>
  <c r="BN25" i="7"/>
  <c r="BL5" i="7"/>
  <c r="BP15" i="7"/>
  <c r="BR15" i="7"/>
  <c r="BP30" i="7"/>
  <c r="BS30" i="7"/>
  <c r="BK25" i="7"/>
  <c r="BJ25" i="7"/>
  <c r="BN10" i="7"/>
  <c r="BT25" i="7"/>
  <c r="BN5" i="7"/>
  <c r="BL10" i="7"/>
  <c r="BL20" i="7"/>
  <c r="BM20" i="7"/>
  <c r="BQ10" i="7"/>
  <c r="BL25" i="7"/>
  <c r="BS20" i="7"/>
  <c r="BP20" i="7"/>
  <c r="BP35" i="7"/>
  <c r="BT10" i="7"/>
  <c r="BT20" i="7"/>
  <c r="BS5" i="7"/>
  <c r="BQ30" i="7"/>
  <c r="BM10" i="7"/>
  <c r="BP5" i="7"/>
  <c r="BJ35" i="7"/>
  <c r="BL35" i="7"/>
  <c r="BQ5" i="7"/>
  <c r="BT30" i="7"/>
  <c r="BR5" i="7"/>
  <c r="BR20" i="7"/>
  <c r="BK15" i="7"/>
  <c r="BQ20" i="7"/>
  <c r="BS25" i="7"/>
  <c r="BJ15" i="7"/>
  <c r="BK5" i="7"/>
  <c r="BR10" i="7"/>
  <c r="BP10" i="7"/>
  <c r="BT15" i="7"/>
  <c r="BM35" i="3"/>
  <c r="BP20" i="3"/>
  <c r="BT20" i="3"/>
  <c r="BR5" i="3"/>
  <c r="BJ30" i="3"/>
  <c r="BP35" i="3"/>
  <c r="BS20" i="3"/>
  <c r="BS15" i="3"/>
  <c r="BN15" i="3"/>
  <c r="BL10" i="3"/>
  <c r="BS5" i="3"/>
  <c r="BR10" i="3"/>
  <c r="BR25" i="3"/>
  <c r="BT35" i="3"/>
  <c r="BN5" i="3"/>
  <c r="BM10" i="3"/>
  <c r="BK35" i="3"/>
  <c r="BQ20" i="3"/>
  <c r="BQ10" i="3"/>
  <c r="BN10" i="3"/>
  <c r="BL30" i="3"/>
  <c r="BP30" i="3"/>
  <c r="BT30" i="3"/>
  <c r="BS30" i="3"/>
  <c r="BQ15" i="3"/>
  <c r="BR35" i="3"/>
  <c r="BK25" i="3"/>
  <c r="BJ20" i="3"/>
  <c r="BN35" i="3"/>
  <c r="BL25" i="3"/>
  <c r="BS35" i="3"/>
  <c r="BM25" i="3"/>
  <c r="BS10" i="3"/>
  <c r="BT5" i="3"/>
  <c r="BN20" i="3"/>
  <c r="BR20" i="3"/>
  <c r="BM30" i="3"/>
  <c r="BN30" i="3"/>
  <c r="BP15" i="3"/>
  <c r="BK20" i="3"/>
  <c r="BQ25" i="3"/>
  <c r="BQ30" i="3"/>
  <c r="BL20" i="3"/>
  <c r="BT25" i="3"/>
  <c r="BR15" i="3"/>
  <c r="BL15" i="3"/>
  <c r="BP25" i="3"/>
  <c r="BR30" i="3"/>
  <c r="BT15" i="3"/>
  <c r="BM5" i="3"/>
  <c r="BM15" i="3"/>
  <c r="BL35" i="3"/>
  <c r="BK15" i="3"/>
  <c r="BT10" i="3"/>
  <c r="BN25" i="3"/>
  <c r="BL5" i="3"/>
  <c r="BS25" i="3"/>
  <c r="BP10" i="3"/>
  <c r="BM20" i="3"/>
  <c r="BQ35" i="3"/>
  <c r="BP5" i="3"/>
  <c r="BQ5" i="3"/>
  <c r="L42" i="7" l="1"/>
  <c r="BG35" i="3"/>
  <c r="BG20" i="3"/>
  <c r="AJ41" i="3"/>
  <c r="AK42" i="3"/>
  <c r="L43" i="7"/>
  <c r="BG19" i="3"/>
  <c r="K20" i="3"/>
  <c r="BE20" i="3" s="1"/>
  <c r="BE33" i="3"/>
  <c r="BE34" i="3"/>
  <c r="BG15" i="3"/>
  <c r="BE6" i="3"/>
  <c r="BH20" i="3"/>
  <c r="J41" i="3"/>
  <c r="BE37" i="3"/>
  <c r="BG23" i="7"/>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E36" i="7" s="1"/>
  <c r="BA45" i="7"/>
  <c r="BA47" i="7"/>
  <c r="BG5" i="7"/>
  <c r="BE7" i="7"/>
  <c r="BG13" i="7"/>
  <c r="BE15" i="7"/>
  <c r="BG21" i="7"/>
  <c r="BE23" i="7"/>
  <c r="L41" i="7"/>
  <c r="BG29" i="7"/>
  <c r="M42" i="7"/>
  <c r="BE31" i="7"/>
  <c r="BH35" i="7"/>
  <c r="BG39" i="7"/>
  <c r="BB45" i="7"/>
  <c r="BB47" i="7"/>
  <c r="C48" i="1" s="1"/>
  <c r="BE9" i="7"/>
  <c r="BE17" i="7"/>
  <c r="M41" i="7"/>
  <c r="BE33" i="7"/>
  <c r="BE38" i="7"/>
  <c r="BC45" i="7"/>
  <c r="BC47" i="7"/>
  <c r="BE12" i="3"/>
  <c r="BG18"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BH15" i="7" a="1"/>
  <c r="BH15" i="7" s="1"/>
  <c r="J41" i="7"/>
  <c r="AJ41" i="7"/>
  <c r="K30" i="7"/>
  <c r="K42" i="7" s="1"/>
  <c r="AK42" i="7"/>
  <c r="BE37" i="7"/>
  <c r="J15" i="6"/>
  <c r="BB5" i="6"/>
  <c r="BF5" i="6"/>
  <c r="BF8" i="6"/>
  <c r="BD13" i="6"/>
  <c r="BD9" i="6"/>
  <c r="BD10" i="6"/>
  <c r="AJ14" i="6"/>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J5" i="7"/>
  <c r="BJ10" i="7"/>
  <c r="BJ30" i="7"/>
  <c r="BJ20" i="7"/>
  <c r="BK10" i="7"/>
  <c r="BK20" i="7"/>
  <c r="BK30" i="7"/>
  <c r="BJ15" i="3"/>
  <c r="BJ25" i="3"/>
  <c r="BJ10" i="3"/>
  <c r="BK10" i="3"/>
  <c r="BJ35" i="3"/>
  <c r="BJ5" i="3"/>
  <c r="BK30" i="3"/>
  <c r="BK5" i="3"/>
  <c r="BK42" i="3" l="1"/>
  <c r="D11" i="1" s="1"/>
  <c r="K40" i="7"/>
  <c r="AH12" i="6"/>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0" i="7" l="1"/>
  <c r="BE43" i="7"/>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<sst xmlns="http://schemas.openxmlformats.org/spreadsheetml/2006/main" count="1512" uniqueCount="594">
  <si>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</si>
  <si>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</si>
  <si>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</si>
  <si>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</si>
  <si>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</si>
  <si>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</si>
  <si>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</si>
  <si>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</si>
  <si>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</si>
  <si>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</si>
  <si>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</si>
  <si>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</si>
  <si>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</si>
  <si>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</si>
  <si>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</si>
  <si>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</si>
  <si>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</si>
  <si>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</si>
  <si>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</si>
  <si>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</si>
  <si>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</si>
  <si>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</si>
  <si>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</si>
  <si>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</si>
  <si>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</si>
  <si>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</si>
  <si>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</si>
  <si>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</si>
  <si>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</si>
  <si>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</si>
  <si>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</si>
  <si>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</si>
  <si>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</si>
  <si>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</si>
  <si>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</si>
  <si>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</si>
  <si>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</si>
  <si>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</si>
  <si>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</si>
  <si>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</si>
  <si>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</si>
  <si>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</si>
  <si>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</si>
  <si>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</si>
  <si>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</si>
  <si>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</si>
  <si>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</si>
  <si>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</si>
  <si>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</si>
  <si>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</si>
  <si>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</si>
  <si>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</si>
  <si>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</si>
  <si>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</si>
  <si>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</si>
  <si>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</si>
  <si>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</si>
  <si>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</si>
  <si>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</si>
  <si>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</si>
  <si>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</si>
  <si>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</si>
  <si>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</si>
  <si>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</si>
  <si>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</si>
  <si>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</si>
  <si>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</si>
  <si>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</si>
  <si>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</si>
  <si>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</si>
  <si>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</si>
  <si>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</si>
  <si>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</si>
  <si>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</si>
  <si>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</si>
  <si>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</si>
  <si>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</si>
  <si>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</si>
  <si>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</si>
  <si>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</si>
  <si>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</si>
  <si>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</si>
  <si>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</si>
  <si>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</si>
  <si>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</si>
  <si>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</si>
  <si>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</si>
  <si>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</si>
  <si>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</si>
  <si>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</si>
  <si>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</si>
  <si>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</si>
  <si>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</si>
  <si>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</si>
  <si>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</si>
  <si>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</si>
  <si>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</si>
  <si>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</si>
  <si>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</si>
  <si>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</si>
  <si>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</si>
  <si>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</si>
  <si>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</si>
  <si>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</si>
  <si>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</si>
  <si>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</si>
  <si>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</si>
  <si>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</si>
  <si>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</si>
  <si>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</si>
  <si>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</si>
  <si>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</si>
  <si>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</si>
  <si>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</si>
  <si>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</si>
  <si>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</si>
  <si>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</si>
  <si>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</si>
  <si>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</si>
  <si>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</si>
  <si>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</si>
  <si>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</si>
  <si>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</si>
  <si>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</si>
  <si>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</si>
  <si>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</si>
  <si>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</si>
  <si>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</si>
  <si>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</si>
  <si>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</si>
  <si>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</si>
  <si>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</si>
  <si>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</si>
  <si>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</si>
  <si>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</si>
  <si>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</si>
  <si>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</si>
  <si>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</si>
  <si>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</si>
  <si>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</si>
  <si>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</si>
  <si>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</si>
  <si>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</si>
  <si>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</si>
  <si>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</si>
  <si>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</si>
  <si>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</si>
  <si>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</si>
  <si>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</si>
  <si>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</si>
  <si>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</si>
  <si>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</si>
  <si>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</si>
  <si>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</si>
  <si>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</si>
  <si>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</si>
  <si>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</si>
  <si>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</si>
  <si>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</si>
  <si>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</si>
  <si>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</si>
  <si>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</si>
  <si>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</si>
  <si>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</si>
  <si>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</si>
  <si>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</si>
  <si>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</si>
  <si>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</si>
  <si>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</si>
  <si>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</si>
  <si>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</si>
  <si>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</si>
  <si>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</si>
  <si>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</si>
  <si>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</si>
  <si>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</si>
  <si>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</si>
  <si>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</si>
  <si>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</si>
  <si>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</si>
  <si>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</si>
  <si>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</si>
  <si>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</si>
  <si>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</si>
  <si>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</si>
  <si>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</si>
  <si>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</si>
  <si>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</si>
  <si>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</si>
  <si>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</si>
  <si>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</si>
  <si>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</si>
  <si>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</si>
  <si>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</si>
  <si>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</si>
  <si>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</si>
  <si>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</si>
  <si>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</si>
  <si>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</si>
  <si>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</si>
  <si>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</si>
  <si>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</si>
  <si>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</si>
  <si>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</si>
  <si>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</si>
  <si>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</si>
  <si>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</si>
  <si>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</si>
  <si>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</si>
  <si>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</si>
  <si>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</si>
  <si>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</si>
  <si>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</si>
  <si>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</si>
  <si>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</si>
  <si>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</si>
  <si>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</si>
  <si>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</si>
  <si>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</si>
  <si>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</si>
  <si>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</si>
  <si>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</si>
  <si>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</si>
  <si>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</si>
  <si>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</si>
  <si>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</si>
  <si>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</si>
  <si>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</si>
  <si>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</si>
  <si>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</si>
  <si>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</si>
  <si>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</si>
  <si>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</si>
  <si>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</si>
  <si>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</si>
  <si>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</si>
  <si>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</si>
  <si>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</si>
  <si>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</si>
  <si>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</si>
  <si>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</si>
  <si>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</si>
  <si>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</si>
  <si>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</si>
  <si>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</si>
  <si>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</si>
  <si>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</si>
  <si>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</si>
  <si>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</si>
  <si>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</si>
  <si>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</si>
  <si>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</si>
  <si>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</si>
  <si>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</si>
  <si>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</si>
  <si>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</si>
  <si>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</si>
  <si>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</si>
  <si>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</si>
  <si>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</si>
  <si>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</si>
  <si>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</si>
  <si>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</si>
  <si>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</si>
  <si>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</si>
  <si>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</si>
  <si>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</si>
  <si>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</si>
  <si>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</si>
  <si>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</si>
  <si>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</si>
  <si>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</si>
  <si>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</si>
  <si>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</si>
  <si>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</si>
  <si>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</si>
  <si>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</si>
  <si>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</si>
  <si>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</si>
  <si>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</si>
  <si>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</si>
  <si>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</si>
  <si>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</si>
  <si>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</si>
  <si>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</si>
  <si>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</si>
  <si>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</si>
  <si>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</si>
  <si>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</si>
  <si>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</si>
  <si>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</si>
  <si>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</si>
  <si>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</si>
  <si>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</si>
  <si>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</si>
  <si>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</si>
  <si>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</si>
  <si>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</si>
  <si>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</si>
  <si>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</si>
  <si>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</si>
  <si>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</si>
  <si>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</si>
  <si>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</si>
  <si>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</si>
  <si>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</si>
  <si>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</si>
  <si>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</si>
  <si>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</si>
  <si>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</si>
  <si>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</si>
  <si>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</si>
  <si>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</si>
  <si>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</si>
  <si>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</si>
  <si>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</si>
  <si>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</si>
  <si>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</si>
  <si>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</si>
  <si>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</si>
  <si>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</si>
  <si>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</si>
  <si>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</si>
  <si>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</si>
  <si>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</si>
  <si>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</si>
  <si>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</si>
  <si>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</si>
  <si>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</si>
  <si>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</si>
  <si>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</si>
  <si>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</si>
  <si>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</si>
  <si>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</si>
  <si>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</si>
  <si>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</si>
  <si>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</si>
  <si>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</si>
  <si>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</si>
  <si>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</si>
  <si>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</si>
  <si>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</si>
  <si>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</si>
  <si>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</si>
  <si>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</si>
  <si>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</si>
  <si>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</si>
  <si>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</si>
  <si>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</si>
  <si>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</si>
  <si>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</si>
  <si>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</si>
  <si>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</si>
  <si>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</si>
  <si>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</si>
  <si>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</si>
  <si>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</si>
  <si>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</si>
  <si>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</si>
  <si>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</si>
  <si>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</si>
  <si>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</si>
  <si>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</si>
  <si>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</si>
  <si>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</si>
  <si>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</si>
  <si>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</si>
  <si>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</si>
  <si>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</si>
  <si>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</si>
  <si>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</si>
  <si>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</si>
  <si>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</si>
  <si>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</si>
  <si>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</si>
  <si>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</si>
  <si>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</si>
  <si>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</si>
  <si>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</si>
  <si>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</si>
  <si>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</si>
  <si>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</si>
  <si>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</si>
  <si>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</si>
  <si>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</si>
  <si>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</si>
  <si>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</si>
  <si>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</si>
  <si>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</si>
  <si>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</si>
  <si>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</si>
  <si>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</si>
  <si>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</si>
  <si>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</si>
  <si>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</si>
  <si>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</si>
  <si>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</si>
  <si>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</si>
  <si>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</si>
  <si>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</si>
  <si>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</si>
  <si>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</si>
  <si>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</si>
  <si>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</si>
  <si>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</si>
  <si>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</si>
  <si>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</si>
  <si>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</si>
  <si>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</si>
  <si>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</si>
  <si>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</si>
  <si>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</si>
  <si>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</si>
  <si>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</si>
  <si>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</si>
  <si>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</si>
  <si>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</si>
  <si>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</si>
  <si>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</si>
  <si>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</si>
  <si>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</si>
  <si>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</si>
  <si>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</si>
  <si>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</si>
  <si>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</si>
  <si>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</si>
  <si>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</si>
  <si>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</si>
  <si>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</si>
  <si>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</si>
  <si>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</si>
  <si>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</si>
  <si>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</si>
  <si>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</si>
  <si>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</si>
  <si>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</si>
  <si>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</si>
  <si>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</si>
  <si>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</si>
  <si>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</si>
  <si>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</si>
  <si>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</si>
  <si>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</si>
  <si>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</si>
  <si>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</si>
  <si>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</si>
  <si>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</si>
  <si>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</si>
  <si>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</si>
  <si>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</si>
  <si>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</si>
  <si>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</si>
  <si>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</si>
  <si>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</si>
  <si>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</si>
  <si>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</si>
  <si>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</si>
  <si>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</si>
  <si>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</si>
  <si>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</si>
  <si>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</si>
  <si>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</si>
  <si>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</si>
  <si>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</si>
  <si>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</si>
  <si>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</si>
  <si>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</si>
  <si>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</si>
  <si>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</si>
  <si>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</si>
  <si>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</si>
  <si>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</si>
  <si>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</si>
  <si>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</si>
  <si>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</si>
  <si>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</si>
  <si>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</si>
  <si>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</si>
  <si>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</si>
  <si>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</si>
  <si>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</si>
  <si>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</si>
  <si>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</si>
  <si>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</si>
  <si>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</si>
  <si>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</si>
  <si>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</si>
  <si>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</si>
  <si>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</si>
  <si>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</si>
  <si>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</si>
  <si>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</si>
  <si>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</si>
  <si>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</si>
  <si>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</si>
  <si>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</si>
  <si>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</si>
  <si>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</si>
  <si>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</si>
  <si>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</si>
  <si>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</si>
  <si>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</si>
  <si>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</si>
  <si>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</si>
  <si>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</si>
  <si>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</si>
  <si>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</si>
  <si>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</si>
  <si>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</si>
  <si>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</si>
  <si>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</si>
  <si>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</si>
  <si>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</si>
  <si>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</si>
  <si>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</si>
  <si>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</si>
  <si>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</si>
  <si>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</si>
  <si>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</si>
  <si>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</si>
  <si>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</si>
  <si>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</si>
  <si>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</si>
  <si>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</si>
  <si>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</si>
  <si>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</si>
  <si>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</si>
  <si>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</si>
  <si>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</si>
  <si>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</si>
  <si>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</si>
  <si>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</si>
  <si>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</si>
  <si>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</si>
  <si>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</si>
  <si>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</si>
  <si>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</si>
  <si>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</si>
  <si>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</si>
  <si>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</si>
  <si>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</si>
  <si>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</si>
  <si>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</si>
  <si>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</si>
  <si>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</si>
  <si>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</si>
  <si>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</si>
  <si>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</si>
  <si>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</si>
  <si>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</si>
  <si>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</si>
  <si>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</si>
  <si>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</si>
  <si>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</si>
  <si>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</si>
  <si>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</si>
  <si>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</si>
  <si>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</si>
  <si>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</si>
  <si>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</si>
  <si>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</si>
  <si>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</si>
  <si>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</si>
  <si>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</si>
  <si>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</si>
  <si>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</si>
  <si>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</si>
  <si>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</si>
  <si>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</si>
  <si>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</si>
  <si>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</si>
  <si>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</si>
  <si>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</si>
  <si>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</si>
  <si>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</si>
  <si>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</si>
  <si>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</si>
  <si>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</si>
  <si>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</si>
  <si>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</si>
  <si>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</si>
  <si>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</si>
  <si>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</si>
  <si>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</si>
  <si>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</si>
  <si>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</si>
  <si>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</si>
  <si>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</si>
  <si>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</si>
  <si>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</si>
  <si>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</si>
  <si>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</si>
  <si>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rc4 - patch precedence=0</t>
  </si>
  <si>
    <t>TMC2v8.0 rc5 : quantizationstep(2,2)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</si>
</sst>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TMC2v8.0 rc4 - patch precedence=0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rc5 : quantizationstep(2,2)</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TMC2v8.0 rc4 - patch precedence=0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rc5 : quantizationstep(2,2)</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TMC2v8.0 rc4 - patch precedence=0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rc5 : quantizationstep(2,2)</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TMC2v8.0 rc4 - patch precedence=0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rc5 : quantizationstep(2,2)</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TMC2v8.0 rc4 - patch precedence=0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rc5 : quantizationstep(2,2)</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TMC2v8.0 rc4 - patch precedence=0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rc5 : quantizationstep(2,2)</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cols>
    <col min="2" max="2" width="16.6640625" style="53" customWidth="1"/>
    <col min="3" max="12" width="24.6640625" style="53" customWidth="1"/>
  </cols>
  <sheetData>
    <row r="1" spans="2:12">
      <c r="B1" t="s">
        <v>0</v>
      </c>
      <c r="C1" s="70" t="s">
        <v>1</v>
      </c>
      <c r="D1" s="62"/>
      <c r="E1" s="62"/>
    </row>
    <row r="2" spans="2:12">
      <c r="B2" t="s">
        <v>2</v>
      </c>
      <c r="C2" s="71" t="s">
        <v>3</v>
      </c>
      <c r="D2" s="62"/>
      <c r="E2" s="62"/>
    </row>
    <row r="4" spans="2:12" s="1" customFormat="1">
      <c r="B4" s="1" t="s">
        <v>4</v>
      </c>
    </row>
    <row r="6" spans="2:12">
      <c r="B6" s="65" t="s">
        <v>5</v>
      </c>
      <c r="C6" s="66" t="s">
        <v>6</v>
      </c>
      <c r="D6" s="67"/>
      <c r="E6" s="67"/>
      <c r="F6" s="67"/>
      <c r="G6" s="67"/>
      <c r="H6" s="67"/>
      <c r="I6" s="67"/>
      <c r="J6" s="67"/>
      <c r="K6" s="67"/>
      <c r="L6" s="67"/>
    </row>
    <row r="7" spans="2:12">
      <c r="B7" s="62"/>
      <c r="C7" s="68" t="s">
        <v>7</v>
      </c>
      <c r="D7" s="62"/>
      <c r="E7" s="69" t="s">
        <v>8</v>
      </c>
      <c r="F7" s="62"/>
      <c r="G7" s="62"/>
      <c r="H7" s="68" t="s">
        <v>9</v>
      </c>
      <c r="I7" s="62"/>
      <c r="J7" s="69" t="s">
        <v>10</v>
      </c>
      <c r="K7" s="62"/>
      <c r="L7" s="62"/>
    </row>
    <row r="8" spans="2:12" ht="16">
      <c r="B8" s="64"/>
      <c r="C8" s="2" t="s">
        <v>11</v>
      </c>
      <c r="D8" s="2" t="s">
        <v>12</v>
      </c>
      <c r="E8" s="3" t="s">
        <v>13</v>
      </c>
      <c r="F8" s="3" t="s">
        <v>14</v>
      </c>
      <c r="G8" s="3" t="s">
        <v>15</v>
      </c>
      <c r="H8" s="2" t="s">
        <v>11</v>
      </c>
      <c r="I8" s="2" t="s">
        <v>12</v>
      </c>
      <c r="J8" s="3" t="s">
        <v>13</v>
      </c>
      <c r="K8" s="3" t="s">
        <v>14</v>
      </c>
      <c r="L8" s="3" t="s">
        <v>15</v>
      </c>
    </row>
    <row r="9" spans="2:12">
      <c r="B9" t="s">
        <v>16</v>
      </c>
      <c r="C9" s="51">
        <f>'C2 lossyG,lossyA,intra'!$BJ$40:$BJ$40</f>
        <v>3.7495933183362418E-7</v>
      </c>
      <c r="D9" s="51">
        <f>'C2 lossyG,lossyA,intra'!$BK$40:$BK$40</f>
        <v>3.309777891202792E-7</v>
      </c>
      <c r="E9" s="51">
        <f>'C2 lossyG,lossyA,intra'!$BL$40:$BL$40</f>
        <v>0</v>
      </c>
      <c r="F9" s="51">
        <f>'C2 lossyG,lossyA,intra'!$BM$40:$BM$40</f>
        <v>0</v>
      </c>
      <c r="G9" s="51">
        <f>'C2 lossyG,lossyA,intra'!$BN$40:$BN$40</f>
        <v>0</v>
      </c>
      <c r="H9" s="51">
        <f>'C2 lossyG,lossyA,intra'!$BP$40:$BP$40</f>
        <v>1.447795198172841E-7</v>
      </c>
      <c r="I9" s="51">
        <f>'C2 lossyG,lossyA,intra'!$BQ$40:$BQ$40</f>
        <v>1.3220528163881973E-7</v>
      </c>
      <c r="J9" s="51">
        <f>'C2 lossyG,lossyA,intra'!$BR$40:$BR$40</f>
        <v>1.2553689882066621E-7</v>
      </c>
      <c r="K9" s="51">
        <f>'C2 lossyG,lossyA,intra'!$BS$40:$BS$40</f>
        <v>9.1710507327258384E-8</v>
      </c>
      <c r="L9" s="51">
        <f>'C2 lossyG,lossyA,intra'!$BT$40:$BT$40</f>
        <v>1.0567898373059492E-7</v>
      </c>
    </row>
    <row r="10" spans="2:12">
      <c r="B10" t="s">
        <v>17</v>
      </c>
      <c r="C10" s="51">
        <f>'C2 lossyG,lossyA,intra'!$BJ$41:$BJ$41</f>
        <v>7.2918213023243084E-8</v>
      </c>
      <c r="D10" s="51">
        <f>'C2 lossyG,lossyA,intra'!$BK$41:$BK$41</f>
        <v>1.511658114239367E-7</v>
      </c>
      <c r="E10" s="51">
        <f>'C2 lossyG,lossyA,intra'!$BL$41:$BL$41</f>
        <v>0</v>
      </c>
      <c r="F10" s="51">
        <f>'C2 lossyG,lossyA,intra'!$BM$41:$BM$41</f>
        <v>0</v>
      </c>
      <c r="G10" s="51">
        <f>'C2 lossyG,lossyA,intra'!$BN$41:$BN$41</f>
        <v>0</v>
      </c>
      <c r="H10" s="51">
        <f>'C2 lossyG,lossyA,intra'!$BP$41:$BP$41</f>
        <v>8.3662385907956605E-9</v>
      </c>
      <c r="I10" s="51">
        <f>'C2 lossyG,lossyA,intra'!$BQ$41:$BQ$41</f>
        <v>1.8912661214898208E-8</v>
      </c>
      <c r="J10" s="51">
        <f>'C2 lossyG,lossyA,intra'!$BR$41:$BR$41</f>
        <v>1.5336409919797234E-8</v>
      </c>
      <c r="K10" s="51">
        <f>'C2 lossyG,lossyA,intra'!$BS$41:$BS$41</f>
        <v>2.1217573697995817E-8</v>
      </c>
      <c r="L10" s="51">
        <f>'C2 lossyG,lossyA,intra'!$BT$41:$BT$41</f>
        <v>1.9053973510096966E-8</v>
      </c>
    </row>
    <row r="11" spans="2:12">
      <c r="B11" t="s">
        <v>18</v>
      </c>
      <c r="C11" s="51">
        <f>'C2 lossyG,lossyA,intra'!$BJ$42:$BJ$42</f>
        <v>9.1733240712288389E-3</v>
      </c>
      <c r="D11" s="51">
        <f>'C2 lossyG,lossyA,intra'!$BK$42:$BK$42</f>
        <v>-4.5205031070015833E-3</v>
      </c>
      <c r="E11" s="51">
        <f>'C2 lossyG,lossyA,intra'!$BL$42:$BL$42</f>
        <v>6.0805669753982716E-4</v>
      </c>
      <c r="F11" s="51">
        <f>'C2 lossyG,lossyA,intra'!$BM$42:$BM$42</f>
        <v>1.0470822775616728E-3</v>
      </c>
      <c r="G11" s="51">
        <f>'C2 lossyG,lossyA,intra'!$BN$42:$BN$42</f>
        <v>1.0460303958816919E-3</v>
      </c>
      <c r="H11" s="51">
        <f>'C2 lossyG,lossyA,intra'!$BP$42:$BP$42</f>
        <v>5.9033923221037954E-3</v>
      </c>
      <c r="I11" s="51">
        <f>'C2 lossyG,lossyA,intra'!$BQ$42:$BQ$42</f>
        <v>-1.5146789802662486E-2</v>
      </c>
      <c r="J11" s="51">
        <f>'C2 lossyG,lossyA,intra'!$BR$42:$BR$42</f>
        <v>2.6012695884103376E-3</v>
      </c>
      <c r="K11" s="51">
        <f>'C2 lossyG,lossyA,intra'!$BS$42:$BS$42</f>
        <v>1.5492052822417834E-3</v>
      </c>
      <c r="L11" s="51">
        <f>'C2 lossyG,lossyA,intra'!$BT$42:$BT$42</f>
        <v>2.6042076040972972E-3</v>
      </c>
    </row>
    <row r="12" spans="2:12">
      <c r="B12" s="4" t="s">
        <v>19</v>
      </c>
      <c r="C12" s="5">
        <f>'C2 lossyG,lossyA,intra'!$BJ$43:$BJ$43</f>
        <v>2.6211744139997195E-3</v>
      </c>
      <c r="D12" s="5">
        <f>'C2 lossyG,lossyA,intra'!$BK$43:$BK$43</f>
        <v>-1.2913615910050374E-3</v>
      </c>
      <c r="E12" s="5">
        <f>'C2 lossyG,lossyA,intra'!$BL$43:$BL$43</f>
        <v>1.7373048501137918E-4</v>
      </c>
      <c r="F12" s="5">
        <f>'C2 lossyG,lossyA,intra'!$BM$43:$BM$43</f>
        <v>2.991663650176208E-4</v>
      </c>
      <c r="G12" s="5">
        <f>'C2 lossyG,lossyA,intra'!$BN$43:$BN$43</f>
        <v>2.9886582739476912E-4</v>
      </c>
      <c r="H12" s="5">
        <f>'C2 lossyG,lossyA,intra'!$BP$43:$BP$43</f>
        <v>1.6867674469322072E-3</v>
      </c>
      <c r="I12" s="5">
        <f>'C2 lossyG,lossyA,intra'!$BQ$43:$BQ$43</f>
        <v>-4.3275759816481718E-3</v>
      </c>
      <c r="J12" s="5">
        <f>'C2 lossyG,lossyA,intra'!$BR$43:$BR$43</f>
        <v>7.4329380868941113E-4</v>
      </c>
      <c r="K12" s="5">
        <f>'C2 lossyG,lossyA,intra'!$BS$43:$BS$43</f>
        <v>4.4268551772665344E-4</v>
      </c>
      <c r="L12" s="5">
        <f>'C2 lossyG,lossyA,intra'!$BT$43:$BT$43</f>
        <v>7.4412242544328959E-4</v>
      </c>
    </row>
    <row r="13" spans="2:12">
      <c r="B13" t="s">
        <v>20</v>
      </c>
      <c r="C13" s="61">
        <f>'C2 lossyG,lossyA,intra'!AZ47</f>
        <v>0.94042575989889399</v>
      </c>
      <c r="D13" s="62"/>
      <c r="E13" s="62"/>
      <c r="F13" s="62"/>
      <c r="G13" s="62"/>
      <c r="H13" s="62"/>
      <c r="I13" s="62"/>
      <c r="J13" s="62"/>
      <c r="K13" s="62"/>
      <c r="L13" s="62"/>
    </row>
    <row r="14" spans="2:12">
      <c r="B14" s="54" t="s">
        <v>21</v>
      </c>
      <c r="C14" s="63">
        <f>'C2 lossyG,lossyA,intra'!BB47</f>
        <v>0.93218966213513521</v>
      </c>
      <c r="D14" s="64"/>
      <c r="E14" s="64"/>
      <c r="F14" s="64"/>
      <c r="G14" s="64"/>
      <c r="H14" s="64"/>
      <c r="I14" s="64"/>
      <c r="J14" s="64"/>
      <c r="K14" s="64"/>
      <c r="L14" s="64"/>
    </row>
    <row r="16" spans="2:12">
      <c r="B16" s="65" t="s">
        <v>22</v>
      </c>
      <c r="C16" s="66" t="s">
        <v>23</v>
      </c>
      <c r="D16" s="67"/>
      <c r="E16" s="67"/>
    </row>
    <row r="17" spans="2:5">
      <c r="B17" s="62"/>
      <c r="C17" s="68" t="s">
        <v>24</v>
      </c>
      <c r="D17" s="62"/>
      <c r="E17" s="62"/>
    </row>
    <row r="18" spans="2:5" ht="16">
      <c r="B18" s="64"/>
      <c r="C18" s="2" t="s">
        <v>25</v>
      </c>
      <c r="D18" s="2" t="s">
        <v>26</v>
      </c>
      <c r="E18" s="2" t="s">
        <v>27</v>
      </c>
    </row>
    <row r="19" spans="2:5">
      <c r="B19" t="s">
        <v>16</v>
      </c>
      <c r="C19" s="51">
        <f>'CW losslG,losslA,intra'!BC12</f>
        <v>0.99933196444008188</v>
      </c>
      <c r="D19" s="51">
        <f>'CW losslG,losslA,intra'!BE12</f>
        <v>1</v>
      </c>
      <c r="E19" s="51">
        <f>'CW losslG,losslA,intra'!BB12</f>
        <v>0.99989983288954176</v>
      </c>
    </row>
    <row r="20" spans="2:5">
      <c r="B20" t="s">
        <v>17</v>
      </c>
      <c r="C20" s="51">
        <f>'CW losslG,losslA,intra'!BC13</f>
        <v>0.99943689022257842</v>
      </c>
      <c r="D20" s="51">
        <f>'CW losslG,losslA,intra'!BE13</f>
        <v>1</v>
      </c>
      <c r="E20" s="51">
        <f>'CW losslG,losslA,intra'!BB13</f>
        <v>0.99994390933504917</v>
      </c>
    </row>
    <row r="21" spans="2:5">
      <c r="B21" t="s">
        <v>18</v>
      </c>
      <c r="C21" s="51">
        <f>'CW losslG,losslA,intra'!BC14</f>
        <v>0.99973796689118832</v>
      </c>
      <c r="D21" s="51">
        <f>'CW losslG,losslA,intra'!BE14</f>
        <v>1</v>
      </c>
      <c r="E21" s="51">
        <f>'CW losslG,losslA,intra'!BB14</f>
        <v>0.99996973997964711</v>
      </c>
    </row>
    <row r="22" spans="2:5">
      <c r="B22" s="4" t="s">
        <v>19</v>
      </c>
      <c r="C22" s="5">
        <f>'CW losslG,losslA,intra'!BC15</f>
        <v>0.99951118958660645</v>
      </c>
      <c r="D22" s="5">
        <f>'CW losslG,losslA,intra'!BE15</f>
        <v>1</v>
      </c>
      <c r="E22" s="5">
        <f>'CW losslG,losslA,intra'!BB15</f>
        <v>0.9999378194076749</v>
      </c>
    </row>
    <row r="23" spans="2:5">
      <c r="B23" t="s">
        <v>20</v>
      </c>
      <c r="C23" s="61">
        <f>'CW losslG,losslA,intra'!AW19</f>
        <v>1.0105846924587463</v>
      </c>
      <c r="D23" s="62"/>
      <c r="E23" s="62"/>
    </row>
    <row r="24" spans="2:5">
      <c r="B24" s="54" t="s">
        <v>21</v>
      </c>
      <c r="C24" s="63">
        <f>'CW losslG,losslA,intra'!AY19</f>
        <v>0.98987766038150427</v>
      </c>
      <c r="D24" s="64"/>
      <c r="E24" s="64"/>
    </row>
    <row r="26" spans="2:5" s="1" customFormat="1">
      <c r="B26" s="1" t="s">
        <v>28</v>
      </c>
    </row>
    <row r="28" spans="2:5">
      <c r="B28" s="65" t="s">
        <v>29</v>
      </c>
      <c r="C28" s="66" t="s">
        <v>30</v>
      </c>
      <c r="D28" s="67"/>
      <c r="E28" s="67"/>
    </row>
    <row r="29" spans="2:5">
      <c r="B29" s="62"/>
      <c r="C29" s="68" t="s">
        <v>24</v>
      </c>
      <c r="D29" s="62"/>
      <c r="E29" s="62"/>
    </row>
    <row r="30" spans="2:5" ht="16">
      <c r="B30" s="64"/>
      <c r="C30" s="2" t="s">
        <v>25</v>
      </c>
      <c r="D30" s="2" t="s">
        <v>26</v>
      </c>
      <c r="E30" s="2" t="s">
        <v>27</v>
      </c>
    </row>
    <row r="31" spans="2:5">
      <c r="B31" t="s">
        <v>16</v>
      </c>
      <c r="C31" s="51">
        <f>'CW losslG,losslA,interLD'!BC12</f>
        <v>0.99925405727349204</v>
      </c>
      <c r="D31" s="51">
        <f>'CW losslG,losslA,interLD'!BE12</f>
        <v>1</v>
      </c>
      <c r="E31" s="51">
        <f>'CW losslG,losslA,interLD'!BB12</f>
        <v>0.99989543827066096</v>
      </c>
    </row>
    <row r="32" spans="2:5">
      <c r="B32" t="s">
        <v>17</v>
      </c>
      <c r="C32" s="51">
        <f>'CW losslG,losslA,interLD'!BC13</f>
        <v>0.99939578181757061</v>
      </c>
      <c r="D32" s="51">
        <f>'CW losslG,losslA,interLD'!BE13</f>
        <v>1</v>
      </c>
      <c r="E32" s="51">
        <f>'CW losslG,losslA,interLD'!BB13</f>
        <v>0.99993943069435165</v>
      </c>
    </row>
    <row r="33" spans="2:12">
      <c r="B33" t="s">
        <v>18</v>
      </c>
      <c r="C33" s="51" t="e">
        <f>'CW losslG,losslA,interLD'!BC14</f>
        <v>#DIV/0!</v>
      </c>
      <c r="D33" s="51" t="e">
        <f>'CW losslG,losslA,interLD'!BE14</f>
        <v>#DIV/0!</v>
      </c>
      <c r="E33" s="51" t="e">
        <f>'CW losslG,losslA,interLD'!BB14</f>
        <v>#DIV/0!</v>
      </c>
    </row>
    <row r="34" spans="2:12">
      <c r="B34" s="4" t="s">
        <v>19</v>
      </c>
      <c r="C34" s="5">
        <f>'CW losslG,losslA,interLD'!BC15</f>
        <v>0.79319990185323741</v>
      </c>
      <c r="D34" s="5">
        <f>'CW losslG,losslA,interLD'!BE15</f>
        <v>0.747849009320672</v>
      </c>
      <c r="E34" s="5">
        <f>'CW losslG,losslA,interLD'!BB15</f>
        <v>0.75346734763285494</v>
      </c>
    </row>
    <row r="35" spans="2:12">
      <c r="B35" t="s">
        <v>20</v>
      </c>
      <c r="C35" s="61">
        <f>'CW losslG,losslA,interLD'!AW19</f>
        <v>1.0239506512196195</v>
      </c>
      <c r="D35" s="62"/>
      <c r="E35" s="62"/>
    </row>
    <row r="36" spans="2:12">
      <c r="B36" s="54" t="s">
        <v>21</v>
      </c>
      <c r="C36" s="63">
        <f>'CW losslG,losslA,interLD'!AY19</f>
        <v>0.68989038328079733</v>
      </c>
      <c r="D36" s="64"/>
      <c r="E36" s="64"/>
    </row>
    <row r="38" spans="2:12" s="1" customFormat="1">
      <c r="B38" s="1" t="s">
        <v>31</v>
      </c>
    </row>
    <row r="40" spans="2:12">
      <c r="B40" s="65" t="s">
        <v>32</v>
      </c>
      <c r="C40" s="66" t="s">
        <v>33</v>
      </c>
      <c r="D40" s="67"/>
      <c r="E40" s="67"/>
      <c r="F40" s="67"/>
      <c r="G40" s="67"/>
      <c r="H40" s="67"/>
      <c r="I40" s="67"/>
      <c r="J40" s="67"/>
      <c r="K40" s="67"/>
      <c r="L40" s="67"/>
    </row>
    <row r="41" spans="2:12">
      <c r="B41" s="62"/>
      <c r="C41" s="68" t="s">
        <v>7</v>
      </c>
      <c r="D41" s="62"/>
      <c r="E41" s="69" t="s">
        <v>8</v>
      </c>
      <c r="F41" s="62"/>
      <c r="G41" s="62"/>
      <c r="H41" s="68" t="s">
        <v>9</v>
      </c>
      <c r="I41" s="62"/>
      <c r="J41" s="69" t="s">
        <v>10</v>
      </c>
      <c r="K41" s="62"/>
      <c r="L41" s="62"/>
    </row>
    <row r="42" spans="2:12" ht="16">
      <c r="B42" s="64"/>
      <c r="C42" s="2" t="s">
        <v>11</v>
      </c>
      <c r="D42" s="2" t="s">
        <v>12</v>
      </c>
      <c r="E42" s="3" t="s">
        <v>13</v>
      </c>
      <c r="F42" s="3" t="s">
        <v>14</v>
      </c>
      <c r="G42" s="3" t="s">
        <v>15</v>
      </c>
      <c r="H42" s="2" t="s">
        <v>11</v>
      </c>
      <c r="I42" s="2" t="s">
        <v>12</v>
      </c>
      <c r="J42" s="3" t="s">
        <v>13</v>
      </c>
      <c r="K42" s="3" t="s">
        <v>14</v>
      </c>
      <c r="L42" s="3" t="s">
        <v>15</v>
      </c>
    </row>
    <row r="43" spans="2:12">
      <c r="B43" t="s">
        <v>16</v>
      </c>
      <c r="C43" s="51">
        <f>'C2 lossyG,lossyA,interRA'!$BJ$40:$BJ$40</f>
        <v>1.0916994587772955E-6</v>
      </c>
      <c r="D43" s="51">
        <f>'C2 lossyG,lossyA,interRA'!$BK$40:$BK$40</f>
        <v>8.7770213125226704E-7</v>
      </c>
      <c r="E43" s="51">
        <f>'C2 lossyG,lossyA,interRA'!$BL$40:$BL$40</f>
        <v>0</v>
      </c>
      <c r="F43" s="51">
        <f>'C2 lossyG,lossyA,interRA'!$BM$40:$BM$40</f>
        <v>0</v>
      </c>
      <c r="G43" s="51">
        <f>'C2 lossyG,lossyA,interRA'!$BN$40:$BN$40</f>
        <v>0</v>
      </c>
      <c r="H43" s="51">
        <f>'C2 lossyG,lossyA,interRA'!$BP$40:$BP$40</f>
        <v>8.3637367331856893E-7</v>
      </c>
      <c r="I43" s="51">
        <f>'C2 lossyG,lossyA,interRA'!$BQ$40:$BQ$40</f>
        <v>6.9110361788915498E-7</v>
      </c>
      <c r="J43" s="51">
        <f>'C2 lossyG,lossyA,interRA'!$BR$40:$BR$40</f>
        <v>5.6681646415368547E-7</v>
      </c>
      <c r="K43" s="51">
        <f>'C2 lossyG,lossyA,interRA'!$BS$40:$BS$40</f>
        <v>4.9099119614481879E-7</v>
      </c>
      <c r="L43" s="51">
        <f>'C2 lossyG,lossyA,interRA'!$BT$40:$BT$40</f>
        <v>5.6829945382919078E-7</v>
      </c>
    </row>
    <row r="44" spans="2:12">
      <c r="B44" t="s">
        <v>17</v>
      </c>
      <c r="C44" s="51">
        <f>'C2 lossyG,lossyA,interRA'!$BJ$41:$BJ$41</f>
        <v>0</v>
      </c>
      <c r="D44" s="51">
        <f>'C2 lossyG,lossyA,interRA'!$BK$41:$BK$41</f>
        <v>0</v>
      </c>
      <c r="E44" s="51">
        <f>'C2 lossyG,lossyA,interRA'!$BL$41:$BL$41</f>
        <v>0</v>
      </c>
      <c r="F44" s="51">
        <f>'C2 lossyG,lossyA,interRA'!$BM$41:$BM$41</f>
        <v>0</v>
      </c>
      <c r="G44" s="51">
        <f>'C2 lossyG,lossyA,interRA'!$BN$41:$BN$41</f>
        <v>0</v>
      </c>
      <c r="H44" s="51">
        <f>'C2 lossyG,lossyA,interRA'!$BP$41:$BP$41</f>
        <v>0</v>
      </c>
      <c r="I44" s="51">
        <f>'C2 lossyG,lossyA,interRA'!$BQ$41:$BQ$41</f>
        <v>0</v>
      </c>
      <c r="J44" s="51">
        <f>'C2 lossyG,lossyA,interRA'!$BR$41:$BR$41</f>
        <v>0</v>
      </c>
      <c r="K44" s="51">
        <f>'C2 lossyG,lossyA,interRA'!$BS$41:$BS$41</f>
        <v>0</v>
      </c>
      <c r="L44" s="51">
        <f>'C2 lossyG,lossyA,interRA'!$BT$41:$BT$41</f>
        <v>0</v>
      </c>
    </row>
    <row r="45" spans="2:12">
      <c r="B45" t="s">
        <v>18</v>
      </c>
      <c r="C45" s="51">
        <f>'C2 lossyG,lossyA,interRA'!$BJ$42:$BJ$42</f>
        <v>-9.821611823834786E-7</v>
      </c>
      <c r="D45" s="51">
        <f>'C2 lossyG,lossyA,interRA'!$BK$42:$BK$42</f>
        <v>-8.6889555889202441E-7</v>
      </c>
      <c r="E45" s="51">
        <f>'C2 lossyG,lossyA,interRA'!$BL$42:$BL$42</f>
        <v>0</v>
      </c>
      <c r="F45" s="51">
        <f>'C2 lossyG,lossyA,interRA'!$BM$42:$BM$42</f>
        <v>0</v>
      </c>
      <c r="G45" s="51">
        <f>'C2 lossyG,lossyA,interRA'!$BN$42:$BN$42</f>
        <v>0</v>
      </c>
      <c r="H45" s="51">
        <f>'C2 lossyG,lossyA,interRA'!$BP$42:$BP$42</f>
        <v>-7.0289364773046259E-7</v>
      </c>
      <c r="I45" s="51">
        <f>'C2 lossyG,lossyA,interRA'!$BQ$42:$BQ$42</f>
        <v>-6.2820412771724676E-7</v>
      </c>
      <c r="J45" s="51">
        <f>'C2 lossyG,lossyA,interRA'!$BR$42:$BR$42</f>
        <v>-5.9414291903037153E-7</v>
      </c>
      <c r="K45" s="51">
        <f>'C2 lossyG,lossyA,interRA'!$BS$42:$BS$42</f>
        <v>-5.3923673026812224E-7</v>
      </c>
      <c r="L45" s="51">
        <f>'C2 lossyG,lossyA,interRA'!$BT$42:$BT$42</f>
        <v>-5.5152020628224108E-7</v>
      </c>
    </row>
    <row r="46" spans="2:12">
      <c r="B46" s="4" t="s">
        <v>19</v>
      </c>
      <c r="C46" s="5">
        <f>'C2 lossyG,lossyA,interRA'!$BJ$43:$BJ$43</f>
        <v>3.4321078147746066E-7</v>
      </c>
      <c r="D46" s="5">
        <f>'C2 lossyG,lossyA,interRA'!$BK$43:$BK$43</f>
        <v>2.5328820103214564E-7</v>
      </c>
      <c r="E46" s="5">
        <f>'C2 lossyG,lossyA,interRA'!$BL$43:$BL$43</f>
        <v>0</v>
      </c>
      <c r="F46" s="5">
        <f>'C2 lossyG,lossyA,interRA'!$BM$43:$BM$43</f>
        <v>0</v>
      </c>
      <c r="G46" s="5">
        <f>'C2 lossyG,lossyA,interRA'!$BN$43:$BN$43</f>
        <v>0</v>
      </c>
      <c r="H46" s="5">
        <f>'C2 lossyG,lossyA,interRA'!$BP$43:$BP$43</f>
        <v>2.7710105683047867E-7</v>
      </c>
      <c r="I46" s="5">
        <f>'C2 lossyG,lossyA,interRA'!$BQ$43:$BQ$43</f>
        <v>2.1542945944601805E-7</v>
      </c>
      <c r="J46" s="5">
        <f>'C2 lossyG,lossyA,interRA'!$BR$43:$BR$43</f>
        <v>1.5414000265057126E-7</v>
      </c>
      <c r="K46" s="5">
        <f>'C2 lossyG,lossyA,interRA'!$BS$43:$BS$43</f>
        <v>1.2649876057757581E-7</v>
      </c>
      <c r="L46" s="5">
        <f>'C2 lossyG,lossyA,interRA'!$BT$43:$BT$43</f>
        <v>1.6716534325032585E-7</v>
      </c>
    </row>
    <row r="47" spans="2:12">
      <c r="B47" t="s">
        <v>20</v>
      </c>
      <c r="C47" s="61">
        <f>'C2 lossyG,lossyA,interRA'!AZ47</f>
        <v>0.92722622709943747</v>
      </c>
      <c r="D47" s="62"/>
      <c r="E47" s="62"/>
      <c r="F47" s="62"/>
      <c r="G47" s="62"/>
      <c r="H47" s="62"/>
      <c r="I47" s="62"/>
      <c r="J47" s="62"/>
      <c r="K47" s="62"/>
      <c r="L47" s="62"/>
    </row>
    <row r="48" spans="2:12">
      <c r="B48" s="54" t="s">
        <v>21</v>
      </c>
      <c r="C48" s="63">
        <f>'C2 lossyG,lossyA,interRA'!BB47</f>
        <v>0.97286371361897028</v>
      </c>
      <c r="D48" s="64"/>
      <c r="E48" s="64"/>
      <c r="F48" s="64"/>
      <c r="G48" s="64"/>
      <c r="H48" s="64"/>
      <c r="I48" s="64"/>
      <c r="J48" s="64"/>
      <c r="K48" s="64"/>
      <c r="L48" s="64"/>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cols>
    <col min="1" max="1" width="12.6640625" style="53" customWidth="1"/>
    <col min="2" max="2" width="24.6640625" style="53" customWidth="1"/>
    <col min="4" max="4" width="24.6640625" style="53" customWidth="1"/>
    <col min="9" max="9" width="16.6640625" style="53" customWidth="1"/>
  </cols>
  <sheetData>
    <row r="1" spans="1:16">
      <c r="A1" t="s">
        <v>34</v>
      </c>
      <c r="B1" s="6" t="str">
        <f>M1</f>
        <v>C2 lossyG,lossyA,intra</v>
      </c>
      <c r="C1" t="s">
        <v>35</v>
      </c>
      <c r="I1" t="s">
        <v>36</v>
      </c>
      <c r="M1" t="s">
        <v>37</v>
      </c>
      <c r="N1" t="s">
        <v>38</v>
      </c>
      <c r="O1" t="s">
        <v>39</v>
      </c>
      <c r="P1" t="s">
        <v>40</v>
      </c>
    </row>
    <row r="2" spans="1:16">
      <c r="A2" t="s">
        <v>41</v>
      </c>
      <c r="B2" s="6" t="str">
        <f>HLOOKUP(B1,M1:ZZ3,3,0)</f>
        <v>8ivfbv2_loot_vox10</v>
      </c>
      <c r="C2" t="s">
        <v>42</v>
      </c>
      <c r="I2" t="s">
        <v>43</v>
      </c>
      <c r="J2" t="s">
        <v>44</v>
      </c>
      <c r="M2" t="s">
        <v>45</v>
      </c>
      <c r="N2" t="s">
        <v>46</v>
      </c>
      <c r="O2" t="s">
        <v>47</v>
      </c>
      <c r="P2" t="s">
        <v>48</v>
      </c>
    </row>
    <row r="3" spans="1:16">
      <c r="I3" t="s">
        <v>49</v>
      </c>
      <c r="J3" t="s">
        <v>50</v>
      </c>
      <c r="M3" t="s">
        <v>51</v>
      </c>
      <c r="N3" t="s">
        <v>51</v>
      </c>
      <c r="O3" t="s">
        <v>51</v>
      </c>
      <c r="P3" t="s">
        <v>51</v>
      </c>
    </row>
    <row r="4" spans="1:16">
      <c r="A4" t="s">
        <v>52</v>
      </c>
      <c r="B4" s="6" t="s">
        <v>53</v>
      </c>
      <c r="C4" t="s">
        <v>54</v>
      </c>
      <c r="D4" s="6" t="s">
        <v>55</v>
      </c>
      <c r="E4" t="s">
        <v>56</v>
      </c>
      <c r="I4" t="s">
        <v>57</v>
      </c>
      <c r="J4" t="s">
        <v>58</v>
      </c>
      <c r="M4" t="s">
        <v>59</v>
      </c>
      <c r="N4" t="s">
        <v>59</v>
      </c>
      <c r="O4" t="s">
        <v>59</v>
      </c>
      <c r="P4" t="s">
        <v>59</v>
      </c>
    </row>
    <row r="5" spans="1:16">
      <c r="A5" t="s">
        <v>52</v>
      </c>
      <c r="B5" s="6" t="s">
        <v>53</v>
      </c>
      <c r="C5" t="s">
        <v>54</v>
      </c>
      <c r="D5" s="6" t="s">
        <v>60</v>
      </c>
      <c r="E5" t="s">
        <v>61</v>
      </c>
      <c r="I5" t="s">
        <v>62</v>
      </c>
      <c r="J5" t="s">
        <v>63</v>
      </c>
      <c r="M5" t="s">
        <v>64</v>
      </c>
      <c r="N5" t="s">
        <v>64</v>
      </c>
      <c r="O5" t="s">
        <v>64</v>
      </c>
      <c r="P5" t="s">
        <v>64</v>
      </c>
    </row>
    <row r="6" spans="1:16">
      <c r="A6" t="s">
        <v>52</v>
      </c>
      <c r="B6" s="6" t="s">
        <v>65</v>
      </c>
      <c r="C6" t="s">
        <v>54</v>
      </c>
      <c r="D6" s="6" t="s">
        <v>66</v>
      </c>
      <c r="E6" t="s">
        <v>67</v>
      </c>
      <c r="I6" t="s">
        <v>68</v>
      </c>
      <c r="J6" t="s">
        <v>69</v>
      </c>
      <c r="M6" t="s">
        <v>70</v>
      </c>
      <c r="N6" t="s">
        <v>70</v>
      </c>
      <c r="O6" t="s">
        <v>70</v>
      </c>
      <c r="P6" t="s">
        <v>70</v>
      </c>
    </row>
    <row r="7" spans="1:16">
      <c r="A7" t="s">
        <v>52</v>
      </c>
      <c r="B7" s="6" t="s">
        <v>65</v>
      </c>
      <c r="C7" t="s">
        <v>54</v>
      </c>
      <c r="D7" s="6" t="s">
        <v>49</v>
      </c>
      <c r="E7" t="s">
        <v>71</v>
      </c>
      <c r="I7" t="s">
        <v>55</v>
      </c>
      <c r="J7" t="s">
        <v>72</v>
      </c>
      <c r="M7" t="s">
        <v>73</v>
      </c>
      <c r="N7" t="s">
        <v>73</v>
      </c>
      <c r="O7" t="s">
        <v>73</v>
      </c>
      <c r="P7" t="s">
        <v>73</v>
      </c>
    </row>
    <row r="8" spans="1:16">
      <c r="A8" t="s">
        <v>52</v>
      </c>
      <c r="B8" s="6" t="s">
        <v>65</v>
      </c>
      <c r="C8" t="s">
        <v>54</v>
      </c>
      <c r="D8" s="6" t="s">
        <v>62</v>
      </c>
      <c r="E8" t="s">
        <v>74</v>
      </c>
      <c r="I8" t="s">
        <v>75</v>
      </c>
      <c r="J8" t="s">
        <v>76</v>
      </c>
      <c r="M8" t="s">
        <v>77</v>
      </c>
      <c r="N8" t="s">
        <v>77</v>
      </c>
      <c r="O8" t="s">
        <v>77</v>
      </c>
      <c r="P8" t="s">
        <v>77</v>
      </c>
    </row>
    <row r="9" spans="1:16">
      <c r="A9" t="s">
        <v>52</v>
      </c>
      <c r="B9" s="6" t="s">
        <v>78</v>
      </c>
      <c r="C9" t="s">
        <v>54</v>
      </c>
      <c r="D9" s="6" t="s">
        <v>79</v>
      </c>
      <c r="E9" t="s">
        <v>80</v>
      </c>
      <c r="I9" t="s">
        <v>60</v>
      </c>
      <c r="J9" t="s">
        <v>81</v>
      </c>
      <c r="M9" t="s">
        <v>82</v>
      </c>
      <c r="N9" t="s">
        <v>82</v>
      </c>
      <c r="O9" t="s">
        <v>82</v>
      </c>
      <c r="P9" t="s">
        <v>82</v>
      </c>
    </row>
    <row r="10" spans="1:16">
      <c r="I10" t="s">
        <v>83</v>
      </c>
      <c r="J10" t="s">
        <v>84</v>
      </c>
    </row>
    <row r="11" spans="1:16">
      <c r="I11" t="s">
        <v>85</v>
      </c>
      <c r="J11" t="s">
        <v>86</v>
      </c>
    </row>
    <row r="12" spans="1:16">
      <c r="I12" t="s">
        <v>87</v>
      </c>
      <c r="J12" t="s">
        <v>88</v>
      </c>
    </row>
    <row r="13" spans="1:16">
      <c r="I13" t="s">
        <v>89</v>
      </c>
      <c r="J13" t="s">
        <v>90</v>
      </c>
    </row>
    <row r="14" spans="1:16">
      <c r="I14" t="s">
        <v>91</v>
      </c>
      <c r="J14" t="s">
        <v>92</v>
      </c>
    </row>
    <row r="15" spans="1:16">
      <c r="I15" t="s">
        <v>93</v>
      </c>
      <c r="J15" t="s">
        <v>94</v>
      </c>
    </row>
    <row r="16" spans="1:16">
      <c r="I16" t="s">
        <v>95</v>
      </c>
      <c r="J16" t="s">
        <v>96</v>
      </c>
    </row>
    <row r="17" spans="9:10">
      <c r="I17" t="s">
        <v>79</v>
      </c>
      <c r="J17" t="s">
        <v>97</v>
      </c>
    </row>
    <row r="18" spans="9:10">
      <c r="I18" t="s">
        <v>98</v>
      </c>
      <c r="J18" t="s">
        <v>99</v>
      </c>
    </row>
    <row r="19" spans="9:10">
      <c r="I19" t="s">
        <v>100</v>
      </c>
      <c r="J19" t="s">
        <v>101</v>
      </c>
    </row>
    <row r="20" spans="9:10">
      <c r="I20" t="s">
        <v>102</v>
      </c>
      <c r="J20" t="s">
        <v>103</v>
      </c>
    </row>
    <row r="21" spans="9:10">
      <c r="I21" t="s">
        <v>104</v>
      </c>
      <c r="J21" t="s">
        <v>105</v>
      </c>
    </row>
    <row r="22" spans="9:10">
      <c r="I22" t="s">
        <v>66</v>
      </c>
      <c r="J22" t="s">
        <v>106</v>
      </c>
    </row>
    <row r="23" spans="9:10">
      <c r="I23" t="s">
        <v>107</v>
      </c>
      <c r="J23" t="s">
        <v>108</v>
      </c>
    </row>
    <row r="24" spans="9:10">
      <c r="I24" t="s">
        <v>109</v>
      </c>
      <c r="J24" t="s">
        <v>110</v>
      </c>
    </row>
    <row r="25" spans="9:10">
      <c r="I25" t="s">
        <v>111</v>
      </c>
      <c r="J25" t="s">
        <v>112</v>
      </c>
    </row>
    <row r="26" spans="9:10">
      <c r="I26" t="s">
        <v>113</v>
      </c>
      <c r="J26" t="s">
        <v>114</v>
      </c>
    </row>
    <row r="27" spans="9:10">
      <c r="I27" t="s">
        <v>115</v>
      </c>
      <c r="J27" t="s">
        <v>116</v>
      </c>
    </row>
    <row r="28" spans="9:10">
      <c r="I28" t="s">
        <v>117</v>
      </c>
      <c r="J28" t="s">
        <v>118</v>
      </c>
    </row>
    <row r="29" spans="9:10">
      <c r="I29" t="s">
        <v>119</v>
      </c>
      <c r="J29" t="s">
        <v>120</v>
      </c>
    </row>
    <row r="30" spans="9:10">
      <c r="I30" t="s">
        <v>121</v>
      </c>
      <c r="J30" t="s">
        <v>122</v>
      </c>
    </row>
    <row r="31" spans="9:10">
      <c r="I31" t="s">
        <v>123</v>
      </c>
      <c r="J31" t="s">
        <v>124</v>
      </c>
    </row>
    <row r="32" spans="9:10">
      <c r="I32" t="s">
        <v>125</v>
      </c>
      <c r="J32" t="s">
        <v>126</v>
      </c>
    </row>
    <row r="33" spans="9:10">
      <c r="I33" t="s">
        <v>127</v>
      </c>
      <c r="J33" t="s">
        <v>128</v>
      </c>
    </row>
    <row r="34" spans="9:10">
      <c r="I34" t="s">
        <v>129</v>
      </c>
      <c r="J34" t="s">
        <v>130</v>
      </c>
    </row>
    <row r="35" spans="9:10">
      <c r="I35" t="s">
        <v>65</v>
      </c>
      <c r="J35" t="s">
        <v>131</v>
      </c>
    </row>
    <row r="36" spans="9:10">
      <c r="I36" t="s">
        <v>53</v>
      </c>
      <c r="J36" t="s">
        <v>132</v>
      </c>
    </row>
    <row r="37" spans="9:10">
      <c r="I37" t="s">
        <v>133</v>
      </c>
      <c r="J37" t="s">
        <v>134</v>
      </c>
    </row>
    <row r="38" spans="9:10">
      <c r="I38" t="s">
        <v>78</v>
      </c>
      <c r="J38" t="s">
        <v>135</v>
      </c>
    </row>
    <row r="39" spans="9:10">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tabSelected="1" zoomScale="70" zoomScaleNormal="70" workbookViewId="0">
      <pane xSplit="2" ySplit="4" topLeftCell="AK5" activePane="bottomRight" state="frozen"/>
      <selection pane="topRight" activeCell="C1" sqref="C1"/>
      <selection pane="bottomLeft" activeCell="A5" sqref="A5"/>
      <selection pane="bottomRight" activeCell="AN38" sqref="AN38"/>
    </sheetView>
  </sheetViews>
  <sheetFormatPr baseColWidth="10" defaultColWidth="8.83203125" defaultRowHeight="15" outlineLevelRow="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c r="A1" s="76" t="s">
        <v>138</v>
      </c>
      <c r="B1" s="62"/>
      <c r="C1" s="62"/>
      <c r="D1" s="62"/>
      <c r="E1" s="62"/>
      <c r="F1" s="62"/>
      <c r="G1" s="62"/>
      <c r="I1" s="70" t="s">
        <v>592</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c r="A5" s="52" t="s">
        <v>231</v>
      </c>
      <c r="B5" s="52" t="s">
        <v>51</v>
      </c>
      <c r="C5" s="9" t="s">
        <v>232</v>
      </c>
      <c r="D5" s="52">
        <v>238146391</v>
      </c>
      <c r="E5" s="9">
        <v>10</v>
      </c>
      <c r="F5" s="9">
        <v>32</v>
      </c>
      <c r="G5" s="9">
        <v>30</v>
      </c>
      <c r="I5" s="10">
        <f t="shared" ref="I5:I39" si="0">IF(OR(ISBLANK(S5),ISBLANK(G5)),"·",S5*G5/F5/1000000)</f>
        <v>2.1746325</v>
      </c>
      <c r="J5" s="11">
        <f t="shared" ref="J5:J39" si="1">IF(ISBLANK(S5),"·",S5/D5)</f>
        <v>9.7402609809022888E-3</v>
      </c>
      <c r="K5" s="11">
        <f t="shared" ref="K5:K39" si="2">IF(N5="","·",N5/D5)</f>
        <v>6.1611851174347629E-3</v>
      </c>
      <c r="L5" s="11">
        <f t="shared" ref="L5:L39" si="3">IF(T5="","·",T5/D5)</f>
        <v>3.5272086067430685E-3</v>
      </c>
      <c r="M5" s="11">
        <f t="shared" ref="M5:M39" si="4">IF(ISBLANK(V5),"·",V5/D5)</f>
        <v>3.5785383789418835E-3</v>
      </c>
      <c r="N5" s="52">
        <f t="shared" ref="N5:N39" si="5">IF(OR(ISBLANK(T5),ISBLANK(U5)),"",T5+U5)</f>
        <v>1467264</v>
      </c>
      <c r="O5" s="11">
        <v>16</v>
      </c>
      <c r="P5" s="12">
        <v>21785839</v>
      </c>
      <c r="Q5" s="12">
        <v>680807.46875</v>
      </c>
      <c r="R5" s="12">
        <v>13493.8125</v>
      </c>
      <c r="S5" s="13">
        <v>2319608</v>
      </c>
      <c r="T5" s="13">
        <v>839992</v>
      </c>
      <c r="U5" s="13">
        <v>627272</v>
      </c>
      <c r="V5" s="13">
        <v>852216</v>
      </c>
      <c r="W5" s="14">
        <v>66.354628000000005</v>
      </c>
      <c r="X5" s="14">
        <v>68.478525000000005</v>
      </c>
      <c r="Y5" s="14">
        <v>32.104728000000001</v>
      </c>
      <c r="Z5" s="14">
        <v>44.160262000000003</v>
      </c>
      <c r="AA5" s="14">
        <v>43.841844000000002</v>
      </c>
      <c r="AB5" s="15">
        <v>3713.79</v>
      </c>
      <c r="AC5" s="15">
        <v>1181.2</v>
      </c>
      <c r="AD5" s="15">
        <v>61.44</v>
      </c>
      <c r="AE5" s="15">
        <v>17.957000000000001</v>
      </c>
      <c r="AG5" s="10">
        <f t="shared" ref="AG5:AG39" si="6">IF(OR(ISBLANK(AQ5),ISBLANK(G5)),"·",AQ5*G5/F5/1000000)</f>
        <v>2.1746249999999998</v>
      </c>
      <c r="AH5" s="11">
        <f t="shared" ref="AH5:AH39" si="7">IF(ISBLANK(AQ5),"·",AQ5/D5)</f>
        <v>9.7402273881194365E-3</v>
      </c>
      <c r="AI5" s="11">
        <f t="shared" ref="AI5:AI39" si="8">IF(AL5="","·",AL5/D5)</f>
        <v>6.1611515246519106E-3</v>
      </c>
      <c r="AJ5" s="11">
        <f t="shared" ref="AJ5:AJ39" si="9">IF(AR5="","·",AR5/D5)</f>
        <v>3.5272086067430685E-3</v>
      </c>
      <c r="AK5" s="11">
        <f t="shared" ref="AK5:AK39" si="10">IF(ISBLANK(AT5),"·",AT5/D5)</f>
        <v>3.5785383789418835E-3</v>
      </c>
      <c r="AL5" s="52">
        <f t="shared" ref="AL5:AL39" si="11">IF(OR(ISBLANK(AR5),ISBLANK(AS5)),"",AR5+AS5)</f>
        <v>1467256</v>
      </c>
      <c r="AM5" s="11">
        <v>16</v>
      </c>
      <c r="AN5" s="12">
        <v>21785839</v>
      </c>
      <c r="AO5" s="12">
        <v>680807.46875</v>
      </c>
      <c r="AP5" s="12">
        <v>13493.8125</v>
      </c>
      <c r="AQ5" s="13">
        <v>2319600</v>
      </c>
      <c r="AR5" s="13">
        <v>839992</v>
      </c>
      <c r="AS5" s="13">
        <v>627264</v>
      </c>
      <c r="AT5" s="13">
        <v>852216</v>
      </c>
      <c r="AU5" s="14">
        <v>66.354628000000005</v>
      </c>
      <c r="AV5" s="14">
        <v>68.478525000000005</v>
      </c>
      <c r="AW5" s="14">
        <v>32.104728000000001</v>
      </c>
      <c r="AX5" s="14">
        <v>44.160262000000003</v>
      </c>
      <c r="AY5" s="14">
        <v>43.841844000000002</v>
      </c>
      <c r="AZ5" s="15">
        <v>3377.85</v>
      </c>
      <c r="BA5" s="15">
        <v>1000.21</v>
      </c>
      <c r="BB5" s="15">
        <v>56.701000000000001</v>
      </c>
      <c r="BC5" s="15">
        <v>14.895</v>
      </c>
      <c r="BE5" s="50">
        <f t="shared" ref="BE5:BE43" si="12">AI5/K5</f>
        <v>0.99999454767512874</v>
      </c>
      <c r="BF5" s="16">
        <f t="shared" ref="BF5:BF39" si="13">(AP5/AO5) - (R5/Q5)</f>
        <v>0</v>
      </c>
      <c r="BG5" s="16">
        <f t="shared" ref="BG5:BG39" si="14">(AL5/AQ5) - (N5/S5)</f>
        <v>-1.2672934708302108E-6</v>
      </c>
      <c r="BH5" s="16">
        <f t="array" ref="BH5">AVERAGE(AL5:AL9/AQ5:AQ9) - AVERAGE(N5:N9/S5:S9)</f>
        <v>-4.2934110605630238E-7</v>
      </c>
      <c r="BJ5" s="50">
        <f>IF( OR(ISBLANK(N5:N9),ISBLANK(AL5:AL9), ISBLANK(W5:W9),ISBLANK(AU5:AU9)), "·", bdRateExtend( N5:N9,W5:W9, AL5:AL9,AU5:AU9))</f>
        <v>-1.4627153269719528E-6</v>
      </c>
      <c r="BK5" s="50">
        <f>IF( OR(ISBLANK(N5:N9),ISBLANK(AL5:AL9), ISBLANK(X5:X9),ISBLANK(AV5:AV9)), "·", bdRateExtend( N5:N9,X5:X9, AL5:AL9,AV5:AV9))</f>
        <v>-1.5524330507776796E-6</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-6.7913797874297188E-7</v>
      </c>
      <c r="BQ5" s="50">
        <f>IF( OR(ISBLANK(S5:S9),ISBLANK(AQ5:AQ9), ISBLANK(X5:X9),ISBLANK(AV5:AV9)), "·", bdRateExtend( S5:S9,X5:X9, AQ5:AQ9,AV5:AV9))</f>
        <v>-6.5779329461168601E-7</v>
      </c>
      <c r="BR5" s="50">
        <f>IF( OR(ISBLANK(S5:S9),ISBLANK(AQ5:AQ9), ISBLANK(Y5:Y9),ISBLANK(AW5:AW9)), "·", bdRateExtend( S5:S9,Y5:Y9, AQ5:AQ9,AW5:AW9))</f>
        <v>-5.6913104762301714E-7</v>
      </c>
      <c r="BS5" s="50">
        <f>IF( OR(ISBLANK(S5:S9),ISBLANK(AQ5:AQ9), ISBLANK(Z5:Z9),ISBLANK(AX5:AX9)), "·", bdRateExtend( S5:S9,Z5:Z9, AQ5:AQ9,AX5:AX9))</f>
        <v>-6.3330238153636031E-7</v>
      </c>
      <c r="BT5" s="50">
        <f>IF( OR(ISBLANK(S5:S9),ISBLANK(AQ5:AQ9), ISBLANK(AA5:AA9),ISBLANK(AY5:AY9)), "·", bdRateExtend( S5:S9,AA5:AA9, AQ5:AQ9,AY5:AY9))</f>
        <v>-6.3204714306763776E-7</v>
      </c>
      <c r="BV5" s="58">
        <f>AN5-P5</f>
        <v>0</v>
      </c>
      <c r="BW5" s="58">
        <f t="shared" ref="BW5:CG20" si="15">AO5-Q5</f>
        <v>0</v>
      </c>
      <c r="BX5" s="58">
        <f t="shared" si="15"/>
        <v>0</v>
      </c>
      <c r="BY5" s="58">
        <f t="shared" si="15"/>
        <v>-8</v>
      </c>
      <c r="BZ5" s="58">
        <f t="shared" si="15"/>
        <v>0</v>
      </c>
      <c r="CA5" s="58">
        <f t="shared" si="15"/>
        <v>-8</v>
      </c>
      <c r="CB5" s="58">
        <f t="shared" si="15"/>
        <v>0</v>
      </c>
      <c r="CC5" s="58">
        <f t="shared" si="15"/>
        <v>0</v>
      </c>
      <c r="CD5" s="58">
        <f t="shared" si="15"/>
        <v>0</v>
      </c>
      <c r="CE5" s="58">
        <f t="shared" si="15"/>
        <v>0</v>
      </c>
      <c r="CF5" s="58">
        <f t="shared" si="15"/>
        <v>0</v>
      </c>
      <c r="CG5" s="58">
        <f t="shared" si="15"/>
        <v>0</v>
      </c>
      <c r="CJ5" t="s">
        <v>233</v>
      </c>
    </row>
    <row r="6" spans="1:88" outlineLevel="1">
      <c r="A6" s="17"/>
      <c r="B6" s="17" t="s">
        <v>51</v>
      </c>
      <c r="C6" s="18" t="s">
        <v>234</v>
      </c>
      <c r="D6" s="17">
        <v>238146391</v>
      </c>
      <c r="E6" s="18">
        <v>10</v>
      </c>
      <c r="F6" s="18">
        <v>32</v>
      </c>
      <c r="G6" s="18">
        <v>30</v>
      </c>
      <c r="I6" s="19">
        <f t="shared" si="0"/>
        <v>3.3904424999999998</v>
      </c>
      <c r="J6" s="20">
        <f t="shared" si="1"/>
        <v>1.518591982357608E-2</v>
      </c>
      <c r="K6" s="20">
        <f t="shared" si="2"/>
        <v>7.5253880290799789E-3</v>
      </c>
      <c r="L6" s="20">
        <f t="shared" si="3"/>
        <v>4.8914115183882837E-3</v>
      </c>
      <c r="M6" s="20">
        <f t="shared" si="4"/>
        <v>7.6599943099704589E-3</v>
      </c>
      <c r="N6" s="17">
        <f t="shared" si="5"/>
        <v>1792144</v>
      </c>
      <c r="O6" s="20">
        <v>16</v>
      </c>
      <c r="P6" s="21">
        <v>24191962</v>
      </c>
      <c r="Q6" s="21">
        <v>755998.8125</v>
      </c>
      <c r="R6" s="21">
        <v>19085.96875</v>
      </c>
      <c r="S6" s="22">
        <v>3616472</v>
      </c>
      <c r="T6" s="22">
        <v>1164872</v>
      </c>
      <c r="U6" s="22">
        <v>627272</v>
      </c>
      <c r="V6" s="22">
        <v>1824200</v>
      </c>
      <c r="W6" s="23">
        <v>68.255977999999999</v>
      </c>
      <c r="X6" s="23">
        <v>70.438458999999995</v>
      </c>
      <c r="Y6" s="23">
        <v>34.355628000000003</v>
      </c>
      <c r="Z6" s="23">
        <v>45.457172</v>
      </c>
      <c r="AA6" s="23">
        <v>45.255406000000001</v>
      </c>
      <c r="AB6" s="24">
        <v>4148.05</v>
      </c>
      <c r="AC6" s="24">
        <v>1406.47</v>
      </c>
      <c r="AD6" s="24">
        <v>72.043999999999997</v>
      </c>
      <c r="AE6" s="24">
        <v>21.864000000000001</v>
      </c>
      <c r="AG6" s="19">
        <f t="shared" si="6"/>
        <v>3.3904424999999998</v>
      </c>
      <c r="AH6" s="20">
        <f t="shared" si="7"/>
        <v>1.518591982357608E-2</v>
      </c>
      <c r="AI6" s="20">
        <f t="shared" si="8"/>
        <v>7.5253880290799789E-3</v>
      </c>
      <c r="AJ6" s="20">
        <f t="shared" si="9"/>
        <v>4.8914115183882837E-3</v>
      </c>
      <c r="AK6" s="20">
        <f t="shared" si="10"/>
        <v>7.6599943099704589E-3</v>
      </c>
      <c r="AL6" s="17">
        <f t="shared" si="11"/>
        <v>1792144</v>
      </c>
      <c r="AM6" s="20">
        <v>16</v>
      </c>
      <c r="AN6" s="21">
        <v>24191962</v>
      </c>
      <c r="AO6" s="21">
        <v>755998.8125</v>
      </c>
      <c r="AP6" s="21">
        <v>19085.96875</v>
      </c>
      <c r="AQ6" s="22">
        <v>3616472</v>
      </c>
      <c r="AR6" s="22">
        <v>1164872</v>
      </c>
      <c r="AS6" s="22">
        <v>627272</v>
      </c>
      <c r="AT6" s="22">
        <v>1824200</v>
      </c>
      <c r="AU6" s="23">
        <v>68.255977999999999</v>
      </c>
      <c r="AV6" s="23">
        <v>70.438458999999995</v>
      </c>
      <c r="AW6" s="23">
        <v>34.355628000000003</v>
      </c>
      <c r="AX6" s="23">
        <v>45.457172</v>
      </c>
      <c r="AY6" s="23">
        <v>45.255406000000001</v>
      </c>
      <c r="AZ6" s="24">
        <v>4052.41</v>
      </c>
      <c r="BA6" s="24">
        <v>1202.1600000000001</v>
      </c>
      <c r="BB6" s="24">
        <v>68.771000000000001</v>
      </c>
      <c r="BC6" s="24">
        <v>17.042999999999999</v>
      </c>
      <c r="BE6" s="49">
        <f t="shared" si="12"/>
        <v>1</v>
      </c>
      <c r="BF6" s="25">
        <f t="shared" si="13"/>
        <v>0</v>
      </c>
      <c r="BG6" s="25">
        <f t="shared" si="14"/>
        <v>0</v>
      </c>
      <c r="BH6" s="25"/>
      <c r="BJ6" s="49"/>
      <c r="BK6" s="49"/>
      <c r="BL6" s="49"/>
      <c r="BM6" s="49"/>
      <c r="BN6" s="49"/>
      <c r="BP6" s="49"/>
      <c r="BQ6" s="49"/>
      <c r="BR6" s="49"/>
      <c r="BS6" s="49"/>
      <c r="BT6" s="49"/>
      <c r="BV6" s="58">
        <f t="shared" ref="BV6:CG39" si="16">AN6-P6</f>
        <v>0</v>
      </c>
      <c r="BW6" s="58">
        <f t="shared" si="15"/>
        <v>0</v>
      </c>
      <c r="BX6" s="58">
        <f t="shared" si="15"/>
        <v>0</v>
      </c>
      <c r="BY6" s="58">
        <f t="shared" si="15"/>
        <v>0</v>
      </c>
      <c r="BZ6" s="58">
        <f t="shared" si="15"/>
        <v>0</v>
      </c>
      <c r="CA6" s="58">
        <f t="shared" si="15"/>
        <v>0</v>
      </c>
      <c r="CB6" s="58">
        <f t="shared" si="15"/>
        <v>0</v>
      </c>
      <c r="CC6" s="58">
        <f t="shared" si="15"/>
        <v>0</v>
      </c>
      <c r="CD6" s="58">
        <f t="shared" si="15"/>
        <v>0</v>
      </c>
      <c r="CE6" s="58">
        <f t="shared" si="15"/>
        <v>0</v>
      </c>
      <c r="CF6" s="58">
        <f t="shared" si="15"/>
        <v>0</v>
      </c>
      <c r="CG6" s="58">
        <f t="shared" si="15"/>
        <v>0</v>
      </c>
      <c r="CJ6" t="s">
        <v>233</v>
      </c>
    </row>
    <row r="7" spans="1:88" outlineLevel="1">
      <c r="A7" s="52"/>
      <c r="B7" s="52" t="s">
        <v>51</v>
      </c>
      <c r="C7" s="9" t="s">
        <v>235</v>
      </c>
      <c r="D7" s="52">
        <v>238146391</v>
      </c>
      <c r="E7" s="9">
        <v>10</v>
      </c>
      <c r="F7" s="9">
        <v>32</v>
      </c>
      <c r="G7" s="9">
        <v>30</v>
      </c>
      <c r="I7" s="10">
        <f t="shared" si="0"/>
        <v>5.5660949999999998</v>
      </c>
      <c r="J7" s="11">
        <f t="shared" si="1"/>
        <v>2.4930749422946326E-2</v>
      </c>
      <c r="K7" s="11">
        <f t="shared" si="2"/>
        <v>9.4726944654811088E-3</v>
      </c>
      <c r="L7" s="11">
        <f t="shared" si="3"/>
        <v>6.8387179547894136E-3</v>
      </c>
      <c r="M7" s="11">
        <f t="shared" si="4"/>
        <v>1.5457517472939575E-2</v>
      </c>
      <c r="N7" s="52">
        <f t="shared" si="5"/>
        <v>2255888</v>
      </c>
      <c r="O7" s="11">
        <v>16</v>
      </c>
      <c r="P7" s="12">
        <v>24808216</v>
      </c>
      <c r="Q7" s="12">
        <v>775256.75</v>
      </c>
      <c r="R7" s="12">
        <v>20954.78125</v>
      </c>
      <c r="S7" s="13">
        <v>5937168</v>
      </c>
      <c r="T7" s="13">
        <v>1628616</v>
      </c>
      <c r="U7" s="13">
        <v>627272</v>
      </c>
      <c r="V7" s="13">
        <v>3681152</v>
      </c>
      <c r="W7" s="14">
        <v>69.683724999999995</v>
      </c>
      <c r="X7" s="14">
        <v>72.129402999999996</v>
      </c>
      <c r="Y7" s="14">
        <v>36.897066000000002</v>
      </c>
      <c r="Z7" s="14">
        <v>46.589962999999997</v>
      </c>
      <c r="AA7" s="14">
        <v>46.485678</v>
      </c>
      <c r="AB7" s="15">
        <v>3182.35</v>
      </c>
      <c r="AC7" s="15">
        <v>1014.56</v>
      </c>
      <c r="AD7" s="15">
        <v>60.921999999999997</v>
      </c>
      <c r="AE7" s="15">
        <v>14.987</v>
      </c>
      <c r="AG7" s="10">
        <f t="shared" si="6"/>
        <v>5.5660949999999998</v>
      </c>
      <c r="AH7" s="11">
        <f t="shared" si="7"/>
        <v>2.4930749422946326E-2</v>
      </c>
      <c r="AI7" s="11">
        <f t="shared" si="8"/>
        <v>9.4726944654811088E-3</v>
      </c>
      <c r="AJ7" s="11">
        <f t="shared" si="9"/>
        <v>6.8387179547894136E-3</v>
      </c>
      <c r="AK7" s="11">
        <f t="shared" si="10"/>
        <v>1.5457517472939575E-2</v>
      </c>
      <c r="AL7" s="52">
        <f t="shared" si="11"/>
        <v>2255888</v>
      </c>
      <c r="AM7" s="11">
        <v>16</v>
      </c>
      <c r="AN7" s="12">
        <v>24808216</v>
      </c>
      <c r="AO7" s="12">
        <v>775256.75</v>
      </c>
      <c r="AP7" s="12">
        <v>20954.78125</v>
      </c>
      <c r="AQ7" s="13">
        <v>5937168</v>
      </c>
      <c r="AR7" s="13">
        <v>1628616</v>
      </c>
      <c r="AS7" s="13">
        <v>627272</v>
      </c>
      <c r="AT7" s="13">
        <v>3681152</v>
      </c>
      <c r="AU7" s="14">
        <v>69.683724999999995</v>
      </c>
      <c r="AV7" s="14">
        <v>72.129402999999996</v>
      </c>
      <c r="AW7" s="14">
        <v>36.897066000000002</v>
      </c>
      <c r="AX7" s="14">
        <v>46.589962999999997</v>
      </c>
      <c r="AY7" s="14">
        <v>46.485678</v>
      </c>
      <c r="AZ7" s="15">
        <v>3342.33</v>
      </c>
      <c r="BA7" s="15">
        <v>1074.8800000000001</v>
      </c>
      <c r="BB7" s="15">
        <v>64</v>
      </c>
      <c r="BC7" s="15">
        <v>15.868</v>
      </c>
      <c r="BE7" s="50">
        <f t="shared" si="12"/>
        <v>1</v>
      </c>
      <c r="BF7" s="16">
        <f t="shared" si="13"/>
        <v>0</v>
      </c>
      <c r="BG7" s="16">
        <f t="shared" si="14"/>
        <v>0</v>
      </c>
      <c r="BH7" s="16"/>
      <c r="BJ7" s="50"/>
      <c r="BK7" s="50"/>
      <c r="BL7" s="50"/>
      <c r="BM7" s="50"/>
      <c r="BN7" s="50"/>
      <c r="BP7" s="50"/>
      <c r="BQ7" s="50"/>
      <c r="BR7" s="50"/>
      <c r="BS7" s="50"/>
      <c r="BT7" s="50"/>
      <c r="BV7" s="58">
        <f t="shared" si="16"/>
        <v>0</v>
      </c>
      <c r="BW7" s="58">
        <f t="shared" si="15"/>
        <v>0</v>
      </c>
      <c r="BX7" s="58">
        <f t="shared" si="15"/>
        <v>0</v>
      </c>
      <c r="BY7" s="58">
        <f t="shared" si="15"/>
        <v>0</v>
      </c>
      <c r="BZ7" s="58">
        <f t="shared" si="15"/>
        <v>0</v>
      </c>
      <c r="CA7" s="58">
        <f t="shared" si="15"/>
        <v>0</v>
      </c>
      <c r="CB7" s="58">
        <f t="shared" si="15"/>
        <v>0</v>
      </c>
      <c r="CC7" s="58">
        <f t="shared" si="15"/>
        <v>0</v>
      </c>
      <c r="CD7" s="58">
        <f t="shared" si="15"/>
        <v>0</v>
      </c>
      <c r="CE7" s="58">
        <f t="shared" si="15"/>
        <v>0</v>
      </c>
      <c r="CF7" s="58">
        <f t="shared" si="15"/>
        <v>0</v>
      </c>
      <c r="CG7" s="58">
        <f t="shared" si="15"/>
        <v>0</v>
      </c>
      <c r="CJ7" t="s">
        <v>233</v>
      </c>
    </row>
    <row r="8" spans="1:88" outlineLevel="1">
      <c r="A8" s="17"/>
      <c r="B8" s="17" t="s">
        <v>51</v>
      </c>
      <c r="C8" s="18" t="s">
        <v>236</v>
      </c>
      <c r="D8" s="17">
        <v>238146391</v>
      </c>
      <c r="E8" s="18">
        <v>10</v>
      </c>
      <c r="F8" s="18">
        <v>32</v>
      </c>
      <c r="G8" s="18">
        <v>30</v>
      </c>
      <c r="I8" s="19">
        <f t="shared" si="0"/>
        <v>9.4302674999999994</v>
      </c>
      <c r="J8" s="20">
        <f t="shared" si="1"/>
        <v>4.2238523782625791E-2</v>
      </c>
      <c r="K8" s="20">
        <f t="shared" si="2"/>
        <v>1.2734721644385532E-2</v>
      </c>
      <c r="L8" s="20">
        <f t="shared" si="3"/>
        <v>1.0100745133693839E-2</v>
      </c>
      <c r="M8" s="20">
        <f t="shared" si="4"/>
        <v>2.9503264653714615E-2</v>
      </c>
      <c r="N8" s="17">
        <f t="shared" si="5"/>
        <v>3032728</v>
      </c>
      <c r="O8" s="20">
        <v>16</v>
      </c>
      <c r="P8" s="21">
        <v>25797809</v>
      </c>
      <c r="Q8" s="21">
        <v>806181.53125</v>
      </c>
      <c r="R8" s="21">
        <v>24199.8125</v>
      </c>
      <c r="S8" s="22">
        <v>10058952</v>
      </c>
      <c r="T8" s="22">
        <v>2405456</v>
      </c>
      <c r="U8" s="22">
        <v>627272</v>
      </c>
      <c r="V8" s="22">
        <v>7026096</v>
      </c>
      <c r="W8" s="23">
        <v>70.836841000000007</v>
      </c>
      <c r="X8" s="23">
        <v>73.406981000000002</v>
      </c>
      <c r="Y8" s="23">
        <v>39.525216</v>
      </c>
      <c r="Z8" s="23">
        <v>47.905425000000001</v>
      </c>
      <c r="AA8" s="23">
        <v>47.942124999999997</v>
      </c>
      <c r="AB8" s="24">
        <v>4041.04</v>
      </c>
      <c r="AC8" s="24">
        <v>1565.65</v>
      </c>
      <c r="AD8" s="24">
        <v>75.100999999999999</v>
      </c>
      <c r="AE8" s="24">
        <v>22.297999999999998</v>
      </c>
      <c r="AG8" s="19">
        <f t="shared" si="6"/>
        <v>9.4302600000000005</v>
      </c>
      <c r="AH8" s="20">
        <f t="shared" si="7"/>
        <v>4.2238490189842937E-2</v>
      </c>
      <c r="AI8" s="20">
        <f t="shared" si="8"/>
        <v>1.273468805160268E-2</v>
      </c>
      <c r="AJ8" s="20">
        <f t="shared" si="9"/>
        <v>1.0100745133693839E-2</v>
      </c>
      <c r="AK8" s="20">
        <f t="shared" si="10"/>
        <v>2.9503264653714615E-2</v>
      </c>
      <c r="AL8" s="17">
        <f t="shared" si="11"/>
        <v>3032720</v>
      </c>
      <c r="AM8" s="20">
        <v>16</v>
      </c>
      <c r="AN8" s="21">
        <v>25797809</v>
      </c>
      <c r="AO8" s="21">
        <v>806181.53125</v>
      </c>
      <c r="AP8" s="21">
        <v>24199.8125</v>
      </c>
      <c r="AQ8" s="22">
        <v>10058944</v>
      </c>
      <c r="AR8" s="22">
        <v>2405456</v>
      </c>
      <c r="AS8" s="22">
        <v>627264</v>
      </c>
      <c r="AT8" s="22">
        <v>7026096</v>
      </c>
      <c r="AU8" s="23">
        <v>70.836841000000007</v>
      </c>
      <c r="AV8" s="23">
        <v>73.406981000000002</v>
      </c>
      <c r="AW8" s="23">
        <v>39.525216</v>
      </c>
      <c r="AX8" s="23">
        <v>47.905425000000001</v>
      </c>
      <c r="AY8" s="23">
        <v>47.942124999999997</v>
      </c>
      <c r="AZ8" s="24">
        <v>3400.88</v>
      </c>
      <c r="BA8" s="24">
        <v>1153.55</v>
      </c>
      <c r="BB8" s="24">
        <v>65.42</v>
      </c>
      <c r="BC8" s="24">
        <v>16.84</v>
      </c>
      <c r="BE8" s="49">
        <f t="shared" si="12"/>
        <v>0.99999736211094437</v>
      </c>
      <c r="BF8" s="25">
        <f t="shared" si="13"/>
        <v>0</v>
      </c>
      <c r="BG8" s="25">
        <f t="shared" si="14"/>
        <v>-5.5552914962619937E-7</v>
      </c>
      <c r="BH8" s="25"/>
      <c r="BJ8" s="49"/>
      <c r="BK8" s="49"/>
      <c r="BL8" s="49"/>
      <c r="BM8" s="49"/>
      <c r="BN8" s="49"/>
      <c r="BP8" s="49"/>
      <c r="BQ8" s="49"/>
      <c r="BR8" s="49"/>
      <c r="BS8" s="49"/>
      <c r="BT8" s="49"/>
      <c r="BV8" s="58">
        <f t="shared" si="16"/>
        <v>0</v>
      </c>
      <c r="BW8" s="58">
        <f t="shared" si="15"/>
        <v>0</v>
      </c>
      <c r="BX8" s="58">
        <f t="shared" si="15"/>
        <v>0</v>
      </c>
      <c r="BY8" s="58">
        <f t="shared" si="15"/>
        <v>-8</v>
      </c>
      <c r="BZ8" s="58">
        <f t="shared" si="15"/>
        <v>0</v>
      </c>
      <c r="CA8" s="58">
        <f t="shared" si="15"/>
        <v>-8</v>
      </c>
      <c r="CB8" s="58">
        <f t="shared" si="15"/>
        <v>0</v>
      </c>
      <c r="CC8" s="58">
        <f t="shared" si="15"/>
        <v>0</v>
      </c>
      <c r="CD8" s="58">
        <f t="shared" si="15"/>
        <v>0</v>
      </c>
      <c r="CE8" s="58">
        <f t="shared" si="15"/>
        <v>0</v>
      </c>
      <c r="CF8" s="58">
        <f t="shared" si="15"/>
        <v>0</v>
      </c>
      <c r="CG8" s="58">
        <f t="shared" si="15"/>
        <v>0</v>
      </c>
      <c r="CJ8" t="s">
        <v>233</v>
      </c>
    </row>
    <row r="9" spans="1:88" ht="16" outlineLevel="1" thickBot="1">
      <c r="A9" s="52"/>
      <c r="B9" s="26" t="s">
        <v>51</v>
      </c>
      <c r="C9" s="27" t="s">
        <v>237</v>
      </c>
      <c r="D9" s="26">
        <v>238146391</v>
      </c>
      <c r="E9" s="27">
        <v>10</v>
      </c>
      <c r="F9" s="27">
        <v>32</v>
      </c>
      <c r="G9" s="27">
        <v>30</v>
      </c>
      <c r="I9" s="28">
        <f t="shared" si="0"/>
        <v>16.807807499999999</v>
      </c>
      <c r="J9" s="29">
        <f t="shared" si="1"/>
        <v>7.5282803676835902E-2</v>
      </c>
      <c r="K9" s="29">
        <f t="shared" si="2"/>
        <v>2.0639943269180176E-2</v>
      </c>
      <c r="L9" s="29">
        <f t="shared" si="3"/>
        <v>1.5547781280464586E-2</v>
      </c>
      <c r="M9" s="29">
        <f t="shared" si="4"/>
        <v>5.4642322923130086E-2</v>
      </c>
      <c r="N9" s="26">
        <f t="shared" si="5"/>
        <v>4915328</v>
      </c>
      <c r="O9" s="29">
        <v>16</v>
      </c>
      <c r="P9" s="30">
        <v>24868389</v>
      </c>
      <c r="Q9" s="30">
        <v>777137.15625</v>
      </c>
      <c r="R9" s="30">
        <v>10635.96875</v>
      </c>
      <c r="S9" s="31">
        <v>17928328</v>
      </c>
      <c r="T9" s="31">
        <v>3702648</v>
      </c>
      <c r="U9" s="31">
        <v>1212680</v>
      </c>
      <c r="V9" s="31">
        <v>13012872</v>
      </c>
      <c r="W9" s="32">
        <v>71.945244000000002</v>
      </c>
      <c r="X9" s="32">
        <v>75.319241000000005</v>
      </c>
      <c r="Y9" s="32">
        <v>42.127887000000001</v>
      </c>
      <c r="Z9" s="32">
        <v>49.411659</v>
      </c>
      <c r="AA9" s="32">
        <v>49.554577999999999</v>
      </c>
      <c r="AB9" s="33">
        <v>3352.02</v>
      </c>
      <c r="AC9" s="33">
        <v>1267.51</v>
      </c>
      <c r="AD9" s="33">
        <v>60.844999999999999</v>
      </c>
      <c r="AE9" s="33">
        <v>16.356999999999999</v>
      </c>
      <c r="AG9" s="28">
        <f t="shared" si="6"/>
        <v>16.8078</v>
      </c>
      <c r="AH9" s="29">
        <f t="shared" si="7"/>
        <v>7.5282770084053041E-2</v>
      </c>
      <c r="AI9" s="29">
        <f t="shared" si="8"/>
        <v>2.0639909676397322E-2</v>
      </c>
      <c r="AJ9" s="29">
        <f t="shared" si="9"/>
        <v>1.5547781280464586E-2</v>
      </c>
      <c r="AK9" s="29">
        <f t="shared" si="10"/>
        <v>5.4642322923130086E-2</v>
      </c>
      <c r="AL9" s="26">
        <f t="shared" si="11"/>
        <v>4915320</v>
      </c>
      <c r="AM9" s="29">
        <v>16</v>
      </c>
      <c r="AN9" s="30">
        <v>24868389</v>
      </c>
      <c r="AO9" s="30">
        <v>777137.15625</v>
      </c>
      <c r="AP9" s="30">
        <v>10635.96875</v>
      </c>
      <c r="AQ9" s="31">
        <v>17928320</v>
      </c>
      <c r="AR9" s="31">
        <v>3702648</v>
      </c>
      <c r="AS9" s="31">
        <v>1212672</v>
      </c>
      <c r="AT9" s="31">
        <v>13012872</v>
      </c>
      <c r="AU9" s="32">
        <v>71.945244000000002</v>
      </c>
      <c r="AV9" s="32">
        <v>75.319241000000005</v>
      </c>
      <c r="AW9" s="32">
        <v>42.127887000000001</v>
      </c>
      <c r="AX9" s="32">
        <v>49.411659</v>
      </c>
      <c r="AY9" s="32">
        <v>49.554577999999999</v>
      </c>
      <c r="AZ9" s="33">
        <v>3269.37</v>
      </c>
      <c r="BA9" s="33">
        <v>1249.9000000000001</v>
      </c>
      <c r="BB9" s="33">
        <v>61.350999999999999</v>
      </c>
      <c r="BC9" s="33">
        <v>16.873000000000001</v>
      </c>
      <c r="BE9" s="34">
        <f t="shared" si="12"/>
        <v>0.99999837243821765</v>
      </c>
      <c r="BF9" s="35">
        <f t="shared" si="13"/>
        <v>0</v>
      </c>
      <c r="BG9" s="35">
        <f t="shared" si="14"/>
        <v>-3.2388290988061286E-7</v>
      </c>
      <c r="BH9" s="35"/>
      <c r="BJ9" s="34"/>
      <c r="BK9" s="34"/>
      <c r="BL9" s="34"/>
      <c r="BM9" s="34"/>
      <c r="BN9" s="34"/>
      <c r="BP9" s="34"/>
      <c r="BQ9" s="34"/>
      <c r="BR9" s="34"/>
      <c r="BS9" s="34"/>
      <c r="BT9" s="34"/>
      <c r="BV9" s="58">
        <f t="shared" si="16"/>
        <v>0</v>
      </c>
      <c r="BW9" s="58">
        <f t="shared" si="15"/>
        <v>0</v>
      </c>
      <c r="BX9" s="58">
        <f t="shared" si="15"/>
        <v>0</v>
      </c>
      <c r="BY9" s="58">
        <f t="shared" si="15"/>
        <v>-8</v>
      </c>
      <c r="BZ9" s="58">
        <f t="shared" si="15"/>
        <v>0</v>
      </c>
      <c r="CA9" s="58">
        <f t="shared" si="15"/>
        <v>-8</v>
      </c>
      <c r="CB9" s="58">
        <f t="shared" si="15"/>
        <v>0</v>
      </c>
      <c r="CC9" s="58">
        <f t="shared" si="15"/>
        <v>0</v>
      </c>
      <c r="CD9" s="58">
        <f t="shared" si="15"/>
        <v>0</v>
      </c>
      <c r="CE9" s="58">
        <f t="shared" si="15"/>
        <v>0</v>
      </c>
      <c r="CF9" s="58">
        <f t="shared" si="15"/>
        <v>0</v>
      </c>
      <c r="CG9" s="58">
        <f t="shared" si="15"/>
        <v>0</v>
      </c>
      <c r="CJ9" t="s">
        <v>233</v>
      </c>
    </row>
    <row r="10" spans="1:88">
      <c r="A10" s="17"/>
      <c r="B10" s="17" t="s">
        <v>59</v>
      </c>
      <c r="C10" s="18" t="s">
        <v>232</v>
      </c>
      <c r="D10" s="17">
        <v>218121242</v>
      </c>
      <c r="E10" s="18">
        <v>10</v>
      </c>
      <c r="F10" s="18">
        <v>32</v>
      </c>
      <c r="G10" s="18">
        <v>30</v>
      </c>
      <c r="I10" s="19">
        <f t="shared" si="0"/>
        <v>3.1810649999999998</v>
      </c>
      <c r="J10" s="20">
        <f t="shared" si="1"/>
        <v>1.5556192367545752E-2</v>
      </c>
      <c r="K10" s="20">
        <f t="shared" si="2"/>
        <v>8.0346507471289758E-3</v>
      </c>
      <c r="L10" s="20">
        <f t="shared" si="3"/>
        <v>4.2806284772576161E-3</v>
      </c>
      <c r="M10" s="20">
        <f t="shared" si="4"/>
        <v>7.520954790822253E-3</v>
      </c>
      <c r="N10" s="17">
        <f t="shared" si="5"/>
        <v>1752528</v>
      </c>
      <c r="O10" s="20">
        <v>16</v>
      </c>
      <c r="P10" s="21">
        <v>20666971</v>
      </c>
      <c r="Q10" s="21">
        <v>645842.84375</v>
      </c>
      <c r="R10" s="21">
        <v>18163.46875</v>
      </c>
      <c r="S10" s="22">
        <v>3393136</v>
      </c>
      <c r="T10" s="22">
        <v>933696</v>
      </c>
      <c r="U10" s="22">
        <v>818832</v>
      </c>
      <c r="V10" s="22">
        <v>1640480</v>
      </c>
      <c r="W10" s="23">
        <v>65.904411999999994</v>
      </c>
      <c r="X10" s="23">
        <v>67.822759000000005</v>
      </c>
      <c r="Y10" s="23">
        <v>32.386865999999998</v>
      </c>
      <c r="Z10" s="23">
        <v>39.175778000000001</v>
      </c>
      <c r="AA10" s="23">
        <v>32.086630999999997</v>
      </c>
      <c r="AB10" s="24">
        <v>3846.18</v>
      </c>
      <c r="AC10" s="24">
        <v>1110.96</v>
      </c>
      <c r="AD10" s="24">
        <v>54.091999999999999</v>
      </c>
      <c r="AE10" s="24">
        <v>15.420999999999999</v>
      </c>
      <c r="AG10" s="19">
        <f t="shared" si="6"/>
        <v>3.1810649999999998</v>
      </c>
      <c r="AH10" s="20">
        <f t="shared" si="7"/>
        <v>1.5556192367545752E-2</v>
      </c>
      <c r="AI10" s="20">
        <f t="shared" si="8"/>
        <v>8.0346507471289758E-3</v>
      </c>
      <c r="AJ10" s="20">
        <f t="shared" si="9"/>
        <v>4.2806284772576161E-3</v>
      </c>
      <c r="AK10" s="20">
        <f t="shared" si="10"/>
        <v>7.520954790822253E-3</v>
      </c>
      <c r="AL10" s="17">
        <f t="shared" si="11"/>
        <v>1752528</v>
      </c>
      <c r="AM10" s="20">
        <v>16</v>
      </c>
      <c r="AN10" s="21">
        <v>20666971</v>
      </c>
      <c r="AO10" s="21">
        <v>645842.84375</v>
      </c>
      <c r="AP10" s="21">
        <v>18163.46875</v>
      </c>
      <c r="AQ10" s="22">
        <v>3393136</v>
      </c>
      <c r="AR10" s="22">
        <v>933696</v>
      </c>
      <c r="AS10" s="22">
        <v>818832</v>
      </c>
      <c r="AT10" s="22">
        <v>1640480</v>
      </c>
      <c r="AU10" s="23">
        <v>65.904411999999994</v>
      </c>
      <c r="AV10" s="23">
        <v>67.822759000000005</v>
      </c>
      <c r="AW10" s="23">
        <v>32.386865999999998</v>
      </c>
      <c r="AX10" s="23">
        <v>39.175778000000001</v>
      </c>
      <c r="AY10" s="23">
        <v>32.086630999999997</v>
      </c>
      <c r="AZ10" s="24">
        <v>3258.84</v>
      </c>
      <c r="BA10" s="24">
        <v>1017.09</v>
      </c>
      <c r="BB10" s="24">
        <v>52.095999999999997</v>
      </c>
      <c r="BC10" s="24">
        <v>15.680999999999999</v>
      </c>
      <c r="BE10" s="49">
        <f t="shared" si="12"/>
        <v>1</v>
      </c>
      <c r="BF10" s="25">
        <f t="shared" si="13"/>
        <v>0</v>
      </c>
      <c r="BG10" s="25">
        <f t="shared" si="14"/>
        <v>0</v>
      </c>
      <c r="BH10" s="25">
        <f t="array" ref="BH10">AVERAGE(AL10:AL14/AQ10:AQ14) - AVERAGE(N10:N14/S10:S14)</f>
        <v>0</v>
      </c>
      <c r="BJ10" s="49">
        <f>IF( OR(ISBLANK(N10:N14),ISBLANK(AL10:AL14), ISBLANK(W10:W14),ISBLANK(AU10:AU14)), "·", bdRateExtend( N10:N14,W10:W14, AL10:AL14,AU10:AU14))</f>
        <v>0</v>
      </c>
      <c r="BK10" s="49">
        <f>IF( OR(ISBLANK(N10:N14),ISBLANK(AL10:AL14), ISBLANK(X10:X14),ISBLANK(AV10:AV14)), "·", bdRateExtend( N10:N14,X10:X14, AL10:AL14,AV10:AV14))</f>
        <v>0</v>
      </c>
      <c r="BL10" s="49">
        <f>IF( OR(ISBLANK(V10:V14),ISBLANK(AT10:AT14), ISBLANK(Y10:Y14),ISBLANK(AW10:AW14)), "·", bdRateExtend( V10:V14,Y10:Y14, AT10:AT14,AW10:AW14))</f>
        <v>0</v>
      </c>
      <c r="BM10" s="49">
        <f>IF( OR(ISBLANK(V10:V14),ISBLANK(AT10:AT14), ISBLANK(Z10:Z14),ISBLANK(AX10:AX14)), "·", bdRateExtend( V10:V14,Z10:Z14, AT10:AT14,AX10:AX14))</f>
        <v>0</v>
      </c>
      <c r="BN10" s="49">
        <f>IF( OR(ISBLANK(V10:V14),ISBLANK(AT10:AT14), ISBLANK(AA10:AA14),ISBLANK(AY10:AY14)), "·", bdRateExtend( V10:V14,AA10:AA14, AT10:AT14,AY10:AY14))</f>
        <v>0</v>
      </c>
      <c r="BP10" s="49">
        <f>IF( OR(ISBLANK(S10:S14),ISBLANK(AQ10:AQ14), ISBLANK(W10:W14),ISBLANK(AU10:AU14)), "·", bdRateExtend( S10:S14,W10:W14, AQ10:AQ14,AU10:AU14))</f>
        <v>0</v>
      </c>
      <c r="BQ10" s="49">
        <f>IF( OR(ISBLANK(S10:S14),ISBLANK(AQ10:AQ14), ISBLANK(X10:X14),ISBLANK(AV10:AV14)), "·", bdRateExtend( S10:S14,X10:X14, AQ10:AQ14,AV10:AV14))</f>
        <v>0</v>
      </c>
      <c r="BR10" s="49">
        <f>IF( OR(ISBLANK(S10:S14),ISBLANK(AQ10:AQ14), ISBLANK(Y10:Y14),ISBLANK(AW10:AW14)), "·", bdRateExtend( S10:S14,Y10:Y14, AQ10:AQ14,AW10:AW14))</f>
        <v>0</v>
      </c>
      <c r="BS10" s="49">
        <f>IF( OR(ISBLANK(S10:S14),ISBLANK(AQ10:AQ14), ISBLANK(Z10:Z14),ISBLANK(AX10:AX14)), "·", bdRateExtend( S10:S14,Z10:Z14, AQ10:AQ14,AX10:AX14))</f>
        <v>0</v>
      </c>
      <c r="BT10" s="49">
        <f>IF( OR(ISBLANK(S10:S14),ISBLANK(AQ10:AQ14), ISBLANK(AA10:AA14),ISBLANK(AY10:AY14)), "·", bdRateExtend( S10:S14,AA10:AA14, AQ10:AQ14,AY10:AY14))</f>
        <v>0</v>
      </c>
      <c r="BV10" s="58">
        <f t="shared" si="16"/>
        <v>0</v>
      </c>
      <c r="BW10" s="58">
        <f t="shared" si="15"/>
        <v>0</v>
      </c>
      <c r="BX10" s="58">
        <f t="shared" si="15"/>
        <v>0</v>
      </c>
      <c r="BY10" s="58">
        <f t="shared" si="15"/>
        <v>0</v>
      </c>
      <c r="BZ10" s="58">
        <f t="shared" si="15"/>
        <v>0</v>
      </c>
      <c r="CA10" s="58">
        <f t="shared" si="15"/>
        <v>0</v>
      </c>
      <c r="CB10" s="58">
        <f t="shared" si="15"/>
        <v>0</v>
      </c>
      <c r="CC10" s="58">
        <f t="shared" si="15"/>
        <v>0</v>
      </c>
      <c r="CD10" s="58">
        <f t="shared" si="15"/>
        <v>0</v>
      </c>
      <c r="CE10" s="58">
        <f t="shared" si="15"/>
        <v>0</v>
      </c>
      <c r="CF10" s="58">
        <f t="shared" si="15"/>
        <v>0</v>
      </c>
      <c r="CG10" s="58">
        <f t="shared" si="15"/>
        <v>0</v>
      </c>
      <c r="CJ10" t="s">
        <v>238</v>
      </c>
    </row>
    <row r="11" spans="1:88" outlineLevel="1">
      <c r="A11" s="52"/>
      <c r="B11" s="52" t="s">
        <v>59</v>
      </c>
      <c r="C11" s="9" t="s">
        <v>234</v>
      </c>
      <c r="D11" s="52">
        <v>218121242</v>
      </c>
      <c r="E11" s="9">
        <v>10</v>
      </c>
      <c r="F11" s="9">
        <v>32</v>
      </c>
      <c r="G11" s="9">
        <v>30</v>
      </c>
      <c r="I11" s="10">
        <f t="shared" si="0"/>
        <v>4.5967574999999998</v>
      </c>
      <c r="J11" s="11">
        <f t="shared" si="1"/>
        <v>2.2479277832096703E-2</v>
      </c>
      <c r="K11" s="11">
        <f t="shared" si="2"/>
        <v>9.7845765980004822E-3</v>
      </c>
      <c r="L11" s="11">
        <f t="shared" si="3"/>
        <v>6.0305543281291233E-3</v>
      </c>
      <c r="M11" s="11">
        <f t="shared" si="4"/>
        <v>1.2694114404501694E-2</v>
      </c>
      <c r="N11" s="52">
        <f t="shared" si="5"/>
        <v>2134224</v>
      </c>
      <c r="O11" s="11">
        <v>16</v>
      </c>
      <c r="P11" s="12">
        <v>22097663</v>
      </c>
      <c r="Q11" s="12">
        <v>690551.96875</v>
      </c>
      <c r="R11" s="12">
        <v>22957.28125</v>
      </c>
      <c r="S11" s="13">
        <v>4903208</v>
      </c>
      <c r="T11" s="13">
        <v>1315392</v>
      </c>
      <c r="U11" s="13">
        <v>818832</v>
      </c>
      <c r="V11" s="13">
        <v>2768856</v>
      </c>
      <c r="W11" s="14">
        <v>67.607918999999995</v>
      </c>
      <c r="X11" s="14">
        <v>69.699944000000002</v>
      </c>
      <c r="Y11" s="14">
        <v>34.247959000000002</v>
      </c>
      <c r="Z11" s="14">
        <v>40.027191000000002</v>
      </c>
      <c r="AA11" s="14">
        <v>33.861477999999998</v>
      </c>
      <c r="AB11" s="15">
        <v>3451.51</v>
      </c>
      <c r="AC11" s="15">
        <v>1139.6600000000001</v>
      </c>
      <c r="AD11" s="15">
        <v>59.606000000000002</v>
      </c>
      <c r="AE11" s="15">
        <v>16.934999999999999</v>
      </c>
      <c r="AG11" s="10">
        <f t="shared" si="6"/>
        <v>4.5967574999999998</v>
      </c>
      <c r="AH11" s="11">
        <f t="shared" si="7"/>
        <v>2.2479277832096703E-2</v>
      </c>
      <c r="AI11" s="11">
        <f t="shared" si="8"/>
        <v>9.7845765980004822E-3</v>
      </c>
      <c r="AJ11" s="11">
        <f t="shared" si="9"/>
        <v>6.0305543281291233E-3</v>
      </c>
      <c r="AK11" s="11">
        <f t="shared" si="10"/>
        <v>1.2694114404501694E-2</v>
      </c>
      <c r="AL11" s="52">
        <f t="shared" si="11"/>
        <v>2134224</v>
      </c>
      <c r="AM11" s="11">
        <v>16</v>
      </c>
      <c r="AN11" s="12">
        <v>22097663</v>
      </c>
      <c r="AO11" s="12">
        <v>690551.96875</v>
      </c>
      <c r="AP11" s="12">
        <v>22957.28125</v>
      </c>
      <c r="AQ11" s="13">
        <v>4903208</v>
      </c>
      <c r="AR11" s="13">
        <v>1315392</v>
      </c>
      <c r="AS11" s="13">
        <v>818832</v>
      </c>
      <c r="AT11" s="13">
        <v>2768856</v>
      </c>
      <c r="AU11" s="14">
        <v>67.607918999999995</v>
      </c>
      <c r="AV11" s="14">
        <v>69.699944000000002</v>
      </c>
      <c r="AW11" s="14">
        <v>34.247959000000002</v>
      </c>
      <c r="AX11" s="14">
        <v>40.027191000000002</v>
      </c>
      <c r="AY11" s="14">
        <v>33.861477999999998</v>
      </c>
      <c r="AZ11" s="15">
        <v>3604.72</v>
      </c>
      <c r="BA11" s="15">
        <v>1250.95</v>
      </c>
      <c r="BB11" s="15">
        <v>64.209000000000003</v>
      </c>
      <c r="BC11" s="15">
        <v>18.571999999999999</v>
      </c>
      <c r="BE11" s="50">
        <f t="shared" si="12"/>
        <v>1</v>
      </c>
      <c r="BF11" s="16">
        <f t="shared" si="13"/>
        <v>0</v>
      </c>
      <c r="BG11" s="16">
        <f t="shared" si="14"/>
        <v>0</v>
      </c>
      <c r="BH11" s="16"/>
      <c r="BJ11" s="50"/>
      <c r="BK11" s="50"/>
      <c r="BL11" s="50"/>
      <c r="BM11" s="50"/>
      <c r="BN11" s="50"/>
      <c r="BP11" s="50"/>
      <c r="BQ11" s="50"/>
      <c r="BR11" s="50"/>
      <c r="BS11" s="50"/>
      <c r="BT11" s="50"/>
      <c r="BV11" s="58">
        <f t="shared" si="16"/>
        <v>0</v>
      </c>
      <c r="BW11" s="58">
        <f t="shared" si="15"/>
        <v>0</v>
      </c>
      <c r="BX11" s="58">
        <f t="shared" si="15"/>
        <v>0</v>
      </c>
      <c r="BY11" s="58">
        <f t="shared" si="15"/>
        <v>0</v>
      </c>
      <c r="BZ11" s="58">
        <f t="shared" si="15"/>
        <v>0</v>
      </c>
      <c r="CA11" s="58">
        <f t="shared" si="15"/>
        <v>0</v>
      </c>
      <c r="CB11" s="58">
        <f t="shared" si="15"/>
        <v>0</v>
      </c>
      <c r="CC11" s="58">
        <f t="shared" si="15"/>
        <v>0</v>
      </c>
      <c r="CD11" s="58">
        <f t="shared" si="15"/>
        <v>0</v>
      </c>
      <c r="CE11" s="58">
        <f t="shared" si="15"/>
        <v>0</v>
      </c>
      <c r="CF11" s="58">
        <f t="shared" si="15"/>
        <v>0</v>
      </c>
      <c r="CG11" s="58">
        <f t="shared" si="15"/>
        <v>0</v>
      </c>
      <c r="CJ11" t="s">
        <v>238</v>
      </c>
    </row>
    <row r="12" spans="1:88" outlineLevel="1">
      <c r="A12" s="17"/>
      <c r="B12" s="17" t="s">
        <v>59</v>
      </c>
      <c r="C12" s="18" t="s">
        <v>235</v>
      </c>
      <c r="D12" s="17">
        <v>218121242</v>
      </c>
      <c r="E12" s="18">
        <v>10</v>
      </c>
      <c r="F12" s="18">
        <v>32</v>
      </c>
      <c r="G12" s="18">
        <v>30</v>
      </c>
      <c r="I12" s="19">
        <f t="shared" si="0"/>
        <v>7.1164725000000004</v>
      </c>
      <c r="J12" s="20">
        <f t="shared" si="1"/>
        <v>3.480130559682032E-2</v>
      </c>
      <c r="K12" s="20">
        <f t="shared" si="2"/>
        <v>1.2468148333760176E-2</v>
      </c>
      <c r="L12" s="20">
        <f t="shared" si="3"/>
        <v>8.714126063888817E-3</v>
      </c>
      <c r="M12" s="20">
        <f t="shared" si="4"/>
        <v>2.2332570433465624E-2</v>
      </c>
      <c r="N12" s="17">
        <f t="shared" si="5"/>
        <v>2719568</v>
      </c>
      <c r="O12" s="20">
        <v>16</v>
      </c>
      <c r="P12" s="21">
        <v>22510846</v>
      </c>
      <c r="Q12" s="21">
        <v>703463.9375</v>
      </c>
      <c r="R12" s="21">
        <v>24709.6875</v>
      </c>
      <c r="S12" s="22">
        <v>7590904</v>
      </c>
      <c r="T12" s="22">
        <v>1900736</v>
      </c>
      <c r="U12" s="22">
        <v>818832</v>
      </c>
      <c r="V12" s="22">
        <v>4871208</v>
      </c>
      <c r="W12" s="23">
        <v>68.956063</v>
      </c>
      <c r="X12" s="23">
        <v>71.331965999999994</v>
      </c>
      <c r="Y12" s="23">
        <v>36.351883999999998</v>
      </c>
      <c r="Z12" s="23">
        <v>40.928597000000003</v>
      </c>
      <c r="AA12" s="23">
        <v>35.641469000000001</v>
      </c>
      <c r="AB12" s="24">
        <v>3656.75</v>
      </c>
      <c r="AC12" s="24">
        <v>1213.04</v>
      </c>
      <c r="AD12" s="24">
        <v>59.798999999999999</v>
      </c>
      <c r="AE12" s="24">
        <v>16.132999999999999</v>
      </c>
      <c r="AG12" s="19">
        <f t="shared" si="6"/>
        <v>7.1164725000000004</v>
      </c>
      <c r="AH12" s="20">
        <f t="shared" si="7"/>
        <v>3.480130559682032E-2</v>
      </c>
      <c r="AI12" s="20">
        <f t="shared" si="8"/>
        <v>1.2468148333760176E-2</v>
      </c>
      <c r="AJ12" s="20">
        <f t="shared" si="9"/>
        <v>8.714126063888817E-3</v>
      </c>
      <c r="AK12" s="20">
        <f t="shared" si="10"/>
        <v>2.2332570433465624E-2</v>
      </c>
      <c r="AL12" s="17">
        <f t="shared" si="11"/>
        <v>2719568</v>
      </c>
      <c r="AM12" s="20">
        <v>16</v>
      </c>
      <c r="AN12" s="21">
        <v>22510846</v>
      </c>
      <c r="AO12" s="21">
        <v>703463.9375</v>
      </c>
      <c r="AP12" s="21">
        <v>24709.6875</v>
      </c>
      <c r="AQ12" s="22">
        <v>7590904</v>
      </c>
      <c r="AR12" s="22">
        <v>1900736</v>
      </c>
      <c r="AS12" s="22">
        <v>818832</v>
      </c>
      <c r="AT12" s="22">
        <v>4871208</v>
      </c>
      <c r="AU12" s="23">
        <v>68.956063</v>
      </c>
      <c r="AV12" s="23">
        <v>71.331965999999994</v>
      </c>
      <c r="AW12" s="23">
        <v>36.351883999999998</v>
      </c>
      <c r="AX12" s="23">
        <v>40.928597000000003</v>
      </c>
      <c r="AY12" s="23">
        <v>35.641469000000001</v>
      </c>
      <c r="AZ12" s="24">
        <v>3177.14</v>
      </c>
      <c r="BA12" s="24">
        <v>1129.45</v>
      </c>
      <c r="BB12" s="24">
        <v>58.201999999999998</v>
      </c>
      <c r="BC12" s="24">
        <v>16.632000000000001</v>
      </c>
      <c r="BE12" s="49">
        <f t="shared" si="12"/>
        <v>1</v>
      </c>
      <c r="BF12" s="25">
        <f t="shared" si="13"/>
        <v>0</v>
      </c>
      <c r="BG12" s="25">
        <f t="shared" si="14"/>
        <v>0</v>
      </c>
      <c r="BH12" s="25"/>
      <c r="BJ12" s="49"/>
      <c r="BK12" s="49"/>
      <c r="BL12" s="49"/>
      <c r="BM12" s="49"/>
      <c r="BN12" s="49"/>
      <c r="BP12" s="49"/>
      <c r="BQ12" s="49"/>
      <c r="BR12" s="49"/>
      <c r="BS12" s="49"/>
      <c r="BT12" s="49"/>
      <c r="BV12" s="58">
        <f t="shared" si="16"/>
        <v>0</v>
      </c>
      <c r="BW12" s="58">
        <f t="shared" si="15"/>
        <v>0</v>
      </c>
      <c r="BX12" s="58">
        <f t="shared" si="15"/>
        <v>0</v>
      </c>
      <c r="BY12" s="58">
        <f t="shared" si="15"/>
        <v>0</v>
      </c>
      <c r="BZ12" s="58">
        <f t="shared" si="15"/>
        <v>0</v>
      </c>
      <c r="CA12" s="58">
        <f t="shared" si="15"/>
        <v>0</v>
      </c>
      <c r="CB12" s="58">
        <f t="shared" si="15"/>
        <v>0</v>
      </c>
      <c r="CC12" s="58">
        <f t="shared" si="15"/>
        <v>0</v>
      </c>
      <c r="CD12" s="58">
        <f t="shared" si="15"/>
        <v>0</v>
      </c>
      <c r="CE12" s="58">
        <f t="shared" si="15"/>
        <v>0</v>
      </c>
      <c r="CF12" s="58">
        <f t="shared" si="15"/>
        <v>0</v>
      </c>
      <c r="CG12" s="58">
        <f t="shared" si="15"/>
        <v>0</v>
      </c>
      <c r="CJ12" t="s">
        <v>238</v>
      </c>
    </row>
    <row r="13" spans="1:88" outlineLevel="1">
      <c r="A13" s="52"/>
      <c r="B13" s="52" t="s">
        <v>59</v>
      </c>
      <c r="C13" s="9" t="s">
        <v>236</v>
      </c>
      <c r="D13" s="52">
        <v>218121242</v>
      </c>
      <c r="E13" s="9">
        <v>10</v>
      </c>
      <c r="F13" s="9">
        <v>32</v>
      </c>
      <c r="G13" s="9">
        <v>30</v>
      </c>
      <c r="I13" s="10">
        <f t="shared" si="0"/>
        <v>11.999280000000001</v>
      </c>
      <c r="J13" s="11">
        <f t="shared" si="1"/>
        <v>5.8679438474864357E-2</v>
      </c>
      <c r="K13" s="11">
        <f t="shared" si="2"/>
        <v>1.7149581424077898E-2</v>
      </c>
      <c r="L13" s="11">
        <f t="shared" si="3"/>
        <v>1.3395559154206539E-2</v>
      </c>
      <c r="M13" s="11">
        <f t="shared" si="4"/>
        <v>4.152927022119194E-2</v>
      </c>
      <c r="N13" s="52">
        <f t="shared" si="5"/>
        <v>3740688</v>
      </c>
      <c r="O13" s="11">
        <v>16</v>
      </c>
      <c r="P13" s="12">
        <v>23291739</v>
      </c>
      <c r="Q13" s="12">
        <v>727866.84375</v>
      </c>
      <c r="R13" s="12">
        <v>28062.03125</v>
      </c>
      <c r="S13" s="13">
        <v>12799232</v>
      </c>
      <c r="T13" s="13">
        <v>2921856</v>
      </c>
      <c r="U13" s="13">
        <v>818832</v>
      </c>
      <c r="V13" s="13">
        <v>9058416</v>
      </c>
      <c r="W13" s="14">
        <v>70.072275000000005</v>
      </c>
      <c r="X13" s="14">
        <v>72.590205999999995</v>
      </c>
      <c r="Y13" s="14">
        <v>38.665965999999997</v>
      </c>
      <c r="Z13" s="14">
        <v>42.107503000000001</v>
      </c>
      <c r="AA13" s="14">
        <v>37.689275000000002</v>
      </c>
      <c r="AB13" s="15">
        <v>3562.06</v>
      </c>
      <c r="AC13" s="15">
        <v>1287.29</v>
      </c>
      <c r="AD13" s="15">
        <v>65.070999999999998</v>
      </c>
      <c r="AE13" s="15">
        <v>19.66</v>
      </c>
      <c r="AG13" s="10">
        <f t="shared" si="6"/>
        <v>11.999280000000001</v>
      </c>
      <c r="AH13" s="11">
        <f t="shared" si="7"/>
        <v>5.8679438474864357E-2</v>
      </c>
      <c r="AI13" s="11">
        <f t="shared" si="8"/>
        <v>1.7149581424077898E-2</v>
      </c>
      <c r="AJ13" s="11">
        <f t="shared" si="9"/>
        <v>1.3395559154206539E-2</v>
      </c>
      <c r="AK13" s="11">
        <f t="shared" si="10"/>
        <v>4.152927022119194E-2</v>
      </c>
      <c r="AL13" s="52">
        <f t="shared" si="11"/>
        <v>3740688</v>
      </c>
      <c r="AM13" s="11">
        <v>16</v>
      </c>
      <c r="AN13" s="12">
        <v>23291739</v>
      </c>
      <c r="AO13" s="12">
        <v>727866.84375</v>
      </c>
      <c r="AP13" s="12">
        <v>28062.03125</v>
      </c>
      <c r="AQ13" s="13">
        <v>12799232</v>
      </c>
      <c r="AR13" s="13">
        <v>2921856</v>
      </c>
      <c r="AS13" s="13">
        <v>818832</v>
      </c>
      <c r="AT13" s="13">
        <v>9058416</v>
      </c>
      <c r="AU13" s="14">
        <v>70.072275000000005</v>
      </c>
      <c r="AV13" s="14">
        <v>72.590205999999995</v>
      </c>
      <c r="AW13" s="14">
        <v>38.665965999999997</v>
      </c>
      <c r="AX13" s="14">
        <v>42.107503000000001</v>
      </c>
      <c r="AY13" s="14">
        <v>37.689275000000002</v>
      </c>
      <c r="AZ13" s="15">
        <v>3471.58</v>
      </c>
      <c r="BA13" s="15">
        <v>1282.24</v>
      </c>
      <c r="BB13" s="15">
        <v>58.845999999999997</v>
      </c>
      <c r="BC13" s="15">
        <v>17.643000000000001</v>
      </c>
      <c r="BE13" s="50">
        <f t="shared" si="12"/>
        <v>1</v>
      </c>
      <c r="BF13" s="16">
        <f t="shared" si="13"/>
        <v>0</v>
      </c>
      <c r="BG13" s="16">
        <f t="shared" si="14"/>
        <v>0</v>
      </c>
      <c r="BH13" s="16"/>
      <c r="BJ13" s="50"/>
      <c r="BK13" s="50"/>
      <c r="BL13" s="50"/>
      <c r="BM13" s="50"/>
      <c r="BN13" s="50"/>
      <c r="BP13" s="50"/>
      <c r="BQ13" s="50"/>
      <c r="BR13" s="50"/>
      <c r="BS13" s="50"/>
      <c r="BT13" s="50"/>
      <c r="BV13" s="58">
        <f t="shared" si="16"/>
        <v>0</v>
      </c>
      <c r="BW13" s="58">
        <f t="shared" si="15"/>
        <v>0</v>
      </c>
      <c r="BX13" s="58">
        <f t="shared" si="15"/>
        <v>0</v>
      </c>
      <c r="BY13" s="58">
        <f t="shared" si="15"/>
        <v>0</v>
      </c>
      <c r="BZ13" s="58">
        <f t="shared" si="15"/>
        <v>0</v>
      </c>
      <c r="CA13" s="58">
        <f t="shared" si="15"/>
        <v>0</v>
      </c>
      <c r="CB13" s="58">
        <f t="shared" si="15"/>
        <v>0</v>
      </c>
      <c r="CC13" s="58">
        <f t="shared" si="15"/>
        <v>0</v>
      </c>
      <c r="CD13" s="58">
        <f t="shared" si="15"/>
        <v>0</v>
      </c>
      <c r="CE13" s="58">
        <f t="shared" si="15"/>
        <v>0</v>
      </c>
      <c r="CF13" s="58">
        <f t="shared" si="15"/>
        <v>0</v>
      </c>
      <c r="CG13" s="58">
        <f t="shared" si="15"/>
        <v>0</v>
      </c>
      <c r="CJ13" t="s">
        <v>238</v>
      </c>
    </row>
    <row r="14" spans="1:88" ht="16" outlineLevel="1" thickBot="1">
      <c r="A14" s="17"/>
      <c r="B14" s="36" t="s">
        <v>59</v>
      </c>
      <c r="C14" s="37" t="s">
        <v>237</v>
      </c>
      <c r="D14" s="36">
        <v>218121242</v>
      </c>
      <c r="E14" s="37">
        <v>10</v>
      </c>
      <c r="F14" s="37">
        <v>32</v>
      </c>
      <c r="G14" s="37">
        <v>30</v>
      </c>
      <c r="I14" s="38">
        <f t="shared" si="0"/>
        <v>21.5566125</v>
      </c>
      <c r="J14" s="39">
        <f t="shared" si="1"/>
        <v>0.10541715143910652</v>
      </c>
      <c r="K14" s="39">
        <f t="shared" si="2"/>
        <v>2.822940096774252E-2</v>
      </c>
      <c r="L14" s="39">
        <f t="shared" si="3"/>
        <v>2.1154363315059429E-2</v>
      </c>
      <c r="M14" s="39">
        <f t="shared" si="4"/>
        <v>7.7187163641769474E-2</v>
      </c>
      <c r="N14" s="36">
        <f t="shared" si="5"/>
        <v>6157432</v>
      </c>
      <c r="O14" s="39">
        <v>16</v>
      </c>
      <c r="P14" s="40">
        <v>22124056</v>
      </c>
      <c r="Q14" s="40">
        <v>691376.75</v>
      </c>
      <c r="R14" s="40">
        <v>13278.71875</v>
      </c>
      <c r="S14" s="41">
        <v>22993720</v>
      </c>
      <c r="T14" s="41">
        <v>4614216</v>
      </c>
      <c r="U14" s="41">
        <v>1543216</v>
      </c>
      <c r="V14" s="41">
        <v>16836160</v>
      </c>
      <c r="W14" s="42">
        <v>70.923046999999997</v>
      </c>
      <c r="X14" s="42">
        <v>74.675602999999995</v>
      </c>
      <c r="Y14" s="42">
        <v>40.962909000000003</v>
      </c>
      <c r="Z14" s="42">
        <v>43.423147</v>
      </c>
      <c r="AA14" s="42">
        <v>39.504384000000002</v>
      </c>
      <c r="AB14" s="43">
        <v>3812.21</v>
      </c>
      <c r="AC14" s="43">
        <v>1497.36</v>
      </c>
      <c r="AD14" s="43">
        <v>60.753999999999998</v>
      </c>
      <c r="AE14" s="43">
        <v>20.332000000000001</v>
      </c>
      <c r="AG14" s="38">
        <f t="shared" si="6"/>
        <v>21.5566125</v>
      </c>
      <c r="AH14" s="39">
        <f t="shared" si="7"/>
        <v>0.10541715143910652</v>
      </c>
      <c r="AI14" s="39">
        <f t="shared" si="8"/>
        <v>2.822940096774252E-2</v>
      </c>
      <c r="AJ14" s="39">
        <f t="shared" si="9"/>
        <v>2.1154363315059429E-2</v>
      </c>
      <c r="AK14" s="39">
        <f t="shared" si="10"/>
        <v>7.7187163641769474E-2</v>
      </c>
      <c r="AL14" s="36">
        <f t="shared" si="11"/>
        <v>6157432</v>
      </c>
      <c r="AM14" s="39">
        <v>16</v>
      </c>
      <c r="AN14" s="40">
        <v>22124056</v>
      </c>
      <c r="AO14" s="40">
        <v>691376.75</v>
      </c>
      <c r="AP14" s="40">
        <v>13278.71875</v>
      </c>
      <c r="AQ14" s="41">
        <v>22993720</v>
      </c>
      <c r="AR14" s="41">
        <v>4614216</v>
      </c>
      <c r="AS14" s="41">
        <v>1543216</v>
      </c>
      <c r="AT14" s="41">
        <v>16836160</v>
      </c>
      <c r="AU14" s="42">
        <v>70.923046999999997</v>
      </c>
      <c r="AV14" s="42">
        <v>74.675602999999995</v>
      </c>
      <c r="AW14" s="42">
        <v>40.962909000000003</v>
      </c>
      <c r="AX14" s="42">
        <v>43.423147</v>
      </c>
      <c r="AY14" s="42">
        <v>39.504384000000002</v>
      </c>
      <c r="AZ14" s="43">
        <v>3421.74</v>
      </c>
      <c r="BA14" s="43">
        <v>1450.23</v>
      </c>
      <c r="BB14" s="43">
        <v>58.74</v>
      </c>
      <c r="BC14" s="43">
        <v>20.332000000000001</v>
      </c>
      <c r="BE14" s="44">
        <f t="shared" si="12"/>
        <v>1</v>
      </c>
      <c r="BF14" s="45">
        <f t="shared" si="13"/>
        <v>0</v>
      </c>
      <c r="BG14" s="45">
        <f t="shared" si="14"/>
        <v>0</v>
      </c>
      <c r="BH14" s="45"/>
      <c r="BJ14" s="44"/>
      <c r="BK14" s="44"/>
      <c r="BL14" s="44"/>
      <c r="BM14" s="44"/>
      <c r="BN14" s="44"/>
      <c r="BP14" s="44"/>
      <c r="BQ14" s="44"/>
      <c r="BR14" s="44"/>
      <c r="BS14" s="44"/>
      <c r="BT14" s="44"/>
      <c r="BV14" s="58">
        <f t="shared" si="16"/>
        <v>0</v>
      </c>
      <c r="BW14" s="58">
        <f t="shared" si="15"/>
        <v>0</v>
      </c>
      <c r="BX14" s="58">
        <f t="shared" si="15"/>
        <v>0</v>
      </c>
      <c r="BY14" s="58">
        <f t="shared" si="15"/>
        <v>0</v>
      </c>
      <c r="BZ14" s="58">
        <f t="shared" si="15"/>
        <v>0</v>
      </c>
      <c r="CA14" s="58">
        <f t="shared" si="15"/>
        <v>0</v>
      </c>
      <c r="CB14" s="58">
        <f t="shared" si="15"/>
        <v>0</v>
      </c>
      <c r="CC14" s="58">
        <f t="shared" si="15"/>
        <v>0</v>
      </c>
      <c r="CD14" s="58">
        <f t="shared" si="15"/>
        <v>0</v>
      </c>
      <c r="CE14" s="58">
        <f t="shared" si="15"/>
        <v>0</v>
      </c>
      <c r="CF14" s="58">
        <f t="shared" si="15"/>
        <v>0</v>
      </c>
      <c r="CG14" s="58">
        <f t="shared" si="15"/>
        <v>0</v>
      </c>
      <c r="CJ14" t="s">
        <v>238</v>
      </c>
    </row>
    <row r="15" spans="1:88">
      <c r="A15" s="52"/>
      <c r="B15" s="52" t="s">
        <v>64</v>
      </c>
      <c r="C15" s="9" t="s">
        <v>232</v>
      </c>
      <c r="D15" s="52">
        <v>322589704</v>
      </c>
      <c r="E15" s="9">
        <v>10</v>
      </c>
      <c r="F15" s="9">
        <v>32</v>
      </c>
      <c r="G15" s="9">
        <v>30</v>
      </c>
      <c r="I15" s="10">
        <f t="shared" si="0"/>
        <v>4.3822049999999999</v>
      </c>
      <c r="J15" s="11">
        <f t="shared" si="1"/>
        <v>1.4490084283657112E-2</v>
      </c>
      <c r="K15" s="11">
        <f t="shared" si="2"/>
        <v>8.1685930063037596E-3</v>
      </c>
      <c r="L15" s="11">
        <f t="shared" si="3"/>
        <v>4.3923534521734149E-3</v>
      </c>
      <c r="M15" s="11">
        <f t="shared" si="4"/>
        <v>6.3210944884961361E-3</v>
      </c>
      <c r="N15" s="52">
        <f t="shared" si="5"/>
        <v>2635104</v>
      </c>
      <c r="O15" s="11">
        <v>16</v>
      </c>
      <c r="P15" s="12">
        <v>31086837</v>
      </c>
      <c r="Q15" s="12">
        <v>971463.65625</v>
      </c>
      <c r="R15" s="12">
        <v>27944.21875</v>
      </c>
      <c r="S15" s="13">
        <v>4674352</v>
      </c>
      <c r="T15" s="13">
        <v>1416928</v>
      </c>
      <c r="U15" s="13">
        <v>1218176</v>
      </c>
      <c r="V15" s="13">
        <v>2039120</v>
      </c>
      <c r="W15" s="14">
        <v>65.923106000000004</v>
      </c>
      <c r="X15" s="14">
        <v>67.661794</v>
      </c>
      <c r="Y15" s="14">
        <v>29.414641</v>
      </c>
      <c r="Z15" s="14">
        <v>43.125697000000002</v>
      </c>
      <c r="AA15" s="14">
        <v>43.263359000000001</v>
      </c>
      <c r="AB15" s="15">
        <v>5890.86</v>
      </c>
      <c r="AC15" s="15">
        <v>1337.5</v>
      </c>
      <c r="AD15" s="15">
        <v>92.608999999999995</v>
      </c>
      <c r="AE15" s="15">
        <v>19.042000000000002</v>
      </c>
      <c r="AG15" s="10">
        <f t="shared" si="6"/>
        <v>4.3822049999999999</v>
      </c>
      <c r="AH15" s="11">
        <f t="shared" si="7"/>
        <v>1.4490084283657112E-2</v>
      </c>
      <c r="AI15" s="11">
        <f t="shared" si="8"/>
        <v>8.1685930063037596E-3</v>
      </c>
      <c r="AJ15" s="11">
        <f t="shared" si="9"/>
        <v>4.3923534521734149E-3</v>
      </c>
      <c r="AK15" s="11">
        <f t="shared" si="10"/>
        <v>6.3210944884961361E-3</v>
      </c>
      <c r="AL15" s="52">
        <f t="shared" si="11"/>
        <v>2635104</v>
      </c>
      <c r="AM15" s="11">
        <v>16</v>
      </c>
      <c r="AN15" s="12">
        <v>31086837</v>
      </c>
      <c r="AO15" s="12">
        <v>971463.65625</v>
      </c>
      <c r="AP15" s="12">
        <v>27944.21875</v>
      </c>
      <c r="AQ15" s="13">
        <v>4674352</v>
      </c>
      <c r="AR15" s="13">
        <v>1416928</v>
      </c>
      <c r="AS15" s="13">
        <v>1218176</v>
      </c>
      <c r="AT15" s="13">
        <v>2039120</v>
      </c>
      <c r="AU15" s="14">
        <v>65.923106000000004</v>
      </c>
      <c r="AV15" s="14">
        <v>67.661794</v>
      </c>
      <c r="AW15" s="14">
        <v>29.414641</v>
      </c>
      <c r="AX15" s="14">
        <v>43.125697000000002</v>
      </c>
      <c r="AY15" s="14">
        <v>43.263359000000001</v>
      </c>
      <c r="AZ15" s="15">
        <v>5983.07</v>
      </c>
      <c r="BA15" s="15">
        <v>1454.35</v>
      </c>
      <c r="BB15" s="15">
        <v>93.272000000000006</v>
      </c>
      <c r="BC15" s="15">
        <v>21.908999999999999</v>
      </c>
      <c r="BE15" s="50">
        <f t="shared" si="12"/>
        <v>1</v>
      </c>
      <c r="BF15" s="16">
        <f t="shared" si="13"/>
        <v>0</v>
      </c>
      <c r="BG15" s="16">
        <f t="shared" si="14"/>
        <v>0</v>
      </c>
      <c r="BH15" s="16">
        <f t="array" ref="BH15">AVERAGE(AL15:AL19/AQ15:AQ19) - AVERAGE(N15:N19/S15:S19)</f>
        <v>3.5898309658222161E-8</v>
      </c>
      <c r="BJ15" s="50">
        <f>IF( OR(ISBLANK(N15:N19),ISBLANK(AL15:AL19), ISBLANK(W15:W19),ISBLANK(AU15:AU19)), "·", bdRateExtend( N15:N19,W15:W19, AL15:AL19,AU15:AU19))</f>
        <v>4.6244962437214099E-7</v>
      </c>
      <c r="BK15" s="50">
        <f>IF( OR(ISBLANK(N15:N19),ISBLANK(AL15:AL19), ISBLANK(X15:X19),ISBLANK(AV15:AV19)), "·", bdRateExtend( N15:N19,X15:X19, AL15:AL19,AV15:AV19))</f>
        <v>4.8186272283423648E-7</v>
      </c>
      <c r="BL15" s="50">
        <f>IF( OR(ISBLANK(V15:V19),ISBLANK(AT15:AT19), ISBLANK(Y15:Y19),ISBLANK(AW15:AW19)), "·", bdRateExtend( V15:V19,Y15:Y19, AT15:AT19,AW15:AW19))</f>
        <v>0</v>
      </c>
      <c r="BM15" s="50">
        <f>IF( OR(ISBLANK(V15:V19),ISBLANK(AT15:AT19), ISBLANK(Z15:Z19),ISBLANK(AX15:AX19)), "·", bdRateExtend( V15:V19,Z15:Z19, AT15:AT19,AX15:AX19))</f>
        <v>0</v>
      </c>
      <c r="BN15" s="50">
        <f>IF( OR(ISBLANK(V15:V19),ISBLANK(AT15:AT19), ISBLANK(AA15:AA19),ISBLANK(AY15:AY19)), "·", bdRateExtend( V15:V19,AA15:AA19, AT15:AT19,AY15:AY19))</f>
        <v>0</v>
      </c>
      <c r="BP15" s="50">
        <f>IF( OR(ISBLANK(S15:S19),ISBLANK(AQ15:AQ19), ISBLANK(W15:W19),ISBLANK(AU15:AU19)), "·", bdRateExtend( S15:S19,W15:W19, AQ15:AQ19,AU15:AU19))</f>
        <v>2.497028817050051E-7</v>
      </c>
      <c r="BQ15" s="50">
        <f>IF( OR(ISBLANK(S15:S19),ISBLANK(AQ15:AQ19), ISBLANK(X15:X19),ISBLANK(AV15:AV19)), "·", bdRateExtend( S15:S19,X15:X19, AQ15:AQ19,AV15:AV19))</f>
        <v>2.3771646984194206E-7</v>
      </c>
      <c r="BR15" s="50">
        <f>IF( OR(ISBLANK(S15:S19),ISBLANK(AQ15:AQ19), ISBLANK(Y15:Y19),ISBLANK(AW15:AW19)), "·", bdRateExtend( S15:S19,Y15:Y19, AQ15:AQ19,AW15:AW19))</f>
        <v>1.4618177157643686E-7</v>
      </c>
      <c r="BS15" s="50">
        <f>IF( OR(ISBLANK(S15:S19),ISBLANK(AQ15:AQ19), ISBLANK(Z15:Z19),ISBLANK(AX15:AX19)), "·", bdRateExtend( S15:S19,Z15:Z19, AQ15:AQ19,AX15:AX19))</f>
        <v>9.1472500907130438E-8</v>
      </c>
      <c r="BT15" s="50">
        <f>IF( OR(ISBLANK(S15:S19),ISBLANK(AQ15:AQ19), ISBLANK(AA15:AA19),ISBLANK(AY15:AY19)), "·", bdRateExtend( S15:S19,AA15:AA19, AQ15:AQ19,AY15:AY19))</f>
        <v>1.056222953543795E-7</v>
      </c>
      <c r="BV15" s="58">
        <f t="shared" si="16"/>
        <v>0</v>
      </c>
      <c r="BW15" s="58">
        <f t="shared" si="15"/>
        <v>0</v>
      </c>
      <c r="BX15" s="58">
        <f t="shared" si="15"/>
        <v>0</v>
      </c>
      <c r="BY15" s="58">
        <f t="shared" si="15"/>
        <v>0</v>
      </c>
      <c r="BZ15" s="58">
        <f t="shared" si="15"/>
        <v>0</v>
      </c>
      <c r="CA15" s="58">
        <f t="shared" si="15"/>
        <v>0</v>
      </c>
      <c r="CB15" s="58">
        <f t="shared" si="15"/>
        <v>0</v>
      </c>
      <c r="CC15" s="58">
        <f t="shared" si="15"/>
        <v>0</v>
      </c>
      <c r="CD15" s="58">
        <f t="shared" si="15"/>
        <v>0</v>
      </c>
      <c r="CE15" s="58">
        <f t="shared" si="15"/>
        <v>0</v>
      </c>
      <c r="CF15" s="58">
        <f t="shared" si="15"/>
        <v>0</v>
      </c>
      <c r="CG15" s="58">
        <f t="shared" si="15"/>
        <v>0</v>
      </c>
      <c r="CJ15" t="s">
        <v>233</v>
      </c>
    </row>
    <row r="16" spans="1:88" outlineLevel="1">
      <c r="A16" s="17"/>
      <c r="B16" s="17" t="s">
        <v>64</v>
      </c>
      <c r="C16" s="18" t="s">
        <v>234</v>
      </c>
      <c r="D16" s="17">
        <v>322589704</v>
      </c>
      <c r="E16" s="18">
        <v>10</v>
      </c>
      <c r="F16" s="18">
        <v>32</v>
      </c>
      <c r="G16" s="18">
        <v>30</v>
      </c>
      <c r="I16" s="19">
        <f t="shared" si="0"/>
        <v>6.9782475000000002</v>
      </c>
      <c r="J16" s="20">
        <f t="shared" si="1"/>
        <v>2.3074090424163071E-2</v>
      </c>
      <c r="K16" s="20">
        <f t="shared" si="2"/>
        <v>9.9739823066392723E-3</v>
      </c>
      <c r="L16" s="20">
        <f t="shared" si="3"/>
        <v>6.1977427525089267E-3</v>
      </c>
      <c r="M16" s="20">
        <f t="shared" si="4"/>
        <v>1.3099711328666584E-2</v>
      </c>
      <c r="N16" s="17">
        <f t="shared" si="5"/>
        <v>3217504</v>
      </c>
      <c r="O16" s="20">
        <v>16</v>
      </c>
      <c r="P16" s="21">
        <v>33185472</v>
      </c>
      <c r="Q16" s="21">
        <v>1037046</v>
      </c>
      <c r="R16" s="21">
        <v>34748.59375</v>
      </c>
      <c r="S16" s="22">
        <v>7443464</v>
      </c>
      <c r="T16" s="22">
        <v>1999328</v>
      </c>
      <c r="U16" s="22">
        <v>1218176</v>
      </c>
      <c r="V16" s="22">
        <v>4225832</v>
      </c>
      <c r="W16" s="23">
        <v>67.712850000000003</v>
      </c>
      <c r="X16" s="23">
        <v>69.741403000000005</v>
      </c>
      <c r="Y16" s="23">
        <v>31.808309000000001</v>
      </c>
      <c r="Z16" s="23">
        <v>43.976703000000001</v>
      </c>
      <c r="AA16" s="23">
        <v>44.262891000000003</v>
      </c>
      <c r="AB16" s="24">
        <v>5120.62</v>
      </c>
      <c r="AC16" s="24">
        <v>1112.58</v>
      </c>
      <c r="AD16" s="24">
        <v>86.433999999999997</v>
      </c>
      <c r="AE16" s="24">
        <v>17.344999999999999</v>
      </c>
      <c r="AG16" s="19">
        <f t="shared" si="6"/>
        <v>6.9782549999999999</v>
      </c>
      <c r="AH16" s="20">
        <f t="shared" si="7"/>
        <v>2.3074115223466647E-2</v>
      </c>
      <c r="AI16" s="20">
        <f t="shared" si="8"/>
        <v>9.9740071059428483E-3</v>
      </c>
      <c r="AJ16" s="20">
        <f t="shared" si="9"/>
        <v>6.1977427525089267E-3</v>
      </c>
      <c r="AK16" s="20">
        <f t="shared" si="10"/>
        <v>1.3099711328666584E-2</v>
      </c>
      <c r="AL16" s="17">
        <f t="shared" si="11"/>
        <v>3217512</v>
      </c>
      <c r="AM16" s="20">
        <v>16</v>
      </c>
      <c r="AN16" s="21">
        <v>33185472</v>
      </c>
      <c r="AO16" s="21">
        <v>1037046</v>
      </c>
      <c r="AP16" s="21">
        <v>34748.59375</v>
      </c>
      <c r="AQ16" s="22">
        <v>7443472</v>
      </c>
      <c r="AR16" s="22">
        <v>1999328</v>
      </c>
      <c r="AS16" s="22">
        <v>1218184</v>
      </c>
      <c r="AT16" s="22">
        <v>4225832</v>
      </c>
      <c r="AU16" s="23">
        <v>67.712850000000003</v>
      </c>
      <c r="AV16" s="23">
        <v>69.741403000000005</v>
      </c>
      <c r="AW16" s="23">
        <v>31.808309000000001</v>
      </c>
      <c r="AX16" s="23">
        <v>43.976703000000001</v>
      </c>
      <c r="AY16" s="23">
        <v>44.262891000000003</v>
      </c>
      <c r="AZ16" s="24">
        <v>4615.3</v>
      </c>
      <c r="BA16" s="24">
        <v>1049.97</v>
      </c>
      <c r="BB16" s="24">
        <v>80.659000000000006</v>
      </c>
      <c r="BC16" s="24">
        <v>15.164</v>
      </c>
      <c r="BE16" s="49">
        <f t="shared" si="12"/>
        <v>1.0000024863993953</v>
      </c>
      <c r="BF16" s="25">
        <f t="shared" si="13"/>
        <v>0</v>
      </c>
      <c r="BG16" s="25">
        <f t="shared" si="14"/>
        <v>6.1018948255275873E-7</v>
      </c>
      <c r="BH16" s="25"/>
      <c r="BJ16" s="49"/>
      <c r="BK16" s="49"/>
      <c r="BL16" s="49"/>
      <c r="BM16" s="49"/>
      <c r="BN16" s="49"/>
      <c r="BP16" s="49"/>
      <c r="BQ16" s="49"/>
      <c r="BR16" s="49"/>
      <c r="BS16" s="49"/>
      <c r="BT16" s="49"/>
      <c r="BV16" s="58">
        <f t="shared" si="16"/>
        <v>0</v>
      </c>
      <c r="BW16" s="58">
        <f t="shared" si="15"/>
        <v>0</v>
      </c>
      <c r="BX16" s="58">
        <f t="shared" si="15"/>
        <v>0</v>
      </c>
      <c r="BY16" s="58">
        <f t="shared" si="15"/>
        <v>8</v>
      </c>
      <c r="BZ16" s="58">
        <f t="shared" si="15"/>
        <v>0</v>
      </c>
      <c r="CA16" s="58">
        <f t="shared" si="15"/>
        <v>8</v>
      </c>
      <c r="CB16" s="58">
        <f t="shared" si="15"/>
        <v>0</v>
      </c>
      <c r="CC16" s="58">
        <f t="shared" si="15"/>
        <v>0</v>
      </c>
      <c r="CD16" s="58">
        <f t="shared" si="15"/>
        <v>0</v>
      </c>
      <c r="CE16" s="58">
        <f t="shared" si="15"/>
        <v>0</v>
      </c>
      <c r="CF16" s="58">
        <f t="shared" si="15"/>
        <v>0</v>
      </c>
      <c r="CG16" s="58">
        <f t="shared" si="15"/>
        <v>0</v>
      </c>
      <c r="CJ16" t="s">
        <v>233</v>
      </c>
    </row>
    <row r="17" spans="1:88" outlineLevel="1">
      <c r="A17" s="52"/>
      <c r="B17" s="52" t="s">
        <v>64</v>
      </c>
      <c r="C17" s="9" t="s">
        <v>235</v>
      </c>
      <c r="D17" s="52">
        <v>322589704</v>
      </c>
      <c r="E17" s="9">
        <v>10</v>
      </c>
      <c r="F17" s="9">
        <v>32</v>
      </c>
      <c r="G17" s="9">
        <v>30</v>
      </c>
      <c r="I17" s="10">
        <f t="shared" si="0"/>
        <v>11.6648475</v>
      </c>
      <c r="J17" s="11">
        <f t="shared" si="1"/>
        <v>3.8570679242757235E-2</v>
      </c>
      <c r="K17" s="11">
        <f t="shared" si="2"/>
        <v>1.2733351216937786E-2</v>
      </c>
      <c r="L17" s="11">
        <f t="shared" si="3"/>
        <v>8.9570868635038652E-3</v>
      </c>
      <c r="M17" s="11">
        <f t="shared" si="4"/>
        <v>2.5836931236962232E-2</v>
      </c>
      <c r="N17" s="52">
        <f t="shared" si="5"/>
        <v>4107648</v>
      </c>
      <c r="O17" s="11">
        <v>16</v>
      </c>
      <c r="P17" s="12">
        <v>33604345</v>
      </c>
      <c r="Q17" s="12">
        <v>1050135.78125</v>
      </c>
      <c r="R17" s="12">
        <v>36572.96875</v>
      </c>
      <c r="S17" s="13">
        <v>12442504</v>
      </c>
      <c r="T17" s="13">
        <v>2889464</v>
      </c>
      <c r="U17" s="13">
        <v>1218184</v>
      </c>
      <c r="V17" s="13">
        <v>8334728</v>
      </c>
      <c r="W17" s="14">
        <v>69.134438000000003</v>
      </c>
      <c r="X17" s="14">
        <v>71.597097000000005</v>
      </c>
      <c r="Y17" s="14">
        <v>34.352063000000001</v>
      </c>
      <c r="Z17" s="14">
        <v>44.796078000000001</v>
      </c>
      <c r="AA17" s="14">
        <v>45.206769000000001</v>
      </c>
      <c r="AB17" s="15">
        <v>4771.3100000000004</v>
      </c>
      <c r="AC17" s="15">
        <v>1306.21</v>
      </c>
      <c r="AD17" s="15">
        <v>83.471000000000004</v>
      </c>
      <c r="AE17" s="15">
        <v>16.199000000000002</v>
      </c>
      <c r="AG17" s="10">
        <f t="shared" si="6"/>
        <v>11.66484</v>
      </c>
      <c r="AH17" s="11">
        <f t="shared" si="7"/>
        <v>3.8570654443453659E-2</v>
      </c>
      <c r="AI17" s="11">
        <f t="shared" si="8"/>
        <v>1.273332641763421E-2</v>
      </c>
      <c r="AJ17" s="11">
        <f t="shared" si="9"/>
        <v>8.9570868635038652E-3</v>
      </c>
      <c r="AK17" s="11">
        <f t="shared" si="10"/>
        <v>2.5836931236962232E-2</v>
      </c>
      <c r="AL17" s="52">
        <f t="shared" si="11"/>
        <v>4107640</v>
      </c>
      <c r="AM17" s="11">
        <v>16</v>
      </c>
      <c r="AN17" s="12">
        <v>33604345</v>
      </c>
      <c r="AO17" s="12">
        <v>1050135.78125</v>
      </c>
      <c r="AP17" s="12">
        <v>36572.96875</v>
      </c>
      <c r="AQ17" s="13">
        <v>12442496</v>
      </c>
      <c r="AR17" s="13">
        <v>2889464</v>
      </c>
      <c r="AS17" s="13">
        <v>1218176</v>
      </c>
      <c r="AT17" s="13">
        <v>8334728</v>
      </c>
      <c r="AU17" s="14">
        <v>69.134438000000003</v>
      </c>
      <c r="AV17" s="14">
        <v>71.597097000000005</v>
      </c>
      <c r="AW17" s="14">
        <v>34.352063000000001</v>
      </c>
      <c r="AX17" s="14">
        <v>44.796078000000001</v>
      </c>
      <c r="AY17" s="14">
        <v>45.206769000000001</v>
      </c>
      <c r="AZ17" s="15">
        <v>4842.3500000000004</v>
      </c>
      <c r="BA17" s="15">
        <v>1153.52</v>
      </c>
      <c r="BB17" s="15">
        <v>82.894999999999996</v>
      </c>
      <c r="BC17" s="15">
        <v>16.404</v>
      </c>
      <c r="BE17" s="50">
        <f t="shared" si="12"/>
        <v>0.9999980524134493</v>
      </c>
      <c r="BF17" s="16">
        <f t="shared" si="13"/>
        <v>0</v>
      </c>
      <c r="BG17" s="16">
        <f t="shared" si="14"/>
        <v>-4.3069793459471484E-7</v>
      </c>
      <c r="BH17" s="16"/>
      <c r="BJ17" s="50"/>
      <c r="BK17" s="50"/>
      <c r="BL17" s="50"/>
      <c r="BM17" s="50"/>
      <c r="BN17" s="50"/>
      <c r="BP17" s="50"/>
      <c r="BQ17" s="50"/>
      <c r="BR17" s="50"/>
      <c r="BS17" s="50"/>
      <c r="BT17" s="50"/>
      <c r="BV17" s="58">
        <f t="shared" si="16"/>
        <v>0</v>
      </c>
      <c r="BW17" s="58">
        <f t="shared" si="15"/>
        <v>0</v>
      </c>
      <c r="BX17" s="58">
        <f t="shared" si="15"/>
        <v>0</v>
      </c>
      <c r="BY17" s="58">
        <f t="shared" si="15"/>
        <v>-8</v>
      </c>
      <c r="BZ17" s="58">
        <f t="shared" si="15"/>
        <v>0</v>
      </c>
      <c r="CA17" s="58">
        <f t="shared" si="15"/>
        <v>-8</v>
      </c>
      <c r="CB17" s="58">
        <f t="shared" si="15"/>
        <v>0</v>
      </c>
      <c r="CC17" s="58">
        <f t="shared" si="15"/>
        <v>0</v>
      </c>
      <c r="CD17" s="58">
        <f t="shared" si="15"/>
        <v>0</v>
      </c>
      <c r="CE17" s="58">
        <f t="shared" si="15"/>
        <v>0</v>
      </c>
      <c r="CF17" s="58">
        <f t="shared" si="15"/>
        <v>0</v>
      </c>
      <c r="CG17" s="58">
        <f t="shared" si="15"/>
        <v>0</v>
      </c>
      <c r="CJ17" t="s">
        <v>233</v>
      </c>
    </row>
    <row r="18" spans="1:88" outlineLevel="1">
      <c r="A18" s="17"/>
      <c r="B18" s="17" t="s">
        <v>64</v>
      </c>
      <c r="C18" s="18" t="s">
        <v>236</v>
      </c>
      <c r="D18" s="17">
        <v>322589704</v>
      </c>
      <c r="E18" s="18">
        <v>10</v>
      </c>
      <c r="F18" s="18">
        <v>32</v>
      </c>
      <c r="G18" s="18">
        <v>30</v>
      </c>
      <c r="I18" s="19">
        <f t="shared" si="0"/>
        <v>20.151847499999999</v>
      </c>
      <c r="J18" s="20">
        <f t="shared" si="1"/>
        <v>6.6633571169400996E-2</v>
      </c>
      <c r="K18" s="20">
        <f t="shared" si="2"/>
        <v>1.7236309563060326E-2</v>
      </c>
      <c r="L18" s="20">
        <f t="shared" si="3"/>
        <v>1.3460070008929981E-2</v>
      </c>
      <c r="M18" s="20">
        <f t="shared" si="4"/>
        <v>4.9396864817483448E-2</v>
      </c>
      <c r="N18" s="17">
        <f t="shared" si="5"/>
        <v>5560256</v>
      </c>
      <c r="O18" s="20">
        <v>16</v>
      </c>
      <c r="P18" s="21">
        <v>34799418</v>
      </c>
      <c r="Q18" s="21">
        <v>1087481.8125</v>
      </c>
      <c r="R18" s="21">
        <v>40860.15625</v>
      </c>
      <c r="S18" s="22">
        <v>21495304</v>
      </c>
      <c r="T18" s="22">
        <v>4342080</v>
      </c>
      <c r="U18" s="22">
        <v>1218176</v>
      </c>
      <c r="V18" s="22">
        <v>15934920</v>
      </c>
      <c r="W18" s="23">
        <v>70.372874999999993</v>
      </c>
      <c r="X18" s="23">
        <v>72.951280999999994</v>
      </c>
      <c r="Y18" s="23">
        <v>37.033180999999999</v>
      </c>
      <c r="Z18" s="23">
        <v>46.138033999999998</v>
      </c>
      <c r="AA18" s="23">
        <v>46.638800000000003</v>
      </c>
      <c r="AB18" s="24">
        <v>6120.76</v>
      </c>
      <c r="AC18" s="24">
        <v>1708.34</v>
      </c>
      <c r="AD18" s="24">
        <v>96.295000000000002</v>
      </c>
      <c r="AE18" s="24">
        <v>19.998999999999999</v>
      </c>
      <c r="AG18" s="19">
        <f t="shared" si="6"/>
        <v>20.151847499999999</v>
      </c>
      <c r="AH18" s="20">
        <f t="shared" si="7"/>
        <v>6.6633571169400996E-2</v>
      </c>
      <c r="AI18" s="20">
        <f t="shared" si="8"/>
        <v>1.7236309563060326E-2</v>
      </c>
      <c r="AJ18" s="20">
        <f t="shared" si="9"/>
        <v>1.3460070008929981E-2</v>
      </c>
      <c r="AK18" s="20">
        <f t="shared" si="10"/>
        <v>4.9396864817483448E-2</v>
      </c>
      <c r="AL18" s="17">
        <f t="shared" si="11"/>
        <v>5560256</v>
      </c>
      <c r="AM18" s="20">
        <v>16</v>
      </c>
      <c r="AN18" s="21">
        <v>34799418</v>
      </c>
      <c r="AO18" s="21">
        <v>1087481.8125</v>
      </c>
      <c r="AP18" s="21">
        <v>40860.15625</v>
      </c>
      <c r="AQ18" s="22">
        <v>21495304</v>
      </c>
      <c r="AR18" s="22">
        <v>4342080</v>
      </c>
      <c r="AS18" s="22">
        <v>1218176</v>
      </c>
      <c r="AT18" s="22">
        <v>15934920</v>
      </c>
      <c r="AU18" s="23">
        <v>70.372874999999993</v>
      </c>
      <c r="AV18" s="23">
        <v>72.951280999999994</v>
      </c>
      <c r="AW18" s="23">
        <v>37.033180999999999</v>
      </c>
      <c r="AX18" s="23">
        <v>46.138033999999998</v>
      </c>
      <c r="AY18" s="23">
        <v>46.638800000000003</v>
      </c>
      <c r="AZ18" s="24">
        <v>4640.34</v>
      </c>
      <c r="BA18" s="24">
        <v>1281.9000000000001</v>
      </c>
      <c r="BB18" s="24">
        <v>85.316000000000003</v>
      </c>
      <c r="BC18" s="24">
        <v>17.238</v>
      </c>
      <c r="BE18" s="49">
        <f t="shared" si="12"/>
        <v>1</v>
      </c>
      <c r="BF18" s="25">
        <f t="shared" si="13"/>
        <v>0</v>
      </c>
      <c r="BG18" s="25">
        <f t="shared" si="14"/>
        <v>0</v>
      </c>
      <c r="BH18" s="25"/>
      <c r="BJ18" s="49"/>
      <c r="BK18" s="49"/>
      <c r="BL18" s="49"/>
      <c r="BM18" s="49"/>
      <c r="BN18" s="49"/>
      <c r="BP18" s="49"/>
      <c r="BQ18" s="49"/>
      <c r="BR18" s="49"/>
      <c r="BS18" s="49"/>
      <c r="BT18" s="49"/>
      <c r="BV18" s="58">
        <f t="shared" si="16"/>
        <v>0</v>
      </c>
      <c r="BW18" s="58">
        <f t="shared" si="15"/>
        <v>0</v>
      </c>
      <c r="BX18" s="58">
        <f t="shared" si="15"/>
        <v>0</v>
      </c>
      <c r="BY18" s="58">
        <f t="shared" si="15"/>
        <v>0</v>
      </c>
      <c r="BZ18" s="58">
        <f t="shared" si="15"/>
        <v>0</v>
      </c>
      <c r="CA18" s="58">
        <f t="shared" si="15"/>
        <v>0</v>
      </c>
      <c r="CB18" s="58">
        <f t="shared" si="15"/>
        <v>0</v>
      </c>
      <c r="CC18" s="58">
        <f t="shared" si="15"/>
        <v>0</v>
      </c>
      <c r="CD18" s="58">
        <f t="shared" si="15"/>
        <v>0</v>
      </c>
      <c r="CE18" s="58">
        <f t="shared" si="15"/>
        <v>0</v>
      </c>
      <c r="CF18" s="58">
        <f t="shared" si="15"/>
        <v>0</v>
      </c>
      <c r="CG18" s="58">
        <f t="shared" si="15"/>
        <v>0</v>
      </c>
      <c r="CJ18" t="s">
        <v>233</v>
      </c>
    </row>
    <row r="19" spans="1:88" ht="16" outlineLevel="1" thickBot="1">
      <c r="A19" s="52"/>
      <c r="B19" s="26" t="s">
        <v>64</v>
      </c>
      <c r="C19" s="27" t="s">
        <v>237</v>
      </c>
      <c r="D19" s="26">
        <v>322589704</v>
      </c>
      <c r="E19" s="27">
        <v>10</v>
      </c>
      <c r="F19" s="27">
        <v>32</v>
      </c>
      <c r="G19" s="27">
        <v>30</v>
      </c>
      <c r="I19" s="28">
        <f t="shared" si="0"/>
        <v>35.66865</v>
      </c>
      <c r="J19" s="29">
        <f t="shared" si="1"/>
        <v>0.11794102393298951</v>
      </c>
      <c r="K19" s="29">
        <f t="shared" si="2"/>
        <v>2.7706079546791735E-2</v>
      </c>
      <c r="L19" s="29">
        <f t="shared" si="3"/>
        <v>2.0647974555319349E-2</v>
      </c>
      <c r="M19" s="29">
        <f t="shared" si="4"/>
        <v>9.023454759734055E-2</v>
      </c>
      <c r="N19" s="26">
        <f t="shared" si="5"/>
        <v>8937696</v>
      </c>
      <c r="O19" s="29">
        <v>16</v>
      </c>
      <c r="P19" s="30">
        <v>33039030</v>
      </c>
      <c r="Q19" s="30">
        <v>1032469.6875</v>
      </c>
      <c r="R19" s="30">
        <v>17754.53125</v>
      </c>
      <c r="S19" s="31">
        <v>38046560</v>
      </c>
      <c r="T19" s="31">
        <v>6660824</v>
      </c>
      <c r="U19" s="31">
        <v>2276872</v>
      </c>
      <c r="V19" s="31">
        <v>29108736</v>
      </c>
      <c r="W19" s="32">
        <v>71.149227999999994</v>
      </c>
      <c r="X19" s="32">
        <v>75.004366000000005</v>
      </c>
      <c r="Y19" s="32">
        <v>39.539543999999999</v>
      </c>
      <c r="Z19" s="32">
        <v>47.871558999999998</v>
      </c>
      <c r="AA19" s="32">
        <v>48.474975000000001</v>
      </c>
      <c r="AB19" s="33">
        <v>5043.8900000000003</v>
      </c>
      <c r="AC19" s="33">
        <v>1636.88</v>
      </c>
      <c r="AD19" s="33">
        <v>84.945999999999998</v>
      </c>
      <c r="AE19" s="33">
        <v>19.928999999999998</v>
      </c>
      <c r="AG19" s="28">
        <f t="shared" si="6"/>
        <v>35.66865</v>
      </c>
      <c r="AH19" s="29">
        <f t="shared" si="7"/>
        <v>0.11794102393298951</v>
      </c>
      <c r="AI19" s="29">
        <f t="shared" si="8"/>
        <v>2.7706079546791735E-2</v>
      </c>
      <c r="AJ19" s="29">
        <f t="shared" si="9"/>
        <v>2.0647974555319349E-2</v>
      </c>
      <c r="AK19" s="29">
        <f t="shared" si="10"/>
        <v>9.023454759734055E-2</v>
      </c>
      <c r="AL19" s="26">
        <f t="shared" si="11"/>
        <v>8937696</v>
      </c>
      <c r="AM19" s="29">
        <v>16</v>
      </c>
      <c r="AN19" s="30">
        <v>33039030</v>
      </c>
      <c r="AO19" s="30">
        <v>1032469.6875</v>
      </c>
      <c r="AP19" s="30">
        <v>17754.53125</v>
      </c>
      <c r="AQ19" s="31">
        <v>38046560</v>
      </c>
      <c r="AR19" s="31">
        <v>6660824</v>
      </c>
      <c r="AS19" s="31">
        <v>2276872</v>
      </c>
      <c r="AT19" s="31">
        <v>29108736</v>
      </c>
      <c r="AU19" s="32">
        <v>71.149227999999994</v>
      </c>
      <c r="AV19" s="32">
        <v>75.004366000000005</v>
      </c>
      <c r="AW19" s="32">
        <v>39.539543999999999</v>
      </c>
      <c r="AX19" s="32">
        <v>47.871558999999998</v>
      </c>
      <c r="AY19" s="32">
        <v>48.474975000000001</v>
      </c>
      <c r="AZ19" s="33">
        <v>5773.15</v>
      </c>
      <c r="BA19" s="33">
        <v>2132.9499999999998</v>
      </c>
      <c r="BB19" s="33">
        <v>97.721999999999994</v>
      </c>
      <c r="BC19" s="33">
        <v>28.495000000000001</v>
      </c>
      <c r="BE19" s="34">
        <f t="shared" si="12"/>
        <v>1</v>
      </c>
      <c r="BF19" s="35">
        <f t="shared" si="13"/>
        <v>0</v>
      </c>
      <c r="BG19" s="35">
        <f t="shared" si="14"/>
        <v>0</v>
      </c>
      <c r="BH19" s="35"/>
      <c r="BJ19" s="34"/>
      <c r="BK19" s="34"/>
      <c r="BL19" s="34"/>
      <c r="BM19" s="34"/>
      <c r="BN19" s="34"/>
      <c r="BP19" s="34"/>
      <c r="BQ19" s="34"/>
      <c r="BR19" s="34"/>
      <c r="BS19" s="34"/>
      <c r="BT19" s="34"/>
      <c r="BV19" s="58">
        <f t="shared" si="16"/>
        <v>0</v>
      </c>
      <c r="BW19" s="58">
        <f t="shared" si="15"/>
        <v>0</v>
      </c>
      <c r="BX19" s="58">
        <f t="shared" si="15"/>
        <v>0</v>
      </c>
      <c r="BY19" s="58">
        <f t="shared" si="15"/>
        <v>0</v>
      </c>
      <c r="BZ19" s="58">
        <f t="shared" si="15"/>
        <v>0</v>
      </c>
      <c r="CA19" s="58">
        <f t="shared" si="15"/>
        <v>0</v>
      </c>
      <c r="CB19" s="58">
        <f t="shared" si="15"/>
        <v>0</v>
      </c>
      <c r="CC19" s="58">
        <f t="shared" si="15"/>
        <v>0</v>
      </c>
      <c r="CD19" s="58">
        <f t="shared" si="15"/>
        <v>0</v>
      </c>
      <c r="CE19" s="58">
        <f t="shared" si="15"/>
        <v>0</v>
      </c>
      <c r="CF19" s="58">
        <f t="shared" si="15"/>
        <v>0</v>
      </c>
      <c r="CG19" s="58">
        <f t="shared" si="15"/>
        <v>0</v>
      </c>
      <c r="CJ19" t="s">
        <v>233</v>
      </c>
    </row>
    <row r="20" spans="1:88">
      <c r="A20" s="17"/>
      <c r="B20" s="17" t="s">
        <v>70</v>
      </c>
      <c r="C20" s="18" t="s">
        <v>232</v>
      </c>
      <c r="D20" s="17">
        <v>250602891</v>
      </c>
      <c r="E20" s="18">
        <v>10</v>
      </c>
      <c r="F20" s="18">
        <v>32</v>
      </c>
      <c r="G20" s="18">
        <v>50</v>
      </c>
      <c r="I20" s="19">
        <f t="shared" si="0"/>
        <v>5.0904999999999996</v>
      </c>
      <c r="J20" s="20">
        <f t="shared" si="1"/>
        <v>1.3000328874897138E-2</v>
      </c>
      <c r="K20" s="20">
        <f t="shared" si="2"/>
        <v>7.5511658802052684E-3</v>
      </c>
      <c r="L20" s="20">
        <f t="shared" si="3"/>
        <v>3.7271078409067517E-3</v>
      </c>
      <c r="M20" s="20">
        <f t="shared" si="4"/>
        <v>5.4486522264421923E-3</v>
      </c>
      <c r="N20" s="17">
        <f t="shared" si="5"/>
        <v>1892344</v>
      </c>
      <c r="O20" s="20">
        <v>16</v>
      </c>
      <c r="P20" s="21">
        <v>26662905</v>
      </c>
      <c r="Q20" s="21">
        <v>833215.78125</v>
      </c>
      <c r="R20" s="21">
        <v>22206.53125</v>
      </c>
      <c r="S20" s="22">
        <v>3257920</v>
      </c>
      <c r="T20" s="22">
        <v>934024</v>
      </c>
      <c r="U20" s="22">
        <v>958320</v>
      </c>
      <c r="V20" s="22">
        <v>1365448</v>
      </c>
      <c r="W20" s="23">
        <v>66.549000000000007</v>
      </c>
      <c r="X20" s="23">
        <v>68.833022</v>
      </c>
      <c r="Y20" s="23">
        <v>30.748241</v>
      </c>
      <c r="Z20" s="23">
        <v>39.473565999999998</v>
      </c>
      <c r="AA20" s="23">
        <v>38.191471999999997</v>
      </c>
      <c r="AB20" s="24">
        <v>4641.6099999999997</v>
      </c>
      <c r="AC20" s="24">
        <v>1146.6600000000001</v>
      </c>
      <c r="AD20" s="24">
        <v>73.054000000000002</v>
      </c>
      <c r="AE20" s="24">
        <v>16.321999999999999</v>
      </c>
      <c r="AG20" s="19">
        <f t="shared" si="6"/>
        <v>5.0904999999999996</v>
      </c>
      <c r="AH20" s="20">
        <f t="shared" si="7"/>
        <v>1.3000328874897138E-2</v>
      </c>
      <c r="AI20" s="20">
        <f t="shared" si="8"/>
        <v>7.5511658802052684E-3</v>
      </c>
      <c r="AJ20" s="20">
        <f t="shared" si="9"/>
        <v>3.7271078409067517E-3</v>
      </c>
      <c r="AK20" s="20">
        <f t="shared" si="10"/>
        <v>5.4486522264421923E-3</v>
      </c>
      <c r="AL20" s="17">
        <f t="shared" si="11"/>
        <v>1892344</v>
      </c>
      <c r="AM20" s="20">
        <v>16</v>
      </c>
      <c r="AN20" s="21">
        <v>26662905</v>
      </c>
      <c r="AO20" s="21">
        <v>833215.78125</v>
      </c>
      <c r="AP20" s="21">
        <v>22206.53125</v>
      </c>
      <c r="AQ20" s="22">
        <v>3257920</v>
      </c>
      <c r="AR20" s="22">
        <v>934024</v>
      </c>
      <c r="AS20" s="22">
        <v>958320</v>
      </c>
      <c r="AT20" s="22">
        <v>1365448</v>
      </c>
      <c r="AU20" s="23">
        <v>66.549000000000007</v>
      </c>
      <c r="AV20" s="23">
        <v>68.833022</v>
      </c>
      <c r="AW20" s="23">
        <v>30.748241</v>
      </c>
      <c r="AX20" s="23">
        <v>39.473565999999998</v>
      </c>
      <c r="AY20" s="23">
        <v>38.191471999999997</v>
      </c>
      <c r="AZ20" s="24">
        <v>5199.5</v>
      </c>
      <c r="BA20" s="24">
        <v>1145.22</v>
      </c>
      <c r="BB20" s="24">
        <v>69.528999999999996</v>
      </c>
      <c r="BC20" s="24">
        <v>16.510000000000002</v>
      </c>
      <c r="BE20" s="49">
        <f t="shared" si="12"/>
        <v>1</v>
      </c>
      <c r="BF20" s="25">
        <f t="shared" si="13"/>
        <v>0</v>
      </c>
      <c r="BG20" s="25">
        <f t="shared" si="14"/>
        <v>0</v>
      </c>
      <c r="BH20" s="25">
        <f t="array" ref="BH20">AVERAGE(AL20:AL24/AQ20:AQ24) - AVERAGE(N20:N24/S20:S24)</f>
        <v>3.9299750148602541E-7</v>
      </c>
      <c r="BJ20" s="49">
        <f>IF( OR(ISBLANK(N20:N24),ISBLANK(AL20:AL24), ISBLANK(W20:W24),ISBLANK(AU20:AU24)), "·", bdRateExtend( N20:N24,W20:W24, AL20:AL24,AU20:AU24))</f>
        <v>2.5001030299343086E-6</v>
      </c>
      <c r="BK20" s="49">
        <f>IF( OR(ISBLANK(N20:N24),ISBLANK(AL20:AL24), ISBLANK(X20:X24),ISBLANK(AV20:AV24)), "·", bdRateExtend( N20:N24,X20:X24, AL20:AL24,AV20:AV24))</f>
        <v>2.3944814844245599E-6</v>
      </c>
      <c r="BL20" s="49">
        <f>IF( OR(ISBLANK(V20:V24),ISBLANK(AT20:AT24), ISBLANK(Y20:Y24),ISBLANK(AW20:AW24)), "·", bdRateExtend( V20:V24,Y20:Y24, AT20:AT24,AW20:AW24))</f>
        <v>0</v>
      </c>
      <c r="BM20" s="49">
        <f>IF( OR(ISBLANK(V20:V24),ISBLANK(AT20:AT24), ISBLANK(Z20:Z24),ISBLANK(AX20:AX24)), "·", bdRateExtend( V20:V24,Z20:Z24, AT20:AT24,AX20:AX24))</f>
        <v>0</v>
      </c>
      <c r="BN20" s="49">
        <f>IF( OR(ISBLANK(V20:V24),ISBLANK(AT20:AT24), ISBLANK(AA20:AA24),ISBLANK(AY20:AY24)), "·", bdRateExtend( V20:V24,AA20:AA24, AT20:AT24,AY20:AY24))</f>
        <v>0</v>
      </c>
      <c r="BP20" s="49">
        <f>IF( OR(ISBLANK(S20:S24),ISBLANK(AQ20:AQ24), ISBLANK(W20:W24),ISBLANK(AU20:AU24)), "·", bdRateExtend( S20:S24,W20:W24, AQ20:AQ24,AU20:AU24))</f>
        <v>1.0085531763071032E-6</v>
      </c>
      <c r="BQ20" s="49">
        <f>IF( OR(ISBLANK(S20:S24),ISBLANK(AQ20:AQ24), ISBLANK(X20:X24),ISBLANK(AV20:AV24)), "·", bdRateExtend( S20:S24,X20:X24, AQ20:AQ24,AV20:AV24))</f>
        <v>9.4889795132502286E-7</v>
      </c>
      <c r="BR20" s="49">
        <f>IF( OR(ISBLANK(S20:S24),ISBLANK(AQ20:AQ24), ISBLANK(Y20:Y24),ISBLANK(AW20:AW24)), "·", bdRateExtend( S20:S24,Y20:Y24, AQ20:AQ24,AW20:AW24))</f>
        <v>9.2509687132924512E-7</v>
      </c>
      <c r="BS20" s="49">
        <f>IF( OR(ISBLANK(S20:S24),ISBLANK(AQ20:AQ24), ISBLANK(Z20:Z24),ISBLANK(AX20:AX24)), "·", bdRateExtend( S20:S24,Z20:Z24, AQ20:AQ24,AX20:AX24))</f>
        <v>9.0867190993826341E-7</v>
      </c>
      <c r="BT20" s="49">
        <f>IF( OR(ISBLANK(S20:S24),ISBLANK(AQ20:AQ24), ISBLANK(AA20:AA24),ISBLANK(AY20:AY24)), "·", bdRateExtend( S20:S24,AA20:AA24, AQ20:AQ24,AY20:AY24))</f>
        <v>9.4914078263563795E-7</v>
      </c>
      <c r="BV20" s="58">
        <f t="shared" si="16"/>
        <v>0</v>
      </c>
      <c r="BW20" s="58">
        <f t="shared" si="15"/>
        <v>0</v>
      </c>
      <c r="BX20" s="58">
        <f t="shared" si="15"/>
        <v>0</v>
      </c>
      <c r="BY20" s="58">
        <f t="shared" si="15"/>
        <v>0</v>
      </c>
      <c r="BZ20" s="58">
        <f t="shared" si="15"/>
        <v>0</v>
      </c>
      <c r="CA20" s="58">
        <f t="shared" si="15"/>
        <v>0</v>
      </c>
      <c r="CB20" s="58">
        <f t="shared" si="15"/>
        <v>0</v>
      </c>
      <c r="CC20" s="58">
        <f t="shared" si="15"/>
        <v>0</v>
      </c>
      <c r="CD20" s="58">
        <f t="shared" si="15"/>
        <v>0</v>
      </c>
      <c r="CE20" s="58">
        <f t="shared" si="15"/>
        <v>0</v>
      </c>
      <c r="CF20" s="58">
        <f t="shared" si="15"/>
        <v>0</v>
      </c>
      <c r="CG20" s="58">
        <f t="shared" si="15"/>
        <v>0</v>
      </c>
      <c r="CJ20" t="s">
        <v>239</v>
      </c>
    </row>
    <row r="21" spans="1:88" outlineLevel="1">
      <c r="A21" s="52"/>
      <c r="B21" s="52" t="s">
        <v>70</v>
      </c>
      <c r="C21" s="9" t="s">
        <v>234</v>
      </c>
      <c r="D21" s="52">
        <v>250602891</v>
      </c>
      <c r="E21" s="9">
        <v>10</v>
      </c>
      <c r="F21" s="9">
        <v>32</v>
      </c>
      <c r="G21" s="9">
        <v>50</v>
      </c>
      <c r="I21" s="10">
        <f t="shared" si="0"/>
        <v>7.5502874999999996</v>
      </c>
      <c r="J21" s="11">
        <f t="shared" si="1"/>
        <v>1.9282235654655717E-2</v>
      </c>
      <c r="K21" s="11">
        <f t="shared" si="2"/>
        <v>8.9611097104222957E-3</v>
      </c>
      <c r="L21" s="11">
        <f t="shared" si="3"/>
        <v>5.1370516711237782E-3</v>
      </c>
      <c r="M21" s="11">
        <f t="shared" si="4"/>
        <v>1.0320615175983743E-2</v>
      </c>
      <c r="N21" s="52">
        <f t="shared" si="5"/>
        <v>2245680</v>
      </c>
      <c r="O21" s="11">
        <v>16</v>
      </c>
      <c r="P21" s="12">
        <v>28265235</v>
      </c>
      <c r="Q21" s="12">
        <v>883288.59375</v>
      </c>
      <c r="R21" s="12">
        <v>27380.9375</v>
      </c>
      <c r="S21" s="13">
        <v>4832184</v>
      </c>
      <c r="T21" s="13">
        <v>1287360</v>
      </c>
      <c r="U21" s="13">
        <v>958320</v>
      </c>
      <c r="V21" s="13">
        <v>2586376</v>
      </c>
      <c r="W21" s="14">
        <v>68.094027999999994</v>
      </c>
      <c r="X21" s="14">
        <v>70.846790999999996</v>
      </c>
      <c r="Y21" s="14">
        <v>32.447225000000003</v>
      </c>
      <c r="Z21" s="14">
        <v>40.624049999999997</v>
      </c>
      <c r="AA21" s="14">
        <v>39.486747000000001</v>
      </c>
      <c r="AB21" s="15">
        <v>4989.59</v>
      </c>
      <c r="AC21" s="15">
        <v>1539.59</v>
      </c>
      <c r="AD21" s="15">
        <v>86.722999999999999</v>
      </c>
      <c r="AE21" s="15">
        <v>22.835000000000001</v>
      </c>
      <c r="AG21" s="10">
        <f t="shared" si="6"/>
        <v>7.5503</v>
      </c>
      <c r="AH21" s="11">
        <f t="shared" si="7"/>
        <v>1.9282267577671319E-2</v>
      </c>
      <c r="AI21" s="11">
        <f t="shared" si="8"/>
        <v>8.9611416334378999E-3</v>
      </c>
      <c r="AJ21" s="11">
        <f t="shared" si="9"/>
        <v>5.1370516711237782E-3</v>
      </c>
      <c r="AK21" s="11">
        <f t="shared" si="10"/>
        <v>1.0320615175983743E-2</v>
      </c>
      <c r="AL21" s="52">
        <f t="shared" si="11"/>
        <v>2245688</v>
      </c>
      <c r="AM21" s="11">
        <v>16</v>
      </c>
      <c r="AN21" s="12">
        <v>28265235</v>
      </c>
      <c r="AO21" s="12">
        <v>883288.59375</v>
      </c>
      <c r="AP21" s="12">
        <v>27380.9375</v>
      </c>
      <c r="AQ21" s="13">
        <v>4832192</v>
      </c>
      <c r="AR21" s="13">
        <v>1287360</v>
      </c>
      <c r="AS21" s="13">
        <v>958328</v>
      </c>
      <c r="AT21" s="13">
        <v>2586376</v>
      </c>
      <c r="AU21" s="14">
        <v>68.094027999999994</v>
      </c>
      <c r="AV21" s="14">
        <v>70.846790999999996</v>
      </c>
      <c r="AW21" s="14">
        <v>32.447225000000003</v>
      </c>
      <c r="AX21" s="14">
        <v>40.624049999999997</v>
      </c>
      <c r="AY21" s="14">
        <v>39.486747000000001</v>
      </c>
      <c r="AZ21" s="15">
        <v>4476.32</v>
      </c>
      <c r="BA21" s="15">
        <v>1160.17</v>
      </c>
      <c r="BB21" s="15">
        <v>71.706999999999994</v>
      </c>
      <c r="BC21" s="15">
        <v>16.853000000000002</v>
      </c>
      <c r="BE21" s="50">
        <f t="shared" si="12"/>
        <v>1.0000035623953545</v>
      </c>
      <c r="BF21" s="16">
        <f t="shared" si="13"/>
        <v>0</v>
      </c>
      <c r="BG21" s="16">
        <f t="shared" si="14"/>
        <v>8.8616684307263327E-7</v>
      </c>
      <c r="BH21" s="16"/>
      <c r="BJ21" s="50"/>
      <c r="BK21" s="50"/>
      <c r="BL21" s="50"/>
      <c r="BM21" s="50"/>
      <c r="BN21" s="50"/>
      <c r="BP21" s="50"/>
      <c r="BQ21" s="50"/>
      <c r="BR21" s="50"/>
      <c r="BS21" s="50"/>
      <c r="BT21" s="50"/>
      <c r="BV21" s="58">
        <f t="shared" si="16"/>
        <v>0</v>
      </c>
      <c r="BW21" s="58">
        <f t="shared" si="16"/>
        <v>0</v>
      </c>
      <c r="BX21" s="58">
        <f t="shared" si="16"/>
        <v>0</v>
      </c>
      <c r="BY21" s="58">
        <f t="shared" si="16"/>
        <v>8</v>
      </c>
      <c r="BZ21" s="58">
        <f t="shared" si="16"/>
        <v>0</v>
      </c>
      <c r="CA21" s="58">
        <f t="shared" si="16"/>
        <v>8</v>
      </c>
      <c r="CB21" s="58">
        <f t="shared" si="16"/>
        <v>0</v>
      </c>
      <c r="CC21" s="58">
        <f t="shared" si="16"/>
        <v>0</v>
      </c>
      <c r="CD21" s="58">
        <f t="shared" si="16"/>
        <v>0</v>
      </c>
      <c r="CE21" s="58">
        <f t="shared" si="16"/>
        <v>0</v>
      </c>
      <c r="CF21" s="58">
        <f t="shared" si="16"/>
        <v>0</v>
      </c>
      <c r="CG21" s="58">
        <f t="shared" si="16"/>
        <v>0</v>
      </c>
      <c r="CJ21" t="s">
        <v>239</v>
      </c>
    </row>
    <row r="22" spans="1:88" outlineLevel="1">
      <c r="A22" s="17"/>
      <c r="B22" s="17" t="s">
        <v>70</v>
      </c>
      <c r="C22" s="18" t="s">
        <v>235</v>
      </c>
      <c r="D22" s="17">
        <v>250602891</v>
      </c>
      <c r="E22" s="18">
        <v>10</v>
      </c>
      <c r="F22" s="18">
        <v>32</v>
      </c>
      <c r="G22" s="18">
        <v>50</v>
      </c>
      <c r="I22" s="19">
        <f t="shared" si="0"/>
        <v>12.238737499999999</v>
      </c>
      <c r="J22" s="20">
        <f t="shared" si="1"/>
        <v>3.1255792655640192E-2</v>
      </c>
      <c r="K22" s="20">
        <f t="shared" si="2"/>
        <v>1.1102377905129595E-2</v>
      </c>
      <c r="L22" s="20">
        <f t="shared" si="3"/>
        <v>7.2783198658310771E-3</v>
      </c>
      <c r="M22" s="20">
        <f t="shared" si="4"/>
        <v>2.0152903982260922E-2</v>
      </c>
      <c r="N22" s="17">
        <f t="shared" si="5"/>
        <v>2782288</v>
      </c>
      <c r="O22" s="20">
        <v>16</v>
      </c>
      <c r="P22" s="21">
        <v>29000988</v>
      </c>
      <c r="Q22" s="21">
        <v>906280.875</v>
      </c>
      <c r="R22" s="21">
        <v>29050.28125</v>
      </c>
      <c r="S22" s="22">
        <v>7832792</v>
      </c>
      <c r="T22" s="22">
        <v>1823968</v>
      </c>
      <c r="U22" s="22">
        <v>958320</v>
      </c>
      <c r="V22" s="22">
        <v>5050376</v>
      </c>
      <c r="W22" s="23">
        <v>69.230388000000005</v>
      </c>
      <c r="X22" s="23">
        <v>72.519583999999995</v>
      </c>
      <c r="Y22" s="23">
        <v>34.082684</v>
      </c>
      <c r="Z22" s="23">
        <v>41.716434</v>
      </c>
      <c r="AA22" s="23">
        <v>40.569434000000001</v>
      </c>
      <c r="AB22" s="24">
        <v>4462.84</v>
      </c>
      <c r="AC22" s="24">
        <v>1295.8699999999999</v>
      </c>
      <c r="AD22" s="24">
        <v>76.051000000000002</v>
      </c>
      <c r="AE22" s="24">
        <v>17.992999999999999</v>
      </c>
      <c r="AG22" s="19">
        <f t="shared" si="6"/>
        <v>12.23875</v>
      </c>
      <c r="AH22" s="20">
        <f t="shared" si="7"/>
        <v>3.1255824578655798E-2</v>
      </c>
      <c r="AI22" s="20">
        <f t="shared" si="8"/>
        <v>1.1102409828145199E-2</v>
      </c>
      <c r="AJ22" s="20">
        <f t="shared" si="9"/>
        <v>7.2783198658310771E-3</v>
      </c>
      <c r="AK22" s="20">
        <f t="shared" si="10"/>
        <v>2.0152903982260922E-2</v>
      </c>
      <c r="AL22" s="17">
        <f t="shared" si="11"/>
        <v>2782296</v>
      </c>
      <c r="AM22" s="20">
        <v>16</v>
      </c>
      <c r="AN22" s="21">
        <v>29000988</v>
      </c>
      <c r="AO22" s="21">
        <v>906280.875</v>
      </c>
      <c r="AP22" s="21">
        <v>29050.28125</v>
      </c>
      <c r="AQ22" s="22">
        <v>7832800</v>
      </c>
      <c r="AR22" s="22">
        <v>1823968</v>
      </c>
      <c r="AS22" s="22">
        <v>958328</v>
      </c>
      <c r="AT22" s="22">
        <v>5050376</v>
      </c>
      <c r="AU22" s="23">
        <v>69.230388000000005</v>
      </c>
      <c r="AV22" s="23">
        <v>72.519583999999995</v>
      </c>
      <c r="AW22" s="23">
        <v>34.082684</v>
      </c>
      <c r="AX22" s="23">
        <v>41.716434</v>
      </c>
      <c r="AY22" s="23">
        <v>40.569434000000001</v>
      </c>
      <c r="AZ22" s="24">
        <v>5049.13</v>
      </c>
      <c r="BA22" s="24">
        <v>1401.05</v>
      </c>
      <c r="BB22" s="24">
        <v>82.037999999999997</v>
      </c>
      <c r="BC22" s="24">
        <v>19.484000000000002</v>
      </c>
      <c r="BE22" s="49">
        <f t="shared" si="12"/>
        <v>1.0000028753313819</v>
      </c>
      <c r="BF22" s="25">
        <f t="shared" si="13"/>
        <v>0</v>
      </c>
      <c r="BG22" s="25">
        <f t="shared" si="14"/>
        <v>6.5855351910615312E-7</v>
      </c>
      <c r="BH22" s="25"/>
      <c r="BJ22" s="49"/>
      <c r="BK22" s="49"/>
      <c r="BL22" s="49"/>
      <c r="BM22" s="49"/>
      <c r="BN22" s="49"/>
      <c r="BP22" s="49"/>
      <c r="BQ22" s="49"/>
      <c r="BR22" s="49"/>
      <c r="BS22" s="49"/>
      <c r="BT22" s="49"/>
      <c r="BV22" s="58">
        <f t="shared" si="16"/>
        <v>0</v>
      </c>
      <c r="BW22" s="58">
        <f t="shared" si="16"/>
        <v>0</v>
      </c>
      <c r="BX22" s="58">
        <f t="shared" si="16"/>
        <v>0</v>
      </c>
      <c r="BY22" s="58">
        <f t="shared" si="16"/>
        <v>8</v>
      </c>
      <c r="BZ22" s="58">
        <f t="shared" si="16"/>
        <v>0</v>
      </c>
      <c r="CA22" s="58">
        <f t="shared" si="16"/>
        <v>8</v>
      </c>
      <c r="CB22" s="58">
        <f t="shared" si="16"/>
        <v>0</v>
      </c>
      <c r="CC22" s="58">
        <f t="shared" si="16"/>
        <v>0</v>
      </c>
      <c r="CD22" s="58">
        <f t="shared" si="16"/>
        <v>0</v>
      </c>
      <c r="CE22" s="58">
        <f t="shared" si="16"/>
        <v>0</v>
      </c>
      <c r="CF22" s="58">
        <f t="shared" si="16"/>
        <v>0</v>
      </c>
      <c r="CG22" s="58">
        <f t="shared" si="16"/>
        <v>0</v>
      </c>
      <c r="CJ22" t="s">
        <v>239</v>
      </c>
    </row>
    <row r="23" spans="1:88" outlineLevel="1">
      <c r="A23" s="52"/>
      <c r="B23" s="52" t="s">
        <v>70</v>
      </c>
      <c r="C23" s="9" t="s">
        <v>236</v>
      </c>
      <c r="D23" s="52">
        <v>250602891</v>
      </c>
      <c r="E23" s="9">
        <v>10</v>
      </c>
      <c r="F23" s="9">
        <v>32</v>
      </c>
      <c r="G23" s="9">
        <v>50</v>
      </c>
      <c r="I23" s="10">
        <f t="shared" si="0"/>
        <v>21.73115</v>
      </c>
      <c r="J23" s="11">
        <f t="shared" si="1"/>
        <v>5.5497907244813072E-2</v>
      </c>
      <c r="K23" s="11">
        <f t="shared" si="2"/>
        <v>1.4949388592647959E-2</v>
      </c>
      <c r="L23" s="11">
        <f t="shared" si="3"/>
        <v>1.1125330553349442E-2</v>
      </c>
      <c r="M23" s="11">
        <f t="shared" si="4"/>
        <v>4.0548007883915431E-2</v>
      </c>
      <c r="N23" s="52">
        <f t="shared" si="5"/>
        <v>3746360</v>
      </c>
      <c r="O23" s="11">
        <v>16</v>
      </c>
      <c r="P23" s="12">
        <v>29906880</v>
      </c>
      <c r="Q23" s="12">
        <v>934590</v>
      </c>
      <c r="R23" s="12">
        <v>32224.78125</v>
      </c>
      <c r="S23" s="13">
        <v>13907936</v>
      </c>
      <c r="T23" s="13">
        <v>2788040</v>
      </c>
      <c r="U23" s="13">
        <v>958320</v>
      </c>
      <c r="V23" s="13">
        <v>10161448</v>
      </c>
      <c r="W23" s="14">
        <v>70.349253000000004</v>
      </c>
      <c r="X23" s="14">
        <v>73.906571999999997</v>
      </c>
      <c r="Y23" s="14">
        <v>35.466647000000002</v>
      </c>
      <c r="Z23" s="14">
        <v>42.876449999999998</v>
      </c>
      <c r="AA23" s="14">
        <v>41.655515999999999</v>
      </c>
      <c r="AB23" s="15">
        <v>4798.7299999999996</v>
      </c>
      <c r="AC23" s="15">
        <v>1393.93</v>
      </c>
      <c r="AD23" s="15">
        <v>81.632999999999996</v>
      </c>
      <c r="AE23" s="15">
        <v>19.440000000000001</v>
      </c>
      <c r="AG23" s="10">
        <f t="shared" si="6"/>
        <v>21.7311625</v>
      </c>
      <c r="AH23" s="11">
        <f t="shared" si="7"/>
        <v>5.5497939167828678E-2</v>
      </c>
      <c r="AI23" s="11">
        <f t="shared" si="8"/>
        <v>1.4949420515663564E-2</v>
      </c>
      <c r="AJ23" s="11">
        <f t="shared" si="9"/>
        <v>1.1125330553349442E-2</v>
      </c>
      <c r="AK23" s="11">
        <f t="shared" si="10"/>
        <v>4.0548007883915431E-2</v>
      </c>
      <c r="AL23" s="52">
        <f t="shared" si="11"/>
        <v>3746368</v>
      </c>
      <c r="AM23" s="11">
        <v>16</v>
      </c>
      <c r="AN23" s="12">
        <v>29906880</v>
      </c>
      <c r="AO23" s="12">
        <v>934590</v>
      </c>
      <c r="AP23" s="12">
        <v>32224.78125</v>
      </c>
      <c r="AQ23" s="13">
        <v>13907944</v>
      </c>
      <c r="AR23" s="13">
        <v>2788040</v>
      </c>
      <c r="AS23" s="13">
        <v>958328</v>
      </c>
      <c r="AT23" s="13">
        <v>10161448</v>
      </c>
      <c r="AU23" s="14">
        <v>70.349253000000004</v>
      </c>
      <c r="AV23" s="14">
        <v>73.906571999999997</v>
      </c>
      <c r="AW23" s="14">
        <v>35.466647000000002</v>
      </c>
      <c r="AX23" s="14">
        <v>42.876449999999998</v>
      </c>
      <c r="AY23" s="14">
        <v>41.655515999999999</v>
      </c>
      <c r="AZ23" s="15">
        <v>4691.62</v>
      </c>
      <c r="BA23" s="15">
        <v>1370.73</v>
      </c>
      <c r="BB23" s="15">
        <v>76.034000000000006</v>
      </c>
      <c r="BC23" s="15">
        <v>17.994</v>
      </c>
      <c r="BE23" s="50">
        <f t="shared" si="12"/>
        <v>1.0000021354061008</v>
      </c>
      <c r="BF23" s="16">
        <f t="shared" si="13"/>
        <v>0</v>
      </c>
      <c r="BG23" s="16">
        <f t="shared" si="14"/>
        <v>4.2026714502929607E-7</v>
      </c>
      <c r="BH23" s="16"/>
      <c r="BJ23" s="50"/>
      <c r="BK23" s="50"/>
      <c r="BL23" s="50"/>
      <c r="BM23" s="50"/>
      <c r="BN23" s="50"/>
      <c r="BP23" s="50"/>
      <c r="BQ23" s="50"/>
      <c r="BR23" s="50"/>
      <c r="BS23" s="50"/>
      <c r="BT23" s="50"/>
      <c r="BV23" s="58">
        <f t="shared" si="16"/>
        <v>0</v>
      </c>
      <c r="BW23" s="58">
        <f t="shared" si="16"/>
        <v>0</v>
      </c>
      <c r="BX23" s="58">
        <f t="shared" si="16"/>
        <v>0</v>
      </c>
      <c r="BY23" s="58">
        <f t="shared" si="16"/>
        <v>8</v>
      </c>
      <c r="BZ23" s="58">
        <f t="shared" si="16"/>
        <v>0</v>
      </c>
      <c r="CA23" s="58">
        <f t="shared" si="16"/>
        <v>8</v>
      </c>
      <c r="CB23" s="58">
        <f t="shared" si="16"/>
        <v>0</v>
      </c>
      <c r="CC23" s="58">
        <f t="shared" si="16"/>
        <v>0</v>
      </c>
      <c r="CD23" s="58">
        <f t="shared" si="16"/>
        <v>0</v>
      </c>
      <c r="CE23" s="58">
        <f t="shared" si="16"/>
        <v>0</v>
      </c>
      <c r="CF23" s="58">
        <f t="shared" si="16"/>
        <v>0</v>
      </c>
      <c r="CG23" s="58">
        <f t="shared" si="16"/>
        <v>0</v>
      </c>
      <c r="CJ23" t="s">
        <v>239</v>
      </c>
    </row>
    <row r="24" spans="1:88" ht="16" outlineLevel="1" thickBot="1">
      <c r="A24" s="36"/>
      <c r="B24" s="36" t="s">
        <v>70</v>
      </c>
      <c r="C24" s="37" t="s">
        <v>237</v>
      </c>
      <c r="D24" s="36">
        <v>250602891</v>
      </c>
      <c r="E24" s="37">
        <v>10</v>
      </c>
      <c r="F24" s="37">
        <v>32</v>
      </c>
      <c r="G24" s="37">
        <v>50</v>
      </c>
      <c r="I24" s="38">
        <f t="shared" si="0"/>
        <v>38.194600000000001</v>
      </c>
      <c r="J24" s="39">
        <f t="shared" si="1"/>
        <v>9.7542944945515409E-2</v>
      </c>
      <c r="K24" s="39">
        <f t="shared" si="2"/>
        <v>2.5384383933543687E-2</v>
      </c>
      <c r="L24" s="39">
        <f t="shared" si="3"/>
        <v>1.7993918513892961E-2</v>
      </c>
      <c r="M24" s="39">
        <f t="shared" si="4"/>
        <v>7.2158050243722044E-2</v>
      </c>
      <c r="N24" s="36">
        <f t="shared" si="5"/>
        <v>6361400</v>
      </c>
      <c r="O24" s="39">
        <v>16</v>
      </c>
      <c r="P24" s="40">
        <v>28451194</v>
      </c>
      <c r="Q24" s="40">
        <v>889099.8125</v>
      </c>
      <c r="R24" s="40">
        <v>15570.875</v>
      </c>
      <c r="S24" s="41">
        <v>24444544</v>
      </c>
      <c r="T24" s="41">
        <v>4509328</v>
      </c>
      <c r="U24" s="41">
        <v>1852072</v>
      </c>
      <c r="V24" s="41">
        <v>18083016</v>
      </c>
      <c r="W24" s="42">
        <v>70.750319000000005</v>
      </c>
      <c r="X24" s="42">
        <v>75.060381000000007</v>
      </c>
      <c r="Y24" s="42">
        <v>36.768334000000003</v>
      </c>
      <c r="Z24" s="42">
        <v>43.808950000000003</v>
      </c>
      <c r="AA24" s="42">
        <v>42.358119000000002</v>
      </c>
      <c r="AB24" s="43">
        <v>5062.96</v>
      </c>
      <c r="AC24" s="43">
        <v>1716.15</v>
      </c>
      <c r="AD24" s="43">
        <v>80.563000000000002</v>
      </c>
      <c r="AE24" s="43">
        <v>22.466000000000001</v>
      </c>
      <c r="AG24" s="38">
        <f t="shared" si="6"/>
        <v>38.194600000000001</v>
      </c>
      <c r="AH24" s="39">
        <f t="shared" si="7"/>
        <v>9.7542944945515409E-2</v>
      </c>
      <c r="AI24" s="39">
        <f t="shared" si="8"/>
        <v>2.5384383933543687E-2</v>
      </c>
      <c r="AJ24" s="39">
        <f t="shared" si="9"/>
        <v>1.7993918513892961E-2</v>
      </c>
      <c r="AK24" s="39">
        <f t="shared" si="10"/>
        <v>7.2158050243722044E-2</v>
      </c>
      <c r="AL24" s="36">
        <f t="shared" si="11"/>
        <v>6361400</v>
      </c>
      <c r="AM24" s="39">
        <v>16</v>
      </c>
      <c r="AN24" s="40">
        <v>28451194</v>
      </c>
      <c r="AO24" s="40">
        <v>889099.8125</v>
      </c>
      <c r="AP24" s="40">
        <v>15570.875</v>
      </c>
      <c r="AQ24" s="41">
        <v>24444544</v>
      </c>
      <c r="AR24" s="41">
        <v>4509328</v>
      </c>
      <c r="AS24" s="41">
        <v>1852072</v>
      </c>
      <c r="AT24" s="41">
        <v>18083016</v>
      </c>
      <c r="AU24" s="42">
        <v>70.750319000000005</v>
      </c>
      <c r="AV24" s="42">
        <v>75.060381000000007</v>
      </c>
      <c r="AW24" s="42">
        <v>36.768334000000003</v>
      </c>
      <c r="AX24" s="42">
        <v>43.808950000000003</v>
      </c>
      <c r="AY24" s="42">
        <v>42.358119000000002</v>
      </c>
      <c r="AZ24" s="43">
        <v>4959.54</v>
      </c>
      <c r="BA24" s="43">
        <v>1617.21</v>
      </c>
      <c r="BB24" s="43">
        <v>77.153000000000006</v>
      </c>
      <c r="BC24" s="43">
        <v>20.79</v>
      </c>
      <c r="BE24" s="44">
        <f t="shared" si="12"/>
        <v>1</v>
      </c>
      <c r="BF24" s="45">
        <f t="shared" si="13"/>
        <v>0</v>
      </c>
      <c r="BG24" s="45">
        <f t="shared" si="14"/>
        <v>0</v>
      </c>
      <c r="BH24" s="45"/>
      <c r="BJ24" s="44"/>
      <c r="BK24" s="44"/>
      <c r="BL24" s="44"/>
      <c r="BM24" s="44"/>
      <c r="BN24" s="44"/>
      <c r="BP24" s="44"/>
      <c r="BQ24" s="44"/>
      <c r="BR24" s="44"/>
      <c r="BS24" s="44"/>
      <c r="BT24" s="44"/>
      <c r="BV24" s="58">
        <f t="shared" si="16"/>
        <v>0</v>
      </c>
      <c r="BW24" s="58">
        <f t="shared" si="16"/>
        <v>0</v>
      </c>
      <c r="BX24" s="58">
        <f t="shared" si="16"/>
        <v>0</v>
      </c>
      <c r="BY24" s="58">
        <f t="shared" si="16"/>
        <v>0</v>
      </c>
      <c r="BZ24" s="58">
        <f t="shared" si="16"/>
        <v>0</v>
      </c>
      <c r="CA24" s="58">
        <f t="shared" si="16"/>
        <v>0</v>
      </c>
      <c r="CB24" s="58">
        <f t="shared" si="16"/>
        <v>0</v>
      </c>
      <c r="CC24" s="58">
        <f t="shared" si="16"/>
        <v>0</v>
      </c>
      <c r="CD24" s="58">
        <f t="shared" si="16"/>
        <v>0</v>
      </c>
      <c r="CE24" s="58">
        <f t="shared" si="16"/>
        <v>0</v>
      </c>
      <c r="CF24" s="58">
        <f t="shared" si="16"/>
        <v>0</v>
      </c>
      <c r="CG24" s="58">
        <f t="shared" si="16"/>
        <v>0</v>
      </c>
      <c r="CJ24" t="s">
        <v>239</v>
      </c>
    </row>
    <row r="25" spans="1:88">
      <c r="A25" s="52" t="s">
        <v>240</v>
      </c>
      <c r="B25" s="52" t="s">
        <v>73</v>
      </c>
      <c r="C25" s="9" t="s">
        <v>232</v>
      </c>
      <c r="D25" s="52">
        <v>250294582</v>
      </c>
      <c r="E25" s="9">
        <v>10</v>
      </c>
      <c r="F25" s="9">
        <v>32</v>
      </c>
      <c r="G25" s="9">
        <v>30</v>
      </c>
      <c r="I25" s="10">
        <f t="shared" si="0"/>
        <v>4.3662824999999996</v>
      </c>
      <c r="J25" s="11">
        <f t="shared" si="1"/>
        <v>1.8607546207292654E-2</v>
      </c>
      <c r="K25" s="11">
        <f t="shared" si="2"/>
        <v>6.4761769393793748E-3</v>
      </c>
      <c r="L25" s="11">
        <f t="shared" si="3"/>
        <v>3.7261054256460093E-3</v>
      </c>
      <c r="M25" s="11">
        <f t="shared" si="4"/>
        <v>1.2130857870507161E-2</v>
      </c>
      <c r="N25" s="52">
        <f t="shared" si="5"/>
        <v>1620952</v>
      </c>
      <c r="O25" s="11">
        <v>16</v>
      </c>
      <c r="P25" s="12">
        <v>23156910</v>
      </c>
      <c r="Q25" s="12">
        <v>723653.4375</v>
      </c>
      <c r="R25" s="12">
        <v>14060.625</v>
      </c>
      <c r="S25" s="13">
        <v>4657368</v>
      </c>
      <c r="T25" s="13">
        <v>932624</v>
      </c>
      <c r="U25" s="13">
        <v>688328</v>
      </c>
      <c r="V25" s="13">
        <v>3036288</v>
      </c>
      <c r="W25" s="14">
        <v>66.208680999999999</v>
      </c>
      <c r="X25" s="14">
        <v>67.982928000000001</v>
      </c>
      <c r="Y25" s="14">
        <v>27.335812000000001</v>
      </c>
      <c r="Z25" s="14">
        <v>33.167050000000003</v>
      </c>
      <c r="AA25" s="14">
        <v>32.594690999999997</v>
      </c>
      <c r="AB25" s="15">
        <v>1654.9</v>
      </c>
      <c r="AC25" s="15">
        <v>1118.6600000000001</v>
      </c>
      <c r="AD25" s="15">
        <v>63.179000000000002</v>
      </c>
      <c r="AE25" s="15">
        <v>16.872</v>
      </c>
      <c r="AG25" s="10">
        <f t="shared" si="6"/>
        <v>4.3662824999999996</v>
      </c>
      <c r="AH25" s="11">
        <f t="shared" si="7"/>
        <v>1.8607546207292654E-2</v>
      </c>
      <c r="AI25" s="11">
        <f t="shared" si="8"/>
        <v>6.4761769393793748E-3</v>
      </c>
      <c r="AJ25" s="11">
        <f t="shared" si="9"/>
        <v>3.7261054256460093E-3</v>
      </c>
      <c r="AK25" s="11">
        <f t="shared" si="10"/>
        <v>1.2130857870507161E-2</v>
      </c>
      <c r="AL25" s="52">
        <f t="shared" si="11"/>
        <v>1620952</v>
      </c>
      <c r="AM25" s="11">
        <v>16</v>
      </c>
      <c r="AN25" s="12">
        <v>23156910</v>
      </c>
      <c r="AO25" s="12">
        <v>723653.4375</v>
      </c>
      <c r="AP25" s="12">
        <v>14060.625</v>
      </c>
      <c r="AQ25" s="13">
        <v>4657368</v>
      </c>
      <c r="AR25" s="13">
        <v>932624</v>
      </c>
      <c r="AS25" s="13">
        <v>688328</v>
      </c>
      <c r="AT25" s="13">
        <v>3036288</v>
      </c>
      <c r="AU25" s="14">
        <v>66.208680999999999</v>
      </c>
      <c r="AV25" s="14">
        <v>67.982928000000001</v>
      </c>
      <c r="AW25" s="14">
        <v>27.335812000000001</v>
      </c>
      <c r="AX25" s="14">
        <v>33.167050000000003</v>
      </c>
      <c r="AY25" s="14">
        <v>32.594690999999997</v>
      </c>
      <c r="AZ25" s="15">
        <v>1381.95</v>
      </c>
      <c r="BA25" s="15">
        <v>975.39300000000003</v>
      </c>
      <c r="BB25" s="15">
        <v>56.765999999999998</v>
      </c>
      <c r="BC25" s="15">
        <v>14.587</v>
      </c>
      <c r="BE25" s="50">
        <f t="shared" si="12"/>
        <v>1</v>
      </c>
      <c r="BF25" s="16">
        <f t="shared" si="13"/>
        <v>0</v>
      </c>
      <c r="BG25" s="16">
        <f t="shared" si="14"/>
        <v>0</v>
      </c>
      <c r="BH25" s="16">
        <f t="array" ref="BH25">AVERAGE(AL25:AL29/AQ25:AQ29) - AVERAGE(N25:N29/S25:S29)</f>
        <v>2.9825572928077193E-8</v>
      </c>
      <c r="BJ25" s="50">
        <f>IF( OR(ISBLANK(N25:N29),ISBLANK(AL25:AL29), ISBLANK(W25:W29),ISBLANK(AU25:AU29)), "·", bdRateExtend( N25:N29,W25:W29, AL25:AL29,AU25:AU29))</f>
        <v>7.2918213023243084E-8</v>
      </c>
      <c r="BK25" s="50">
        <f>IF( OR(ISBLANK(N25:N29),ISBLANK(AL25:AL29), ISBLANK(X25:X29),ISBLANK(AV25:AV29)), "·", bdRateExtend( N25:N29,X25:X29, AL25:AL29,AV25:AV29))</f>
        <v>1.511658114239367E-7</v>
      </c>
      <c r="BL25" s="50">
        <f>IF( OR(ISBLANK(V25:V29),ISBLANK(AT25:AT29), ISBLANK(Y25:Y29),ISBLANK(AW25:AW29)), "·", bdRateExtend( V25:V29,Y25:Y29, AT25:AT29,AW25:AW29))</f>
        <v>0</v>
      </c>
      <c r="BM25" s="50">
        <f>IF( OR(ISBLANK(V25:V29),ISBLANK(AT25:AT29), ISBLANK(Z25:Z29),ISBLANK(AX25:AX29)), "·", bdRateExtend( V25:V29,Z25:Z29, AT25:AT29,AX25:AX29))</f>
        <v>0</v>
      </c>
      <c r="BN25" s="50">
        <f>IF( OR(ISBLANK(V25:V29),ISBLANK(AT25:AT29), ISBLANK(AA25:AA29),ISBLANK(AY25:AY29)), "·", bdRateExtend( V25:V29,AA25:AA29, AT25:AT29,AY25:AY29))</f>
        <v>0</v>
      </c>
      <c r="BP25" s="50">
        <f>IF( OR(ISBLANK(S25:S29),ISBLANK(AQ25:AQ29), ISBLANK(W25:W29),ISBLANK(AU25:AU29)), "·", bdRateExtend( S25:S29,W25:W29, AQ25:AQ29,AU25:AU29))</f>
        <v>8.3662385907956605E-9</v>
      </c>
      <c r="BQ25" s="50">
        <f>IF( OR(ISBLANK(S25:S29),ISBLANK(AQ25:AQ29), ISBLANK(X25:X29),ISBLANK(AV25:AV29)), "·", bdRateExtend( S25:S29,X25:X29, AQ25:AQ29,AV25:AV29))</f>
        <v>1.8912661214898208E-8</v>
      </c>
      <c r="BR25" s="50">
        <f>IF( OR(ISBLANK(S25:S29),ISBLANK(AQ25:AQ29), ISBLANK(Y25:Y29),ISBLANK(AW25:AW29)), "·", bdRateExtend( S25:S29,Y25:Y29, AQ25:AQ29,AW25:AW29))</f>
        <v>1.5336409919797234E-8</v>
      </c>
      <c r="BS25" s="50">
        <f>IF( OR(ISBLANK(S25:S29),ISBLANK(AQ25:AQ29), ISBLANK(Z25:Z29),ISBLANK(AX25:AX29)), "·", bdRateExtend( S25:S29,Z25:Z29, AQ25:AQ29,AX25:AX29))</f>
        <v>2.1217573697995817E-8</v>
      </c>
      <c r="BT25" s="50">
        <f>IF( OR(ISBLANK(S25:S29),ISBLANK(AQ25:AQ29), ISBLANK(AA25:AA29),ISBLANK(AY25:AY29)), "·", bdRateExtend( S25:S29,AA25:AA29, AQ25:AQ29,AY25:AY29))</f>
        <v>1.9053973510096966E-8</v>
      </c>
      <c r="BV25" s="58">
        <f t="shared" si="16"/>
        <v>0</v>
      </c>
      <c r="BW25" s="58">
        <f t="shared" si="16"/>
        <v>0</v>
      </c>
      <c r="BX25" s="58">
        <f t="shared" si="16"/>
        <v>0</v>
      </c>
      <c r="BY25" s="58">
        <f t="shared" si="16"/>
        <v>0</v>
      </c>
      <c r="BZ25" s="58">
        <f t="shared" si="16"/>
        <v>0</v>
      </c>
      <c r="CA25" s="58">
        <f t="shared" si="16"/>
        <v>0</v>
      </c>
      <c r="CB25" s="58">
        <f t="shared" si="16"/>
        <v>0</v>
      </c>
      <c r="CC25" s="58">
        <f t="shared" si="16"/>
        <v>0</v>
      </c>
      <c r="CD25" s="58">
        <f t="shared" si="16"/>
        <v>0</v>
      </c>
      <c r="CE25" s="58">
        <f t="shared" si="16"/>
        <v>0</v>
      </c>
      <c r="CF25" s="58">
        <f t="shared" si="16"/>
        <v>0</v>
      </c>
      <c r="CG25" s="58">
        <f t="shared" si="16"/>
        <v>0</v>
      </c>
      <c r="CJ25" t="s">
        <v>241</v>
      </c>
    </row>
    <row r="26" spans="1:88" outlineLevel="1">
      <c r="A26" s="17"/>
      <c r="B26" s="17" t="s">
        <v>73</v>
      </c>
      <c r="C26" s="18" t="s">
        <v>234</v>
      </c>
      <c r="D26" s="17">
        <v>250294582</v>
      </c>
      <c r="E26" s="18">
        <v>10</v>
      </c>
      <c r="F26" s="18">
        <v>32</v>
      </c>
      <c r="G26" s="18">
        <v>30</v>
      </c>
      <c r="I26" s="19">
        <f t="shared" si="0"/>
        <v>7.4939099999999996</v>
      </c>
      <c r="J26" s="20">
        <f t="shared" si="1"/>
        <v>3.1936384463967342E-2</v>
      </c>
      <c r="K26" s="20">
        <f t="shared" si="2"/>
        <v>8.0026662343014674E-3</v>
      </c>
      <c r="L26" s="20">
        <f t="shared" si="3"/>
        <v>5.2525947205681028E-3</v>
      </c>
      <c r="M26" s="20">
        <f t="shared" si="4"/>
        <v>2.3933206832259756E-2</v>
      </c>
      <c r="N26" s="17">
        <f t="shared" si="5"/>
        <v>2003024</v>
      </c>
      <c r="O26" s="20">
        <v>16</v>
      </c>
      <c r="P26" s="21">
        <v>24564301</v>
      </c>
      <c r="Q26" s="21">
        <v>767634.40625</v>
      </c>
      <c r="R26" s="21">
        <v>17714.59375</v>
      </c>
      <c r="S26" s="22">
        <v>7993504</v>
      </c>
      <c r="T26" s="22">
        <v>1314696</v>
      </c>
      <c r="U26" s="22">
        <v>688328</v>
      </c>
      <c r="V26" s="22">
        <v>5990352</v>
      </c>
      <c r="W26" s="23">
        <v>67.941556000000006</v>
      </c>
      <c r="X26" s="23">
        <v>69.941896999999997</v>
      </c>
      <c r="Y26" s="23">
        <v>29.713653000000001</v>
      </c>
      <c r="Z26" s="23">
        <v>34.339922000000001</v>
      </c>
      <c r="AA26" s="23">
        <v>33.891993999999997</v>
      </c>
      <c r="AB26" s="24">
        <v>1669.21</v>
      </c>
      <c r="AC26" s="24">
        <v>1151.08</v>
      </c>
      <c r="AD26" s="24">
        <v>66.293000000000006</v>
      </c>
      <c r="AE26" s="24">
        <v>18.295000000000002</v>
      </c>
      <c r="AG26" s="19">
        <f t="shared" si="6"/>
        <v>7.4939099999999996</v>
      </c>
      <c r="AH26" s="20">
        <f t="shared" si="7"/>
        <v>3.1936384463967342E-2</v>
      </c>
      <c r="AI26" s="20">
        <f t="shared" si="8"/>
        <v>8.0026662343014674E-3</v>
      </c>
      <c r="AJ26" s="20">
        <f t="shared" si="9"/>
        <v>5.2525947205681028E-3</v>
      </c>
      <c r="AK26" s="20">
        <f t="shared" si="10"/>
        <v>2.3933206832259756E-2</v>
      </c>
      <c r="AL26" s="17">
        <f t="shared" si="11"/>
        <v>2003024</v>
      </c>
      <c r="AM26" s="20">
        <v>16</v>
      </c>
      <c r="AN26" s="21">
        <v>24564301</v>
      </c>
      <c r="AO26" s="21">
        <v>767634.40625</v>
      </c>
      <c r="AP26" s="21">
        <v>17714.59375</v>
      </c>
      <c r="AQ26" s="22">
        <v>7993504</v>
      </c>
      <c r="AR26" s="22">
        <v>1314696</v>
      </c>
      <c r="AS26" s="22">
        <v>688328</v>
      </c>
      <c r="AT26" s="22">
        <v>5990352</v>
      </c>
      <c r="AU26" s="23">
        <v>67.941556000000006</v>
      </c>
      <c r="AV26" s="23">
        <v>69.941896999999997</v>
      </c>
      <c r="AW26" s="23">
        <v>29.713653000000001</v>
      </c>
      <c r="AX26" s="23">
        <v>34.339922000000001</v>
      </c>
      <c r="AY26" s="23">
        <v>33.891993999999997</v>
      </c>
      <c r="AZ26" s="24">
        <v>1626.98</v>
      </c>
      <c r="BA26" s="24">
        <v>1173.43</v>
      </c>
      <c r="BB26" s="24">
        <v>64.575000000000003</v>
      </c>
      <c r="BC26" s="24">
        <v>16.600000000000001</v>
      </c>
      <c r="BE26" s="49">
        <f t="shared" si="12"/>
        <v>1</v>
      </c>
      <c r="BF26" s="25">
        <f t="shared" si="13"/>
        <v>0</v>
      </c>
      <c r="BG26" s="25">
        <f t="shared" si="14"/>
        <v>0</v>
      </c>
      <c r="BH26" s="25"/>
      <c r="BJ26" s="49"/>
      <c r="BK26" s="49"/>
      <c r="BL26" s="49"/>
      <c r="BM26" s="49"/>
      <c r="BN26" s="49"/>
      <c r="BP26" s="49"/>
      <c r="BQ26" s="49"/>
      <c r="BR26" s="49"/>
      <c r="BS26" s="49"/>
      <c r="BT26" s="49"/>
      <c r="BV26" s="58">
        <f t="shared" si="16"/>
        <v>0</v>
      </c>
      <c r="BW26" s="58">
        <f t="shared" si="16"/>
        <v>0</v>
      </c>
      <c r="BX26" s="58">
        <f t="shared" si="16"/>
        <v>0</v>
      </c>
      <c r="BY26" s="58">
        <f t="shared" si="16"/>
        <v>0</v>
      </c>
      <c r="BZ26" s="58">
        <f t="shared" si="16"/>
        <v>0</v>
      </c>
      <c r="CA26" s="58">
        <f t="shared" si="16"/>
        <v>0</v>
      </c>
      <c r="CB26" s="58">
        <f t="shared" si="16"/>
        <v>0</v>
      </c>
      <c r="CC26" s="58">
        <f t="shared" si="16"/>
        <v>0</v>
      </c>
      <c r="CD26" s="58">
        <f t="shared" si="16"/>
        <v>0</v>
      </c>
      <c r="CE26" s="58">
        <f t="shared" si="16"/>
        <v>0</v>
      </c>
      <c r="CF26" s="58">
        <f t="shared" si="16"/>
        <v>0</v>
      </c>
      <c r="CG26" s="58">
        <f t="shared" si="16"/>
        <v>0</v>
      </c>
      <c r="CJ26" t="s">
        <v>241</v>
      </c>
    </row>
    <row r="27" spans="1:88" outlineLevel="1">
      <c r="A27" s="52"/>
      <c r="B27" s="52" t="s">
        <v>73</v>
      </c>
      <c r="C27" s="9" t="s">
        <v>235</v>
      </c>
      <c r="D27" s="52">
        <v>250294582</v>
      </c>
      <c r="E27" s="9">
        <v>10</v>
      </c>
      <c r="F27" s="9">
        <v>32</v>
      </c>
      <c r="G27" s="9">
        <v>30</v>
      </c>
      <c r="I27" s="10">
        <f t="shared" si="0"/>
        <v>13.19337</v>
      </c>
      <c r="J27" s="11">
        <f t="shared" si="1"/>
        <v>5.6225459966208938E-2</v>
      </c>
      <c r="K27" s="11">
        <f t="shared" si="2"/>
        <v>1.0299128248808838E-2</v>
      </c>
      <c r="L27" s="11">
        <f t="shared" si="3"/>
        <v>7.5490247727375897E-3</v>
      </c>
      <c r="M27" s="11">
        <f t="shared" si="4"/>
        <v>4.5925820319993982E-2</v>
      </c>
      <c r="N27" s="52">
        <f t="shared" si="5"/>
        <v>2577816</v>
      </c>
      <c r="O27" s="11">
        <v>16</v>
      </c>
      <c r="P27" s="12">
        <v>24852477</v>
      </c>
      <c r="Q27" s="12">
        <v>776639.90625</v>
      </c>
      <c r="R27" s="12">
        <v>18688.75</v>
      </c>
      <c r="S27" s="13">
        <v>14072928</v>
      </c>
      <c r="T27" s="13">
        <v>1889480</v>
      </c>
      <c r="U27" s="13">
        <v>688336</v>
      </c>
      <c r="V27" s="13">
        <v>11494984</v>
      </c>
      <c r="W27" s="14">
        <v>69.263744000000003</v>
      </c>
      <c r="X27" s="14">
        <v>71.649234000000007</v>
      </c>
      <c r="Y27" s="14">
        <v>32.212888</v>
      </c>
      <c r="Z27" s="14">
        <v>35.580181000000003</v>
      </c>
      <c r="AA27" s="14">
        <v>35.204984000000003</v>
      </c>
      <c r="AB27" s="15">
        <v>1869.02</v>
      </c>
      <c r="AC27" s="15">
        <v>1603.42</v>
      </c>
      <c r="AD27" s="15">
        <v>71.16</v>
      </c>
      <c r="AE27" s="15">
        <v>22.917000000000002</v>
      </c>
      <c r="AG27" s="10">
        <f t="shared" si="6"/>
        <v>13.19337</v>
      </c>
      <c r="AH27" s="11">
        <f t="shared" si="7"/>
        <v>5.6225459966208938E-2</v>
      </c>
      <c r="AI27" s="11">
        <f t="shared" si="8"/>
        <v>1.0299128248808838E-2</v>
      </c>
      <c r="AJ27" s="11">
        <f t="shared" si="9"/>
        <v>7.5490247727375897E-3</v>
      </c>
      <c r="AK27" s="11">
        <f t="shared" si="10"/>
        <v>4.5925820319993982E-2</v>
      </c>
      <c r="AL27" s="52">
        <f t="shared" si="11"/>
        <v>2577816</v>
      </c>
      <c r="AM27" s="11">
        <v>16</v>
      </c>
      <c r="AN27" s="12">
        <v>24852477</v>
      </c>
      <c r="AO27" s="12">
        <v>776639.90625</v>
      </c>
      <c r="AP27" s="12">
        <v>18688.75</v>
      </c>
      <c r="AQ27" s="13">
        <v>14072928</v>
      </c>
      <c r="AR27" s="13">
        <v>1889480</v>
      </c>
      <c r="AS27" s="13">
        <v>688336</v>
      </c>
      <c r="AT27" s="13">
        <v>11494984</v>
      </c>
      <c r="AU27" s="14">
        <v>69.263744000000003</v>
      </c>
      <c r="AV27" s="14">
        <v>71.649234000000007</v>
      </c>
      <c r="AW27" s="14">
        <v>32.212888</v>
      </c>
      <c r="AX27" s="14">
        <v>35.580181000000003</v>
      </c>
      <c r="AY27" s="14">
        <v>35.204984000000003</v>
      </c>
      <c r="AZ27" s="15">
        <v>1542.9</v>
      </c>
      <c r="BA27" s="15">
        <v>1213.18</v>
      </c>
      <c r="BB27" s="15">
        <v>66.832999999999998</v>
      </c>
      <c r="BC27" s="15">
        <v>17.748000000000001</v>
      </c>
      <c r="BE27" s="50">
        <f t="shared" si="12"/>
        <v>1</v>
      </c>
      <c r="BF27" s="16">
        <f t="shared" si="13"/>
        <v>0</v>
      </c>
      <c r="BG27" s="16">
        <f t="shared" si="14"/>
        <v>0</v>
      </c>
      <c r="BH27" s="16"/>
      <c r="BJ27" s="50"/>
      <c r="BK27" s="50"/>
      <c r="BL27" s="50"/>
      <c r="BM27" s="50"/>
      <c r="BN27" s="50"/>
      <c r="BP27" s="50"/>
      <c r="BQ27" s="50"/>
      <c r="BR27" s="50"/>
      <c r="BS27" s="50"/>
      <c r="BT27" s="50"/>
      <c r="BV27" s="58">
        <f t="shared" si="16"/>
        <v>0</v>
      </c>
      <c r="BW27" s="58">
        <f t="shared" si="16"/>
        <v>0</v>
      </c>
      <c r="BX27" s="58">
        <f t="shared" si="16"/>
        <v>0</v>
      </c>
      <c r="BY27" s="58">
        <f t="shared" si="16"/>
        <v>0</v>
      </c>
      <c r="BZ27" s="58">
        <f t="shared" si="16"/>
        <v>0</v>
      </c>
      <c r="CA27" s="58">
        <f t="shared" si="16"/>
        <v>0</v>
      </c>
      <c r="CB27" s="58">
        <f t="shared" si="16"/>
        <v>0</v>
      </c>
      <c r="CC27" s="58">
        <f t="shared" si="16"/>
        <v>0</v>
      </c>
      <c r="CD27" s="58">
        <f t="shared" si="16"/>
        <v>0</v>
      </c>
      <c r="CE27" s="58">
        <f t="shared" si="16"/>
        <v>0</v>
      </c>
      <c r="CF27" s="58">
        <f t="shared" si="16"/>
        <v>0</v>
      </c>
      <c r="CG27" s="58">
        <f t="shared" si="16"/>
        <v>0</v>
      </c>
      <c r="CJ27" t="s">
        <v>241</v>
      </c>
    </row>
    <row r="28" spans="1:88" outlineLevel="1">
      <c r="A28" s="17"/>
      <c r="B28" s="17" t="s">
        <v>73</v>
      </c>
      <c r="C28" s="18" t="s">
        <v>236</v>
      </c>
      <c r="D28" s="17">
        <v>250294582</v>
      </c>
      <c r="E28" s="18">
        <v>10</v>
      </c>
      <c r="F28" s="18">
        <v>32</v>
      </c>
      <c r="G28" s="18">
        <v>30</v>
      </c>
      <c r="I28" s="19">
        <f t="shared" si="0"/>
        <v>24.462119999999999</v>
      </c>
      <c r="J28" s="20">
        <f t="shared" si="1"/>
        <v>0.10424887263440645</v>
      </c>
      <c r="K28" s="20">
        <f t="shared" si="2"/>
        <v>1.4156247297434508E-2</v>
      </c>
      <c r="L28" s="20">
        <f t="shared" si="3"/>
        <v>1.1406143821363261E-2</v>
      </c>
      <c r="M28" s="20">
        <f t="shared" si="4"/>
        <v>9.0092113939565815E-2</v>
      </c>
      <c r="N28" s="17">
        <f t="shared" si="5"/>
        <v>3543232</v>
      </c>
      <c r="O28" s="20">
        <v>16</v>
      </c>
      <c r="P28" s="21">
        <v>25521142</v>
      </c>
      <c r="Q28" s="21">
        <v>797535.6875</v>
      </c>
      <c r="R28" s="21">
        <v>20922.53125</v>
      </c>
      <c r="S28" s="22">
        <v>26092928</v>
      </c>
      <c r="T28" s="22">
        <v>2854896</v>
      </c>
      <c r="U28" s="22">
        <v>688336</v>
      </c>
      <c r="V28" s="22">
        <v>22549568</v>
      </c>
      <c r="W28" s="23">
        <v>70.432472000000004</v>
      </c>
      <c r="X28" s="23">
        <v>72.970200000000006</v>
      </c>
      <c r="Y28" s="23">
        <v>34.910972000000001</v>
      </c>
      <c r="Z28" s="23">
        <v>37.373078</v>
      </c>
      <c r="AA28" s="23">
        <v>36.936613000000001</v>
      </c>
      <c r="AB28" s="24">
        <v>1768.75</v>
      </c>
      <c r="AC28" s="24">
        <v>1416.99</v>
      </c>
      <c r="AD28" s="24">
        <v>72.89</v>
      </c>
      <c r="AE28" s="24">
        <v>21.074000000000002</v>
      </c>
      <c r="AG28" s="19">
        <f t="shared" si="6"/>
        <v>24.462119999999999</v>
      </c>
      <c r="AH28" s="20">
        <f t="shared" si="7"/>
        <v>0.10424887263440645</v>
      </c>
      <c r="AI28" s="20">
        <f t="shared" si="8"/>
        <v>1.4156247297434508E-2</v>
      </c>
      <c r="AJ28" s="20">
        <f t="shared" si="9"/>
        <v>1.1406143821363261E-2</v>
      </c>
      <c r="AK28" s="20">
        <f t="shared" si="10"/>
        <v>9.0092113939565815E-2</v>
      </c>
      <c r="AL28" s="17">
        <f t="shared" si="11"/>
        <v>3543232</v>
      </c>
      <c r="AM28" s="20">
        <v>16</v>
      </c>
      <c r="AN28" s="21">
        <v>25521142</v>
      </c>
      <c r="AO28" s="21">
        <v>797535.6875</v>
      </c>
      <c r="AP28" s="21">
        <v>20922.53125</v>
      </c>
      <c r="AQ28" s="22">
        <v>26092928</v>
      </c>
      <c r="AR28" s="22">
        <v>2854896</v>
      </c>
      <c r="AS28" s="22">
        <v>688336</v>
      </c>
      <c r="AT28" s="22">
        <v>22549568</v>
      </c>
      <c r="AU28" s="23">
        <v>70.432472000000004</v>
      </c>
      <c r="AV28" s="23">
        <v>72.970200000000006</v>
      </c>
      <c r="AW28" s="23">
        <v>34.910972000000001</v>
      </c>
      <c r="AX28" s="23">
        <v>37.373078</v>
      </c>
      <c r="AY28" s="23">
        <v>36.936613000000001</v>
      </c>
      <c r="AZ28" s="24">
        <v>1472.9</v>
      </c>
      <c r="BA28" s="24">
        <v>1340.83</v>
      </c>
      <c r="BB28" s="24">
        <v>63.527999999999999</v>
      </c>
      <c r="BC28" s="24">
        <v>17.056999999999999</v>
      </c>
      <c r="BE28" s="49">
        <f t="shared" si="12"/>
        <v>1</v>
      </c>
      <c r="BF28" s="25">
        <f t="shared" si="13"/>
        <v>0</v>
      </c>
      <c r="BG28" s="25">
        <f t="shared" si="14"/>
        <v>0</v>
      </c>
      <c r="BH28" s="25"/>
      <c r="BJ28" s="49"/>
      <c r="BK28" s="49"/>
      <c r="BL28" s="49"/>
      <c r="BM28" s="49"/>
      <c r="BN28" s="49"/>
      <c r="BP28" s="49"/>
      <c r="BQ28" s="49"/>
      <c r="BR28" s="49"/>
      <c r="BS28" s="49"/>
      <c r="BT28" s="49"/>
      <c r="BV28" s="58">
        <f t="shared" si="16"/>
        <v>0</v>
      </c>
      <c r="BW28" s="58">
        <f t="shared" si="16"/>
        <v>0</v>
      </c>
      <c r="BX28" s="58">
        <f t="shared" si="16"/>
        <v>0</v>
      </c>
      <c r="BY28" s="58">
        <f t="shared" si="16"/>
        <v>0</v>
      </c>
      <c r="BZ28" s="58">
        <f t="shared" si="16"/>
        <v>0</v>
      </c>
      <c r="CA28" s="58">
        <f t="shared" si="16"/>
        <v>0</v>
      </c>
      <c r="CB28" s="58">
        <f t="shared" si="16"/>
        <v>0</v>
      </c>
      <c r="CC28" s="58">
        <f t="shared" si="16"/>
        <v>0</v>
      </c>
      <c r="CD28" s="58">
        <f t="shared" si="16"/>
        <v>0</v>
      </c>
      <c r="CE28" s="58">
        <f t="shared" si="16"/>
        <v>0</v>
      </c>
      <c r="CF28" s="58">
        <f t="shared" si="16"/>
        <v>0</v>
      </c>
      <c r="CG28" s="58">
        <f t="shared" si="16"/>
        <v>0</v>
      </c>
      <c r="CJ28" t="s">
        <v>241</v>
      </c>
    </row>
    <row r="29" spans="1:88" ht="16" outlineLevel="1" thickBot="1">
      <c r="A29" s="26"/>
      <c r="B29" s="26" t="s">
        <v>73</v>
      </c>
      <c r="C29" s="27" t="s">
        <v>237</v>
      </c>
      <c r="D29" s="26">
        <v>250294582</v>
      </c>
      <c r="E29" s="27">
        <v>10</v>
      </c>
      <c r="F29" s="27">
        <v>32</v>
      </c>
      <c r="G29" s="27">
        <v>30</v>
      </c>
      <c r="I29" s="28">
        <f t="shared" si="0"/>
        <v>44.176470000000002</v>
      </c>
      <c r="J29" s="29">
        <f t="shared" si="1"/>
        <v>0.18826443474513563</v>
      </c>
      <c r="K29" s="29">
        <f t="shared" si="2"/>
        <v>2.2894366926408338E-2</v>
      </c>
      <c r="L29" s="29">
        <f t="shared" si="3"/>
        <v>1.7641772205840237E-2</v>
      </c>
      <c r="M29" s="29">
        <f t="shared" si="4"/>
        <v>0.16536955642132117</v>
      </c>
      <c r="N29" s="26">
        <f t="shared" si="5"/>
        <v>5730336</v>
      </c>
      <c r="O29" s="29">
        <v>16</v>
      </c>
      <c r="P29" s="30">
        <v>24571358</v>
      </c>
      <c r="Q29" s="30">
        <v>767854.9375</v>
      </c>
      <c r="R29" s="30">
        <v>9744.125</v>
      </c>
      <c r="S29" s="31">
        <v>47121568</v>
      </c>
      <c r="T29" s="31">
        <v>4415640</v>
      </c>
      <c r="U29" s="31">
        <v>1314696</v>
      </c>
      <c r="V29" s="31">
        <v>41391104</v>
      </c>
      <c r="W29" s="32">
        <v>71.152737999999999</v>
      </c>
      <c r="X29" s="32">
        <v>74.905512999999999</v>
      </c>
      <c r="Y29" s="32">
        <v>37.369269000000003</v>
      </c>
      <c r="Z29" s="32">
        <v>39.408925000000004</v>
      </c>
      <c r="AA29" s="32">
        <v>38.766097000000002</v>
      </c>
      <c r="AB29" s="33">
        <v>1494.34</v>
      </c>
      <c r="AC29" s="33">
        <v>1570.28</v>
      </c>
      <c r="AD29" s="33">
        <v>65.195999999999998</v>
      </c>
      <c r="AE29" s="33">
        <v>20.050999999999998</v>
      </c>
      <c r="AG29" s="28">
        <f t="shared" si="6"/>
        <v>44.176477499999997</v>
      </c>
      <c r="AH29" s="29">
        <f t="shared" si="7"/>
        <v>0.18826446670747352</v>
      </c>
      <c r="AI29" s="29">
        <f t="shared" si="8"/>
        <v>2.2894398888746222E-2</v>
      </c>
      <c r="AJ29" s="29">
        <f t="shared" si="9"/>
        <v>1.7641772205840237E-2</v>
      </c>
      <c r="AK29" s="29">
        <f t="shared" si="10"/>
        <v>0.16536955642132117</v>
      </c>
      <c r="AL29" s="26">
        <f t="shared" si="11"/>
        <v>5730344</v>
      </c>
      <c r="AM29" s="29">
        <v>16</v>
      </c>
      <c r="AN29" s="30">
        <v>24571358</v>
      </c>
      <c r="AO29" s="30">
        <v>767854.9375</v>
      </c>
      <c r="AP29" s="30">
        <v>9744.125</v>
      </c>
      <c r="AQ29" s="31">
        <v>47121576</v>
      </c>
      <c r="AR29" s="31">
        <v>4415640</v>
      </c>
      <c r="AS29" s="31">
        <v>1314704</v>
      </c>
      <c r="AT29" s="31">
        <v>41391104</v>
      </c>
      <c r="AU29" s="32">
        <v>71.152737999999999</v>
      </c>
      <c r="AV29" s="32">
        <v>74.905512999999999</v>
      </c>
      <c r="AW29" s="32">
        <v>37.369269000000003</v>
      </c>
      <c r="AX29" s="32">
        <v>39.408925000000004</v>
      </c>
      <c r="AY29" s="32">
        <v>38.766097000000002</v>
      </c>
      <c r="AZ29" s="33">
        <v>1543.57</v>
      </c>
      <c r="BA29" s="33">
        <v>1609.03</v>
      </c>
      <c r="BB29" s="33">
        <v>64.697000000000003</v>
      </c>
      <c r="BC29" s="33">
        <v>20.835000000000001</v>
      </c>
      <c r="BE29" s="34">
        <f t="shared" si="12"/>
        <v>1.0000013960786942</v>
      </c>
      <c r="BF29" s="35">
        <f t="shared" si="13"/>
        <v>0</v>
      </c>
      <c r="BG29" s="35">
        <f t="shared" si="14"/>
        <v>1.4912786477916384E-7</v>
      </c>
      <c r="BH29" s="35"/>
      <c r="BJ29" s="34"/>
      <c r="BK29" s="34"/>
      <c r="BL29" s="34"/>
      <c r="BM29" s="34"/>
      <c r="BN29" s="34"/>
      <c r="BP29" s="34"/>
      <c r="BQ29" s="34"/>
      <c r="BR29" s="34"/>
      <c r="BS29" s="34"/>
      <c r="BT29" s="34"/>
      <c r="BV29" s="58">
        <f t="shared" si="16"/>
        <v>0</v>
      </c>
      <c r="BW29" s="58">
        <f t="shared" si="16"/>
        <v>0</v>
      </c>
      <c r="BX29" s="58">
        <f t="shared" si="16"/>
        <v>0</v>
      </c>
      <c r="BY29" s="58">
        <f t="shared" si="16"/>
        <v>8</v>
      </c>
      <c r="BZ29" s="58">
        <f t="shared" si="16"/>
        <v>0</v>
      </c>
      <c r="CA29" s="58">
        <f t="shared" si="16"/>
        <v>8</v>
      </c>
      <c r="CB29" s="58">
        <f t="shared" si="16"/>
        <v>0</v>
      </c>
      <c r="CC29" s="58">
        <f t="shared" si="16"/>
        <v>0</v>
      </c>
      <c r="CD29" s="58">
        <f t="shared" si="16"/>
        <v>0</v>
      </c>
      <c r="CE29" s="58">
        <f t="shared" si="16"/>
        <v>0</v>
      </c>
      <c r="CF29" s="58">
        <f t="shared" si="16"/>
        <v>0</v>
      </c>
      <c r="CG29" s="58">
        <f t="shared" si="16"/>
        <v>0</v>
      </c>
      <c r="CJ29" t="s">
        <v>241</v>
      </c>
    </row>
    <row r="30" spans="1:88">
      <c r="A30" s="17" t="s">
        <v>242</v>
      </c>
      <c r="B30" s="17" t="s">
        <v>77</v>
      </c>
      <c r="C30" s="18" t="s">
        <v>232</v>
      </c>
      <c r="D30" s="17">
        <v>375422539</v>
      </c>
      <c r="E30" s="18">
        <v>11</v>
      </c>
      <c r="F30" s="18">
        <v>32</v>
      </c>
      <c r="G30" s="18">
        <v>30</v>
      </c>
      <c r="I30" s="19">
        <f t="shared" si="0"/>
        <v>5.7084900000000003</v>
      </c>
      <c r="J30" s="20">
        <f t="shared" si="1"/>
        <v>1.621920733959982E-2</v>
      </c>
      <c r="K30" s="20">
        <f t="shared" si="2"/>
        <v>9.9075777653296407E-3</v>
      </c>
      <c r="L30" s="20">
        <f t="shared" si="3"/>
        <v>6.1752286002199775E-3</v>
      </c>
      <c r="M30" s="20">
        <f t="shared" si="4"/>
        <v>6.3112886251083609E-3</v>
      </c>
      <c r="N30" s="17">
        <f t="shared" si="5"/>
        <v>3719528</v>
      </c>
      <c r="O30" s="20">
        <v>16</v>
      </c>
      <c r="P30" s="21">
        <v>84258322</v>
      </c>
      <c r="Q30" s="21">
        <v>2633072.5625</v>
      </c>
      <c r="R30" s="21">
        <v>32425.28125</v>
      </c>
      <c r="S30" s="22">
        <v>6089056</v>
      </c>
      <c r="T30" s="22">
        <v>2318320</v>
      </c>
      <c r="U30" s="22">
        <v>1401208</v>
      </c>
      <c r="V30" s="22">
        <v>2369400</v>
      </c>
      <c r="W30" s="23">
        <v>73.460730999999996</v>
      </c>
      <c r="X30" s="23">
        <v>75.713605999999999</v>
      </c>
      <c r="Y30" s="23">
        <v>34.745108999999999</v>
      </c>
      <c r="Z30" s="23">
        <v>42.167358999999998</v>
      </c>
      <c r="AA30" s="23">
        <v>43.793906</v>
      </c>
      <c r="AB30" s="24">
        <v>3949.42</v>
      </c>
      <c r="AC30" s="24">
        <v>3209.4</v>
      </c>
      <c r="AD30" s="24">
        <v>223.846</v>
      </c>
      <c r="AE30" s="24">
        <v>47.152000000000001</v>
      </c>
      <c r="AG30" s="19">
        <f t="shared" si="6"/>
        <v>5.7084900000000003</v>
      </c>
      <c r="AH30" s="20">
        <f t="shared" si="7"/>
        <v>1.621920733959982E-2</v>
      </c>
      <c r="AI30" s="20">
        <f t="shared" si="8"/>
        <v>9.9075777653296407E-3</v>
      </c>
      <c r="AJ30" s="20">
        <f t="shared" si="9"/>
        <v>6.1752286002199775E-3</v>
      </c>
      <c r="AK30" s="20">
        <f t="shared" si="10"/>
        <v>6.3112886251083609E-3</v>
      </c>
      <c r="AL30" s="17">
        <f t="shared" si="11"/>
        <v>3719528</v>
      </c>
      <c r="AM30" s="20">
        <v>16</v>
      </c>
      <c r="AN30" s="21">
        <v>84258322</v>
      </c>
      <c r="AO30" s="21">
        <v>2633072.5625</v>
      </c>
      <c r="AP30" s="21">
        <v>32425.28125</v>
      </c>
      <c r="AQ30" s="22">
        <v>6089056</v>
      </c>
      <c r="AR30" s="22">
        <v>2318320</v>
      </c>
      <c r="AS30" s="22">
        <v>1401208</v>
      </c>
      <c r="AT30" s="22">
        <v>2369400</v>
      </c>
      <c r="AU30" s="23">
        <v>73.460730999999996</v>
      </c>
      <c r="AV30" s="23">
        <v>75.713605999999999</v>
      </c>
      <c r="AW30" s="23">
        <v>34.745108999999999</v>
      </c>
      <c r="AX30" s="23">
        <v>42.167358999999998</v>
      </c>
      <c r="AY30" s="23">
        <v>43.793906</v>
      </c>
      <c r="AZ30" s="24">
        <v>3617.04</v>
      </c>
      <c r="BA30" s="24">
        <v>3018.18</v>
      </c>
      <c r="BB30" s="24">
        <v>219.15299999999999</v>
      </c>
      <c r="BC30" s="24">
        <v>44.238999999999997</v>
      </c>
      <c r="BE30" s="49">
        <f t="shared" si="12"/>
        <v>1</v>
      </c>
      <c r="BF30" s="25">
        <f t="shared" si="13"/>
        <v>0</v>
      </c>
      <c r="BG30" s="25">
        <f t="shared" si="14"/>
        <v>0</v>
      </c>
      <c r="BH30" s="25">
        <f t="array" ref="BH30">AVERAGE(AL30:AL34/AQ30:AQ34) - AVERAGE(N30:N34/S30:S34)</f>
        <v>6.0583677907732891E-8</v>
      </c>
      <c r="BJ30" s="49">
        <f>IF( OR(ISBLANK(N30:N34),ISBLANK(AL30:AL34), ISBLANK(W30:W34),ISBLANK(AU30:AU34)), "·", bdRateExtend( N30:N34,W30:W34, AL30:AL34,AU30:AU34))</f>
        <v>5.8811756176169183E-7</v>
      </c>
      <c r="BK30" s="49">
        <f>IF( OR(ISBLANK(N30:N34),ISBLANK(AL30:AL34), ISBLANK(X30:X34),ISBLANK(AV30:AV34)), "·", bdRateExtend( N30:N34,X30:X34, AL30:AL34,AV30:AV34))</f>
        <v>5.1157659264333688E-7</v>
      </c>
      <c r="BL30" s="49">
        <f>IF( OR(ISBLANK(V30:V34),ISBLANK(AT30:AT34), ISBLANK(Y30:Y34),ISBLANK(AW30:AW34)), "·", bdRateExtend( V30:V34,Y30:Y34, AT30:AT34,AW30:AW34))</f>
        <v>0</v>
      </c>
      <c r="BM30" s="49">
        <f>IF( OR(ISBLANK(V30:V34),ISBLANK(AT30:AT34), ISBLANK(Z30:Z34),ISBLANK(AX30:AX34)), "·", bdRateExtend( V30:V34,Z30:Z34, AT30:AT34,AX30:AX34))</f>
        <v>0</v>
      </c>
      <c r="BN30" s="49">
        <f>IF( OR(ISBLANK(V30:V34),ISBLANK(AT30:AT34), ISBLANK(AA30:AA34),ISBLANK(AY30:AY34)), "·", bdRateExtend( V30:V34,AA30:AA34, AT30:AT34,AY30:AY34))</f>
        <v>0</v>
      </c>
      <c r="BP30" s="49">
        <f>IF( OR(ISBLANK(S30:S34),ISBLANK(AQ30:AQ34), ISBLANK(W30:W34),ISBLANK(AU30:AU34)), "·", bdRateExtend( S30:S34,W30:W34, AQ30:AQ34,AU30:AU34))</f>
        <v>3.1891956298046864E-7</v>
      </c>
      <c r="BQ30" s="49">
        <f>IF( OR(ISBLANK(S30:S34),ISBLANK(AQ30:AQ34), ISBLANK(X30:X34),ISBLANK(AV30:AV34)), "·", bdRateExtend( S30:S34,X30:X34, AQ30:AQ34,AV30:AV34))</f>
        <v>2.8336730273359478E-7</v>
      </c>
      <c r="BR30" s="49">
        <f>IF( OR(ISBLANK(S30:S34),ISBLANK(AQ30:AQ34), ISBLANK(Y30:Y34),ISBLANK(AW30:AW34)), "·", bdRateExtend( S30:S34,Y30:Y34, AQ30:AQ34,AW30:AW34))</f>
        <v>2.7948035041802655E-7</v>
      </c>
      <c r="BS30" s="49">
        <f>IF( OR(ISBLANK(S30:S34),ISBLANK(AQ30:AQ34), ISBLANK(Z30:Z34),ISBLANK(AX30:AX34)), "·", bdRateExtend( S30:S34,Z30:Z34, AQ30:AQ34,AX30:AX34))</f>
        <v>1.9101750270422713E-7</v>
      </c>
      <c r="BT30" s="49">
        <f>IF( OR(ISBLANK(S30:S34),ISBLANK(AQ30:AQ34), ISBLANK(AA30:AA34),ISBLANK(AY30:AY34)), "·", bdRateExtend( S30:S34,AA30:AA34, AQ30:AQ34,AY30:AY34))</f>
        <v>2.1767063684841048E-7</v>
      </c>
      <c r="BV30" s="58">
        <f t="shared" si="16"/>
        <v>0</v>
      </c>
      <c r="BW30" s="58">
        <f t="shared" si="16"/>
        <v>0</v>
      </c>
      <c r="BX30" s="58">
        <f t="shared" si="16"/>
        <v>0</v>
      </c>
      <c r="BY30" s="58">
        <f t="shared" si="16"/>
        <v>0</v>
      </c>
      <c r="BZ30" s="58">
        <f t="shared" si="16"/>
        <v>0</v>
      </c>
      <c r="CA30" s="58">
        <f t="shared" si="16"/>
        <v>0</v>
      </c>
      <c r="CB30" s="58">
        <f t="shared" si="16"/>
        <v>0</v>
      </c>
      <c r="CC30" s="58">
        <f t="shared" si="16"/>
        <v>0</v>
      </c>
      <c r="CD30" s="58">
        <f t="shared" si="16"/>
        <v>0</v>
      </c>
      <c r="CE30" s="58">
        <f t="shared" si="16"/>
        <v>0</v>
      </c>
      <c r="CF30" s="58">
        <f t="shared" si="16"/>
        <v>0</v>
      </c>
      <c r="CG30" s="58">
        <f t="shared" si="16"/>
        <v>0</v>
      </c>
      <c r="CJ30" t="s">
        <v>243</v>
      </c>
    </row>
    <row r="31" spans="1:88" outlineLevel="1">
      <c r="A31" s="52"/>
      <c r="B31" s="52" t="s">
        <v>77</v>
      </c>
      <c r="C31" s="9" t="s">
        <v>234</v>
      </c>
      <c r="D31" s="52">
        <v>375422539</v>
      </c>
      <c r="E31" s="9">
        <v>11</v>
      </c>
      <c r="F31" s="9">
        <v>32</v>
      </c>
      <c r="G31" s="9">
        <v>30</v>
      </c>
      <c r="I31" s="10">
        <f t="shared" si="0"/>
        <v>8.1507825</v>
      </c>
      <c r="J31" s="11">
        <f t="shared" si="1"/>
        <v>2.3158353846197816E-2</v>
      </c>
      <c r="K31" s="11">
        <f t="shared" si="2"/>
        <v>1.2203337637115069E-2</v>
      </c>
      <c r="L31" s="11">
        <f t="shared" si="3"/>
        <v>8.4710097813280195E-3</v>
      </c>
      <c r="M31" s="11">
        <f t="shared" si="4"/>
        <v>1.0954675259920929E-2</v>
      </c>
      <c r="N31" s="52">
        <f t="shared" si="5"/>
        <v>4581408</v>
      </c>
      <c r="O31" s="11">
        <v>16</v>
      </c>
      <c r="P31" s="12">
        <v>89857639</v>
      </c>
      <c r="Q31" s="12">
        <v>2808051.21875</v>
      </c>
      <c r="R31" s="12">
        <v>41097.03125</v>
      </c>
      <c r="S31" s="13">
        <v>8694168</v>
      </c>
      <c r="T31" s="13">
        <v>3180208</v>
      </c>
      <c r="U31" s="13">
        <v>1401200</v>
      </c>
      <c r="V31" s="13">
        <v>4112632</v>
      </c>
      <c r="W31" s="14">
        <v>75.170683999999994</v>
      </c>
      <c r="X31" s="14">
        <v>77.575241000000005</v>
      </c>
      <c r="Y31" s="14">
        <v>36.650725000000001</v>
      </c>
      <c r="Z31" s="14">
        <v>42.678502999999999</v>
      </c>
      <c r="AA31" s="14">
        <v>45.052522000000003</v>
      </c>
      <c r="AB31" s="15">
        <v>4264.6000000000004</v>
      </c>
      <c r="AC31" s="15">
        <v>4377.58</v>
      </c>
      <c r="AD31" s="15">
        <v>273.39299999999997</v>
      </c>
      <c r="AE31" s="15">
        <v>65.209999999999994</v>
      </c>
      <c r="AG31" s="10">
        <f t="shared" si="6"/>
        <v>8.1507900000000006</v>
      </c>
      <c r="AH31" s="11">
        <f t="shared" si="7"/>
        <v>2.3158375155520432E-2</v>
      </c>
      <c r="AI31" s="11">
        <f t="shared" si="8"/>
        <v>1.2203358946437683E-2</v>
      </c>
      <c r="AJ31" s="11">
        <f t="shared" si="9"/>
        <v>8.4710097813280195E-3</v>
      </c>
      <c r="AK31" s="11">
        <f t="shared" si="10"/>
        <v>1.0954675259920929E-2</v>
      </c>
      <c r="AL31" s="52">
        <f t="shared" si="11"/>
        <v>4581416</v>
      </c>
      <c r="AM31" s="11">
        <v>16</v>
      </c>
      <c r="AN31" s="12">
        <v>89857639</v>
      </c>
      <c r="AO31" s="12">
        <v>2808051.21875</v>
      </c>
      <c r="AP31" s="12">
        <v>41097.03125</v>
      </c>
      <c r="AQ31" s="13">
        <v>8694176</v>
      </c>
      <c r="AR31" s="13">
        <v>3180208</v>
      </c>
      <c r="AS31" s="13">
        <v>1401208</v>
      </c>
      <c r="AT31" s="13">
        <v>4112632</v>
      </c>
      <c r="AU31" s="14">
        <v>75.170683999999994</v>
      </c>
      <c r="AV31" s="14">
        <v>77.575241000000005</v>
      </c>
      <c r="AW31" s="14">
        <v>36.650725000000001</v>
      </c>
      <c r="AX31" s="14">
        <v>42.678502999999999</v>
      </c>
      <c r="AY31" s="14">
        <v>45.052522000000003</v>
      </c>
      <c r="AZ31" s="15">
        <v>4110.84</v>
      </c>
      <c r="BA31" s="15">
        <v>3395.29</v>
      </c>
      <c r="BB31" s="15">
        <v>250.29599999999999</v>
      </c>
      <c r="BC31" s="15">
        <v>50.037999999999997</v>
      </c>
      <c r="BE31" s="50">
        <f t="shared" si="12"/>
        <v>1.0000017461880715</v>
      </c>
      <c r="BF31" s="16">
        <f t="shared" si="13"/>
        <v>0</v>
      </c>
      <c r="BG31" s="16">
        <f t="shared" si="14"/>
        <v>4.3527818149868835E-7</v>
      </c>
      <c r="BH31" s="16"/>
      <c r="BJ31" s="50"/>
      <c r="BK31" s="50"/>
      <c r="BL31" s="50"/>
      <c r="BM31" s="50"/>
      <c r="BN31" s="50"/>
      <c r="BP31" s="50"/>
      <c r="BQ31" s="50"/>
      <c r="BR31" s="50"/>
      <c r="BS31" s="50"/>
      <c r="BT31" s="50"/>
      <c r="BV31" s="58">
        <f t="shared" si="16"/>
        <v>0</v>
      </c>
      <c r="BW31" s="58">
        <f t="shared" si="16"/>
        <v>0</v>
      </c>
      <c r="BX31" s="58">
        <f t="shared" si="16"/>
        <v>0</v>
      </c>
      <c r="BY31" s="58">
        <f t="shared" si="16"/>
        <v>8</v>
      </c>
      <c r="BZ31" s="58">
        <f t="shared" si="16"/>
        <v>0</v>
      </c>
      <c r="CA31" s="58">
        <f t="shared" si="16"/>
        <v>8</v>
      </c>
      <c r="CB31" s="58">
        <f t="shared" si="16"/>
        <v>0</v>
      </c>
      <c r="CC31" s="58">
        <f t="shared" si="16"/>
        <v>0</v>
      </c>
      <c r="CD31" s="58">
        <f t="shared" si="16"/>
        <v>0</v>
      </c>
      <c r="CE31" s="58">
        <f t="shared" si="16"/>
        <v>0</v>
      </c>
      <c r="CF31" s="58">
        <f t="shared" si="16"/>
        <v>0</v>
      </c>
      <c r="CG31" s="58">
        <f t="shared" si="16"/>
        <v>0</v>
      </c>
      <c r="CJ31" t="s">
        <v>243</v>
      </c>
    </row>
    <row r="32" spans="1:88" outlineLevel="1">
      <c r="A32" s="17"/>
      <c r="B32" s="17" t="s">
        <v>77</v>
      </c>
      <c r="C32" s="18" t="s">
        <v>235</v>
      </c>
      <c r="D32" s="17">
        <v>375422539</v>
      </c>
      <c r="E32" s="18">
        <v>11</v>
      </c>
      <c r="F32" s="18">
        <v>32</v>
      </c>
      <c r="G32" s="18">
        <v>30</v>
      </c>
      <c r="I32" s="19">
        <f t="shared" si="0"/>
        <v>12.639405</v>
      </c>
      <c r="J32" s="20">
        <f t="shared" si="1"/>
        <v>3.5911621172004277E-2</v>
      </c>
      <c r="K32" s="20">
        <f t="shared" si="2"/>
        <v>1.5509798680467611E-2</v>
      </c>
      <c r="L32" s="20">
        <f t="shared" si="3"/>
        <v>1.1777470824680562E-2</v>
      </c>
      <c r="M32" s="20">
        <f t="shared" si="4"/>
        <v>2.0401481542374846E-2</v>
      </c>
      <c r="N32" s="17">
        <f t="shared" si="5"/>
        <v>5822728</v>
      </c>
      <c r="O32" s="20">
        <v>16</v>
      </c>
      <c r="P32" s="21">
        <v>91814344</v>
      </c>
      <c r="Q32" s="21">
        <v>2869198.25</v>
      </c>
      <c r="R32" s="21">
        <v>44687.40625</v>
      </c>
      <c r="S32" s="22">
        <v>13482032</v>
      </c>
      <c r="T32" s="22">
        <v>4421528</v>
      </c>
      <c r="U32" s="22">
        <v>1401200</v>
      </c>
      <c r="V32" s="22">
        <v>7659176</v>
      </c>
      <c r="W32" s="23">
        <v>76.466316000000006</v>
      </c>
      <c r="X32" s="23">
        <v>79.123750000000001</v>
      </c>
      <c r="Y32" s="23">
        <v>38.406483999999999</v>
      </c>
      <c r="Z32" s="23">
        <v>43.205109</v>
      </c>
      <c r="AA32" s="23">
        <v>46.226287999999997</v>
      </c>
      <c r="AB32" s="24">
        <v>4466.13</v>
      </c>
      <c r="AC32" s="24">
        <v>4109.46</v>
      </c>
      <c r="AD32" s="24">
        <v>281.53899999999999</v>
      </c>
      <c r="AE32" s="24">
        <v>58.667000000000002</v>
      </c>
      <c r="AG32" s="19">
        <f t="shared" si="6"/>
        <v>12.639405</v>
      </c>
      <c r="AH32" s="20">
        <f t="shared" si="7"/>
        <v>3.5911621172004277E-2</v>
      </c>
      <c r="AI32" s="20">
        <f t="shared" si="8"/>
        <v>1.5509798680467611E-2</v>
      </c>
      <c r="AJ32" s="20">
        <f t="shared" si="9"/>
        <v>1.1777470824680562E-2</v>
      </c>
      <c r="AK32" s="20">
        <f t="shared" si="10"/>
        <v>2.0401481542374846E-2</v>
      </c>
      <c r="AL32" s="17">
        <f t="shared" si="11"/>
        <v>5822728</v>
      </c>
      <c r="AM32" s="20">
        <v>16</v>
      </c>
      <c r="AN32" s="21">
        <v>91814344</v>
      </c>
      <c r="AO32" s="21">
        <v>2869198.25</v>
      </c>
      <c r="AP32" s="21">
        <v>44687.40625</v>
      </c>
      <c r="AQ32" s="22">
        <v>13482032</v>
      </c>
      <c r="AR32" s="22">
        <v>4421528</v>
      </c>
      <c r="AS32" s="22">
        <v>1401200</v>
      </c>
      <c r="AT32" s="22">
        <v>7659176</v>
      </c>
      <c r="AU32" s="23">
        <v>76.466316000000006</v>
      </c>
      <c r="AV32" s="23">
        <v>79.123750000000001</v>
      </c>
      <c r="AW32" s="23">
        <v>38.406483999999999</v>
      </c>
      <c r="AX32" s="23">
        <v>43.205109</v>
      </c>
      <c r="AY32" s="23">
        <v>46.226287999999997</v>
      </c>
      <c r="AZ32" s="24">
        <v>3250.22</v>
      </c>
      <c r="BA32" s="24">
        <v>2968.28</v>
      </c>
      <c r="BB32" s="24">
        <v>216.52699999999999</v>
      </c>
      <c r="BC32" s="24">
        <v>43.097000000000001</v>
      </c>
      <c r="BE32" s="49">
        <f t="shared" si="12"/>
        <v>1</v>
      </c>
      <c r="BF32" s="25">
        <f t="shared" si="13"/>
        <v>0</v>
      </c>
      <c r="BG32" s="25">
        <f t="shared" si="14"/>
        <v>0</v>
      </c>
      <c r="BH32" s="25"/>
      <c r="BJ32" s="49"/>
      <c r="BK32" s="49"/>
      <c r="BL32" s="49"/>
      <c r="BM32" s="49"/>
      <c r="BN32" s="49"/>
      <c r="BP32" s="49"/>
      <c r="BQ32" s="49"/>
      <c r="BR32" s="49"/>
      <c r="BS32" s="49"/>
      <c r="BT32" s="49"/>
      <c r="BV32" s="58">
        <f t="shared" si="16"/>
        <v>0</v>
      </c>
      <c r="BW32" s="58">
        <f t="shared" si="16"/>
        <v>0</v>
      </c>
      <c r="BX32" s="58">
        <f t="shared" si="16"/>
        <v>0</v>
      </c>
      <c r="BY32" s="58">
        <f t="shared" si="16"/>
        <v>0</v>
      </c>
      <c r="BZ32" s="58">
        <f t="shared" si="16"/>
        <v>0</v>
      </c>
      <c r="CA32" s="58">
        <f t="shared" si="16"/>
        <v>0</v>
      </c>
      <c r="CB32" s="58">
        <f t="shared" si="16"/>
        <v>0</v>
      </c>
      <c r="CC32" s="58">
        <f t="shared" si="16"/>
        <v>0</v>
      </c>
      <c r="CD32" s="58">
        <f t="shared" si="16"/>
        <v>0</v>
      </c>
      <c r="CE32" s="58">
        <f t="shared" si="16"/>
        <v>0</v>
      </c>
      <c r="CF32" s="58">
        <f t="shared" si="16"/>
        <v>0</v>
      </c>
      <c r="CG32" s="58">
        <f t="shared" si="16"/>
        <v>0</v>
      </c>
      <c r="CJ32" t="s">
        <v>243</v>
      </c>
    </row>
    <row r="33" spans="1:88" outlineLevel="1">
      <c r="A33" s="52"/>
      <c r="B33" s="52" t="s">
        <v>77</v>
      </c>
      <c r="C33" s="9" t="s">
        <v>236</v>
      </c>
      <c r="D33" s="52">
        <v>375422539</v>
      </c>
      <c r="E33" s="9">
        <v>11</v>
      </c>
      <c r="F33" s="9">
        <v>32</v>
      </c>
      <c r="G33" s="9">
        <v>30</v>
      </c>
      <c r="I33" s="10">
        <f t="shared" si="0"/>
        <v>21.138809999999999</v>
      </c>
      <c r="J33" s="11">
        <f t="shared" si="1"/>
        <v>6.0060496261254044E-2</v>
      </c>
      <c r="K33" s="11">
        <f t="shared" si="2"/>
        <v>2.0979432990303228E-2</v>
      </c>
      <c r="L33" s="11">
        <f t="shared" si="3"/>
        <v>1.7247105134516178E-2</v>
      </c>
      <c r="M33" s="11">
        <f t="shared" si="4"/>
        <v>3.9080722321788997E-2</v>
      </c>
      <c r="N33" s="52">
        <f t="shared" si="5"/>
        <v>7876152</v>
      </c>
      <c r="O33" s="11">
        <v>16</v>
      </c>
      <c r="P33" s="12">
        <v>93918250</v>
      </c>
      <c r="Q33" s="12">
        <v>2934945.3125</v>
      </c>
      <c r="R33" s="12">
        <v>49412.375</v>
      </c>
      <c r="S33" s="13">
        <v>22548064</v>
      </c>
      <c r="T33" s="13">
        <v>6474952</v>
      </c>
      <c r="U33" s="13">
        <v>1401200</v>
      </c>
      <c r="V33" s="13">
        <v>14671784</v>
      </c>
      <c r="W33" s="14">
        <v>77.598421999999999</v>
      </c>
      <c r="X33" s="14">
        <v>80.328506000000004</v>
      </c>
      <c r="Y33" s="14">
        <v>40.000678000000001</v>
      </c>
      <c r="Z33" s="14">
        <v>43.908222000000002</v>
      </c>
      <c r="AA33" s="14">
        <v>47.816415999999997</v>
      </c>
      <c r="AB33" s="15">
        <v>3813.75</v>
      </c>
      <c r="AC33" s="15">
        <v>3764.43</v>
      </c>
      <c r="AD33" s="15">
        <v>262.459</v>
      </c>
      <c r="AE33" s="15">
        <v>50.801000000000002</v>
      </c>
      <c r="AG33" s="10">
        <f t="shared" si="6"/>
        <v>21.138809999999999</v>
      </c>
      <c r="AH33" s="11">
        <f t="shared" si="7"/>
        <v>6.0060496261254044E-2</v>
      </c>
      <c r="AI33" s="11">
        <f t="shared" si="8"/>
        <v>2.0979432990303228E-2</v>
      </c>
      <c r="AJ33" s="11">
        <f t="shared" si="9"/>
        <v>1.7247105134516178E-2</v>
      </c>
      <c r="AK33" s="11">
        <f t="shared" si="10"/>
        <v>3.9080722321788997E-2</v>
      </c>
      <c r="AL33" s="52">
        <f t="shared" si="11"/>
        <v>7876152</v>
      </c>
      <c r="AM33" s="11">
        <v>16</v>
      </c>
      <c r="AN33" s="12">
        <v>93918250</v>
      </c>
      <c r="AO33" s="12">
        <v>2934945.3125</v>
      </c>
      <c r="AP33" s="12">
        <v>49412.375</v>
      </c>
      <c r="AQ33" s="13">
        <v>22548064</v>
      </c>
      <c r="AR33" s="13">
        <v>6474952</v>
      </c>
      <c r="AS33" s="13">
        <v>1401200</v>
      </c>
      <c r="AT33" s="13">
        <v>14671784</v>
      </c>
      <c r="AU33" s="14">
        <v>77.598421999999999</v>
      </c>
      <c r="AV33" s="14">
        <v>80.328506000000004</v>
      </c>
      <c r="AW33" s="14">
        <v>40.000678000000001</v>
      </c>
      <c r="AX33" s="14">
        <v>43.908222000000002</v>
      </c>
      <c r="AY33" s="14">
        <v>47.816415999999997</v>
      </c>
      <c r="AZ33" s="15">
        <v>3880.47</v>
      </c>
      <c r="BA33" s="15">
        <v>3910.01</v>
      </c>
      <c r="BB33" s="15">
        <v>272.51900000000001</v>
      </c>
      <c r="BC33" s="15">
        <v>53.62</v>
      </c>
      <c r="BE33" s="50">
        <f t="shared" si="12"/>
        <v>1</v>
      </c>
      <c r="BF33" s="16">
        <f t="shared" si="13"/>
        <v>0</v>
      </c>
      <c r="BG33" s="16">
        <f t="shared" si="14"/>
        <v>0</v>
      </c>
      <c r="BH33" s="16"/>
      <c r="BJ33" s="50"/>
      <c r="BK33" s="50"/>
      <c r="BL33" s="50"/>
      <c r="BM33" s="50"/>
      <c r="BN33" s="50"/>
      <c r="BP33" s="50"/>
      <c r="BQ33" s="50"/>
      <c r="BR33" s="50"/>
      <c r="BS33" s="50"/>
      <c r="BT33" s="50"/>
      <c r="BV33" s="58">
        <f t="shared" si="16"/>
        <v>0</v>
      </c>
      <c r="BW33" s="58">
        <f t="shared" si="16"/>
        <v>0</v>
      </c>
      <c r="BX33" s="58">
        <f t="shared" si="16"/>
        <v>0</v>
      </c>
      <c r="BY33" s="58">
        <f t="shared" si="16"/>
        <v>0</v>
      </c>
      <c r="BZ33" s="58">
        <f t="shared" si="16"/>
        <v>0</v>
      </c>
      <c r="CA33" s="58">
        <f t="shared" si="16"/>
        <v>0</v>
      </c>
      <c r="CB33" s="58">
        <f t="shared" si="16"/>
        <v>0</v>
      </c>
      <c r="CC33" s="58">
        <f t="shared" si="16"/>
        <v>0</v>
      </c>
      <c r="CD33" s="58">
        <f t="shared" si="16"/>
        <v>0</v>
      </c>
      <c r="CE33" s="58">
        <f t="shared" si="16"/>
        <v>0</v>
      </c>
      <c r="CF33" s="58">
        <f t="shared" si="16"/>
        <v>0</v>
      </c>
      <c r="CG33" s="58">
        <f t="shared" si="16"/>
        <v>0</v>
      </c>
      <c r="CJ33" t="s">
        <v>243</v>
      </c>
    </row>
    <row r="34" spans="1:88" ht="16" outlineLevel="1" thickBot="1">
      <c r="A34" s="17"/>
      <c r="B34" s="36" t="s">
        <v>77</v>
      </c>
      <c r="C34" s="37" t="s">
        <v>237</v>
      </c>
      <c r="D34" s="36">
        <v>375422539</v>
      </c>
      <c r="E34" s="37">
        <v>11</v>
      </c>
      <c r="F34" s="37">
        <v>32</v>
      </c>
      <c r="G34" s="37">
        <v>30</v>
      </c>
      <c r="I34" s="38">
        <f t="shared" si="0"/>
        <v>39.806085000000003</v>
      </c>
      <c r="J34" s="39">
        <f t="shared" si="1"/>
        <v>0.11309876096703933</v>
      </c>
      <c r="K34" s="39">
        <f t="shared" si="2"/>
        <v>3.3647271241751417E-2</v>
      </c>
      <c r="L34" s="39">
        <f t="shared" si="3"/>
        <v>2.6181230424207429E-2</v>
      </c>
      <c r="M34" s="39">
        <f t="shared" si="4"/>
        <v>7.9451148776126093E-2</v>
      </c>
      <c r="N34" s="36">
        <f t="shared" si="5"/>
        <v>12631944</v>
      </c>
      <c r="O34" s="39">
        <v>16</v>
      </c>
      <c r="P34" s="40">
        <v>92079625</v>
      </c>
      <c r="Q34" s="40">
        <v>2877488.28125</v>
      </c>
      <c r="R34" s="40">
        <v>21318.28125</v>
      </c>
      <c r="S34" s="41">
        <v>42459824</v>
      </c>
      <c r="T34" s="41">
        <v>9829024</v>
      </c>
      <c r="U34" s="41">
        <v>2802920</v>
      </c>
      <c r="V34" s="41">
        <v>29827752</v>
      </c>
      <c r="W34" s="42">
        <v>78.535988000000003</v>
      </c>
      <c r="X34" s="42">
        <v>81.998384000000001</v>
      </c>
      <c r="Y34" s="42">
        <v>41.515903000000002</v>
      </c>
      <c r="Z34" s="42">
        <v>44.700215999999998</v>
      </c>
      <c r="AA34" s="42">
        <v>49.230597000000003</v>
      </c>
      <c r="AB34" s="43">
        <v>3810.73</v>
      </c>
      <c r="AC34" s="43">
        <v>3996.6</v>
      </c>
      <c r="AD34" s="43">
        <v>241.74600000000001</v>
      </c>
      <c r="AE34" s="43">
        <v>54.509</v>
      </c>
      <c r="AG34" s="38">
        <f t="shared" si="6"/>
        <v>39.806077500000001</v>
      </c>
      <c r="AH34" s="39">
        <f t="shared" si="7"/>
        <v>0.11309873965771672</v>
      </c>
      <c r="AI34" s="39">
        <f t="shared" si="8"/>
        <v>3.3647249932428805E-2</v>
      </c>
      <c r="AJ34" s="39">
        <f t="shared" si="9"/>
        <v>2.6181230424207429E-2</v>
      </c>
      <c r="AK34" s="39">
        <f t="shared" si="10"/>
        <v>7.9451148776126093E-2</v>
      </c>
      <c r="AL34" s="36">
        <f t="shared" si="11"/>
        <v>12631936</v>
      </c>
      <c r="AM34" s="39">
        <v>16</v>
      </c>
      <c r="AN34" s="40">
        <v>92079625</v>
      </c>
      <c r="AO34" s="40">
        <v>2877488.28125</v>
      </c>
      <c r="AP34" s="40">
        <v>21318.28125</v>
      </c>
      <c r="AQ34" s="41">
        <v>42459816</v>
      </c>
      <c r="AR34" s="41">
        <v>9829024</v>
      </c>
      <c r="AS34" s="41">
        <v>2802912</v>
      </c>
      <c r="AT34" s="41">
        <v>29827752</v>
      </c>
      <c r="AU34" s="42">
        <v>78.535988000000003</v>
      </c>
      <c r="AV34" s="42">
        <v>81.998384000000001</v>
      </c>
      <c r="AW34" s="42">
        <v>41.515903000000002</v>
      </c>
      <c r="AX34" s="42">
        <v>44.700215999999998</v>
      </c>
      <c r="AY34" s="42">
        <v>49.230597000000003</v>
      </c>
      <c r="AZ34" s="43">
        <v>3282.73</v>
      </c>
      <c r="BA34" s="43">
        <v>3513.54</v>
      </c>
      <c r="BB34" s="43">
        <v>219.61600000000001</v>
      </c>
      <c r="BC34" s="43">
        <v>51.256</v>
      </c>
      <c r="BE34" s="44">
        <f t="shared" si="12"/>
        <v>0.99999936668496947</v>
      </c>
      <c r="BF34" s="45">
        <f t="shared" si="13"/>
        <v>0</v>
      </c>
      <c r="BG34" s="45">
        <f t="shared" si="14"/>
        <v>-1.3235979223757965E-7</v>
      </c>
      <c r="BH34" s="45"/>
      <c r="BJ34" s="44"/>
      <c r="BK34" s="44"/>
      <c r="BL34" s="44"/>
      <c r="BM34" s="44"/>
      <c r="BN34" s="44"/>
      <c r="BP34" s="44"/>
      <c r="BQ34" s="44"/>
      <c r="BR34" s="44"/>
      <c r="BS34" s="44"/>
      <c r="BT34" s="44"/>
      <c r="BV34" s="58">
        <f t="shared" si="16"/>
        <v>0</v>
      </c>
      <c r="BW34" s="58">
        <f t="shared" si="16"/>
        <v>0</v>
      </c>
      <c r="BX34" s="58">
        <f t="shared" si="16"/>
        <v>0</v>
      </c>
      <c r="BY34" s="58">
        <f t="shared" si="16"/>
        <v>-8</v>
      </c>
      <c r="BZ34" s="58">
        <f t="shared" si="16"/>
        <v>0</v>
      </c>
      <c r="CA34" s="58">
        <f t="shared" si="16"/>
        <v>-8</v>
      </c>
      <c r="CB34" s="58">
        <f t="shared" si="16"/>
        <v>0</v>
      </c>
      <c r="CC34" s="58">
        <f t="shared" si="16"/>
        <v>0</v>
      </c>
      <c r="CD34" s="58">
        <f t="shared" si="16"/>
        <v>0</v>
      </c>
      <c r="CE34" s="58">
        <f t="shared" si="16"/>
        <v>0</v>
      </c>
      <c r="CF34" s="58">
        <f t="shared" si="16"/>
        <v>0</v>
      </c>
      <c r="CG34" s="58">
        <f t="shared" si="16"/>
        <v>0</v>
      </c>
      <c r="CJ34" t="s">
        <v>243</v>
      </c>
    </row>
    <row r="35" spans="1:88">
      <c r="A35" s="52"/>
      <c r="B35" s="52" t="s">
        <v>82</v>
      </c>
      <c r="C35" s="9" t="s">
        <v>232</v>
      </c>
      <c r="D35" s="52">
        <v>333190689</v>
      </c>
      <c r="E35" s="9">
        <v>11</v>
      </c>
      <c r="F35" s="9">
        <v>32</v>
      </c>
      <c r="G35" s="9">
        <v>30</v>
      </c>
      <c r="I35" s="10">
        <f t="shared" si="0"/>
        <v>6.3476999999999997</v>
      </c>
      <c r="J35" s="11">
        <f t="shared" si="1"/>
        <v>2.0321336170351388E-2</v>
      </c>
      <c r="K35" s="11">
        <f t="shared" si="2"/>
        <v>1.1738311210731342E-2</v>
      </c>
      <c r="L35" s="11">
        <f t="shared" si="3"/>
        <v>7.2102134882886838E-3</v>
      </c>
      <c r="M35" s="11">
        <f t="shared" si="4"/>
        <v>8.5826407952234226E-3</v>
      </c>
      <c r="N35" s="52">
        <f t="shared" si="5"/>
        <v>3911096</v>
      </c>
      <c r="O35" s="11">
        <v>16</v>
      </c>
      <c r="P35" s="12">
        <v>74688855</v>
      </c>
      <c r="Q35" s="12">
        <v>2334026.71875</v>
      </c>
      <c r="R35" s="12">
        <v>31011.90625</v>
      </c>
      <c r="S35" s="13">
        <v>6770880</v>
      </c>
      <c r="T35" s="13">
        <v>2402376</v>
      </c>
      <c r="U35" s="13">
        <v>1508720</v>
      </c>
      <c r="V35" s="13">
        <v>2859656</v>
      </c>
      <c r="W35" s="14">
        <v>73.191281000000004</v>
      </c>
      <c r="X35" s="14">
        <v>75.430569000000006</v>
      </c>
      <c r="Y35" s="14">
        <v>33.996271999999998</v>
      </c>
      <c r="Z35" s="14">
        <v>42.563065999999999</v>
      </c>
      <c r="AA35" s="14">
        <v>44.049106000000002</v>
      </c>
      <c r="AB35" s="15">
        <v>3413.82</v>
      </c>
      <c r="AC35" s="15">
        <v>4721.8900000000003</v>
      </c>
      <c r="AD35" s="15">
        <v>206.51900000000001</v>
      </c>
      <c r="AE35" s="15">
        <v>68.411000000000001</v>
      </c>
      <c r="AG35" s="10">
        <f t="shared" si="6"/>
        <v>6.3477075000000003</v>
      </c>
      <c r="AH35" s="11">
        <f t="shared" si="7"/>
        <v>2.0321360180626177E-2</v>
      </c>
      <c r="AI35" s="11">
        <f t="shared" si="8"/>
        <v>1.1738335221006131E-2</v>
      </c>
      <c r="AJ35" s="11">
        <f t="shared" si="9"/>
        <v>7.2102134882886838E-3</v>
      </c>
      <c r="AK35" s="11">
        <f t="shared" si="10"/>
        <v>8.5826407952234226E-3</v>
      </c>
      <c r="AL35" s="52">
        <f t="shared" si="11"/>
        <v>3911104</v>
      </c>
      <c r="AM35" s="11">
        <v>16</v>
      </c>
      <c r="AN35" s="12">
        <v>74688855</v>
      </c>
      <c r="AO35" s="12">
        <v>2334026.71875</v>
      </c>
      <c r="AP35" s="12">
        <v>31011.90625</v>
      </c>
      <c r="AQ35" s="13">
        <v>6770888</v>
      </c>
      <c r="AR35" s="13">
        <v>2402376</v>
      </c>
      <c r="AS35" s="13">
        <v>1508728</v>
      </c>
      <c r="AT35" s="13">
        <v>2859656</v>
      </c>
      <c r="AU35" s="14">
        <v>73.191281000000004</v>
      </c>
      <c r="AV35" s="14">
        <v>75.430569000000006</v>
      </c>
      <c r="AW35" s="14">
        <v>33.996271999999998</v>
      </c>
      <c r="AX35" s="14">
        <v>42.563065999999999</v>
      </c>
      <c r="AY35" s="14">
        <v>44.049106000000002</v>
      </c>
      <c r="AZ35" s="15">
        <v>3344.24</v>
      </c>
      <c r="BA35" s="15">
        <v>4672.67</v>
      </c>
      <c r="BB35" s="15">
        <v>209.65100000000001</v>
      </c>
      <c r="BC35" s="15">
        <v>71.674000000000007</v>
      </c>
      <c r="BE35" s="50">
        <f t="shared" si="12"/>
        <v>1.0000020454624483</v>
      </c>
      <c r="BF35" s="16">
        <f t="shared" si="13"/>
        <v>0</v>
      </c>
      <c r="BG35" s="16">
        <f t="shared" si="14"/>
        <v>4.9903668464246209E-7</v>
      </c>
      <c r="BH35" s="16" t="e">
        <f t="array" ref="BH35">AVERAGE(AL35:AL39/AQ35:AQ39) - AVERAGE(N35:N39/S35:S39)</f>
        <v>#VALUE!</v>
      </c>
      <c r="BJ35" s="50">
        <f>IF( OR(ISBLANK(N35:N39),ISBLANK(AL35:AL39), ISBLANK(W35:W39),ISBLANK(AU35:AU39)), "·", bdRateExtend( N35:N39,W35:W39, AL35:AL39,AU35:AU39))</f>
        <v>1.8346060024895916E-2</v>
      </c>
      <c r="BK35" s="50">
        <f>IF( OR(ISBLANK(N35:N39),ISBLANK(AL35:AL39), ISBLANK(X35:X39),ISBLANK(AV35:AV39)), "·", bdRateExtend( N35:N39,X35:X39, AL35:AL39,AV35:AV39))</f>
        <v>-9.04151779059581E-3</v>
      </c>
      <c r="BL35" s="50">
        <f>IF( OR(ISBLANK(V35:V39),ISBLANK(AT35:AT39), ISBLANK(Y35:Y39),ISBLANK(AW35:AW39)), "·", bdRateExtend( V35:V39,Y35:Y39, AT35:AT39,AW35:AW39))</f>
        <v>1.2161133950796543E-3</v>
      </c>
      <c r="BM35" s="50">
        <f>IF( OR(ISBLANK(V35:V39),ISBLANK(AT35:AT39), ISBLANK(Z35:Z39),ISBLANK(AX35:AX39)), "·", bdRateExtend( V35:V39,Z35:Z39, AT35:AT39,AX35:AX39))</f>
        <v>2.0941645551233457E-3</v>
      </c>
      <c r="BN35" s="50">
        <f>IF( OR(ISBLANK(V35:V39),ISBLANK(AT35:AT39), ISBLANK(AA35:AA39),ISBLANK(AY35:AY39)), "·", bdRateExtend( V35:V39,AA35:AA39, AT35:AT39,AY35:AY39))</f>
        <v>2.0920607917633838E-3</v>
      </c>
      <c r="BP35" s="50">
        <f>IF( OR(ISBLANK(S35:S39),ISBLANK(AQ35:AQ39), ISBLANK(W35:W39),ISBLANK(AU35:AU39)), "·", bdRateExtend( S35:S39,W35:W39, AQ35:AQ39,AU35:AU39))</f>
        <v>1.180646572464461E-2</v>
      </c>
      <c r="BQ35" s="50">
        <f>IF( OR(ISBLANK(S35:S39),ISBLANK(AQ35:AQ39), ISBLANK(X35:X39),ISBLANK(AV35:AV39)), "·", bdRateExtend( S35:S39,X35:X39, AQ35:AQ39,AV35:AV39))</f>
        <v>-3.0293862972627705E-2</v>
      </c>
      <c r="BR35" s="50">
        <f>IF( OR(ISBLANK(S35:S39),ISBLANK(AQ35:AQ39), ISBLANK(Y35:Y39),ISBLANK(AW35:AW39)), "·", bdRateExtend( S35:S39,Y35:Y39, AQ35:AQ39,AW35:AW39))</f>
        <v>5.2022596964702572E-3</v>
      </c>
      <c r="BS35" s="50">
        <f>IF( OR(ISBLANK(S35:S39),ISBLANK(AQ35:AQ39), ISBLANK(Z35:Z39),ISBLANK(AX35:AX39)), "·", bdRateExtend( S35:S39,Z35:Z39, AQ35:AQ39,AX35:AX39))</f>
        <v>3.0982195469808627E-3</v>
      </c>
      <c r="BT35" s="50">
        <f>IF( OR(ISBLANK(S35:S39),ISBLANK(AQ35:AQ39), ISBLANK(AA35:AA39),ISBLANK(AY35:AY39)), "·", bdRateExtend( S35:S39,AA35:AA39, AQ35:AQ39,AY35:AY39))</f>
        <v>5.2081975375577461E-3</v>
      </c>
      <c r="BV35" s="58">
        <f t="shared" si="16"/>
        <v>0</v>
      </c>
      <c r="BW35" s="58">
        <f t="shared" si="16"/>
        <v>0</v>
      </c>
      <c r="BX35" s="58">
        <f t="shared" si="16"/>
        <v>0</v>
      </c>
      <c r="BY35" s="58">
        <f t="shared" si="16"/>
        <v>8</v>
      </c>
      <c r="BZ35" s="58">
        <f t="shared" si="16"/>
        <v>0</v>
      </c>
      <c r="CA35" s="58">
        <f t="shared" si="16"/>
        <v>8</v>
      </c>
      <c r="CB35" s="58">
        <f t="shared" si="16"/>
        <v>0</v>
      </c>
      <c r="CC35" s="58">
        <f t="shared" si="16"/>
        <v>0</v>
      </c>
      <c r="CD35" s="58">
        <f t="shared" si="16"/>
        <v>0</v>
      </c>
      <c r="CE35" s="58">
        <f t="shared" si="16"/>
        <v>0</v>
      </c>
      <c r="CF35" s="58">
        <f t="shared" si="16"/>
        <v>0</v>
      </c>
      <c r="CG35" s="58">
        <f t="shared" si="16"/>
        <v>0</v>
      </c>
      <c r="CJ35" t="s">
        <v>244</v>
      </c>
    </row>
    <row r="36" spans="1:88" outlineLevel="1">
      <c r="A36" s="17"/>
      <c r="B36" s="17" t="s">
        <v>82</v>
      </c>
      <c r="C36" s="18" t="s">
        <v>234</v>
      </c>
      <c r="D36" s="17">
        <v>333190689</v>
      </c>
      <c r="E36" s="18">
        <v>11</v>
      </c>
      <c r="F36" s="18">
        <v>32</v>
      </c>
      <c r="G36" s="18">
        <v>30</v>
      </c>
      <c r="I36" s="19">
        <f t="shared" si="0"/>
        <v>9.0438449999999992</v>
      </c>
      <c r="J36" s="20">
        <f t="shared" si="1"/>
        <v>2.895269381312153E-2</v>
      </c>
      <c r="K36" s="20">
        <f t="shared" si="2"/>
        <v>1.4333917956512884E-2</v>
      </c>
      <c r="L36" s="20">
        <f t="shared" si="3"/>
        <v>9.8057962237954373E-3</v>
      </c>
      <c r="M36" s="20">
        <f t="shared" si="4"/>
        <v>1.4618391692212023E-2</v>
      </c>
      <c r="N36" s="17">
        <f t="shared" si="5"/>
        <v>4775928</v>
      </c>
      <c r="O36" s="20">
        <v>16</v>
      </c>
      <c r="P36" s="21">
        <v>79945808</v>
      </c>
      <c r="Q36" s="21">
        <v>2498306.5</v>
      </c>
      <c r="R36" s="21">
        <v>39523.15625</v>
      </c>
      <c r="S36" s="22">
        <v>9646768</v>
      </c>
      <c r="T36" s="22">
        <v>3267200</v>
      </c>
      <c r="U36" s="22">
        <v>1508728</v>
      </c>
      <c r="V36" s="22">
        <v>4870712</v>
      </c>
      <c r="W36" s="23">
        <v>74.930581000000004</v>
      </c>
      <c r="X36" s="23">
        <v>77.358816000000004</v>
      </c>
      <c r="Y36" s="23">
        <v>36.098925000000001</v>
      </c>
      <c r="Z36" s="23">
        <v>43.168593999999999</v>
      </c>
      <c r="AA36" s="23">
        <v>45.335743999999998</v>
      </c>
      <c r="AB36" s="24">
        <v>3906.28</v>
      </c>
      <c r="AC36" s="24">
        <v>6202.19</v>
      </c>
      <c r="AD36" s="24">
        <v>239.32900000000001</v>
      </c>
      <c r="AE36" s="24">
        <v>82.489000000000004</v>
      </c>
      <c r="AG36" s="19">
        <f t="shared" si="6"/>
        <v>9.0438449999999992</v>
      </c>
      <c r="AH36" s="20">
        <f t="shared" si="7"/>
        <v>2.895269381312153E-2</v>
      </c>
      <c r="AI36" s="20">
        <f t="shared" si="8"/>
        <v>1.4333917956512884E-2</v>
      </c>
      <c r="AJ36" s="20">
        <f t="shared" si="9"/>
        <v>9.8057962237954373E-3</v>
      </c>
      <c r="AK36" s="20">
        <f t="shared" si="10"/>
        <v>1.4618391692212023E-2</v>
      </c>
      <c r="AL36" s="17">
        <f t="shared" si="11"/>
        <v>4775928</v>
      </c>
      <c r="AM36" s="20">
        <v>16</v>
      </c>
      <c r="AN36" s="21">
        <v>79945808</v>
      </c>
      <c r="AO36" s="21">
        <v>2498306.5</v>
      </c>
      <c r="AP36" s="21">
        <v>39523.15625</v>
      </c>
      <c r="AQ36" s="22">
        <v>9646768</v>
      </c>
      <c r="AR36" s="22">
        <v>3267200</v>
      </c>
      <c r="AS36" s="22">
        <v>1508728</v>
      </c>
      <c r="AT36" s="22">
        <v>4870712</v>
      </c>
      <c r="AU36" s="23">
        <v>74.930581000000004</v>
      </c>
      <c r="AV36" s="23">
        <v>77.358816000000004</v>
      </c>
      <c r="AW36" s="23">
        <v>36.098925000000001</v>
      </c>
      <c r="AX36" s="23">
        <v>43.168593999999999</v>
      </c>
      <c r="AY36" s="23">
        <v>45.335743999999998</v>
      </c>
      <c r="AZ36" s="24">
        <v>3772.81</v>
      </c>
      <c r="BA36" s="24">
        <v>6513.33</v>
      </c>
      <c r="BB36" s="24">
        <v>247.572</v>
      </c>
      <c r="BC36" s="24">
        <v>97.784999999999997</v>
      </c>
      <c r="BE36" s="49">
        <f t="shared" si="12"/>
        <v>1</v>
      </c>
      <c r="BF36" s="25">
        <f t="shared" si="13"/>
        <v>0</v>
      </c>
      <c r="BG36" s="25">
        <f t="shared" si="14"/>
        <v>0</v>
      </c>
      <c r="BH36" s="25"/>
      <c r="BJ36" s="49"/>
      <c r="BK36" s="49"/>
      <c r="BL36" s="49"/>
      <c r="BM36" s="49"/>
      <c r="BN36" s="49"/>
      <c r="BP36" s="49"/>
      <c r="BQ36" s="49"/>
      <c r="BR36" s="49"/>
      <c r="BS36" s="49"/>
      <c r="BT36" s="49"/>
      <c r="BV36" s="58">
        <f t="shared" si="16"/>
        <v>0</v>
      </c>
      <c r="BW36" s="58">
        <f t="shared" si="16"/>
        <v>0</v>
      </c>
      <c r="BX36" s="58">
        <f t="shared" si="16"/>
        <v>0</v>
      </c>
      <c r="BY36" s="58">
        <f t="shared" si="16"/>
        <v>0</v>
      </c>
      <c r="BZ36" s="58">
        <f t="shared" si="16"/>
        <v>0</v>
      </c>
      <c r="CA36" s="58">
        <f t="shared" si="16"/>
        <v>0</v>
      </c>
      <c r="CB36" s="58">
        <f t="shared" si="16"/>
        <v>0</v>
      </c>
      <c r="CC36" s="58">
        <f t="shared" si="16"/>
        <v>0</v>
      </c>
      <c r="CD36" s="58">
        <f t="shared" si="16"/>
        <v>0</v>
      </c>
      <c r="CE36" s="58">
        <f t="shared" si="16"/>
        <v>0</v>
      </c>
      <c r="CF36" s="58">
        <f t="shared" si="16"/>
        <v>0</v>
      </c>
      <c r="CG36" s="58">
        <f t="shared" si="16"/>
        <v>0</v>
      </c>
      <c r="CJ36" t="s">
        <v>244</v>
      </c>
    </row>
    <row r="37" spans="1:88" outlineLevel="1">
      <c r="A37" s="52"/>
      <c r="B37" s="52" t="s">
        <v>82</v>
      </c>
      <c r="C37" s="9" t="s">
        <v>235</v>
      </c>
      <c r="D37" s="52">
        <v>333190689</v>
      </c>
      <c r="E37" s="9">
        <v>11</v>
      </c>
      <c r="F37" s="9">
        <v>32</v>
      </c>
      <c r="G37" s="9">
        <v>30</v>
      </c>
      <c r="I37" s="10">
        <f t="shared" si="0"/>
        <v>13.7522325</v>
      </c>
      <c r="J37" s="11">
        <f t="shared" si="1"/>
        <v>4.4025984171484456E-2</v>
      </c>
      <c r="K37" s="11">
        <f t="shared" si="2"/>
        <v>1.8133015715814316E-2</v>
      </c>
      <c r="L37" s="11">
        <f t="shared" si="3"/>
        <v>1.3604893983096869E-2</v>
      </c>
      <c r="M37" s="11">
        <f t="shared" si="4"/>
        <v>2.5892584291273519E-2</v>
      </c>
      <c r="N37" s="52">
        <f t="shared" si="5"/>
        <v>6041752</v>
      </c>
      <c r="O37" s="11">
        <v>16</v>
      </c>
      <c r="P37" s="12">
        <v>81780101</v>
      </c>
      <c r="Q37" s="12">
        <v>2555628.15625</v>
      </c>
      <c r="R37" s="12">
        <v>43014.71875</v>
      </c>
      <c r="S37" s="13">
        <v>14669048</v>
      </c>
      <c r="T37" s="13">
        <v>4533024</v>
      </c>
      <c r="U37" s="13">
        <v>1508728</v>
      </c>
      <c r="V37" s="13">
        <v>8627168</v>
      </c>
      <c r="W37" s="14">
        <v>76.238812999999993</v>
      </c>
      <c r="X37" s="14">
        <v>78.941209000000001</v>
      </c>
      <c r="Y37" s="14">
        <v>37.928058999999998</v>
      </c>
      <c r="Z37" s="14">
        <v>43.745263000000001</v>
      </c>
      <c r="AA37" s="14">
        <v>46.492668999999999</v>
      </c>
      <c r="AB37" s="15">
        <v>3927.89</v>
      </c>
      <c r="AC37" s="15">
        <v>6672.71</v>
      </c>
      <c r="AD37" s="15">
        <v>251.65199999999999</v>
      </c>
      <c r="AE37" s="15">
        <v>96.292000000000002</v>
      </c>
      <c r="AG37" s="10">
        <f t="shared" si="6"/>
        <v>13.7522325</v>
      </c>
      <c r="AH37" s="11">
        <f t="shared" si="7"/>
        <v>4.4025984171484456E-2</v>
      </c>
      <c r="AI37" s="11">
        <f t="shared" si="8"/>
        <v>1.8133015715814316E-2</v>
      </c>
      <c r="AJ37" s="11">
        <f t="shared" si="9"/>
        <v>1.3604893983096869E-2</v>
      </c>
      <c r="AK37" s="11">
        <f t="shared" si="10"/>
        <v>2.5892584291273519E-2</v>
      </c>
      <c r="AL37" s="52">
        <f t="shared" si="11"/>
        <v>6041752</v>
      </c>
      <c r="AM37" s="11">
        <v>16</v>
      </c>
      <c r="AN37" s="12">
        <v>81780101</v>
      </c>
      <c r="AO37" s="12">
        <v>2555628.15625</v>
      </c>
      <c r="AP37" s="12">
        <v>43014.71875</v>
      </c>
      <c r="AQ37" s="13">
        <v>14669048</v>
      </c>
      <c r="AR37" s="13">
        <v>4533024</v>
      </c>
      <c r="AS37" s="13">
        <v>1508728</v>
      </c>
      <c r="AT37" s="13">
        <v>8627168</v>
      </c>
      <c r="AU37" s="14">
        <v>76.238812999999993</v>
      </c>
      <c r="AV37" s="14">
        <v>78.941209000000001</v>
      </c>
      <c r="AW37" s="14">
        <v>37.928058999999998</v>
      </c>
      <c r="AX37" s="14">
        <v>43.745263000000001</v>
      </c>
      <c r="AY37" s="14">
        <v>46.492668999999999</v>
      </c>
      <c r="AZ37" s="15">
        <v>3857.84</v>
      </c>
      <c r="BA37" s="15">
        <v>5238.45</v>
      </c>
      <c r="BB37" s="15">
        <v>227.90799999999999</v>
      </c>
      <c r="BC37" s="15">
        <v>72.227999999999994</v>
      </c>
      <c r="BE37" s="50">
        <f t="shared" si="12"/>
        <v>1</v>
      </c>
      <c r="BF37" s="16">
        <f t="shared" si="13"/>
        <v>0</v>
      </c>
      <c r="BG37" s="16">
        <f t="shared" si="14"/>
        <v>0</v>
      </c>
      <c r="BH37" s="16"/>
      <c r="BJ37" s="50"/>
      <c r="BK37" s="50"/>
      <c r="BL37" s="50"/>
      <c r="BM37" s="50"/>
      <c r="BN37" s="50"/>
      <c r="BP37" s="50"/>
      <c r="BQ37" s="50"/>
      <c r="BR37" s="50"/>
      <c r="BS37" s="50"/>
      <c r="BT37" s="50"/>
      <c r="BV37" s="58">
        <f t="shared" si="16"/>
        <v>0</v>
      </c>
      <c r="BW37" s="58">
        <f t="shared" si="16"/>
        <v>0</v>
      </c>
      <c r="BX37" s="58">
        <f t="shared" si="16"/>
        <v>0</v>
      </c>
      <c r="BY37" s="58">
        <f t="shared" si="16"/>
        <v>0</v>
      </c>
      <c r="BZ37" s="58">
        <f t="shared" si="16"/>
        <v>0</v>
      </c>
      <c r="CA37" s="58">
        <f t="shared" si="16"/>
        <v>0</v>
      </c>
      <c r="CB37" s="58">
        <f t="shared" si="16"/>
        <v>0</v>
      </c>
      <c r="CC37" s="58">
        <f t="shared" si="16"/>
        <v>0</v>
      </c>
      <c r="CD37" s="58">
        <f t="shared" si="16"/>
        <v>0</v>
      </c>
      <c r="CE37" s="58">
        <f t="shared" si="16"/>
        <v>0</v>
      </c>
      <c r="CF37" s="58">
        <f t="shared" si="16"/>
        <v>0</v>
      </c>
      <c r="CG37" s="58">
        <f t="shared" si="16"/>
        <v>0</v>
      </c>
      <c r="CJ37" t="s">
        <v>244</v>
      </c>
    </row>
    <row r="38" spans="1:88" outlineLevel="1">
      <c r="A38" s="17"/>
      <c r="B38" s="17" t="s">
        <v>82</v>
      </c>
      <c r="C38" s="18" t="s">
        <v>236</v>
      </c>
      <c r="D38" s="17">
        <v>333190689</v>
      </c>
      <c r="E38" s="18">
        <v>11</v>
      </c>
      <c r="F38" s="18">
        <v>32</v>
      </c>
      <c r="G38" s="18">
        <v>30</v>
      </c>
      <c r="I38" s="19">
        <f t="shared" si="0"/>
        <v>22.992352499999999</v>
      </c>
      <c r="J38" s="20">
        <f t="shared" si="1"/>
        <v>7.3607026875832052E-2</v>
      </c>
      <c r="K38" s="20">
        <f t="shared" si="2"/>
        <v>2.4327546559982052E-2</v>
      </c>
      <c r="L38" s="20">
        <f t="shared" si="3"/>
        <v>1.9799424827264607E-2</v>
      </c>
      <c r="M38" s="20">
        <f t="shared" si="4"/>
        <v>4.9279096151453379E-2</v>
      </c>
      <c r="N38" s="17">
        <f t="shared" si="5"/>
        <v>8105712</v>
      </c>
      <c r="O38" s="20">
        <v>16</v>
      </c>
      <c r="P38" s="21">
        <v>83963908</v>
      </c>
      <c r="Q38" s="21">
        <v>2623872.125</v>
      </c>
      <c r="R38" s="21">
        <v>48278.125</v>
      </c>
      <c r="S38" s="22">
        <v>24525176</v>
      </c>
      <c r="T38" s="22">
        <v>6596984</v>
      </c>
      <c r="U38" s="22">
        <v>1508728</v>
      </c>
      <c r="V38" s="22">
        <v>16419336</v>
      </c>
      <c r="W38" s="23">
        <v>77.418415999999993</v>
      </c>
      <c r="X38" s="23">
        <v>80.140518999999998</v>
      </c>
      <c r="Y38" s="23">
        <v>39.696711999999998</v>
      </c>
      <c r="Z38" s="23">
        <v>44.531153000000003</v>
      </c>
      <c r="AA38" s="23">
        <v>47.804797000000001</v>
      </c>
      <c r="AB38" s="24">
        <v>3842.99</v>
      </c>
      <c r="AC38" s="24">
        <v>5551.57</v>
      </c>
      <c r="AD38" s="24">
        <v>246.04499999999999</v>
      </c>
      <c r="AE38" s="24">
        <v>79.739000000000004</v>
      </c>
      <c r="AG38" s="19" t="str">
        <f t="shared" si="6"/>
        <v>·</v>
      </c>
      <c r="AH38" s="20" t="str">
        <f t="shared" si="7"/>
        <v>·</v>
      </c>
      <c r="AI38" s="20" t="str">
        <f t="shared" si="8"/>
        <v>·</v>
      </c>
      <c r="AJ38" s="20" t="str">
        <f t="shared" si="9"/>
        <v>·</v>
      </c>
      <c r="AK38" s="20" t="str">
        <f t="shared" si="10"/>
        <v>·</v>
      </c>
      <c r="AL38" s="17" t="str">
        <f t="shared" si="11"/>
        <v/>
      </c>
      <c r="AM38" s="20">
        <v>16</v>
      </c>
      <c r="AN38" s="21"/>
      <c r="AO38" s="21"/>
      <c r="AP38" s="21"/>
      <c r="AQ38" s="22"/>
      <c r="AR38" s="22"/>
      <c r="AS38" s="22"/>
      <c r="AT38" s="22"/>
      <c r="AU38" s="23"/>
      <c r="AV38" s="23"/>
      <c r="AW38" s="23"/>
      <c r="AX38" s="23"/>
      <c r="AY38" s="23"/>
      <c r="AZ38" s="24"/>
      <c r="BA38" s="24"/>
      <c r="BB38" s="24"/>
      <c r="BC38" s="24"/>
      <c r="BE38" s="49" t="e">
        <f t="shared" si="12"/>
        <v>#VALUE!</v>
      </c>
      <c r="BF38" s="25" t="e">
        <f t="shared" si="13"/>
        <v>#DIV/0!</v>
      </c>
      <c r="BG38" s="25" t="e">
        <f t="shared" si="14"/>
        <v>#VALUE!</v>
      </c>
      <c r="BH38" s="25"/>
      <c r="BJ38" s="49"/>
      <c r="BK38" s="49"/>
      <c r="BL38" s="49"/>
      <c r="BM38" s="49"/>
      <c r="BN38" s="49"/>
      <c r="BP38" s="49"/>
      <c r="BQ38" s="49"/>
      <c r="BR38" s="49"/>
      <c r="BS38" s="49"/>
      <c r="BT38" s="49"/>
      <c r="BV38" s="58">
        <f t="shared" si="16"/>
        <v>-83963908</v>
      </c>
      <c r="BW38" s="58">
        <f t="shared" si="16"/>
        <v>-2623872.125</v>
      </c>
      <c r="BX38" s="58">
        <f t="shared" si="16"/>
        <v>-48278.125</v>
      </c>
      <c r="BY38" s="58">
        <f t="shared" si="16"/>
        <v>-24525176</v>
      </c>
      <c r="BZ38" s="58">
        <f t="shared" si="16"/>
        <v>-6596984</v>
      </c>
      <c r="CA38" s="58">
        <f t="shared" si="16"/>
        <v>-1508728</v>
      </c>
      <c r="CB38" s="58">
        <f t="shared" si="16"/>
        <v>-16419336</v>
      </c>
      <c r="CC38" s="58">
        <f t="shared" si="16"/>
        <v>-77.418415999999993</v>
      </c>
      <c r="CD38" s="58">
        <f t="shared" si="16"/>
        <v>-80.140518999999998</v>
      </c>
      <c r="CE38" s="58">
        <f t="shared" si="16"/>
        <v>-39.696711999999998</v>
      </c>
      <c r="CF38" s="58">
        <f t="shared" si="16"/>
        <v>-44.531153000000003</v>
      </c>
      <c r="CG38" s="58">
        <f t="shared" si="16"/>
        <v>-47.804797000000001</v>
      </c>
      <c r="CJ38" t="s">
        <v>244</v>
      </c>
    </row>
    <row r="39" spans="1:88" ht="16" outlineLevel="1" thickBot="1">
      <c r="A39" s="26"/>
      <c r="B39" s="26" t="s">
        <v>82</v>
      </c>
      <c r="C39" s="27" t="s">
        <v>237</v>
      </c>
      <c r="D39" s="26">
        <v>333190689</v>
      </c>
      <c r="E39" s="27">
        <v>11</v>
      </c>
      <c r="F39" s="27">
        <v>32</v>
      </c>
      <c r="G39" s="27">
        <v>30</v>
      </c>
      <c r="I39" s="28">
        <f t="shared" si="0"/>
        <v>42.363262499999998</v>
      </c>
      <c r="J39" s="29">
        <f t="shared" si="1"/>
        <v>0.13562047647736039</v>
      </c>
      <c r="K39" s="29">
        <f t="shared" si="2"/>
        <v>3.9399204219659333E-2</v>
      </c>
      <c r="L39" s="29">
        <f t="shared" si="3"/>
        <v>3.0117168130109423E-2</v>
      </c>
      <c r="M39" s="29">
        <f t="shared" si="4"/>
        <v>9.6220888093304438E-2</v>
      </c>
      <c r="N39" s="26">
        <f t="shared" si="5"/>
        <v>13127448</v>
      </c>
      <c r="O39" s="29">
        <v>16</v>
      </c>
      <c r="P39" s="30">
        <v>82025858</v>
      </c>
      <c r="Q39" s="30">
        <v>2563308.0625</v>
      </c>
      <c r="R39" s="30">
        <v>19366.5625</v>
      </c>
      <c r="S39" s="31">
        <v>45187480</v>
      </c>
      <c r="T39" s="31">
        <v>10034760</v>
      </c>
      <c r="U39" s="31">
        <v>3092688</v>
      </c>
      <c r="V39" s="31">
        <v>32059904</v>
      </c>
      <c r="W39" s="32">
        <v>78.318230999999997</v>
      </c>
      <c r="X39" s="32">
        <v>81.877509000000003</v>
      </c>
      <c r="Y39" s="32">
        <v>41.297905999999998</v>
      </c>
      <c r="Z39" s="32">
        <v>45.537005999999998</v>
      </c>
      <c r="AA39" s="32">
        <v>49.137197</v>
      </c>
      <c r="AB39" s="33">
        <v>3647.46</v>
      </c>
      <c r="AC39" s="33">
        <v>6189.85</v>
      </c>
      <c r="AD39" s="33">
        <v>233.94800000000001</v>
      </c>
      <c r="AE39" s="33">
        <v>82.087000000000003</v>
      </c>
      <c r="AG39" s="28">
        <f t="shared" si="6"/>
        <v>42.363255000000002</v>
      </c>
      <c r="AH39" s="29">
        <f t="shared" si="7"/>
        <v>0.13562045246708559</v>
      </c>
      <c r="AI39" s="29">
        <f t="shared" si="8"/>
        <v>3.9399180209384543E-2</v>
      </c>
      <c r="AJ39" s="29">
        <f t="shared" si="9"/>
        <v>3.0117168130109423E-2</v>
      </c>
      <c r="AK39" s="29">
        <f t="shared" si="10"/>
        <v>9.6220888093304438E-2</v>
      </c>
      <c r="AL39" s="26">
        <f t="shared" si="11"/>
        <v>13127440</v>
      </c>
      <c r="AM39" s="29">
        <v>16</v>
      </c>
      <c r="AN39" s="30">
        <v>82025858</v>
      </c>
      <c r="AO39" s="30">
        <v>2563308.0625</v>
      </c>
      <c r="AP39" s="30">
        <v>19366.5625</v>
      </c>
      <c r="AQ39" s="31">
        <v>45187472</v>
      </c>
      <c r="AR39" s="31">
        <v>10034760</v>
      </c>
      <c r="AS39" s="31">
        <v>3092680</v>
      </c>
      <c r="AT39" s="31">
        <v>32059904</v>
      </c>
      <c r="AU39" s="32">
        <v>78.318230999999997</v>
      </c>
      <c r="AV39" s="32">
        <v>81.877509000000003</v>
      </c>
      <c r="AW39" s="32">
        <v>41.297905999999998</v>
      </c>
      <c r="AX39" s="32">
        <v>45.537005999999998</v>
      </c>
      <c r="AY39" s="32">
        <v>49.137197</v>
      </c>
      <c r="AZ39" s="33">
        <v>3467.11</v>
      </c>
      <c r="BA39" s="33">
        <v>5662.35</v>
      </c>
      <c r="BB39" s="33">
        <v>228.75899999999999</v>
      </c>
      <c r="BC39" s="33">
        <v>78.671999999999997</v>
      </c>
      <c r="BE39" s="34">
        <f t="shared" si="12"/>
        <v>0.99999939058985421</v>
      </c>
      <c r="BF39" s="35">
        <f t="shared" si="13"/>
        <v>0</v>
      </c>
      <c r="BG39" s="35">
        <f t="shared" si="14"/>
        <v>-1.2560813594797438E-7</v>
      </c>
      <c r="BH39" s="35"/>
      <c r="BJ39" s="34"/>
      <c r="BK39" s="34"/>
      <c r="BL39" s="34"/>
      <c r="BM39" s="34"/>
      <c r="BN39" s="34"/>
      <c r="BP39" s="34"/>
      <c r="BQ39" s="34"/>
      <c r="BR39" s="34"/>
      <c r="BS39" s="34"/>
      <c r="BT39" s="34"/>
      <c r="BV39" s="58">
        <f t="shared" si="16"/>
        <v>0</v>
      </c>
      <c r="BW39" s="58">
        <f t="shared" si="16"/>
        <v>0</v>
      </c>
      <c r="BX39" s="58">
        <f t="shared" si="16"/>
        <v>0</v>
      </c>
      <c r="BY39" s="58">
        <f t="shared" si="16"/>
        <v>-8</v>
      </c>
      <c r="BZ39" s="58">
        <f t="shared" si="16"/>
        <v>0</v>
      </c>
      <c r="CA39" s="58">
        <f t="shared" si="16"/>
        <v>-8</v>
      </c>
      <c r="CB39" s="58">
        <f t="shared" si="16"/>
        <v>0</v>
      </c>
      <c r="CC39" s="58">
        <f t="shared" si="16"/>
        <v>0</v>
      </c>
      <c r="CD39" s="58">
        <f t="shared" si="16"/>
        <v>0</v>
      </c>
      <c r="CE39" s="58">
        <f t="shared" si="16"/>
        <v>0</v>
      </c>
      <c r="CF39" s="58">
        <f t="shared" si="16"/>
        <v>0</v>
      </c>
      <c r="CG39" s="58">
        <f t="shared" si="16"/>
        <v>0</v>
      </c>
      <c r="CJ39" t="s">
        <v>244</v>
      </c>
    </row>
    <row r="40" spans="1:88" ht="16">
      <c r="B40" s="46" t="s">
        <v>16</v>
      </c>
      <c r="J40" s="47">
        <f>AVERAGE(J5:J24)</f>
        <v>4.4080014091290469E-2</v>
      </c>
      <c r="K40" s="47">
        <f>AVERAGE(K5:K24)</f>
        <v>1.3798351612897667E-2</v>
      </c>
      <c r="L40" s="47">
        <f>AVERAGE(L5:L24)</f>
        <v>9.669902595508012E-3</v>
      </c>
      <c r="M40" s="47">
        <f>AVERAGE(M5:M24)</f>
        <v>3.0281154510586043E-2</v>
      </c>
      <c r="AH40" s="47">
        <f>AVERAGE(AH5:AH24)</f>
        <v>4.408001384082539E-2</v>
      </c>
      <c r="AI40" s="47">
        <f>AVERAGE(AI5:AI24)</f>
        <v>1.3798351362432579E-2</v>
      </c>
      <c r="AJ40" s="47">
        <f>AVERAGE(AJ5:AJ24)</f>
        <v>9.669902595508012E-3</v>
      </c>
      <c r="AK40" s="47">
        <f>AVERAGE(AK5:AK24)</f>
        <v>3.0281154510586043E-2</v>
      </c>
      <c r="BE40" s="51">
        <f t="shared" si="12"/>
        <v>0.99999998184818772</v>
      </c>
      <c r="BH40" s="55">
        <f>AVERAGE(BH5:BH24)</f>
        <v>-1.1132372801370138E-10</v>
      </c>
      <c r="BJ40" s="51">
        <f>AVERAGE(BJ5:BJ24)</f>
        <v>3.7495933183362418E-7</v>
      </c>
      <c r="BK40" s="51">
        <f>AVERAGE(BK5:BK24)</f>
        <v>3.309777891202792E-7</v>
      </c>
      <c r="BL40" s="51">
        <f>AVERAGE(BL5:BL24)</f>
        <v>0</v>
      </c>
      <c r="BM40" s="51">
        <f>AVERAGE(BM5:BM24)</f>
        <v>0</v>
      </c>
      <c r="BN40" s="51">
        <f>AVERAGE(BN5:BN24)</f>
        <v>0</v>
      </c>
      <c r="BP40" s="51">
        <f>AVERAGE(BP5:BP24)</f>
        <v>1.447795198172841E-7</v>
      </c>
      <c r="BQ40" s="51">
        <f>AVERAGE(BQ5:BQ24)</f>
        <v>1.3220528163881973E-7</v>
      </c>
      <c r="BR40" s="51">
        <f>AVERAGE(BR5:BR24)</f>
        <v>1.2553689882066621E-7</v>
      </c>
      <c r="BS40" s="51">
        <f>AVERAGE(BS5:BS24)</f>
        <v>9.1710507327258384E-8</v>
      </c>
      <c r="BT40" s="51">
        <f>AVERAGE(BT5:BT24)</f>
        <v>1.0567898373059492E-7</v>
      </c>
    </row>
    <row r="41" spans="1:88" ht="16">
      <c r="B41" s="46" t="s">
        <v>17</v>
      </c>
      <c r="J41" s="47">
        <f>AVERAGE(J25:J29)</f>
        <v>7.9856539603402193E-2</v>
      </c>
      <c r="K41" s="47">
        <f>AVERAGE(K25:K29)</f>
        <v>1.2365717129266504E-2</v>
      </c>
      <c r="L41" s="47">
        <f>AVERAGE(L25:L29)</f>
        <v>9.1151281892310389E-3</v>
      </c>
      <c r="M41" s="47">
        <f>AVERAGE(M25:M29)</f>
        <v>6.7490311076729578E-2</v>
      </c>
      <c r="AH41" s="47">
        <f>AVERAGE(AH25:AH29)</f>
        <v>7.9856545995869777E-2</v>
      </c>
      <c r="AI41" s="47">
        <f>AVERAGE(AI25:AI29)</f>
        <v>1.2365723521734082E-2</v>
      </c>
      <c r="AJ41" s="47">
        <f>AVERAGE(AJ25:AJ29)</f>
        <v>9.1151281892310389E-3</v>
      </c>
      <c r="AK41" s="47">
        <f>AVERAGE(AK25:AK29)</f>
        <v>6.7490311076729578E-2</v>
      </c>
      <c r="BE41" s="51">
        <f t="shared" si="12"/>
        <v>1.0000005169508175</v>
      </c>
      <c r="BH41" s="55">
        <f>AVERAGE(BH25:BH29)</f>
        <v>2.9825572928077193E-8</v>
      </c>
      <c r="BJ41" s="51">
        <f>AVERAGE(BJ25:BJ29)</f>
        <v>7.2918213023243084E-8</v>
      </c>
      <c r="BK41" s="51">
        <f>AVERAGE(BK25:BK29)</f>
        <v>1.511658114239367E-7</v>
      </c>
      <c r="BL41" s="51">
        <f>AVERAGE(BL25:BL29)</f>
        <v>0</v>
      </c>
      <c r="BM41" s="51">
        <f>AVERAGE(BM25:BM29)</f>
        <v>0</v>
      </c>
      <c r="BN41" s="51">
        <f>AVERAGE(BN25:BN29)</f>
        <v>0</v>
      </c>
      <c r="BP41" s="51">
        <f>AVERAGE(BP25:BP29)</f>
        <v>8.3662385907956605E-9</v>
      </c>
      <c r="BQ41" s="51">
        <f>AVERAGE(BQ25:BQ29)</f>
        <v>1.8912661214898208E-8</v>
      </c>
      <c r="BR41" s="51">
        <f>AVERAGE(BR25:BR29)</f>
        <v>1.5336409919797234E-8</v>
      </c>
      <c r="BS41" s="51">
        <f>AVERAGE(BS25:BS29)</f>
        <v>2.1217573697995817E-8</v>
      </c>
      <c r="BT41" s="51">
        <f>AVERAGE(BT25:BT29)</f>
        <v>1.9053973510096966E-8</v>
      </c>
    </row>
    <row r="42" spans="1:88" ht="16">
      <c r="B42" s="46" t="s">
        <v>18</v>
      </c>
      <c r="J42" s="47">
        <f>AVERAGE(J30:J39)</f>
        <v>5.5097595709424504E-2</v>
      </c>
      <c r="K42" s="47">
        <f>AVERAGE(K30:K39)</f>
        <v>2.0017941397766689E-2</v>
      </c>
      <c r="L42" s="47">
        <f>AVERAGE(L30:L39)</f>
        <v>1.5038954141750719E-2</v>
      </c>
      <c r="M42" s="47">
        <f>AVERAGE(M30:M39)</f>
        <v>3.5079291754878603E-2</v>
      </c>
      <c r="AH42" s="47">
        <f>AVERAGE(AH30:AH39)</f>
        <v>5.3040992246490337E-2</v>
      </c>
      <c r="AI42" s="47">
        <f>AVERAGE(AI30:AI39)</f>
        <v>1.953909637974276E-2</v>
      </c>
      <c r="AJ42" s="47">
        <f>AVERAGE(AJ30:AJ39)</f>
        <v>1.4510012954471399E-2</v>
      </c>
      <c r="AK42" s="47">
        <f>AVERAGE(AK30:AK39)</f>
        <v>3.3501535710814739E-2</v>
      </c>
      <c r="BE42" s="51">
        <f t="shared" si="12"/>
        <v>0.976079207721262</v>
      </c>
      <c r="BH42" s="55" t="e">
        <f>AVERAGE(BH30:BH39)</f>
        <v>#VALUE!</v>
      </c>
      <c r="BJ42" s="51">
        <f>AVERAGE(BJ30:BJ39)</f>
        <v>9.1733240712288389E-3</v>
      </c>
      <c r="BK42" s="51">
        <f>AVERAGE(BK30:BK39)</f>
        <v>-4.5205031070015833E-3</v>
      </c>
      <c r="BL42" s="51">
        <f>AVERAGE(BL30:BL39)</f>
        <v>6.0805669753982716E-4</v>
      </c>
      <c r="BM42" s="51">
        <f>AVERAGE(BM30:BM39)</f>
        <v>1.0470822775616728E-3</v>
      </c>
      <c r="BN42" s="51">
        <f>AVERAGE(BN30:BN39)</f>
        <v>1.0460303958816919E-3</v>
      </c>
      <c r="BP42" s="51">
        <f>AVERAGE(BP30:BP39)</f>
        <v>5.9033923221037954E-3</v>
      </c>
      <c r="BQ42" s="51">
        <f>AVERAGE(BQ30:BQ39)</f>
        <v>-1.5146789802662486E-2</v>
      </c>
      <c r="BR42" s="51">
        <f>AVERAGE(BR30:BR39)</f>
        <v>2.6012695884103376E-3</v>
      </c>
      <c r="BS42" s="51">
        <f>AVERAGE(BS30:BS39)</f>
        <v>1.5492052822417834E-3</v>
      </c>
      <c r="BT42" s="51">
        <f>AVERAGE(BT30:BT39)</f>
        <v>2.6042076040972972E-3</v>
      </c>
    </row>
    <row r="43" spans="1:88" ht="16">
      <c r="B43" s="46" t="s">
        <v>19</v>
      </c>
      <c r="J43" s="47">
        <f>AVERAGE(J5:J39)</f>
        <v>5.2338826769630448E-2</v>
      </c>
      <c r="K43" s="47">
        <f>AVERAGE(K5:K39)</f>
        <v>1.5370715196627222E-2</v>
      </c>
      <c r="L43" s="47">
        <f>AVERAGE(L5:L39)</f>
        <v>1.1124663836394934E-2</v>
      </c>
      <c r="M43" s="47">
        <f>AVERAGE(M5:M39)</f>
        <v>3.696764466126156E-2</v>
      </c>
      <c r="AH43" s="47">
        <f>AVERAGE(AH5:AH39)</f>
        <v>5.1713292265125596E-2</v>
      </c>
      <c r="AI43" s="47">
        <f>AVERAGE(AI5:AI39)</f>
        <v>1.5107279772794318E-2</v>
      </c>
      <c r="AJ43" s="47">
        <f>AVERAGE(AJ5:AJ39)</f>
        <v>1.0869523807251709E-2</v>
      </c>
      <c r="AK43" s="47">
        <f>AVERAGE(AK5:AK39)</f>
        <v>3.6605543146844152E-2</v>
      </c>
      <c r="BE43" s="51">
        <f t="shared" si="12"/>
        <v>0.9828612123467938</v>
      </c>
      <c r="BH43" s="55" t="e">
        <f>AVERAGE(BH5:BH39)</f>
        <v>#VALUE!</v>
      </c>
      <c r="BJ43" s="51">
        <f>AVERAGE(BJ5:BJ39)</f>
        <v>2.6211744139997195E-3</v>
      </c>
      <c r="BK43" s="51">
        <f>AVERAGE(BK5:BK39)</f>
        <v>-1.2913615910050374E-3</v>
      </c>
      <c r="BL43" s="51">
        <f>AVERAGE(BL5:BL39)</f>
        <v>1.7373048501137918E-4</v>
      </c>
      <c r="BM43" s="51">
        <f>AVERAGE(BM5:BM39)</f>
        <v>2.991663650176208E-4</v>
      </c>
      <c r="BN43" s="51">
        <f>AVERAGE(BN5:BN39)</f>
        <v>2.9886582739476912E-4</v>
      </c>
      <c r="BP43" s="51">
        <f>AVERAGE(BP5:BP39)</f>
        <v>1.6867674469322072E-3</v>
      </c>
      <c r="BQ43" s="51">
        <f>AVERAGE(BQ5:BQ39)</f>
        <v>-4.3275759816481718E-3</v>
      </c>
      <c r="BR43" s="51">
        <f>AVERAGE(BR5:BR39)</f>
        <v>7.4329380868941113E-4</v>
      </c>
      <c r="BS43" s="51">
        <f>AVERAGE(BS5:BS39)</f>
        <v>4.4268551772665344E-4</v>
      </c>
      <c r="BT43" s="51">
        <f>AVERAGE(BT5:BT39)</f>
        <v>7.4412242544328959E-4</v>
      </c>
    </row>
    <row r="44" spans="1:88" ht="16" hidden="1" outlineLevel="2">
      <c r="A44" s="46" t="s">
        <v>245</v>
      </c>
      <c r="B44" s="46" t="s">
        <v>246</v>
      </c>
      <c r="AB44" s="48">
        <f>SUM(AB5:AB24,AB25:AB29,AB30:AB39)</f>
        <v>135168.41999999998</v>
      </c>
      <c r="AC44" s="48">
        <f>SUM(AC5:AC24,AC25:AC29,AC30:AC39)</f>
        <v>82533.520000000019</v>
      </c>
      <c r="AD44" s="48">
        <f>SUM(AD5:AD24,AD25:AD29,AD30:AD39)</f>
        <v>4270.6470000000008</v>
      </c>
      <c r="AE44" s="48">
        <f>SUM(AE5:AE24,AE25:AE29,AE30:AE39)</f>
        <v>1158.0800000000002</v>
      </c>
      <c r="AZ44" s="48">
        <f>SUM(AZ5:AZ24,AZ25:AZ29,AZ30:AZ39)</f>
        <v>124758.77999999997</v>
      </c>
      <c r="BA44" s="48">
        <f>SUM(BA5:BA24,BA25:BA29,BA30:BA39)</f>
        <v>70781.692999999999</v>
      </c>
      <c r="BB44" s="48">
        <f>SUM(BB5:BB24,BB25:BB29,BB30:BB39)</f>
        <v>3833.0610000000001</v>
      </c>
      <c r="BC44" s="48">
        <f>SUM(BC5:BC24,BC25:BC29,BC30:BC39)</f>
        <v>1010.6559999999998</v>
      </c>
    </row>
    <row r="45" spans="1:88" ht="16" hidden="1" outlineLevel="2">
      <c r="B45" s="46" t="s">
        <v>247</v>
      </c>
      <c r="AZ45" s="55">
        <f>AZ44/AB44</f>
        <v>0.92298763276214946</v>
      </c>
      <c r="BA45" s="55">
        <f>BA44/AC44</f>
        <v>0.85761146501445695</v>
      </c>
      <c r="BB45" s="55">
        <f>BB44/AD44</f>
        <v>0.89753636861112596</v>
      </c>
      <c r="BC45" s="55">
        <f>BC44/AE44</f>
        <v>0.87269964078474693</v>
      </c>
    </row>
    <row r="46" spans="1:88" ht="16" hidden="1" outlineLevel="2">
      <c r="B46" s="46" t="s">
        <v>248</v>
      </c>
      <c r="AB46" s="48">
        <f>GEOMEAN(AB5:AB24,AB25:AB29,AB30:AB39)</f>
        <v>3661.567266172869</v>
      </c>
      <c r="AC46" s="48">
        <f>GEOMEAN(AC5:AC24,AC25:AC29,AC30:AC39)</f>
        <v>1917.689771738917</v>
      </c>
      <c r="AD46" s="48">
        <f>GEOMEAN(AD5:AD24,AD25:AD29,AD30:AD39)</f>
        <v>101.69863088113433</v>
      </c>
      <c r="AE46" s="48">
        <f>GEOMEAN(AE5:AE24,AE25:AE29,AE30:AE39)</f>
        <v>26.966284261743187</v>
      </c>
      <c r="AZ46" s="48">
        <f>GEOMEAN(AZ5:AZ24,AZ25:AZ29,AZ30:AZ39)</f>
        <v>3443.4321787115364</v>
      </c>
      <c r="BA46" s="48">
        <f>GEOMEAN(BA5:BA24,BA25:BA29,BA30:BA39)</f>
        <v>1724.7399603486335</v>
      </c>
      <c r="BB46" s="48">
        <f>GEOMEAN(BB5:BB24,BB25:BB29,BB30:BB39)</f>
        <v>94.80241236069044</v>
      </c>
      <c r="BC46" s="48">
        <f>GEOMEAN(BC5:BC24,BC25:BC29,BC30:BC39)</f>
        <v>24.507227070395519</v>
      </c>
    </row>
    <row r="47" spans="1:88" ht="16" outlineLevel="2" collapsed="1">
      <c r="B47" s="46" t="s">
        <v>249</v>
      </c>
      <c r="AZ47" s="55">
        <f>AZ46/AB46</f>
        <v>0.94042575989889399</v>
      </c>
      <c r="BA47" s="55">
        <f>BA46/AC46</f>
        <v>0.89938424127103678</v>
      </c>
      <c r="BB47" s="55">
        <f>BB46/AD46</f>
        <v>0.93218966213513521</v>
      </c>
      <c r="BC47" s="55">
        <f>BC46/AE46</f>
        <v>0.90880993586364034</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sheetData>
    <row r="1" spans="1:2">
      <c r="A1" t="s">
        <v>250</v>
      </c>
      <c r="B1">
        <v>1</v>
      </c>
    </row>
    <row r="2" spans="1:2">
      <c r="A2" t="s">
        <v>251</v>
      </c>
      <c r="B2">
        <v>2</v>
      </c>
    </row>
    <row r="3" spans="1:2">
      <c r="A3" t="s">
        <v>252</v>
      </c>
      <c r="B3">
        <v>3</v>
      </c>
    </row>
    <row r="4" spans="1:2">
      <c r="A4" t="s">
        <v>253</v>
      </c>
      <c r="B4">
        <v>4</v>
      </c>
    </row>
    <row r="5" spans="1:2">
      <c r="A5" t="s">
        <v>254</v>
      </c>
      <c r="B5">
        <v>5</v>
      </c>
    </row>
    <row r="6" spans="1:2">
      <c r="A6" t="s">
        <v>255</v>
      </c>
      <c r="B6">
        <v>6</v>
      </c>
    </row>
    <row r="7" spans="1:2">
      <c r="A7" t="s">
        <v>256</v>
      </c>
      <c r="B7">
        <v>7</v>
      </c>
    </row>
    <row r="8" spans="1:2">
      <c r="A8" t="s">
        <v>257</v>
      </c>
      <c r="B8">
        <v>9</v>
      </c>
    </row>
    <row r="9" spans="1:2">
      <c r="A9" t="s">
        <v>258</v>
      </c>
      <c r="B9">
        <v>10</v>
      </c>
    </row>
    <row r="10" spans="1:2">
      <c r="A10" t="s">
        <v>259</v>
      </c>
      <c r="B10">
        <v>11</v>
      </c>
    </row>
    <row r="11" spans="1:2">
      <c r="A11" t="s">
        <v>260</v>
      </c>
      <c r="B11">
        <v>12</v>
      </c>
    </row>
    <row r="12" spans="1:2">
      <c r="A12" t="s">
        <v>261</v>
      </c>
      <c r="B12">
        <v>13</v>
      </c>
    </row>
    <row r="13" spans="1:2">
      <c r="A13" t="s">
        <v>262</v>
      </c>
      <c r="B13">
        <v>14</v>
      </c>
    </row>
    <row r="14" spans="1:2">
      <c r="A14" t="s">
        <v>263</v>
      </c>
      <c r="B14">
        <v>15</v>
      </c>
    </row>
    <row r="15" spans="1:2">
      <c r="A15" t="s">
        <v>264</v>
      </c>
      <c r="B15">
        <v>16</v>
      </c>
    </row>
    <row r="16" spans="1:2">
      <c r="A16" t="s">
        <v>265</v>
      </c>
      <c r="B16">
        <v>17</v>
      </c>
    </row>
    <row r="17" spans="1:2">
      <c r="A17" t="s">
        <v>266</v>
      </c>
      <c r="B17">
        <v>18</v>
      </c>
    </row>
    <row r="18" spans="1:2">
      <c r="A18" t="s">
        <v>267</v>
      </c>
      <c r="B18">
        <v>19</v>
      </c>
    </row>
    <row r="19" spans="1:2">
      <c r="A19" t="s">
        <v>268</v>
      </c>
      <c r="B19">
        <v>20</v>
      </c>
    </row>
    <row r="20" spans="1:2">
      <c r="A20" t="s">
        <v>269</v>
      </c>
      <c r="B20">
        <v>21</v>
      </c>
    </row>
    <row r="21" spans="1:2">
      <c r="A21" t="s">
        <v>270</v>
      </c>
      <c r="B21">
        <v>22</v>
      </c>
    </row>
    <row r="22" spans="1:2">
      <c r="A22" t="s">
        <v>271</v>
      </c>
      <c r="B22">
        <v>23</v>
      </c>
    </row>
    <row r="23" spans="1:2">
      <c r="A23" t="s">
        <v>272</v>
      </c>
      <c r="B23">
        <v>24</v>
      </c>
    </row>
    <row r="24" spans="1:2">
      <c r="A24" t="s">
        <v>273</v>
      </c>
      <c r="B24">
        <v>25</v>
      </c>
    </row>
    <row r="25" spans="1:2">
      <c r="A25" t="s">
        <v>274</v>
      </c>
      <c r="B25">
        <v>26</v>
      </c>
    </row>
    <row r="26" spans="1:2">
      <c r="A26" t="s">
        <v>275</v>
      </c>
      <c r="B26">
        <v>27</v>
      </c>
    </row>
    <row r="27" spans="1:2">
      <c r="A27" t="s">
        <v>276</v>
      </c>
      <c r="B27">
        <v>28</v>
      </c>
    </row>
    <row r="28" spans="1:2">
      <c r="A28" t="s">
        <v>277</v>
      </c>
      <c r="B28">
        <v>29</v>
      </c>
    </row>
    <row r="29" spans="1:2">
      <c r="A29" t="s">
        <v>278</v>
      </c>
      <c r="B29">
        <v>30</v>
      </c>
    </row>
    <row r="30" spans="1:2">
      <c r="A30" t="s">
        <v>279</v>
      </c>
      <c r="B30">
        <v>31</v>
      </c>
    </row>
    <row r="31" spans="1:2">
      <c r="A31" t="s">
        <v>280</v>
      </c>
      <c r="B31">
        <v>33</v>
      </c>
    </row>
    <row r="32" spans="1:2">
      <c r="A32" t="s">
        <v>281</v>
      </c>
      <c r="B32">
        <v>34</v>
      </c>
    </row>
    <row r="33" spans="1:2">
      <c r="A33" t="s">
        <v>282</v>
      </c>
      <c r="B33">
        <v>35</v>
      </c>
    </row>
    <row r="34" spans="1:2">
      <c r="A34" t="s">
        <v>283</v>
      </c>
      <c r="B34">
        <v>36</v>
      </c>
    </row>
    <row r="35" spans="1:2">
      <c r="A35" t="s">
        <v>284</v>
      </c>
      <c r="B35">
        <v>37</v>
      </c>
    </row>
    <row r="36" spans="1:2">
      <c r="A36" t="s">
        <v>285</v>
      </c>
      <c r="B36">
        <v>38</v>
      </c>
    </row>
    <row r="37" spans="1:2">
      <c r="A37" t="s">
        <v>286</v>
      </c>
      <c r="B37">
        <v>39</v>
      </c>
    </row>
    <row r="38" spans="1:2">
      <c r="A38" t="s">
        <v>287</v>
      </c>
      <c r="B38">
        <v>40</v>
      </c>
    </row>
    <row r="39" spans="1:2">
      <c r="A39" t="s">
        <v>288</v>
      </c>
      <c r="B39">
        <v>41</v>
      </c>
    </row>
    <row r="40" spans="1:2">
      <c r="A40" t="s">
        <v>289</v>
      </c>
      <c r="B40">
        <v>42</v>
      </c>
    </row>
    <row r="41" spans="1:2">
      <c r="A41" t="s">
        <v>290</v>
      </c>
      <c r="B41">
        <v>43</v>
      </c>
    </row>
    <row r="42" spans="1:2">
      <c r="A42" t="s">
        <v>291</v>
      </c>
      <c r="B42">
        <v>44</v>
      </c>
    </row>
    <row r="43" spans="1:2">
      <c r="A43" t="s">
        <v>292</v>
      </c>
      <c r="B43">
        <v>45</v>
      </c>
    </row>
    <row r="44" spans="1:2">
      <c r="A44" t="s">
        <v>293</v>
      </c>
      <c r="B44">
        <v>46</v>
      </c>
    </row>
    <row r="45" spans="1:2">
      <c r="A45" t="s">
        <v>294</v>
      </c>
      <c r="B45">
        <v>47</v>
      </c>
    </row>
    <row r="46" spans="1:2">
      <c r="A46" t="s">
        <v>295</v>
      </c>
      <c r="B46">
        <v>48</v>
      </c>
    </row>
    <row r="47" spans="1:2">
      <c r="A47" t="s">
        <v>296</v>
      </c>
      <c r="B47">
        <v>49</v>
      </c>
    </row>
    <row r="48" spans="1:2">
      <c r="A48" t="s">
        <v>297</v>
      </c>
      <c r="B48">
        <v>50</v>
      </c>
    </row>
    <row r="49" spans="1:2">
      <c r="A49" t="s">
        <v>298</v>
      </c>
      <c r="B49">
        <v>51</v>
      </c>
    </row>
    <row r="50" spans="1:2">
      <c r="A50" t="s">
        <v>299</v>
      </c>
      <c r="B50">
        <v>52</v>
      </c>
    </row>
    <row r="51" spans="1:2">
      <c r="A51" t="s">
        <v>300</v>
      </c>
      <c r="B51">
        <v>53</v>
      </c>
    </row>
    <row r="52" spans="1:2">
      <c r="A52" t="s">
        <v>301</v>
      </c>
      <c r="B52">
        <v>54</v>
      </c>
    </row>
    <row r="53" spans="1:2">
      <c r="A53" t="s">
        <v>302</v>
      </c>
      <c r="B53">
        <v>55</v>
      </c>
    </row>
    <row r="54" spans="1:2">
      <c r="A54" t="s">
        <v>303</v>
      </c>
      <c r="B54">
        <v>57</v>
      </c>
    </row>
    <row r="55" spans="1:2">
      <c r="A55" t="s">
        <v>304</v>
      </c>
      <c r="B55">
        <v>58</v>
      </c>
    </row>
    <row r="56" spans="1:2">
      <c r="A56" t="s">
        <v>305</v>
      </c>
      <c r="B56">
        <v>59</v>
      </c>
    </row>
    <row r="57" spans="1:2">
      <c r="A57" t="s">
        <v>306</v>
      </c>
      <c r="B57">
        <v>60</v>
      </c>
    </row>
    <row r="58" spans="1:2">
      <c r="A58" t="s">
        <v>307</v>
      </c>
      <c r="B58">
        <v>62</v>
      </c>
    </row>
    <row r="59" spans="1:2">
      <c r="A59" t="s">
        <v>308</v>
      </c>
      <c r="B59">
        <v>63</v>
      </c>
    </row>
    <row r="60" spans="1:2">
      <c r="A60" t="s">
        <v>309</v>
      </c>
      <c r="B60">
        <v>64</v>
      </c>
    </row>
    <row r="61" spans="1:2">
      <c r="A61" t="s">
        <v>310</v>
      </c>
      <c r="B61">
        <v>65</v>
      </c>
    </row>
    <row r="62" spans="1:2">
      <c r="A62" t="s">
        <v>311</v>
      </c>
      <c r="B62">
        <v>66</v>
      </c>
    </row>
    <row r="63" spans="1:2">
      <c r="A63" t="s">
        <v>312</v>
      </c>
      <c r="B63">
        <v>68</v>
      </c>
    </row>
    <row r="64" spans="1:2">
      <c r="A64" t="s">
        <v>313</v>
      </c>
      <c r="B64">
        <v>69</v>
      </c>
    </row>
    <row r="65" spans="1:24">
      <c r="A65" t="s">
        <v>314</v>
      </c>
      <c r="B65">
        <v>70</v>
      </c>
    </row>
    <row r="66" spans="1:24">
      <c r="A66" t="s">
        <v>315</v>
      </c>
      <c r="B66">
        <v>71</v>
      </c>
    </row>
    <row r="67" spans="1:24">
      <c r="A67" t="s">
        <v>316</v>
      </c>
      <c r="B67">
        <v>72</v>
      </c>
    </row>
    <row r="68" spans="1:24">
      <c r="A68" t="s">
        <v>317</v>
      </c>
      <c r="B68" t="s">
        <v>318</v>
      </c>
    </row>
    <row r="69" spans="1:24">
      <c r="A69" t="s">
        <v>319</v>
      </c>
      <c r="B69" t="s">
        <v>320</v>
      </c>
    </row>
    <row r="70" spans="1:24">
      <c r="A70" t="s">
        <v>321</v>
      </c>
      <c r="B70" t="s">
        <v>322</v>
      </c>
    </row>
    <row r="71" spans="1:24">
      <c r="A71" t="s">
        <v>323</v>
      </c>
      <c r="B71" t="s">
        <v>324</v>
      </c>
    </row>
    <row r="72" spans="1:24">
      <c r="A72" t="s">
        <v>325</v>
      </c>
      <c r="B72" t="s">
        <v>326</v>
      </c>
    </row>
    <row r="73" spans="1:24">
      <c r="A73" t="s">
        <v>327</v>
      </c>
      <c r="B73" t="s">
        <v>328</v>
      </c>
    </row>
    <row r="74" spans="1:24">
      <c r="A74" t="s">
        <v>329</v>
      </c>
      <c r="B74" t="s">
        <v>330</v>
      </c>
    </row>
    <row r="75" spans="1:24">
      <c r="A75" t="s">
        <v>331</v>
      </c>
      <c r="B75" t="s">
        <v>332</v>
      </c>
    </row>
    <row r="76" spans="1:24">
      <c r="A76" t="s">
        <v>333</v>
      </c>
      <c r="B76" t="s">
        <v>334</v>
      </c>
    </row>
    <row r="77" spans="1:24">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c r="A78" t="s">
        <v>336</v>
      </c>
      <c r="B78">
        <v>1</v>
      </c>
    </row>
    <row r="79" spans="1:24">
      <c r="A79" t="s">
        <v>337</v>
      </c>
      <c r="B79">
        <v>2</v>
      </c>
    </row>
    <row r="80" spans="1:24">
      <c r="A80" t="s">
        <v>338</v>
      </c>
      <c r="B80">
        <v>3</v>
      </c>
    </row>
    <row r="81" spans="1:2">
      <c r="A81" t="s">
        <v>339</v>
      </c>
      <c r="B81">
        <v>4</v>
      </c>
    </row>
    <row r="82" spans="1:2">
      <c r="A82" t="s">
        <v>340</v>
      </c>
      <c r="B82">
        <v>5</v>
      </c>
    </row>
    <row r="83" spans="1:2">
      <c r="A83" t="s">
        <v>341</v>
      </c>
      <c r="B83">
        <v>6</v>
      </c>
    </row>
    <row r="84" spans="1:2">
      <c r="A84" t="s">
        <v>342</v>
      </c>
      <c r="B84">
        <v>8</v>
      </c>
    </row>
    <row r="85" spans="1:2">
      <c r="A85" t="s">
        <v>343</v>
      </c>
      <c r="B85">
        <v>9</v>
      </c>
    </row>
    <row r="86" spans="1:2">
      <c r="A86" t="s">
        <v>344</v>
      </c>
      <c r="B86">
        <v>10</v>
      </c>
    </row>
    <row r="87" spans="1:2">
      <c r="A87" t="s">
        <v>345</v>
      </c>
      <c r="B87">
        <v>11</v>
      </c>
    </row>
    <row r="88" spans="1:2">
      <c r="A88" t="s">
        <v>346</v>
      </c>
      <c r="B88">
        <v>12</v>
      </c>
    </row>
    <row r="89" spans="1:2">
      <c r="A89" t="s">
        <v>347</v>
      </c>
      <c r="B89">
        <v>13</v>
      </c>
    </row>
    <row r="90" spans="1:2">
      <c r="A90" t="s">
        <v>348</v>
      </c>
      <c r="B90">
        <v>14</v>
      </c>
    </row>
    <row r="91" spans="1:2">
      <c r="A91" t="s">
        <v>349</v>
      </c>
      <c r="B91">
        <v>15</v>
      </c>
    </row>
    <row r="92" spans="1:2">
      <c r="A92" t="s">
        <v>350</v>
      </c>
      <c r="B92">
        <v>16</v>
      </c>
    </row>
    <row r="93" spans="1:2">
      <c r="A93" t="s">
        <v>351</v>
      </c>
      <c r="B93">
        <v>17</v>
      </c>
    </row>
    <row r="94" spans="1:2">
      <c r="A94" t="s">
        <v>352</v>
      </c>
      <c r="B94">
        <v>18</v>
      </c>
    </row>
    <row r="95" spans="1:2">
      <c r="A95" t="s">
        <v>353</v>
      </c>
      <c r="B95">
        <v>19</v>
      </c>
    </row>
    <row r="96" spans="1:2">
      <c r="A96" t="s">
        <v>354</v>
      </c>
      <c r="B96">
        <v>20</v>
      </c>
    </row>
    <row r="97" spans="1:2">
      <c r="A97" t="s">
        <v>355</v>
      </c>
      <c r="B97">
        <v>21</v>
      </c>
    </row>
    <row r="98" spans="1:2">
      <c r="A98" t="s">
        <v>356</v>
      </c>
      <c r="B98">
        <v>22</v>
      </c>
    </row>
    <row r="99" spans="1:2">
      <c r="A99" t="s">
        <v>357</v>
      </c>
      <c r="B99">
        <v>23</v>
      </c>
    </row>
    <row r="100" spans="1:2">
      <c r="A100" t="s">
        <v>358</v>
      </c>
      <c r="B100">
        <v>24</v>
      </c>
    </row>
    <row r="101" spans="1:2">
      <c r="A101" t="s">
        <v>359</v>
      </c>
      <c r="B101">
        <v>25</v>
      </c>
    </row>
    <row r="102" spans="1:2">
      <c r="A102" t="s">
        <v>360</v>
      </c>
      <c r="B102">
        <v>26</v>
      </c>
    </row>
    <row r="103" spans="1:2">
      <c r="A103" t="s">
        <v>361</v>
      </c>
      <c r="B103">
        <v>27</v>
      </c>
    </row>
    <row r="104" spans="1:2">
      <c r="A104" t="s">
        <v>362</v>
      </c>
      <c r="B104">
        <v>28</v>
      </c>
    </row>
    <row r="105" spans="1:2">
      <c r="A105" t="s">
        <v>363</v>
      </c>
      <c r="B105">
        <v>29</v>
      </c>
    </row>
    <row r="106" spans="1:2">
      <c r="A106" t="s">
        <v>364</v>
      </c>
      <c r="B106">
        <v>31</v>
      </c>
    </row>
    <row r="107" spans="1:2">
      <c r="A107" t="s">
        <v>365</v>
      </c>
      <c r="B107">
        <v>32</v>
      </c>
    </row>
    <row r="108" spans="1:2">
      <c r="A108" t="s">
        <v>366</v>
      </c>
      <c r="B108">
        <v>33</v>
      </c>
    </row>
    <row r="109" spans="1:2">
      <c r="A109" t="s">
        <v>367</v>
      </c>
      <c r="B109">
        <v>34</v>
      </c>
    </row>
    <row r="110" spans="1:2">
      <c r="A110" t="s">
        <v>368</v>
      </c>
      <c r="B110">
        <v>35</v>
      </c>
    </row>
    <row r="111" spans="1:2">
      <c r="A111" t="s">
        <v>369</v>
      </c>
      <c r="B111">
        <v>36</v>
      </c>
    </row>
    <row r="112" spans="1:2">
      <c r="A112" t="s">
        <v>370</v>
      </c>
      <c r="B112">
        <v>37</v>
      </c>
    </row>
    <row r="113" spans="1:2">
      <c r="A113" t="s">
        <v>371</v>
      </c>
      <c r="B113">
        <v>38</v>
      </c>
    </row>
    <row r="114" spans="1:2">
      <c r="A114" t="s">
        <v>372</v>
      </c>
      <c r="B114">
        <v>39</v>
      </c>
    </row>
    <row r="115" spans="1:2">
      <c r="A115" t="s">
        <v>373</v>
      </c>
      <c r="B115">
        <v>40</v>
      </c>
    </row>
    <row r="116" spans="1:2">
      <c r="A116" t="s">
        <v>374</v>
      </c>
      <c r="B116">
        <v>41</v>
      </c>
    </row>
    <row r="117" spans="1:2">
      <c r="A117" t="s">
        <v>375</v>
      </c>
      <c r="B117">
        <v>42</v>
      </c>
    </row>
    <row r="118" spans="1:2">
      <c r="A118" t="s">
        <v>376</v>
      </c>
      <c r="B118">
        <v>43</v>
      </c>
    </row>
    <row r="119" spans="1:2">
      <c r="A119" t="s">
        <v>377</v>
      </c>
      <c r="B119">
        <v>44</v>
      </c>
    </row>
    <row r="120" spans="1:2">
      <c r="A120" t="s">
        <v>378</v>
      </c>
      <c r="B120">
        <v>45</v>
      </c>
    </row>
    <row r="121" spans="1:2">
      <c r="A121" t="s">
        <v>379</v>
      </c>
      <c r="B121">
        <v>46</v>
      </c>
    </row>
    <row r="122" spans="1:2">
      <c r="A122" t="s">
        <v>380</v>
      </c>
      <c r="B122">
        <v>47</v>
      </c>
    </row>
    <row r="123" spans="1:2">
      <c r="A123" t="s">
        <v>381</v>
      </c>
      <c r="B123">
        <v>48</v>
      </c>
    </row>
    <row r="124" spans="1:2">
      <c r="A124" t="s">
        <v>382</v>
      </c>
      <c r="B124">
        <v>49</v>
      </c>
    </row>
    <row r="125" spans="1:2">
      <c r="A125" t="s">
        <v>383</v>
      </c>
      <c r="B125">
        <v>50</v>
      </c>
    </row>
    <row r="126" spans="1:2">
      <c r="A126" t="s">
        <v>384</v>
      </c>
      <c r="B126">
        <v>51</v>
      </c>
    </row>
    <row r="127" spans="1:2">
      <c r="A127" t="s">
        <v>385</v>
      </c>
      <c r="B127">
        <v>52</v>
      </c>
    </row>
    <row r="128" spans="1:2">
      <c r="A128" t="s">
        <v>386</v>
      </c>
      <c r="B128">
        <v>54</v>
      </c>
    </row>
    <row r="129" spans="1:23">
      <c r="A129" t="s">
        <v>387</v>
      </c>
      <c r="B129">
        <v>55</v>
      </c>
    </row>
    <row r="130" spans="1:23">
      <c r="A130" t="s">
        <v>388</v>
      </c>
      <c r="B130">
        <v>56</v>
      </c>
    </row>
    <row r="131" spans="1:23">
      <c r="A131" t="s">
        <v>389</v>
      </c>
      <c r="B131">
        <v>57</v>
      </c>
    </row>
    <row r="132" spans="1:23">
      <c r="A132" t="s">
        <v>390</v>
      </c>
      <c r="B132">
        <v>58</v>
      </c>
    </row>
    <row r="133" spans="1:23">
      <c r="A133" t="s">
        <v>391</v>
      </c>
      <c r="B133">
        <v>59</v>
      </c>
    </row>
    <row r="134" spans="1:23">
      <c r="A134" t="s">
        <v>392</v>
      </c>
      <c r="B134" t="s">
        <v>393</v>
      </c>
    </row>
    <row r="135" spans="1:23">
      <c r="A135" t="s">
        <v>394</v>
      </c>
      <c r="B135" t="s">
        <v>395</v>
      </c>
    </row>
    <row r="136" spans="1:23">
      <c r="A136" t="s">
        <v>396</v>
      </c>
      <c r="B136" t="s">
        <v>397</v>
      </c>
    </row>
    <row r="137" spans="1:23">
      <c r="A137" t="s">
        <v>398</v>
      </c>
      <c r="B137" t="s">
        <v>399</v>
      </c>
    </row>
    <row r="138" spans="1:23">
      <c r="A138" t="s">
        <v>400</v>
      </c>
      <c r="B138" t="s">
        <v>401</v>
      </c>
    </row>
    <row r="139" spans="1:23">
      <c r="A139" t="s">
        <v>402</v>
      </c>
      <c r="B139" t="s">
        <v>403</v>
      </c>
    </row>
    <row r="140" spans="1:23">
      <c r="A140" t="s">
        <v>404</v>
      </c>
      <c r="B140" t="s">
        <v>405</v>
      </c>
    </row>
    <row r="141" spans="1:23">
      <c r="A141" t="s">
        <v>406</v>
      </c>
      <c r="B141" t="s">
        <v>407</v>
      </c>
    </row>
    <row r="142" spans="1:23">
      <c r="A142" t="s">
        <v>408</v>
      </c>
      <c r="B142" t="s">
        <v>409</v>
      </c>
    </row>
    <row r="143" spans="1:23">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c r="A144" t="s">
        <v>411</v>
      </c>
      <c r="B144">
        <v>1</v>
      </c>
    </row>
    <row r="145" spans="1:2">
      <c r="A145" t="s">
        <v>412</v>
      </c>
      <c r="B145">
        <v>2</v>
      </c>
    </row>
    <row r="146" spans="1:2">
      <c r="A146" t="s">
        <v>413</v>
      </c>
      <c r="B146">
        <v>3</v>
      </c>
    </row>
    <row r="147" spans="1:2">
      <c r="A147" t="s">
        <v>414</v>
      </c>
      <c r="B147">
        <v>4</v>
      </c>
    </row>
    <row r="148" spans="1:2">
      <c r="A148" t="s">
        <v>415</v>
      </c>
      <c r="B148">
        <v>5</v>
      </c>
    </row>
    <row r="149" spans="1:2">
      <c r="A149" t="s">
        <v>416</v>
      </c>
      <c r="B149">
        <v>6</v>
      </c>
    </row>
    <row r="150" spans="1:2">
      <c r="A150" t="s">
        <v>417</v>
      </c>
      <c r="B150">
        <v>8</v>
      </c>
    </row>
    <row r="151" spans="1:2">
      <c r="A151" t="s">
        <v>418</v>
      </c>
      <c r="B151">
        <v>9</v>
      </c>
    </row>
    <row r="152" spans="1:2">
      <c r="A152" t="s">
        <v>419</v>
      </c>
      <c r="B152">
        <v>10</v>
      </c>
    </row>
    <row r="153" spans="1:2">
      <c r="A153" t="s">
        <v>420</v>
      </c>
      <c r="B153">
        <v>11</v>
      </c>
    </row>
    <row r="154" spans="1:2">
      <c r="A154" t="s">
        <v>421</v>
      </c>
      <c r="B154">
        <v>12</v>
      </c>
    </row>
    <row r="155" spans="1:2">
      <c r="A155" t="s">
        <v>422</v>
      </c>
      <c r="B155">
        <v>13</v>
      </c>
    </row>
    <row r="156" spans="1:2">
      <c r="A156" t="s">
        <v>423</v>
      </c>
      <c r="B156">
        <v>14</v>
      </c>
    </row>
    <row r="157" spans="1:2">
      <c r="A157" t="s">
        <v>424</v>
      </c>
      <c r="B157">
        <v>15</v>
      </c>
    </row>
    <row r="158" spans="1:2">
      <c r="A158" t="s">
        <v>425</v>
      </c>
      <c r="B158">
        <v>16</v>
      </c>
    </row>
    <row r="159" spans="1:2">
      <c r="A159" t="s">
        <v>426</v>
      </c>
      <c r="B159">
        <v>17</v>
      </c>
    </row>
    <row r="160" spans="1:2">
      <c r="A160" t="s">
        <v>427</v>
      </c>
      <c r="B160">
        <v>18</v>
      </c>
    </row>
    <row r="161" spans="1:2">
      <c r="A161" t="s">
        <v>428</v>
      </c>
      <c r="B161">
        <v>19</v>
      </c>
    </row>
    <row r="162" spans="1:2">
      <c r="A162" t="s">
        <v>429</v>
      </c>
      <c r="B162">
        <v>20</v>
      </c>
    </row>
    <row r="163" spans="1:2">
      <c r="A163" t="s">
        <v>430</v>
      </c>
      <c r="B163">
        <v>21</v>
      </c>
    </row>
    <row r="164" spans="1:2">
      <c r="A164" t="s">
        <v>431</v>
      </c>
      <c r="B164">
        <v>22</v>
      </c>
    </row>
    <row r="165" spans="1:2">
      <c r="A165" t="s">
        <v>432</v>
      </c>
      <c r="B165">
        <v>23</v>
      </c>
    </row>
    <row r="166" spans="1:2">
      <c r="A166" t="s">
        <v>433</v>
      </c>
      <c r="B166">
        <v>24</v>
      </c>
    </row>
    <row r="167" spans="1:2">
      <c r="A167" t="s">
        <v>434</v>
      </c>
      <c r="B167">
        <v>25</v>
      </c>
    </row>
    <row r="168" spans="1:2">
      <c r="A168" t="s">
        <v>435</v>
      </c>
      <c r="B168">
        <v>26</v>
      </c>
    </row>
    <row r="169" spans="1:2">
      <c r="A169" t="s">
        <v>436</v>
      </c>
      <c r="B169">
        <v>27</v>
      </c>
    </row>
    <row r="170" spans="1:2">
      <c r="A170" t="s">
        <v>437</v>
      </c>
      <c r="B170">
        <v>28</v>
      </c>
    </row>
    <row r="171" spans="1:2">
      <c r="A171" t="s">
        <v>438</v>
      </c>
      <c r="B171">
        <v>29</v>
      </c>
    </row>
    <row r="172" spans="1:2">
      <c r="A172" t="s">
        <v>439</v>
      </c>
      <c r="B172">
        <v>31</v>
      </c>
    </row>
    <row r="173" spans="1:2">
      <c r="A173" t="s">
        <v>440</v>
      </c>
      <c r="B173">
        <v>32</v>
      </c>
    </row>
    <row r="174" spans="1:2">
      <c r="A174" t="s">
        <v>441</v>
      </c>
      <c r="B174">
        <v>33</v>
      </c>
    </row>
    <row r="175" spans="1:2">
      <c r="A175" t="s">
        <v>442</v>
      </c>
      <c r="B175">
        <v>34</v>
      </c>
    </row>
    <row r="176" spans="1:2">
      <c r="A176" t="s">
        <v>443</v>
      </c>
      <c r="B176">
        <v>35</v>
      </c>
    </row>
    <row r="177" spans="1:2">
      <c r="A177" t="s">
        <v>444</v>
      </c>
      <c r="B177">
        <v>36</v>
      </c>
    </row>
    <row r="178" spans="1:2">
      <c r="A178" t="s">
        <v>445</v>
      </c>
      <c r="B178">
        <v>37</v>
      </c>
    </row>
    <row r="179" spans="1:2">
      <c r="A179" t="s">
        <v>446</v>
      </c>
      <c r="B179">
        <v>38</v>
      </c>
    </row>
    <row r="180" spans="1:2">
      <c r="A180" t="s">
        <v>447</v>
      </c>
      <c r="B180">
        <v>39</v>
      </c>
    </row>
    <row r="181" spans="1:2">
      <c r="A181" t="s">
        <v>448</v>
      </c>
      <c r="B181">
        <v>40</v>
      </c>
    </row>
    <row r="182" spans="1:2">
      <c r="A182" t="s">
        <v>449</v>
      </c>
      <c r="B182">
        <v>41</v>
      </c>
    </row>
    <row r="183" spans="1:2">
      <c r="A183" t="s">
        <v>450</v>
      </c>
      <c r="B183">
        <v>42</v>
      </c>
    </row>
    <row r="184" spans="1:2">
      <c r="A184" t="s">
        <v>451</v>
      </c>
      <c r="B184">
        <v>43</v>
      </c>
    </row>
    <row r="185" spans="1:2">
      <c r="A185" t="s">
        <v>452</v>
      </c>
      <c r="B185">
        <v>44</v>
      </c>
    </row>
    <row r="186" spans="1:2">
      <c r="A186" t="s">
        <v>453</v>
      </c>
      <c r="B186">
        <v>45</v>
      </c>
    </row>
    <row r="187" spans="1:2">
      <c r="A187" t="s">
        <v>454</v>
      </c>
      <c r="B187">
        <v>46</v>
      </c>
    </row>
    <row r="188" spans="1:2">
      <c r="A188" t="s">
        <v>455</v>
      </c>
      <c r="B188">
        <v>47</v>
      </c>
    </row>
    <row r="189" spans="1:2">
      <c r="A189" t="s">
        <v>456</v>
      </c>
      <c r="B189">
        <v>48</v>
      </c>
    </row>
    <row r="190" spans="1:2">
      <c r="A190" t="s">
        <v>457</v>
      </c>
      <c r="B190">
        <v>49</v>
      </c>
    </row>
    <row r="191" spans="1:2">
      <c r="A191" t="s">
        <v>458</v>
      </c>
      <c r="B191">
        <v>50</v>
      </c>
    </row>
    <row r="192" spans="1:2">
      <c r="A192" t="s">
        <v>459</v>
      </c>
      <c r="B192">
        <v>51</v>
      </c>
    </row>
    <row r="193" spans="1:2">
      <c r="A193" t="s">
        <v>460</v>
      </c>
      <c r="B193">
        <v>52</v>
      </c>
    </row>
    <row r="194" spans="1:2">
      <c r="A194" t="s">
        <v>461</v>
      </c>
      <c r="B194">
        <v>54</v>
      </c>
    </row>
    <row r="195" spans="1:2">
      <c r="A195" t="s">
        <v>462</v>
      </c>
      <c r="B195">
        <v>55</v>
      </c>
    </row>
    <row r="196" spans="1:2">
      <c r="A196" t="s">
        <v>463</v>
      </c>
      <c r="B196">
        <v>56</v>
      </c>
    </row>
    <row r="197" spans="1:2">
      <c r="A197" t="s">
        <v>464</v>
      </c>
      <c r="B197">
        <v>57</v>
      </c>
    </row>
    <row r="198" spans="1:2">
      <c r="A198" t="s">
        <v>465</v>
      </c>
      <c r="B198">
        <v>58</v>
      </c>
    </row>
    <row r="199" spans="1:2">
      <c r="A199" t="s">
        <v>466</v>
      </c>
      <c r="B199">
        <v>59</v>
      </c>
    </row>
    <row r="200" spans="1:2">
      <c r="A200" t="s">
        <v>467</v>
      </c>
      <c r="B200" t="s">
        <v>468</v>
      </c>
    </row>
    <row r="201" spans="1:2">
      <c r="A201" t="s">
        <v>469</v>
      </c>
      <c r="B201" t="s">
        <v>470</v>
      </c>
    </row>
    <row r="202" spans="1:2">
      <c r="A202" t="s">
        <v>471</v>
      </c>
      <c r="B202" t="s">
        <v>472</v>
      </c>
    </row>
    <row r="203" spans="1:2">
      <c r="A203" t="s">
        <v>473</v>
      </c>
      <c r="B203" t="s">
        <v>474</v>
      </c>
    </row>
    <row r="204" spans="1:2">
      <c r="A204" t="s">
        <v>475</v>
      </c>
      <c r="B204" t="s">
        <v>476</v>
      </c>
    </row>
    <row r="205" spans="1:2">
      <c r="A205" t="s">
        <v>477</v>
      </c>
      <c r="B205" t="s">
        <v>478</v>
      </c>
    </row>
    <row r="206" spans="1:2">
      <c r="A206" t="s">
        <v>479</v>
      </c>
      <c r="B206" t="s">
        <v>480</v>
      </c>
    </row>
    <row r="207" spans="1:2">
      <c r="A207" t="s">
        <v>481</v>
      </c>
      <c r="B207" t="s">
        <v>482</v>
      </c>
    </row>
    <row r="208" spans="1:2">
      <c r="A208" t="s">
        <v>483</v>
      </c>
      <c r="B208" t="s">
        <v>484</v>
      </c>
    </row>
    <row r="209" spans="1:23">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c r="A210" t="s">
        <v>486</v>
      </c>
      <c r="B210">
        <v>1</v>
      </c>
    </row>
    <row r="211" spans="1:23">
      <c r="A211" t="s">
        <v>487</v>
      </c>
      <c r="B211">
        <v>2</v>
      </c>
    </row>
    <row r="212" spans="1:23">
      <c r="A212" t="s">
        <v>488</v>
      </c>
      <c r="B212">
        <v>3</v>
      </c>
    </row>
    <row r="213" spans="1:23">
      <c r="A213" t="s">
        <v>489</v>
      </c>
      <c r="B213">
        <v>4</v>
      </c>
    </row>
    <row r="214" spans="1:23">
      <c r="A214" t="s">
        <v>490</v>
      </c>
      <c r="B214">
        <v>5</v>
      </c>
    </row>
    <row r="215" spans="1:23">
      <c r="A215" t="s">
        <v>491</v>
      </c>
      <c r="B215">
        <v>6</v>
      </c>
    </row>
    <row r="216" spans="1:23">
      <c r="A216" t="s">
        <v>492</v>
      </c>
      <c r="B216">
        <v>7</v>
      </c>
    </row>
    <row r="217" spans="1:23">
      <c r="A217" t="s">
        <v>493</v>
      </c>
      <c r="B217">
        <v>9</v>
      </c>
    </row>
    <row r="218" spans="1:23">
      <c r="A218" t="s">
        <v>494</v>
      </c>
      <c r="B218">
        <v>10</v>
      </c>
    </row>
    <row r="219" spans="1:23">
      <c r="A219" t="s">
        <v>495</v>
      </c>
      <c r="B219">
        <v>11</v>
      </c>
    </row>
    <row r="220" spans="1:23">
      <c r="A220" t="s">
        <v>496</v>
      </c>
      <c r="B220">
        <v>12</v>
      </c>
    </row>
    <row r="221" spans="1:23">
      <c r="A221" t="s">
        <v>497</v>
      </c>
      <c r="B221">
        <v>13</v>
      </c>
    </row>
    <row r="222" spans="1:23">
      <c r="A222" t="s">
        <v>498</v>
      </c>
      <c r="B222">
        <v>14</v>
      </c>
    </row>
    <row r="223" spans="1:23">
      <c r="A223" t="s">
        <v>499</v>
      </c>
      <c r="B223">
        <v>15</v>
      </c>
    </row>
    <row r="224" spans="1:23">
      <c r="A224" t="s">
        <v>500</v>
      </c>
      <c r="B224">
        <v>16</v>
      </c>
    </row>
    <row r="225" spans="1:2">
      <c r="A225" t="s">
        <v>501</v>
      </c>
      <c r="B225">
        <v>17</v>
      </c>
    </row>
    <row r="226" spans="1:2">
      <c r="A226" t="s">
        <v>502</v>
      </c>
      <c r="B226">
        <v>18</v>
      </c>
    </row>
    <row r="227" spans="1:2">
      <c r="A227" t="s">
        <v>503</v>
      </c>
      <c r="B227">
        <v>19</v>
      </c>
    </row>
    <row r="228" spans="1:2">
      <c r="A228" t="s">
        <v>504</v>
      </c>
      <c r="B228">
        <v>20</v>
      </c>
    </row>
    <row r="229" spans="1:2">
      <c r="A229" t="s">
        <v>505</v>
      </c>
      <c r="B229">
        <v>21</v>
      </c>
    </row>
    <row r="230" spans="1:2">
      <c r="A230" t="s">
        <v>506</v>
      </c>
      <c r="B230">
        <v>22</v>
      </c>
    </row>
    <row r="231" spans="1:2">
      <c r="A231" t="s">
        <v>507</v>
      </c>
      <c r="B231">
        <v>23</v>
      </c>
    </row>
    <row r="232" spans="1:2">
      <c r="A232" t="s">
        <v>508</v>
      </c>
      <c r="B232">
        <v>24</v>
      </c>
    </row>
    <row r="233" spans="1:2">
      <c r="A233" t="s">
        <v>509</v>
      </c>
      <c r="B233">
        <v>25</v>
      </c>
    </row>
    <row r="234" spans="1:2">
      <c r="A234" t="s">
        <v>510</v>
      </c>
      <c r="B234">
        <v>26</v>
      </c>
    </row>
    <row r="235" spans="1:2">
      <c r="A235" t="s">
        <v>511</v>
      </c>
      <c r="B235">
        <v>27</v>
      </c>
    </row>
    <row r="236" spans="1:2">
      <c r="A236" t="s">
        <v>512</v>
      </c>
      <c r="B236">
        <v>28</v>
      </c>
    </row>
    <row r="237" spans="1:2">
      <c r="A237" t="s">
        <v>513</v>
      </c>
      <c r="B237">
        <v>29</v>
      </c>
    </row>
    <row r="238" spans="1:2">
      <c r="A238" t="s">
        <v>514</v>
      </c>
      <c r="B238">
        <v>30</v>
      </c>
    </row>
    <row r="239" spans="1:2">
      <c r="A239" t="s">
        <v>515</v>
      </c>
      <c r="B239">
        <v>31</v>
      </c>
    </row>
    <row r="240" spans="1:2">
      <c r="A240" t="s">
        <v>516</v>
      </c>
      <c r="B240">
        <v>33</v>
      </c>
    </row>
    <row r="241" spans="1:2">
      <c r="A241" t="s">
        <v>517</v>
      </c>
      <c r="B241">
        <v>34</v>
      </c>
    </row>
    <row r="242" spans="1:2">
      <c r="A242" t="s">
        <v>518</v>
      </c>
      <c r="B242">
        <v>35</v>
      </c>
    </row>
    <row r="243" spans="1:2">
      <c r="A243" t="s">
        <v>519</v>
      </c>
      <c r="B243">
        <v>36</v>
      </c>
    </row>
    <row r="244" spans="1:2">
      <c r="A244" t="s">
        <v>520</v>
      </c>
      <c r="B244">
        <v>37</v>
      </c>
    </row>
    <row r="245" spans="1:2">
      <c r="A245" t="s">
        <v>521</v>
      </c>
      <c r="B245">
        <v>38</v>
      </c>
    </row>
    <row r="246" spans="1:2">
      <c r="A246" t="s">
        <v>522</v>
      </c>
      <c r="B246">
        <v>39</v>
      </c>
    </row>
    <row r="247" spans="1:2">
      <c r="A247" t="s">
        <v>523</v>
      </c>
      <c r="B247">
        <v>40</v>
      </c>
    </row>
    <row r="248" spans="1:2">
      <c r="A248" t="s">
        <v>524</v>
      </c>
      <c r="B248">
        <v>41</v>
      </c>
    </row>
    <row r="249" spans="1:2">
      <c r="A249" t="s">
        <v>525</v>
      </c>
      <c r="B249">
        <v>42</v>
      </c>
    </row>
    <row r="250" spans="1:2">
      <c r="A250" t="s">
        <v>526</v>
      </c>
      <c r="B250">
        <v>43</v>
      </c>
    </row>
    <row r="251" spans="1:2">
      <c r="A251" t="s">
        <v>527</v>
      </c>
      <c r="B251">
        <v>44</v>
      </c>
    </row>
    <row r="252" spans="1:2">
      <c r="A252" t="s">
        <v>528</v>
      </c>
      <c r="B252">
        <v>45</v>
      </c>
    </row>
    <row r="253" spans="1:2">
      <c r="A253" t="s">
        <v>529</v>
      </c>
      <c r="B253">
        <v>46</v>
      </c>
    </row>
    <row r="254" spans="1:2">
      <c r="A254" t="s">
        <v>530</v>
      </c>
      <c r="B254">
        <v>47</v>
      </c>
    </row>
    <row r="255" spans="1:2">
      <c r="A255" t="s">
        <v>531</v>
      </c>
      <c r="B255">
        <v>48</v>
      </c>
    </row>
    <row r="256" spans="1:2">
      <c r="A256" t="s">
        <v>532</v>
      </c>
      <c r="B256">
        <v>49</v>
      </c>
    </row>
    <row r="257" spans="1:2">
      <c r="A257" t="s">
        <v>533</v>
      </c>
      <c r="B257">
        <v>50</v>
      </c>
    </row>
    <row r="258" spans="1:2">
      <c r="A258" t="s">
        <v>534</v>
      </c>
      <c r="B258">
        <v>51</v>
      </c>
    </row>
    <row r="259" spans="1:2">
      <c r="A259" t="s">
        <v>535</v>
      </c>
      <c r="B259">
        <v>52</v>
      </c>
    </row>
    <row r="260" spans="1:2">
      <c r="A260" t="s">
        <v>536</v>
      </c>
      <c r="B260">
        <v>53</v>
      </c>
    </row>
    <row r="261" spans="1:2">
      <c r="A261" t="s">
        <v>537</v>
      </c>
      <c r="B261">
        <v>54</v>
      </c>
    </row>
    <row r="262" spans="1:2">
      <c r="A262" t="s">
        <v>538</v>
      </c>
      <c r="B262">
        <v>55</v>
      </c>
    </row>
    <row r="263" spans="1:2">
      <c r="A263" t="s">
        <v>539</v>
      </c>
      <c r="B263">
        <v>57</v>
      </c>
    </row>
    <row r="264" spans="1:2">
      <c r="A264" t="s">
        <v>540</v>
      </c>
      <c r="B264">
        <v>58</v>
      </c>
    </row>
    <row r="265" spans="1:2">
      <c r="A265" t="s">
        <v>541</v>
      </c>
      <c r="B265">
        <v>59</v>
      </c>
    </row>
    <row r="266" spans="1:2">
      <c r="A266" t="s">
        <v>542</v>
      </c>
      <c r="B266">
        <v>60</v>
      </c>
    </row>
    <row r="267" spans="1:2">
      <c r="A267" t="s">
        <v>543</v>
      </c>
      <c r="B267">
        <v>62</v>
      </c>
    </row>
    <row r="268" spans="1:2">
      <c r="A268" t="s">
        <v>544</v>
      </c>
      <c r="B268">
        <v>63</v>
      </c>
    </row>
    <row r="269" spans="1:2">
      <c r="A269" t="s">
        <v>545</v>
      </c>
      <c r="B269">
        <v>64</v>
      </c>
    </row>
    <row r="270" spans="1:2">
      <c r="A270" t="s">
        <v>546</v>
      </c>
      <c r="B270">
        <v>65</v>
      </c>
    </row>
    <row r="271" spans="1:2">
      <c r="A271" t="s">
        <v>547</v>
      </c>
      <c r="B271">
        <v>66</v>
      </c>
    </row>
    <row r="272" spans="1:2">
      <c r="A272" t="s">
        <v>548</v>
      </c>
      <c r="B272">
        <v>68</v>
      </c>
    </row>
    <row r="273" spans="1:24">
      <c r="A273" t="s">
        <v>549</v>
      </c>
      <c r="B273">
        <v>69</v>
      </c>
    </row>
    <row r="274" spans="1:24">
      <c r="A274" t="s">
        <v>550</v>
      </c>
      <c r="B274">
        <v>70</v>
      </c>
    </row>
    <row r="275" spans="1:24">
      <c r="A275" t="s">
        <v>551</v>
      </c>
      <c r="B275">
        <v>71</v>
      </c>
    </row>
    <row r="276" spans="1:24">
      <c r="A276" t="s">
        <v>552</v>
      </c>
      <c r="B276">
        <v>72</v>
      </c>
    </row>
    <row r="277" spans="1:24">
      <c r="A277" t="s">
        <v>553</v>
      </c>
      <c r="B277" t="s">
        <v>554</v>
      </c>
    </row>
    <row r="278" spans="1:24">
      <c r="A278" t="s">
        <v>555</v>
      </c>
      <c r="B278" t="s">
        <v>556</v>
      </c>
    </row>
    <row r="279" spans="1:24">
      <c r="A279" t="s">
        <v>557</v>
      </c>
      <c r="B279" t="s">
        <v>558</v>
      </c>
    </row>
    <row r="280" spans="1:24">
      <c r="A280" t="s">
        <v>559</v>
      </c>
      <c r="B280" t="s">
        <v>560</v>
      </c>
    </row>
    <row r="281" spans="1:24">
      <c r="A281" t="s">
        <v>561</v>
      </c>
      <c r="B281" t="s">
        <v>562</v>
      </c>
    </row>
    <row r="282" spans="1:24">
      <c r="A282" t="s">
        <v>563</v>
      </c>
      <c r="B282" t="s">
        <v>564</v>
      </c>
    </row>
    <row r="283" spans="1:24">
      <c r="A283" t="s">
        <v>565</v>
      </c>
      <c r="B283" t="s">
        <v>566</v>
      </c>
    </row>
    <row r="284" spans="1:24">
      <c r="A284" t="s">
        <v>567</v>
      </c>
      <c r="B284" t="s">
        <v>568</v>
      </c>
    </row>
    <row r="285" spans="1:24">
      <c r="A285" t="s">
        <v>569</v>
      </c>
      <c r="B285" t="s">
        <v>570</v>
      </c>
    </row>
    <row r="286" spans="1:24">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AK5" activePane="bottomRight" state="frozen"/>
      <selection pane="topRight" activeCell="C1" sqref="C1"/>
      <selection pane="bottomLeft" activeCell="A5" sqref="A5"/>
      <selection pane="bottomRight" activeCell="AW22" sqref="AW22"/>
    </sheetView>
  </sheetViews>
  <sheetFormatPr baseColWidth="10" defaultColWidth="8.83203125" defaultRowHeight="15" outlineLevelRow="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c r="A1" s="76" t="s">
        <v>586</v>
      </c>
      <c r="B1" s="62"/>
      <c r="C1" s="62"/>
      <c r="D1" s="62"/>
      <c r="E1" s="62"/>
      <c r="F1" s="62"/>
      <c r="G1" s="62"/>
      <c r="I1" s="70" t="s">
        <v>592</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c r="A5" s="52" t="s">
        <v>231</v>
      </c>
      <c r="B5" s="52" t="s">
        <v>51</v>
      </c>
      <c r="C5" s="9" t="s">
        <v>232</v>
      </c>
      <c r="D5" s="52">
        <v>238146391</v>
      </c>
      <c r="E5" s="9">
        <v>10</v>
      </c>
      <c r="F5" s="9">
        <v>32</v>
      </c>
      <c r="G5" s="9">
        <v>30</v>
      </c>
      <c r="I5" s="10">
        <f t="shared" ref="I5:I39" si="0">IF(OR(ISBLANK(S5),ISBLANK(G5)),"·",S5*G5/F5/1000000)</f>
        <v>1.0420199999999999</v>
      </c>
      <c r="J5" s="11">
        <f t="shared" ref="J5:J39" si="1">IF(ISBLANK(S5),"·",S5/D5)</f>
        <v>4.6672468784126984E-3</v>
      </c>
      <c r="K5" s="11">
        <f t="shared" ref="K5:K39" si="2">IF(N5="","·",N5/D5)</f>
        <v>4.0543129624836518E-3</v>
      </c>
      <c r="L5" s="11">
        <f t="shared" ref="L5:L39" si="3">IF(T5="","·",T5/D5)</f>
        <v>2.5510359298285567E-3</v>
      </c>
      <c r="M5" s="11">
        <f t="shared" ref="M5:M39" si="4">IF(ISBLANK(V5),"·",V5/D5)</f>
        <v>6.1239643140340516E-4</v>
      </c>
      <c r="N5" s="52">
        <f t="shared" ref="N5:N39" si="5">IF(OR(ISBLANK(T5),ISBLANK(U5)),"",T5+U5)</f>
        <v>965520</v>
      </c>
      <c r="O5" s="11">
        <v>16</v>
      </c>
      <c r="P5" s="12">
        <v>23582209</v>
      </c>
      <c r="Q5" s="12">
        <v>736944.03125</v>
      </c>
      <c r="R5" s="12">
        <v>16984.9375</v>
      </c>
      <c r="S5" s="13">
        <v>1111488</v>
      </c>
      <c r="T5" s="13">
        <v>607520</v>
      </c>
      <c r="U5" s="13">
        <v>358000</v>
      </c>
      <c r="V5" s="13">
        <v>145840</v>
      </c>
      <c r="W5" s="14">
        <v>66.845706000000007</v>
      </c>
      <c r="X5" s="14">
        <v>68.619974999999997</v>
      </c>
      <c r="Y5" s="14">
        <v>31.719308999999999</v>
      </c>
      <c r="Z5" s="14">
        <v>44.569031000000003</v>
      </c>
      <c r="AA5" s="14">
        <v>44.236403000000003</v>
      </c>
      <c r="AB5" s="15">
        <v>3641</v>
      </c>
      <c r="AC5" s="15">
        <v>2952.7</v>
      </c>
      <c r="AD5" s="15">
        <v>64.093999999999994</v>
      </c>
      <c r="AE5" s="15">
        <v>14.217000000000001</v>
      </c>
      <c r="AG5" s="10">
        <f t="shared" ref="AG5:AG39" si="6">IF(OR(ISBLANK(AQ5),ISBLANK(G5)),"·",AQ5*G5/F5/1000000)</f>
        <v>1.0420199999999999</v>
      </c>
      <c r="AH5" s="11">
        <f t="shared" ref="AH5:AH39" si="7">IF(ISBLANK(AQ5),"·",AQ5/D5)</f>
        <v>4.6672468784126984E-3</v>
      </c>
      <c r="AI5" s="11">
        <f t="shared" ref="AI5:AI39" si="8">IF(AL5="","·",AL5/D5)</f>
        <v>4.0543129624836518E-3</v>
      </c>
      <c r="AJ5" s="11">
        <f t="shared" ref="AJ5:AJ39" si="9">IF(AR5="","·",AR5/D5)</f>
        <v>2.5510359298285567E-3</v>
      </c>
      <c r="AK5" s="11">
        <f t="shared" ref="AK5:AK39" si="10">IF(ISBLANK(AT5),"·",AT5/D5)</f>
        <v>6.1239643140340516E-4</v>
      </c>
      <c r="AL5" s="52">
        <f t="shared" ref="AL5:AL39" si="11">IF(OR(ISBLANK(AR5),ISBLANK(AS5)),"",AR5+AS5)</f>
        <v>965520</v>
      </c>
      <c r="AM5" s="11">
        <v>16</v>
      </c>
      <c r="AN5" s="12">
        <v>23582209</v>
      </c>
      <c r="AO5" s="12">
        <v>736944.03125</v>
      </c>
      <c r="AP5" s="12">
        <v>16984.9375</v>
      </c>
      <c r="AQ5" s="13">
        <v>1111488</v>
      </c>
      <c r="AR5" s="13">
        <v>607520</v>
      </c>
      <c r="AS5" s="13">
        <v>358000</v>
      </c>
      <c r="AT5" s="13">
        <v>145840</v>
      </c>
      <c r="AU5" s="14">
        <v>66.845706000000007</v>
      </c>
      <c r="AV5" s="14">
        <v>68.619974999999997</v>
      </c>
      <c r="AW5" s="14">
        <v>31.719308999999999</v>
      </c>
      <c r="AX5" s="14">
        <v>44.569031000000003</v>
      </c>
      <c r="AY5" s="14">
        <v>44.236403000000003</v>
      </c>
      <c r="AZ5" s="15">
        <v>3515.52</v>
      </c>
      <c r="BA5" s="15">
        <v>3086.19</v>
      </c>
      <c r="BB5" s="15">
        <v>65.875</v>
      </c>
      <c r="BC5" s="15">
        <v>15.441000000000001</v>
      </c>
      <c r="BE5" s="50">
        <f t="shared" ref="BE5:BE43" si="12">AI5/K5</f>
        <v>1</v>
      </c>
      <c r="BF5" s="16">
        <f t="shared" ref="BF5:BF39" si="13">(AP5/AO5) - (R5/Q5)</f>
        <v>0</v>
      </c>
      <c r="BG5" s="16">
        <f t="shared" ref="BG5:BG39" si="14">(AL5/AQ5) - (N5/S5)</f>
        <v>0</v>
      </c>
      <c r="BH5" s="16">
        <f t="array" ref="BH5">AVERAGE(AL5:AL9/AQ5:AQ9) - AVERAGE(N5:N9/S5:S9)</f>
        <v>0</v>
      </c>
      <c r="BJ5" s="50">
        <f>IF( OR(ISBLANK(N5:N9),ISBLANK(AL5:AL9), ISBLANK(W5:W9),ISBLANK(AU5:AU9)), "·", bdRateExtend( N5:N9,W5:W9, AL5:AL9,AU5:AU9))</f>
        <v>0</v>
      </c>
      <c r="BK5" s="50">
        <f>IF( OR(ISBLANK(N5:N9),ISBLANK(AL5:AL9), ISBLANK(X5:X9),ISBLANK(AV5:AV9)), "·", bdRateExtend( N5:N9,X5:X9, AL5:AL9,AV5:AV9))</f>
        <v>0</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0</v>
      </c>
      <c r="BQ5" s="50">
        <f>IF( OR(ISBLANK(S5:S9),ISBLANK(AQ5:AQ9), ISBLANK(X5:X9),ISBLANK(AV5:AV9)), "·", bdRateExtend( S5:S9,X5:X9, AQ5:AQ9,AV5:AV9))</f>
        <v>0</v>
      </c>
      <c r="BR5" s="50">
        <f>IF( OR(ISBLANK(S5:S9),ISBLANK(AQ5:AQ9), ISBLANK(Y5:Y9),ISBLANK(AW5:AW9)), "·", bdRateExtend( S5:S9,Y5:Y9, AQ5:AQ9,AW5:AW9))</f>
        <v>0</v>
      </c>
      <c r="BS5" s="50">
        <f>IF( OR(ISBLANK(S5:S9),ISBLANK(AQ5:AQ9), ISBLANK(Z5:Z9),ISBLANK(AX5:AX9)), "·", bdRateExtend( S5:S9,Z5:Z9, AQ5:AQ9,AX5:AX9))</f>
        <v>0</v>
      </c>
      <c r="BT5" s="50">
        <f>IF( OR(ISBLANK(S5:S9),ISBLANK(AQ5:AQ9), ISBLANK(AA5:AA9),ISBLANK(AY5:AY9)), "·", bdRateExtend( S5:S9,AA5:AA9, AQ5:AQ9,AY5:AY9))</f>
        <v>0</v>
      </c>
      <c r="BV5" s="58">
        <f>AN5-P5</f>
        <v>0</v>
      </c>
      <c r="BW5" s="58">
        <f t="shared" ref="BW5:CG20" si="15">AO5-Q5</f>
        <v>0</v>
      </c>
      <c r="BX5" s="58">
        <f t="shared" si="15"/>
        <v>0</v>
      </c>
      <c r="BY5" s="58">
        <f t="shared" si="15"/>
        <v>0</v>
      </c>
      <c r="BZ5" s="58">
        <f t="shared" si="15"/>
        <v>0</v>
      </c>
      <c r="CA5" s="58">
        <f t="shared" si="15"/>
        <v>0</v>
      </c>
      <c r="CB5" s="58">
        <f t="shared" si="15"/>
        <v>0</v>
      </c>
      <c r="CC5" s="58">
        <f t="shared" si="15"/>
        <v>0</v>
      </c>
      <c r="CD5" s="58">
        <f t="shared" si="15"/>
        <v>0</v>
      </c>
      <c r="CE5" s="58">
        <f t="shared" si="15"/>
        <v>0</v>
      </c>
      <c r="CF5" s="58">
        <f t="shared" si="15"/>
        <v>0</v>
      </c>
      <c r="CG5" s="58">
        <f t="shared" si="15"/>
        <v>0</v>
      </c>
      <c r="CJ5" t="s">
        <v>233</v>
      </c>
    </row>
    <row r="6" spans="1:88" outlineLevel="1">
      <c r="A6" s="17"/>
      <c r="B6" s="17" t="s">
        <v>51</v>
      </c>
      <c r="C6" s="18" t="s">
        <v>234</v>
      </c>
      <c r="D6" s="17">
        <v>238146391</v>
      </c>
      <c r="E6" s="18">
        <v>10</v>
      </c>
      <c r="F6" s="18">
        <v>32</v>
      </c>
      <c r="G6" s="18">
        <v>30</v>
      </c>
      <c r="I6" s="19">
        <f t="shared" si="0"/>
        <v>1.3546425</v>
      </c>
      <c r="J6" s="20">
        <f t="shared" si="1"/>
        <v>6.0674948460587843E-3</v>
      </c>
      <c r="K6" s="20">
        <f t="shared" si="2"/>
        <v>4.9445888936439936E-3</v>
      </c>
      <c r="L6" s="20">
        <f t="shared" si="3"/>
        <v>3.4412782682060462E-3</v>
      </c>
      <c r="M6" s="20">
        <f t="shared" si="4"/>
        <v>1.1223684678891481E-3</v>
      </c>
      <c r="N6" s="17">
        <f t="shared" si="5"/>
        <v>1177536</v>
      </c>
      <c r="O6" s="20">
        <v>16</v>
      </c>
      <c r="P6" s="21">
        <v>24777501</v>
      </c>
      <c r="Q6" s="21">
        <v>774296.90625</v>
      </c>
      <c r="R6" s="21">
        <v>19924.3125</v>
      </c>
      <c r="S6" s="22">
        <v>1444952</v>
      </c>
      <c r="T6" s="22">
        <v>819528</v>
      </c>
      <c r="U6" s="22">
        <v>358008</v>
      </c>
      <c r="V6" s="22">
        <v>267288</v>
      </c>
      <c r="W6" s="23">
        <v>68.552897000000002</v>
      </c>
      <c r="X6" s="23">
        <v>70.622062</v>
      </c>
      <c r="Y6" s="23">
        <v>33.797455999999997</v>
      </c>
      <c r="Z6" s="23">
        <v>45.493313000000001</v>
      </c>
      <c r="AA6" s="23">
        <v>45.153953000000001</v>
      </c>
      <c r="AB6" s="24">
        <v>3717.33</v>
      </c>
      <c r="AC6" s="24">
        <v>3154.29</v>
      </c>
      <c r="AD6" s="24">
        <v>65.477000000000004</v>
      </c>
      <c r="AE6" s="24">
        <v>15.199</v>
      </c>
      <c r="AG6" s="19">
        <f t="shared" si="6"/>
        <v>1.3546425</v>
      </c>
      <c r="AH6" s="20">
        <f t="shared" si="7"/>
        <v>6.0674948460587843E-3</v>
      </c>
      <c r="AI6" s="20">
        <f t="shared" si="8"/>
        <v>4.9445888936439936E-3</v>
      </c>
      <c r="AJ6" s="20">
        <f t="shared" si="9"/>
        <v>3.4412782682060462E-3</v>
      </c>
      <c r="AK6" s="20">
        <f t="shared" si="10"/>
        <v>1.1223684678891481E-3</v>
      </c>
      <c r="AL6" s="17">
        <f t="shared" si="11"/>
        <v>1177536</v>
      </c>
      <c r="AM6" s="20">
        <v>16</v>
      </c>
      <c r="AN6" s="21">
        <v>24777501</v>
      </c>
      <c r="AO6" s="21">
        <v>774296.90625</v>
      </c>
      <c r="AP6" s="21">
        <v>19924.3125</v>
      </c>
      <c r="AQ6" s="22">
        <v>1444952</v>
      </c>
      <c r="AR6" s="22">
        <v>819528</v>
      </c>
      <c r="AS6" s="22">
        <v>358008</v>
      </c>
      <c r="AT6" s="22">
        <v>267288</v>
      </c>
      <c r="AU6" s="23">
        <v>68.552897000000002</v>
      </c>
      <c r="AV6" s="23">
        <v>70.622062</v>
      </c>
      <c r="AW6" s="23">
        <v>33.797455999999997</v>
      </c>
      <c r="AX6" s="23">
        <v>45.493313000000001</v>
      </c>
      <c r="AY6" s="23">
        <v>45.153953000000001</v>
      </c>
      <c r="AZ6" s="24">
        <v>4057.48</v>
      </c>
      <c r="BA6" s="24">
        <v>4006.89</v>
      </c>
      <c r="BB6" s="24">
        <v>72.433000000000007</v>
      </c>
      <c r="BC6" s="24">
        <v>19.98</v>
      </c>
      <c r="BE6" s="49">
        <f t="shared" si="12"/>
        <v>1</v>
      </c>
      <c r="BF6" s="25">
        <f t="shared" si="13"/>
        <v>0</v>
      </c>
      <c r="BG6" s="25">
        <f t="shared" si="14"/>
        <v>0</v>
      </c>
      <c r="BH6" s="25"/>
      <c r="BJ6" s="49"/>
      <c r="BK6" s="49"/>
      <c r="BL6" s="49"/>
      <c r="BM6" s="49"/>
      <c r="BN6" s="49"/>
      <c r="BP6" s="49"/>
      <c r="BQ6" s="49"/>
      <c r="BR6" s="49"/>
      <c r="BS6" s="49"/>
      <c r="BT6" s="49"/>
      <c r="BV6" s="58">
        <f t="shared" ref="BV6:CG39" si="16">AN6-P6</f>
        <v>0</v>
      </c>
      <c r="BW6" s="58">
        <f t="shared" si="15"/>
        <v>0</v>
      </c>
      <c r="BX6" s="58">
        <f t="shared" si="15"/>
        <v>0</v>
      </c>
      <c r="BY6" s="58">
        <f t="shared" si="15"/>
        <v>0</v>
      </c>
      <c r="BZ6" s="58">
        <f t="shared" si="15"/>
        <v>0</v>
      </c>
      <c r="CA6" s="58">
        <f t="shared" si="15"/>
        <v>0</v>
      </c>
      <c r="CB6" s="58">
        <f t="shared" si="15"/>
        <v>0</v>
      </c>
      <c r="CC6" s="58">
        <f t="shared" si="15"/>
        <v>0</v>
      </c>
      <c r="CD6" s="58">
        <f t="shared" si="15"/>
        <v>0</v>
      </c>
      <c r="CE6" s="58">
        <f t="shared" si="15"/>
        <v>0</v>
      </c>
      <c r="CF6" s="58">
        <f t="shared" si="15"/>
        <v>0</v>
      </c>
      <c r="CG6" s="58">
        <f t="shared" si="15"/>
        <v>0</v>
      </c>
      <c r="CJ6" t="s">
        <v>233</v>
      </c>
    </row>
    <row r="7" spans="1:88" outlineLevel="1">
      <c r="A7" s="52"/>
      <c r="B7" s="52" t="s">
        <v>51</v>
      </c>
      <c r="C7" s="9" t="s">
        <v>235</v>
      </c>
      <c r="D7" s="52">
        <v>238146391</v>
      </c>
      <c r="E7" s="9">
        <v>10</v>
      </c>
      <c r="F7" s="9">
        <v>32</v>
      </c>
      <c r="G7" s="9">
        <v>30</v>
      </c>
      <c r="I7" s="10">
        <f t="shared" si="0"/>
        <v>1.8748724999999999</v>
      </c>
      <c r="J7" s="11">
        <f t="shared" si="1"/>
        <v>8.3976246358484601E-3</v>
      </c>
      <c r="K7" s="11">
        <f t="shared" si="2"/>
        <v>6.1432129786086068E-3</v>
      </c>
      <c r="L7" s="11">
        <f t="shared" si="3"/>
        <v>4.6399023531706598E-3</v>
      </c>
      <c r="M7" s="11">
        <f t="shared" si="4"/>
        <v>2.2538741727142109E-3</v>
      </c>
      <c r="N7" s="52">
        <f t="shared" si="5"/>
        <v>1462984</v>
      </c>
      <c r="O7" s="11">
        <v>16</v>
      </c>
      <c r="P7" s="12">
        <v>24923704</v>
      </c>
      <c r="Q7" s="12">
        <v>778865.75</v>
      </c>
      <c r="R7" s="12">
        <v>21104.875</v>
      </c>
      <c r="S7" s="13">
        <v>1999864</v>
      </c>
      <c r="T7" s="13">
        <v>1104976</v>
      </c>
      <c r="U7" s="13">
        <v>358008</v>
      </c>
      <c r="V7" s="13">
        <v>536752</v>
      </c>
      <c r="W7" s="14">
        <v>69.837434000000002</v>
      </c>
      <c r="X7" s="14">
        <v>72.274171999999993</v>
      </c>
      <c r="Y7" s="14">
        <v>36.189746999999997</v>
      </c>
      <c r="Z7" s="14">
        <v>46.884202999999999</v>
      </c>
      <c r="AA7" s="14">
        <v>46.664577999999999</v>
      </c>
      <c r="AB7" s="15">
        <v>3382.07</v>
      </c>
      <c r="AC7" s="15">
        <v>3213.01</v>
      </c>
      <c r="AD7" s="15">
        <v>64.808999999999997</v>
      </c>
      <c r="AE7" s="15">
        <v>14.382999999999999</v>
      </c>
      <c r="AG7" s="10">
        <f t="shared" si="6"/>
        <v>1.8748724999999999</v>
      </c>
      <c r="AH7" s="11">
        <f t="shared" si="7"/>
        <v>8.3976246358484601E-3</v>
      </c>
      <c r="AI7" s="11">
        <f t="shared" si="8"/>
        <v>6.1432129786086068E-3</v>
      </c>
      <c r="AJ7" s="11">
        <f t="shared" si="9"/>
        <v>4.6399023531706598E-3</v>
      </c>
      <c r="AK7" s="11">
        <f t="shared" si="10"/>
        <v>2.2538741727142109E-3</v>
      </c>
      <c r="AL7" s="52">
        <f t="shared" si="11"/>
        <v>1462984</v>
      </c>
      <c r="AM7" s="11">
        <v>16</v>
      </c>
      <c r="AN7" s="12">
        <v>24923704</v>
      </c>
      <c r="AO7" s="12">
        <v>778865.75</v>
      </c>
      <c r="AP7" s="12">
        <v>21104.875</v>
      </c>
      <c r="AQ7" s="13">
        <v>1999864</v>
      </c>
      <c r="AR7" s="13">
        <v>1104976</v>
      </c>
      <c r="AS7" s="13">
        <v>358008</v>
      </c>
      <c r="AT7" s="13">
        <v>536752</v>
      </c>
      <c r="AU7" s="14">
        <v>69.837434000000002</v>
      </c>
      <c r="AV7" s="14">
        <v>72.274171999999993</v>
      </c>
      <c r="AW7" s="14">
        <v>36.189746999999997</v>
      </c>
      <c r="AX7" s="14">
        <v>46.884202999999999</v>
      </c>
      <c r="AY7" s="14">
        <v>46.664577999999999</v>
      </c>
      <c r="AZ7" s="15">
        <v>3159.43</v>
      </c>
      <c r="BA7" s="15">
        <v>3022.55</v>
      </c>
      <c r="BB7" s="15">
        <v>61.27</v>
      </c>
      <c r="BC7" s="15">
        <v>13.500999999999999</v>
      </c>
      <c r="BE7" s="50">
        <f t="shared" si="12"/>
        <v>1</v>
      </c>
      <c r="BF7" s="16">
        <f t="shared" si="13"/>
        <v>0</v>
      </c>
      <c r="BG7" s="16">
        <f t="shared" si="14"/>
        <v>0</v>
      </c>
      <c r="BH7" s="16"/>
      <c r="BJ7" s="50"/>
      <c r="BK7" s="50"/>
      <c r="BL7" s="50"/>
      <c r="BM7" s="50"/>
      <c r="BN7" s="50"/>
      <c r="BP7" s="50"/>
      <c r="BQ7" s="50"/>
      <c r="BR7" s="50"/>
      <c r="BS7" s="50"/>
      <c r="BT7" s="50"/>
      <c r="BV7" s="58">
        <f t="shared" si="16"/>
        <v>0</v>
      </c>
      <c r="BW7" s="58">
        <f t="shared" si="15"/>
        <v>0</v>
      </c>
      <c r="BX7" s="58">
        <f t="shared" si="15"/>
        <v>0</v>
      </c>
      <c r="BY7" s="58">
        <f t="shared" si="15"/>
        <v>0</v>
      </c>
      <c r="BZ7" s="58">
        <f t="shared" si="15"/>
        <v>0</v>
      </c>
      <c r="CA7" s="58">
        <f t="shared" si="15"/>
        <v>0</v>
      </c>
      <c r="CB7" s="58">
        <f t="shared" si="15"/>
        <v>0</v>
      </c>
      <c r="CC7" s="58">
        <f t="shared" si="15"/>
        <v>0</v>
      </c>
      <c r="CD7" s="58">
        <f t="shared" si="15"/>
        <v>0</v>
      </c>
      <c r="CE7" s="58">
        <f t="shared" si="15"/>
        <v>0</v>
      </c>
      <c r="CF7" s="58">
        <f t="shared" si="15"/>
        <v>0</v>
      </c>
      <c r="CG7" s="58">
        <f t="shared" si="15"/>
        <v>0</v>
      </c>
      <c r="CJ7" t="s">
        <v>233</v>
      </c>
    </row>
    <row r="8" spans="1:88" outlineLevel="1">
      <c r="A8" s="17"/>
      <c r="B8" s="17" t="s">
        <v>51</v>
      </c>
      <c r="C8" s="18" t="s">
        <v>236</v>
      </c>
      <c r="D8" s="17">
        <v>238146391</v>
      </c>
      <c r="E8" s="18">
        <v>10</v>
      </c>
      <c r="F8" s="18">
        <v>32</v>
      </c>
      <c r="G8" s="18">
        <v>30</v>
      </c>
      <c r="I8" s="19">
        <f t="shared" si="0"/>
        <v>3.0923474999999998</v>
      </c>
      <c r="J8" s="20">
        <f t="shared" si="1"/>
        <v>1.3850741076315534E-2</v>
      </c>
      <c r="K8" s="20">
        <f t="shared" si="2"/>
        <v>8.8576777970151982E-3</v>
      </c>
      <c r="L8" s="20">
        <f t="shared" si="3"/>
        <v>7.3544007643601035E-3</v>
      </c>
      <c r="M8" s="20">
        <f t="shared" si="4"/>
        <v>4.9925257947746942E-3</v>
      </c>
      <c r="N8" s="17">
        <f t="shared" si="5"/>
        <v>2109424</v>
      </c>
      <c r="O8" s="20">
        <v>16</v>
      </c>
      <c r="P8" s="21">
        <v>25894561</v>
      </c>
      <c r="Q8" s="21">
        <v>809205.03125</v>
      </c>
      <c r="R8" s="21">
        <v>24362.65625</v>
      </c>
      <c r="S8" s="22">
        <v>3298504</v>
      </c>
      <c r="T8" s="22">
        <v>1751424</v>
      </c>
      <c r="U8" s="22">
        <v>358000</v>
      </c>
      <c r="V8" s="22">
        <v>1188952</v>
      </c>
      <c r="W8" s="23">
        <v>70.899381000000005</v>
      </c>
      <c r="X8" s="23">
        <v>73.460274999999996</v>
      </c>
      <c r="Y8" s="23">
        <v>38.671903</v>
      </c>
      <c r="Z8" s="23">
        <v>48.122497000000003</v>
      </c>
      <c r="AA8" s="23">
        <v>48.141522000000002</v>
      </c>
      <c r="AB8" s="24">
        <v>4273.3500000000004</v>
      </c>
      <c r="AC8" s="24">
        <v>4478.22</v>
      </c>
      <c r="AD8" s="24">
        <v>81.366</v>
      </c>
      <c r="AE8" s="24">
        <v>18.864000000000001</v>
      </c>
      <c r="AG8" s="19">
        <f t="shared" si="6"/>
        <v>3.0923474999999998</v>
      </c>
      <c r="AH8" s="20">
        <f t="shared" si="7"/>
        <v>1.3850741076315534E-2</v>
      </c>
      <c r="AI8" s="20">
        <f t="shared" si="8"/>
        <v>8.8576777970151982E-3</v>
      </c>
      <c r="AJ8" s="20">
        <f t="shared" si="9"/>
        <v>7.3544007643601035E-3</v>
      </c>
      <c r="AK8" s="20">
        <f t="shared" si="10"/>
        <v>4.9925257947746942E-3</v>
      </c>
      <c r="AL8" s="17">
        <f t="shared" si="11"/>
        <v>2109424</v>
      </c>
      <c r="AM8" s="20">
        <v>16</v>
      </c>
      <c r="AN8" s="21">
        <v>25894561</v>
      </c>
      <c r="AO8" s="21">
        <v>809205.03125</v>
      </c>
      <c r="AP8" s="21">
        <v>24362.65625</v>
      </c>
      <c r="AQ8" s="22">
        <v>3298504</v>
      </c>
      <c r="AR8" s="22">
        <v>1751424</v>
      </c>
      <c r="AS8" s="22">
        <v>358000</v>
      </c>
      <c r="AT8" s="22">
        <v>1188952</v>
      </c>
      <c r="AU8" s="23">
        <v>70.899381000000005</v>
      </c>
      <c r="AV8" s="23">
        <v>73.460274999999996</v>
      </c>
      <c r="AW8" s="23">
        <v>38.671903</v>
      </c>
      <c r="AX8" s="23">
        <v>48.122497000000003</v>
      </c>
      <c r="AY8" s="23">
        <v>48.141522000000002</v>
      </c>
      <c r="AZ8" s="24">
        <v>3157.37</v>
      </c>
      <c r="BA8" s="24">
        <v>3282.29</v>
      </c>
      <c r="BB8" s="24">
        <v>63.543999999999997</v>
      </c>
      <c r="BC8" s="24">
        <v>14.504</v>
      </c>
      <c r="BE8" s="49">
        <f t="shared" si="12"/>
        <v>1</v>
      </c>
      <c r="BF8" s="25">
        <f t="shared" si="13"/>
        <v>0</v>
      </c>
      <c r="BG8" s="25">
        <f t="shared" si="14"/>
        <v>0</v>
      </c>
      <c r="BH8" s="25"/>
      <c r="BJ8" s="49"/>
      <c r="BK8" s="49"/>
      <c r="BL8" s="49"/>
      <c r="BM8" s="49"/>
      <c r="BN8" s="49"/>
      <c r="BP8" s="49"/>
      <c r="BQ8" s="49"/>
      <c r="BR8" s="49"/>
      <c r="BS8" s="49"/>
      <c r="BT8" s="49"/>
      <c r="BV8" s="58">
        <f t="shared" si="16"/>
        <v>0</v>
      </c>
      <c r="BW8" s="58">
        <f t="shared" si="15"/>
        <v>0</v>
      </c>
      <c r="BX8" s="58">
        <f t="shared" si="15"/>
        <v>0</v>
      </c>
      <c r="BY8" s="58">
        <f t="shared" si="15"/>
        <v>0</v>
      </c>
      <c r="BZ8" s="58">
        <f t="shared" si="15"/>
        <v>0</v>
      </c>
      <c r="CA8" s="58">
        <f t="shared" si="15"/>
        <v>0</v>
      </c>
      <c r="CB8" s="58">
        <f t="shared" si="15"/>
        <v>0</v>
      </c>
      <c r="CC8" s="58">
        <f t="shared" si="15"/>
        <v>0</v>
      </c>
      <c r="CD8" s="58">
        <f t="shared" si="15"/>
        <v>0</v>
      </c>
      <c r="CE8" s="58">
        <f t="shared" si="15"/>
        <v>0</v>
      </c>
      <c r="CF8" s="58">
        <f t="shared" si="15"/>
        <v>0</v>
      </c>
      <c r="CG8" s="58">
        <f t="shared" si="15"/>
        <v>0</v>
      </c>
      <c r="CJ8" t="s">
        <v>233</v>
      </c>
    </row>
    <row r="9" spans="1:88" ht="16" outlineLevel="1" thickBot="1">
      <c r="A9" s="52"/>
      <c r="B9" s="26" t="s">
        <v>51</v>
      </c>
      <c r="C9" s="27" t="s">
        <v>237</v>
      </c>
      <c r="D9" s="26">
        <v>238146391</v>
      </c>
      <c r="E9" s="27">
        <v>10</v>
      </c>
      <c r="F9" s="27">
        <v>32</v>
      </c>
      <c r="G9" s="27">
        <v>30</v>
      </c>
      <c r="I9" s="28">
        <f t="shared" si="0"/>
        <v>6.3077399999999999</v>
      </c>
      <c r="J9" s="29">
        <f t="shared" si="1"/>
        <v>2.8252605348111279E-2</v>
      </c>
      <c r="K9" s="29">
        <f t="shared" si="2"/>
        <v>1.556676120277632E-2</v>
      </c>
      <c r="L9" s="29">
        <f t="shared" si="3"/>
        <v>1.2147654171253009E-2</v>
      </c>
      <c r="M9" s="29">
        <f t="shared" si="4"/>
        <v>1.2685306660809317E-2</v>
      </c>
      <c r="N9" s="26">
        <f t="shared" si="5"/>
        <v>3707168</v>
      </c>
      <c r="O9" s="29">
        <v>16</v>
      </c>
      <c r="P9" s="30">
        <v>24903158</v>
      </c>
      <c r="Q9" s="30">
        <v>778223.6875</v>
      </c>
      <c r="R9" s="30">
        <v>10582.96875</v>
      </c>
      <c r="S9" s="31">
        <v>6728256</v>
      </c>
      <c r="T9" s="31">
        <v>2892920</v>
      </c>
      <c r="U9" s="31">
        <v>814248</v>
      </c>
      <c r="V9" s="31">
        <v>3020960</v>
      </c>
      <c r="W9" s="32">
        <v>71.932044000000005</v>
      </c>
      <c r="X9" s="32">
        <v>75.246166000000002</v>
      </c>
      <c r="Y9" s="32">
        <v>41.135641</v>
      </c>
      <c r="Z9" s="32">
        <v>49.545462000000001</v>
      </c>
      <c r="AA9" s="32">
        <v>49.686588</v>
      </c>
      <c r="AB9" s="33">
        <v>3431.39</v>
      </c>
      <c r="AC9" s="33">
        <v>3972.82</v>
      </c>
      <c r="AD9" s="33">
        <v>64.415999999999997</v>
      </c>
      <c r="AE9" s="33">
        <v>16.875</v>
      </c>
      <c r="AG9" s="28">
        <f t="shared" si="6"/>
        <v>6.3077399999999999</v>
      </c>
      <c r="AH9" s="29">
        <f t="shared" si="7"/>
        <v>2.8252605348111279E-2</v>
      </c>
      <c r="AI9" s="29">
        <f t="shared" si="8"/>
        <v>1.556676120277632E-2</v>
      </c>
      <c r="AJ9" s="29">
        <f t="shared" si="9"/>
        <v>1.2147654171253009E-2</v>
      </c>
      <c r="AK9" s="29">
        <f t="shared" si="10"/>
        <v>1.2685306660809317E-2</v>
      </c>
      <c r="AL9" s="26">
        <f t="shared" si="11"/>
        <v>3707168</v>
      </c>
      <c r="AM9" s="29">
        <v>16</v>
      </c>
      <c r="AN9" s="30">
        <v>24903158</v>
      </c>
      <c r="AO9" s="30">
        <v>778223.6875</v>
      </c>
      <c r="AP9" s="30">
        <v>10582.96875</v>
      </c>
      <c r="AQ9" s="31">
        <v>6728256</v>
      </c>
      <c r="AR9" s="31">
        <v>2892920</v>
      </c>
      <c r="AS9" s="31">
        <v>814248</v>
      </c>
      <c r="AT9" s="31">
        <v>3020960</v>
      </c>
      <c r="AU9" s="32">
        <v>71.932044000000005</v>
      </c>
      <c r="AV9" s="32">
        <v>75.246166000000002</v>
      </c>
      <c r="AW9" s="32">
        <v>41.135641</v>
      </c>
      <c r="AX9" s="32">
        <v>49.545462000000001</v>
      </c>
      <c r="AY9" s="32">
        <v>49.686588</v>
      </c>
      <c r="AZ9" s="33">
        <v>3396.45</v>
      </c>
      <c r="BA9" s="33">
        <v>4001.44</v>
      </c>
      <c r="BB9" s="33">
        <v>67.709999999999994</v>
      </c>
      <c r="BC9" s="33">
        <v>17.831</v>
      </c>
      <c r="BE9" s="34">
        <f t="shared" si="12"/>
        <v>1</v>
      </c>
      <c r="BF9" s="35">
        <f t="shared" si="13"/>
        <v>0</v>
      </c>
      <c r="BG9" s="35">
        <f t="shared" si="14"/>
        <v>0</v>
      </c>
      <c r="BH9" s="35"/>
      <c r="BJ9" s="34"/>
      <c r="BK9" s="34"/>
      <c r="BL9" s="34"/>
      <c r="BM9" s="34"/>
      <c r="BN9" s="34"/>
      <c r="BP9" s="34"/>
      <c r="BQ9" s="34"/>
      <c r="BR9" s="34"/>
      <c r="BS9" s="34"/>
      <c r="BT9" s="34"/>
      <c r="BV9" s="58">
        <f t="shared" si="16"/>
        <v>0</v>
      </c>
      <c r="BW9" s="58">
        <f t="shared" si="15"/>
        <v>0</v>
      </c>
      <c r="BX9" s="58">
        <f t="shared" si="15"/>
        <v>0</v>
      </c>
      <c r="BY9" s="58">
        <f t="shared" si="15"/>
        <v>0</v>
      </c>
      <c r="BZ9" s="58">
        <f t="shared" si="15"/>
        <v>0</v>
      </c>
      <c r="CA9" s="58">
        <f t="shared" si="15"/>
        <v>0</v>
      </c>
      <c r="CB9" s="58">
        <f t="shared" si="15"/>
        <v>0</v>
      </c>
      <c r="CC9" s="58">
        <f t="shared" si="15"/>
        <v>0</v>
      </c>
      <c r="CD9" s="58">
        <f t="shared" si="15"/>
        <v>0</v>
      </c>
      <c r="CE9" s="58">
        <f t="shared" si="15"/>
        <v>0</v>
      </c>
      <c r="CF9" s="58">
        <f t="shared" si="15"/>
        <v>0</v>
      </c>
      <c r="CG9" s="58">
        <f t="shared" si="15"/>
        <v>0</v>
      </c>
      <c r="CJ9" t="s">
        <v>233</v>
      </c>
    </row>
    <row r="10" spans="1:88">
      <c r="A10" s="17"/>
      <c r="B10" s="17" t="s">
        <v>59</v>
      </c>
      <c r="C10" s="18" t="s">
        <v>232</v>
      </c>
      <c r="D10" s="17">
        <v>218121242</v>
      </c>
      <c r="E10" s="18">
        <v>10</v>
      </c>
      <c r="F10" s="18">
        <v>32</v>
      </c>
      <c r="G10" s="18">
        <v>30</v>
      </c>
      <c r="I10" s="19">
        <f t="shared" si="0"/>
        <v>1.9556549999999999</v>
      </c>
      <c r="J10" s="20">
        <f t="shared" si="1"/>
        <v>9.5636352556620775E-3</v>
      </c>
      <c r="K10" s="20">
        <f t="shared" si="2"/>
        <v>7.148097937201366E-3</v>
      </c>
      <c r="L10" s="20">
        <f t="shared" si="3"/>
        <v>4.1104845716952226E-3</v>
      </c>
      <c r="M10" s="20">
        <f t="shared" si="4"/>
        <v>2.4149504888661875E-3</v>
      </c>
      <c r="N10" s="17">
        <f t="shared" si="5"/>
        <v>1559152</v>
      </c>
      <c r="O10" s="20">
        <v>16</v>
      </c>
      <c r="P10" s="21">
        <v>20942558</v>
      </c>
      <c r="Q10" s="21">
        <v>654454.9375</v>
      </c>
      <c r="R10" s="21">
        <v>18943.59375</v>
      </c>
      <c r="S10" s="22">
        <v>2086032</v>
      </c>
      <c r="T10" s="22">
        <v>896584</v>
      </c>
      <c r="U10" s="22">
        <v>662568</v>
      </c>
      <c r="V10" s="22">
        <v>526752</v>
      </c>
      <c r="W10" s="23">
        <v>65.984049999999996</v>
      </c>
      <c r="X10" s="23">
        <v>67.859694000000005</v>
      </c>
      <c r="Y10" s="23">
        <v>31.012543999999998</v>
      </c>
      <c r="Z10" s="23">
        <v>38.769036999999997</v>
      </c>
      <c r="AA10" s="23">
        <v>30.066780999999999</v>
      </c>
      <c r="AB10" s="24">
        <v>4440.3500000000004</v>
      </c>
      <c r="AC10" s="24">
        <v>4882.41</v>
      </c>
      <c r="AD10" s="24">
        <v>62.63</v>
      </c>
      <c r="AE10" s="24">
        <v>22.657</v>
      </c>
      <c r="AG10" s="19">
        <f t="shared" si="6"/>
        <v>1.9556625000000001</v>
      </c>
      <c r="AH10" s="20">
        <f t="shared" si="7"/>
        <v>9.5636719325117355E-3</v>
      </c>
      <c r="AI10" s="20">
        <f t="shared" si="8"/>
        <v>7.148134614051024E-3</v>
      </c>
      <c r="AJ10" s="20">
        <f t="shared" si="9"/>
        <v>4.1104845716952226E-3</v>
      </c>
      <c r="AK10" s="20">
        <f t="shared" si="10"/>
        <v>2.4149504888661875E-3</v>
      </c>
      <c r="AL10" s="17">
        <f t="shared" si="11"/>
        <v>1559160</v>
      </c>
      <c r="AM10" s="20">
        <v>16</v>
      </c>
      <c r="AN10" s="21">
        <v>20942558</v>
      </c>
      <c r="AO10" s="21">
        <v>654454.9375</v>
      </c>
      <c r="AP10" s="21">
        <v>18943.59375</v>
      </c>
      <c r="AQ10" s="22">
        <v>2086040</v>
      </c>
      <c r="AR10" s="22">
        <v>896584</v>
      </c>
      <c r="AS10" s="22">
        <v>662576</v>
      </c>
      <c r="AT10" s="22">
        <v>526752</v>
      </c>
      <c r="AU10" s="23">
        <v>65.984049999999996</v>
      </c>
      <c r="AV10" s="23">
        <v>67.859694000000005</v>
      </c>
      <c r="AW10" s="23">
        <v>31.012543999999998</v>
      </c>
      <c r="AX10" s="23">
        <v>38.769036999999997</v>
      </c>
      <c r="AY10" s="23">
        <v>30.066780999999999</v>
      </c>
      <c r="AZ10" s="24">
        <v>3232.4</v>
      </c>
      <c r="BA10" s="24">
        <v>3325.88</v>
      </c>
      <c r="BB10" s="24">
        <v>52.139000000000003</v>
      </c>
      <c r="BC10" s="24">
        <v>14.762</v>
      </c>
      <c r="BE10" s="49">
        <f t="shared" si="12"/>
        <v>1.0000051309942841</v>
      </c>
      <c r="BF10" s="25">
        <f t="shared" si="13"/>
        <v>0</v>
      </c>
      <c r="BG10" s="25">
        <f t="shared" si="14"/>
        <v>9.6863041609829281E-7</v>
      </c>
      <c r="BH10" s="25">
        <f t="array" ref="BH10">AVERAGE(AL10:AL14/AQ10:AQ14) - AVERAGE(N10:N14/S10:S14)</f>
        <v>1.2586403475012276E-7</v>
      </c>
      <c r="BJ10" s="49">
        <f>IF( OR(ISBLANK(N10:N14),ISBLANK(AL10:AL14), ISBLANK(W10:W14),ISBLANK(AU10:AU14)), "·", bdRateExtend( N10:N14,W10:W14, AL10:AL14,AU10:AU14))</f>
        <v>6.0163628146092663E-7</v>
      </c>
      <c r="BK10" s="49">
        <f>IF( OR(ISBLANK(N10:N14),ISBLANK(AL10:AL14), ISBLANK(X10:X14),ISBLANK(AV10:AV14)), "·", bdRateExtend( N10:N14,X10:X14, AL10:AL14,AV10:AV14))</f>
        <v>3.9043984112474561E-7</v>
      </c>
      <c r="BL10" s="49">
        <f>IF( OR(ISBLANK(V10:V14),ISBLANK(AT10:AT14), ISBLANK(Y10:Y14),ISBLANK(AW10:AW14)), "·", bdRateExtend( V10:V14,Y10:Y14, AT10:AT14,AW10:AW14))</f>
        <v>0</v>
      </c>
      <c r="BM10" s="49">
        <f>IF( OR(ISBLANK(V10:V14),ISBLANK(AT10:AT14), ISBLANK(Z10:Z14),ISBLANK(AX10:AX14)), "·", bdRateExtend( V10:V14,Z10:Z14, AT10:AT14,AX10:AX14))</f>
        <v>0</v>
      </c>
      <c r="BN10" s="49">
        <f>IF( OR(ISBLANK(V10:V14),ISBLANK(AT10:AT14), ISBLANK(AA10:AA14),ISBLANK(AY10:AY14)), "·", bdRateExtend( V10:V14,AA10:AA14, AT10:AT14,AY10:AY14))</f>
        <v>0</v>
      </c>
      <c r="BP10" s="49">
        <f>IF( OR(ISBLANK(S10:S14),ISBLANK(AQ10:AQ14), ISBLANK(W10:W14),ISBLANK(AU10:AU14)), "·", bdRateExtend( S10:S14,W10:W14, AQ10:AQ14,AU10:AU14))</f>
        <v>4.7471326891646015E-7</v>
      </c>
      <c r="BQ10" s="49">
        <f>IF( OR(ISBLANK(S10:S14),ISBLANK(AQ10:AQ14), ISBLANK(X10:X14),ISBLANK(AV10:AV14)), "·", bdRateExtend( S10:S14,X10:X14, AQ10:AQ14,AV10:AV14))</f>
        <v>3.3967446255722678E-7</v>
      </c>
      <c r="BR10" s="49">
        <f>IF( OR(ISBLANK(S10:S14),ISBLANK(AQ10:AQ14), ISBLANK(Y10:Y14),ISBLANK(AW10:AW14)), "·", bdRateExtend( S10:S14,Y10:Y14, AQ10:AQ14,AW10:AW14))</f>
        <v>2.4268130660587417E-7</v>
      </c>
      <c r="BS10" s="49">
        <f>IF( OR(ISBLANK(S10:S14),ISBLANK(AQ10:AQ14), ISBLANK(Z10:Z14),ISBLANK(AX10:AX14)), "·", bdRateExtend( S10:S14,Z10:Z14, AQ10:AQ14,AX10:AX14))</f>
        <v>2.3680175487150734E-7</v>
      </c>
      <c r="BT10" s="49">
        <f>IF( OR(ISBLANK(S10:S14),ISBLANK(AQ10:AQ14), ISBLANK(AA10:AA14),ISBLANK(AY10:AY14)), "·", bdRateExtend( S10:S14,AA10:AA14, AQ10:AQ14,AY10:AY14))</f>
        <v>3.2948203521065977E-7</v>
      </c>
      <c r="BV10" s="58">
        <f t="shared" si="16"/>
        <v>0</v>
      </c>
      <c r="BW10" s="58">
        <f t="shared" si="15"/>
        <v>0</v>
      </c>
      <c r="BX10" s="58">
        <f t="shared" si="15"/>
        <v>0</v>
      </c>
      <c r="BY10" s="58">
        <f t="shared" si="15"/>
        <v>8</v>
      </c>
      <c r="BZ10" s="58">
        <f t="shared" si="15"/>
        <v>0</v>
      </c>
      <c r="CA10" s="58">
        <f t="shared" si="15"/>
        <v>8</v>
      </c>
      <c r="CB10" s="58">
        <f t="shared" si="15"/>
        <v>0</v>
      </c>
      <c r="CC10" s="58">
        <f t="shared" si="15"/>
        <v>0</v>
      </c>
      <c r="CD10" s="58">
        <f t="shared" si="15"/>
        <v>0</v>
      </c>
      <c r="CE10" s="58">
        <f t="shared" si="15"/>
        <v>0</v>
      </c>
      <c r="CF10" s="58">
        <f t="shared" si="15"/>
        <v>0</v>
      </c>
      <c r="CG10" s="58">
        <f t="shared" si="15"/>
        <v>0</v>
      </c>
      <c r="CJ10" t="s">
        <v>587</v>
      </c>
    </row>
    <row r="11" spans="1:88" outlineLevel="1">
      <c r="A11" s="52"/>
      <c r="B11" s="52" t="s">
        <v>59</v>
      </c>
      <c r="C11" s="9" t="s">
        <v>234</v>
      </c>
      <c r="D11" s="52">
        <v>218121242</v>
      </c>
      <c r="E11" s="9">
        <v>10</v>
      </c>
      <c r="F11" s="9">
        <v>32</v>
      </c>
      <c r="G11" s="9">
        <v>30</v>
      </c>
      <c r="I11" s="10">
        <f t="shared" si="0"/>
        <v>2.6788500000000002</v>
      </c>
      <c r="J11" s="11">
        <f t="shared" si="1"/>
        <v>1.3100237160762179E-2</v>
      </c>
      <c r="K11" s="11">
        <f t="shared" si="2"/>
        <v>8.7969790672657189E-3</v>
      </c>
      <c r="L11" s="11">
        <f t="shared" si="3"/>
        <v>5.7593657017595747E-3</v>
      </c>
      <c r="M11" s="11">
        <f t="shared" si="4"/>
        <v>4.302671263901936E-3</v>
      </c>
      <c r="N11" s="52">
        <f t="shared" si="5"/>
        <v>1918808</v>
      </c>
      <c r="O11" s="11">
        <v>16</v>
      </c>
      <c r="P11" s="12">
        <v>22233167</v>
      </c>
      <c r="Q11" s="12">
        <v>694786.46875</v>
      </c>
      <c r="R11" s="12">
        <v>23204.09375</v>
      </c>
      <c r="S11" s="13">
        <v>2857440</v>
      </c>
      <c r="T11" s="13">
        <v>1256240</v>
      </c>
      <c r="U11" s="13">
        <v>662568</v>
      </c>
      <c r="V11" s="13">
        <v>938504</v>
      </c>
      <c r="W11" s="14">
        <v>67.674730999999994</v>
      </c>
      <c r="X11" s="14">
        <v>69.753456</v>
      </c>
      <c r="Y11" s="14">
        <v>32.861966000000002</v>
      </c>
      <c r="Z11" s="14">
        <v>39.685718999999999</v>
      </c>
      <c r="AA11" s="14">
        <v>32.241593999999999</v>
      </c>
      <c r="AB11" s="15">
        <v>3640</v>
      </c>
      <c r="AC11" s="15">
        <v>4038.79</v>
      </c>
      <c r="AD11" s="15">
        <v>60.865000000000002</v>
      </c>
      <c r="AE11" s="15">
        <v>16.553999999999998</v>
      </c>
      <c r="AG11" s="10">
        <f t="shared" si="6"/>
        <v>2.6788500000000002</v>
      </c>
      <c r="AH11" s="11">
        <f t="shared" si="7"/>
        <v>1.3100237160762179E-2</v>
      </c>
      <c r="AI11" s="11">
        <f t="shared" si="8"/>
        <v>8.7969790672657189E-3</v>
      </c>
      <c r="AJ11" s="11">
        <f t="shared" si="9"/>
        <v>5.7593657017595747E-3</v>
      </c>
      <c r="AK11" s="11">
        <f t="shared" si="10"/>
        <v>4.302671263901936E-3</v>
      </c>
      <c r="AL11" s="52">
        <f t="shared" si="11"/>
        <v>1918808</v>
      </c>
      <c r="AM11" s="11">
        <v>16</v>
      </c>
      <c r="AN11" s="12">
        <v>22233167</v>
      </c>
      <c r="AO11" s="12">
        <v>694786.46875</v>
      </c>
      <c r="AP11" s="12">
        <v>23204.09375</v>
      </c>
      <c r="AQ11" s="13">
        <v>2857440</v>
      </c>
      <c r="AR11" s="13">
        <v>1256240</v>
      </c>
      <c r="AS11" s="13">
        <v>662568</v>
      </c>
      <c r="AT11" s="13">
        <v>938504</v>
      </c>
      <c r="AU11" s="14">
        <v>67.674730999999994</v>
      </c>
      <c r="AV11" s="14">
        <v>69.753456</v>
      </c>
      <c r="AW11" s="14">
        <v>32.861966000000002</v>
      </c>
      <c r="AX11" s="14">
        <v>39.685718999999999</v>
      </c>
      <c r="AY11" s="14">
        <v>32.241593999999999</v>
      </c>
      <c r="AZ11" s="15">
        <v>3960.1</v>
      </c>
      <c r="BA11" s="15">
        <v>4789.66</v>
      </c>
      <c r="BB11" s="15">
        <v>64.38</v>
      </c>
      <c r="BC11" s="15">
        <v>22.388999999999999</v>
      </c>
      <c r="BE11" s="50">
        <f t="shared" si="12"/>
        <v>1</v>
      </c>
      <c r="BF11" s="16">
        <f t="shared" si="13"/>
        <v>0</v>
      </c>
      <c r="BG11" s="16">
        <f t="shared" si="14"/>
        <v>0</v>
      </c>
      <c r="BH11" s="16"/>
      <c r="BJ11" s="50"/>
      <c r="BK11" s="50"/>
      <c r="BL11" s="50"/>
      <c r="BM11" s="50"/>
      <c r="BN11" s="50"/>
      <c r="BP11" s="50"/>
      <c r="BQ11" s="50"/>
      <c r="BR11" s="50"/>
      <c r="BS11" s="50"/>
      <c r="BT11" s="50"/>
      <c r="BV11" s="58">
        <f t="shared" si="16"/>
        <v>0</v>
      </c>
      <c r="BW11" s="58">
        <f t="shared" si="15"/>
        <v>0</v>
      </c>
      <c r="BX11" s="58">
        <f t="shared" si="15"/>
        <v>0</v>
      </c>
      <c r="BY11" s="58">
        <f t="shared" si="15"/>
        <v>0</v>
      </c>
      <c r="BZ11" s="58">
        <f t="shared" si="15"/>
        <v>0</v>
      </c>
      <c r="CA11" s="58">
        <f t="shared" si="15"/>
        <v>0</v>
      </c>
      <c r="CB11" s="58">
        <f t="shared" si="15"/>
        <v>0</v>
      </c>
      <c r="CC11" s="58">
        <f t="shared" si="15"/>
        <v>0</v>
      </c>
      <c r="CD11" s="58">
        <f t="shared" si="15"/>
        <v>0</v>
      </c>
      <c r="CE11" s="58">
        <f t="shared" si="15"/>
        <v>0</v>
      </c>
      <c r="CF11" s="58">
        <f t="shared" si="15"/>
        <v>0</v>
      </c>
      <c r="CG11" s="58">
        <f t="shared" si="15"/>
        <v>0</v>
      </c>
      <c r="CJ11" t="s">
        <v>587</v>
      </c>
    </row>
    <row r="12" spans="1:88" outlineLevel="1">
      <c r="A12" s="17"/>
      <c r="B12" s="17" t="s">
        <v>59</v>
      </c>
      <c r="C12" s="18" t="s">
        <v>235</v>
      </c>
      <c r="D12" s="17">
        <v>218121242</v>
      </c>
      <c r="E12" s="18">
        <v>10</v>
      </c>
      <c r="F12" s="18">
        <v>32</v>
      </c>
      <c r="G12" s="18">
        <v>30</v>
      </c>
      <c r="I12" s="19">
        <f t="shared" si="0"/>
        <v>3.8283900000000002</v>
      </c>
      <c r="J12" s="20">
        <f t="shared" si="1"/>
        <v>1.8721771261507855E-2</v>
      </c>
      <c r="K12" s="20">
        <f t="shared" si="2"/>
        <v>1.1314698088872976E-2</v>
      </c>
      <c r="L12" s="20">
        <f t="shared" si="3"/>
        <v>8.2770847233668322E-3</v>
      </c>
      <c r="M12" s="20">
        <f t="shared" si="4"/>
        <v>7.4064863430403534E-3</v>
      </c>
      <c r="N12" s="17">
        <f t="shared" si="5"/>
        <v>2467976</v>
      </c>
      <c r="O12" s="20">
        <v>16</v>
      </c>
      <c r="P12" s="21">
        <v>22569901</v>
      </c>
      <c r="Q12" s="21">
        <v>705309.40625</v>
      </c>
      <c r="R12" s="21">
        <v>24721.9375</v>
      </c>
      <c r="S12" s="22">
        <v>4083616</v>
      </c>
      <c r="T12" s="22">
        <v>1805408</v>
      </c>
      <c r="U12" s="22">
        <v>662568</v>
      </c>
      <c r="V12" s="22">
        <v>1615512</v>
      </c>
      <c r="W12" s="23">
        <v>69.009450000000001</v>
      </c>
      <c r="X12" s="23">
        <v>71.379971999999995</v>
      </c>
      <c r="Y12" s="23">
        <v>34.860587000000002</v>
      </c>
      <c r="Z12" s="23">
        <v>40.655971999999998</v>
      </c>
      <c r="AA12" s="23">
        <v>34.140081000000002</v>
      </c>
      <c r="AB12" s="24">
        <v>3566.5</v>
      </c>
      <c r="AC12" s="24">
        <v>4229.46</v>
      </c>
      <c r="AD12" s="24">
        <v>61.155999999999999</v>
      </c>
      <c r="AE12" s="24">
        <v>16.934000000000001</v>
      </c>
      <c r="AG12" s="19">
        <f t="shared" si="6"/>
        <v>3.8283900000000002</v>
      </c>
      <c r="AH12" s="20">
        <f t="shared" si="7"/>
        <v>1.8721771261507855E-2</v>
      </c>
      <c r="AI12" s="20">
        <f t="shared" si="8"/>
        <v>1.1314698088872976E-2</v>
      </c>
      <c r="AJ12" s="20">
        <f t="shared" si="9"/>
        <v>8.2770847233668322E-3</v>
      </c>
      <c r="AK12" s="20">
        <f t="shared" si="10"/>
        <v>7.4064863430403534E-3</v>
      </c>
      <c r="AL12" s="17">
        <f t="shared" si="11"/>
        <v>2467976</v>
      </c>
      <c r="AM12" s="20">
        <v>16</v>
      </c>
      <c r="AN12" s="21">
        <v>22569901</v>
      </c>
      <c r="AO12" s="21">
        <v>705309.40625</v>
      </c>
      <c r="AP12" s="21">
        <v>24721.9375</v>
      </c>
      <c r="AQ12" s="22">
        <v>4083616</v>
      </c>
      <c r="AR12" s="22">
        <v>1805408</v>
      </c>
      <c r="AS12" s="22">
        <v>662568</v>
      </c>
      <c r="AT12" s="22">
        <v>1615512</v>
      </c>
      <c r="AU12" s="23">
        <v>69.009450000000001</v>
      </c>
      <c r="AV12" s="23">
        <v>71.379971999999995</v>
      </c>
      <c r="AW12" s="23">
        <v>34.860587000000002</v>
      </c>
      <c r="AX12" s="23">
        <v>40.655971999999998</v>
      </c>
      <c r="AY12" s="23">
        <v>34.140081000000002</v>
      </c>
      <c r="AZ12" s="24">
        <v>3174.43</v>
      </c>
      <c r="BA12" s="24">
        <v>3804.72</v>
      </c>
      <c r="BB12" s="24">
        <v>56.481999999999999</v>
      </c>
      <c r="BC12" s="24">
        <v>15.3</v>
      </c>
      <c r="BE12" s="49">
        <f t="shared" si="12"/>
        <v>1</v>
      </c>
      <c r="BF12" s="25">
        <f t="shared" si="13"/>
        <v>0</v>
      </c>
      <c r="BG12" s="25">
        <f t="shared" si="14"/>
        <v>0</v>
      </c>
      <c r="BH12" s="25"/>
      <c r="BJ12" s="49"/>
      <c r="BK12" s="49"/>
      <c r="BL12" s="49"/>
      <c r="BM12" s="49"/>
      <c r="BN12" s="49"/>
      <c r="BP12" s="49"/>
      <c r="BQ12" s="49"/>
      <c r="BR12" s="49"/>
      <c r="BS12" s="49"/>
      <c r="BT12" s="49"/>
      <c r="BV12" s="58">
        <f t="shared" si="16"/>
        <v>0</v>
      </c>
      <c r="BW12" s="58">
        <f t="shared" si="15"/>
        <v>0</v>
      </c>
      <c r="BX12" s="58">
        <f t="shared" si="15"/>
        <v>0</v>
      </c>
      <c r="BY12" s="58">
        <f t="shared" si="15"/>
        <v>0</v>
      </c>
      <c r="BZ12" s="58">
        <f t="shared" si="15"/>
        <v>0</v>
      </c>
      <c r="CA12" s="58">
        <f t="shared" si="15"/>
        <v>0</v>
      </c>
      <c r="CB12" s="58">
        <f t="shared" si="15"/>
        <v>0</v>
      </c>
      <c r="CC12" s="58">
        <f t="shared" si="15"/>
        <v>0</v>
      </c>
      <c r="CD12" s="58">
        <f t="shared" si="15"/>
        <v>0</v>
      </c>
      <c r="CE12" s="58">
        <f t="shared" si="15"/>
        <v>0</v>
      </c>
      <c r="CF12" s="58">
        <f t="shared" si="15"/>
        <v>0</v>
      </c>
      <c r="CG12" s="58">
        <f t="shared" si="15"/>
        <v>0</v>
      </c>
      <c r="CJ12" t="s">
        <v>587</v>
      </c>
    </row>
    <row r="13" spans="1:88" outlineLevel="1">
      <c r="A13" s="52"/>
      <c r="B13" s="52" t="s">
        <v>59</v>
      </c>
      <c r="C13" s="9" t="s">
        <v>236</v>
      </c>
      <c r="D13" s="52">
        <v>218121242</v>
      </c>
      <c r="E13" s="9">
        <v>10</v>
      </c>
      <c r="F13" s="9">
        <v>32</v>
      </c>
      <c r="G13" s="9">
        <v>30</v>
      </c>
      <c r="I13" s="10">
        <f t="shared" si="0"/>
        <v>6.1840650000000004</v>
      </c>
      <c r="J13" s="11">
        <f t="shared" si="1"/>
        <v>3.0241602970516736E-2</v>
      </c>
      <c r="K13" s="11">
        <f t="shared" si="2"/>
        <v>1.5817111476011125E-2</v>
      </c>
      <c r="L13" s="11">
        <f t="shared" si="3"/>
        <v>1.2779498110504982E-2</v>
      </c>
      <c r="M13" s="11">
        <f t="shared" si="4"/>
        <v>1.4423904664911086E-2</v>
      </c>
      <c r="N13" s="52">
        <f t="shared" si="5"/>
        <v>3450048</v>
      </c>
      <c r="O13" s="11">
        <v>16</v>
      </c>
      <c r="P13" s="12">
        <v>23308443</v>
      </c>
      <c r="Q13" s="12">
        <v>728388.84375</v>
      </c>
      <c r="R13" s="12">
        <v>27991.21875</v>
      </c>
      <c r="S13" s="13">
        <v>6596336</v>
      </c>
      <c r="T13" s="13">
        <v>2787480</v>
      </c>
      <c r="U13" s="13">
        <v>662568</v>
      </c>
      <c r="V13" s="13">
        <v>3146160</v>
      </c>
      <c r="W13" s="14">
        <v>70.060288</v>
      </c>
      <c r="X13" s="14">
        <v>72.567171999999999</v>
      </c>
      <c r="Y13" s="14">
        <v>37.050668999999999</v>
      </c>
      <c r="Z13" s="14">
        <v>41.679997</v>
      </c>
      <c r="AA13" s="14">
        <v>36.076627999999999</v>
      </c>
      <c r="AB13" s="15">
        <v>3231.71</v>
      </c>
      <c r="AC13" s="15">
        <v>4182.5200000000004</v>
      </c>
      <c r="AD13" s="15">
        <v>58.354999999999997</v>
      </c>
      <c r="AE13" s="15">
        <v>16.434999999999999</v>
      </c>
      <c r="AG13" s="10">
        <f t="shared" si="6"/>
        <v>6.1840650000000004</v>
      </c>
      <c r="AH13" s="11">
        <f t="shared" si="7"/>
        <v>3.0241602970516736E-2</v>
      </c>
      <c r="AI13" s="11">
        <f t="shared" si="8"/>
        <v>1.5817111476011125E-2</v>
      </c>
      <c r="AJ13" s="11">
        <f t="shared" si="9"/>
        <v>1.2779498110504982E-2</v>
      </c>
      <c r="AK13" s="11">
        <f t="shared" si="10"/>
        <v>1.4423904664911086E-2</v>
      </c>
      <c r="AL13" s="52">
        <f t="shared" si="11"/>
        <v>3450048</v>
      </c>
      <c r="AM13" s="11">
        <v>16</v>
      </c>
      <c r="AN13" s="12">
        <v>23308443</v>
      </c>
      <c r="AO13" s="12">
        <v>728388.84375</v>
      </c>
      <c r="AP13" s="12">
        <v>27991.21875</v>
      </c>
      <c r="AQ13" s="13">
        <v>6596336</v>
      </c>
      <c r="AR13" s="13">
        <v>2787480</v>
      </c>
      <c r="AS13" s="13">
        <v>662568</v>
      </c>
      <c r="AT13" s="13">
        <v>3146160</v>
      </c>
      <c r="AU13" s="14">
        <v>70.060288</v>
      </c>
      <c r="AV13" s="14">
        <v>72.567171999999999</v>
      </c>
      <c r="AW13" s="14">
        <v>37.050668999999999</v>
      </c>
      <c r="AX13" s="14">
        <v>41.679997</v>
      </c>
      <c r="AY13" s="14">
        <v>36.076627999999999</v>
      </c>
      <c r="AZ13" s="15">
        <v>3190.55</v>
      </c>
      <c r="BA13" s="15">
        <v>4108.47</v>
      </c>
      <c r="BB13" s="15">
        <v>56.594999999999999</v>
      </c>
      <c r="BC13" s="15">
        <v>15.513</v>
      </c>
      <c r="BE13" s="50">
        <f t="shared" si="12"/>
        <v>1</v>
      </c>
      <c r="BF13" s="16">
        <f t="shared" si="13"/>
        <v>0</v>
      </c>
      <c r="BG13" s="16">
        <f t="shared" si="14"/>
        <v>0</v>
      </c>
      <c r="BH13" s="16"/>
      <c r="BJ13" s="50"/>
      <c r="BK13" s="50"/>
      <c r="BL13" s="50"/>
      <c r="BM13" s="50"/>
      <c r="BN13" s="50"/>
      <c r="BP13" s="50"/>
      <c r="BQ13" s="50"/>
      <c r="BR13" s="50"/>
      <c r="BS13" s="50"/>
      <c r="BT13" s="50"/>
      <c r="BV13" s="58">
        <f t="shared" si="16"/>
        <v>0</v>
      </c>
      <c r="BW13" s="58">
        <f t="shared" si="15"/>
        <v>0</v>
      </c>
      <c r="BX13" s="58">
        <f t="shared" si="15"/>
        <v>0</v>
      </c>
      <c r="BY13" s="58">
        <f t="shared" si="15"/>
        <v>0</v>
      </c>
      <c r="BZ13" s="58">
        <f t="shared" si="15"/>
        <v>0</v>
      </c>
      <c r="CA13" s="58">
        <f t="shared" si="15"/>
        <v>0</v>
      </c>
      <c r="CB13" s="58">
        <f t="shared" si="15"/>
        <v>0</v>
      </c>
      <c r="CC13" s="58">
        <f t="shared" si="15"/>
        <v>0</v>
      </c>
      <c r="CD13" s="58">
        <f t="shared" si="15"/>
        <v>0</v>
      </c>
      <c r="CE13" s="58">
        <f t="shared" si="15"/>
        <v>0</v>
      </c>
      <c r="CF13" s="58">
        <f t="shared" si="15"/>
        <v>0</v>
      </c>
      <c r="CG13" s="58">
        <f t="shared" si="15"/>
        <v>0</v>
      </c>
      <c r="CJ13" t="s">
        <v>587</v>
      </c>
    </row>
    <row r="14" spans="1:88" ht="16" outlineLevel="1" thickBot="1">
      <c r="A14" s="17"/>
      <c r="B14" s="36" t="s">
        <v>59</v>
      </c>
      <c r="C14" s="37" t="s">
        <v>237</v>
      </c>
      <c r="D14" s="36">
        <v>218121242</v>
      </c>
      <c r="E14" s="37">
        <v>10</v>
      </c>
      <c r="F14" s="37">
        <v>32</v>
      </c>
      <c r="G14" s="37">
        <v>30</v>
      </c>
      <c r="I14" s="38">
        <f t="shared" si="0"/>
        <v>12.21963</v>
      </c>
      <c r="J14" s="39">
        <f t="shared" si="1"/>
        <v>5.9757004317809635E-2</v>
      </c>
      <c r="K14" s="39">
        <f t="shared" si="2"/>
        <v>2.6721395617213661E-2</v>
      </c>
      <c r="L14" s="39">
        <f t="shared" si="3"/>
        <v>2.0741492018461916E-2</v>
      </c>
      <c r="M14" s="39">
        <f t="shared" si="4"/>
        <v>3.3035021871001449E-2</v>
      </c>
      <c r="N14" s="36">
        <f t="shared" si="5"/>
        <v>5828504</v>
      </c>
      <c r="O14" s="39">
        <v>16</v>
      </c>
      <c r="P14" s="40">
        <v>22150010</v>
      </c>
      <c r="Q14" s="40">
        <v>692187.8125</v>
      </c>
      <c r="R14" s="40">
        <v>13331.5625</v>
      </c>
      <c r="S14" s="41">
        <v>13034272</v>
      </c>
      <c r="T14" s="41">
        <v>4524160</v>
      </c>
      <c r="U14" s="41">
        <v>1304344</v>
      </c>
      <c r="V14" s="41">
        <v>7205640</v>
      </c>
      <c r="W14" s="42">
        <v>70.920671999999996</v>
      </c>
      <c r="X14" s="42">
        <v>74.632659000000004</v>
      </c>
      <c r="Y14" s="42">
        <v>39.477800000000002</v>
      </c>
      <c r="Z14" s="42">
        <v>42.980525</v>
      </c>
      <c r="AA14" s="42">
        <v>38.260322000000002</v>
      </c>
      <c r="AB14" s="43">
        <v>3643.91</v>
      </c>
      <c r="AC14" s="43">
        <v>4969.07</v>
      </c>
      <c r="AD14" s="43">
        <v>58.442</v>
      </c>
      <c r="AE14" s="43">
        <v>19.763999999999999</v>
      </c>
      <c r="AG14" s="38">
        <f t="shared" si="6"/>
        <v>12.2196225</v>
      </c>
      <c r="AH14" s="39">
        <f t="shared" si="7"/>
        <v>5.9756967640959974E-2</v>
      </c>
      <c r="AI14" s="39">
        <f t="shared" si="8"/>
        <v>2.6721358940364003E-2</v>
      </c>
      <c r="AJ14" s="39">
        <f t="shared" si="9"/>
        <v>2.0741492018461916E-2</v>
      </c>
      <c r="AK14" s="39">
        <f t="shared" si="10"/>
        <v>3.3035021871001449E-2</v>
      </c>
      <c r="AL14" s="36">
        <f t="shared" si="11"/>
        <v>5828496</v>
      </c>
      <c r="AM14" s="39">
        <v>16</v>
      </c>
      <c r="AN14" s="40">
        <v>22150010</v>
      </c>
      <c r="AO14" s="40">
        <v>692187.8125</v>
      </c>
      <c r="AP14" s="40">
        <v>13331.5625</v>
      </c>
      <c r="AQ14" s="41">
        <v>13034264</v>
      </c>
      <c r="AR14" s="41">
        <v>4524160</v>
      </c>
      <c r="AS14" s="41">
        <v>1304336</v>
      </c>
      <c r="AT14" s="41">
        <v>7205640</v>
      </c>
      <c r="AU14" s="42">
        <v>70.920671999999996</v>
      </c>
      <c r="AV14" s="42">
        <v>74.632659000000004</v>
      </c>
      <c r="AW14" s="42">
        <v>39.477800000000002</v>
      </c>
      <c r="AX14" s="42">
        <v>42.980525</v>
      </c>
      <c r="AY14" s="42">
        <v>38.260322000000002</v>
      </c>
      <c r="AZ14" s="43">
        <v>3172.41</v>
      </c>
      <c r="BA14" s="43">
        <v>4452.75</v>
      </c>
      <c r="BB14" s="43">
        <v>53.656999999999996</v>
      </c>
      <c r="BC14" s="43">
        <v>17.006</v>
      </c>
      <c r="BE14" s="44">
        <f t="shared" si="12"/>
        <v>0.99999862743510171</v>
      </c>
      <c r="BF14" s="45">
        <f t="shared" si="13"/>
        <v>0</v>
      </c>
      <c r="BG14" s="45">
        <f t="shared" si="14"/>
        <v>-3.3931024251421249E-7</v>
      </c>
      <c r="BH14" s="45"/>
      <c r="BJ14" s="44"/>
      <c r="BK14" s="44"/>
      <c r="BL14" s="44"/>
      <c r="BM14" s="44"/>
      <c r="BN14" s="44"/>
      <c r="BP14" s="44"/>
      <c r="BQ14" s="44"/>
      <c r="BR14" s="44"/>
      <c r="BS14" s="44"/>
      <c r="BT14" s="44"/>
      <c r="BV14" s="58">
        <f t="shared" si="16"/>
        <v>0</v>
      </c>
      <c r="BW14" s="58">
        <f t="shared" si="15"/>
        <v>0</v>
      </c>
      <c r="BX14" s="58">
        <f t="shared" si="15"/>
        <v>0</v>
      </c>
      <c r="BY14" s="58">
        <f t="shared" si="15"/>
        <v>-8</v>
      </c>
      <c r="BZ14" s="58">
        <f t="shared" si="15"/>
        <v>0</v>
      </c>
      <c r="CA14" s="58">
        <f t="shared" si="15"/>
        <v>-8</v>
      </c>
      <c r="CB14" s="58">
        <f t="shared" si="15"/>
        <v>0</v>
      </c>
      <c r="CC14" s="58">
        <f t="shared" si="15"/>
        <v>0</v>
      </c>
      <c r="CD14" s="58">
        <f t="shared" si="15"/>
        <v>0</v>
      </c>
      <c r="CE14" s="58">
        <f t="shared" si="15"/>
        <v>0</v>
      </c>
      <c r="CF14" s="58">
        <f t="shared" si="15"/>
        <v>0</v>
      </c>
      <c r="CG14" s="58">
        <f t="shared" si="15"/>
        <v>0</v>
      </c>
      <c r="CJ14" t="s">
        <v>587</v>
      </c>
    </row>
    <row r="15" spans="1:88">
      <c r="A15" s="52"/>
      <c r="B15" s="52" t="s">
        <v>64</v>
      </c>
      <c r="C15" s="9" t="s">
        <v>232</v>
      </c>
      <c r="D15" s="52">
        <v>322589704</v>
      </c>
      <c r="E15" s="9">
        <v>10</v>
      </c>
      <c r="F15" s="9">
        <v>32</v>
      </c>
      <c r="G15" s="9">
        <v>30</v>
      </c>
      <c r="I15" s="10">
        <f t="shared" si="0"/>
        <v>1.6117950000000001</v>
      </c>
      <c r="J15" s="11">
        <f t="shared" si="1"/>
        <v>5.3295191343118624E-3</v>
      </c>
      <c r="K15" s="11">
        <f t="shared" si="2"/>
        <v>4.4768694787605499E-3</v>
      </c>
      <c r="L15" s="11">
        <f t="shared" si="3"/>
        <v>2.3656551667253461E-3</v>
      </c>
      <c r="M15" s="11">
        <f t="shared" si="4"/>
        <v>8.5225286669409633E-4</v>
      </c>
      <c r="N15" s="52">
        <f t="shared" si="5"/>
        <v>1444192</v>
      </c>
      <c r="O15" s="11">
        <v>16</v>
      </c>
      <c r="P15" s="12">
        <v>32415907</v>
      </c>
      <c r="Q15" s="12">
        <v>1012997.09375</v>
      </c>
      <c r="R15" s="12">
        <v>32038.09375</v>
      </c>
      <c r="S15" s="13">
        <v>1719248</v>
      </c>
      <c r="T15" s="13">
        <v>763136</v>
      </c>
      <c r="U15" s="13">
        <v>681056</v>
      </c>
      <c r="V15" s="13">
        <v>274928</v>
      </c>
      <c r="W15" s="14">
        <v>66.298768999999993</v>
      </c>
      <c r="X15" s="14">
        <v>67.850190999999995</v>
      </c>
      <c r="Y15" s="14">
        <v>29.251728</v>
      </c>
      <c r="Z15" s="14">
        <v>43.488112000000001</v>
      </c>
      <c r="AA15" s="14">
        <v>43.716256000000001</v>
      </c>
      <c r="AB15" s="15">
        <v>4523.7299999999996</v>
      </c>
      <c r="AC15" s="15">
        <v>2572.21</v>
      </c>
      <c r="AD15" s="15">
        <v>78.869</v>
      </c>
      <c r="AE15" s="15">
        <v>12.744</v>
      </c>
      <c r="AG15" s="10">
        <f t="shared" si="6"/>
        <v>1.6117950000000001</v>
      </c>
      <c r="AH15" s="11">
        <f t="shared" si="7"/>
        <v>5.3295191343118624E-3</v>
      </c>
      <c r="AI15" s="11">
        <f t="shared" si="8"/>
        <v>4.4768694787605499E-3</v>
      </c>
      <c r="AJ15" s="11">
        <f t="shared" si="9"/>
        <v>2.3656551667253461E-3</v>
      </c>
      <c r="AK15" s="11">
        <f t="shared" si="10"/>
        <v>8.5225286669409633E-4</v>
      </c>
      <c r="AL15" s="52">
        <f t="shared" si="11"/>
        <v>1444192</v>
      </c>
      <c r="AM15" s="11">
        <v>16</v>
      </c>
      <c r="AN15" s="12">
        <v>32415907</v>
      </c>
      <c r="AO15" s="12">
        <v>1012997.09375</v>
      </c>
      <c r="AP15" s="12">
        <v>32038.09375</v>
      </c>
      <c r="AQ15" s="13">
        <v>1719248</v>
      </c>
      <c r="AR15" s="13">
        <v>763136</v>
      </c>
      <c r="AS15" s="13">
        <v>681056</v>
      </c>
      <c r="AT15" s="13">
        <v>274928</v>
      </c>
      <c r="AU15" s="14">
        <v>66.298768999999993</v>
      </c>
      <c r="AV15" s="14">
        <v>67.850190999999995</v>
      </c>
      <c r="AW15" s="14">
        <v>29.251728</v>
      </c>
      <c r="AX15" s="14">
        <v>43.488112000000001</v>
      </c>
      <c r="AY15" s="14">
        <v>43.716256000000001</v>
      </c>
      <c r="AZ15" s="15">
        <v>4927.2299999999996</v>
      </c>
      <c r="BA15" s="15">
        <v>2836.21</v>
      </c>
      <c r="BB15" s="15">
        <v>85.347999999999999</v>
      </c>
      <c r="BC15" s="15">
        <v>14.005000000000001</v>
      </c>
      <c r="BE15" s="50">
        <f t="shared" si="12"/>
        <v>1</v>
      </c>
      <c r="BF15" s="16">
        <f t="shared" si="13"/>
        <v>0</v>
      </c>
      <c r="BG15" s="16">
        <f t="shared" si="14"/>
        <v>0</v>
      </c>
      <c r="BH15" s="16">
        <f t="array" ref="BH15">AVERAGE(AL15:AL19/AQ15:AQ19) - AVERAGE(N15:N19/S15:S19)</f>
        <v>3.2662637805547234E-7</v>
      </c>
      <c r="BJ15" s="50">
        <f>IF( OR(ISBLANK(N15:N19),ISBLANK(AL15:AL19), ISBLANK(W15:W19),ISBLANK(AU15:AU19)), "·", bdRateExtend( N15:N19,W15:W19, AL15:AL19,AU15:AU19))</f>
        <v>2.6422232397571577E-6</v>
      </c>
      <c r="BK15" s="50">
        <f>IF( OR(ISBLANK(N15:N19),ISBLANK(AL15:AL19), ISBLANK(X15:X19),ISBLANK(AV15:AV19)), "·", bdRateExtend( N15:N19,X15:X19, AL15:AL19,AV15:AV19))</f>
        <v>2.159630031695059E-6</v>
      </c>
      <c r="BL15" s="50">
        <f>IF( OR(ISBLANK(V15:V19),ISBLANK(AT15:AT19), ISBLANK(Y15:Y19),ISBLANK(AW15:AW19)), "·", bdRateExtend( V15:V19,Y15:Y19, AT15:AT19,AW15:AW19))</f>
        <v>0</v>
      </c>
      <c r="BM15" s="50">
        <f>IF( OR(ISBLANK(V15:V19),ISBLANK(AT15:AT19), ISBLANK(Z15:Z19),ISBLANK(AX15:AX19)), "·", bdRateExtend( V15:V19,Z15:Z19, AT15:AT19,AX15:AX19))</f>
        <v>0</v>
      </c>
      <c r="BN15" s="50">
        <f>IF( OR(ISBLANK(V15:V19),ISBLANK(AT15:AT19), ISBLANK(AA15:AA19),ISBLANK(AY15:AY19)), "·", bdRateExtend( V15:V19,AA15:AA19, AT15:AT19,AY15:AY19))</f>
        <v>0</v>
      </c>
      <c r="BP15" s="50">
        <f>IF( OR(ISBLANK(S15:S19),ISBLANK(AQ15:AQ19), ISBLANK(W15:W19),ISBLANK(AU15:AU19)), "·", bdRateExtend( S15:S19,W15:W19, AQ15:AQ19,AU15:AU19))</f>
        <v>1.945459936258942E-6</v>
      </c>
      <c r="BQ15" s="50">
        <f>IF( OR(ISBLANK(S15:S19),ISBLANK(AQ15:AQ19), ISBLANK(X15:X19),ISBLANK(AV15:AV19)), "·", bdRateExtend( S15:S19,X15:X19, AQ15:AQ19,AV15:AV19))</f>
        <v>1.6068780006595063E-6</v>
      </c>
      <c r="BR15" s="50">
        <f>IF( OR(ISBLANK(S15:S19),ISBLANK(AQ15:AQ19), ISBLANK(Y15:Y19),ISBLANK(AW15:AW19)), "·", bdRateExtend( S15:S19,Y15:Y19, AQ15:AQ19,AW15:AW19))</f>
        <v>1.5985290127140672E-6</v>
      </c>
      <c r="BS15" s="50">
        <f>IF( OR(ISBLANK(S15:S19),ISBLANK(AQ15:AQ19), ISBLANK(Z15:Z19),ISBLANK(AX15:AX19)), "·", bdRateExtend( S15:S19,Z15:Z19, AQ15:AQ19,AX15:AX19))</f>
        <v>1.2285090957853129E-6</v>
      </c>
      <c r="BT15" s="50">
        <f>IF( OR(ISBLANK(S15:S19),ISBLANK(AQ15:AQ19), ISBLANK(AA15:AA19),ISBLANK(AY15:AY19)), "·", bdRateExtend( S15:S19,AA15:AA19, AQ15:AQ19,AY15:AY19))</f>
        <v>1.2642923747918644E-6</v>
      </c>
      <c r="BV15" s="58">
        <f t="shared" si="16"/>
        <v>0</v>
      </c>
      <c r="BW15" s="58">
        <f t="shared" si="15"/>
        <v>0</v>
      </c>
      <c r="BX15" s="58">
        <f t="shared" si="15"/>
        <v>0</v>
      </c>
      <c r="BY15" s="58">
        <f t="shared" si="15"/>
        <v>0</v>
      </c>
      <c r="BZ15" s="58">
        <f t="shared" si="15"/>
        <v>0</v>
      </c>
      <c r="CA15" s="58">
        <f t="shared" si="15"/>
        <v>0</v>
      </c>
      <c r="CB15" s="58">
        <f t="shared" si="15"/>
        <v>0</v>
      </c>
      <c r="CC15" s="58">
        <f t="shared" si="15"/>
        <v>0</v>
      </c>
      <c r="CD15" s="58">
        <f t="shared" si="15"/>
        <v>0</v>
      </c>
      <c r="CE15" s="58">
        <f t="shared" si="15"/>
        <v>0</v>
      </c>
      <c r="CF15" s="58">
        <f t="shared" si="15"/>
        <v>0</v>
      </c>
      <c r="CG15" s="58">
        <f t="shared" si="15"/>
        <v>0</v>
      </c>
      <c r="CJ15" t="s">
        <v>233</v>
      </c>
    </row>
    <row r="16" spans="1:88" outlineLevel="1">
      <c r="A16" s="17"/>
      <c r="B16" s="17" t="s">
        <v>64</v>
      </c>
      <c r="C16" s="18" t="s">
        <v>234</v>
      </c>
      <c r="D16" s="17">
        <v>322589704</v>
      </c>
      <c r="E16" s="18">
        <v>10</v>
      </c>
      <c r="F16" s="18">
        <v>32</v>
      </c>
      <c r="G16" s="18">
        <v>30</v>
      </c>
      <c r="I16" s="19">
        <f t="shared" si="0"/>
        <v>2.1144375000000002</v>
      </c>
      <c r="J16" s="20">
        <f t="shared" si="1"/>
        <v>6.9915436606743037E-3</v>
      </c>
      <c r="K16" s="20">
        <f t="shared" si="2"/>
        <v>5.4071657538084352E-3</v>
      </c>
      <c r="L16" s="20">
        <f t="shared" si="3"/>
        <v>3.2959762410768078E-3</v>
      </c>
      <c r="M16" s="20">
        <f t="shared" si="4"/>
        <v>1.5839811180086516E-3</v>
      </c>
      <c r="N16" s="17">
        <f t="shared" si="5"/>
        <v>1744296</v>
      </c>
      <c r="O16" s="20">
        <v>16</v>
      </c>
      <c r="P16" s="21">
        <v>33874164</v>
      </c>
      <c r="Q16" s="21">
        <v>1058567.625</v>
      </c>
      <c r="R16" s="21">
        <v>36864.21875</v>
      </c>
      <c r="S16" s="22">
        <v>2255400</v>
      </c>
      <c r="T16" s="22">
        <v>1063248</v>
      </c>
      <c r="U16" s="22">
        <v>681048</v>
      </c>
      <c r="V16" s="22">
        <v>510976</v>
      </c>
      <c r="W16" s="23">
        <v>68.029634000000001</v>
      </c>
      <c r="X16" s="23">
        <v>70.006816000000001</v>
      </c>
      <c r="Y16" s="23">
        <v>31.568781000000001</v>
      </c>
      <c r="Z16" s="23">
        <v>44.070134000000003</v>
      </c>
      <c r="AA16" s="23">
        <v>44.423062999999999</v>
      </c>
      <c r="AB16" s="24">
        <v>5764.64</v>
      </c>
      <c r="AC16" s="24">
        <v>3445.88</v>
      </c>
      <c r="AD16" s="24">
        <v>106.476</v>
      </c>
      <c r="AE16" s="24">
        <v>18.404</v>
      </c>
      <c r="AG16" s="19">
        <f t="shared" si="6"/>
        <v>2.1144449999999999</v>
      </c>
      <c r="AH16" s="20">
        <f t="shared" si="7"/>
        <v>6.9915684599778797E-3</v>
      </c>
      <c r="AI16" s="20">
        <f t="shared" si="8"/>
        <v>5.4071905531120111E-3</v>
      </c>
      <c r="AJ16" s="20">
        <f t="shared" si="9"/>
        <v>3.2959762410768078E-3</v>
      </c>
      <c r="AK16" s="20">
        <f t="shared" si="10"/>
        <v>1.5839811180086516E-3</v>
      </c>
      <c r="AL16" s="17">
        <f t="shared" si="11"/>
        <v>1744304</v>
      </c>
      <c r="AM16" s="20">
        <v>16</v>
      </c>
      <c r="AN16" s="21">
        <v>33874164</v>
      </c>
      <c r="AO16" s="21">
        <v>1058567.625</v>
      </c>
      <c r="AP16" s="21">
        <v>36864.21875</v>
      </c>
      <c r="AQ16" s="22">
        <v>2255408</v>
      </c>
      <c r="AR16" s="22">
        <v>1063248</v>
      </c>
      <c r="AS16" s="22">
        <v>681056</v>
      </c>
      <c r="AT16" s="22">
        <v>510976</v>
      </c>
      <c r="AU16" s="23">
        <v>68.029634000000001</v>
      </c>
      <c r="AV16" s="23">
        <v>70.006816000000001</v>
      </c>
      <c r="AW16" s="23">
        <v>31.568781000000001</v>
      </c>
      <c r="AX16" s="23">
        <v>44.070134000000003</v>
      </c>
      <c r="AY16" s="23">
        <v>44.423062999999999</v>
      </c>
      <c r="AZ16" s="24">
        <v>4786.76</v>
      </c>
      <c r="BA16" s="24">
        <v>2942.37</v>
      </c>
      <c r="BB16" s="24">
        <v>89.53</v>
      </c>
      <c r="BC16" s="24">
        <v>14.430999999999999</v>
      </c>
      <c r="BE16" s="49">
        <f t="shared" si="12"/>
        <v>1.0000045863775413</v>
      </c>
      <c r="BF16" s="25">
        <f t="shared" si="13"/>
        <v>0</v>
      </c>
      <c r="BG16" s="25">
        <f t="shared" si="14"/>
        <v>8.0380476097374753E-7</v>
      </c>
      <c r="BH16" s="25"/>
      <c r="BJ16" s="49"/>
      <c r="BK16" s="49"/>
      <c r="BL16" s="49"/>
      <c r="BM16" s="49"/>
      <c r="BN16" s="49"/>
      <c r="BP16" s="49"/>
      <c r="BQ16" s="49"/>
      <c r="BR16" s="49"/>
      <c r="BS16" s="49"/>
      <c r="BT16" s="49"/>
      <c r="BV16" s="58">
        <f t="shared" si="16"/>
        <v>0</v>
      </c>
      <c r="BW16" s="58">
        <f t="shared" si="15"/>
        <v>0</v>
      </c>
      <c r="BX16" s="58">
        <f t="shared" si="15"/>
        <v>0</v>
      </c>
      <c r="BY16" s="58">
        <f t="shared" si="15"/>
        <v>8</v>
      </c>
      <c r="BZ16" s="58">
        <f t="shared" si="15"/>
        <v>0</v>
      </c>
      <c r="CA16" s="58">
        <f t="shared" si="15"/>
        <v>8</v>
      </c>
      <c r="CB16" s="58">
        <f t="shared" si="15"/>
        <v>0</v>
      </c>
      <c r="CC16" s="58">
        <f t="shared" si="15"/>
        <v>0</v>
      </c>
      <c r="CD16" s="58">
        <f t="shared" si="15"/>
        <v>0</v>
      </c>
      <c r="CE16" s="58">
        <f t="shared" si="15"/>
        <v>0</v>
      </c>
      <c r="CF16" s="58">
        <f t="shared" si="15"/>
        <v>0</v>
      </c>
      <c r="CG16" s="58">
        <f t="shared" si="15"/>
        <v>0</v>
      </c>
      <c r="CJ16" t="s">
        <v>233</v>
      </c>
    </row>
    <row r="17" spans="1:88" outlineLevel="1">
      <c r="A17" s="52"/>
      <c r="B17" s="52" t="s">
        <v>64</v>
      </c>
      <c r="C17" s="9" t="s">
        <v>235</v>
      </c>
      <c r="D17" s="52">
        <v>322589704</v>
      </c>
      <c r="E17" s="9">
        <v>10</v>
      </c>
      <c r="F17" s="9">
        <v>32</v>
      </c>
      <c r="G17" s="9">
        <v>30</v>
      </c>
      <c r="I17" s="10">
        <f t="shared" si="0"/>
        <v>2.9846925</v>
      </c>
      <c r="J17" s="11">
        <f t="shared" si="1"/>
        <v>9.8691060518162101E-3</v>
      </c>
      <c r="K17" s="11">
        <f t="shared" si="2"/>
        <v>6.6119159215323247E-3</v>
      </c>
      <c r="L17" s="11">
        <f t="shared" si="3"/>
        <v>4.5007264088006973E-3</v>
      </c>
      <c r="M17" s="11">
        <f t="shared" si="4"/>
        <v>3.2567933414266686E-3</v>
      </c>
      <c r="N17" s="52">
        <f t="shared" si="5"/>
        <v>2132936</v>
      </c>
      <c r="O17" s="11">
        <v>16</v>
      </c>
      <c r="P17" s="12">
        <v>33778649</v>
      </c>
      <c r="Q17" s="12">
        <v>1055582.78125</v>
      </c>
      <c r="R17" s="12">
        <v>37421.1875</v>
      </c>
      <c r="S17" s="13">
        <v>3183672</v>
      </c>
      <c r="T17" s="13">
        <v>1451888</v>
      </c>
      <c r="U17" s="13">
        <v>681048</v>
      </c>
      <c r="V17" s="13">
        <v>1050608</v>
      </c>
      <c r="W17" s="14">
        <v>69.351502999999994</v>
      </c>
      <c r="X17" s="14">
        <v>71.840316000000001</v>
      </c>
      <c r="Y17" s="14">
        <v>33.951681000000001</v>
      </c>
      <c r="Z17" s="14">
        <v>45.159981000000002</v>
      </c>
      <c r="AA17" s="14">
        <v>45.538837999999998</v>
      </c>
      <c r="AB17" s="15">
        <v>5169.71</v>
      </c>
      <c r="AC17" s="15">
        <v>3339.64</v>
      </c>
      <c r="AD17" s="15">
        <v>89.619</v>
      </c>
      <c r="AE17" s="15">
        <v>14.848000000000001</v>
      </c>
      <c r="AG17" s="10">
        <f t="shared" si="6"/>
        <v>2.9847000000000001</v>
      </c>
      <c r="AH17" s="11">
        <f t="shared" si="7"/>
        <v>9.869130851119786E-3</v>
      </c>
      <c r="AI17" s="11">
        <f t="shared" si="8"/>
        <v>6.6119407208359016E-3</v>
      </c>
      <c r="AJ17" s="11">
        <f t="shared" si="9"/>
        <v>4.5007264088006973E-3</v>
      </c>
      <c r="AK17" s="11">
        <f t="shared" si="10"/>
        <v>3.2567933414266686E-3</v>
      </c>
      <c r="AL17" s="52">
        <f t="shared" si="11"/>
        <v>2132944</v>
      </c>
      <c r="AM17" s="11">
        <v>16</v>
      </c>
      <c r="AN17" s="12">
        <v>33778649</v>
      </c>
      <c r="AO17" s="12">
        <v>1055582.78125</v>
      </c>
      <c r="AP17" s="12">
        <v>37421.1875</v>
      </c>
      <c r="AQ17" s="13">
        <v>3183680</v>
      </c>
      <c r="AR17" s="13">
        <v>1451888</v>
      </c>
      <c r="AS17" s="13">
        <v>681056</v>
      </c>
      <c r="AT17" s="13">
        <v>1050608</v>
      </c>
      <c r="AU17" s="14">
        <v>69.351502999999994</v>
      </c>
      <c r="AV17" s="14">
        <v>71.840316000000001</v>
      </c>
      <c r="AW17" s="14">
        <v>33.951681000000001</v>
      </c>
      <c r="AX17" s="14">
        <v>45.159981000000002</v>
      </c>
      <c r="AY17" s="14">
        <v>45.538837999999998</v>
      </c>
      <c r="AZ17" s="15">
        <v>4975.74</v>
      </c>
      <c r="BA17" s="15">
        <v>3234.56</v>
      </c>
      <c r="BB17" s="15">
        <v>88.817999999999998</v>
      </c>
      <c r="BC17" s="15">
        <v>15.404999999999999</v>
      </c>
      <c r="BE17" s="50">
        <f t="shared" si="12"/>
        <v>1.0000037506985677</v>
      </c>
      <c r="BF17" s="16">
        <f t="shared" si="13"/>
        <v>0</v>
      </c>
      <c r="BG17" s="16">
        <f t="shared" si="14"/>
        <v>8.2932712874850267E-7</v>
      </c>
      <c r="BH17" s="16"/>
      <c r="BJ17" s="50"/>
      <c r="BK17" s="50"/>
      <c r="BL17" s="50"/>
      <c r="BM17" s="50"/>
      <c r="BN17" s="50"/>
      <c r="BP17" s="50"/>
      <c r="BQ17" s="50"/>
      <c r="BR17" s="50"/>
      <c r="BS17" s="50"/>
      <c r="BT17" s="50"/>
      <c r="BV17" s="58">
        <f t="shared" si="16"/>
        <v>0</v>
      </c>
      <c r="BW17" s="58">
        <f t="shared" si="15"/>
        <v>0</v>
      </c>
      <c r="BX17" s="58">
        <f t="shared" si="15"/>
        <v>0</v>
      </c>
      <c r="BY17" s="58">
        <f t="shared" si="15"/>
        <v>8</v>
      </c>
      <c r="BZ17" s="58">
        <f t="shared" si="15"/>
        <v>0</v>
      </c>
      <c r="CA17" s="58">
        <f t="shared" si="15"/>
        <v>8</v>
      </c>
      <c r="CB17" s="58">
        <f t="shared" si="15"/>
        <v>0</v>
      </c>
      <c r="CC17" s="58">
        <f t="shared" si="15"/>
        <v>0</v>
      </c>
      <c r="CD17" s="58">
        <f t="shared" si="15"/>
        <v>0</v>
      </c>
      <c r="CE17" s="58">
        <f t="shared" si="15"/>
        <v>0</v>
      </c>
      <c r="CF17" s="58">
        <f t="shared" si="15"/>
        <v>0</v>
      </c>
      <c r="CG17" s="58">
        <f t="shared" si="15"/>
        <v>0</v>
      </c>
      <c r="CJ17" t="s">
        <v>233</v>
      </c>
    </row>
    <row r="18" spans="1:88" outlineLevel="1">
      <c r="A18" s="17"/>
      <c r="B18" s="17" t="s">
        <v>64</v>
      </c>
      <c r="C18" s="18" t="s">
        <v>236</v>
      </c>
      <c r="D18" s="17">
        <v>322589704</v>
      </c>
      <c r="E18" s="18">
        <v>10</v>
      </c>
      <c r="F18" s="18">
        <v>32</v>
      </c>
      <c r="G18" s="18">
        <v>30</v>
      </c>
      <c r="I18" s="19">
        <f t="shared" si="0"/>
        <v>5.2616250000000004</v>
      </c>
      <c r="J18" s="20">
        <f t="shared" si="1"/>
        <v>1.7397951423768938E-2</v>
      </c>
      <c r="K18" s="20">
        <f t="shared" si="2"/>
        <v>9.8740163139242661E-3</v>
      </c>
      <c r="L18" s="20">
        <f t="shared" si="3"/>
        <v>7.7628268011926379E-3</v>
      </c>
      <c r="M18" s="20">
        <f t="shared" si="4"/>
        <v>7.5235383209874551E-3</v>
      </c>
      <c r="N18" s="17">
        <f t="shared" si="5"/>
        <v>3185256</v>
      </c>
      <c r="O18" s="20">
        <v>16</v>
      </c>
      <c r="P18" s="21">
        <v>34914325</v>
      </c>
      <c r="Q18" s="21">
        <v>1091072.65625</v>
      </c>
      <c r="R18" s="21">
        <v>41603.21875</v>
      </c>
      <c r="S18" s="22">
        <v>5612400</v>
      </c>
      <c r="T18" s="22">
        <v>2504208</v>
      </c>
      <c r="U18" s="22">
        <v>681048</v>
      </c>
      <c r="V18" s="22">
        <v>2427016</v>
      </c>
      <c r="W18" s="23">
        <v>70.529849999999996</v>
      </c>
      <c r="X18" s="23">
        <v>73.133384000000007</v>
      </c>
      <c r="Y18" s="23">
        <v>36.284100000000002</v>
      </c>
      <c r="Z18" s="23">
        <v>46.412683999999999</v>
      </c>
      <c r="AA18" s="23">
        <v>47.006613000000002</v>
      </c>
      <c r="AB18" s="24">
        <v>5928.06</v>
      </c>
      <c r="AC18" s="24">
        <v>4673.46</v>
      </c>
      <c r="AD18" s="24">
        <v>103.901</v>
      </c>
      <c r="AE18" s="24">
        <v>22.189</v>
      </c>
      <c r="AG18" s="19">
        <f t="shared" si="6"/>
        <v>5.2616250000000004</v>
      </c>
      <c r="AH18" s="20">
        <f t="shared" si="7"/>
        <v>1.7397951423768938E-2</v>
      </c>
      <c r="AI18" s="20">
        <f t="shared" si="8"/>
        <v>9.8740163139242661E-3</v>
      </c>
      <c r="AJ18" s="20">
        <f t="shared" si="9"/>
        <v>7.7628268011926379E-3</v>
      </c>
      <c r="AK18" s="20">
        <f t="shared" si="10"/>
        <v>7.5235383209874551E-3</v>
      </c>
      <c r="AL18" s="17">
        <f t="shared" si="11"/>
        <v>3185256</v>
      </c>
      <c r="AM18" s="20">
        <v>16</v>
      </c>
      <c r="AN18" s="21">
        <v>34914325</v>
      </c>
      <c r="AO18" s="21">
        <v>1091072.65625</v>
      </c>
      <c r="AP18" s="21">
        <v>41603.21875</v>
      </c>
      <c r="AQ18" s="22">
        <v>5612400</v>
      </c>
      <c r="AR18" s="22">
        <v>2504208</v>
      </c>
      <c r="AS18" s="22">
        <v>681048</v>
      </c>
      <c r="AT18" s="22">
        <v>2427016</v>
      </c>
      <c r="AU18" s="23">
        <v>70.529849999999996</v>
      </c>
      <c r="AV18" s="23">
        <v>73.133384000000007</v>
      </c>
      <c r="AW18" s="23">
        <v>36.284100000000002</v>
      </c>
      <c r="AX18" s="23">
        <v>46.412683999999999</v>
      </c>
      <c r="AY18" s="23">
        <v>47.006613000000002</v>
      </c>
      <c r="AZ18" s="24">
        <v>4610.99</v>
      </c>
      <c r="BA18" s="24">
        <v>3402.86</v>
      </c>
      <c r="BB18" s="24">
        <v>87.438000000000002</v>
      </c>
      <c r="BC18" s="24">
        <v>15.319000000000001</v>
      </c>
      <c r="BE18" s="49">
        <f t="shared" si="12"/>
        <v>1</v>
      </c>
      <c r="BF18" s="25">
        <f t="shared" si="13"/>
        <v>0</v>
      </c>
      <c r="BG18" s="25">
        <f t="shared" si="14"/>
        <v>0</v>
      </c>
      <c r="BH18" s="25"/>
      <c r="BJ18" s="49"/>
      <c r="BK18" s="49"/>
      <c r="BL18" s="49"/>
      <c r="BM18" s="49"/>
      <c r="BN18" s="49"/>
      <c r="BP18" s="49"/>
      <c r="BQ18" s="49"/>
      <c r="BR18" s="49"/>
      <c r="BS18" s="49"/>
      <c r="BT18" s="49"/>
      <c r="BV18" s="58">
        <f t="shared" si="16"/>
        <v>0</v>
      </c>
      <c r="BW18" s="58">
        <f t="shared" si="15"/>
        <v>0</v>
      </c>
      <c r="BX18" s="58">
        <f t="shared" si="15"/>
        <v>0</v>
      </c>
      <c r="BY18" s="58">
        <f t="shared" si="15"/>
        <v>0</v>
      </c>
      <c r="BZ18" s="58">
        <f t="shared" si="15"/>
        <v>0</v>
      </c>
      <c r="CA18" s="58">
        <f t="shared" si="15"/>
        <v>0</v>
      </c>
      <c r="CB18" s="58">
        <f t="shared" si="15"/>
        <v>0</v>
      </c>
      <c r="CC18" s="58">
        <f t="shared" si="15"/>
        <v>0</v>
      </c>
      <c r="CD18" s="58">
        <f t="shared" si="15"/>
        <v>0</v>
      </c>
      <c r="CE18" s="58">
        <f t="shared" si="15"/>
        <v>0</v>
      </c>
      <c r="CF18" s="58">
        <f t="shared" si="15"/>
        <v>0</v>
      </c>
      <c r="CG18" s="58">
        <f t="shared" si="15"/>
        <v>0</v>
      </c>
      <c r="CJ18" t="s">
        <v>233</v>
      </c>
    </row>
    <row r="19" spans="1:88" ht="16" outlineLevel="1" thickBot="1">
      <c r="A19" s="52"/>
      <c r="B19" s="26" t="s">
        <v>64</v>
      </c>
      <c r="C19" s="27" t="s">
        <v>237</v>
      </c>
      <c r="D19" s="26">
        <v>322589704</v>
      </c>
      <c r="E19" s="27">
        <v>10</v>
      </c>
      <c r="F19" s="27">
        <v>32</v>
      </c>
      <c r="G19" s="27">
        <v>30</v>
      </c>
      <c r="I19" s="28">
        <f t="shared" si="0"/>
        <v>11.399850000000001</v>
      </c>
      <c r="J19" s="29">
        <f t="shared" si="1"/>
        <v>3.7694445449505107E-2</v>
      </c>
      <c r="K19" s="29">
        <f t="shared" si="2"/>
        <v>1.7400728945769453E-2</v>
      </c>
      <c r="L19" s="29">
        <f t="shared" si="3"/>
        <v>1.2811841012755943E-2</v>
      </c>
      <c r="M19" s="29">
        <f t="shared" si="4"/>
        <v>2.0293319714878438E-2</v>
      </c>
      <c r="N19" s="26">
        <f t="shared" si="5"/>
        <v>5613296</v>
      </c>
      <c r="O19" s="29">
        <v>16</v>
      </c>
      <c r="P19" s="30">
        <v>33019287</v>
      </c>
      <c r="Q19" s="30">
        <v>1031852.71875</v>
      </c>
      <c r="R19" s="30">
        <v>17790.15625</v>
      </c>
      <c r="S19" s="31">
        <v>12159840</v>
      </c>
      <c r="T19" s="31">
        <v>4132968</v>
      </c>
      <c r="U19" s="31">
        <v>1480328</v>
      </c>
      <c r="V19" s="31">
        <v>6546416</v>
      </c>
      <c r="W19" s="32">
        <v>71.185569000000001</v>
      </c>
      <c r="X19" s="32">
        <v>75.071019000000007</v>
      </c>
      <c r="Y19" s="32">
        <v>38.708165999999999</v>
      </c>
      <c r="Z19" s="32">
        <v>48.191471999999997</v>
      </c>
      <c r="AA19" s="32">
        <v>48.813738000000001</v>
      </c>
      <c r="AB19" s="33">
        <v>5007.57</v>
      </c>
      <c r="AC19" s="33">
        <v>4063.01</v>
      </c>
      <c r="AD19" s="33">
        <v>80.525999999999996</v>
      </c>
      <c r="AE19" s="33">
        <v>16.516999999999999</v>
      </c>
      <c r="AG19" s="28">
        <f t="shared" si="6"/>
        <v>11.399850000000001</v>
      </c>
      <c r="AH19" s="29">
        <f t="shared" si="7"/>
        <v>3.7694445449505107E-2</v>
      </c>
      <c r="AI19" s="29">
        <f t="shared" si="8"/>
        <v>1.7400728945769453E-2</v>
      </c>
      <c r="AJ19" s="29">
        <f t="shared" si="9"/>
        <v>1.2811841012755943E-2</v>
      </c>
      <c r="AK19" s="29">
        <f t="shared" si="10"/>
        <v>2.0293319714878438E-2</v>
      </c>
      <c r="AL19" s="26">
        <f t="shared" si="11"/>
        <v>5613296</v>
      </c>
      <c r="AM19" s="29">
        <v>16</v>
      </c>
      <c r="AN19" s="30">
        <v>33019287</v>
      </c>
      <c r="AO19" s="30">
        <v>1031852.71875</v>
      </c>
      <c r="AP19" s="30">
        <v>17790.15625</v>
      </c>
      <c r="AQ19" s="31">
        <v>12159840</v>
      </c>
      <c r="AR19" s="31">
        <v>4132968</v>
      </c>
      <c r="AS19" s="31">
        <v>1480328</v>
      </c>
      <c r="AT19" s="31">
        <v>6546416</v>
      </c>
      <c r="AU19" s="32">
        <v>71.185569000000001</v>
      </c>
      <c r="AV19" s="32">
        <v>75.071019000000007</v>
      </c>
      <c r="AW19" s="32">
        <v>38.708165999999999</v>
      </c>
      <c r="AX19" s="32">
        <v>48.191471999999997</v>
      </c>
      <c r="AY19" s="32">
        <v>48.813738000000001</v>
      </c>
      <c r="AZ19" s="33">
        <v>4707.0600000000004</v>
      </c>
      <c r="BA19" s="33">
        <v>3906.55</v>
      </c>
      <c r="BB19" s="33">
        <v>81.033000000000001</v>
      </c>
      <c r="BC19" s="33">
        <v>16.954000000000001</v>
      </c>
      <c r="BE19" s="34">
        <f t="shared" si="12"/>
        <v>1</v>
      </c>
      <c r="BF19" s="35">
        <f t="shared" si="13"/>
        <v>0</v>
      </c>
      <c r="BG19" s="35">
        <f t="shared" si="14"/>
        <v>0</v>
      </c>
      <c r="BH19" s="35"/>
      <c r="BJ19" s="34"/>
      <c r="BK19" s="34"/>
      <c r="BL19" s="34"/>
      <c r="BM19" s="34"/>
      <c r="BN19" s="34"/>
      <c r="BP19" s="34"/>
      <c r="BQ19" s="34"/>
      <c r="BR19" s="34"/>
      <c r="BS19" s="34"/>
      <c r="BT19" s="34"/>
      <c r="BV19" s="58">
        <f t="shared" si="16"/>
        <v>0</v>
      </c>
      <c r="BW19" s="58">
        <f t="shared" si="15"/>
        <v>0</v>
      </c>
      <c r="BX19" s="58">
        <f t="shared" si="15"/>
        <v>0</v>
      </c>
      <c r="BY19" s="58">
        <f t="shared" si="15"/>
        <v>0</v>
      </c>
      <c r="BZ19" s="58">
        <f t="shared" si="15"/>
        <v>0</v>
      </c>
      <c r="CA19" s="58">
        <f t="shared" si="15"/>
        <v>0</v>
      </c>
      <c r="CB19" s="58">
        <f t="shared" si="15"/>
        <v>0</v>
      </c>
      <c r="CC19" s="58">
        <f t="shared" si="15"/>
        <v>0</v>
      </c>
      <c r="CD19" s="58">
        <f t="shared" si="15"/>
        <v>0</v>
      </c>
      <c r="CE19" s="58">
        <f t="shared" si="15"/>
        <v>0</v>
      </c>
      <c r="CF19" s="58">
        <f t="shared" si="15"/>
        <v>0</v>
      </c>
      <c r="CG19" s="58">
        <f t="shared" si="15"/>
        <v>0</v>
      </c>
      <c r="CJ19" t="s">
        <v>233</v>
      </c>
    </row>
    <row r="20" spans="1:88">
      <c r="A20" s="17"/>
      <c r="B20" s="17" t="s">
        <v>70</v>
      </c>
      <c r="C20" s="18" t="s">
        <v>232</v>
      </c>
      <c r="D20" s="17">
        <v>250602891</v>
      </c>
      <c r="E20" s="18">
        <v>10</v>
      </c>
      <c r="F20" s="18">
        <v>32</v>
      </c>
      <c r="G20" s="18">
        <v>50</v>
      </c>
      <c r="I20" s="19">
        <f t="shared" si="0"/>
        <v>2.0159500000000001</v>
      </c>
      <c r="J20" s="20">
        <f t="shared" si="1"/>
        <v>5.1484162646790853E-3</v>
      </c>
      <c r="K20" s="20">
        <f t="shared" si="2"/>
        <v>3.9993153949688474E-3</v>
      </c>
      <c r="L20" s="20">
        <f t="shared" si="3"/>
        <v>2.2733975562955495E-3</v>
      </c>
      <c r="M20" s="20">
        <f t="shared" si="4"/>
        <v>1.1485901014605614E-3</v>
      </c>
      <c r="N20" s="17">
        <f t="shared" si="5"/>
        <v>1002240</v>
      </c>
      <c r="O20" s="20">
        <v>16</v>
      </c>
      <c r="P20" s="21">
        <v>27244216</v>
      </c>
      <c r="Q20" s="21">
        <v>851381.75</v>
      </c>
      <c r="R20" s="21">
        <v>24377.1875</v>
      </c>
      <c r="S20" s="22">
        <v>1290208</v>
      </c>
      <c r="T20" s="22">
        <v>569720</v>
      </c>
      <c r="U20" s="22">
        <v>432520</v>
      </c>
      <c r="V20" s="22">
        <v>287840</v>
      </c>
      <c r="W20" s="23">
        <v>66.828840999999997</v>
      </c>
      <c r="X20" s="23">
        <v>68.925630999999996</v>
      </c>
      <c r="Y20" s="23">
        <v>30.076011999999999</v>
      </c>
      <c r="Z20" s="23">
        <v>39.463031000000001</v>
      </c>
      <c r="AA20" s="23">
        <v>37.891691000000002</v>
      </c>
      <c r="AB20" s="24">
        <v>5276.13</v>
      </c>
      <c r="AC20" s="24">
        <v>3342.19</v>
      </c>
      <c r="AD20" s="24">
        <v>75.501999999999995</v>
      </c>
      <c r="AE20" s="24">
        <v>15.932</v>
      </c>
      <c r="AG20" s="19">
        <f t="shared" si="6"/>
        <v>2.0159625000000001</v>
      </c>
      <c r="AH20" s="20">
        <f t="shared" si="7"/>
        <v>5.1484481876946904E-3</v>
      </c>
      <c r="AI20" s="20">
        <f t="shared" si="8"/>
        <v>3.9993473179844525E-3</v>
      </c>
      <c r="AJ20" s="20">
        <f t="shared" si="9"/>
        <v>2.2733975562955495E-3</v>
      </c>
      <c r="AK20" s="20">
        <f t="shared" si="10"/>
        <v>1.1485901014605614E-3</v>
      </c>
      <c r="AL20" s="17">
        <f t="shared" si="11"/>
        <v>1002248</v>
      </c>
      <c r="AM20" s="20">
        <v>16</v>
      </c>
      <c r="AN20" s="21">
        <v>27244216</v>
      </c>
      <c r="AO20" s="21">
        <v>851381.75</v>
      </c>
      <c r="AP20" s="21">
        <v>24377.1875</v>
      </c>
      <c r="AQ20" s="22">
        <v>1290216</v>
      </c>
      <c r="AR20" s="22">
        <v>569720</v>
      </c>
      <c r="AS20" s="22">
        <v>432528</v>
      </c>
      <c r="AT20" s="22">
        <v>287840</v>
      </c>
      <c r="AU20" s="23">
        <v>66.828840999999997</v>
      </c>
      <c r="AV20" s="23">
        <v>68.925630999999996</v>
      </c>
      <c r="AW20" s="23">
        <v>30.076011999999999</v>
      </c>
      <c r="AX20" s="23">
        <v>39.463031000000001</v>
      </c>
      <c r="AY20" s="23">
        <v>37.891691000000002</v>
      </c>
      <c r="AZ20" s="24">
        <v>4192.34</v>
      </c>
      <c r="BA20" s="24">
        <v>2817.79</v>
      </c>
      <c r="BB20" s="24">
        <v>67.944999999999993</v>
      </c>
      <c r="BC20" s="24">
        <v>14.535</v>
      </c>
      <c r="BE20" s="49">
        <f t="shared" si="12"/>
        <v>1.0000079821200512</v>
      </c>
      <c r="BF20" s="25">
        <f t="shared" si="13"/>
        <v>0</v>
      </c>
      <c r="BG20" s="25">
        <f t="shared" si="14"/>
        <v>1.3839234342949425E-6</v>
      </c>
      <c r="BH20" s="25">
        <f t="array" ref="BH20">AVERAGE(AL20:AL24/AQ20:AQ24) - AVERAGE(N20:N24/S20:S24)</f>
        <v>1.7525597317824548E-7</v>
      </c>
      <c r="BJ20" s="49">
        <f>IF( OR(ISBLANK(N20:N24),ISBLANK(AL20:AL24), ISBLANK(W20:W24),ISBLANK(AU20:AU24)), "·", bdRateExtend( N20:N24,W20:W24, AL20:AL24,AU20:AU24))</f>
        <v>1.1229383138910976E-6</v>
      </c>
      <c r="BK20" s="49">
        <f>IF( OR(ISBLANK(N20:N24),ISBLANK(AL20:AL24), ISBLANK(X20:X24),ISBLANK(AV20:AV24)), "·", bdRateExtend( N20:N24,X20:X24, AL20:AL24,AV20:AV24))</f>
        <v>9.6073865218926358E-7</v>
      </c>
      <c r="BL20" s="49">
        <f>IF( OR(ISBLANK(V20:V24),ISBLANK(AT20:AT24), ISBLANK(Y20:Y24),ISBLANK(AW20:AW24)), "·", bdRateExtend( V20:V24,Y20:Y24, AT20:AT24,AW20:AW24))</f>
        <v>0</v>
      </c>
      <c r="BM20" s="49">
        <f>IF( OR(ISBLANK(V20:V24),ISBLANK(AT20:AT24), ISBLANK(Z20:Z24),ISBLANK(AX20:AX24)), "·", bdRateExtend( V20:V24,Z20:Z24, AT20:AT24,AX20:AX24))</f>
        <v>0</v>
      </c>
      <c r="BN20" s="49">
        <f>IF( OR(ISBLANK(V20:V24),ISBLANK(AT20:AT24), ISBLANK(AA20:AA24),ISBLANK(AY20:AY24)), "·", bdRateExtend( V20:V24,AA20:AA24, AT20:AT24,AY20:AY24))</f>
        <v>0</v>
      </c>
      <c r="BP20" s="49">
        <f>IF( OR(ISBLANK(S20:S24),ISBLANK(AQ20:AQ24), ISBLANK(W20:W24),ISBLANK(AU20:AU24)), "·", bdRateExtend( S20:S24,W20:W24, AQ20:AQ24,AU20:AU24))</f>
        <v>9.253214880988736E-7</v>
      </c>
      <c r="BQ20" s="49">
        <f>IF( OR(ISBLANK(S20:S24),ISBLANK(AQ20:AQ24), ISBLANK(X20:X24),ISBLANK(AV20:AV24)), "·", bdRateExtend( S20:S24,X20:X24, AQ20:AQ24,AV20:AV24))</f>
        <v>8.1786200833988687E-7</v>
      </c>
      <c r="BR20" s="49">
        <f>IF( OR(ISBLANK(S20:S24),ISBLANK(AQ20:AQ24), ISBLANK(Y20:Y24),ISBLANK(AW20:AW24)), "·", bdRateExtend( S20:S24,Y20:Y24, AQ20:AQ24,AW20:AW24))</f>
        <v>4.260555372948005E-7</v>
      </c>
      <c r="BS20" s="49">
        <f>IF( OR(ISBLANK(S20:S24),ISBLANK(AQ20:AQ24), ISBLANK(Z20:Z24),ISBLANK(AX20:AX24)), "·", bdRateExtend( S20:S24,Z20:Z24, AQ20:AQ24,AX20:AX24))</f>
        <v>4.9865393392245494E-7</v>
      </c>
      <c r="BT20" s="49">
        <f>IF( OR(ISBLANK(S20:S24),ISBLANK(AQ20:AQ24), ISBLANK(AA20:AA24),ISBLANK(AY20:AY24)), "·", bdRateExtend( S20:S24,AA20:AA24, AQ20:AQ24,AY20:AY24))</f>
        <v>6.7942340531423895E-7</v>
      </c>
      <c r="BV20" s="58">
        <f t="shared" si="16"/>
        <v>0</v>
      </c>
      <c r="BW20" s="58">
        <f t="shared" si="15"/>
        <v>0</v>
      </c>
      <c r="BX20" s="58">
        <f t="shared" si="15"/>
        <v>0</v>
      </c>
      <c r="BY20" s="58">
        <f t="shared" si="15"/>
        <v>8</v>
      </c>
      <c r="BZ20" s="58">
        <f t="shared" si="15"/>
        <v>0</v>
      </c>
      <c r="CA20" s="58">
        <f t="shared" si="15"/>
        <v>8</v>
      </c>
      <c r="CB20" s="58">
        <f t="shared" si="15"/>
        <v>0</v>
      </c>
      <c r="CC20" s="58">
        <f t="shared" si="15"/>
        <v>0</v>
      </c>
      <c r="CD20" s="58">
        <f t="shared" si="15"/>
        <v>0</v>
      </c>
      <c r="CE20" s="58">
        <f t="shared" si="15"/>
        <v>0</v>
      </c>
      <c r="CF20" s="58">
        <f t="shared" si="15"/>
        <v>0</v>
      </c>
      <c r="CG20" s="58">
        <f t="shared" si="15"/>
        <v>0</v>
      </c>
      <c r="CJ20" t="s">
        <v>239</v>
      </c>
    </row>
    <row r="21" spans="1:88" outlineLevel="1">
      <c r="A21" s="52"/>
      <c r="B21" s="52" t="s">
        <v>70</v>
      </c>
      <c r="C21" s="9" t="s">
        <v>234</v>
      </c>
      <c r="D21" s="52">
        <v>250602891</v>
      </c>
      <c r="E21" s="9">
        <v>10</v>
      </c>
      <c r="F21" s="9">
        <v>32</v>
      </c>
      <c r="G21" s="9">
        <v>50</v>
      </c>
      <c r="I21" s="10">
        <f t="shared" si="0"/>
        <v>2.6897625000000001</v>
      </c>
      <c r="J21" s="11">
        <f t="shared" si="1"/>
        <v>6.869226420855616E-3</v>
      </c>
      <c r="K21" s="11">
        <f t="shared" si="2"/>
        <v>4.7132417159545057E-3</v>
      </c>
      <c r="L21" s="11">
        <f t="shared" si="3"/>
        <v>2.9873238772812082E-3</v>
      </c>
      <c r="M21" s="11">
        <f t="shared" si="4"/>
        <v>2.1554739366514333E-3</v>
      </c>
      <c r="N21" s="52">
        <f t="shared" si="5"/>
        <v>1181152</v>
      </c>
      <c r="O21" s="11">
        <v>16</v>
      </c>
      <c r="P21" s="12">
        <v>28403751</v>
      </c>
      <c r="Q21" s="12">
        <v>887617.21875</v>
      </c>
      <c r="R21" s="12">
        <v>27895.75</v>
      </c>
      <c r="S21" s="13">
        <v>1721448</v>
      </c>
      <c r="T21" s="13">
        <v>748632</v>
      </c>
      <c r="U21" s="13">
        <v>432520</v>
      </c>
      <c r="V21" s="13">
        <v>540168</v>
      </c>
      <c r="W21" s="14">
        <v>68.330271999999994</v>
      </c>
      <c r="X21" s="14">
        <v>71.104647</v>
      </c>
      <c r="Y21" s="14">
        <v>31.514361999999998</v>
      </c>
      <c r="Z21" s="14">
        <v>40.519581000000002</v>
      </c>
      <c r="AA21" s="14">
        <v>39.209949999999999</v>
      </c>
      <c r="AB21" s="15">
        <v>5888.19</v>
      </c>
      <c r="AC21" s="15">
        <v>4215.5600000000004</v>
      </c>
      <c r="AD21" s="15">
        <v>82.331000000000003</v>
      </c>
      <c r="AE21" s="15">
        <v>22.831</v>
      </c>
      <c r="AG21" s="10">
        <f t="shared" si="6"/>
        <v>2.6897625000000001</v>
      </c>
      <c r="AH21" s="11">
        <f t="shared" si="7"/>
        <v>6.869226420855616E-3</v>
      </c>
      <c r="AI21" s="11">
        <f t="shared" si="8"/>
        <v>4.7132417159545057E-3</v>
      </c>
      <c r="AJ21" s="11">
        <f t="shared" si="9"/>
        <v>2.9873238772812082E-3</v>
      </c>
      <c r="AK21" s="11">
        <f t="shared" si="10"/>
        <v>2.1554739366514333E-3</v>
      </c>
      <c r="AL21" s="52">
        <f t="shared" si="11"/>
        <v>1181152</v>
      </c>
      <c r="AM21" s="11">
        <v>16</v>
      </c>
      <c r="AN21" s="12">
        <v>28403751</v>
      </c>
      <c r="AO21" s="12">
        <v>887617.21875</v>
      </c>
      <c r="AP21" s="12">
        <v>27895.75</v>
      </c>
      <c r="AQ21" s="13">
        <v>1721448</v>
      </c>
      <c r="AR21" s="13">
        <v>748632</v>
      </c>
      <c r="AS21" s="13">
        <v>432520</v>
      </c>
      <c r="AT21" s="13">
        <v>540168</v>
      </c>
      <c r="AU21" s="14">
        <v>68.330271999999994</v>
      </c>
      <c r="AV21" s="14">
        <v>71.104647</v>
      </c>
      <c r="AW21" s="14">
        <v>31.514361999999998</v>
      </c>
      <c r="AX21" s="14">
        <v>40.519581000000002</v>
      </c>
      <c r="AY21" s="14">
        <v>39.209949999999999</v>
      </c>
      <c r="AZ21" s="15">
        <v>5146.42</v>
      </c>
      <c r="BA21" s="15">
        <v>3701.44</v>
      </c>
      <c r="BB21" s="15">
        <v>86.150999999999996</v>
      </c>
      <c r="BC21" s="15">
        <v>20.414999999999999</v>
      </c>
      <c r="BE21" s="50">
        <f t="shared" si="12"/>
        <v>1</v>
      </c>
      <c r="BF21" s="16">
        <f t="shared" si="13"/>
        <v>0</v>
      </c>
      <c r="BG21" s="16">
        <f t="shared" si="14"/>
        <v>0</v>
      </c>
      <c r="BH21" s="16"/>
      <c r="BJ21" s="50"/>
      <c r="BK21" s="50"/>
      <c r="BL21" s="50"/>
      <c r="BM21" s="50"/>
      <c r="BN21" s="50"/>
      <c r="BP21" s="50"/>
      <c r="BQ21" s="50"/>
      <c r="BR21" s="50"/>
      <c r="BS21" s="50"/>
      <c r="BT21" s="50"/>
      <c r="BV21" s="58">
        <f t="shared" si="16"/>
        <v>0</v>
      </c>
      <c r="BW21" s="58">
        <f t="shared" si="16"/>
        <v>0</v>
      </c>
      <c r="BX21" s="58">
        <f t="shared" si="16"/>
        <v>0</v>
      </c>
      <c r="BY21" s="58">
        <f t="shared" si="16"/>
        <v>0</v>
      </c>
      <c r="BZ21" s="58">
        <f t="shared" si="16"/>
        <v>0</v>
      </c>
      <c r="CA21" s="58">
        <f t="shared" si="16"/>
        <v>0</v>
      </c>
      <c r="CB21" s="58">
        <f t="shared" si="16"/>
        <v>0</v>
      </c>
      <c r="CC21" s="58">
        <f t="shared" si="16"/>
        <v>0</v>
      </c>
      <c r="CD21" s="58">
        <f t="shared" si="16"/>
        <v>0</v>
      </c>
      <c r="CE21" s="58">
        <f t="shared" si="16"/>
        <v>0</v>
      </c>
      <c r="CF21" s="58">
        <f t="shared" si="16"/>
        <v>0</v>
      </c>
      <c r="CG21" s="58">
        <f t="shared" si="16"/>
        <v>0</v>
      </c>
      <c r="CJ21" t="s">
        <v>239</v>
      </c>
    </row>
    <row r="22" spans="1:88" outlineLevel="1">
      <c r="A22" s="17"/>
      <c r="B22" s="17" t="s">
        <v>70</v>
      </c>
      <c r="C22" s="18" t="s">
        <v>235</v>
      </c>
      <c r="D22" s="17">
        <v>250602891</v>
      </c>
      <c r="E22" s="18">
        <v>10</v>
      </c>
      <c r="F22" s="18">
        <v>32</v>
      </c>
      <c r="G22" s="18">
        <v>50</v>
      </c>
      <c r="I22" s="19">
        <f t="shared" si="0"/>
        <v>4.0568999999999997</v>
      </c>
      <c r="J22" s="20">
        <f t="shared" si="1"/>
        <v>1.0360678560567762E-2</v>
      </c>
      <c r="K22" s="20">
        <f t="shared" si="2"/>
        <v>5.4899606086347983E-3</v>
      </c>
      <c r="L22" s="20">
        <f t="shared" si="3"/>
        <v>3.7640427699615004E-3</v>
      </c>
      <c r="M22" s="20">
        <f t="shared" si="4"/>
        <v>4.8702071836832879E-3</v>
      </c>
      <c r="N22" s="17">
        <f t="shared" si="5"/>
        <v>1375800</v>
      </c>
      <c r="O22" s="20">
        <v>16</v>
      </c>
      <c r="P22" s="21">
        <v>29027099</v>
      </c>
      <c r="Q22" s="21">
        <v>907096.84375</v>
      </c>
      <c r="R22" s="21">
        <v>29371.4375</v>
      </c>
      <c r="S22" s="22">
        <v>2596416</v>
      </c>
      <c r="T22" s="22">
        <v>943280</v>
      </c>
      <c r="U22" s="22">
        <v>432520</v>
      </c>
      <c r="V22" s="22">
        <v>1220488</v>
      </c>
      <c r="W22" s="23">
        <v>69.412541000000004</v>
      </c>
      <c r="X22" s="23">
        <v>72.801675000000003</v>
      </c>
      <c r="Y22" s="23">
        <v>33.267837999999998</v>
      </c>
      <c r="Z22" s="23">
        <v>41.746715999999999</v>
      </c>
      <c r="AA22" s="23">
        <v>40.411003000000001</v>
      </c>
      <c r="AB22" s="24">
        <v>5600.42</v>
      </c>
      <c r="AC22" s="24">
        <v>4299.3900000000003</v>
      </c>
      <c r="AD22" s="24">
        <v>84.415999999999997</v>
      </c>
      <c r="AE22" s="24">
        <v>19.725999999999999</v>
      </c>
      <c r="AG22" s="19">
        <f t="shared" si="6"/>
        <v>4.0568999999999997</v>
      </c>
      <c r="AH22" s="20">
        <f t="shared" si="7"/>
        <v>1.0360678560567762E-2</v>
      </c>
      <c r="AI22" s="20">
        <f t="shared" si="8"/>
        <v>5.4899606086347983E-3</v>
      </c>
      <c r="AJ22" s="20">
        <f t="shared" si="9"/>
        <v>3.7640427699615004E-3</v>
      </c>
      <c r="AK22" s="20">
        <f t="shared" si="10"/>
        <v>4.8702071836832879E-3</v>
      </c>
      <c r="AL22" s="17">
        <f t="shared" si="11"/>
        <v>1375800</v>
      </c>
      <c r="AM22" s="20">
        <v>16</v>
      </c>
      <c r="AN22" s="21">
        <v>29027099</v>
      </c>
      <c r="AO22" s="21">
        <v>907096.84375</v>
      </c>
      <c r="AP22" s="21">
        <v>29371.4375</v>
      </c>
      <c r="AQ22" s="22">
        <v>2596416</v>
      </c>
      <c r="AR22" s="22">
        <v>943280</v>
      </c>
      <c r="AS22" s="22">
        <v>432520</v>
      </c>
      <c r="AT22" s="22">
        <v>1220488</v>
      </c>
      <c r="AU22" s="23">
        <v>69.412541000000004</v>
      </c>
      <c r="AV22" s="23">
        <v>72.801675000000003</v>
      </c>
      <c r="AW22" s="23">
        <v>33.267837999999998</v>
      </c>
      <c r="AX22" s="23">
        <v>41.746715999999999</v>
      </c>
      <c r="AY22" s="23">
        <v>40.411003000000001</v>
      </c>
      <c r="AZ22" s="24">
        <v>3901.62</v>
      </c>
      <c r="BA22" s="24">
        <v>3114.76</v>
      </c>
      <c r="BB22" s="24">
        <v>74.272999999999996</v>
      </c>
      <c r="BC22" s="24">
        <v>15.68</v>
      </c>
      <c r="BE22" s="49">
        <f t="shared" si="12"/>
        <v>1</v>
      </c>
      <c r="BF22" s="25">
        <f t="shared" si="13"/>
        <v>0</v>
      </c>
      <c r="BG22" s="25">
        <f t="shared" si="14"/>
        <v>0</v>
      </c>
      <c r="BH22" s="25"/>
      <c r="BJ22" s="49"/>
      <c r="BK22" s="49"/>
      <c r="BL22" s="49"/>
      <c r="BM22" s="49"/>
      <c r="BN22" s="49"/>
      <c r="BP22" s="49"/>
      <c r="BQ22" s="49"/>
      <c r="BR22" s="49"/>
      <c r="BS22" s="49"/>
      <c r="BT22" s="49"/>
      <c r="BV22" s="58">
        <f t="shared" si="16"/>
        <v>0</v>
      </c>
      <c r="BW22" s="58">
        <f t="shared" si="16"/>
        <v>0</v>
      </c>
      <c r="BX22" s="58">
        <f t="shared" si="16"/>
        <v>0</v>
      </c>
      <c r="BY22" s="58">
        <f t="shared" si="16"/>
        <v>0</v>
      </c>
      <c r="BZ22" s="58">
        <f t="shared" si="16"/>
        <v>0</v>
      </c>
      <c r="CA22" s="58">
        <f t="shared" si="16"/>
        <v>0</v>
      </c>
      <c r="CB22" s="58">
        <f t="shared" si="16"/>
        <v>0</v>
      </c>
      <c r="CC22" s="58">
        <f t="shared" si="16"/>
        <v>0</v>
      </c>
      <c r="CD22" s="58">
        <f t="shared" si="16"/>
        <v>0</v>
      </c>
      <c r="CE22" s="58">
        <f t="shared" si="16"/>
        <v>0</v>
      </c>
      <c r="CF22" s="58">
        <f t="shared" si="16"/>
        <v>0</v>
      </c>
      <c r="CG22" s="58">
        <f t="shared" si="16"/>
        <v>0</v>
      </c>
      <c r="CJ22" t="s">
        <v>239</v>
      </c>
    </row>
    <row r="23" spans="1:88" outlineLevel="1">
      <c r="A23" s="52"/>
      <c r="B23" s="52" t="s">
        <v>70</v>
      </c>
      <c r="C23" s="9" t="s">
        <v>236</v>
      </c>
      <c r="D23" s="52">
        <v>250602891</v>
      </c>
      <c r="E23" s="9">
        <v>10</v>
      </c>
      <c r="F23" s="9">
        <v>32</v>
      </c>
      <c r="G23" s="9">
        <v>50</v>
      </c>
      <c r="I23" s="10">
        <f t="shared" si="0"/>
        <v>7.6926249999999996</v>
      </c>
      <c r="J23" s="11">
        <f t="shared" si="1"/>
        <v>1.964574303334753E-2</v>
      </c>
      <c r="K23" s="11">
        <f t="shared" si="2"/>
        <v>8.1739519916392347E-3</v>
      </c>
      <c r="L23" s="11">
        <f t="shared" si="3"/>
        <v>6.4480341529659368E-3</v>
      </c>
      <c r="M23" s="11">
        <f t="shared" si="4"/>
        <v>1.1471280273458617E-2</v>
      </c>
      <c r="N23" s="52">
        <f t="shared" si="5"/>
        <v>2048416</v>
      </c>
      <c r="O23" s="11">
        <v>16</v>
      </c>
      <c r="P23" s="12">
        <v>29767659</v>
      </c>
      <c r="Q23" s="12">
        <v>930239.34375</v>
      </c>
      <c r="R23" s="12">
        <v>32238.5</v>
      </c>
      <c r="S23" s="13">
        <v>4923280</v>
      </c>
      <c r="T23" s="13">
        <v>1615896</v>
      </c>
      <c r="U23" s="13">
        <v>432520</v>
      </c>
      <c r="V23" s="13">
        <v>2874736</v>
      </c>
      <c r="W23" s="14">
        <v>70.437100000000001</v>
      </c>
      <c r="X23" s="14">
        <v>74.136771999999993</v>
      </c>
      <c r="Y23" s="14">
        <v>35.015436999999999</v>
      </c>
      <c r="Z23" s="14">
        <v>42.751627999999997</v>
      </c>
      <c r="AA23" s="14">
        <v>41.446899999999999</v>
      </c>
      <c r="AB23" s="15">
        <v>4901.2299999999996</v>
      </c>
      <c r="AC23" s="15">
        <v>3695.58</v>
      </c>
      <c r="AD23" s="15">
        <v>79.361999999999995</v>
      </c>
      <c r="AE23" s="15">
        <v>16.359000000000002</v>
      </c>
      <c r="AG23" s="10">
        <f t="shared" si="6"/>
        <v>7.6926249999999996</v>
      </c>
      <c r="AH23" s="11">
        <f t="shared" si="7"/>
        <v>1.964574303334753E-2</v>
      </c>
      <c r="AI23" s="11">
        <f t="shared" si="8"/>
        <v>8.1739519916392347E-3</v>
      </c>
      <c r="AJ23" s="11">
        <f t="shared" si="9"/>
        <v>6.4480341529659368E-3</v>
      </c>
      <c r="AK23" s="11">
        <f t="shared" si="10"/>
        <v>1.1471280273458617E-2</v>
      </c>
      <c r="AL23" s="52">
        <f t="shared" si="11"/>
        <v>2048416</v>
      </c>
      <c r="AM23" s="11">
        <v>16</v>
      </c>
      <c r="AN23" s="12">
        <v>29767659</v>
      </c>
      <c r="AO23" s="12">
        <v>930239.34375</v>
      </c>
      <c r="AP23" s="12">
        <v>32238.5</v>
      </c>
      <c r="AQ23" s="13">
        <v>4923280</v>
      </c>
      <c r="AR23" s="13">
        <v>1615896</v>
      </c>
      <c r="AS23" s="13">
        <v>432520</v>
      </c>
      <c r="AT23" s="13">
        <v>2874736</v>
      </c>
      <c r="AU23" s="14">
        <v>70.437100000000001</v>
      </c>
      <c r="AV23" s="14">
        <v>74.136771999999993</v>
      </c>
      <c r="AW23" s="14">
        <v>35.015436999999999</v>
      </c>
      <c r="AX23" s="14">
        <v>42.751627999999997</v>
      </c>
      <c r="AY23" s="14">
        <v>41.446899999999999</v>
      </c>
      <c r="AZ23" s="15">
        <v>4601.46</v>
      </c>
      <c r="BA23" s="15">
        <v>3748.5</v>
      </c>
      <c r="BB23" s="15">
        <v>83.459000000000003</v>
      </c>
      <c r="BC23" s="15">
        <v>17.995000000000001</v>
      </c>
      <c r="BE23" s="50">
        <f t="shared" si="12"/>
        <v>1</v>
      </c>
      <c r="BF23" s="16">
        <f t="shared" si="13"/>
        <v>0</v>
      </c>
      <c r="BG23" s="16">
        <f t="shared" si="14"/>
        <v>0</v>
      </c>
      <c r="BH23" s="16"/>
      <c r="BJ23" s="50"/>
      <c r="BK23" s="50"/>
      <c r="BL23" s="50"/>
      <c r="BM23" s="50"/>
      <c r="BN23" s="50"/>
      <c r="BP23" s="50"/>
      <c r="BQ23" s="50"/>
      <c r="BR23" s="50"/>
      <c r="BS23" s="50"/>
      <c r="BT23" s="50"/>
      <c r="BV23" s="58">
        <f t="shared" si="16"/>
        <v>0</v>
      </c>
      <c r="BW23" s="58">
        <f t="shared" si="16"/>
        <v>0</v>
      </c>
      <c r="BX23" s="58">
        <f t="shared" si="16"/>
        <v>0</v>
      </c>
      <c r="BY23" s="58">
        <f t="shared" si="16"/>
        <v>0</v>
      </c>
      <c r="BZ23" s="58">
        <f t="shared" si="16"/>
        <v>0</v>
      </c>
      <c r="CA23" s="58">
        <f t="shared" si="16"/>
        <v>0</v>
      </c>
      <c r="CB23" s="58">
        <f t="shared" si="16"/>
        <v>0</v>
      </c>
      <c r="CC23" s="58">
        <f t="shared" si="16"/>
        <v>0</v>
      </c>
      <c r="CD23" s="58">
        <f t="shared" si="16"/>
        <v>0</v>
      </c>
      <c r="CE23" s="58">
        <f t="shared" si="16"/>
        <v>0</v>
      </c>
      <c r="CF23" s="58">
        <f t="shared" si="16"/>
        <v>0</v>
      </c>
      <c r="CG23" s="58">
        <f t="shared" si="16"/>
        <v>0</v>
      </c>
      <c r="CJ23" t="s">
        <v>239</v>
      </c>
    </row>
    <row r="24" spans="1:88" ht="16" outlineLevel="1" thickBot="1">
      <c r="A24" s="36"/>
      <c r="B24" s="36" t="s">
        <v>70</v>
      </c>
      <c r="C24" s="37" t="s">
        <v>237</v>
      </c>
      <c r="D24" s="36">
        <v>250602891</v>
      </c>
      <c r="E24" s="37">
        <v>10</v>
      </c>
      <c r="F24" s="37">
        <v>32</v>
      </c>
      <c r="G24" s="37">
        <v>50</v>
      </c>
      <c r="I24" s="38">
        <f t="shared" si="0"/>
        <v>15.657612500000001</v>
      </c>
      <c r="J24" s="39">
        <f t="shared" si="1"/>
        <v>3.9987056653707956E-2</v>
      </c>
      <c r="K24" s="39">
        <f t="shared" si="2"/>
        <v>1.4560151263378682E-2</v>
      </c>
      <c r="L24" s="39">
        <f t="shared" si="3"/>
        <v>1.0772996230119309E-2</v>
      </c>
      <c r="M24" s="39">
        <f t="shared" si="4"/>
        <v>2.5426394622079598E-2</v>
      </c>
      <c r="N24" s="36">
        <f t="shared" si="5"/>
        <v>3648816</v>
      </c>
      <c r="O24" s="39">
        <v>16</v>
      </c>
      <c r="P24" s="40">
        <v>28369875</v>
      </c>
      <c r="Q24" s="40">
        <v>886558.59375</v>
      </c>
      <c r="R24" s="40">
        <v>15235.15625</v>
      </c>
      <c r="S24" s="41">
        <v>10020872</v>
      </c>
      <c r="T24" s="41">
        <v>2699744</v>
      </c>
      <c r="U24" s="41">
        <v>949072</v>
      </c>
      <c r="V24" s="41">
        <v>6371928</v>
      </c>
      <c r="W24" s="42">
        <v>70.790784000000002</v>
      </c>
      <c r="X24" s="42">
        <v>75.132078000000007</v>
      </c>
      <c r="Y24" s="42">
        <v>36.493172000000001</v>
      </c>
      <c r="Z24" s="42">
        <v>43.658065999999998</v>
      </c>
      <c r="AA24" s="42">
        <v>42.193319000000002</v>
      </c>
      <c r="AB24" s="43">
        <v>5241.1400000000003</v>
      </c>
      <c r="AC24" s="43">
        <v>4269.3599999999997</v>
      </c>
      <c r="AD24" s="43">
        <v>82.44</v>
      </c>
      <c r="AE24" s="43">
        <v>20.440999999999999</v>
      </c>
      <c r="AG24" s="38">
        <f t="shared" si="6"/>
        <v>15.6576</v>
      </c>
      <c r="AH24" s="39">
        <f t="shared" si="7"/>
        <v>3.998702473069235E-2</v>
      </c>
      <c r="AI24" s="39">
        <f t="shared" si="8"/>
        <v>1.4560119340363076E-2</v>
      </c>
      <c r="AJ24" s="39">
        <f t="shared" si="9"/>
        <v>1.0772996230119309E-2</v>
      </c>
      <c r="AK24" s="39">
        <f t="shared" si="10"/>
        <v>2.5426394622079598E-2</v>
      </c>
      <c r="AL24" s="36">
        <f t="shared" si="11"/>
        <v>3648808</v>
      </c>
      <c r="AM24" s="39">
        <v>16</v>
      </c>
      <c r="AN24" s="40">
        <v>28369875</v>
      </c>
      <c r="AO24" s="40">
        <v>886558.59375</v>
      </c>
      <c r="AP24" s="40">
        <v>15235.15625</v>
      </c>
      <c r="AQ24" s="41">
        <v>10020864</v>
      </c>
      <c r="AR24" s="41">
        <v>2699744</v>
      </c>
      <c r="AS24" s="41">
        <v>949064</v>
      </c>
      <c r="AT24" s="41">
        <v>6371928</v>
      </c>
      <c r="AU24" s="42">
        <v>70.790784000000002</v>
      </c>
      <c r="AV24" s="42">
        <v>75.132078000000007</v>
      </c>
      <c r="AW24" s="42">
        <v>36.493172000000001</v>
      </c>
      <c r="AX24" s="42">
        <v>43.658065999999998</v>
      </c>
      <c r="AY24" s="42">
        <v>42.193319000000002</v>
      </c>
      <c r="AZ24" s="43">
        <v>4564.8100000000004</v>
      </c>
      <c r="BA24" s="43">
        <v>4021.57</v>
      </c>
      <c r="BB24" s="43">
        <v>72.793999999999997</v>
      </c>
      <c r="BC24" s="43">
        <v>17.783000000000001</v>
      </c>
      <c r="BE24" s="44">
        <f t="shared" si="12"/>
        <v>0.99999780750796963</v>
      </c>
      <c r="BF24" s="45">
        <f t="shared" si="13"/>
        <v>0</v>
      </c>
      <c r="BG24" s="45">
        <f t="shared" si="14"/>
        <v>-5.0764356812615929E-7</v>
      </c>
      <c r="BH24" s="45"/>
      <c r="BJ24" s="44"/>
      <c r="BK24" s="44"/>
      <c r="BL24" s="44"/>
      <c r="BM24" s="44"/>
      <c r="BN24" s="44"/>
      <c r="BP24" s="44"/>
      <c r="BQ24" s="44"/>
      <c r="BR24" s="44"/>
      <c r="BS24" s="44"/>
      <c r="BT24" s="44"/>
      <c r="BV24" s="58">
        <f t="shared" si="16"/>
        <v>0</v>
      </c>
      <c r="BW24" s="58">
        <f t="shared" si="16"/>
        <v>0</v>
      </c>
      <c r="BX24" s="58">
        <f t="shared" si="16"/>
        <v>0</v>
      </c>
      <c r="BY24" s="58">
        <f t="shared" si="16"/>
        <v>-8</v>
      </c>
      <c r="BZ24" s="58">
        <f t="shared" si="16"/>
        <v>0</v>
      </c>
      <c r="CA24" s="58">
        <f t="shared" si="16"/>
        <v>-8</v>
      </c>
      <c r="CB24" s="58">
        <f t="shared" si="16"/>
        <v>0</v>
      </c>
      <c r="CC24" s="58">
        <f t="shared" si="16"/>
        <v>0</v>
      </c>
      <c r="CD24" s="58">
        <f t="shared" si="16"/>
        <v>0</v>
      </c>
      <c r="CE24" s="58">
        <f t="shared" si="16"/>
        <v>0</v>
      </c>
      <c r="CF24" s="58">
        <f t="shared" si="16"/>
        <v>0</v>
      </c>
      <c r="CG24" s="58">
        <f t="shared" si="16"/>
        <v>0</v>
      </c>
      <c r="CJ24" t="s">
        <v>239</v>
      </c>
    </row>
    <row r="25" spans="1:88">
      <c r="A25" s="52" t="s">
        <v>240</v>
      </c>
      <c r="B25" s="52" t="s">
        <v>73</v>
      </c>
      <c r="C25" s="9" t="s">
        <v>232</v>
      </c>
      <c r="D25" s="52">
        <v>250294582</v>
      </c>
      <c r="E25" s="9">
        <v>10</v>
      </c>
      <c r="F25" s="9">
        <v>32</v>
      </c>
      <c r="G25" s="9">
        <v>30</v>
      </c>
      <c r="I25" s="10">
        <f t="shared" si="0"/>
        <v>2.0470799999999998</v>
      </c>
      <c r="J25" s="11">
        <f t="shared" si="1"/>
        <v>8.7239283509540771E-3</v>
      </c>
      <c r="K25" s="11">
        <f t="shared" si="2"/>
        <v>5.656215123346138E-3</v>
      </c>
      <c r="L25" s="11">
        <f t="shared" si="3"/>
        <v>3.5055013695821828E-3</v>
      </c>
      <c r="M25" s="11">
        <f t="shared" si="4"/>
        <v>3.0672018302018221E-3</v>
      </c>
      <c r="N25" s="52">
        <f t="shared" si="5"/>
        <v>1415720</v>
      </c>
      <c r="O25" s="11">
        <v>16</v>
      </c>
      <c r="P25" s="12">
        <v>23423729</v>
      </c>
      <c r="Q25" s="12">
        <v>731991.53125</v>
      </c>
      <c r="R25" s="12">
        <v>14601.28125</v>
      </c>
      <c r="S25" s="13">
        <v>2183552</v>
      </c>
      <c r="T25" s="13">
        <v>877408</v>
      </c>
      <c r="U25" s="13">
        <v>538312</v>
      </c>
      <c r="V25" s="13">
        <v>767704</v>
      </c>
      <c r="W25" s="14">
        <v>66.249555999999998</v>
      </c>
      <c r="X25" s="14">
        <v>68.002122</v>
      </c>
      <c r="Y25" s="14">
        <v>25.914252999999999</v>
      </c>
      <c r="Z25" s="14">
        <v>32.457703000000002</v>
      </c>
      <c r="AA25" s="14">
        <v>31.662741</v>
      </c>
      <c r="AB25" s="15">
        <v>1736.09</v>
      </c>
      <c r="AC25" s="15">
        <v>4831.38</v>
      </c>
      <c r="AD25" s="15">
        <v>75.263999999999996</v>
      </c>
      <c r="AE25" s="15">
        <v>23.792999999999999</v>
      </c>
      <c r="AG25" s="10">
        <f t="shared" si="6"/>
        <v>2.0470799999999998</v>
      </c>
      <c r="AH25" s="11">
        <f t="shared" si="7"/>
        <v>8.7239283509540771E-3</v>
      </c>
      <c r="AI25" s="11">
        <f t="shared" si="8"/>
        <v>5.656215123346138E-3</v>
      </c>
      <c r="AJ25" s="11">
        <f t="shared" si="9"/>
        <v>3.5055013695821828E-3</v>
      </c>
      <c r="AK25" s="11">
        <f t="shared" si="10"/>
        <v>3.0672018302018221E-3</v>
      </c>
      <c r="AL25" s="52">
        <f t="shared" si="11"/>
        <v>1415720</v>
      </c>
      <c r="AM25" s="11">
        <v>16</v>
      </c>
      <c r="AN25" s="12">
        <v>23423729</v>
      </c>
      <c r="AO25" s="12">
        <v>731991.53125</v>
      </c>
      <c r="AP25" s="12">
        <v>14601.28125</v>
      </c>
      <c r="AQ25" s="13">
        <v>2183552</v>
      </c>
      <c r="AR25" s="13">
        <v>877408</v>
      </c>
      <c r="AS25" s="13">
        <v>538312</v>
      </c>
      <c r="AT25" s="13">
        <v>767704</v>
      </c>
      <c r="AU25" s="14">
        <v>66.249555999999998</v>
      </c>
      <c r="AV25" s="14">
        <v>68.002122</v>
      </c>
      <c r="AW25" s="14">
        <v>25.914252999999999</v>
      </c>
      <c r="AX25" s="14">
        <v>32.457703000000002</v>
      </c>
      <c r="AY25" s="14">
        <v>31.662741</v>
      </c>
      <c r="AZ25" s="15">
        <v>1568.51</v>
      </c>
      <c r="BA25" s="15">
        <v>4051.82</v>
      </c>
      <c r="BB25" s="15">
        <v>63.024999999999999</v>
      </c>
      <c r="BC25" s="15">
        <v>17.184999999999999</v>
      </c>
      <c r="BE25" s="50">
        <f t="shared" si="12"/>
        <v>1</v>
      </c>
      <c r="BF25" s="16">
        <f t="shared" si="13"/>
        <v>0</v>
      </c>
      <c r="BG25" s="16">
        <f t="shared" si="14"/>
        <v>0</v>
      </c>
      <c r="BH25" s="16">
        <f t="array" ref="BH25">AVERAGE(AL25:AL29/AQ25:AQ29) - AVERAGE(N25:N29/S25:S29)</f>
        <v>0</v>
      </c>
      <c r="BJ25" s="50">
        <f>IF( OR(ISBLANK(N25:N29),ISBLANK(AL25:AL29), ISBLANK(W25:W29),ISBLANK(AU25:AU29)), "·", bdRateExtend( N25:N29,W25:W29, AL25:AL29,AU25:AU29))</f>
        <v>0</v>
      </c>
      <c r="BK25" s="50">
        <f>IF( OR(ISBLANK(N25:N29),ISBLANK(AL25:AL29), ISBLANK(X25:X29),ISBLANK(AV25:AV29)), "·", bdRateExtend( N25:N29,X25:X29, AL25:AL29,AV25:AV29))</f>
        <v>0</v>
      </c>
      <c r="BL25" s="50">
        <f>IF( OR(ISBLANK(V25:V29),ISBLANK(AT25:AT29), ISBLANK(Y25:Y29),ISBLANK(AW25:AW29)), "·", bdRateExtend( V25:V29,Y25:Y29, AT25:AT29,AW25:AW29))</f>
        <v>0</v>
      </c>
      <c r="BM25" s="50">
        <f>IF( OR(ISBLANK(V25:V29),ISBLANK(AT25:AT29), ISBLANK(Z25:Z29),ISBLANK(AX25:AX29)), "·", bdRateExtend( V25:V29,Z25:Z29, AT25:AT29,AX25:AX29))</f>
        <v>0</v>
      </c>
      <c r="BN25" s="50">
        <f>IF( OR(ISBLANK(V25:V29),ISBLANK(AT25:AT29), ISBLANK(AA25:AA29),ISBLANK(AY25:AY29)), "·", bdRateExtend( V25:V29,AA25:AA29, AT25:AT29,AY25:AY29))</f>
        <v>0</v>
      </c>
      <c r="BP25" s="50">
        <f>IF( OR(ISBLANK(S25:S29),ISBLANK(AQ25:AQ29), ISBLANK(W25:W29),ISBLANK(AU25:AU29)), "·", bdRateExtend( S25:S29,W25:W29, AQ25:AQ29,AU25:AU29))</f>
        <v>0</v>
      </c>
      <c r="BQ25" s="50">
        <f>IF( OR(ISBLANK(S25:S29),ISBLANK(AQ25:AQ29), ISBLANK(X25:X29),ISBLANK(AV25:AV29)), "·", bdRateExtend( S25:S29,X25:X29, AQ25:AQ29,AV25:AV29))</f>
        <v>0</v>
      </c>
      <c r="BR25" s="50">
        <f>IF( OR(ISBLANK(S25:S29),ISBLANK(AQ25:AQ29), ISBLANK(Y25:Y29),ISBLANK(AW25:AW29)), "·", bdRateExtend( S25:S29,Y25:Y29, AQ25:AQ29,AW25:AW29))</f>
        <v>0</v>
      </c>
      <c r="BS25" s="50">
        <f>IF( OR(ISBLANK(S25:S29),ISBLANK(AQ25:AQ29), ISBLANK(Z25:Z29),ISBLANK(AX25:AX29)), "·", bdRateExtend( S25:S29,Z25:Z29, AQ25:AQ29,AX25:AX29))</f>
        <v>0</v>
      </c>
      <c r="BT25" s="50">
        <f>IF( OR(ISBLANK(S25:S29),ISBLANK(AQ25:AQ29), ISBLANK(AA25:AA29),ISBLANK(AY25:AY29)), "·", bdRateExtend( S25:S29,AA25:AA29, AQ25:AQ29,AY25:AY29))</f>
        <v>0</v>
      </c>
      <c r="BV25" s="58">
        <f t="shared" si="16"/>
        <v>0</v>
      </c>
      <c r="BW25" s="58">
        <f t="shared" si="16"/>
        <v>0</v>
      </c>
      <c r="BX25" s="58">
        <f t="shared" si="16"/>
        <v>0</v>
      </c>
      <c r="BY25" s="58">
        <f t="shared" si="16"/>
        <v>0</v>
      </c>
      <c r="BZ25" s="58">
        <f t="shared" si="16"/>
        <v>0</v>
      </c>
      <c r="CA25" s="58">
        <f t="shared" si="16"/>
        <v>0</v>
      </c>
      <c r="CB25" s="58">
        <f t="shared" si="16"/>
        <v>0</v>
      </c>
      <c r="CC25" s="58">
        <f t="shared" si="16"/>
        <v>0</v>
      </c>
      <c r="CD25" s="58">
        <f t="shared" si="16"/>
        <v>0</v>
      </c>
      <c r="CE25" s="58">
        <f t="shared" si="16"/>
        <v>0</v>
      </c>
      <c r="CF25" s="58">
        <f t="shared" si="16"/>
        <v>0</v>
      </c>
      <c r="CG25" s="58">
        <f t="shared" si="16"/>
        <v>0</v>
      </c>
      <c r="CJ25" t="s">
        <v>579</v>
      </c>
    </row>
    <row r="26" spans="1:88" outlineLevel="1">
      <c r="A26" s="17"/>
      <c r="B26" s="17" t="s">
        <v>73</v>
      </c>
      <c r="C26" s="18" t="s">
        <v>234</v>
      </c>
      <c r="D26" s="17">
        <v>250294582</v>
      </c>
      <c r="E26" s="18">
        <v>10</v>
      </c>
      <c r="F26" s="18">
        <v>32</v>
      </c>
      <c r="G26" s="18">
        <v>30</v>
      </c>
      <c r="I26" s="19">
        <f t="shared" si="0"/>
        <v>3.1578525000000002</v>
      </c>
      <c r="J26" s="20">
        <f t="shared" si="1"/>
        <v>1.345764647834047E-2</v>
      </c>
      <c r="K26" s="20">
        <f t="shared" si="2"/>
        <v>7.1305418828442723E-3</v>
      </c>
      <c r="L26" s="20">
        <f t="shared" si="3"/>
        <v>4.9798281290803171E-3</v>
      </c>
      <c r="M26" s="20">
        <f t="shared" si="4"/>
        <v>6.3265931980900809E-3</v>
      </c>
      <c r="N26" s="17">
        <f t="shared" si="5"/>
        <v>1784736</v>
      </c>
      <c r="O26" s="20">
        <v>16</v>
      </c>
      <c r="P26" s="21">
        <v>24642332</v>
      </c>
      <c r="Q26" s="21">
        <v>770072.875</v>
      </c>
      <c r="R26" s="21">
        <v>17838.375</v>
      </c>
      <c r="S26" s="22">
        <v>3368376</v>
      </c>
      <c r="T26" s="22">
        <v>1246424</v>
      </c>
      <c r="U26" s="22">
        <v>538312</v>
      </c>
      <c r="V26" s="22">
        <v>1583512</v>
      </c>
      <c r="W26" s="23">
        <v>68.005358999999999</v>
      </c>
      <c r="X26" s="23">
        <v>70.016609000000003</v>
      </c>
      <c r="Y26" s="23">
        <v>27.918291</v>
      </c>
      <c r="Z26" s="23">
        <v>33.668056</v>
      </c>
      <c r="AA26" s="23">
        <v>33.040233999999998</v>
      </c>
      <c r="AB26" s="24">
        <v>1822.65</v>
      </c>
      <c r="AC26" s="24">
        <v>5278.29</v>
      </c>
      <c r="AD26" s="24">
        <v>74.233000000000004</v>
      </c>
      <c r="AE26" s="24">
        <v>24.611000000000001</v>
      </c>
      <c r="AG26" s="19">
        <f t="shared" si="6"/>
        <v>3.1578525000000002</v>
      </c>
      <c r="AH26" s="20">
        <f t="shared" si="7"/>
        <v>1.345764647834047E-2</v>
      </c>
      <c r="AI26" s="20">
        <f t="shared" si="8"/>
        <v>7.1305418828442723E-3</v>
      </c>
      <c r="AJ26" s="20">
        <f t="shared" si="9"/>
        <v>4.9798281290803171E-3</v>
      </c>
      <c r="AK26" s="20">
        <f t="shared" si="10"/>
        <v>6.3265931980900809E-3</v>
      </c>
      <c r="AL26" s="17">
        <f t="shared" si="11"/>
        <v>1784736</v>
      </c>
      <c r="AM26" s="20">
        <v>16</v>
      </c>
      <c r="AN26" s="21">
        <v>24642332</v>
      </c>
      <c r="AO26" s="21">
        <v>770072.875</v>
      </c>
      <c r="AP26" s="21">
        <v>17838.375</v>
      </c>
      <c r="AQ26" s="22">
        <v>3368376</v>
      </c>
      <c r="AR26" s="22">
        <v>1246424</v>
      </c>
      <c r="AS26" s="22">
        <v>538312</v>
      </c>
      <c r="AT26" s="22">
        <v>1583512</v>
      </c>
      <c r="AU26" s="23">
        <v>68.005358999999999</v>
      </c>
      <c r="AV26" s="23">
        <v>70.016609000000003</v>
      </c>
      <c r="AW26" s="23">
        <v>27.918291</v>
      </c>
      <c r="AX26" s="23">
        <v>33.668056</v>
      </c>
      <c r="AY26" s="23">
        <v>33.040233999999998</v>
      </c>
      <c r="AZ26" s="24">
        <v>1770.75</v>
      </c>
      <c r="BA26" s="24">
        <v>4368.17</v>
      </c>
      <c r="BB26" s="24">
        <v>64.018000000000001</v>
      </c>
      <c r="BC26" s="24">
        <v>17.116</v>
      </c>
      <c r="BE26" s="49">
        <f t="shared" si="12"/>
        <v>1</v>
      </c>
      <c r="BF26" s="25">
        <f t="shared" si="13"/>
        <v>0</v>
      </c>
      <c r="BG26" s="25">
        <f t="shared" si="14"/>
        <v>0</v>
      </c>
      <c r="BH26" s="25"/>
      <c r="BJ26" s="49"/>
      <c r="BK26" s="49"/>
      <c r="BL26" s="49"/>
      <c r="BM26" s="49"/>
      <c r="BN26" s="49"/>
      <c r="BP26" s="49"/>
      <c r="BQ26" s="49"/>
      <c r="BR26" s="49"/>
      <c r="BS26" s="49"/>
      <c r="BT26" s="49"/>
      <c r="BV26" s="58">
        <f t="shared" si="16"/>
        <v>0</v>
      </c>
      <c r="BW26" s="58">
        <f t="shared" si="16"/>
        <v>0</v>
      </c>
      <c r="BX26" s="58">
        <f t="shared" si="16"/>
        <v>0</v>
      </c>
      <c r="BY26" s="58">
        <f t="shared" si="16"/>
        <v>0</v>
      </c>
      <c r="BZ26" s="58">
        <f t="shared" si="16"/>
        <v>0</v>
      </c>
      <c r="CA26" s="58">
        <f t="shared" si="16"/>
        <v>0</v>
      </c>
      <c r="CB26" s="58">
        <f t="shared" si="16"/>
        <v>0</v>
      </c>
      <c r="CC26" s="58">
        <f t="shared" si="16"/>
        <v>0</v>
      </c>
      <c r="CD26" s="58">
        <f t="shared" si="16"/>
        <v>0</v>
      </c>
      <c r="CE26" s="58">
        <f t="shared" si="16"/>
        <v>0</v>
      </c>
      <c r="CF26" s="58">
        <f t="shared" si="16"/>
        <v>0</v>
      </c>
      <c r="CG26" s="58">
        <f t="shared" si="16"/>
        <v>0</v>
      </c>
      <c r="CJ26" t="s">
        <v>579</v>
      </c>
    </row>
    <row r="27" spans="1:88" outlineLevel="1">
      <c r="A27" s="52"/>
      <c r="B27" s="52" t="s">
        <v>73</v>
      </c>
      <c r="C27" s="9" t="s">
        <v>235</v>
      </c>
      <c r="D27" s="52">
        <v>250294582</v>
      </c>
      <c r="E27" s="9">
        <v>10</v>
      </c>
      <c r="F27" s="9">
        <v>32</v>
      </c>
      <c r="G27" s="9">
        <v>30</v>
      </c>
      <c r="I27" s="10">
        <f t="shared" si="0"/>
        <v>5.3414400000000004</v>
      </c>
      <c r="J27" s="11">
        <f t="shared" si="1"/>
        <v>2.2763321341090794E-2</v>
      </c>
      <c r="K27" s="11">
        <f t="shared" si="2"/>
        <v>9.2935291743550408E-3</v>
      </c>
      <c r="L27" s="11">
        <f t="shared" si="3"/>
        <v>7.1428154205910857E-3</v>
      </c>
      <c r="M27" s="11">
        <f t="shared" si="4"/>
        <v>1.3469280769329637E-2</v>
      </c>
      <c r="N27" s="52">
        <f t="shared" si="5"/>
        <v>2326120</v>
      </c>
      <c r="O27" s="11">
        <v>16</v>
      </c>
      <c r="P27" s="12">
        <v>24875407</v>
      </c>
      <c r="Q27" s="12">
        <v>777356.46875</v>
      </c>
      <c r="R27" s="12">
        <v>18687.4375</v>
      </c>
      <c r="S27" s="13">
        <v>5697536</v>
      </c>
      <c r="T27" s="13">
        <v>1787808</v>
      </c>
      <c r="U27" s="13">
        <v>538312</v>
      </c>
      <c r="V27" s="13">
        <v>3371288</v>
      </c>
      <c r="W27" s="14">
        <v>69.301755999999997</v>
      </c>
      <c r="X27" s="14">
        <v>71.690518999999995</v>
      </c>
      <c r="Y27" s="14">
        <v>30.205874999999999</v>
      </c>
      <c r="Z27" s="14">
        <v>34.909818999999999</v>
      </c>
      <c r="AA27" s="14">
        <v>34.350633999999999</v>
      </c>
      <c r="AB27" s="15">
        <v>1829.3</v>
      </c>
      <c r="AC27" s="15">
        <v>5716.76</v>
      </c>
      <c r="AD27" s="15">
        <v>74.947999999999993</v>
      </c>
      <c r="AE27" s="15">
        <v>25.100999999999999</v>
      </c>
      <c r="AG27" s="10">
        <f t="shared" si="6"/>
        <v>5.3414400000000004</v>
      </c>
      <c r="AH27" s="11">
        <f t="shared" si="7"/>
        <v>2.2763321341090794E-2</v>
      </c>
      <c r="AI27" s="11">
        <f t="shared" si="8"/>
        <v>9.2935291743550408E-3</v>
      </c>
      <c r="AJ27" s="11">
        <f t="shared" si="9"/>
        <v>7.1428154205910857E-3</v>
      </c>
      <c r="AK27" s="11">
        <f t="shared" si="10"/>
        <v>1.3469280769329637E-2</v>
      </c>
      <c r="AL27" s="52">
        <f t="shared" si="11"/>
        <v>2326120</v>
      </c>
      <c r="AM27" s="11">
        <v>16</v>
      </c>
      <c r="AN27" s="12">
        <v>24875407</v>
      </c>
      <c r="AO27" s="12">
        <v>777356.46875</v>
      </c>
      <c r="AP27" s="12">
        <v>18687.4375</v>
      </c>
      <c r="AQ27" s="13">
        <v>5697536</v>
      </c>
      <c r="AR27" s="13">
        <v>1787808</v>
      </c>
      <c r="AS27" s="13">
        <v>538312</v>
      </c>
      <c r="AT27" s="13">
        <v>3371288</v>
      </c>
      <c r="AU27" s="14">
        <v>69.301755999999997</v>
      </c>
      <c r="AV27" s="14">
        <v>71.690518999999995</v>
      </c>
      <c r="AW27" s="14">
        <v>30.205874999999999</v>
      </c>
      <c r="AX27" s="14">
        <v>34.909818999999999</v>
      </c>
      <c r="AY27" s="14">
        <v>34.350633999999999</v>
      </c>
      <c r="AZ27" s="15">
        <v>1602.23</v>
      </c>
      <c r="BA27" s="15">
        <v>4437.3500000000004</v>
      </c>
      <c r="BB27" s="15">
        <v>67.471999999999994</v>
      </c>
      <c r="BC27" s="15">
        <v>18.402999999999999</v>
      </c>
      <c r="BE27" s="50">
        <f t="shared" si="12"/>
        <v>1</v>
      </c>
      <c r="BF27" s="16">
        <f t="shared" si="13"/>
        <v>0</v>
      </c>
      <c r="BG27" s="16">
        <f t="shared" si="14"/>
        <v>0</v>
      </c>
      <c r="BH27" s="16"/>
      <c r="BJ27" s="50"/>
      <c r="BK27" s="50"/>
      <c r="BL27" s="50"/>
      <c r="BM27" s="50"/>
      <c r="BN27" s="50"/>
      <c r="BP27" s="50"/>
      <c r="BQ27" s="50"/>
      <c r="BR27" s="50"/>
      <c r="BS27" s="50"/>
      <c r="BT27" s="50"/>
      <c r="BV27" s="58">
        <f t="shared" si="16"/>
        <v>0</v>
      </c>
      <c r="BW27" s="58">
        <f t="shared" si="16"/>
        <v>0</v>
      </c>
      <c r="BX27" s="58">
        <f t="shared" si="16"/>
        <v>0</v>
      </c>
      <c r="BY27" s="58">
        <f t="shared" si="16"/>
        <v>0</v>
      </c>
      <c r="BZ27" s="58">
        <f t="shared" si="16"/>
        <v>0</v>
      </c>
      <c r="CA27" s="58">
        <f t="shared" si="16"/>
        <v>0</v>
      </c>
      <c r="CB27" s="58">
        <f t="shared" si="16"/>
        <v>0</v>
      </c>
      <c r="CC27" s="58">
        <f t="shared" si="16"/>
        <v>0</v>
      </c>
      <c r="CD27" s="58">
        <f t="shared" si="16"/>
        <v>0</v>
      </c>
      <c r="CE27" s="58">
        <f t="shared" si="16"/>
        <v>0</v>
      </c>
      <c r="CF27" s="58">
        <f t="shared" si="16"/>
        <v>0</v>
      </c>
      <c r="CG27" s="58">
        <f t="shared" si="16"/>
        <v>0</v>
      </c>
      <c r="CJ27" t="s">
        <v>579</v>
      </c>
    </row>
    <row r="28" spans="1:88" outlineLevel="1">
      <c r="A28" s="17"/>
      <c r="B28" s="17" t="s">
        <v>73</v>
      </c>
      <c r="C28" s="18" t="s">
        <v>236</v>
      </c>
      <c r="D28" s="17">
        <v>250294582</v>
      </c>
      <c r="E28" s="18">
        <v>10</v>
      </c>
      <c r="F28" s="18">
        <v>32</v>
      </c>
      <c r="G28" s="18">
        <v>30</v>
      </c>
      <c r="I28" s="19">
        <f t="shared" si="0"/>
        <v>10.325295000000001</v>
      </c>
      <c r="J28" s="20">
        <f t="shared" si="1"/>
        <v>4.4002742336627966E-2</v>
      </c>
      <c r="K28" s="20">
        <f t="shared" si="2"/>
        <v>1.3127699264381201E-2</v>
      </c>
      <c r="L28" s="20">
        <f t="shared" si="3"/>
        <v>1.0976985510617245E-2</v>
      </c>
      <c r="M28" s="20">
        <f t="shared" si="4"/>
        <v>3.0874531674840649E-2</v>
      </c>
      <c r="N28" s="17">
        <f t="shared" si="5"/>
        <v>3285792</v>
      </c>
      <c r="O28" s="20">
        <v>16</v>
      </c>
      <c r="P28" s="21">
        <v>25558634</v>
      </c>
      <c r="Q28" s="21">
        <v>798707.3125</v>
      </c>
      <c r="R28" s="21">
        <v>21108.9375</v>
      </c>
      <c r="S28" s="22">
        <v>11013648</v>
      </c>
      <c r="T28" s="22">
        <v>2747480</v>
      </c>
      <c r="U28" s="22">
        <v>538312</v>
      </c>
      <c r="V28" s="22">
        <v>7727728</v>
      </c>
      <c r="W28" s="23">
        <v>70.462115999999995</v>
      </c>
      <c r="X28" s="23">
        <v>72.993594000000002</v>
      </c>
      <c r="Y28" s="23">
        <v>32.704628</v>
      </c>
      <c r="Z28" s="23">
        <v>36.413840999999998</v>
      </c>
      <c r="AA28" s="23">
        <v>35.864955999999999</v>
      </c>
      <c r="AB28" s="24">
        <v>1596.33</v>
      </c>
      <c r="AC28" s="24">
        <v>4810.66</v>
      </c>
      <c r="AD28" s="24">
        <v>67.233000000000004</v>
      </c>
      <c r="AE28" s="24">
        <v>18.516999999999999</v>
      </c>
      <c r="AG28" s="19">
        <f t="shared" si="6"/>
        <v>10.325295000000001</v>
      </c>
      <c r="AH28" s="20">
        <f t="shared" si="7"/>
        <v>4.4002742336627966E-2</v>
      </c>
      <c r="AI28" s="20">
        <f t="shared" si="8"/>
        <v>1.3127699264381201E-2</v>
      </c>
      <c r="AJ28" s="20">
        <f t="shared" si="9"/>
        <v>1.0976985510617245E-2</v>
      </c>
      <c r="AK28" s="20">
        <f t="shared" si="10"/>
        <v>3.0874531674840649E-2</v>
      </c>
      <c r="AL28" s="17">
        <f t="shared" si="11"/>
        <v>3285792</v>
      </c>
      <c r="AM28" s="20">
        <v>16</v>
      </c>
      <c r="AN28" s="21">
        <v>25558634</v>
      </c>
      <c r="AO28" s="21">
        <v>798707.3125</v>
      </c>
      <c r="AP28" s="21">
        <v>21108.9375</v>
      </c>
      <c r="AQ28" s="22">
        <v>11013648</v>
      </c>
      <c r="AR28" s="22">
        <v>2747480</v>
      </c>
      <c r="AS28" s="22">
        <v>538312</v>
      </c>
      <c r="AT28" s="22">
        <v>7727728</v>
      </c>
      <c r="AU28" s="23">
        <v>70.462115999999995</v>
      </c>
      <c r="AV28" s="23">
        <v>72.993594000000002</v>
      </c>
      <c r="AW28" s="23">
        <v>32.704628</v>
      </c>
      <c r="AX28" s="23">
        <v>36.413840999999998</v>
      </c>
      <c r="AY28" s="23">
        <v>35.864955999999999</v>
      </c>
      <c r="AZ28" s="24">
        <v>1595.85</v>
      </c>
      <c r="BA28" s="24">
        <v>5022.4799999999996</v>
      </c>
      <c r="BB28" s="24">
        <v>69.248000000000005</v>
      </c>
      <c r="BC28" s="24">
        <v>19.611999999999998</v>
      </c>
      <c r="BE28" s="49">
        <f t="shared" si="12"/>
        <v>1</v>
      </c>
      <c r="BF28" s="25">
        <f t="shared" si="13"/>
        <v>0</v>
      </c>
      <c r="BG28" s="25">
        <f t="shared" si="14"/>
        <v>0</v>
      </c>
      <c r="BH28" s="25"/>
      <c r="BJ28" s="49"/>
      <c r="BK28" s="49"/>
      <c r="BL28" s="49"/>
      <c r="BM28" s="49"/>
      <c r="BN28" s="49"/>
      <c r="BP28" s="49"/>
      <c r="BQ28" s="49"/>
      <c r="BR28" s="49"/>
      <c r="BS28" s="49"/>
      <c r="BT28" s="49"/>
      <c r="BV28" s="58">
        <f t="shared" si="16"/>
        <v>0</v>
      </c>
      <c r="BW28" s="58">
        <f t="shared" si="16"/>
        <v>0</v>
      </c>
      <c r="BX28" s="58">
        <f t="shared" si="16"/>
        <v>0</v>
      </c>
      <c r="BY28" s="58">
        <f t="shared" si="16"/>
        <v>0</v>
      </c>
      <c r="BZ28" s="58">
        <f t="shared" si="16"/>
        <v>0</v>
      </c>
      <c r="CA28" s="58">
        <f t="shared" si="16"/>
        <v>0</v>
      </c>
      <c r="CB28" s="58">
        <f t="shared" si="16"/>
        <v>0</v>
      </c>
      <c r="CC28" s="58">
        <f t="shared" si="16"/>
        <v>0</v>
      </c>
      <c r="CD28" s="58">
        <f t="shared" si="16"/>
        <v>0</v>
      </c>
      <c r="CE28" s="58">
        <f t="shared" si="16"/>
        <v>0</v>
      </c>
      <c r="CF28" s="58">
        <f t="shared" si="16"/>
        <v>0</v>
      </c>
      <c r="CG28" s="58">
        <f t="shared" si="16"/>
        <v>0</v>
      </c>
      <c r="CJ28" t="s">
        <v>579</v>
      </c>
    </row>
    <row r="29" spans="1:88" ht="16" outlineLevel="1" thickBot="1">
      <c r="A29" s="26"/>
      <c r="B29" s="26" t="s">
        <v>73</v>
      </c>
      <c r="C29" s="27" t="s">
        <v>237</v>
      </c>
      <c r="D29" s="26">
        <v>250294582</v>
      </c>
      <c r="E29" s="27">
        <v>10</v>
      </c>
      <c r="F29" s="27">
        <v>32</v>
      </c>
      <c r="G29" s="27">
        <v>30</v>
      </c>
      <c r="I29" s="28">
        <f t="shared" si="0"/>
        <v>23.852354999999999</v>
      </c>
      <c r="J29" s="29">
        <f t="shared" si="1"/>
        <v>0.10165027063989743</v>
      </c>
      <c r="K29" s="29">
        <f t="shared" si="2"/>
        <v>2.15839110732329E-2</v>
      </c>
      <c r="L29" s="29">
        <f t="shared" si="3"/>
        <v>1.7231247938079619E-2</v>
      </c>
      <c r="M29" s="29">
        <f t="shared" si="4"/>
        <v>8.0065848169258408E-2</v>
      </c>
      <c r="N29" s="26">
        <f t="shared" si="5"/>
        <v>5402336</v>
      </c>
      <c r="O29" s="29">
        <v>16</v>
      </c>
      <c r="P29" s="30">
        <v>24591050</v>
      </c>
      <c r="Q29" s="30">
        <v>768470.3125</v>
      </c>
      <c r="R29" s="30">
        <v>9839.84375</v>
      </c>
      <c r="S29" s="31">
        <v>25442512</v>
      </c>
      <c r="T29" s="31">
        <v>4312888</v>
      </c>
      <c r="U29" s="31">
        <v>1089448</v>
      </c>
      <c r="V29" s="31">
        <v>20040048</v>
      </c>
      <c r="W29" s="32">
        <v>71.138030999999998</v>
      </c>
      <c r="X29" s="32">
        <v>74.865933999999996</v>
      </c>
      <c r="Y29" s="32">
        <v>35.755878000000003</v>
      </c>
      <c r="Z29" s="32">
        <v>38.367171999999997</v>
      </c>
      <c r="AA29" s="32">
        <v>37.762050000000002</v>
      </c>
      <c r="AB29" s="33">
        <v>1788.24</v>
      </c>
      <c r="AC29" s="33">
        <v>5722.98</v>
      </c>
      <c r="AD29" s="33">
        <v>64.489999999999995</v>
      </c>
      <c r="AE29" s="33">
        <v>21.28</v>
      </c>
      <c r="AG29" s="28">
        <f t="shared" si="6"/>
        <v>23.852354999999999</v>
      </c>
      <c r="AH29" s="29">
        <f t="shared" si="7"/>
        <v>0.10165027063989743</v>
      </c>
      <c r="AI29" s="29">
        <f t="shared" si="8"/>
        <v>2.15839110732329E-2</v>
      </c>
      <c r="AJ29" s="29">
        <f t="shared" si="9"/>
        <v>1.7231247938079619E-2</v>
      </c>
      <c r="AK29" s="29">
        <f t="shared" si="10"/>
        <v>8.0065848169258408E-2</v>
      </c>
      <c r="AL29" s="26">
        <f t="shared" si="11"/>
        <v>5402336</v>
      </c>
      <c r="AM29" s="29">
        <v>16</v>
      </c>
      <c r="AN29" s="30">
        <v>24591050</v>
      </c>
      <c r="AO29" s="30">
        <v>768470.3125</v>
      </c>
      <c r="AP29" s="30">
        <v>9839.84375</v>
      </c>
      <c r="AQ29" s="31">
        <v>25442512</v>
      </c>
      <c r="AR29" s="31">
        <v>4312888</v>
      </c>
      <c r="AS29" s="31">
        <v>1089448</v>
      </c>
      <c r="AT29" s="31">
        <v>20040048</v>
      </c>
      <c r="AU29" s="32">
        <v>71.138030999999998</v>
      </c>
      <c r="AV29" s="32">
        <v>74.865933999999996</v>
      </c>
      <c r="AW29" s="32">
        <v>35.755878000000003</v>
      </c>
      <c r="AX29" s="32">
        <v>38.367171999999997</v>
      </c>
      <c r="AY29" s="32">
        <v>37.762050000000002</v>
      </c>
      <c r="AZ29" s="33">
        <v>1716.46</v>
      </c>
      <c r="BA29" s="33">
        <v>6759.46</v>
      </c>
      <c r="BB29" s="33">
        <v>75.236999999999995</v>
      </c>
      <c r="BC29" s="33">
        <v>28.815999999999999</v>
      </c>
      <c r="BE29" s="34">
        <f t="shared" si="12"/>
        <v>1</v>
      </c>
      <c r="BF29" s="35">
        <f t="shared" si="13"/>
        <v>0</v>
      </c>
      <c r="BG29" s="35">
        <f t="shared" si="14"/>
        <v>0</v>
      </c>
      <c r="BH29" s="35"/>
      <c r="BJ29" s="34"/>
      <c r="BK29" s="34"/>
      <c r="BL29" s="34"/>
      <c r="BM29" s="34"/>
      <c r="BN29" s="34"/>
      <c r="BP29" s="34"/>
      <c r="BQ29" s="34"/>
      <c r="BR29" s="34"/>
      <c r="BS29" s="34"/>
      <c r="BT29" s="34"/>
      <c r="BV29" s="58">
        <f t="shared" si="16"/>
        <v>0</v>
      </c>
      <c r="BW29" s="58">
        <f t="shared" si="16"/>
        <v>0</v>
      </c>
      <c r="BX29" s="58">
        <f t="shared" si="16"/>
        <v>0</v>
      </c>
      <c r="BY29" s="58">
        <f t="shared" si="16"/>
        <v>0</v>
      </c>
      <c r="BZ29" s="58">
        <f t="shared" si="16"/>
        <v>0</v>
      </c>
      <c r="CA29" s="58">
        <f t="shared" si="16"/>
        <v>0</v>
      </c>
      <c r="CB29" s="58">
        <f t="shared" si="16"/>
        <v>0</v>
      </c>
      <c r="CC29" s="58">
        <f t="shared" si="16"/>
        <v>0</v>
      </c>
      <c r="CD29" s="58">
        <f t="shared" si="16"/>
        <v>0</v>
      </c>
      <c r="CE29" s="58">
        <f t="shared" si="16"/>
        <v>0</v>
      </c>
      <c r="CF29" s="58">
        <f t="shared" si="16"/>
        <v>0</v>
      </c>
      <c r="CG29" s="58">
        <f t="shared" si="16"/>
        <v>0</v>
      </c>
      <c r="CJ29" t="s">
        <v>579</v>
      </c>
    </row>
    <row r="30" spans="1:88">
      <c r="A30" s="17" t="s">
        <v>242</v>
      </c>
      <c r="B30" s="17" t="s">
        <v>77</v>
      </c>
      <c r="C30" s="18" t="s">
        <v>232</v>
      </c>
      <c r="D30" s="17">
        <v>375422539</v>
      </c>
      <c r="E30" s="18">
        <v>11</v>
      </c>
      <c r="F30" s="18">
        <v>32</v>
      </c>
      <c r="G30" s="18">
        <v>30</v>
      </c>
      <c r="I30" s="19">
        <f t="shared" si="0"/>
        <v>3.6931050000000001</v>
      </c>
      <c r="J30" s="20">
        <f t="shared" si="1"/>
        <v>1.0493008785495429E-2</v>
      </c>
      <c r="K30" s="20">
        <f t="shared" si="2"/>
        <v>8.3077803701071869E-3</v>
      </c>
      <c r="L30" s="20">
        <f t="shared" si="3"/>
        <v>5.2756768554058494E-3</v>
      </c>
      <c r="M30" s="20">
        <f t="shared" si="4"/>
        <v>2.1848874662264216E-3</v>
      </c>
      <c r="N30" s="17">
        <f t="shared" si="5"/>
        <v>3118928</v>
      </c>
      <c r="O30" s="20">
        <v>16</v>
      </c>
      <c r="P30" s="21">
        <v>86243398</v>
      </c>
      <c r="Q30" s="21">
        <v>2695106.1875</v>
      </c>
      <c r="R30" s="21">
        <v>33846.0625</v>
      </c>
      <c r="S30" s="22">
        <v>3939312</v>
      </c>
      <c r="T30" s="22">
        <v>1980608</v>
      </c>
      <c r="U30" s="22">
        <v>1138320</v>
      </c>
      <c r="V30" s="22">
        <v>820256</v>
      </c>
      <c r="W30" s="23">
        <v>73.637074999999996</v>
      </c>
      <c r="X30" s="23">
        <v>75.742599999999996</v>
      </c>
      <c r="Y30" s="23">
        <v>33.230944000000001</v>
      </c>
      <c r="Z30" s="23">
        <v>41.929219000000003</v>
      </c>
      <c r="AA30" s="23">
        <v>43.316119</v>
      </c>
      <c r="AB30" s="24">
        <v>3999.39</v>
      </c>
      <c r="AC30" s="24">
        <v>17267</v>
      </c>
      <c r="AD30" s="24">
        <v>236.59899999999999</v>
      </c>
      <c r="AE30" s="24">
        <v>76.406000000000006</v>
      </c>
      <c r="AG30" s="19">
        <f t="shared" si="6"/>
        <v>3.6930974999999999</v>
      </c>
      <c r="AH30" s="20">
        <f t="shared" si="7"/>
        <v>1.0492987476172815E-2</v>
      </c>
      <c r="AI30" s="20">
        <f t="shared" si="8"/>
        <v>8.3077590607845732E-3</v>
      </c>
      <c r="AJ30" s="20">
        <f t="shared" si="9"/>
        <v>5.2756768554058494E-3</v>
      </c>
      <c r="AK30" s="20">
        <f t="shared" si="10"/>
        <v>2.1848874662264216E-3</v>
      </c>
      <c r="AL30" s="17">
        <f t="shared" si="11"/>
        <v>3118920</v>
      </c>
      <c r="AM30" s="20">
        <v>16</v>
      </c>
      <c r="AN30" s="21">
        <v>86243398</v>
      </c>
      <c r="AO30" s="21">
        <v>2695106.1875</v>
      </c>
      <c r="AP30" s="21">
        <v>33846.0625</v>
      </c>
      <c r="AQ30" s="22">
        <v>3939304</v>
      </c>
      <c r="AR30" s="22">
        <v>1980608</v>
      </c>
      <c r="AS30" s="22">
        <v>1138312</v>
      </c>
      <c r="AT30" s="22">
        <v>820256</v>
      </c>
      <c r="AU30" s="23">
        <v>73.637074999999996</v>
      </c>
      <c r="AV30" s="23">
        <v>75.742599999999996</v>
      </c>
      <c r="AW30" s="23">
        <v>33.230944000000001</v>
      </c>
      <c r="AX30" s="23">
        <v>41.929219000000003</v>
      </c>
      <c r="AY30" s="23">
        <v>43.316119</v>
      </c>
      <c r="AZ30" s="24">
        <v>4352.16</v>
      </c>
      <c r="BA30" s="24">
        <v>21665</v>
      </c>
      <c r="BB30" s="24">
        <v>264.89699999999999</v>
      </c>
      <c r="BC30" s="24">
        <v>102.241</v>
      </c>
      <c r="BE30" s="49">
        <f t="shared" si="12"/>
        <v>0.9999974350161337</v>
      </c>
      <c r="BF30" s="25">
        <f t="shared" si="13"/>
        <v>0</v>
      </c>
      <c r="BG30" s="25">
        <f t="shared" si="14"/>
        <v>-4.2292883173367102E-7</v>
      </c>
      <c r="BH30" s="25">
        <f t="array" ref="BH30">AVERAGE(AL30:AL34/AQ30:AQ34) - AVERAGE(N30:N34/S30:S34)</f>
        <v>-1.3225299544394886E-7</v>
      </c>
      <c r="BJ30" s="49">
        <f>IF( OR(ISBLANK(N30:N34),ISBLANK(AL30:AL34), ISBLANK(W30:W34),ISBLANK(AU30:AU34)), "·", bdRateExtend( N30:N34,W30:W34, AL30:AL34,AU30:AU34))</f>
        <v>-1.0258637980209429E-6</v>
      </c>
      <c r="BK30" s="49">
        <f>IF( OR(ISBLANK(N30:N34),ISBLANK(AL30:AL34), ISBLANK(X30:X34),ISBLANK(AV30:AV34)), "·", bdRateExtend( N30:N34,X30:X34, AL30:AL34,AV30:AV34))</f>
        <v>-9.2317496069860283E-7</v>
      </c>
      <c r="BL30" s="49">
        <f>IF( OR(ISBLANK(V30:V34),ISBLANK(AT30:AT34), ISBLANK(Y30:Y34),ISBLANK(AW30:AW34)), "·", bdRateExtend( V30:V34,Y30:Y34, AT30:AT34,AW30:AW34))</f>
        <v>0</v>
      </c>
      <c r="BM30" s="49">
        <f>IF( OR(ISBLANK(V30:V34),ISBLANK(AT30:AT34), ISBLANK(Z30:Z34),ISBLANK(AX30:AX34)), "·", bdRateExtend( V30:V34,Z30:Z34, AT30:AT34,AX30:AX34))</f>
        <v>0</v>
      </c>
      <c r="BN30" s="49">
        <f>IF( OR(ISBLANK(V30:V34),ISBLANK(AT30:AT34), ISBLANK(AA30:AA34),ISBLANK(AY30:AY34)), "·", bdRateExtend( V30:V34,AA30:AA34, AT30:AT34,AY30:AY34))</f>
        <v>0</v>
      </c>
      <c r="BP30" s="49">
        <f>IF( OR(ISBLANK(S30:S34),ISBLANK(AQ30:AQ34), ISBLANK(W30:W34),ISBLANK(AU30:AU34)), "·", bdRateExtend( S30:S34,W30:W34, AQ30:AQ34,AU30:AU34))</f>
        <v>-7.8462388708455677E-7</v>
      </c>
      <c r="BQ30" s="49">
        <f>IF( OR(ISBLANK(S30:S34),ISBLANK(AQ30:AQ34), ISBLANK(X30:X34),ISBLANK(AV30:AV34)), "·", bdRateExtend( S30:S34,X30:X34, AQ30:AQ34,AV30:AV34))</f>
        <v>-7.134895719795864E-7</v>
      </c>
      <c r="BR30" s="49">
        <f>IF( OR(ISBLANK(S30:S34),ISBLANK(AQ30:AQ34), ISBLANK(Y30:Y34),ISBLANK(AW30:AW34)), "·", bdRateExtend( S30:S34,Y30:Y34, AQ30:AQ34,AW30:AW34))</f>
        <v>-6.3651254433860771E-7</v>
      </c>
      <c r="BS30" s="49">
        <f>IF( OR(ISBLANK(S30:S34),ISBLANK(AQ30:AQ34), ISBLANK(Z30:Z34),ISBLANK(AX30:AX34)), "·", bdRateExtend( S30:S34,Z30:Z34, AQ30:AQ34,AX30:AX34))</f>
        <v>-6.1037399490260213E-7</v>
      </c>
      <c r="BT30" s="49">
        <f>IF( OR(ISBLANK(S30:S34),ISBLANK(AQ30:AQ34), ISBLANK(AA30:AA34),ISBLANK(AY30:AY34)), "·", bdRateExtend( S30:S34,AA30:AA34, AQ30:AQ34,AY30:AY34))</f>
        <v>-5.6138135906547149E-7</v>
      </c>
      <c r="BV30" s="58">
        <f t="shared" si="16"/>
        <v>0</v>
      </c>
      <c r="BW30" s="58">
        <f t="shared" si="16"/>
        <v>0</v>
      </c>
      <c r="BX30" s="58">
        <f t="shared" si="16"/>
        <v>0</v>
      </c>
      <c r="BY30" s="58">
        <f t="shared" si="16"/>
        <v>-8</v>
      </c>
      <c r="BZ30" s="58">
        <f t="shared" si="16"/>
        <v>0</v>
      </c>
      <c r="CA30" s="58">
        <f t="shared" si="16"/>
        <v>-8</v>
      </c>
      <c r="CB30" s="58">
        <f t="shared" si="16"/>
        <v>0</v>
      </c>
      <c r="CC30" s="58">
        <f t="shared" si="16"/>
        <v>0</v>
      </c>
      <c r="CD30" s="58">
        <f t="shared" si="16"/>
        <v>0</v>
      </c>
      <c r="CE30" s="58">
        <f t="shared" si="16"/>
        <v>0</v>
      </c>
      <c r="CF30" s="58">
        <f t="shared" si="16"/>
        <v>0</v>
      </c>
      <c r="CG30" s="58">
        <f t="shared" si="16"/>
        <v>0</v>
      </c>
      <c r="CJ30" t="s">
        <v>588</v>
      </c>
    </row>
    <row r="31" spans="1:88" outlineLevel="1">
      <c r="A31" s="52"/>
      <c r="B31" s="52" t="s">
        <v>77</v>
      </c>
      <c r="C31" s="9" t="s">
        <v>234</v>
      </c>
      <c r="D31" s="52">
        <v>375422539</v>
      </c>
      <c r="E31" s="9">
        <v>11</v>
      </c>
      <c r="F31" s="9">
        <v>32</v>
      </c>
      <c r="G31" s="9">
        <v>30</v>
      </c>
      <c r="I31" s="10">
        <f t="shared" si="0"/>
        <v>4.9305450000000004</v>
      </c>
      <c r="J31" s="11">
        <f t="shared" si="1"/>
        <v>1.4008876542172659E-2</v>
      </c>
      <c r="K31" s="11">
        <f t="shared" si="2"/>
        <v>1.0247631935598838E-2</v>
      </c>
      <c r="L31" s="11">
        <f t="shared" si="3"/>
        <v>7.2155284208974997E-3</v>
      </c>
      <c r="M31" s="11">
        <f t="shared" si="4"/>
        <v>3.7609036574120019E-3</v>
      </c>
      <c r="N31" s="52">
        <f t="shared" si="5"/>
        <v>3847192</v>
      </c>
      <c r="O31" s="11">
        <v>16</v>
      </c>
      <c r="P31" s="12">
        <v>90541792</v>
      </c>
      <c r="Q31" s="12">
        <v>2829431</v>
      </c>
      <c r="R31" s="12">
        <v>41460.6875</v>
      </c>
      <c r="S31" s="13">
        <v>5259248</v>
      </c>
      <c r="T31" s="13">
        <v>2708872</v>
      </c>
      <c r="U31" s="13">
        <v>1138320</v>
      </c>
      <c r="V31" s="13">
        <v>1411928</v>
      </c>
      <c r="W31" s="14">
        <v>75.252650000000003</v>
      </c>
      <c r="X31" s="14">
        <v>77.584663000000006</v>
      </c>
      <c r="Y31" s="14">
        <v>35.168300000000002</v>
      </c>
      <c r="Z31" s="14">
        <v>42.577666000000001</v>
      </c>
      <c r="AA31" s="14">
        <v>44.702897</v>
      </c>
      <c r="AB31" s="15">
        <v>3791.35</v>
      </c>
      <c r="AC31" s="15">
        <v>16903.099999999999</v>
      </c>
      <c r="AD31" s="15">
        <v>247.92500000000001</v>
      </c>
      <c r="AE31" s="15">
        <v>83.5</v>
      </c>
      <c r="AG31" s="10">
        <f t="shared" si="6"/>
        <v>4.9305374999999998</v>
      </c>
      <c r="AH31" s="11">
        <f t="shared" si="7"/>
        <v>1.4008855232850045E-2</v>
      </c>
      <c r="AI31" s="11">
        <f t="shared" si="8"/>
        <v>1.0247610626276224E-2</v>
      </c>
      <c r="AJ31" s="11">
        <f t="shared" si="9"/>
        <v>7.2155284208974997E-3</v>
      </c>
      <c r="AK31" s="11">
        <f t="shared" si="10"/>
        <v>3.7609036574120019E-3</v>
      </c>
      <c r="AL31" s="52">
        <f t="shared" si="11"/>
        <v>3847184</v>
      </c>
      <c r="AM31" s="11">
        <v>16</v>
      </c>
      <c r="AN31" s="12">
        <v>90541792</v>
      </c>
      <c r="AO31" s="12">
        <v>2829431</v>
      </c>
      <c r="AP31" s="12">
        <v>41460.6875</v>
      </c>
      <c r="AQ31" s="13">
        <v>5259240</v>
      </c>
      <c r="AR31" s="13">
        <v>2708872</v>
      </c>
      <c r="AS31" s="13">
        <v>1138312</v>
      </c>
      <c r="AT31" s="13">
        <v>1411928</v>
      </c>
      <c r="AU31" s="14">
        <v>75.252650000000003</v>
      </c>
      <c r="AV31" s="14">
        <v>77.584663000000006</v>
      </c>
      <c r="AW31" s="14">
        <v>35.168300000000002</v>
      </c>
      <c r="AX31" s="14">
        <v>42.577666000000001</v>
      </c>
      <c r="AY31" s="14">
        <v>44.702897</v>
      </c>
      <c r="AZ31" s="15">
        <v>3886.49</v>
      </c>
      <c r="BA31" s="15">
        <v>17341.2</v>
      </c>
      <c r="BB31" s="15">
        <v>249.196</v>
      </c>
      <c r="BC31" s="15">
        <v>77.597999999999999</v>
      </c>
      <c r="BE31" s="50">
        <f t="shared" si="12"/>
        <v>0.99999792056128212</v>
      </c>
      <c r="BF31" s="16">
        <f t="shared" si="13"/>
        <v>0</v>
      </c>
      <c r="BG31" s="16">
        <f t="shared" si="14"/>
        <v>-4.0840896542437832E-7</v>
      </c>
      <c r="BH31" s="16"/>
      <c r="BJ31" s="50"/>
      <c r="BK31" s="50"/>
      <c r="BL31" s="50"/>
      <c r="BM31" s="50"/>
      <c r="BN31" s="50"/>
      <c r="BP31" s="50"/>
      <c r="BQ31" s="50"/>
      <c r="BR31" s="50"/>
      <c r="BS31" s="50"/>
      <c r="BT31" s="50"/>
      <c r="BV31" s="58">
        <f t="shared" si="16"/>
        <v>0</v>
      </c>
      <c r="BW31" s="58">
        <f t="shared" si="16"/>
        <v>0</v>
      </c>
      <c r="BX31" s="58">
        <f t="shared" si="16"/>
        <v>0</v>
      </c>
      <c r="BY31" s="58">
        <f t="shared" si="16"/>
        <v>-8</v>
      </c>
      <c r="BZ31" s="58">
        <f t="shared" si="16"/>
        <v>0</v>
      </c>
      <c r="CA31" s="58">
        <f t="shared" si="16"/>
        <v>-8</v>
      </c>
      <c r="CB31" s="58">
        <f t="shared" si="16"/>
        <v>0</v>
      </c>
      <c r="CC31" s="58">
        <f t="shared" si="16"/>
        <v>0</v>
      </c>
      <c r="CD31" s="58">
        <f t="shared" si="16"/>
        <v>0</v>
      </c>
      <c r="CE31" s="58">
        <f t="shared" si="16"/>
        <v>0</v>
      </c>
      <c r="CF31" s="58">
        <f t="shared" si="16"/>
        <v>0</v>
      </c>
      <c r="CG31" s="58">
        <f t="shared" si="16"/>
        <v>0</v>
      </c>
      <c r="CJ31" t="s">
        <v>588</v>
      </c>
    </row>
    <row r="32" spans="1:88" outlineLevel="1">
      <c r="A32" s="17"/>
      <c r="B32" s="17" t="s">
        <v>77</v>
      </c>
      <c r="C32" s="18" t="s">
        <v>235</v>
      </c>
      <c r="D32" s="17">
        <v>375422539</v>
      </c>
      <c r="E32" s="18">
        <v>11</v>
      </c>
      <c r="F32" s="18">
        <v>32</v>
      </c>
      <c r="G32" s="18">
        <v>30</v>
      </c>
      <c r="I32" s="19">
        <f t="shared" si="0"/>
        <v>7.1345625000000004</v>
      </c>
      <c r="J32" s="20">
        <f t="shared" si="1"/>
        <v>2.027102586933386E-2</v>
      </c>
      <c r="K32" s="20">
        <f t="shared" si="2"/>
        <v>1.3138966065114168E-2</v>
      </c>
      <c r="L32" s="20">
        <f t="shared" si="3"/>
        <v>1.0106862550412829E-2</v>
      </c>
      <c r="M32" s="20">
        <f t="shared" si="4"/>
        <v>7.1317188550578739E-3</v>
      </c>
      <c r="N32" s="17">
        <f t="shared" si="5"/>
        <v>4932664</v>
      </c>
      <c r="O32" s="20">
        <v>16</v>
      </c>
      <c r="P32" s="21">
        <v>91787366</v>
      </c>
      <c r="Q32" s="21">
        <v>2868355.1875</v>
      </c>
      <c r="R32" s="21">
        <v>44534.90625</v>
      </c>
      <c r="S32" s="22">
        <v>7610200</v>
      </c>
      <c r="T32" s="22">
        <v>3794344</v>
      </c>
      <c r="U32" s="22">
        <v>1138320</v>
      </c>
      <c r="V32" s="22">
        <v>2677408</v>
      </c>
      <c r="W32" s="23">
        <v>76.469399999999993</v>
      </c>
      <c r="X32" s="23">
        <v>79.114191000000005</v>
      </c>
      <c r="Y32" s="23">
        <v>36.951524999999997</v>
      </c>
      <c r="Z32" s="23">
        <v>43.104759000000001</v>
      </c>
      <c r="AA32" s="23">
        <v>45.735422</v>
      </c>
      <c r="AB32" s="24">
        <v>4792.01</v>
      </c>
      <c r="AC32" s="24">
        <v>24307.4</v>
      </c>
      <c r="AD32" s="24">
        <v>282.77199999999999</v>
      </c>
      <c r="AE32" s="24">
        <v>108.22</v>
      </c>
      <c r="AG32" s="19">
        <f t="shared" si="6"/>
        <v>7.1345625000000004</v>
      </c>
      <c r="AH32" s="20">
        <f t="shared" si="7"/>
        <v>2.027102586933386E-2</v>
      </c>
      <c r="AI32" s="20">
        <f t="shared" si="8"/>
        <v>1.3138966065114168E-2</v>
      </c>
      <c r="AJ32" s="20">
        <f t="shared" si="9"/>
        <v>1.0106862550412829E-2</v>
      </c>
      <c r="AK32" s="20">
        <f t="shared" si="10"/>
        <v>7.1317188550578739E-3</v>
      </c>
      <c r="AL32" s="17">
        <f t="shared" si="11"/>
        <v>4932664</v>
      </c>
      <c r="AM32" s="20">
        <v>16</v>
      </c>
      <c r="AN32" s="21">
        <v>91787366</v>
      </c>
      <c r="AO32" s="21">
        <v>2868355.1875</v>
      </c>
      <c r="AP32" s="21">
        <v>44534.90625</v>
      </c>
      <c r="AQ32" s="22">
        <v>7610200</v>
      </c>
      <c r="AR32" s="22">
        <v>3794344</v>
      </c>
      <c r="AS32" s="22">
        <v>1138320</v>
      </c>
      <c r="AT32" s="22">
        <v>2677408</v>
      </c>
      <c r="AU32" s="23">
        <v>76.469399999999993</v>
      </c>
      <c r="AV32" s="23">
        <v>79.114191000000005</v>
      </c>
      <c r="AW32" s="23">
        <v>36.951524999999997</v>
      </c>
      <c r="AX32" s="23">
        <v>43.104759000000001</v>
      </c>
      <c r="AY32" s="23">
        <v>45.735422</v>
      </c>
      <c r="AZ32" s="24">
        <v>4085.36</v>
      </c>
      <c r="BA32" s="24">
        <v>19179.900000000001</v>
      </c>
      <c r="BB32" s="24">
        <v>254.739</v>
      </c>
      <c r="BC32" s="24">
        <v>80.480999999999995</v>
      </c>
      <c r="BE32" s="49">
        <f t="shared" si="12"/>
        <v>1</v>
      </c>
      <c r="BF32" s="25">
        <f t="shared" si="13"/>
        <v>0</v>
      </c>
      <c r="BG32" s="25">
        <f t="shared" si="14"/>
        <v>0</v>
      </c>
      <c r="BH32" s="25"/>
      <c r="BJ32" s="49"/>
      <c r="BK32" s="49"/>
      <c r="BL32" s="49"/>
      <c r="BM32" s="49"/>
      <c r="BN32" s="49"/>
      <c r="BP32" s="49"/>
      <c r="BQ32" s="49"/>
      <c r="BR32" s="49"/>
      <c r="BS32" s="49"/>
      <c r="BT32" s="49"/>
      <c r="BV32" s="58">
        <f t="shared" si="16"/>
        <v>0</v>
      </c>
      <c r="BW32" s="58">
        <f t="shared" si="16"/>
        <v>0</v>
      </c>
      <c r="BX32" s="58">
        <f t="shared" si="16"/>
        <v>0</v>
      </c>
      <c r="BY32" s="58">
        <f t="shared" si="16"/>
        <v>0</v>
      </c>
      <c r="BZ32" s="58">
        <f t="shared" si="16"/>
        <v>0</v>
      </c>
      <c r="CA32" s="58">
        <f t="shared" si="16"/>
        <v>0</v>
      </c>
      <c r="CB32" s="58">
        <f t="shared" si="16"/>
        <v>0</v>
      </c>
      <c r="CC32" s="58">
        <f t="shared" si="16"/>
        <v>0</v>
      </c>
      <c r="CD32" s="58">
        <f t="shared" si="16"/>
        <v>0</v>
      </c>
      <c r="CE32" s="58">
        <f t="shared" si="16"/>
        <v>0</v>
      </c>
      <c r="CF32" s="58">
        <f t="shared" si="16"/>
        <v>0</v>
      </c>
      <c r="CG32" s="58">
        <f t="shared" si="16"/>
        <v>0</v>
      </c>
      <c r="CJ32" t="s">
        <v>588</v>
      </c>
    </row>
    <row r="33" spans="1:88" outlineLevel="1">
      <c r="A33" s="52"/>
      <c r="B33" s="52" t="s">
        <v>77</v>
      </c>
      <c r="C33" s="9" t="s">
        <v>236</v>
      </c>
      <c r="D33" s="52">
        <v>375422539</v>
      </c>
      <c r="E33" s="9">
        <v>11</v>
      </c>
      <c r="F33" s="9">
        <v>32</v>
      </c>
      <c r="G33" s="9">
        <v>30</v>
      </c>
      <c r="I33" s="10">
        <f t="shared" si="0"/>
        <v>11.971125000000001</v>
      </c>
      <c r="J33" s="11">
        <f t="shared" si="1"/>
        <v>3.4012875289834425E-2</v>
      </c>
      <c r="K33" s="11">
        <f t="shared" si="2"/>
        <v>1.846900300250753E-2</v>
      </c>
      <c r="L33" s="11">
        <f t="shared" si="3"/>
        <v>1.5436899487806192E-2</v>
      </c>
      <c r="M33" s="11">
        <f t="shared" si="4"/>
        <v>1.5543531338165075E-2</v>
      </c>
      <c r="N33" s="52">
        <f t="shared" si="5"/>
        <v>6933680</v>
      </c>
      <c r="O33" s="11">
        <v>16</v>
      </c>
      <c r="P33" s="12">
        <v>94114766</v>
      </c>
      <c r="Q33" s="12">
        <v>2941086.4375</v>
      </c>
      <c r="R33" s="12">
        <v>49715.25</v>
      </c>
      <c r="S33" s="13">
        <v>12769200</v>
      </c>
      <c r="T33" s="13">
        <v>5795360</v>
      </c>
      <c r="U33" s="13">
        <v>1138320</v>
      </c>
      <c r="V33" s="13">
        <v>5835392</v>
      </c>
      <c r="W33" s="14">
        <v>77.566353000000007</v>
      </c>
      <c r="X33" s="14">
        <v>80.266603000000003</v>
      </c>
      <c r="Y33" s="14">
        <v>38.717027999999999</v>
      </c>
      <c r="Z33" s="14">
        <v>43.694291</v>
      </c>
      <c r="AA33" s="14">
        <v>47.348472000000001</v>
      </c>
      <c r="AB33" s="15">
        <v>4017.48</v>
      </c>
      <c r="AC33" s="15">
        <v>19097.599999999999</v>
      </c>
      <c r="AD33" s="15">
        <v>253.649</v>
      </c>
      <c r="AE33" s="15">
        <v>78.625</v>
      </c>
      <c r="AG33" s="10">
        <f t="shared" si="6"/>
        <v>11.971125000000001</v>
      </c>
      <c r="AH33" s="11">
        <f t="shared" si="7"/>
        <v>3.4012875289834425E-2</v>
      </c>
      <c r="AI33" s="11">
        <f t="shared" si="8"/>
        <v>1.846900300250753E-2</v>
      </c>
      <c r="AJ33" s="11">
        <f t="shared" si="9"/>
        <v>1.5436899487806192E-2</v>
      </c>
      <c r="AK33" s="11">
        <f t="shared" si="10"/>
        <v>1.5543531338165075E-2</v>
      </c>
      <c r="AL33" s="52">
        <f t="shared" si="11"/>
        <v>6933680</v>
      </c>
      <c r="AM33" s="11">
        <v>16</v>
      </c>
      <c r="AN33" s="12">
        <v>94114766</v>
      </c>
      <c r="AO33" s="12">
        <v>2941086.4375</v>
      </c>
      <c r="AP33" s="12">
        <v>49715.25</v>
      </c>
      <c r="AQ33" s="13">
        <v>12769200</v>
      </c>
      <c r="AR33" s="13">
        <v>5795360</v>
      </c>
      <c r="AS33" s="13">
        <v>1138320</v>
      </c>
      <c r="AT33" s="13">
        <v>5835392</v>
      </c>
      <c r="AU33" s="14">
        <v>77.566353000000007</v>
      </c>
      <c r="AV33" s="14">
        <v>80.266603000000003</v>
      </c>
      <c r="AW33" s="14">
        <v>38.717027999999999</v>
      </c>
      <c r="AX33" s="14">
        <v>43.694291</v>
      </c>
      <c r="AY33" s="14">
        <v>47.348472000000001</v>
      </c>
      <c r="AZ33" s="15">
        <v>4241.01</v>
      </c>
      <c r="BA33" s="15">
        <v>20924.400000000001</v>
      </c>
      <c r="BB33" s="15">
        <v>297.36799999999999</v>
      </c>
      <c r="BC33" s="15">
        <v>105.619</v>
      </c>
      <c r="BE33" s="50">
        <f t="shared" si="12"/>
        <v>1</v>
      </c>
      <c r="BF33" s="16">
        <f t="shared" si="13"/>
        <v>0</v>
      </c>
      <c r="BG33" s="16">
        <f t="shared" si="14"/>
        <v>0</v>
      </c>
      <c r="BH33" s="16"/>
      <c r="BJ33" s="50"/>
      <c r="BK33" s="50"/>
      <c r="BL33" s="50"/>
      <c r="BM33" s="50"/>
      <c r="BN33" s="50"/>
      <c r="BP33" s="50"/>
      <c r="BQ33" s="50"/>
      <c r="BR33" s="50"/>
      <c r="BS33" s="50"/>
      <c r="BT33" s="50"/>
      <c r="BV33" s="58">
        <f t="shared" si="16"/>
        <v>0</v>
      </c>
      <c r="BW33" s="58">
        <f t="shared" si="16"/>
        <v>0</v>
      </c>
      <c r="BX33" s="58">
        <f t="shared" si="16"/>
        <v>0</v>
      </c>
      <c r="BY33" s="58">
        <f t="shared" si="16"/>
        <v>0</v>
      </c>
      <c r="BZ33" s="58">
        <f t="shared" si="16"/>
        <v>0</v>
      </c>
      <c r="CA33" s="58">
        <f t="shared" si="16"/>
        <v>0</v>
      </c>
      <c r="CB33" s="58">
        <f t="shared" si="16"/>
        <v>0</v>
      </c>
      <c r="CC33" s="58">
        <f t="shared" si="16"/>
        <v>0</v>
      </c>
      <c r="CD33" s="58">
        <f t="shared" si="16"/>
        <v>0</v>
      </c>
      <c r="CE33" s="58">
        <f t="shared" si="16"/>
        <v>0</v>
      </c>
      <c r="CF33" s="58">
        <f t="shared" si="16"/>
        <v>0</v>
      </c>
      <c r="CG33" s="58">
        <f t="shared" si="16"/>
        <v>0</v>
      </c>
      <c r="CJ33" t="s">
        <v>588</v>
      </c>
    </row>
    <row r="34" spans="1:88" ht="16" outlineLevel="1" thickBot="1">
      <c r="A34" s="17"/>
      <c r="B34" s="36" t="s">
        <v>77</v>
      </c>
      <c r="C34" s="37" t="s">
        <v>237</v>
      </c>
      <c r="D34" s="36">
        <v>375422539</v>
      </c>
      <c r="E34" s="37">
        <v>11</v>
      </c>
      <c r="F34" s="37">
        <v>32</v>
      </c>
      <c r="G34" s="37">
        <v>30</v>
      </c>
      <c r="I34" s="38">
        <f t="shared" si="0"/>
        <v>24.604665000000001</v>
      </c>
      <c r="J34" s="39">
        <f t="shared" si="1"/>
        <v>6.9907832571554793E-2</v>
      </c>
      <c r="K34" s="39">
        <f t="shared" si="2"/>
        <v>3.0903120603528816E-2</v>
      </c>
      <c r="L34" s="39">
        <f t="shared" si="3"/>
        <v>2.459758549552615E-2</v>
      </c>
      <c r="M34" s="39">
        <f t="shared" si="4"/>
        <v>3.9004371018864163E-2</v>
      </c>
      <c r="N34" s="36">
        <f t="shared" si="5"/>
        <v>11601728</v>
      </c>
      <c r="O34" s="39">
        <v>16</v>
      </c>
      <c r="P34" s="40">
        <v>92205535</v>
      </c>
      <c r="Q34" s="40">
        <v>2881422.96875</v>
      </c>
      <c r="R34" s="40">
        <v>21180.46875</v>
      </c>
      <c r="S34" s="41">
        <v>26244976</v>
      </c>
      <c r="T34" s="41">
        <v>9234488</v>
      </c>
      <c r="U34" s="41">
        <v>2367240</v>
      </c>
      <c r="V34" s="41">
        <v>14643120</v>
      </c>
      <c r="W34" s="42">
        <v>78.500297000000003</v>
      </c>
      <c r="X34" s="42">
        <v>81.895680999999996</v>
      </c>
      <c r="Y34" s="42">
        <v>40.507772000000003</v>
      </c>
      <c r="Z34" s="42">
        <v>44.376384000000002</v>
      </c>
      <c r="AA34" s="42">
        <v>48.811852999999999</v>
      </c>
      <c r="AB34" s="43">
        <v>4182.87</v>
      </c>
      <c r="AC34" s="43">
        <v>22998.400000000001</v>
      </c>
      <c r="AD34" s="43">
        <v>259.47800000000001</v>
      </c>
      <c r="AE34" s="43">
        <v>94.07</v>
      </c>
      <c r="AG34" s="38">
        <f t="shared" si="6"/>
        <v>24.6046725</v>
      </c>
      <c r="AH34" s="39">
        <f t="shared" si="7"/>
        <v>6.9907853880877405E-2</v>
      </c>
      <c r="AI34" s="39">
        <f t="shared" si="8"/>
        <v>3.0903141912851428E-2</v>
      </c>
      <c r="AJ34" s="39">
        <f t="shared" si="9"/>
        <v>2.459758549552615E-2</v>
      </c>
      <c r="AK34" s="39">
        <f t="shared" si="10"/>
        <v>3.9004371018864163E-2</v>
      </c>
      <c r="AL34" s="36">
        <f t="shared" si="11"/>
        <v>11601736</v>
      </c>
      <c r="AM34" s="39">
        <v>16</v>
      </c>
      <c r="AN34" s="40">
        <v>92205535</v>
      </c>
      <c r="AO34" s="40">
        <v>2881422.96875</v>
      </c>
      <c r="AP34" s="40">
        <v>21180.46875</v>
      </c>
      <c r="AQ34" s="41">
        <v>26244984</v>
      </c>
      <c r="AR34" s="41">
        <v>9234488</v>
      </c>
      <c r="AS34" s="41">
        <v>2367248</v>
      </c>
      <c r="AT34" s="41">
        <v>14643120</v>
      </c>
      <c r="AU34" s="42">
        <v>78.500297000000003</v>
      </c>
      <c r="AV34" s="42">
        <v>81.895680999999996</v>
      </c>
      <c r="AW34" s="42">
        <v>40.507772000000003</v>
      </c>
      <c r="AX34" s="42">
        <v>44.376384000000002</v>
      </c>
      <c r="AY34" s="42">
        <v>48.811852999999999</v>
      </c>
      <c r="AZ34" s="43">
        <v>3773.85</v>
      </c>
      <c r="BA34" s="43">
        <v>20741</v>
      </c>
      <c r="BB34" s="43">
        <v>248.852</v>
      </c>
      <c r="BC34" s="43">
        <v>86.957999999999998</v>
      </c>
      <c r="BE34" s="44">
        <f t="shared" si="12"/>
        <v>1.0000006895524529</v>
      </c>
      <c r="BF34" s="45">
        <f t="shared" si="13"/>
        <v>0</v>
      </c>
      <c r="BG34" s="45">
        <f t="shared" si="14"/>
        <v>1.7007281977177158E-7</v>
      </c>
      <c r="BH34" s="45"/>
      <c r="BJ34" s="44"/>
      <c r="BK34" s="44"/>
      <c r="BL34" s="44"/>
      <c r="BM34" s="44"/>
      <c r="BN34" s="44"/>
      <c r="BP34" s="44"/>
      <c r="BQ34" s="44"/>
      <c r="BR34" s="44"/>
      <c r="BS34" s="44"/>
      <c r="BT34" s="44"/>
      <c r="BV34" s="58">
        <f t="shared" si="16"/>
        <v>0</v>
      </c>
      <c r="BW34" s="58">
        <f t="shared" si="16"/>
        <v>0</v>
      </c>
      <c r="BX34" s="58">
        <f t="shared" si="16"/>
        <v>0</v>
      </c>
      <c r="BY34" s="58">
        <f t="shared" si="16"/>
        <v>8</v>
      </c>
      <c r="BZ34" s="58">
        <f t="shared" si="16"/>
        <v>0</v>
      </c>
      <c r="CA34" s="58">
        <f t="shared" si="16"/>
        <v>8</v>
      </c>
      <c r="CB34" s="58">
        <f t="shared" si="16"/>
        <v>0</v>
      </c>
      <c r="CC34" s="58">
        <f t="shared" si="16"/>
        <v>0</v>
      </c>
      <c r="CD34" s="58">
        <f t="shared" si="16"/>
        <v>0</v>
      </c>
      <c r="CE34" s="58">
        <f t="shared" si="16"/>
        <v>0</v>
      </c>
      <c r="CF34" s="58">
        <f t="shared" si="16"/>
        <v>0</v>
      </c>
      <c r="CG34" s="58">
        <f t="shared" si="16"/>
        <v>0</v>
      </c>
      <c r="CJ34" t="s">
        <v>588</v>
      </c>
    </row>
    <row r="35" spans="1:88">
      <c r="A35" s="52"/>
      <c r="B35" s="52" t="s">
        <v>82</v>
      </c>
      <c r="C35" s="9" t="s">
        <v>232</v>
      </c>
      <c r="D35" s="52">
        <v>333190689</v>
      </c>
      <c r="E35" s="9">
        <v>11</v>
      </c>
      <c r="F35" s="9">
        <v>32</v>
      </c>
      <c r="G35" s="9">
        <v>30</v>
      </c>
      <c r="I35" s="10">
        <f t="shared" si="0"/>
        <v>4.6254825000000004</v>
      </c>
      <c r="J35" s="11">
        <f t="shared" si="1"/>
        <v>1.480788078084619E-2</v>
      </c>
      <c r="K35" s="11">
        <f t="shared" si="2"/>
        <v>1.1084295335755915E-2</v>
      </c>
      <c r="L35" s="11">
        <f t="shared" si="3"/>
        <v>7.155662143968255E-3</v>
      </c>
      <c r="M35" s="11">
        <f t="shared" si="4"/>
        <v>3.7232012806936512E-3</v>
      </c>
      <c r="N35" s="52">
        <f t="shared" si="5"/>
        <v>3693184</v>
      </c>
      <c r="O35" s="11">
        <v>16</v>
      </c>
      <c r="P35" s="12">
        <v>74793925</v>
      </c>
      <c r="Q35" s="12">
        <v>2337310.15625</v>
      </c>
      <c r="R35" s="12">
        <v>30824.78125</v>
      </c>
      <c r="S35" s="13">
        <v>4933848</v>
      </c>
      <c r="T35" s="13">
        <v>2384200</v>
      </c>
      <c r="U35" s="13">
        <v>1308984</v>
      </c>
      <c r="V35" s="13">
        <v>1240536</v>
      </c>
      <c r="W35" s="14">
        <v>73.186065999999997</v>
      </c>
      <c r="X35" s="14">
        <v>75.395090999999994</v>
      </c>
      <c r="Y35" s="14">
        <v>31.779947</v>
      </c>
      <c r="Z35" s="14">
        <v>42.169849999999997</v>
      </c>
      <c r="AA35" s="14">
        <v>43.305712</v>
      </c>
      <c r="AB35" s="15">
        <v>3696.09</v>
      </c>
      <c r="AC35" s="15">
        <v>19023</v>
      </c>
      <c r="AD35" s="15">
        <v>208.268</v>
      </c>
      <c r="AE35" s="15">
        <v>78.953000000000003</v>
      </c>
      <c r="AG35" s="10">
        <f t="shared" si="6"/>
        <v>4.6254825000000004</v>
      </c>
      <c r="AH35" s="11">
        <f t="shared" si="7"/>
        <v>1.480788078084619E-2</v>
      </c>
      <c r="AI35" s="11">
        <f t="shared" si="8"/>
        <v>1.1084295335755915E-2</v>
      </c>
      <c r="AJ35" s="11">
        <f t="shared" si="9"/>
        <v>7.155662143968255E-3</v>
      </c>
      <c r="AK35" s="11">
        <f t="shared" si="10"/>
        <v>3.7232012806936512E-3</v>
      </c>
      <c r="AL35" s="52">
        <f t="shared" si="11"/>
        <v>3693184</v>
      </c>
      <c r="AM35" s="11">
        <v>16</v>
      </c>
      <c r="AN35" s="12">
        <v>74793925</v>
      </c>
      <c r="AO35" s="12">
        <v>2337310.15625</v>
      </c>
      <c r="AP35" s="12">
        <v>30824.78125</v>
      </c>
      <c r="AQ35" s="13">
        <v>4933848</v>
      </c>
      <c r="AR35" s="13">
        <v>2384200</v>
      </c>
      <c r="AS35" s="13">
        <v>1308984</v>
      </c>
      <c r="AT35" s="13">
        <v>1240536</v>
      </c>
      <c r="AU35" s="14">
        <v>73.186065999999997</v>
      </c>
      <c r="AV35" s="14">
        <v>75.395090999999994</v>
      </c>
      <c r="AW35" s="14">
        <v>31.779947</v>
      </c>
      <c r="AX35" s="14">
        <v>42.169849999999997</v>
      </c>
      <c r="AY35" s="14">
        <v>43.305712</v>
      </c>
      <c r="AZ35" s="15">
        <v>3895.71</v>
      </c>
      <c r="BA35" s="15">
        <v>24020.2</v>
      </c>
      <c r="BB35" s="15">
        <v>233.00700000000001</v>
      </c>
      <c r="BC35" s="15">
        <v>111.35899999999999</v>
      </c>
      <c r="BE35" s="50">
        <f t="shared" si="12"/>
        <v>1</v>
      </c>
      <c r="BF35" s="16">
        <f t="shared" si="13"/>
        <v>0</v>
      </c>
      <c r="BG35" s="16">
        <f t="shared" si="14"/>
        <v>0</v>
      </c>
      <c r="BH35" s="16">
        <f t="array" ref="BH35">AVERAGE(AL35:AL39/AQ35:AQ39) - AVERAGE(N35:N39/S35:S39)</f>
        <v>-1.4130134107226411E-7</v>
      </c>
      <c r="BJ35" s="50">
        <f>IF( OR(ISBLANK(N35:N39),ISBLANK(AL35:AL39), ISBLANK(W35:W39),ISBLANK(AU35:AU39)), "·", bdRateExtend( N35:N39,W35:W39, AL35:AL39,AU35:AU39))</f>
        <v>-9.3845856674601436E-7</v>
      </c>
      <c r="BK35" s="50">
        <f>IF( OR(ISBLANK(N35:N39),ISBLANK(AL35:AL39), ISBLANK(X35:X39),ISBLANK(AV35:AV39)), "·", bdRateExtend( N35:N39,X35:X39, AL35:AL39,AV35:AV39))</f>
        <v>-8.1461615708544599E-7</v>
      </c>
      <c r="BL35" s="50">
        <f>IF( OR(ISBLANK(V35:V39),ISBLANK(AT35:AT39), ISBLANK(Y35:Y39),ISBLANK(AW35:AW39)), "·", bdRateExtend( V35:V39,Y35:Y39, AT35:AT39,AW35:AW39))</f>
        <v>0</v>
      </c>
      <c r="BM35" s="50">
        <f>IF( OR(ISBLANK(V35:V39),ISBLANK(AT35:AT39), ISBLANK(Z35:Z39),ISBLANK(AX35:AX39)), "·", bdRateExtend( V35:V39,Z35:Z39, AT35:AT39,AX35:AX39))</f>
        <v>0</v>
      </c>
      <c r="BN35" s="50">
        <f>IF( OR(ISBLANK(V35:V39),ISBLANK(AT35:AT39), ISBLANK(AA35:AA39),ISBLANK(AY35:AY39)), "·", bdRateExtend( V35:V39,AA35:AA39, AT35:AT39,AY35:AY39))</f>
        <v>0</v>
      </c>
      <c r="BP35" s="50">
        <f>IF( OR(ISBLANK(S35:S39),ISBLANK(AQ35:AQ39), ISBLANK(W35:W39),ISBLANK(AU35:AU39)), "·", bdRateExtend( S35:S39,W35:W39, AQ35:AQ39,AU35:AU39))</f>
        <v>-6.2116340837636841E-7</v>
      </c>
      <c r="BQ35" s="50">
        <f>IF( OR(ISBLANK(S35:S39),ISBLANK(AQ35:AQ39), ISBLANK(X35:X39),ISBLANK(AV35:AV39)), "·", bdRateExtend( S35:S39,X35:X39, AQ35:AQ39,AV35:AV39))</f>
        <v>-5.4291868345490712E-7</v>
      </c>
      <c r="BR35" s="50">
        <f>IF( OR(ISBLANK(S35:S39),ISBLANK(AQ35:AQ39), ISBLANK(Y35:Y39),ISBLANK(AW35:AW39)), "·", bdRateExtend( S35:S39,Y35:Y39, AQ35:AQ39,AW35:AW39))</f>
        <v>-5.5177329372213535E-7</v>
      </c>
      <c r="BS35" s="50">
        <f>IF( OR(ISBLANK(S35:S39),ISBLANK(AQ35:AQ39), ISBLANK(Z35:Z39),ISBLANK(AX35:AX39)), "·", bdRateExtend( S35:S39,Z35:Z39, AQ35:AQ39,AX35:AX39))</f>
        <v>-4.6809946563364235E-7</v>
      </c>
      <c r="BT35" s="50">
        <f>IF( OR(ISBLANK(S35:S39),ISBLANK(AQ35:AQ39), ISBLANK(AA35:AA39),ISBLANK(AY35:AY39)), "·", bdRateExtend( S35:S39,AA35:AA39, AQ35:AQ39,AY35:AY39))</f>
        <v>-5.4165905349901067E-7</v>
      </c>
      <c r="BV35" s="58">
        <f t="shared" si="16"/>
        <v>0</v>
      </c>
      <c r="BW35" s="58">
        <f t="shared" si="16"/>
        <v>0</v>
      </c>
      <c r="BX35" s="58">
        <f t="shared" si="16"/>
        <v>0</v>
      </c>
      <c r="BY35" s="58">
        <f t="shared" si="16"/>
        <v>0</v>
      </c>
      <c r="BZ35" s="58">
        <f t="shared" si="16"/>
        <v>0</v>
      </c>
      <c r="CA35" s="58">
        <f t="shared" si="16"/>
        <v>0</v>
      </c>
      <c r="CB35" s="58">
        <f t="shared" si="16"/>
        <v>0</v>
      </c>
      <c r="CC35" s="58">
        <f t="shared" si="16"/>
        <v>0</v>
      </c>
      <c r="CD35" s="58">
        <f t="shared" si="16"/>
        <v>0</v>
      </c>
      <c r="CE35" s="58">
        <f t="shared" si="16"/>
        <v>0</v>
      </c>
      <c r="CF35" s="58">
        <f t="shared" si="16"/>
        <v>0</v>
      </c>
      <c r="CG35" s="58">
        <f t="shared" si="16"/>
        <v>0</v>
      </c>
      <c r="CJ35" t="s">
        <v>589</v>
      </c>
    </row>
    <row r="36" spans="1:88" outlineLevel="1">
      <c r="A36" s="17"/>
      <c r="B36" s="17" t="s">
        <v>82</v>
      </c>
      <c r="C36" s="18" t="s">
        <v>234</v>
      </c>
      <c r="D36" s="17">
        <v>333190689</v>
      </c>
      <c r="E36" s="18">
        <v>11</v>
      </c>
      <c r="F36" s="18">
        <v>32</v>
      </c>
      <c r="G36" s="18">
        <v>30</v>
      </c>
      <c r="I36" s="19">
        <f t="shared" si="0"/>
        <v>6.2107425000000003</v>
      </c>
      <c r="J36" s="20">
        <f t="shared" si="1"/>
        <v>1.9882884542430895E-2</v>
      </c>
      <c r="K36" s="20">
        <f t="shared" si="2"/>
        <v>1.3664367433749026E-2</v>
      </c>
      <c r="L36" s="20">
        <f t="shared" si="3"/>
        <v>9.7357342419613652E-3</v>
      </c>
      <c r="M36" s="20">
        <f t="shared" si="4"/>
        <v>6.2181329442852467E-3</v>
      </c>
      <c r="N36" s="17">
        <f t="shared" si="5"/>
        <v>4552840</v>
      </c>
      <c r="O36" s="20">
        <v>16</v>
      </c>
      <c r="P36" s="21">
        <v>79976742</v>
      </c>
      <c r="Q36" s="21">
        <v>2499273.1875</v>
      </c>
      <c r="R36" s="21">
        <v>39105.5</v>
      </c>
      <c r="S36" s="22">
        <v>6624792</v>
      </c>
      <c r="T36" s="22">
        <v>3243856</v>
      </c>
      <c r="U36" s="22">
        <v>1308984</v>
      </c>
      <c r="V36" s="22">
        <v>2071824</v>
      </c>
      <c r="W36" s="23">
        <v>74.938500000000005</v>
      </c>
      <c r="X36" s="23">
        <v>77.355886999999996</v>
      </c>
      <c r="Y36" s="23">
        <v>34.034599999999998</v>
      </c>
      <c r="Z36" s="23">
        <v>42.972333999999996</v>
      </c>
      <c r="AA36" s="23">
        <v>44.820352999999997</v>
      </c>
      <c r="AB36" s="24">
        <v>3481.51</v>
      </c>
      <c r="AC36" s="24">
        <v>20194.400000000001</v>
      </c>
      <c r="AD36" s="24">
        <v>220.416</v>
      </c>
      <c r="AE36" s="24">
        <v>79.016000000000005</v>
      </c>
      <c r="AG36" s="19">
        <f t="shared" si="6"/>
        <v>6.2107349999999997</v>
      </c>
      <c r="AH36" s="20">
        <f t="shared" si="7"/>
        <v>1.9882860532156106E-2</v>
      </c>
      <c r="AI36" s="20">
        <f t="shared" si="8"/>
        <v>1.3664343423474237E-2</v>
      </c>
      <c r="AJ36" s="20">
        <f t="shared" si="9"/>
        <v>9.7357342419613652E-3</v>
      </c>
      <c r="AK36" s="20">
        <f t="shared" si="10"/>
        <v>6.2181329442852467E-3</v>
      </c>
      <c r="AL36" s="17">
        <f t="shared" si="11"/>
        <v>4552832</v>
      </c>
      <c r="AM36" s="20">
        <v>16</v>
      </c>
      <c r="AN36" s="21">
        <v>79976742</v>
      </c>
      <c r="AO36" s="21">
        <v>2499273.1875</v>
      </c>
      <c r="AP36" s="21">
        <v>39105.5</v>
      </c>
      <c r="AQ36" s="22">
        <v>6624784</v>
      </c>
      <c r="AR36" s="22">
        <v>3243856</v>
      </c>
      <c r="AS36" s="22">
        <v>1308976</v>
      </c>
      <c r="AT36" s="22">
        <v>2071824</v>
      </c>
      <c r="AU36" s="23">
        <v>74.938500000000005</v>
      </c>
      <c r="AV36" s="23">
        <v>77.355886999999996</v>
      </c>
      <c r="AW36" s="23">
        <v>34.034599999999998</v>
      </c>
      <c r="AX36" s="23">
        <v>42.972333999999996</v>
      </c>
      <c r="AY36" s="23">
        <v>44.820352999999997</v>
      </c>
      <c r="AZ36" s="24">
        <v>3994.55</v>
      </c>
      <c r="BA36" s="24">
        <v>23571.200000000001</v>
      </c>
      <c r="BB36" s="24">
        <v>241.88900000000001</v>
      </c>
      <c r="BC36" s="24">
        <v>89.094999999999999</v>
      </c>
      <c r="BE36" s="49">
        <f t="shared" si="12"/>
        <v>0.99999824285500916</v>
      </c>
      <c r="BF36" s="25">
        <f t="shared" si="13"/>
        <v>0</v>
      </c>
      <c r="BG36" s="25">
        <f t="shared" si="14"/>
        <v>-3.776814955225305E-7</v>
      </c>
      <c r="BH36" s="25"/>
      <c r="BJ36" s="49"/>
      <c r="BK36" s="49"/>
      <c r="BL36" s="49"/>
      <c r="BM36" s="49"/>
      <c r="BN36" s="49"/>
      <c r="BP36" s="49"/>
      <c r="BQ36" s="49"/>
      <c r="BR36" s="49"/>
      <c r="BS36" s="49"/>
      <c r="BT36" s="49"/>
      <c r="BV36" s="58">
        <f t="shared" si="16"/>
        <v>0</v>
      </c>
      <c r="BW36" s="58">
        <f t="shared" si="16"/>
        <v>0</v>
      </c>
      <c r="BX36" s="58">
        <f t="shared" si="16"/>
        <v>0</v>
      </c>
      <c r="BY36" s="58">
        <f t="shared" si="16"/>
        <v>-8</v>
      </c>
      <c r="BZ36" s="58">
        <f t="shared" si="16"/>
        <v>0</v>
      </c>
      <c r="CA36" s="58">
        <f t="shared" si="16"/>
        <v>-8</v>
      </c>
      <c r="CB36" s="58">
        <f t="shared" si="16"/>
        <v>0</v>
      </c>
      <c r="CC36" s="58">
        <f t="shared" si="16"/>
        <v>0</v>
      </c>
      <c r="CD36" s="58">
        <f t="shared" si="16"/>
        <v>0</v>
      </c>
      <c r="CE36" s="58">
        <f t="shared" si="16"/>
        <v>0</v>
      </c>
      <c r="CF36" s="58">
        <f t="shared" si="16"/>
        <v>0</v>
      </c>
      <c r="CG36" s="58">
        <f t="shared" si="16"/>
        <v>0</v>
      </c>
      <c r="CJ36" t="s">
        <v>589</v>
      </c>
    </row>
    <row r="37" spans="1:88" outlineLevel="1">
      <c r="A37" s="52"/>
      <c r="B37" s="52" t="s">
        <v>82</v>
      </c>
      <c r="C37" s="9" t="s">
        <v>235</v>
      </c>
      <c r="D37" s="52">
        <v>333190689</v>
      </c>
      <c r="E37" s="9">
        <v>11</v>
      </c>
      <c r="F37" s="9">
        <v>32</v>
      </c>
      <c r="G37" s="9">
        <v>30</v>
      </c>
      <c r="I37" s="10">
        <f t="shared" si="0"/>
        <v>8.872935</v>
      </c>
      <c r="J37" s="11">
        <f t="shared" si="1"/>
        <v>2.8405547671231594E-2</v>
      </c>
      <c r="K37" s="11">
        <f t="shared" si="2"/>
        <v>1.7355250884576789E-2</v>
      </c>
      <c r="L37" s="11">
        <f t="shared" si="3"/>
        <v>1.3426617692789128E-2</v>
      </c>
      <c r="M37" s="11">
        <f t="shared" si="4"/>
        <v>1.1049912622258181E-2</v>
      </c>
      <c r="N37" s="52">
        <f t="shared" si="5"/>
        <v>5782608</v>
      </c>
      <c r="O37" s="11">
        <v>16</v>
      </c>
      <c r="P37" s="12">
        <v>81787481</v>
      </c>
      <c r="Q37" s="12">
        <v>2555858.78125</v>
      </c>
      <c r="R37" s="12">
        <v>42911.78125</v>
      </c>
      <c r="S37" s="13">
        <v>9464464</v>
      </c>
      <c r="T37" s="13">
        <v>4473624</v>
      </c>
      <c r="U37" s="13">
        <v>1308984</v>
      </c>
      <c r="V37" s="13">
        <v>3681728</v>
      </c>
      <c r="W37" s="14">
        <v>76.246069000000006</v>
      </c>
      <c r="X37" s="14">
        <v>78.937634000000003</v>
      </c>
      <c r="Y37" s="14">
        <v>36.127488</v>
      </c>
      <c r="Z37" s="14">
        <v>43.536346999999999</v>
      </c>
      <c r="AA37" s="14">
        <v>46.109228000000002</v>
      </c>
      <c r="AB37" s="15">
        <v>3566.44</v>
      </c>
      <c r="AC37" s="15">
        <v>21005.7</v>
      </c>
      <c r="AD37" s="15">
        <v>229.464</v>
      </c>
      <c r="AE37" s="15">
        <v>82.992999999999995</v>
      </c>
      <c r="AG37" s="10">
        <f t="shared" si="6"/>
        <v>8.8729274999999994</v>
      </c>
      <c r="AH37" s="11">
        <f t="shared" si="7"/>
        <v>2.8405523660956805E-2</v>
      </c>
      <c r="AI37" s="11">
        <f t="shared" si="8"/>
        <v>1.7355226874302E-2</v>
      </c>
      <c r="AJ37" s="11">
        <f t="shared" si="9"/>
        <v>1.3426617692789128E-2</v>
      </c>
      <c r="AK37" s="11">
        <f t="shared" si="10"/>
        <v>1.1049912622258181E-2</v>
      </c>
      <c r="AL37" s="52">
        <f t="shared" si="11"/>
        <v>5782600</v>
      </c>
      <c r="AM37" s="11">
        <v>16</v>
      </c>
      <c r="AN37" s="12">
        <v>81787481</v>
      </c>
      <c r="AO37" s="12">
        <v>2555858.78125</v>
      </c>
      <c r="AP37" s="12">
        <v>42911.78125</v>
      </c>
      <c r="AQ37" s="13">
        <v>9464456</v>
      </c>
      <c r="AR37" s="13">
        <v>4473624</v>
      </c>
      <c r="AS37" s="13">
        <v>1308976</v>
      </c>
      <c r="AT37" s="13">
        <v>3681728</v>
      </c>
      <c r="AU37" s="14">
        <v>76.246069000000006</v>
      </c>
      <c r="AV37" s="14">
        <v>78.937634000000003</v>
      </c>
      <c r="AW37" s="14">
        <v>36.127488</v>
      </c>
      <c r="AX37" s="14">
        <v>43.536346999999999</v>
      </c>
      <c r="AY37" s="14">
        <v>46.109228000000002</v>
      </c>
      <c r="AZ37" s="15">
        <v>3464.62</v>
      </c>
      <c r="BA37" s="15">
        <v>20846</v>
      </c>
      <c r="BB37" s="15">
        <v>226.00399999999999</v>
      </c>
      <c r="BC37" s="15">
        <v>83.275999999999996</v>
      </c>
      <c r="BE37" s="50">
        <f t="shared" si="12"/>
        <v>0.99999861654118694</v>
      </c>
      <c r="BF37" s="16">
        <f t="shared" si="13"/>
        <v>0</v>
      </c>
      <c r="BG37" s="16">
        <f t="shared" si="14"/>
        <v>-3.2882520961674544E-7</v>
      </c>
      <c r="BH37" s="16"/>
      <c r="BJ37" s="50"/>
      <c r="BK37" s="50"/>
      <c r="BL37" s="50"/>
      <c r="BM37" s="50"/>
      <c r="BN37" s="50"/>
      <c r="BP37" s="50"/>
      <c r="BQ37" s="50"/>
      <c r="BR37" s="50"/>
      <c r="BS37" s="50"/>
      <c r="BT37" s="50"/>
      <c r="BV37" s="58">
        <f t="shared" si="16"/>
        <v>0</v>
      </c>
      <c r="BW37" s="58">
        <f t="shared" si="16"/>
        <v>0</v>
      </c>
      <c r="BX37" s="58">
        <f t="shared" si="16"/>
        <v>0</v>
      </c>
      <c r="BY37" s="58">
        <f t="shared" si="16"/>
        <v>-8</v>
      </c>
      <c r="BZ37" s="58">
        <f t="shared" si="16"/>
        <v>0</v>
      </c>
      <c r="CA37" s="58">
        <f t="shared" si="16"/>
        <v>-8</v>
      </c>
      <c r="CB37" s="58">
        <f t="shared" si="16"/>
        <v>0</v>
      </c>
      <c r="CC37" s="58">
        <f t="shared" si="16"/>
        <v>0</v>
      </c>
      <c r="CD37" s="58">
        <f t="shared" si="16"/>
        <v>0</v>
      </c>
      <c r="CE37" s="58">
        <f t="shared" si="16"/>
        <v>0</v>
      </c>
      <c r="CF37" s="58">
        <f t="shared" si="16"/>
        <v>0</v>
      </c>
      <c r="CG37" s="58">
        <f t="shared" si="16"/>
        <v>0</v>
      </c>
      <c r="CJ37" t="s">
        <v>589</v>
      </c>
    </row>
    <row r="38" spans="1:88" outlineLevel="1">
      <c r="A38" s="17"/>
      <c r="B38" s="17" t="s">
        <v>82</v>
      </c>
      <c r="C38" s="18" t="s">
        <v>236</v>
      </c>
      <c r="D38" s="17">
        <v>333190689</v>
      </c>
      <c r="E38" s="18">
        <v>11</v>
      </c>
      <c r="F38" s="18">
        <v>32</v>
      </c>
      <c r="G38" s="18">
        <v>30</v>
      </c>
      <c r="I38" s="19">
        <f t="shared" si="0"/>
        <v>14.378159999999999</v>
      </c>
      <c r="J38" s="20">
        <f t="shared" si="1"/>
        <v>4.6029809674543454E-2</v>
      </c>
      <c r="K38" s="20">
        <f t="shared" si="2"/>
        <v>2.3624501703887649E-2</v>
      </c>
      <c r="L38" s="20">
        <f t="shared" si="3"/>
        <v>1.9695868512099989E-2</v>
      </c>
      <c r="M38" s="20">
        <f t="shared" si="4"/>
        <v>2.2404923806259185E-2</v>
      </c>
      <c r="N38" s="17">
        <f t="shared" si="5"/>
        <v>7871464</v>
      </c>
      <c r="O38" s="20">
        <v>16</v>
      </c>
      <c r="P38" s="21">
        <v>83859347</v>
      </c>
      <c r="Q38" s="21">
        <v>2620604.59375</v>
      </c>
      <c r="R38" s="21">
        <v>48103.65625</v>
      </c>
      <c r="S38" s="22">
        <v>15336704</v>
      </c>
      <c r="T38" s="22">
        <v>6562480</v>
      </c>
      <c r="U38" s="22">
        <v>1308984</v>
      </c>
      <c r="V38" s="22">
        <v>7465112</v>
      </c>
      <c r="W38" s="23">
        <v>77.415709000000007</v>
      </c>
      <c r="X38" s="23">
        <v>80.131399999999999</v>
      </c>
      <c r="Y38" s="23">
        <v>38.083593999999998</v>
      </c>
      <c r="Z38" s="23">
        <v>44.197806</v>
      </c>
      <c r="AA38" s="23">
        <v>47.240555999999998</v>
      </c>
      <c r="AB38" s="24">
        <v>3781.95</v>
      </c>
      <c r="AC38" s="24">
        <v>21599.1</v>
      </c>
      <c r="AD38" s="24">
        <v>221.11</v>
      </c>
      <c r="AE38" s="24">
        <v>78.132000000000005</v>
      </c>
      <c r="AG38" s="19">
        <f t="shared" si="6"/>
        <v>14.378159999999999</v>
      </c>
      <c r="AH38" s="20">
        <f t="shared" si="7"/>
        <v>4.6029809674543454E-2</v>
      </c>
      <c r="AI38" s="20">
        <f t="shared" si="8"/>
        <v>2.3624501703887649E-2</v>
      </c>
      <c r="AJ38" s="20">
        <f t="shared" si="9"/>
        <v>1.9695868512099989E-2</v>
      </c>
      <c r="AK38" s="20">
        <f t="shared" si="10"/>
        <v>2.2404923806259185E-2</v>
      </c>
      <c r="AL38" s="17">
        <f t="shared" si="11"/>
        <v>7871464</v>
      </c>
      <c r="AM38" s="20">
        <v>16</v>
      </c>
      <c r="AN38" s="21">
        <v>83859347</v>
      </c>
      <c r="AO38" s="21">
        <v>2620604.59375</v>
      </c>
      <c r="AP38" s="21">
        <v>48103.65625</v>
      </c>
      <c r="AQ38" s="22">
        <v>15336704</v>
      </c>
      <c r="AR38" s="22">
        <v>6562480</v>
      </c>
      <c r="AS38" s="22">
        <v>1308984</v>
      </c>
      <c r="AT38" s="22">
        <v>7465112</v>
      </c>
      <c r="AU38" s="23">
        <v>77.415709000000007</v>
      </c>
      <c r="AV38" s="23">
        <v>80.131399999999999</v>
      </c>
      <c r="AW38" s="23">
        <v>38.083593999999998</v>
      </c>
      <c r="AX38" s="23">
        <v>44.197806</v>
      </c>
      <c r="AY38" s="23">
        <v>47.240555999999998</v>
      </c>
      <c r="AZ38" s="24">
        <v>3604.76</v>
      </c>
      <c r="BA38" s="24">
        <v>22501.8</v>
      </c>
      <c r="BB38" s="24">
        <v>237.94800000000001</v>
      </c>
      <c r="BC38" s="24">
        <v>86.388999999999996</v>
      </c>
      <c r="BE38" s="49">
        <f t="shared" si="12"/>
        <v>1</v>
      </c>
      <c r="BF38" s="25">
        <f t="shared" si="13"/>
        <v>0</v>
      </c>
      <c r="BG38" s="25">
        <f t="shared" si="14"/>
        <v>0</v>
      </c>
      <c r="BH38" s="25"/>
      <c r="BJ38" s="49"/>
      <c r="BK38" s="49"/>
      <c r="BL38" s="49"/>
      <c r="BM38" s="49"/>
      <c r="BN38" s="49"/>
      <c r="BP38" s="49"/>
      <c r="BQ38" s="49"/>
      <c r="BR38" s="49"/>
      <c r="BS38" s="49"/>
      <c r="BT38" s="49"/>
      <c r="BV38" s="58">
        <f t="shared" si="16"/>
        <v>0</v>
      </c>
      <c r="BW38" s="58">
        <f t="shared" si="16"/>
        <v>0</v>
      </c>
      <c r="BX38" s="58">
        <f t="shared" si="16"/>
        <v>0</v>
      </c>
      <c r="BY38" s="58">
        <f t="shared" si="16"/>
        <v>0</v>
      </c>
      <c r="BZ38" s="58">
        <f t="shared" si="16"/>
        <v>0</v>
      </c>
      <c r="CA38" s="58">
        <f t="shared" si="16"/>
        <v>0</v>
      </c>
      <c r="CB38" s="58">
        <f t="shared" si="16"/>
        <v>0</v>
      </c>
      <c r="CC38" s="58">
        <f t="shared" si="16"/>
        <v>0</v>
      </c>
      <c r="CD38" s="58">
        <f t="shared" si="16"/>
        <v>0</v>
      </c>
      <c r="CE38" s="58">
        <f t="shared" si="16"/>
        <v>0</v>
      </c>
      <c r="CF38" s="58">
        <f t="shared" si="16"/>
        <v>0</v>
      </c>
      <c r="CG38" s="58">
        <f t="shared" si="16"/>
        <v>0</v>
      </c>
      <c r="CJ38" t="s">
        <v>589</v>
      </c>
    </row>
    <row r="39" spans="1:88" ht="16" outlineLevel="1" thickBot="1">
      <c r="A39" s="26"/>
      <c r="B39" s="26" t="s">
        <v>82</v>
      </c>
      <c r="C39" s="27" t="s">
        <v>237</v>
      </c>
      <c r="D39" s="26">
        <v>333190689</v>
      </c>
      <c r="E39" s="27">
        <v>11</v>
      </c>
      <c r="F39" s="27">
        <v>32</v>
      </c>
      <c r="G39" s="27">
        <v>30</v>
      </c>
      <c r="I39" s="28">
        <f t="shared" si="0"/>
        <v>28.611975000000001</v>
      </c>
      <c r="J39" s="29">
        <f t="shared" si="1"/>
        <v>9.1597517600499334E-2</v>
      </c>
      <c r="K39" s="29">
        <f t="shared" si="2"/>
        <v>3.8382417102898095E-2</v>
      </c>
      <c r="L39" s="29">
        <f t="shared" si="3"/>
        <v>3.036807550165365E-2</v>
      </c>
      <c r="M39" s="29">
        <f t="shared" si="4"/>
        <v>5.3214716333204619E-2</v>
      </c>
      <c r="N39" s="26">
        <f t="shared" si="5"/>
        <v>12788664</v>
      </c>
      <c r="O39" s="29">
        <v>16</v>
      </c>
      <c r="P39" s="30">
        <v>82067544</v>
      </c>
      <c r="Q39" s="30">
        <v>2564610.75</v>
      </c>
      <c r="R39" s="30">
        <v>19264.46875</v>
      </c>
      <c r="S39" s="31">
        <v>30519440</v>
      </c>
      <c r="T39" s="31">
        <v>10118360</v>
      </c>
      <c r="U39" s="31">
        <v>2670304</v>
      </c>
      <c r="V39" s="31">
        <v>17730648</v>
      </c>
      <c r="W39" s="32">
        <v>78.311515999999997</v>
      </c>
      <c r="X39" s="32">
        <v>81.848194000000007</v>
      </c>
      <c r="Y39" s="32">
        <v>40.159621999999999</v>
      </c>
      <c r="Z39" s="32">
        <v>45.117593999999997</v>
      </c>
      <c r="AA39" s="32">
        <v>48.624606</v>
      </c>
      <c r="AB39" s="33">
        <v>4043.95</v>
      </c>
      <c r="AC39" s="33">
        <v>30936.799999999999</v>
      </c>
      <c r="AD39" s="33">
        <v>257.12400000000002</v>
      </c>
      <c r="AE39" s="33">
        <v>125.366</v>
      </c>
      <c r="AG39" s="28">
        <f t="shared" si="6"/>
        <v>28.611975000000001</v>
      </c>
      <c r="AH39" s="29">
        <f t="shared" si="7"/>
        <v>9.1597517600499334E-2</v>
      </c>
      <c r="AI39" s="29">
        <f t="shared" si="8"/>
        <v>3.8382417102898095E-2</v>
      </c>
      <c r="AJ39" s="29">
        <f t="shared" si="9"/>
        <v>3.036807550165365E-2</v>
      </c>
      <c r="AK39" s="29">
        <f t="shared" si="10"/>
        <v>5.3214716333204619E-2</v>
      </c>
      <c r="AL39" s="26">
        <f t="shared" si="11"/>
        <v>12788664</v>
      </c>
      <c r="AM39" s="29">
        <v>16</v>
      </c>
      <c r="AN39" s="30">
        <v>82067544</v>
      </c>
      <c r="AO39" s="30">
        <v>2564610.75</v>
      </c>
      <c r="AP39" s="30">
        <v>19264.46875</v>
      </c>
      <c r="AQ39" s="31">
        <v>30519440</v>
      </c>
      <c r="AR39" s="31">
        <v>10118360</v>
      </c>
      <c r="AS39" s="31">
        <v>2670304</v>
      </c>
      <c r="AT39" s="31">
        <v>17730648</v>
      </c>
      <c r="AU39" s="32">
        <v>78.311515999999997</v>
      </c>
      <c r="AV39" s="32">
        <v>81.848194000000007</v>
      </c>
      <c r="AW39" s="32">
        <v>40.159621999999999</v>
      </c>
      <c r="AX39" s="32">
        <v>45.117593999999997</v>
      </c>
      <c r="AY39" s="32">
        <v>48.624606</v>
      </c>
      <c r="AZ39" s="33">
        <v>3495.5</v>
      </c>
      <c r="BA39" s="33">
        <v>23099.5</v>
      </c>
      <c r="BB39" s="33">
        <v>225.654</v>
      </c>
      <c r="BC39" s="33">
        <v>95.322000000000003</v>
      </c>
      <c r="BE39" s="34">
        <f t="shared" si="12"/>
        <v>1</v>
      </c>
      <c r="BF39" s="35">
        <f t="shared" si="13"/>
        <v>0</v>
      </c>
      <c r="BG39" s="35">
        <f t="shared" si="14"/>
        <v>0</v>
      </c>
      <c r="BH39" s="35"/>
      <c r="BJ39" s="34"/>
      <c r="BK39" s="34"/>
      <c r="BL39" s="34"/>
      <c r="BM39" s="34"/>
      <c r="BN39" s="34"/>
      <c r="BP39" s="34"/>
      <c r="BQ39" s="34"/>
      <c r="BR39" s="34"/>
      <c r="BS39" s="34"/>
      <c r="BT39" s="34"/>
      <c r="BV39" s="58">
        <f t="shared" si="16"/>
        <v>0</v>
      </c>
      <c r="BW39" s="58">
        <f t="shared" si="16"/>
        <v>0</v>
      </c>
      <c r="BX39" s="58">
        <f t="shared" si="16"/>
        <v>0</v>
      </c>
      <c r="BY39" s="58">
        <f t="shared" si="16"/>
        <v>0</v>
      </c>
      <c r="BZ39" s="58">
        <f t="shared" si="16"/>
        <v>0</v>
      </c>
      <c r="CA39" s="58">
        <f t="shared" si="16"/>
        <v>0</v>
      </c>
      <c r="CB39" s="58">
        <f t="shared" si="16"/>
        <v>0</v>
      </c>
      <c r="CC39" s="58">
        <f t="shared" si="16"/>
        <v>0</v>
      </c>
      <c r="CD39" s="58">
        <f t="shared" si="16"/>
        <v>0</v>
      </c>
      <c r="CE39" s="58">
        <f t="shared" si="16"/>
        <v>0</v>
      </c>
      <c r="CF39" s="58">
        <f t="shared" si="16"/>
        <v>0</v>
      </c>
      <c r="CG39" s="58">
        <f t="shared" si="16"/>
        <v>0</v>
      </c>
      <c r="CJ39" t="s">
        <v>589</v>
      </c>
    </row>
    <row r="40" spans="1:88" ht="16">
      <c r="B40" s="46" t="s">
        <v>16</v>
      </c>
      <c r="J40" s="47">
        <f>AVERAGE(J5:J24)</f>
        <v>1.7595682520211983E-2</v>
      </c>
      <c r="K40" s="47">
        <f>AVERAGE(K5:K24)</f>
        <v>9.5036076704731846E-3</v>
      </c>
      <c r="L40" s="47">
        <f>AVERAGE(L5:L24)</f>
        <v>6.9392508414890929E-3</v>
      </c>
      <c r="M40" s="47">
        <f>AVERAGE(M5:M24)</f>
        <v>8.0915668819320323E-3</v>
      </c>
      <c r="AH40" s="47">
        <f>AVERAGE(AH5:AH24)</f>
        <v>1.7595685000142341E-2</v>
      </c>
      <c r="AI40" s="47">
        <f>AVERAGE(AI5:AI24)</f>
        <v>9.5036101504035429E-3</v>
      </c>
      <c r="AJ40" s="47">
        <f>AVERAGE(AJ5:AJ24)</f>
        <v>6.9392508414890929E-3</v>
      </c>
      <c r="AK40" s="47">
        <f>AVERAGE(AK5:AK24)</f>
        <v>8.0915668819320323E-3</v>
      </c>
      <c r="BE40" s="51">
        <f t="shared" si="12"/>
        <v>1.0000002609462053</v>
      </c>
      <c r="BH40" s="55">
        <f>AVERAGE(BH5:BH24)</f>
        <v>1.5693659649596015E-7</v>
      </c>
      <c r="BJ40" s="51">
        <f>AVERAGE(BJ5:BJ24)</f>
        <v>1.0916994587772955E-6</v>
      </c>
      <c r="BK40" s="51">
        <f>AVERAGE(BK5:BK24)</f>
        <v>8.7770213125226704E-7</v>
      </c>
      <c r="BL40" s="51">
        <f>AVERAGE(BL5:BL24)</f>
        <v>0</v>
      </c>
      <c r="BM40" s="51">
        <f>AVERAGE(BM5:BM24)</f>
        <v>0</v>
      </c>
      <c r="BN40" s="51">
        <f>AVERAGE(BN5:BN24)</f>
        <v>0</v>
      </c>
      <c r="BP40" s="51">
        <f>AVERAGE(BP5:BP24)</f>
        <v>8.3637367331856893E-7</v>
      </c>
      <c r="BQ40" s="51">
        <f>AVERAGE(BQ5:BQ24)</f>
        <v>6.9110361788915498E-7</v>
      </c>
      <c r="BR40" s="51">
        <f>AVERAGE(BR5:BR24)</f>
        <v>5.6681646415368547E-7</v>
      </c>
      <c r="BS40" s="51">
        <f>AVERAGE(BS5:BS24)</f>
        <v>4.9099119614481879E-7</v>
      </c>
      <c r="BT40" s="51">
        <f>AVERAGE(BT5:BT24)</f>
        <v>5.6829945382919078E-7</v>
      </c>
    </row>
    <row r="41" spans="1:88" ht="16">
      <c r="B41" s="46" t="s">
        <v>17</v>
      </c>
      <c r="J41" s="47">
        <f>AVERAGE(J25:J29)</f>
        <v>3.8119581829382146E-2</v>
      </c>
      <c r="K41" s="47">
        <f>AVERAGE(K25:K29)</f>
        <v>1.135837930363191E-2</v>
      </c>
      <c r="L41" s="47">
        <f>AVERAGE(L25:L29)</f>
        <v>8.7672756735900897E-3</v>
      </c>
      <c r="M41" s="47">
        <f>AVERAGE(M25:M29)</f>
        <v>2.6760691128344116E-2</v>
      </c>
      <c r="AH41" s="47">
        <f>AVERAGE(AH25:AH29)</f>
        <v>3.8119581829382146E-2</v>
      </c>
      <c r="AI41" s="47">
        <f>AVERAGE(AI25:AI29)</f>
        <v>1.135837930363191E-2</v>
      </c>
      <c r="AJ41" s="47">
        <f>AVERAGE(AJ25:AJ29)</f>
        <v>8.7672756735900897E-3</v>
      </c>
      <c r="AK41" s="47">
        <f>AVERAGE(AK25:AK29)</f>
        <v>2.6760691128344116E-2</v>
      </c>
      <c r="BE41" s="51">
        <f t="shared" si="12"/>
        <v>1</v>
      </c>
      <c r="BH41" s="55">
        <f>AVERAGE(BH25:BH29)</f>
        <v>0</v>
      </c>
      <c r="BJ41" s="51">
        <f>AVERAGE(BJ25:BJ29)</f>
        <v>0</v>
      </c>
      <c r="BK41" s="51">
        <f>AVERAGE(BK25:BK29)</f>
        <v>0</v>
      </c>
      <c r="BL41" s="51">
        <f>AVERAGE(BL25:BL29)</f>
        <v>0</v>
      </c>
      <c r="BM41" s="51">
        <f>AVERAGE(BM25:BM29)</f>
        <v>0</v>
      </c>
      <c r="BN41" s="51">
        <f>AVERAGE(BN25:BN29)</f>
        <v>0</v>
      </c>
      <c r="BP41" s="51">
        <f>AVERAGE(BP25:BP29)</f>
        <v>0</v>
      </c>
      <c r="BQ41" s="51">
        <f>AVERAGE(BQ25:BQ29)</f>
        <v>0</v>
      </c>
      <c r="BR41" s="51">
        <f>AVERAGE(BR25:BR29)</f>
        <v>0</v>
      </c>
      <c r="BS41" s="51">
        <f>AVERAGE(BS25:BS29)</f>
        <v>0</v>
      </c>
      <c r="BT41" s="51">
        <f>AVERAGE(BT25:BT29)</f>
        <v>0</v>
      </c>
    </row>
    <row r="42" spans="1:88" ht="16">
      <c r="B42" s="46" t="s">
        <v>18</v>
      </c>
      <c r="J42" s="47">
        <f>AVERAGE(J30:J39)</f>
        <v>3.4941725932794265E-2</v>
      </c>
      <c r="K42" s="47">
        <f>AVERAGE(K30:K39)</f>
        <v>1.8517733443772399E-2</v>
      </c>
      <c r="L42" s="47">
        <f>AVERAGE(L30:L39)</f>
        <v>1.4301451090252094E-2</v>
      </c>
      <c r="M42" s="47">
        <f>AVERAGE(M30:M39)</f>
        <v>1.6423629932242643E-2</v>
      </c>
      <c r="AH42" s="47">
        <f>AVERAGE(AH30:AH39)</f>
        <v>3.4941718999807039E-2</v>
      </c>
      <c r="AI42" s="47">
        <f>AVERAGE(AI30:AI39)</f>
        <v>1.8517726510785183E-2</v>
      </c>
      <c r="AJ42" s="47">
        <f>AVERAGE(AJ30:AJ39)</f>
        <v>1.4301451090252094E-2</v>
      </c>
      <c r="AK42" s="47">
        <f>AVERAGE(AK30:AK39)</f>
        <v>1.6423629932242643E-2</v>
      </c>
      <c r="BE42" s="51">
        <f t="shared" si="12"/>
        <v>0.99999962560281819</v>
      </c>
      <c r="BH42" s="55">
        <f>AVERAGE(BH30:BH39)</f>
        <v>-1.3677716825810649E-7</v>
      </c>
      <c r="BJ42" s="51">
        <f>AVERAGE(BJ30:BJ39)</f>
        <v>-9.821611823834786E-7</v>
      </c>
      <c r="BK42" s="51">
        <f>AVERAGE(BK30:BK39)</f>
        <v>-8.6889555889202441E-7</v>
      </c>
      <c r="BL42" s="51">
        <f>AVERAGE(BL30:BL39)</f>
        <v>0</v>
      </c>
      <c r="BM42" s="51">
        <f>AVERAGE(BM30:BM39)</f>
        <v>0</v>
      </c>
      <c r="BN42" s="51">
        <f>AVERAGE(BN30:BN39)</f>
        <v>0</v>
      </c>
      <c r="BP42" s="51">
        <f>AVERAGE(BP30:BP39)</f>
        <v>-7.0289364773046259E-7</v>
      </c>
      <c r="BQ42" s="51">
        <f>AVERAGE(BQ30:BQ39)</f>
        <v>-6.2820412771724676E-7</v>
      </c>
      <c r="BR42" s="51">
        <f>AVERAGE(BR30:BR39)</f>
        <v>-5.9414291903037153E-7</v>
      </c>
      <c r="BS42" s="51">
        <f>AVERAGE(BS30:BS39)</f>
        <v>-5.3923673026812224E-7</v>
      </c>
      <c r="BT42" s="51">
        <f>AVERAGE(BT30:BT39)</f>
        <v>-5.5152020628224108E-7</v>
      </c>
    </row>
    <row r="43" spans="1:88" ht="16">
      <c r="B43" s="46" t="s">
        <v>19</v>
      </c>
      <c r="J43" s="47">
        <f>AVERAGE(J5:J39)</f>
        <v>2.5483680539402653E-2</v>
      </c>
      <c r="K43" s="47">
        <f>AVERAGE(K5:K39)</f>
        <v>1.2344039553295636E-2</v>
      </c>
      <c r="L43" s="47">
        <f>AVERAGE(L5:L39)</f>
        <v>9.303883031435806E-3</v>
      </c>
      <c r="M43" s="47">
        <f>AVERAGE(M5:M39)</f>
        <v>1.3139174074365361E-2</v>
      </c>
      <c r="AH43" s="47">
        <f>AVERAGE(AH5:AH39)</f>
        <v>2.5483679975652228E-2</v>
      </c>
      <c r="AI43" s="47">
        <f>AVERAGE(AI5:AI39)</f>
        <v>1.2344038989545206E-2</v>
      </c>
      <c r="AJ43" s="47">
        <f>AVERAGE(AJ5:AJ39)</f>
        <v>9.303883031435806E-3</v>
      </c>
      <c r="AK43" s="47">
        <f>AVERAGE(AK5:AK39)</f>
        <v>1.3139174074365361E-2</v>
      </c>
      <c r="BE43" s="51">
        <f t="shared" si="12"/>
        <v>0.99999995433015043</v>
      </c>
      <c r="BH43" s="55">
        <f>AVERAGE(BH5:BH39)</f>
        <v>5.0598864209661087E-8</v>
      </c>
      <c r="BJ43" s="51">
        <f>AVERAGE(BJ5:BJ39)</f>
        <v>3.4321078147746066E-7</v>
      </c>
      <c r="BK43" s="51">
        <f>AVERAGE(BK5:BK39)</f>
        <v>2.5328820103214564E-7</v>
      </c>
      <c r="BL43" s="51">
        <f>AVERAGE(BL5:BL39)</f>
        <v>0</v>
      </c>
      <c r="BM43" s="51">
        <f>AVERAGE(BM5:BM39)</f>
        <v>0</v>
      </c>
      <c r="BN43" s="51">
        <f>AVERAGE(BN5:BN39)</f>
        <v>0</v>
      </c>
      <c r="BP43" s="51">
        <f>AVERAGE(BP5:BP39)</f>
        <v>2.7710105683047867E-7</v>
      </c>
      <c r="BQ43" s="51">
        <f>AVERAGE(BQ5:BQ39)</f>
        <v>2.1542945944601805E-7</v>
      </c>
      <c r="BR43" s="51">
        <f>AVERAGE(BR5:BR39)</f>
        <v>1.5414000265057126E-7</v>
      </c>
      <c r="BS43" s="51">
        <f>AVERAGE(BS5:BS39)</f>
        <v>1.2649876057757581E-7</v>
      </c>
      <c r="BT43" s="51">
        <f>AVERAGE(BT5:BT39)</f>
        <v>1.6716534325032585E-7</v>
      </c>
    </row>
    <row r="44" spans="1:88" ht="16" hidden="1" outlineLevel="2">
      <c r="A44" s="46" t="s">
        <v>245</v>
      </c>
      <c r="B44" s="46" t="s">
        <v>246</v>
      </c>
      <c r="AB44" s="48">
        <f>SUM(AB5:AB24,AB25:AB29,AB30:AB39)</f>
        <v>138394.07999999999</v>
      </c>
      <c r="AC44" s="48">
        <f>SUM(AC5:AC24,AC25:AC29,AC30:AC39)</f>
        <v>317682.13999999996</v>
      </c>
      <c r="AD44" s="48">
        <f>SUM(AD5:AD24,AD25:AD29,AD30:AD39)</f>
        <v>4278.0250000000005</v>
      </c>
      <c r="AE44" s="48">
        <f>SUM(AE5:AE24,AE25:AE29,AE30:AE39)</f>
        <v>1350.4559999999999</v>
      </c>
      <c r="AZ44" s="48">
        <f>SUM(AZ5:AZ24,AZ25:AZ29,AZ30:AZ39)</f>
        <v>127478.38</v>
      </c>
      <c r="BA44" s="48">
        <f>SUM(BA5:BA24,BA25:BA29,BA30:BA39)</f>
        <v>310136.93</v>
      </c>
      <c r="BB44" s="48">
        <f>SUM(BB5:BB24,BB25:BB29,BB30:BB39)</f>
        <v>4249.4279999999999</v>
      </c>
      <c r="BC44" s="48">
        <f>SUM(BC5:BC24,BC25:BC29,BC30:BC39)</f>
        <v>1348.2190000000001</v>
      </c>
    </row>
    <row r="45" spans="1:88" ht="16" hidden="1" outlineLevel="2">
      <c r="B45" s="46" t="s">
        <v>247</v>
      </c>
      <c r="AZ45" s="55">
        <f>AZ44/AB44</f>
        <v>0.92112596145731096</v>
      </c>
      <c r="BA45" s="55">
        <f>BA44/AC44</f>
        <v>0.9762491841688048</v>
      </c>
      <c r="BB45" s="55">
        <f>BB44/AD44</f>
        <v>0.99331537333232023</v>
      </c>
      <c r="BC45" s="55">
        <f>BC44/AE44</f>
        <v>0.99834352248425728</v>
      </c>
    </row>
    <row r="46" spans="1:88" ht="16" hidden="1" outlineLevel="2">
      <c r="B46" s="46" t="s">
        <v>248</v>
      </c>
      <c r="AB46" s="48">
        <f>GEOMEAN(AB5:AB24,AB25:AB29,AB30:AB39)</f>
        <v>3742.8946763645708</v>
      </c>
      <c r="AC46" s="48">
        <f>GEOMEAN(AC5:AC24,AC25:AC29,AC30:AC39)</f>
        <v>6530.940236218783</v>
      </c>
      <c r="AD46" s="48">
        <f>GEOMEAN(AD5:AD24,AD25:AD29,AD30:AD39)</f>
        <v>103.09716581660491</v>
      </c>
      <c r="AE46" s="48">
        <f>GEOMEAN(AE5:AE24,AE25:AE29,AE30:AE39)</f>
        <v>28.598448131808787</v>
      </c>
      <c r="AZ46" s="48">
        <f>GEOMEAN(AZ5:AZ24,AZ25:AZ29,AZ30:AZ39)</f>
        <v>3470.510109196091</v>
      </c>
      <c r="BA46" s="48">
        <f>GEOMEAN(BA5:BA24,BA25:BA29,BA30:BA39)</f>
        <v>6182.0166638007659</v>
      </c>
      <c r="BB46" s="48">
        <f>GEOMEAN(BB5:BB24,BB25:BB29,BB30:BB39)</f>
        <v>100.29949159993302</v>
      </c>
      <c r="BC46" s="48">
        <f>GEOMEAN(BC5:BC24,BC25:BC29,BC30:BC39)</f>
        <v>27.406089529830794</v>
      </c>
    </row>
    <row r="47" spans="1:88" ht="16" outlineLevel="2" collapsed="1">
      <c r="B47" s="46" t="s">
        <v>249</v>
      </c>
      <c r="AZ47" s="55">
        <f>AZ46/AB46</f>
        <v>0.92722622709943747</v>
      </c>
      <c r="BA47" s="55">
        <f>BA46/AC46</f>
        <v>0.94657376123532966</v>
      </c>
      <c r="BB47" s="55">
        <f>BB46/AD46</f>
        <v>0.97286371361897028</v>
      </c>
      <c r="BC47" s="55">
        <f>BC46/AE46</f>
        <v>0.9583068774752227</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L5" activePane="bottomRight" state="frozen"/>
      <selection pane="topRight" activeCell="C1" sqref="C1"/>
      <selection pane="bottomLeft" activeCell="A5" sqref="A5"/>
      <selection pane="bottomRight" activeCell="AC34" sqref="AC34"/>
    </sheetView>
  </sheetViews>
  <sheetFormatPr baseColWidth="10" defaultColWidth="8.83203125" defaultRowHeight="15" outlineLevelRow="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c r="A1" s="76" t="s">
        <v>572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thickBot="1">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c r="B17" s="46" t="s">
        <v>247</v>
      </c>
      <c r="AW17" s="55">
        <f>AW16/Z16</f>
        <v>1.0099767406948157</v>
      </c>
      <c r="AX17" s="55">
        <f>AX16/AA16</f>
        <v>0.9640510428170187</v>
      </c>
      <c r="AY17" s="55">
        <f>AY16/AB16</f>
        <v>0.97646954359793992</v>
      </c>
      <c r="AZ17" s="55">
        <f>AZ16/AC16</f>
        <v>0.99012260779611605</v>
      </c>
    </row>
    <row r="18" spans="2:52" ht="16" hidden="1" outlineLevel="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c r="B19" s="46" t="s">
        <v>249</v>
      </c>
      <c r="AW19" s="55">
        <f>AW18/Z18</f>
        <v>1.0105846924587463</v>
      </c>
      <c r="AX19" s="55">
        <f>AX18/AA18</f>
        <v>0.97766895226516171</v>
      </c>
      <c r="AY19" s="55">
        <f>AY18/AB18</f>
        <v>0.98987766038150427</v>
      </c>
      <c r="AZ19" s="55">
        <f>AZ18/AC18</f>
        <v>0.99154384552537467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U2" sqref="U2:V2"/>
    </sheetView>
  </sheetViews>
  <sheetFormatPr baseColWidth="10" defaultColWidth="8.83203125" defaultRowHeight="15" outlineLevelRow="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c r="A1" s="76" t="s">
        <v>582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c r="B17" s="46" t="s">
        <v>247</v>
      </c>
      <c r="AW17" s="55">
        <f>AW16/Z16</f>
        <v>0.72748377855898727</v>
      </c>
      <c r="AX17" s="55">
        <f>AX16/AA16</f>
        <v>0.38560467998443682</v>
      </c>
      <c r="AY17" s="55">
        <f>AY16/AB16</f>
        <v>0.39748671187683288</v>
      </c>
      <c r="AZ17" s="55">
        <f>AZ16/AC16</f>
        <v>0.42070403301181658</v>
      </c>
    </row>
    <row r="18" spans="2:52" ht="16" hidden="1" outlineLevel="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c r="B19" s="46" t="s">
        <v>249</v>
      </c>
      <c r="AW19" s="55">
        <f>AW18/Z18</f>
        <v>1.0239506512196195</v>
      </c>
      <c r="AX19" s="55">
        <f>AX18/AA18</f>
        <v>0.6918530503164505</v>
      </c>
      <c r="AY19" s="55">
        <f>AY18/AB18</f>
        <v>0.68989038328079733</v>
      </c>
      <c r="AZ19" s="55">
        <f>AZ18/AC18</f>
        <v>0.72033310332958367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2019-12-08T01:05:29Z</dcterms:modified>
</cp:coreProperties>
</file>