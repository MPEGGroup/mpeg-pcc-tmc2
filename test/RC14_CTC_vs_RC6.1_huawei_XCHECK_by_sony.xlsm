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5Meeting\new_anchor\"/>
    </mc:Choice>
  </mc:AlternateContent>
  <bookViews>
    <workbookView xWindow="0" yWindow="465" windowWidth="28800" windowHeight="1632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2511"/>
</workbook>
</file>

<file path=xl/calcChain.xml><?xml version="1.0" encoding="utf-8"?>
<calcChain xmlns="http://schemas.openxmlformats.org/spreadsheetml/2006/main">
  <c r="BI5" i="6" l="1"/>
  <c r="BJ5" i="6"/>
  <c r="BK5" i="6"/>
  <c r="BL5" i="6"/>
  <c r="BI6" i="6"/>
  <c r="BJ6" i="6"/>
  <c r="BK6" i="6"/>
  <c r="BL6" i="6"/>
  <c r="BI7" i="6"/>
  <c r="BJ7" i="6"/>
  <c r="BK7" i="6"/>
  <c r="BL7" i="6"/>
  <c r="BI8" i="6"/>
  <c r="BJ8" i="6"/>
  <c r="BK8" i="6"/>
  <c r="BL8" i="6"/>
  <c r="BI9" i="6"/>
  <c r="BJ9" i="6"/>
  <c r="BK9" i="6"/>
  <c r="BL9" i="6"/>
  <c r="BH6" i="6"/>
  <c r="BH7" i="6"/>
  <c r="BH8" i="6"/>
  <c r="BH9" i="6"/>
  <c r="BH5" i="6"/>
  <c r="BI5" i="5"/>
  <c r="BJ5" i="5"/>
  <c r="BK5" i="5"/>
  <c r="BL5" i="5"/>
  <c r="BI6" i="5"/>
  <c r="BJ6" i="5"/>
  <c r="BK6" i="5"/>
  <c r="BL6" i="5"/>
  <c r="BI7" i="5"/>
  <c r="BJ7" i="5"/>
  <c r="BK7" i="5"/>
  <c r="BL7" i="5"/>
  <c r="BI8" i="5"/>
  <c r="BJ8" i="5"/>
  <c r="BK8" i="5"/>
  <c r="BL8" i="5"/>
  <c r="BI9" i="5"/>
  <c r="BJ9" i="5"/>
  <c r="BK9" i="5"/>
  <c r="BL9" i="5"/>
  <c r="BH6" i="5"/>
  <c r="BH7" i="5"/>
  <c r="BH8" i="5"/>
  <c r="BH9" i="5"/>
  <c r="BH5" i="5"/>
  <c r="BV5" i="7" l="1"/>
  <c r="BW5" i="7"/>
  <c r="BX5" i="7"/>
  <c r="BY5" i="7"/>
  <c r="BZ5" i="7"/>
  <c r="CA5" i="7"/>
  <c r="CB5" i="7"/>
  <c r="CC5" i="7"/>
  <c r="CD5" i="7"/>
  <c r="CE5" i="7"/>
  <c r="CF5" i="7"/>
  <c r="BV6" i="7"/>
  <c r="BW6" i="7"/>
  <c r="BX6" i="7"/>
  <c r="BY6" i="7"/>
  <c r="BZ6" i="7"/>
  <c r="CA6" i="7"/>
  <c r="CB6" i="7"/>
  <c r="CC6" i="7"/>
  <c r="CD6" i="7"/>
  <c r="CE6" i="7"/>
  <c r="CF6" i="7"/>
  <c r="BV7" i="7"/>
  <c r="BW7" i="7"/>
  <c r="BX7" i="7"/>
  <c r="BY7" i="7"/>
  <c r="BZ7" i="7"/>
  <c r="CA7" i="7"/>
  <c r="CB7" i="7"/>
  <c r="CC7" i="7"/>
  <c r="CD7" i="7"/>
  <c r="CE7" i="7"/>
  <c r="CF7" i="7"/>
  <c r="BV8" i="7"/>
  <c r="BW8" i="7"/>
  <c r="BX8" i="7"/>
  <c r="BY8" i="7"/>
  <c r="BZ8" i="7"/>
  <c r="CA8" i="7"/>
  <c r="CB8" i="7"/>
  <c r="CC8" i="7"/>
  <c r="CD8" i="7"/>
  <c r="CE8" i="7"/>
  <c r="CF8" i="7"/>
  <c r="BV9" i="7"/>
  <c r="BW9" i="7"/>
  <c r="BX9" i="7"/>
  <c r="BY9" i="7"/>
  <c r="BZ9" i="7"/>
  <c r="CA9" i="7"/>
  <c r="CB9" i="7"/>
  <c r="CC9" i="7"/>
  <c r="CD9" i="7"/>
  <c r="CE9" i="7"/>
  <c r="CF9" i="7"/>
  <c r="BV10" i="7"/>
  <c r="BW10" i="7"/>
  <c r="BX10" i="7"/>
  <c r="BY10" i="7"/>
  <c r="BZ10" i="7"/>
  <c r="CA10" i="7"/>
  <c r="CB10" i="7"/>
  <c r="CC10" i="7"/>
  <c r="CD10" i="7"/>
  <c r="CE10" i="7"/>
  <c r="CF10" i="7"/>
  <c r="BV11" i="7"/>
  <c r="BW11" i="7"/>
  <c r="BX11" i="7"/>
  <c r="BY11" i="7"/>
  <c r="BZ11" i="7"/>
  <c r="CA11" i="7"/>
  <c r="CB11" i="7"/>
  <c r="CC11" i="7"/>
  <c r="CD11" i="7"/>
  <c r="CE11" i="7"/>
  <c r="CF11" i="7"/>
  <c r="BV12" i="7"/>
  <c r="BW12" i="7"/>
  <c r="BX12" i="7"/>
  <c r="BY12" i="7"/>
  <c r="BZ12" i="7"/>
  <c r="CA12" i="7"/>
  <c r="CB12" i="7"/>
  <c r="CC12" i="7"/>
  <c r="CD12" i="7"/>
  <c r="CE12" i="7"/>
  <c r="CF12" i="7"/>
  <c r="BV13" i="7"/>
  <c r="BW13" i="7"/>
  <c r="BX13" i="7"/>
  <c r="BY13" i="7"/>
  <c r="BZ13" i="7"/>
  <c r="CA13" i="7"/>
  <c r="CB13" i="7"/>
  <c r="CC13" i="7"/>
  <c r="CD13" i="7"/>
  <c r="CE13" i="7"/>
  <c r="CF13" i="7"/>
  <c r="BV14" i="7"/>
  <c r="BW14" i="7"/>
  <c r="BX14" i="7"/>
  <c r="BY14" i="7"/>
  <c r="BZ14" i="7"/>
  <c r="CA14" i="7"/>
  <c r="CB14" i="7"/>
  <c r="CC14" i="7"/>
  <c r="CD14" i="7"/>
  <c r="CE14" i="7"/>
  <c r="CF14" i="7"/>
  <c r="BV15" i="7"/>
  <c r="BW15" i="7"/>
  <c r="BX15" i="7"/>
  <c r="BY15" i="7"/>
  <c r="BZ15" i="7"/>
  <c r="CA15" i="7"/>
  <c r="CB15" i="7"/>
  <c r="CC15" i="7"/>
  <c r="CD15" i="7"/>
  <c r="CE15" i="7"/>
  <c r="CF15" i="7"/>
  <c r="BV16" i="7"/>
  <c r="BW16" i="7"/>
  <c r="BX16" i="7"/>
  <c r="BY16" i="7"/>
  <c r="BZ16" i="7"/>
  <c r="CA16" i="7"/>
  <c r="CB16" i="7"/>
  <c r="CC16" i="7"/>
  <c r="CD16" i="7"/>
  <c r="CE16" i="7"/>
  <c r="CF16" i="7"/>
  <c r="BV17" i="7"/>
  <c r="BW17" i="7"/>
  <c r="BX17" i="7"/>
  <c r="BY17" i="7"/>
  <c r="BZ17" i="7"/>
  <c r="CA17" i="7"/>
  <c r="CB17" i="7"/>
  <c r="CC17" i="7"/>
  <c r="CD17" i="7"/>
  <c r="CE17" i="7"/>
  <c r="CF17" i="7"/>
  <c r="BV18" i="7"/>
  <c r="BW18" i="7"/>
  <c r="BX18" i="7"/>
  <c r="BY18" i="7"/>
  <c r="BZ18" i="7"/>
  <c r="CA18" i="7"/>
  <c r="CB18" i="7"/>
  <c r="CC18" i="7"/>
  <c r="CD18" i="7"/>
  <c r="CE18" i="7"/>
  <c r="CF18" i="7"/>
  <c r="BV19" i="7"/>
  <c r="BW19" i="7"/>
  <c r="BX19" i="7"/>
  <c r="BY19" i="7"/>
  <c r="BZ19" i="7"/>
  <c r="CA19" i="7"/>
  <c r="CB19" i="7"/>
  <c r="CC19" i="7"/>
  <c r="CD19" i="7"/>
  <c r="CE19" i="7"/>
  <c r="CF19" i="7"/>
  <c r="BV20" i="7"/>
  <c r="BW20" i="7"/>
  <c r="BX20" i="7"/>
  <c r="BY20" i="7"/>
  <c r="BZ20" i="7"/>
  <c r="CA20" i="7"/>
  <c r="CB20" i="7"/>
  <c r="CC20" i="7"/>
  <c r="CD20" i="7"/>
  <c r="CE20" i="7"/>
  <c r="CF20" i="7"/>
  <c r="BV21" i="7"/>
  <c r="BW21" i="7"/>
  <c r="BX21" i="7"/>
  <c r="BY21" i="7"/>
  <c r="BZ21" i="7"/>
  <c r="CA21" i="7"/>
  <c r="CB21" i="7"/>
  <c r="CC21" i="7"/>
  <c r="CD21" i="7"/>
  <c r="CE21" i="7"/>
  <c r="CF21" i="7"/>
  <c r="BV22" i="7"/>
  <c r="BW22" i="7"/>
  <c r="BX22" i="7"/>
  <c r="BY22" i="7"/>
  <c r="BZ22" i="7"/>
  <c r="CA22" i="7"/>
  <c r="CB22" i="7"/>
  <c r="CC22" i="7"/>
  <c r="CD22" i="7"/>
  <c r="CE22" i="7"/>
  <c r="CF22" i="7"/>
  <c r="BV23" i="7"/>
  <c r="BW23" i="7"/>
  <c r="BX23" i="7"/>
  <c r="BY23" i="7"/>
  <c r="BZ23" i="7"/>
  <c r="CA23" i="7"/>
  <c r="CB23" i="7"/>
  <c r="CC23" i="7"/>
  <c r="CD23" i="7"/>
  <c r="CE23" i="7"/>
  <c r="CF23" i="7"/>
  <c r="BV24" i="7"/>
  <c r="BW24" i="7"/>
  <c r="BX24" i="7"/>
  <c r="BY24" i="7"/>
  <c r="BZ24" i="7"/>
  <c r="CA24" i="7"/>
  <c r="CB24" i="7"/>
  <c r="CC24" i="7"/>
  <c r="CD24" i="7"/>
  <c r="CE24" i="7"/>
  <c r="CF24" i="7"/>
  <c r="BV25" i="7"/>
  <c r="BW25" i="7"/>
  <c r="BX25" i="7"/>
  <c r="BY25" i="7"/>
  <c r="BZ25" i="7"/>
  <c r="CA25" i="7"/>
  <c r="CB25" i="7"/>
  <c r="CC25" i="7"/>
  <c r="CD25" i="7"/>
  <c r="CE25" i="7"/>
  <c r="CF25" i="7"/>
  <c r="BV26" i="7"/>
  <c r="BW26" i="7"/>
  <c r="BX26" i="7"/>
  <c r="BY26" i="7"/>
  <c r="BZ26" i="7"/>
  <c r="CA26" i="7"/>
  <c r="CB26" i="7"/>
  <c r="CC26" i="7"/>
  <c r="CD26" i="7"/>
  <c r="CE26" i="7"/>
  <c r="CF26" i="7"/>
  <c r="BV27" i="7"/>
  <c r="BW27" i="7"/>
  <c r="BX27" i="7"/>
  <c r="BY27" i="7"/>
  <c r="BZ27" i="7"/>
  <c r="CA27" i="7"/>
  <c r="CB27" i="7"/>
  <c r="CC27" i="7"/>
  <c r="CD27" i="7"/>
  <c r="CE27" i="7"/>
  <c r="CF27" i="7"/>
  <c r="BV28" i="7"/>
  <c r="BW28" i="7"/>
  <c r="BX28" i="7"/>
  <c r="BY28" i="7"/>
  <c r="BZ28" i="7"/>
  <c r="CA28" i="7"/>
  <c r="CB28" i="7"/>
  <c r="CC28" i="7"/>
  <c r="CD28" i="7"/>
  <c r="CE28" i="7"/>
  <c r="CF28" i="7"/>
  <c r="BV29" i="7"/>
  <c r="BW29" i="7"/>
  <c r="BX29" i="7"/>
  <c r="BY29" i="7"/>
  <c r="BZ29" i="7"/>
  <c r="CA29" i="7"/>
  <c r="CB29" i="7"/>
  <c r="CC29" i="7"/>
  <c r="CD29" i="7"/>
  <c r="CE29" i="7"/>
  <c r="CF29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V5" i="3"/>
  <c r="BW5" i="3"/>
  <c r="BX5" i="3"/>
  <c r="BY5" i="3"/>
  <c r="BZ5" i="3"/>
  <c r="CA5" i="3"/>
  <c r="CB5" i="3"/>
  <c r="CC5" i="3"/>
  <c r="CD5" i="3"/>
  <c r="CE5" i="3"/>
  <c r="CF5" i="3"/>
  <c r="BV6" i="3"/>
  <c r="BW6" i="3"/>
  <c r="BX6" i="3"/>
  <c r="BY6" i="3"/>
  <c r="BZ6" i="3"/>
  <c r="CA6" i="3"/>
  <c r="CB6" i="3"/>
  <c r="CC6" i="3"/>
  <c r="CD6" i="3"/>
  <c r="CE6" i="3"/>
  <c r="CF6" i="3"/>
  <c r="BV7" i="3"/>
  <c r="BW7" i="3"/>
  <c r="BX7" i="3"/>
  <c r="BY7" i="3"/>
  <c r="BZ7" i="3"/>
  <c r="CA7" i="3"/>
  <c r="CB7" i="3"/>
  <c r="CC7" i="3"/>
  <c r="CD7" i="3"/>
  <c r="CE7" i="3"/>
  <c r="CF7" i="3"/>
  <c r="BV8" i="3"/>
  <c r="BW8" i="3"/>
  <c r="BX8" i="3"/>
  <c r="BY8" i="3"/>
  <c r="BZ8" i="3"/>
  <c r="CA8" i="3"/>
  <c r="CB8" i="3"/>
  <c r="CC8" i="3"/>
  <c r="CD8" i="3"/>
  <c r="CE8" i="3"/>
  <c r="CF8" i="3"/>
  <c r="BV9" i="3"/>
  <c r="BW9" i="3"/>
  <c r="BX9" i="3"/>
  <c r="BY9" i="3"/>
  <c r="BZ9" i="3"/>
  <c r="CA9" i="3"/>
  <c r="CB9" i="3"/>
  <c r="CC9" i="3"/>
  <c r="CD9" i="3"/>
  <c r="CE9" i="3"/>
  <c r="CF9" i="3"/>
  <c r="BV10" i="3"/>
  <c r="BW10" i="3"/>
  <c r="BX10" i="3"/>
  <c r="BY10" i="3"/>
  <c r="BZ10" i="3"/>
  <c r="CA10" i="3"/>
  <c r="CB10" i="3"/>
  <c r="CC10" i="3"/>
  <c r="CD10" i="3"/>
  <c r="CE10" i="3"/>
  <c r="CF10" i="3"/>
  <c r="BV11" i="3"/>
  <c r="BW11" i="3"/>
  <c r="BX11" i="3"/>
  <c r="BY11" i="3"/>
  <c r="BZ11" i="3"/>
  <c r="CA11" i="3"/>
  <c r="CB11" i="3"/>
  <c r="CC11" i="3"/>
  <c r="CD11" i="3"/>
  <c r="CE11" i="3"/>
  <c r="CF11" i="3"/>
  <c r="BV12" i="3"/>
  <c r="BW12" i="3"/>
  <c r="BX12" i="3"/>
  <c r="BY12" i="3"/>
  <c r="BZ12" i="3"/>
  <c r="CA12" i="3"/>
  <c r="CB12" i="3"/>
  <c r="CC12" i="3"/>
  <c r="CD12" i="3"/>
  <c r="CE12" i="3"/>
  <c r="CF12" i="3"/>
  <c r="BV13" i="3"/>
  <c r="BW13" i="3"/>
  <c r="BX13" i="3"/>
  <c r="BY13" i="3"/>
  <c r="BZ13" i="3"/>
  <c r="CA13" i="3"/>
  <c r="CB13" i="3"/>
  <c r="CC13" i="3"/>
  <c r="CD13" i="3"/>
  <c r="CE13" i="3"/>
  <c r="CF13" i="3"/>
  <c r="BV14" i="3"/>
  <c r="BW14" i="3"/>
  <c r="BX14" i="3"/>
  <c r="BY14" i="3"/>
  <c r="BZ14" i="3"/>
  <c r="CA14" i="3"/>
  <c r="CB14" i="3"/>
  <c r="CC14" i="3"/>
  <c r="CD14" i="3"/>
  <c r="CE14" i="3"/>
  <c r="CF14" i="3"/>
  <c r="BV15" i="3"/>
  <c r="BW15" i="3"/>
  <c r="BX15" i="3"/>
  <c r="BY15" i="3"/>
  <c r="BZ15" i="3"/>
  <c r="CA15" i="3"/>
  <c r="CB15" i="3"/>
  <c r="CC15" i="3"/>
  <c r="CD15" i="3"/>
  <c r="CE15" i="3"/>
  <c r="CF15" i="3"/>
  <c r="BV16" i="3"/>
  <c r="BW16" i="3"/>
  <c r="BX16" i="3"/>
  <c r="BY16" i="3"/>
  <c r="BZ16" i="3"/>
  <c r="CA16" i="3"/>
  <c r="CB16" i="3"/>
  <c r="CC16" i="3"/>
  <c r="CD16" i="3"/>
  <c r="CE16" i="3"/>
  <c r="CF16" i="3"/>
  <c r="BV17" i="3"/>
  <c r="BW17" i="3"/>
  <c r="BX17" i="3"/>
  <c r="BY17" i="3"/>
  <c r="BZ17" i="3"/>
  <c r="CA17" i="3"/>
  <c r="CB17" i="3"/>
  <c r="CC17" i="3"/>
  <c r="CD17" i="3"/>
  <c r="CE17" i="3"/>
  <c r="CF17" i="3"/>
  <c r="BV18" i="3"/>
  <c r="BW18" i="3"/>
  <c r="BX18" i="3"/>
  <c r="BY18" i="3"/>
  <c r="BZ18" i="3"/>
  <c r="CA18" i="3"/>
  <c r="CB18" i="3"/>
  <c r="CC18" i="3"/>
  <c r="CD18" i="3"/>
  <c r="CE18" i="3"/>
  <c r="CF18" i="3"/>
  <c r="BV19" i="3"/>
  <c r="BW19" i="3"/>
  <c r="BX19" i="3"/>
  <c r="BY19" i="3"/>
  <c r="BZ19" i="3"/>
  <c r="CA19" i="3"/>
  <c r="CB19" i="3"/>
  <c r="CC19" i="3"/>
  <c r="CD19" i="3"/>
  <c r="CE19" i="3"/>
  <c r="CF19" i="3"/>
  <c r="BV20" i="3"/>
  <c r="BW20" i="3"/>
  <c r="BX20" i="3"/>
  <c r="BY20" i="3"/>
  <c r="BZ20" i="3"/>
  <c r="CA20" i="3"/>
  <c r="CB20" i="3"/>
  <c r="CC20" i="3"/>
  <c r="CD20" i="3"/>
  <c r="CE20" i="3"/>
  <c r="CF20" i="3"/>
  <c r="BV21" i="3"/>
  <c r="BW21" i="3"/>
  <c r="BX21" i="3"/>
  <c r="BY21" i="3"/>
  <c r="BZ21" i="3"/>
  <c r="CA21" i="3"/>
  <c r="CB21" i="3"/>
  <c r="CC21" i="3"/>
  <c r="CD21" i="3"/>
  <c r="CE21" i="3"/>
  <c r="CF21" i="3"/>
  <c r="BV22" i="3"/>
  <c r="BW22" i="3"/>
  <c r="BX22" i="3"/>
  <c r="BY22" i="3"/>
  <c r="BZ22" i="3"/>
  <c r="CA22" i="3"/>
  <c r="CB22" i="3"/>
  <c r="CC22" i="3"/>
  <c r="CD22" i="3"/>
  <c r="CE22" i="3"/>
  <c r="CF22" i="3"/>
  <c r="BV23" i="3"/>
  <c r="BW23" i="3"/>
  <c r="BX23" i="3"/>
  <c r="BY23" i="3"/>
  <c r="BZ23" i="3"/>
  <c r="CA23" i="3"/>
  <c r="CB23" i="3"/>
  <c r="CC23" i="3"/>
  <c r="CD23" i="3"/>
  <c r="CE23" i="3"/>
  <c r="CF23" i="3"/>
  <c r="BV24" i="3"/>
  <c r="BW24" i="3"/>
  <c r="BX24" i="3"/>
  <c r="BY24" i="3"/>
  <c r="BZ24" i="3"/>
  <c r="CA24" i="3"/>
  <c r="CB24" i="3"/>
  <c r="CC24" i="3"/>
  <c r="CD24" i="3"/>
  <c r="CE24" i="3"/>
  <c r="CF24" i="3"/>
  <c r="BV25" i="3"/>
  <c r="BW25" i="3"/>
  <c r="BX25" i="3"/>
  <c r="BY25" i="3"/>
  <c r="BZ25" i="3"/>
  <c r="CA25" i="3"/>
  <c r="CB25" i="3"/>
  <c r="CC25" i="3"/>
  <c r="CD25" i="3"/>
  <c r="CE25" i="3"/>
  <c r="CF25" i="3"/>
  <c r="BV26" i="3"/>
  <c r="BW26" i="3"/>
  <c r="BX26" i="3"/>
  <c r="BY26" i="3"/>
  <c r="BZ26" i="3"/>
  <c r="CA26" i="3"/>
  <c r="CB26" i="3"/>
  <c r="CC26" i="3"/>
  <c r="CD26" i="3"/>
  <c r="CE26" i="3"/>
  <c r="CF26" i="3"/>
  <c r="BV27" i="3"/>
  <c r="BW27" i="3"/>
  <c r="BX27" i="3"/>
  <c r="BY27" i="3"/>
  <c r="BZ27" i="3"/>
  <c r="CA27" i="3"/>
  <c r="CB27" i="3"/>
  <c r="CC27" i="3"/>
  <c r="CD27" i="3"/>
  <c r="CE27" i="3"/>
  <c r="CF27" i="3"/>
  <c r="BV28" i="3"/>
  <c r="BW28" i="3"/>
  <c r="BX28" i="3"/>
  <c r="BY28" i="3"/>
  <c r="BZ28" i="3"/>
  <c r="CA28" i="3"/>
  <c r="CB28" i="3"/>
  <c r="CC28" i="3"/>
  <c r="CD28" i="3"/>
  <c r="CE28" i="3"/>
  <c r="CF28" i="3"/>
  <c r="BV29" i="3"/>
  <c r="BW29" i="3"/>
  <c r="BX29" i="3"/>
  <c r="BY29" i="3"/>
  <c r="BZ29" i="3"/>
  <c r="CA29" i="3"/>
  <c r="CB29" i="3"/>
  <c r="CC29" i="3"/>
  <c r="CD29" i="3"/>
  <c r="CE29" i="3"/>
  <c r="CF29" i="3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K20" i="7"/>
  <c r="BQ10" i="7"/>
  <c r="BK25" i="7"/>
  <c r="BR5" i="7"/>
  <c r="BO10" i="7"/>
  <c r="BP20" i="7"/>
  <c r="BM15" i="7"/>
  <c r="BS15" i="7"/>
  <c r="BM10" i="7"/>
  <c r="BM25" i="7"/>
  <c r="BK15" i="7"/>
  <c r="BR25" i="7"/>
  <c r="BO15" i="7"/>
  <c r="BS25" i="7"/>
  <c r="BQ15" i="7"/>
  <c r="BO5" i="7"/>
  <c r="BK5" i="7"/>
  <c r="BR10" i="7"/>
  <c r="BP5" i="7"/>
  <c r="BL20" i="7"/>
  <c r="BS5" i="7"/>
  <c r="BM5" i="7"/>
  <c r="BQ5" i="7"/>
  <c r="BM20" i="7"/>
  <c r="BP10" i="7"/>
  <c r="BQ25" i="7"/>
  <c r="BP25" i="7"/>
  <c r="BQ20" i="7"/>
  <c r="BJ25" i="7"/>
  <c r="BP15" i="7"/>
  <c r="BR20" i="7"/>
  <c r="BS10" i="7"/>
  <c r="BL10" i="7"/>
  <c r="BL25" i="7"/>
  <c r="BO20" i="7"/>
  <c r="BL5" i="7"/>
  <c r="BO25" i="7"/>
  <c r="BR15" i="7"/>
  <c r="BL15" i="7"/>
  <c r="BS20" i="7"/>
  <c r="BK10" i="7"/>
  <c r="BP15" i="3"/>
  <c r="BS25" i="3"/>
  <c r="BP25" i="3"/>
  <c r="BR10" i="3"/>
  <c r="BO10" i="3"/>
  <c r="BK5" i="3"/>
  <c r="BS10" i="3"/>
  <c r="BK25" i="3"/>
  <c r="BL5" i="3"/>
  <c r="BR15" i="3"/>
  <c r="BM10" i="3"/>
  <c r="BM5" i="3"/>
  <c r="BP5" i="3"/>
  <c r="BQ20" i="3"/>
  <c r="BK10" i="3"/>
  <c r="BQ5" i="3"/>
  <c r="BL10" i="3"/>
  <c r="BP20" i="3"/>
  <c r="BO15" i="3"/>
  <c r="BO5" i="3"/>
  <c r="BR20" i="3"/>
  <c r="BM25" i="3"/>
  <c r="BS20" i="3"/>
  <c r="BL25" i="3"/>
  <c r="BP10" i="3"/>
  <c r="BQ25" i="3"/>
  <c r="BL20" i="3"/>
  <c r="BS5" i="3"/>
  <c r="BQ10" i="3"/>
  <c r="BM20" i="3"/>
  <c r="BL15" i="3"/>
  <c r="BQ15" i="3"/>
  <c r="BO25" i="3"/>
  <c r="BM15" i="3"/>
  <c r="BS15" i="3"/>
  <c r="BR25" i="3"/>
  <c r="BR5" i="3"/>
  <c r="BK20" i="3"/>
  <c r="BO20" i="3"/>
  <c r="BK15" i="3"/>
  <c r="BJ15" i="3"/>
  <c r="BC34" i="3" l="1"/>
  <c r="BE9" i="6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J15" i="7"/>
  <c r="BJ10" i="7"/>
  <c r="BI20" i="7"/>
  <c r="BI15" i="7"/>
  <c r="BI25" i="7"/>
  <c r="BI5" i="7"/>
  <c r="BJ5" i="7"/>
  <c r="BJ20" i="7"/>
  <c r="BJ25" i="3"/>
  <c r="BI20" i="3"/>
  <c r="BI10" i="3"/>
  <c r="BI25" i="3"/>
  <c r="BJ10" i="3"/>
  <c r="BJ5" i="3"/>
  <c r="BJ20" i="3"/>
  <c r="BI5" i="3"/>
  <c r="BI15" i="3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<sst xmlns="http://schemas.openxmlformats.org/spreadsheetml/2006/main" count="1448" uniqueCount="551">
  <si>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</si>
  <si>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</si>
  <si>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</si>
  <si>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</si>
  <si>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</si>
  <si>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</si>
  <si>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</si>
  <si>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</si>
  <si>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</si>
  <si>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</si>
  <si>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</si>
  <si>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</si>
  <si>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</si>
  <si>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</si>
  <si>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</si>
  <si>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</si>
  <si>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</si>
  <si>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</si>
  <si>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</si>
  <si>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</si>
  <si>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</si>
  <si>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</si>
  <si>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</si>
  <si>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</si>
  <si>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</si>
  <si>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</si>
  <si>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</si>
  <si>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</si>
  <si>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</si>
  <si>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</si>
  <si>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</si>
  <si>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</si>
  <si>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</si>
  <si>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</si>
  <si>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</si>
  <si>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</si>
  <si>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</si>
  <si>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</si>
  <si>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</si>
  <si>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</si>
  <si>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</si>
  <si>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</si>
  <si>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</si>
  <si>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</si>
  <si>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</si>
  <si>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</si>
  <si>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</si>
  <si>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</si>
  <si>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</si>
  <si>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</si>
  <si>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</si>
  <si>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</si>
  <si>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</si>
  <si>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</si>
  <si>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</si>
  <si>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</si>
  <si>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</si>
  <si>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</si>
  <si>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</si>
  <si>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</si>
  <si>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</si>
  <si>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</si>
  <si>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</si>
  <si>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</si>
  <si>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</si>
  <si>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</si>
  <si>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</si>
  <si>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</si>
  <si>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</si>
  <si>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</si>
  <si>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</si>
  <si>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</si>
  <si>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</si>
  <si>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</si>
  <si>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</si>
  <si>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</si>
  <si>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</si>
  <si>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</si>
  <si>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</si>
  <si>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</si>
  <si>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</si>
  <si>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</si>
  <si>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</si>
  <si>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</si>
  <si>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</si>
  <si>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</si>
  <si>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</si>
  <si>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</si>
  <si>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</si>
  <si>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</si>
  <si>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</si>
  <si>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</si>
  <si>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</si>
  <si>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</si>
  <si>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</si>
  <si>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</si>
  <si>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</si>
  <si>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</si>
  <si>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</si>
  <si>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</si>
  <si>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</si>
  <si>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</si>
  <si>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</si>
  <si>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</si>
  <si>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</si>
  <si>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</si>
  <si>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</si>
  <si>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</si>
  <si>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</si>
  <si>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</si>
  <si>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</si>
  <si>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</si>
  <si>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</si>
  <si>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</si>
  <si>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</si>
  <si>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</si>
  <si>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</si>
  <si>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</si>
  <si>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</si>
  <si>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</si>
  <si>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</si>
  <si>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</si>
  <si>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</si>
  <si>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</si>
  <si>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</si>
  <si>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</si>
  <si>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</si>
  <si>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</si>
  <si>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</si>
  <si>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</si>
  <si>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</si>
  <si>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</si>
  <si>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</si>
  <si>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</si>
  <si>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</si>
  <si>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</si>
  <si>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</si>
  <si>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</si>
  <si>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</si>
  <si>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</si>
  <si>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</si>
  <si>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</si>
  <si>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</si>
  <si>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</si>
  <si>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</si>
  <si>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</si>
  <si>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</si>
  <si>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</si>
  <si>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</si>
  <si>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</si>
  <si>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</si>
  <si>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</si>
  <si>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</si>
  <si>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</si>
  <si>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</si>
  <si>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</si>
  <si>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</si>
  <si>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</si>
  <si>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</si>
  <si>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</si>
  <si>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</si>
  <si>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</si>
  <si>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</si>
  <si>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</si>
  <si>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</si>
  <si>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</si>
  <si>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</si>
  <si>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</si>
  <si>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</si>
  <si>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</si>
  <si>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</si>
  <si>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</si>
  <si>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</si>
  <si>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</si>
  <si>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</si>
  <si>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</si>
  <si>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</si>
  <si>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</si>
  <si>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</si>
  <si>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</si>
  <si>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</si>
  <si>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</si>
  <si>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</si>
  <si>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</si>
  <si>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</si>
  <si>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</si>
  <si>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</si>
  <si>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</si>
  <si>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</si>
  <si>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</si>
  <si>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</si>
  <si>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</si>
  <si>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</si>
  <si>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</si>
  <si>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</si>
  <si>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</si>
  <si>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</si>
  <si>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</si>
  <si>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</si>
  <si>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</si>
  <si>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</si>
  <si>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</si>
  <si>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</si>
  <si>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</si>
  <si>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</si>
  <si>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</si>
  <si>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</si>
  <si>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</si>
  <si>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</si>
  <si>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</si>
  <si>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</si>
  <si>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</si>
  <si>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</si>
  <si>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</si>
  <si>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</si>
  <si>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</si>
  <si>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</si>
  <si>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</si>
  <si>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</si>
  <si>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</si>
  <si>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</si>
  <si>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</si>
  <si>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</si>
  <si>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</si>
  <si>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</si>
  <si>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</si>
  <si>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</si>
  <si>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</si>
  <si>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</si>
  <si>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</si>
  <si>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</si>
  <si>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</si>
  <si>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</si>
  <si>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</si>
  <si>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</si>
  <si>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</si>
  <si>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</si>
  <si>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</si>
  <si>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</si>
  <si>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</si>
  <si>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</si>
  <si>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</si>
  <si>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</si>
  <si>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</si>
  <si>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</si>
  <si>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</si>
  <si>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</si>
  <si>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</si>
  <si>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</si>
  <si>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</si>
  <si>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</si>
  <si>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</si>
  <si>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</si>
  <si>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</si>
  <si>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</si>
  <si>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</si>
  <si>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</si>
  <si>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</si>
  <si>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</si>
  <si>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</si>
  <si>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</si>
  <si>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</si>
  <si>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</si>
  <si>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</si>
  <si>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</si>
  <si>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</si>
  <si>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</si>
  <si>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</si>
  <si>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</si>
  <si>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</si>
  <si>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</si>
  <si>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</si>
  <si>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</si>
  <si>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</si>
  <si>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</si>
  <si>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</si>
  <si>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</si>
  <si>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</si>
  <si>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</si>
  <si>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</si>
  <si>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</si>
  <si>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</si>
  <si>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</si>
  <si>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</si>
  <si>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</si>
  <si>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</si>
  <si>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</si>
  <si>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</si>
  <si>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</si>
  <si>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</si>
  <si>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</si>
  <si>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</si>
  <si>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</si>
  <si>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</si>
  <si>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</si>
  <si>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</si>
  <si>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</si>
  <si>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</si>
  <si>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</si>
  <si>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</si>
  <si>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</si>
  <si>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</si>
  <si>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</si>
  <si>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</si>
  <si>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</si>
  <si>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</si>
  <si>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</si>
  <si>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</si>
  <si>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</si>
  <si>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</si>
  <si>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</si>
  <si>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</si>
  <si>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</si>
  <si>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</si>
  <si>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</si>
  <si>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</si>
  <si>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</si>
  <si>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</si>
  <si>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</si>
  <si>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</si>
  <si>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</si>
  <si>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</si>
  <si>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</si>
  <si>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</si>
  <si>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</si>
  <si>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</si>
  <si>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</si>
  <si>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</si>
  <si>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</si>
  <si>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</si>
  <si>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</si>
  <si>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</si>
  <si>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</si>
  <si>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</si>
  <si>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</si>
  <si>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</si>
  <si>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</si>
  <si>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</si>
  <si>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</si>
  <si>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</si>
  <si>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</si>
  <si>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</si>
  <si>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</si>
  <si>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</si>
  <si>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</si>
  <si>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</si>
  <si>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</si>
  <si>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</si>
  <si>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</si>
  <si>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</si>
  <si>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</si>
  <si>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</si>
  <si>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</si>
  <si>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</si>
  <si>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</si>
  <si>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</si>
  <si>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</si>
  <si>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</si>
  <si>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</si>
  <si>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</si>
  <si>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</si>
  <si>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</si>
  <si>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</si>
  <si>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</si>
  <si>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</si>
  <si>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</si>
  <si>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</si>
  <si>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</si>
  <si>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</si>
  <si>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</si>
  <si>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</si>
  <si>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</si>
  <si>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</si>
  <si>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</si>
  <si>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</si>
  <si>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</si>
  <si>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</si>
  <si>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</si>
  <si>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</si>
  <si>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</si>
  <si>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</si>
  <si>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</si>
  <si>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</si>
  <si>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</si>
  <si>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</si>
  <si>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</si>
  <si>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</si>
  <si>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</si>
  <si>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</si>
  <si>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</si>
  <si>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</si>
  <si>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</si>
  <si>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</si>
  <si>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</si>
  <si>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</si>
  <si>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</si>
  <si>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</si>
  <si>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</si>
  <si>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</si>
  <si>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</si>
  <si>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</si>
  <si>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</si>
  <si>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</si>
  <si>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</si>
  <si>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</si>
  <si>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</si>
  <si>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</si>
  <si>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</si>
  <si>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</si>
  <si>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</si>
  <si>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</si>
  <si>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</si>
  <si>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</si>
  <si>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</si>
  <si>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</si>
  <si>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</si>
  <si>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</si>
  <si>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</si>
  <si>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</si>
  <si>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</si>
  <si>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</si>
  <si>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</si>
  <si>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</si>
  <si>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</si>
  <si>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</si>
  <si>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</si>
  <si>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</si>
  <si>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</si>
  <si>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</si>
  <si>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</si>
  <si>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</si>
  <si>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</si>
  <si>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</si>
  <si>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</si>
  <si>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</si>
  <si>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</si>
  <si>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</si>
  <si>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</si>
  <si>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</si>
  <si>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</si>
  <si>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</si>
  <si>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</si>
  <si>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</si>
  <si>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</si>
  <si>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</si>
  <si>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</si>
  <si>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</si>
  <si>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</si>
  <si>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</si>
  <si>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</si>
  <si>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</si>
  <si>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</si>
  <si>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</si>
  <si>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</si>
  <si>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</si>
  <si>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</si>
  <si>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</si>
  <si>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</si>
  <si>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</si>
  <si>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</si>
  <si>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</si>
  <si>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</si>
  <si>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</si>
  <si>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</si>
  <si>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</si>
  <si>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</si>
  <si>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</si>
  <si>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</si>
  <si>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</si>
  <si>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</si>
  <si>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</si>
  <si>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</si>
  <si>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</si>
  <si>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</si>
  <si>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</si>
  <si>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</si>
  <si>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</si>
  <si>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</si>
  <si>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</si>
  <si>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</si>
  <si>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</si>
  <si>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</si>
  <si>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</si>
  <si>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</si>
  <si>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</si>
  <si>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</si>
  <si>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</si>
  <si>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</si>
  <si>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</si>
  <si>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</si>
  <si>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</si>
  <si>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</si>
  <si>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</si>
  <si>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</si>
  <si>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</si>
  <si>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</si>
  <si>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</si>
  <si>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</si>
  <si>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</si>
  <si>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</si>
  <si>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</si>
  <si>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</si>
  <si>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</si>
  <si>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</si>
  <si>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</si>
  <si>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</si>
  <si>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</si>
  <si>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</si>
  <si>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</si>
  <si>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</si>
  <si>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</si>
  <si>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</si>
  <si>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</si>
  <si>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</si>
  <si>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</si>
  <si>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</si>
  <si>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</si>
  <si>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</si>
  <si>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</si>
  <si>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</si>
  <si>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</si>
  <si>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</si>
  <si>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</si>
  <si>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</si>
  <si>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</si>
  <si>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</si>
  <si>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</si>
  <si>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</si>
  <si>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</si>
  <si>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</si>
  <si>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</si>
  <si>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</si>
  <si>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</si>
  <si>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</si>
  <si>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</si>
  <si>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</si>
  <si>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</si>
  <si>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</si>
  <si>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</si>
  <si>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</si>
  <si>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</si>
  <si>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</si>
  <si>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</si>
  <si>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</si>
  <si>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</si>
  <si>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</si>
  <si>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</si>
  <si>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huawei RC6.1 (sony xcheck)</t>
  </si>
  <si>
    <t>sony xcheck of TMCv5 RC6.1</t>
  </si>
  <si>
    <t>TMC2v5.0 RC14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</si>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</sst>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34112"/>
        <c:axId val="368834504"/>
      </c:scatterChart>
      <c:valAx>
        <c:axId val="368834112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4504"/>
        <c:crosses val="autoZero"/>
        <c:crossBetween val="midCat"/>
      </c:valAx>
      <c:valAx>
        <c:axId val="368834504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41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87272"/>
        <c:axId val="368835288"/>
      </c:scatterChart>
      <c:valAx>
        <c:axId val="364987272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5288"/>
        <c:crosses val="autoZero"/>
        <c:crossBetween val="midCat"/>
      </c:valAx>
      <c:valAx>
        <c:axId val="368835288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49872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36072"/>
        <c:axId val="368836464"/>
      </c:scatterChart>
      <c:valAx>
        <c:axId val="368836072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6464"/>
        <c:crosses val="autoZero"/>
        <c:crossBetween val="midCat"/>
      </c:valAx>
      <c:valAx>
        <c:axId val="368836464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60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37248"/>
        <c:axId val="368837640"/>
      </c:scatterChart>
      <c:valAx>
        <c:axId val="368837248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7640"/>
        <c:crosses val="autoZero"/>
        <c:crossBetween val="midCat"/>
      </c:valAx>
      <c:valAx>
        <c:axId val="368837640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72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38424"/>
        <c:axId val="368838816"/>
      </c:scatterChart>
      <c:valAx>
        <c:axId val="368838424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8816"/>
        <c:crosses val="autoZero"/>
        <c:crossBetween val="midCat"/>
      </c:valAx>
      <c:valAx>
        <c:axId val="368838816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8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TMC2v5.0 RC14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39600"/>
        <c:axId val="368839992"/>
      </c:scatterChart>
      <c:valAx>
        <c:axId val="368839600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8839992"/>
        <c:crosses val="autoZero"/>
        <c:crossBetween val="midCat"/>
      </c:valAx>
      <c:valAx>
        <c:axId val="36883999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688396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>
      <selection activeCell="C3" sqref="C3"/>
    </sheetView>
  </sheetViews>
  <sheetFormatPr defaultColWidth="8.85546875"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2" t="s">
        <v>548</v>
      </c>
      <c r="D1" s="62"/>
      <c r="E1" s="62"/>
    </row>
    <row r="2" spans="2:12">
      <c r="B2" t="s">
        <v>1</v>
      </c>
      <c r="C2" s="63" t="s">
        <v>549</v>
      </c>
      <c r="D2" s="63"/>
      <c r="E2" s="63"/>
    </row>
    <row r="4" spans="2:12" s="1" customFormat="1">
      <c r="B4" s="1" t="s">
        <v>294</v>
      </c>
    </row>
    <row r="6" spans="2:12">
      <c r="B6" s="64" t="s">
        <v>295</v>
      </c>
      <c r="C6" s="65" t="s">
        <v>296</v>
      </c>
      <c r="D6" s="65"/>
      <c r="E6" s="65"/>
      <c r="F6" s="65"/>
      <c r="G6" s="65"/>
      <c r="H6" s="65"/>
      <c r="I6" s="65"/>
      <c r="J6" s="65"/>
      <c r="K6" s="65"/>
      <c r="L6" s="65"/>
    </row>
    <row r="7" spans="2:12">
      <c r="B7" s="64"/>
      <c r="C7" s="66" t="s">
        <v>235</v>
      </c>
      <c r="D7" s="66"/>
      <c r="E7" s="67" t="s">
        <v>240</v>
      </c>
      <c r="F7" s="67"/>
      <c r="G7" s="67"/>
      <c r="H7" s="66" t="s">
        <v>247</v>
      </c>
      <c r="I7" s="66"/>
      <c r="J7" s="67" t="s">
        <v>252</v>
      </c>
      <c r="K7" s="67"/>
      <c r="L7" s="67"/>
    </row>
    <row r="8" spans="2:12">
      <c r="B8" s="64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0</v>
      </c>
      <c r="I9" s="5">
        <f>'C2 lossyG,lossyA,intra'!$BP$30:$BP$30</f>
        <v>0</v>
      </c>
      <c r="J9" s="5">
        <f>'C2 lossyG,lossyA,intra'!$BQ$30:$BQ$30</f>
        <v>0</v>
      </c>
      <c r="K9" s="5">
        <f>'C2 lossyG,lossyA,intra'!$BR$30:$BR$30</f>
        <v>0</v>
      </c>
      <c r="L9" s="5">
        <f>'C2 lossyG,lossyA,intra'!$BS$30:$BS$30</f>
        <v>0</v>
      </c>
    </row>
    <row r="10" spans="2:12">
      <c r="B10" s="4" t="s">
        <v>287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0</v>
      </c>
      <c r="I10" s="5">
        <f>'C2 lossyG,lossyA,intra'!$BP$31:$BP$31</f>
        <v>0</v>
      </c>
      <c r="J10" s="5">
        <f>'C2 lossyG,lossyA,intra'!$BQ$31:$BQ$31</f>
        <v>0</v>
      </c>
      <c r="K10" s="5">
        <f>'C2 lossyG,lossyA,intra'!$BR$31:$BR$31</f>
        <v>0</v>
      </c>
      <c r="L10" s="5">
        <f>'C2 lossyG,lossyA,intra'!$BS$31:$BS$31</f>
        <v>0</v>
      </c>
    </row>
    <row r="11" spans="2:12">
      <c r="B11" s="6" t="s">
        <v>288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0</v>
      </c>
      <c r="I11" s="7">
        <f>'C2 lossyG,lossyA,intra'!$BP$32:$BP$32</f>
        <v>0</v>
      </c>
      <c r="J11" s="7">
        <f>'C2 lossyG,lossyA,intra'!$BQ$32:$BQ$32</f>
        <v>0</v>
      </c>
      <c r="K11" s="7">
        <f>'C2 lossyG,lossyA,intra'!$BR$32:$BR$32</f>
        <v>0</v>
      </c>
      <c r="L11" s="7">
        <f>'C2 lossyG,lossyA,intra'!$BS$32:$BS$32</f>
        <v>0</v>
      </c>
    </row>
    <row r="12" spans="2:12">
      <c r="B12" t="s">
        <v>297</v>
      </c>
      <c r="C12" s="68">
        <f>'C2 lossyG,lossyA,intra'!AZ36</f>
        <v>0.73247097439910636</v>
      </c>
      <c r="D12" s="68"/>
      <c r="E12" s="68"/>
      <c r="F12" s="68"/>
      <c r="G12" s="68"/>
      <c r="H12" s="68"/>
      <c r="I12" s="68"/>
      <c r="J12" s="68"/>
      <c r="K12" s="68"/>
      <c r="L12" s="68"/>
    </row>
    <row r="13" spans="2:12">
      <c r="B13" s="9" t="s">
        <v>298</v>
      </c>
      <c r="C13" s="69">
        <f>'C2 lossyG,lossyA,intra'!BB36</f>
        <v>1.1052303657335121</v>
      </c>
      <c r="D13" s="69"/>
      <c r="E13" s="69"/>
      <c r="F13" s="69"/>
      <c r="G13" s="69"/>
      <c r="H13" s="69"/>
      <c r="I13" s="69"/>
      <c r="J13" s="69"/>
      <c r="K13" s="69"/>
      <c r="L13" s="69"/>
    </row>
    <row r="15" spans="2:12">
      <c r="B15" s="64" t="s">
        <v>379</v>
      </c>
      <c r="C15" s="65" t="s">
        <v>380</v>
      </c>
      <c r="D15" s="65"/>
      <c r="E15" s="65"/>
    </row>
    <row r="16" spans="2:12">
      <c r="B16" s="64"/>
      <c r="C16" s="66" t="s">
        <v>355</v>
      </c>
      <c r="D16" s="66"/>
      <c r="E16" s="66"/>
    </row>
    <row r="17" spans="2:5">
      <c r="B17" s="64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>
      <c r="B19" s="4" t="s">
        <v>287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>
      <c r="B20" s="6" t="s">
        <v>288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>
      <c r="B21" t="s">
        <v>297</v>
      </c>
      <c r="C21" s="68">
        <f>'CW losslG,losslA,intra'!AW16</f>
        <v>1.5173964368821968</v>
      </c>
      <c r="D21" s="68"/>
      <c r="E21" s="68"/>
    </row>
    <row r="22" spans="2:5">
      <c r="B22" s="9" t="s">
        <v>298</v>
      </c>
      <c r="C22" s="69">
        <f>'CW losslG,losslA,intra'!AY16</f>
        <v>0.99564876285133241</v>
      </c>
      <c r="D22" s="69"/>
      <c r="E22" s="69"/>
    </row>
    <row r="24" spans="2:5" s="1" customFormat="1">
      <c r="B24" s="1" t="s">
        <v>454</v>
      </c>
    </row>
    <row r="26" spans="2:5">
      <c r="B26" s="64" t="s">
        <v>455</v>
      </c>
      <c r="C26" s="65" t="s">
        <v>456</v>
      </c>
      <c r="D26" s="65"/>
      <c r="E26" s="65"/>
    </row>
    <row r="27" spans="2:5">
      <c r="B27" s="64"/>
      <c r="C27" s="66" t="s">
        <v>355</v>
      </c>
      <c r="D27" s="66"/>
      <c r="E27" s="66"/>
    </row>
    <row r="28" spans="2:5">
      <c r="B28" s="64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>
      <c r="B30" s="4" t="s">
        <v>287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>
      <c r="B31" s="6" t="s">
        <v>288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>
      <c r="B32" t="s">
        <v>297</v>
      </c>
      <c r="C32" s="68">
        <f>'CW losslG,losslA,interLD'!AW16</f>
        <v>0.84039853339206849</v>
      </c>
      <c r="D32" s="68"/>
      <c r="E32" s="68"/>
    </row>
    <row r="33" spans="2:12">
      <c r="B33" s="9" t="s">
        <v>298</v>
      </c>
      <c r="C33" s="69">
        <f>'CW losslG,losslA,interLD'!AY16</f>
        <v>1.0350589693410199</v>
      </c>
      <c r="D33" s="69"/>
      <c r="E33" s="69"/>
    </row>
    <row r="35" spans="2:12" s="1" customFormat="1">
      <c r="B35" s="1" t="s">
        <v>541</v>
      </c>
    </row>
    <row r="37" spans="2:12">
      <c r="B37" s="64" t="s">
        <v>542</v>
      </c>
      <c r="C37" s="65" t="s">
        <v>543</v>
      </c>
      <c r="D37" s="65"/>
      <c r="E37" s="65"/>
      <c r="F37" s="65"/>
      <c r="G37" s="65"/>
      <c r="H37" s="65"/>
      <c r="I37" s="65"/>
      <c r="J37" s="65"/>
      <c r="K37" s="65"/>
      <c r="L37" s="65"/>
    </row>
    <row r="38" spans="2:12">
      <c r="B38" s="64"/>
      <c r="C38" s="66" t="s">
        <v>235</v>
      </c>
      <c r="D38" s="66"/>
      <c r="E38" s="67" t="s">
        <v>240</v>
      </c>
      <c r="F38" s="67"/>
      <c r="G38" s="67"/>
      <c r="H38" s="66" t="s">
        <v>247</v>
      </c>
      <c r="I38" s="66"/>
      <c r="J38" s="67" t="s">
        <v>252</v>
      </c>
      <c r="K38" s="67"/>
      <c r="L38" s="67"/>
    </row>
    <row r="39" spans="2:12">
      <c r="B39" s="64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0</v>
      </c>
      <c r="I40" s="5">
        <f>'C2 lossyG,lossyA,interRA'!$BP$30:$BP$30</f>
        <v>0</v>
      </c>
      <c r="J40" s="5">
        <f>'C2 lossyG,lossyA,interRA'!$BQ$30:$BQ$30</f>
        <v>0</v>
      </c>
      <c r="K40" s="5">
        <f>'C2 lossyG,lossyA,interRA'!$BR$30:$BR$30</f>
        <v>0</v>
      </c>
      <c r="L40" s="5">
        <f>'C2 lossyG,lossyA,interRA'!$BS$30:$BS$30</f>
        <v>0</v>
      </c>
    </row>
    <row r="41" spans="2:12">
      <c r="B41" s="4" t="s">
        <v>287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0</v>
      </c>
      <c r="I41" s="5">
        <f>'C2 lossyG,lossyA,interRA'!$BP$31:$BP$31</f>
        <v>0</v>
      </c>
      <c r="J41" s="5">
        <f>'C2 lossyG,lossyA,interRA'!$BQ$31:$BQ$31</f>
        <v>0</v>
      </c>
      <c r="K41" s="5">
        <f>'C2 lossyG,lossyA,interRA'!$BR$31:$BR$31</f>
        <v>0</v>
      </c>
      <c r="L41" s="5">
        <f>'C2 lossyG,lossyA,interRA'!$BS$31:$BS$31</f>
        <v>0</v>
      </c>
    </row>
    <row r="42" spans="2:12">
      <c r="B42" s="6" t="s">
        <v>288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0</v>
      </c>
      <c r="I42" s="7">
        <f>'C2 lossyG,lossyA,interRA'!$BP$32:$BP$32</f>
        <v>0</v>
      </c>
      <c r="J42" s="7">
        <f>'C2 lossyG,lossyA,interRA'!$BQ$32:$BQ$32</f>
        <v>0</v>
      </c>
      <c r="K42" s="7">
        <f>'C2 lossyG,lossyA,interRA'!$BR$32:$BR$32</f>
        <v>0</v>
      </c>
      <c r="L42" s="7">
        <f>'C2 lossyG,lossyA,interRA'!$BS$32:$BS$32</f>
        <v>0</v>
      </c>
    </row>
    <row r="43" spans="2:12">
      <c r="B43" t="s">
        <v>297</v>
      </c>
      <c r="C43" s="68">
        <f>'C2 lossyG,lossyA,interRA'!AZ36</f>
        <v>0.58372171488438729</v>
      </c>
      <c r="D43" s="68"/>
      <c r="E43" s="68"/>
      <c r="F43" s="68"/>
      <c r="G43" s="68"/>
      <c r="H43" s="68"/>
      <c r="I43" s="68"/>
      <c r="J43" s="68"/>
      <c r="K43" s="68"/>
      <c r="L43" s="68"/>
    </row>
    <row r="44" spans="2:12">
      <c r="B44" s="9" t="s">
        <v>298</v>
      </c>
      <c r="C44" s="69">
        <f>'C2 lossyG,lossyA,interRA'!BB36</f>
        <v>1.0163025876303493</v>
      </c>
      <c r="D44" s="69"/>
      <c r="E44" s="69"/>
      <c r="F44" s="69"/>
      <c r="G44" s="69"/>
      <c r="H44" s="69"/>
      <c r="I44" s="69"/>
      <c r="J44" s="69"/>
      <c r="K44" s="69"/>
      <c r="L44" s="69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85546875"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zoomScale="85" zoomScaleNormal="85" workbookViewId="0">
      <pane xSplit="2" topLeftCell="BH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259</v>
      </c>
      <c r="B1" s="74"/>
      <c r="C1" s="74"/>
      <c r="D1" s="74"/>
      <c r="E1" s="74"/>
      <c r="F1" s="74"/>
      <c r="G1" s="74"/>
      <c r="I1" s="62" t="s">
        <v>547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1" t="s">
        <v>22</v>
      </c>
      <c r="BV2" s="72" t="s">
        <v>24</v>
      </c>
      <c r="BW2" s="71" t="s">
        <v>20</v>
      </c>
      <c r="BX2" s="70" t="s">
        <v>140</v>
      </c>
      <c r="BY2" s="70"/>
      <c r="BZ2" s="70"/>
      <c r="CA2" s="70"/>
      <c r="CB2" s="73" t="s">
        <v>151</v>
      </c>
      <c r="CC2" s="73"/>
      <c r="CD2" s="70" t="s">
        <v>158</v>
      </c>
      <c r="CE2" s="70"/>
      <c r="CF2" s="70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1"/>
      <c r="BV3" s="72"/>
      <c r="BW3" s="71"/>
      <c r="BX3" s="60" t="s">
        <v>116</v>
      </c>
      <c r="BY3" s="60" t="s">
        <v>122</v>
      </c>
      <c r="BZ3" s="60" t="s">
        <v>145</v>
      </c>
      <c r="CA3" s="60" t="s">
        <v>148</v>
      </c>
      <c r="CB3" s="59" t="s">
        <v>152</v>
      </c>
      <c r="CC3" s="59" t="s">
        <v>155</v>
      </c>
      <c r="CD3" s="60" t="s">
        <v>159</v>
      </c>
      <c r="CE3" s="60" t="s">
        <v>162</v>
      </c>
      <c r="CF3" s="60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2.2602150000000001</v>
      </c>
      <c r="J5" s="18">
        <f t="shared" ref="J5:J29" si="1">IF(ISBLANK(S5),"·",S5/D5)</f>
        <v>9.6573588703983818E-2</v>
      </c>
      <c r="K5" s="18">
        <f t="shared" ref="K5:K29" si="2">IF(N5="","·",N5/D5)</f>
        <v>6.1326193228974077E-2</v>
      </c>
      <c r="L5" s="18">
        <f t="shared" ref="L5:L29" si="3">IF(T5="","·",T5/D5)</f>
        <v>3.3651198723811698E-2</v>
      </c>
      <c r="M5" s="18">
        <f t="shared" ref="M5:M29" si="4">IF(ISBLANK(V5),"·",V5/D5)</f>
        <v>3.522752713560514E-2</v>
      </c>
      <c r="N5" s="15">
        <f t="shared" ref="N5:N29" si="5">IF(OR(ISBLANK(T5),ISBLANK(U5)),"",T5+U5)</f>
        <v>1530968</v>
      </c>
      <c r="O5" s="18">
        <f t="shared" ref="O5:O29" si="6">IF(ISBLANK(S5),"·",S5/P5)</f>
        <v>0.1118295642067616</v>
      </c>
      <c r="P5" s="19">
        <v>21558664</v>
      </c>
      <c r="Q5" s="19">
        <v>673708.25</v>
      </c>
      <c r="R5" s="19">
        <v>13654.3125</v>
      </c>
      <c r="S5" s="20">
        <v>2410896</v>
      </c>
      <c r="T5" s="20">
        <v>840080</v>
      </c>
      <c r="U5" s="20">
        <v>690888</v>
      </c>
      <c r="V5" s="20">
        <v>879432</v>
      </c>
      <c r="W5" s="21">
        <v>66.315199999999905</v>
      </c>
      <c r="X5" s="21">
        <v>68.412687500000004</v>
      </c>
      <c r="Y5" s="21">
        <v>32.179003125000001</v>
      </c>
      <c r="Z5" s="21">
        <v>44.135365624999999</v>
      </c>
      <c r="AA5" s="21">
        <v>43.688628125000001</v>
      </c>
      <c r="AB5" s="22">
        <v>8448.7000000000007</v>
      </c>
      <c r="AC5" s="22">
        <v>1143.9000000000001</v>
      </c>
      <c r="AD5" s="22">
        <v>10.78</v>
      </c>
      <c r="AE5" s="22">
        <v>30.956</v>
      </c>
      <c r="AG5" s="17">
        <f t="shared" ref="AG5:AG29" si="7">IF(OR(ISBLANK(AQ5),ISBLANK(G5)),"·",AQ5*G5/F5/1000000)</f>
        <v>2.2602150000000001</v>
      </c>
      <c r="AH5" s="18">
        <f t="shared" ref="AH5:AH29" si="8">IF(ISBLANK(AQ5),"·",AQ5/D5)</f>
        <v>9.6573588703983818E-2</v>
      </c>
      <c r="AI5" s="18">
        <f t="shared" ref="AI5:AI29" si="9">IF(AL5="","·",AL5/D5)</f>
        <v>6.1326193228974077E-2</v>
      </c>
      <c r="AJ5" s="18">
        <f t="shared" ref="AJ5:AJ29" si="10">IF(AR5="","·",AR5/D5)</f>
        <v>3.3651198723811698E-2</v>
      </c>
      <c r="AK5" s="18">
        <f t="shared" ref="AK5:AK29" si="11">IF(ISBLANK(AT5),"·",AT5/D5)</f>
        <v>3.522752713560514E-2</v>
      </c>
      <c r="AL5" s="15">
        <f t="shared" ref="AL5:AL29" si="12">IF(OR(ISBLANK(AR5),ISBLANK(AS5)),"",AR5+AS5)</f>
        <v>1530968</v>
      </c>
      <c r="AM5" s="18">
        <f t="shared" ref="AM5:AM29" si="13">IF(ISBLANK(AQ5),"·",AQ5/AN5)</f>
        <v>0.1118295642067616</v>
      </c>
      <c r="AN5" s="19">
        <v>21558664</v>
      </c>
      <c r="AO5" s="19">
        <v>673708.25</v>
      </c>
      <c r="AP5" s="19">
        <v>13654.3125</v>
      </c>
      <c r="AQ5" s="20">
        <v>2410896</v>
      </c>
      <c r="AR5" s="20">
        <v>840080</v>
      </c>
      <c r="AS5" s="20">
        <v>690888</v>
      </c>
      <c r="AT5" s="20">
        <v>879432</v>
      </c>
      <c r="AU5" s="21">
        <v>66.315199999999905</v>
      </c>
      <c r="AV5" s="21">
        <v>68.412687500000004</v>
      </c>
      <c r="AW5" s="21">
        <v>32.179003125000001</v>
      </c>
      <c r="AX5" s="21">
        <v>44.135365624999999</v>
      </c>
      <c r="AY5" s="21">
        <v>43.688628125000001</v>
      </c>
      <c r="AZ5" s="22">
        <v>6319.46</v>
      </c>
      <c r="BA5" s="22">
        <v>1248.74</v>
      </c>
      <c r="BB5" s="22">
        <v>7.1319999999999997</v>
      </c>
      <c r="BC5" s="22">
        <v>21.984000000000002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0</v>
      </c>
      <c r="BP5" s="24">
        <f>IF( OR(ISBLANK(S5:S9),ISBLANK(AQ5:AQ9), ISBLANK(X5:X9),ISBLANK(AV5:AV9)), "·", bdRateExtend( S5:S9,X5:X9, AQ5:AQ9,AV5:AV9))</f>
        <v>0</v>
      </c>
      <c r="BQ5" s="24">
        <f>IF( OR(ISBLANK(S5:S9),ISBLANK(AQ5:AQ9), ISBLANK(Y5:Y9),ISBLANK(AW5:AW9)), "·", bdRateExtend( S5:S9,Y5:Y9, AQ5:AQ9,AW5:AW9))</f>
        <v>0</v>
      </c>
      <c r="BR5" s="24">
        <f>IF( OR(ISBLANK(S5:S9),ISBLANK(AQ5:AQ9), ISBLANK(Z5:Z9),ISBLANK(AX5:AX9)), "·", bdRateExtend( S5:S9,Z5:Z9, AQ5:AQ9,AX5:AX9))</f>
        <v>0</v>
      </c>
      <c r="BS5" s="24">
        <f>IF( OR(ISBLANK(S5:S9),ISBLANK(AQ5:AQ9), ISBLANK(AA5:AA9),ISBLANK(AY5:AY9)), "·", bdRateExtend( S5:S9,AA5:AA9, AQ5:AQ9,AY5:AY9))</f>
        <v>0</v>
      </c>
      <c r="BU5">
        <f>AN5-P5</f>
        <v>0</v>
      </c>
      <c r="BV5" s="4">
        <f t="shared" ref="BV5:CF20" si="16">AO5-Q5</f>
        <v>0</v>
      </c>
      <c r="BW5" s="4">
        <f t="shared" si="16"/>
        <v>0</v>
      </c>
      <c r="BX5" s="4">
        <f t="shared" si="16"/>
        <v>0</v>
      </c>
      <c r="BY5" s="4">
        <f t="shared" si="16"/>
        <v>0</v>
      </c>
      <c r="BZ5" s="4">
        <f t="shared" si="16"/>
        <v>0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3.5025824999999999</v>
      </c>
      <c r="J6" s="28">
        <f t="shared" si="1"/>
        <v>0.1496569847367491</v>
      </c>
      <c r="K6" s="28">
        <f t="shared" si="2"/>
        <v>7.417267693947939E-2</v>
      </c>
      <c r="L6" s="28">
        <f t="shared" si="3"/>
        <v>4.6497682434317011E-2</v>
      </c>
      <c r="M6" s="28">
        <f t="shared" si="4"/>
        <v>7.5464439457865115E-2</v>
      </c>
      <c r="N6" s="25">
        <f t="shared" si="5"/>
        <v>1851672</v>
      </c>
      <c r="O6" s="28">
        <f t="shared" si="6"/>
        <v>0.15473447344883587</v>
      </c>
      <c r="P6" s="29">
        <v>24145156</v>
      </c>
      <c r="Q6" s="29">
        <v>754536.125</v>
      </c>
      <c r="R6" s="29">
        <v>19085.875</v>
      </c>
      <c r="S6" s="30">
        <v>3736088</v>
      </c>
      <c r="T6" s="30">
        <v>1160784</v>
      </c>
      <c r="U6" s="30">
        <v>690888</v>
      </c>
      <c r="V6" s="30">
        <v>1883920</v>
      </c>
      <c r="W6" s="31">
        <v>68.236996875000003</v>
      </c>
      <c r="X6" s="31">
        <v>70.346675000000005</v>
      </c>
      <c r="Y6" s="31">
        <v>34.471631249999902</v>
      </c>
      <c r="Z6" s="31">
        <v>45.462893749999999</v>
      </c>
      <c r="AA6" s="31">
        <v>45.183921875000003</v>
      </c>
      <c r="AB6" s="32">
        <v>11407.6</v>
      </c>
      <c r="AC6" s="32">
        <v>1198.76</v>
      </c>
      <c r="AD6" s="32">
        <v>6.72</v>
      </c>
      <c r="AE6" s="32">
        <v>20.224</v>
      </c>
      <c r="AG6" s="27">
        <f t="shared" si="7"/>
        <v>3.5025824999999999</v>
      </c>
      <c r="AH6" s="28">
        <f t="shared" si="8"/>
        <v>0.1496569847367491</v>
      </c>
      <c r="AI6" s="28">
        <f t="shared" si="9"/>
        <v>7.417267693947939E-2</v>
      </c>
      <c r="AJ6" s="28">
        <f t="shared" si="10"/>
        <v>4.6497682434317011E-2</v>
      </c>
      <c r="AK6" s="28">
        <f t="shared" si="11"/>
        <v>7.5464439457865115E-2</v>
      </c>
      <c r="AL6" s="25">
        <f t="shared" si="12"/>
        <v>1851672</v>
      </c>
      <c r="AM6" s="28">
        <f t="shared" si="13"/>
        <v>0.15473447344883587</v>
      </c>
      <c r="AN6" s="29">
        <v>24145156</v>
      </c>
      <c r="AO6" s="29">
        <v>754536.125</v>
      </c>
      <c r="AP6" s="29">
        <v>19085.875</v>
      </c>
      <c r="AQ6" s="30">
        <v>3736088</v>
      </c>
      <c r="AR6" s="30">
        <v>1160784</v>
      </c>
      <c r="AS6" s="30">
        <v>690888</v>
      </c>
      <c r="AT6" s="30">
        <v>1883920</v>
      </c>
      <c r="AU6" s="31">
        <v>68.236996875000003</v>
      </c>
      <c r="AV6" s="31">
        <v>70.346675000000005</v>
      </c>
      <c r="AW6" s="31">
        <v>34.471631249999902</v>
      </c>
      <c r="AX6" s="31">
        <v>45.462893749999999</v>
      </c>
      <c r="AY6" s="31">
        <v>45.183921875000003</v>
      </c>
      <c r="AZ6" s="32">
        <v>6418.23</v>
      </c>
      <c r="BA6" s="32">
        <v>1331.21</v>
      </c>
      <c r="BB6" s="32">
        <v>6.6040000000000001</v>
      </c>
      <c r="BC6" s="32">
        <v>19.952000000000002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0</v>
      </c>
      <c r="BV6" s="4">
        <f t="shared" si="16"/>
        <v>0</v>
      </c>
      <c r="BW6" s="4">
        <f t="shared" si="16"/>
        <v>0</v>
      </c>
      <c r="BX6" s="4">
        <f t="shared" si="16"/>
        <v>0</v>
      </c>
      <c r="BY6" s="4">
        <f t="shared" si="16"/>
        <v>0</v>
      </c>
      <c r="BZ6" s="4">
        <f t="shared" si="16"/>
        <v>0</v>
      </c>
      <c r="CA6" s="4">
        <f t="shared" si="16"/>
        <v>0</v>
      </c>
      <c r="CB6" s="4">
        <f t="shared" si="16"/>
        <v>0</v>
      </c>
      <c r="CC6" s="4">
        <f t="shared" si="16"/>
        <v>0</v>
      </c>
      <c r="CD6" s="4">
        <f t="shared" si="16"/>
        <v>0</v>
      </c>
      <c r="CE6" s="4">
        <f t="shared" si="16"/>
        <v>0</v>
      </c>
      <c r="CF6" s="4">
        <f t="shared" si="16"/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5.7207074999999996</v>
      </c>
      <c r="J7" s="18">
        <f t="shared" si="1"/>
        <v>0.24443216826753009</v>
      </c>
      <c r="K7" s="18">
        <f t="shared" si="2"/>
        <v>9.1931126882139613E-2</v>
      </c>
      <c r="L7" s="18">
        <f t="shared" si="3"/>
        <v>6.4256132376977221E-2</v>
      </c>
      <c r="M7" s="18">
        <f t="shared" si="4"/>
        <v>0.15248117304598588</v>
      </c>
      <c r="N7" s="15">
        <f t="shared" si="5"/>
        <v>2295000</v>
      </c>
      <c r="O7" s="18">
        <f t="shared" si="6"/>
        <v>0.24609445623971724</v>
      </c>
      <c r="P7" s="19">
        <v>24795715</v>
      </c>
      <c r="Q7" s="19">
        <v>774866.09375</v>
      </c>
      <c r="R7" s="19">
        <v>21114.21875</v>
      </c>
      <c r="S7" s="20">
        <v>6102088</v>
      </c>
      <c r="T7" s="20">
        <v>1604112</v>
      </c>
      <c r="U7" s="20">
        <v>690888</v>
      </c>
      <c r="V7" s="20">
        <v>3806592</v>
      </c>
      <c r="W7" s="21">
        <v>69.661175</v>
      </c>
      <c r="X7" s="21">
        <v>72.030415624999904</v>
      </c>
      <c r="Y7" s="21">
        <v>37.006359374999903</v>
      </c>
      <c r="Z7" s="21">
        <v>46.569612499999899</v>
      </c>
      <c r="AA7" s="21">
        <v>46.45190625</v>
      </c>
      <c r="AB7" s="22">
        <v>10293.4</v>
      </c>
      <c r="AC7" s="22">
        <v>1287.33</v>
      </c>
      <c r="AD7" s="22">
        <v>6.7960000000000003</v>
      </c>
      <c r="AE7" s="22">
        <v>21.335999999999999</v>
      </c>
      <c r="AG7" s="17">
        <f t="shared" si="7"/>
        <v>5.7207074999999996</v>
      </c>
      <c r="AH7" s="18">
        <f t="shared" si="8"/>
        <v>0.24443216826753009</v>
      </c>
      <c r="AI7" s="18">
        <f t="shared" si="9"/>
        <v>9.1931126882139613E-2</v>
      </c>
      <c r="AJ7" s="18">
        <f t="shared" si="10"/>
        <v>6.4256132376977221E-2</v>
      </c>
      <c r="AK7" s="18">
        <f t="shared" si="11"/>
        <v>0.15248117304598588</v>
      </c>
      <c r="AL7" s="15">
        <f t="shared" si="12"/>
        <v>2295000</v>
      </c>
      <c r="AM7" s="18">
        <f t="shared" si="13"/>
        <v>0.24609445623971724</v>
      </c>
      <c r="AN7" s="19">
        <v>24795715</v>
      </c>
      <c r="AO7" s="19">
        <v>774866.09375</v>
      </c>
      <c r="AP7" s="19">
        <v>21114.21875</v>
      </c>
      <c r="AQ7" s="20">
        <v>6102088</v>
      </c>
      <c r="AR7" s="20">
        <v>1604112</v>
      </c>
      <c r="AS7" s="20">
        <v>690888</v>
      </c>
      <c r="AT7" s="20">
        <v>3806592</v>
      </c>
      <c r="AU7" s="21">
        <v>69.661175</v>
      </c>
      <c r="AV7" s="21">
        <v>72.030415624999904</v>
      </c>
      <c r="AW7" s="21">
        <v>37.006359374999903</v>
      </c>
      <c r="AX7" s="21">
        <v>46.569612499999899</v>
      </c>
      <c r="AY7" s="21">
        <v>46.45190625</v>
      </c>
      <c r="AZ7" s="22">
        <v>7154.42</v>
      </c>
      <c r="BA7" s="22">
        <v>1414.92</v>
      </c>
      <c r="BB7" s="22">
        <v>6.6639999999999997</v>
      </c>
      <c r="BC7" s="22">
        <v>20.724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0</v>
      </c>
      <c r="BV7" s="4">
        <f t="shared" si="16"/>
        <v>0</v>
      </c>
      <c r="BW7" s="4">
        <f t="shared" si="16"/>
        <v>0</v>
      </c>
      <c r="BX7" s="4">
        <f t="shared" si="16"/>
        <v>0</v>
      </c>
      <c r="BY7" s="4">
        <f t="shared" si="16"/>
        <v>0</v>
      </c>
      <c r="BZ7" s="4">
        <f t="shared" si="16"/>
        <v>0</v>
      </c>
      <c r="CA7" s="4">
        <f t="shared" si="16"/>
        <v>0</v>
      </c>
      <c r="CB7" s="4">
        <f t="shared" si="16"/>
        <v>0</v>
      </c>
      <c r="CC7" s="4">
        <f t="shared" si="16"/>
        <v>0</v>
      </c>
      <c r="CD7" s="4">
        <f t="shared" si="16"/>
        <v>0</v>
      </c>
      <c r="CE7" s="4">
        <f t="shared" si="16"/>
        <v>0</v>
      </c>
      <c r="CF7" s="4">
        <f t="shared" si="16"/>
        <v>0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9.9448050000000006</v>
      </c>
      <c r="J8" s="28">
        <f t="shared" si="1"/>
        <v>0.42491776570428996</v>
      </c>
      <c r="K8" s="28">
        <f t="shared" si="2"/>
        <v>0.12183233677187794</v>
      </c>
      <c r="L8" s="28">
        <f t="shared" si="3"/>
        <v>9.4157342266715557E-2</v>
      </c>
      <c r="M8" s="28">
        <f t="shared" si="4"/>
        <v>0.30306556059300743</v>
      </c>
      <c r="N8" s="25">
        <f t="shared" si="5"/>
        <v>3041464</v>
      </c>
      <c r="O8" s="28">
        <f t="shared" si="6"/>
        <v>0.40859148227978953</v>
      </c>
      <c r="P8" s="29">
        <v>25961853</v>
      </c>
      <c r="Q8" s="29">
        <v>811307.90625</v>
      </c>
      <c r="R8" s="29">
        <v>24718.375</v>
      </c>
      <c r="S8" s="30">
        <v>10607792</v>
      </c>
      <c r="T8" s="30">
        <v>2350576</v>
      </c>
      <c r="U8" s="30">
        <v>690888</v>
      </c>
      <c r="V8" s="30">
        <v>7565832</v>
      </c>
      <c r="W8" s="31">
        <v>70.739718749999994</v>
      </c>
      <c r="X8" s="31">
        <v>73.278437499999995</v>
      </c>
      <c r="Y8" s="31">
        <v>39.627543749999901</v>
      </c>
      <c r="Z8" s="31">
        <v>47.914721874999998</v>
      </c>
      <c r="AA8" s="31">
        <v>47.9543156249999</v>
      </c>
      <c r="AB8" s="32">
        <v>11319.9</v>
      </c>
      <c r="AC8" s="32">
        <v>1383.56</v>
      </c>
      <c r="AD8" s="32">
        <v>6.9560000000000004</v>
      </c>
      <c r="AE8" s="32">
        <v>22</v>
      </c>
      <c r="AG8" s="27">
        <f t="shared" si="7"/>
        <v>9.9448050000000006</v>
      </c>
      <c r="AH8" s="28">
        <f t="shared" si="8"/>
        <v>0.42491776570428996</v>
      </c>
      <c r="AI8" s="28">
        <f t="shared" si="9"/>
        <v>0.12183233677187794</v>
      </c>
      <c r="AJ8" s="28">
        <f t="shared" si="10"/>
        <v>9.4157342266715557E-2</v>
      </c>
      <c r="AK8" s="28">
        <f t="shared" si="11"/>
        <v>0.30306556059300743</v>
      </c>
      <c r="AL8" s="25">
        <f t="shared" si="12"/>
        <v>3041464</v>
      </c>
      <c r="AM8" s="28">
        <f t="shared" si="13"/>
        <v>0.40859148227978953</v>
      </c>
      <c r="AN8" s="29">
        <v>25961853</v>
      </c>
      <c r="AO8" s="29">
        <v>811307.90625</v>
      </c>
      <c r="AP8" s="29">
        <v>24718.375</v>
      </c>
      <c r="AQ8" s="30">
        <v>10607792</v>
      </c>
      <c r="AR8" s="30">
        <v>2350576</v>
      </c>
      <c r="AS8" s="30">
        <v>690888</v>
      </c>
      <c r="AT8" s="30">
        <v>7565832</v>
      </c>
      <c r="AU8" s="31">
        <v>70.739718749999994</v>
      </c>
      <c r="AV8" s="31">
        <v>73.278437499999995</v>
      </c>
      <c r="AW8" s="31">
        <v>39.627543749999901</v>
      </c>
      <c r="AX8" s="31">
        <v>47.914721874999998</v>
      </c>
      <c r="AY8" s="31">
        <v>47.9543156249999</v>
      </c>
      <c r="AZ8" s="32">
        <v>7208.38</v>
      </c>
      <c r="BA8" s="32">
        <v>1544.1</v>
      </c>
      <c r="BB8" s="32">
        <v>7.8440000000000003</v>
      </c>
      <c r="BC8" s="32">
        <v>23.911999999999999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0</v>
      </c>
      <c r="BV8" s="4">
        <f t="shared" si="16"/>
        <v>0</v>
      </c>
      <c r="BW8" s="4">
        <f t="shared" si="16"/>
        <v>0</v>
      </c>
      <c r="BX8" s="4">
        <f t="shared" si="16"/>
        <v>0</v>
      </c>
      <c r="BY8" s="4">
        <f t="shared" si="16"/>
        <v>0</v>
      </c>
      <c r="BZ8" s="4">
        <f t="shared" si="16"/>
        <v>0</v>
      </c>
      <c r="CA8" s="4">
        <f t="shared" si="16"/>
        <v>0</v>
      </c>
      <c r="CB8" s="4">
        <f t="shared" si="16"/>
        <v>0</v>
      </c>
      <c r="CC8" s="4">
        <f t="shared" si="16"/>
        <v>0</v>
      </c>
      <c r="CD8" s="4">
        <f t="shared" si="16"/>
        <v>0</v>
      </c>
      <c r="CE8" s="4">
        <f t="shared" si="16"/>
        <v>0</v>
      </c>
      <c r="CF8" s="4">
        <f t="shared" si="16"/>
        <v>0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18.0068175</v>
      </c>
      <c r="J9" s="38">
        <f t="shared" si="1"/>
        <v>0.76938830470229513</v>
      </c>
      <c r="K9" s="38">
        <f t="shared" si="2"/>
        <v>0.19596752023215835</v>
      </c>
      <c r="L9" s="38">
        <f t="shared" si="3"/>
        <v>0.14397528058120981</v>
      </c>
      <c r="M9" s="38">
        <f t="shared" si="4"/>
        <v>0.57340091613073219</v>
      </c>
      <c r="N9" s="35">
        <f t="shared" si="5"/>
        <v>4892200</v>
      </c>
      <c r="O9" s="38">
        <f t="shared" si="6"/>
        <v>0.76770601085269197</v>
      </c>
      <c r="P9" s="39">
        <v>25019046</v>
      </c>
      <c r="Q9" s="39">
        <v>781845.1875</v>
      </c>
      <c r="R9" s="39">
        <v>7631.8125</v>
      </c>
      <c r="S9" s="40">
        <v>19207272</v>
      </c>
      <c r="T9" s="40">
        <v>3594248</v>
      </c>
      <c r="U9" s="40">
        <v>1297952</v>
      </c>
      <c r="V9" s="40">
        <v>14314576</v>
      </c>
      <c r="W9" s="41">
        <v>72.1473625</v>
      </c>
      <c r="X9" s="41">
        <v>75.316325000000006</v>
      </c>
      <c r="Y9" s="41">
        <v>42.067243750000003</v>
      </c>
      <c r="Z9" s="41">
        <v>49.445281250000001</v>
      </c>
      <c r="AA9" s="41">
        <v>49.630746875</v>
      </c>
      <c r="AB9" s="42">
        <v>11293.1</v>
      </c>
      <c r="AC9" s="42">
        <v>1579.5</v>
      </c>
      <c r="AD9" s="42">
        <v>6.5839999999999996</v>
      </c>
      <c r="AE9" s="42">
        <v>19.867999999999999</v>
      </c>
      <c r="AG9" s="37">
        <f t="shared" si="7"/>
        <v>18.0068175</v>
      </c>
      <c r="AH9" s="38">
        <f t="shared" si="8"/>
        <v>0.76938830470229513</v>
      </c>
      <c r="AI9" s="38">
        <f t="shared" si="9"/>
        <v>0.19596752023215835</v>
      </c>
      <c r="AJ9" s="38">
        <f t="shared" si="10"/>
        <v>0.14397528058120981</v>
      </c>
      <c r="AK9" s="38">
        <f t="shared" si="11"/>
        <v>0.57340091613073219</v>
      </c>
      <c r="AL9" s="35">
        <f t="shared" si="12"/>
        <v>4892200</v>
      </c>
      <c r="AM9" s="38">
        <f t="shared" si="13"/>
        <v>0.76770601085269197</v>
      </c>
      <c r="AN9" s="39">
        <v>25019046</v>
      </c>
      <c r="AO9" s="39">
        <v>781845.1875</v>
      </c>
      <c r="AP9" s="39">
        <v>7631.8125</v>
      </c>
      <c r="AQ9" s="40">
        <v>19207272</v>
      </c>
      <c r="AR9" s="40">
        <v>3594248</v>
      </c>
      <c r="AS9" s="40">
        <v>1297952</v>
      </c>
      <c r="AT9" s="40">
        <v>14314576</v>
      </c>
      <c r="AU9" s="41">
        <v>72.1473625</v>
      </c>
      <c r="AV9" s="41">
        <v>75.316325000000006</v>
      </c>
      <c r="AW9" s="41">
        <v>42.067243750000003</v>
      </c>
      <c r="AX9" s="41">
        <v>49.445281250000001</v>
      </c>
      <c r="AY9" s="41">
        <v>49.630746875</v>
      </c>
      <c r="AZ9" s="42">
        <v>7216.07</v>
      </c>
      <c r="BA9" s="42">
        <v>1774.36</v>
      </c>
      <c r="BB9" s="42">
        <v>8.7840000000000007</v>
      </c>
      <c r="BC9" s="42">
        <v>25.696000000000002</v>
      </c>
      <c r="BE9" s="43">
        <f t="shared" si="14"/>
        <v>0</v>
      </c>
      <c r="BF9" s="43">
        <f t="shared" si="15"/>
        <v>0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0</v>
      </c>
      <c r="BV9" s="4">
        <f t="shared" si="16"/>
        <v>0</v>
      </c>
      <c r="BW9" s="4">
        <f t="shared" si="16"/>
        <v>0</v>
      </c>
      <c r="BX9" s="4">
        <f t="shared" si="16"/>
        <v>0</v>
      </c>
      <c r="BY9" s="4">
        <f t="shared" si="16"/>
        <v>0</v>
      </c>
      <c r="BZ9" s="4">
        <f t="shared" si="16"/>
        <v>0</v>
      </c>
      <c r="CA9" s="4">
        <f t="shared" si="16"/>
        <v>0</v>
      </c>
      <c r="CB9" s="4">
        <f t="shared" si="16"/>
        <v>0</v>
      </c>
      <c r="CC9" s="4">
        <f t="shared" si="16"/>
        <v>0</v>
      </c>
      <c r="CD9" s="4">
        <f t="shared" si="16"/>
        <v>0</v>
      </c>
      <c r="CE9" s="4">
        <f t="shared" si="16"/>
        <v>0</v>
      </c>
      <c r="CF9" s="4">
        <f t="shared" si="16"/>
        <v>0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3.28416</v>
      </c>
      <c r="J10" s="28">
        <f t="shared" si="1"/>
        <v>0.15462973413700742</v>
      </c>
      <c r="K10" s="28">
        <f t="shared" si="2"/>
        <v>7.9413143066571934E-2</v>
      </c>
      <c r="L10" s="28">
        <f t="shared" si="3"/>
        <v>4.0193885716613822E-2</v>
      </c>
      <c r="M10" s="28">
        <f t="shared" si="4"/>
        <v>7.5194697244807707E-2</v>
      </c>
      <c r="N10" s="25">
        <f t="shared" si="5"/>
        <v>1799088</v>
      </c>
      <c r="O10" s="28">
        <f t="shared" si="6"/>
        <v>0.16991675975109172</v>
      </c>
      <c r="P10" s="29">
        <v>20616589</v>
      </c>
      <c r="Q10" s="29">
        <v>644268.40625</v>
      </c>
      <c r="R10" s="29">
        <v>18739.96875</v>
      </c>
      <c r="S10" s="30">
        <v>3503104</v>
      </c>
      <c r="T10" s="30">
        <v>910584</v>
      </c>
      <c r="U10" s="30">
        <v>888504</v>
      </c>
      <c r="V10" s="30">
        <v>1703520</v>
      </c>
      <c r="W10" s="31">
        <v>65.911412499999997</v>
      </c>
      <c r="X10" s="31">
        <v>67.863568749999999</v>
      </c>
      <c r="Y10" s="31">
        <v>32.553737499999997</v>
      </c>
      <c r="Z10" s="31">
        <v>39.252949999999998</v>
      </c>
      <c r="AA10" s="31">
        <v>32.229006249999998</v>
      </c>
      <c r="AB10" s="32">
        <v>10982.2</v>
      </c>
      <c r="AC10" s="32">
        <v>1146.1400000000001</v>
      </c>
      <c r="AD10" s="32">
        <v>5.8440000000000003</v>
      </c>
      <c r="AE10" s="32">
        <v>18.239999999999998</v>
      </c>
      <c r="AG10" s="27">
        <f t="shared" si="7"/>
        <v>3.28416</v>
      </c>
      <c r="AH10" s="28">
        <f t="shared" si="8"/>
        <v>0.15462973413700742</v>
      </c>
      <c r="AI10" s="28">
        <f t="shared" si="9"/>
        <v>7.9413143066571934E-2</v>
      </c>
      <c r="AJ10" s="28">
        <f t="shared" si="10"/>
        <v>4.0193885716613822E-2</v>
      </c>
      <c r="AK10" s="28">
        <f t="shared" si="11"/>
        <v>7.5194697244807707E-2</v>
      </c>
      <c r="AL10" s="25">
        <f t="shared" si="12"/>
        <v>1799088</v>
      </c>
      <c r="AM10" s="28">
        <f t="shared" si="13"/>
        <v>0.16991675975109172</v>
      </c>
      <c r="AN10" s="29">
        <v>20616589</v>
      </c>
      <c r="AO10" s="29">
        <v>644268.40625</v>
      </c>
      <c r="AP10" s="29">
        <v>18739.96875</v>
      </c>
      <c r="AQ10" s="30">
        <v>3503104</v>
      </c>
      <c r="AR10" s="30">
        <v>910584</v>
      </c>
      <c r="AS10" s="30">
        <v>888504</v>
      </c>
      <c r="AT10" s="30">
        <v>1703520</v>
      </c>
      <c r="AU10" s="31">
        <v>65.911412499999997</v>
      </c>
      <c r="AV10" s="31">
        <v>67.863568749999999</v>
      </c>
      <c r="AW10" s="31">
        <v>32.553737499999997</v>
      </c>
      <c r="AX10" s="31">
        <v>39.252949999999998</v>
      </c>
      <c r="AY10" s="31">
        <v>32.229006249999998</v>
      </c>
      <c r="AZ10" s="32">
        <v>6941.18</v>
      </c>
      <c r="BA10" s="32">
        <v>1241.8800000000001</v>
      </c>
      <c r="BB10" s="32">
        <v>5.9160000000000004</v>
      </c>
      <c r="BC10" s="32">
        <v>19.027999999999999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0</v>
      </c>
      <c r="BQ10" s="34">
        <f>IF( OR(ISBLANK(S10:S14),ISBLANK(AQ10:AQ14), ISBLANK(Y10:Y14),ISBLANK(AW10:AW14)), "·", bdRateExtend( S10:S14,Y10:Y14, AQ10:AQ14,AW10:AW14))</f>
        <v>0</v>
      </c>
      <c r="BR10" s="34">
        <f>IF( OR(ISBLANK(S10:S14),ISBLANK(AQ10:AQ14), ISBLANK(Z10:Z14),ISBLANK(AX10:AX14)), "·", bdRateExtend( S10:S14,Z10:Z14, AQ10:AQ14,AX10:AX14))</f>
        <v>0</v>
      </c>
      <c r="BS10" s="34">
        <f>IF( OR(ISBLANK(S10:S14),ISBLANK(AQ10:AQ14), ISBLANK(AA10:AA14),ISBLANK(AY10:AY14)), "·", bdRateExtend( S10:S14,AA10:AA14, AQ10:AQ14,AY10:AY14))</f>
        <v>0</v>
      </c>
      <c r="BU10" s="4">
        <f t="shared" si="17"/>
        <v>0</v>
      </c>
      <c r="BV10" s="4">
        <f t="shared" si="16"/>
        <v>0</v>
      </c>
      <c r="BW10" s="4">
        <f t="shared" si="16"/>
        <v>0</v>
      </c>
      <c r="BX10" s="4">
        <f t="shared" si="16"/>
        <v>0</v>
      </c>
      <c r="BY10" s="4">
        <f t="shared" si="16"/>
        <v>0</v>
      </c>
      <c r="BZ10" s="4">
        <f t="shared" si="16"/>
        <v>0</v>
      </c>
      <c r="CA10" s="4">
        <f t="shared" si="16"/>
        <v>0</v>
      </c>
      <c r="CB10" s="4">
        <f t="shared" si="16"/>
        <v>0</v>
      </c>
      <c r="CC10" s="4">
        <f t="shared" si="16"/>
        <v>0</v>
      </c>
      <c r="CD10" s="4">
        <f t="shared" si="16"/>
        <v>0</v>
      </c>
      <c r="CE10" s="4">
        <f t="shared" si="16"/>
        <v>0</v>
      </c>
      <c r="CF10" s="4">
        <f t="shared" si="16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4.7411775</v>
      </c>
      <c r="J11" s="18">
        <f t="shared" si="1"/>
        <v>0.2232312117318771</v>
      </c>
      <c r="K11" s="18">
        <f t="shared" si="2"/>
        <v>9.547614855296159E-2</v>
      </c>
      <c r="L11" s="18">
        <f t="shared" si="3"/>
        <v>5.6256891203003478E-2</v>
      </c>
      <c r="M11" s="18">
        <f t="shared" si="4"/>
        <v>0.12773316935328774</v>
      </c>
      <c r="N11" s="15">
        <f t="shared" si="5"/>
        <v>2162992</v>
      </c>
      <c r="O11" s="18">
        <f t="shared" si="6"/>
        <v>0.22622560587661161</v>
      </c>
      <c r="P11" s="19">
        <v>22354923</v>
      </c>
      <c r="Q11" s="19">
        <v>698591.34375</v>
      </c>
      <c r="R11" s="19">
        <v>24804.25</v>
      </c>
      <c r="S11" s="20">
        <v>5057256</v>
      </c>
      <c r="T11" s="20">
        <v>1274488</v>
      </c>
      <c r="U11" s="20">
        <v>888504</v>
      </c>
      <c r="V11" s="20">
        <v>2893768</v>
      </c>
      <c r="W11" s="21">
        <v>67.647353124999995</v>
      </c>
      <c r="X11" s="21">
        <v>69.711856249999997</v>
      </c>
      <c r="Y11" s="21">
        <v>34.420765625000001</v>
      </c>
      <c r="Z11" s="21">
        <v>40.133781249999899</v>
      </c>
      <c r="AA11" s="21">
        <v>34.021765625</v>
      </c>
      <c r="AB11" s="22">
        <v>12179.5</v>
      </c>
      <c r="AC11" s="22">
        <v>1195.1400000000001</v>
      </c>
      <c r="AD11" s="22">
        <v>6.68</v>
      </c>
      <c r="AE11" s="22">
        <v>22.596</v>
      </c>
      <c r="AG11" s="17">
        <f t="shared" si="7"/>
        <v>4.7411775</v>
      </c>
      <c r="AH11" s="18">
        <f t="shared" si="8"/>
        <v>0.2232312117318771</v>
      </c>
      <c r="AI11" s="18">
        <f t="shared" si="9"/>
        <v>9.547614855296159E-2</v>
      </c>
      <c r="AJ11" s="18">
        <f t="shared" si="10"/>
        <v>5.6256891203003478E-2</v>
      </c>
      <c r="AK11" s="18">
        <f t="shared" si="11"/>
        <v>0.12773316935328774</v>
      </c>
      <c r="AL11" s="15">
        <f t="shared" si="12"/>
        <v>2162992</v>
      </c>
      <c r="AM11" s="18">
        <f t="shared" si="13"/>
        <v>0.22622560587661161</v>
      </c>
      <c r="AN11" s="19">
        <v>22354923</v>
      </c>
      <c r="AO11" s="19">
        <v>698591.34375</v>
      </c>
      <c r="AP11" s="19">
        <v>24804.25</v>
      </c>
      <c r="AQ11" s="20">
        <v>5057256</v>
      </c>
      <c r="AR11" s="20">
        <v>1274488</v>
      </c>
      <c r="AS11" s="20">
        <v>888504</v>
      </c>
      <c r="AT11" s="20">
        <v>2893768</v>
      </c>
      <c r="AU11" s="21">
        <v>67.647353124999995</v>
      </c>
      <c r="AV11" s="21">
        <v>69.711856249999997</v>
      </c>
      <c r="AW11" s="21">
        <v>34.420765625000001</v>
      </c>
      <c r="AX11" s="21">
        <v>40.133781249999899</v>
      </c>
      <c r="AY11" s="21">
        <v>34.021765625</v>
      </c>
      <c r="AZ11" s="22">
        <v>7464.85</v>
      </c>
      <c r="BA11" s="22">
        <v>1441.54</v>
      </c>
      <c r="BB11" s="22">
        <v>6.1479999999999997</v>
      </c>
      <c r="BC11" s="22">
        <v>19.628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0</v>
      </c>
      <c r="BV11" s="4">
        <f t="shared" si="16"/>
        <v>0</v>
      </c>
      <c r="BW11" s="4">
        <f t="shared" si="16"/>
        <v>0</v>
      </c>
      <c r="BX11" s="4">
        <f t="shared" si="16"/>
        <v>0</v>
      </c>
      <c r="BY11" s="4">
        <f t="shared" si="16"/>
        <v>0</v>
      </c>
      <c r="BZ11" s="4">
        <f t="shared" si="16"/>
        <v>0</v>
      </c>
      <c r="CA11" s="4">
        <f t="shared" si="16"/>
        <v>0</v>
      </c>
      <c r="CB11" s="4">
        <f t="shared" si="16"/>
        <v>0</v>
      </c>
      <c r="CC11" s="4">
        <f t="shared" si="16"/>
        <v>0</v>
      </c>
      <c r="CD11" s="4">
        <f t="shared" si="16"/>
        <v>0</v>
      </c>
      <c r="CE11" s="4">
        <f t="shared" si="16"/>
        <v>0</v>
      </c>
      <c r="CF11" s="4">
        <f t="shared" si="16"/>
        <v>0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7.3449299999999997</v>
      </c>
      <c r="J12" s="28">
        <f t="shared" si="1"/>
        <v>0.3458249820821549</v>
      </c>
      <c r="K12" s="28">
        <f t="shared" si="2"/>
        <v>0.11914054904682626</v>
      </c>
      <c r="L12" s="28">
        <f t="shared" si="3"/>
        <v>7.9921291696868152E-2</v>
      </c>
      <c r="M12" s="28">
        <f t="shared" si="4"/>
        <v>0.22666253920970086</v>
      </c>
      <c r="N12" s="25">
        <f t="shared" si="5"/>
        <v>2699104</v>
      </c>
      <c r="O12" s="28">
        <f t="shared" si="6"/>
        <v>0.34446573242636447</v>
      </c>
      <c r="P12" s="29">
        <v>22744184</v>
      </c>
      <c r="Q12" s="29">
        <v>710755.75</v>
      </c>
      <c r="R12" s="29">
        <v>26442.53125</v>
      </c>
      <c r="S12" s="30">
        <v>7834592</v>
      </c>
      <c r="T12" s="30">
        <v>1810600</v>
      </c>
      <c r="U12" s="30">
        <v>888504</v>
      </c>
      <c r="V12" s="30">
        <v>5134992</v>
      </c>
      <c r="W12" s="31">
        <v>69.019006249999904</v>
      </c>
      <c r="X12" s="31">
        <v>71.354128125000003</v>
      </c>
      <c r="Y12" s="31">
        <v>36.533206249999999</v>
      </c>
      <c r="Z12" s="31">
        <v>41.055356249999903</v>
      </c>
      <c r="AA12" s="31">
        <v>35.828487500000001</v>
      </c>
      <c r="AB12" s="32">
        <v>12192</v>
      </c>
      <c r="AC12" s="32">
        <v>1270.79</v>
      </c>
      <c r="AD12" s="32">
        <v>6.7119999999999997</v>
      </c>
      <c r="AE12" s="32">
        <v>20.46</v>
      </c>
      <c r="AG12" s="27">
        <f t="shared" si="7"/>
        <v>7.3449299999999997</v>
      </c>
      <c r="AH12" s="28">
        <f t="shared" si="8"/>
        <v>0.3458249820821549</v>
      </c>
      <c r="AI12" s="28">
        <f t="shared" si="9"/>
        <v>0.11914054904682626</v>
      </c>
      <c r="AJ12" s="28">
        <f t="shared" si="10"/>
        <v>7.9921291696868152E-2</v>
      </c>
      <c r="AK12" s="28">
        <f t="shared" si="11"/>
        <v>0.22666253920970086</v>
      </c>
      <c r="AL12" s="25">
        <f t="shared" si="12"/>
        <v>2699104</v>
      </c>
      <c r="AM12" s="28">
        <f t="shared" si="13"/>
        <v>0.34446573242636447</v>
      </c>
      <c r="AN12" s="29">
        <v>22744184</v>
      </c>
      <c r="AO12" s="29">
        <v>710755.75</v>
      </c>
      <c r="AP12" s="29">
        <v>26442.53125</v>
      </c>
      <c r="AQ12" s="30">
        <v>7834592</v>
      </c>
      <c r="AR12" s="30">
        <v>1810600</v>
      </c>
      <c r="AS12" s="30">
        <v>888504</v>
      </c>
      <c r="AT12" s="30">
        <v>5134992</v>
      </c>
      <c r="AU12" s="31">
        <v>69.019006249999904</v>
      </c>
      <c r="AV12" s="31">
        <v>71.354128125000003</v>
      </c>
      <c r="AW12" s="31">
        <v>36.533206249999999</v>
      </c>
      <c r="AX12" s="31">
        <v>41.055356249999903</v>
      </c>
      <c r="AY12" s="31">
        <v>35.828487500000001</v>
      </c>
      <c r="AZ12" s="32">
        <v>7411.73</v>
      </c>
      <c r="BA12" s="32">
        <v>1479.54</v>
      </c>
      <c r="BB12" s="32">
        <v>7.5960000000000001</v>
      </c>
      <c r="BC12" s="32">
        <v>20.436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0</v>
      </c>
      <c r="BV12" s="4">
        <f t="shared" si="16"/>
        <v>0</v>
      </c>
      <c r="BW12" s="4">
        <f t="shared" si="16"/>
        <v>0</v>
      </c>
      <c r="BX12" s="4">
        <f t="shared" si="16"/>
        <v>0</v>
      </c>
      <c r="BY12" s="4">
        <f t="shared" si="16"/>
        <v>0</v>
      </c>
      <c r="BZ12" s="4">
        <f t="shared" si="16"/>
        <v>0</v>
      </c>
      <c r="CA12" s="4">
        <f t="shared" si="16"/>
        <v>0</v>
      </c>
      <c r="CB12" s="4">
        <f t="shared" si="16"/>
        <v>0</v>
      </c>
      <c r="CC12" s="4">
        <f t="shared" si="16"/>
        <v>0</v>
      </c>
      <c r="CD12" s="4">
        <f t="shared" si="16"/>
        <v>0</v>
      </c>
      <c r="CE12" s="4">
        <f t="shared" si="16"/>
        <v>0</v>
      </c>
      <c r="CF12" s="4">
        <f t="shared" si="16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12.714952500000001</v>
      </c>
      <c r="J13" s="18">
        <f t="shared" si="1"/>
        <v>0.59866441483961741</v>
      </c>
      <c r="K13" s="18">
        <f t="shared" si="2"/>
        <v>0.16078613665304939</v>
      </c>
      <c r="L13" s="18">
        <f t="shared" si="3"/>
        <v>0.12156687930309128</v>
      </c>
      <c r="M13" s="18">
        <f t="shared" si="4"/>
        <v>0.43785638436094021</v>
      </c>
      <c r="N13" s="15">
        <f t="shared" si="5"/>
        <v>3642576</v>
      </c>
      <c r="O13" s="18">
        <f t="shared" si="6"/>
        <v>0.57167731027630753</v>
      </c>
      <c r="P13" s="19">
        <v>23724251</v>
      </c>
      <c r="Q13" s="19">
        <v>741382.84375</v>
      </c>
      <c r="R13" s="19">
        <v>30299.78125</v>
      </c>
      <c r="S13" s="20">
        <v>13562616</v>
      </c>
      <c r="T13" s="20">
        <v>2754072</v>
      </c>
      <c r="U13" s="20">
        <v>888504</v>
      </c>
      <c r="V13" s="20">
        <v>9919544</v>
      </c>
      <c r="W13" s="21">
        <v>70.047775000000001</v>
      </c>
      <c r="X13" s="21">
        <v>72.594934374999994</v>
      </c>
      <c r="Y13" s="21">
        <v>38.872250000000001</v>
      </c>
      <c r="Z13" s="21">
        <v>42.220149999999997</v>
      </c>
      <c r="AA13" s="21">
        <v>37.913215624999999</v>
      </c>
      <c r="AB13" s="22">
        <v>12134.2</v>
      </c>
      <c r="AC13" s="22">
        <v>1442.16</v>
      </c>
      <c r="AD13" s="22">
        <v>8.1359999999999992</v>
      </c>
      <c r="AE13" s="22">
        <v>25.48</v>
      </c>
      <c r="AG13" s="17">
        <f t="shared" si="7"/>
        <v>12.714952500000001</v>
      </c>
      <c r="AH13" s="18">
        <f t="shared" si="8"/>
        <v>0.59866441483961741</v>
      </c>
      <c r="AI13" s="18">
        <f t="shared" si="9"/>
        <v>0.16078613665304939</v>
      </c>
      <c r="AJ13" s="18">
        <f t="shared" si="10"/>
        <v>0.12156687930309128</v>
      </c>
      <c r="AK13" s="18">
        <f t="shared" si="11"/>
        <v>0.43785638436094021</v>
      </c>
      <c r="AL13" s="15">
        <f t="shared" si="12"/>
        <v>3642576</v>
      </c>
      <c r="AM13" s="18">
        <f t="shared" si="13"/>
        <v>0.57167731027630753</v>
      </c>
      <c r="AN13" s="19">
        <v>23724251</v>
      </c>
      <c r="AO13" s="19">
        <v>741382.84375</v>
      </c>
      <c r="AP13" s="19">
        <v>30299.78125</v>
      </c>
      <c r="AQ13" s="20">
        <v>13562616</v>
      </c>
      <c r="AR13" s="20">
        <v>2754072</v>
      </c>
      <c r="AS13" s="20">
        <v>888504</v>
      </c>
      <c r="AT13" s="20">
        <v>9919544</v>
      </c>
      <c r="AU13" s="21">
        <v>70.047775000000001</v>
      </c>
      <c r="AV13" s="21">
        <v>72.594934374999994</v>
      </c>
      <c r="AW13" s="21">
        <v>38.872250000000001</v>
      </c>
      <c r="AX13" s="21">
        <v>42.220149999999997</v>
      </c>
      <c r="AY13" s="21">
        <v>37.913215624999999</v>
      </c>
      <c r="AZ13" s="22">
        <v>6229.13</v>
      </c>
      <c r="BA13" s="22">
        <v>1413.18</v>
      </c>
      <c r="BB13" s="22">
        <v>6.7240000000000002</v>
      </c>
      <c r="BC13" s="22">
        <v>22.452000000000002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0</v>
      </c>
      <c r="BV13" s="4">
        <f t="shared" si="16"/>
        <v>0</v>
      </c>
      <c r="BW13" s="4">
        <f t="shared" si="16"/>
        <v>0</v>
      </c>
      <c r="BX13" s="4">
        <f t="shared" si="16"/>
        <v>0</v>
      </c>
      <c r="BY13" s="4">
        <f t="shared" si="16"/>
        <v>0</v>
      </c>
      <c r="BZ13" s="4">
        <f t="shared" si="16"/>
        <v>0</v>
      </c>
      <c r="CA13" s="4">
        <f t="shared" si="16"/>
        <v>0</v>
      </c>
      <c r="CB13" s="4">
        <f t="shared" si="16"/>
        <v>0</v>
      </c>
      <c r="CC13" s="4">
        <f t="shared" si="16"/>
        <v>0</v>
      </c>
      <c r="CD13" s="4">
        <f t="shared" si="16"/>
        <v>0</v>
      </c>
      <c r="CE13" s="4">
        <f t="shared" si="16"/>
        <v>0</v>
      </c>
      <c r="CF13" s="4">
        <f t="shared" si="16"/>
        <v>0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22.8675225</v>
      </c>
      <c r="J14" s="48">
        <f t="shared" si="1"/>
        <v>1.076682903557389</v>
      </c>
      <c r="K14" s="48">
        <f t="shared" si="2"/>
        <v>0.26419738449119962</v>
      </c>
      <c r="L14" s="48">
        <f t="shared" si="3"/>
        <v>0.19096183151385784</v>
      </c>
      <c r="M14" s="48">
        <f t="shared" si="4"/>
        <v>0.8124636252405617</v>
      </c>
      <c r="N14" s="45">
        <f t="shared" si="5"/>
        <v>5985336</v>
      </c>
      <c r="O14" s="48">
        <f t="shared" si="6"/>
        <v>1.0848596272991367</v>
      </c>
      <c r="P14" s="49">
        <v>22484037</v>
      </c>
      <c r="Q14" s="49">
        <v>702626.15625</v>
      </c>
      <c r="R14" s="49">
        <v>8241</v>
      </c>
      <c r="S14" s="50">
        <v>24392024</v>
      </c>
      <c r="T14" s="50">
        <v>4326200</v>
      </c>
      <c r="U14" s="50">
        <v>1659136</v>
      </c>
      <c r="V14" s="50">
        <v>18406192</v>
      </c>
      <c r="W14" s="51">
        <v>71.405093749999907</v>
      </c>
      <c r="X14" s="51">
        <v>74.817315624999907</v>
      </c>
      <c r="Y14" s="51">
        <v>41.202268749999902</v>
      </c>
      <c r="Z14" s="51">
        <v>43.569840624999998</v>
      </c>
      <c r="AA14" s="51">
        <v>39.829659374999999</v>
      </c>
      <c r="AB14" s="52">
        <v>7874.47</v>
      </c>
      <c r="AC14" s="52">
        <v>2004.69</v>
      </c>
      <c r="AD14" s="52">
        <v>7</v>
      </c>
      <c r="AE14" s="52">
        <v>22.931999999999999</v>
      </c>
      <c r="AG14" s="47">
        <f t="shared" si="7"/>
        <v>22.8675225</v>
      </c>
      <c r="AH14" s="48">
        <f t="shared" si="8"/>
        <v>1.076682903557389</v>
      </c>
      <c r="AI14" s="48">
        <f t="shared" si="9"/>
        <v>0.26419738449119962</v>
      </c>
      <c r="AJ14" s="48">
        <f t="shared" si="10"/>
        <v>0.19096183151385784</v>
      </c>
      <c r="AK14" s="48">
        <f t="shared" si="11"/>
        <v>0.8124636252405617</v>
      </c>
      <c r="AL14" s="45">
        <f t="shared" si="12"/>
        <v>5985336</v>
      </c>
      <c r="AM14" s="48">
        <f t="shared" si="13"/>
        <v>1.0848596272991367</v>
      </c>
      <c r="AN14" s="49">
        <v>22484037</v>
      </c>
      <c r="AO14" s="49">
        <v>702626.15625</v>
      </c>
      <c r="AP14" s="49">
        <v>8241</v>
      </c>
      <c r="AQ14" s="50">
        <v>24392024</v>
      </c>
      <c r="AR14" s="50">
        <v>4326200</v>
      </c>
      <c r="AS14" s="50">
        <v>1659136</v>
      </c>
      <c r="AT14" s="50">
        <v>18406192</v>
      </c>
      <c r="AU14" s="51">
        <v>71.405093749999907</v>
      </c>
      <c r="AV14" s="51">
        <v>74.817315624999907</v>
      </c>
      <c r="AW14" s="51">
        <v>41.202268749999902</v>
      </c>
      <c r="AX14" s="51">
        <v>43.569840624999998</v>
      </c>
      <c r="AY14" s="51">
        <v>39.829659374999999</v>
      </c>
      <c r="AZ14" s="52">
        <v>7557.14</v>
      </c>
      <c r="BA14" s="52">
        <v>1801.52</v>
      </c>
      <c r="BB14" s="52">
        <v>7.4039999999999999</v>
      </c>
      <c r="BC14" s="52">
        <v>23.972000000000001</v>
      </c>
      <c r="BE14" s="53">
        <f t="shared" si="14"/>
        <v>0</v>
      </c>
      <c r="BF14" s="53">
        <f t="shared" si="15"/>
        <v>0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0</v>
      </c>
      <c r="BV14" s="4">
        <f t="shared" si="16"/>
        <v>0</v>
      </c>
      <c r="BW14" s="4">
        <f t="shared" si="16"/>
        <v>0</v>
      </c>
      <c r="BX14" s="4">
        <f t="shared" si="16"/>
        <v>0</v>
      </c>
      <c r="BY14" s="4">
        <f t="shared" si="16"/>
        <v>0</v>
      </c>
      <c r="BZ14" s="4">
        <f t="shared" si="16"/>
        <v>0</v>
      </c>
      <c r="CA14" s="4">
        <f t="shared" si="16"/>
        <v>0</v>
      </c>
      <c r="CB14" s="4">
        <f t="shared" si="16"/>
        <v>0</v>
      </c>
      <c r="CC14" s="4">
        <f t="shared" si="16"/>
        <v>0</v>
      </c>
      <c r="CD14" s="4">
        <f t="shared" si="16"/>
        <v>0</v>
      </c>
      <c r="CE14" s="4">
        <f t="shared" si="16"/>
        <v>0</v>
      </c>
      <c r="CF14" s="4">
        <f t="shared" si="16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4.5230100000000002</v>
      </c>
      <c r="J15" s="18">
        <f t="shared" si="1"/>
        <v>0.14211688691416607</v>
      </c>
      <c r="K15" s="18">
        <f t="shared" si="2"/>
        <v>7.8552555432444673E-2</v>
      </c>
      <c r="L15" s="18">
        <f t="shared" si="3"/>
        <v>4.1034864258033488E-2</v>
      </c>
      <c r="M15" s="18">
        <f t="shared" si="4"/>
        <v>6.3549720779464469E-2</v>
      </c>
      <c r="N15" s="15">
        <f t="shared" si="5"/>
        <v>2666680</v>
      </c>
      <c r="O15" s="18">
        <f t="shared" si="6"/>
        <v>0.15553484785400457</v>
      </c>
      <c r="P15" s="19">
        <v>31019055</v>
      </c>
      <c r="Q15" s="19">
        <v>969345.46875</v>
      </c>
      <c r="R15" s="19">
        <v>30632.5625</v>
      </c>
      <c r="S15" s="20">
        <v>4824544</v>
      </c>
      <c r="T15" s="20">
        <v>1393040</v>
      </c>
      <c r="U15" s="20">
        <v>1273640</v>
      </c>
      <c r="V15" s="20">
        <v>2157368</v>
      </c>
      <c r="W15" s="21">
        <v>65.993662499999999</v>
      </c>
      <c r="X15" s="21">
        <v>67.834546875000001</v>
      </c>
      <c r="Y15" s="21">
        <v>29.619846875</v>
      </c>
      <c r="Z15" s="21">
        <v>43.190931249999998</v>
      </c>
      <c r="AA15" s="21">
        <v>43.488174999999998</v>
      </c>
      <c r="AB15" s="22">
        <v>13158.2</v>
      </c>
      <c r="AC15" s="22">
        <v>1414.6</v>
      </c>
      <c r="AD15" s="22">
        <v>6.4720000000000004</v>
      </c>
      <c r="AE15" s="22">
        <v>17.768000000000001</v>
      </c>
      <c r="AG15" s="17">
        <f t="shared" si="7"/>
        <v>4.5230100000000002</v>
      </c>
      <c r="AH15" s="18">
        <f t="shared" si="8"/>
        <v>0.14211688691416607</v>
      </c>
      <c r="AI15" s="18">
        <f t="shared" si="9"/>
        <v>7.8552555432444673E-2</v>
      </c>
      <c r="AJ15" s="18">
        <f t="shared" si="10"/>
        <v>4.1034864258033488E-2</v>
      </c>
      <c r="AK15" s="18">
        <f t="shared" si="11"/>
        <v>6.3549720779464469E-2</v>
      </c>
      <c r="AL15" s="15">
        <f t="shared" si="12"/>
        <v>2666680</v>
      </c>
      <c r="AM15" s="18">
        <f t="shared" si="13"/>
        <v>0.15553484785400457</v>
      </c>
      <c r="AN15" s="19">
        <v>31019055</v>
      </c>
      <c r="AO15" s="19">
        <v>969345.46875</v>
      </c>
      <c r="AP15" s="19">
        <v>30632.5625</v>
      </c>
      <c r="AQ15" s="20">
        <v>4824544</v>
      </c>
      <c r="AR15" s="20">
        <v>1393040</v>
      </c>
      <c r="AS15" s="20">
        <v>1273640</v>
      </c>
      <c r="AT15" s="20">
        <v>2157368</v>
      </c>
      <c r="AU15" s="21">
        <v>65.993662499999999</v>
      </c>
      <c r="AV15" s="21">
        <v>67.834546875000001</v>
      </c>
      <c r="AW15" s="21">
        <v>29.619846875</v>
      </c>
      <c r="AX15" s="21">
        <v>43.190931249999998</v>
      </c>
      <c r="AY15" s="21">
        <v>43.488174999999998</v>
      </c>
      <c r="AZ15" s="22">
        <v>9999.18</v>
      </c>
      <c r="BA15" s="22">
        <v>1397.78</v>
      </c>
      <c r="BB15" s="22">
        <v>9.1359999999999992</v>
      </c>
      <c r="BC15" s="22">
        <v>25.148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0</v>
      </c>
      <c r="BP15" s="24">
        <f>IF( OR(ISBLANK(S15:S19),ISBLANK(AQ15:AQ19), ISBLANK(X15:X19),ISBLANK(AV15:AV19)), "·", bdRateExtend( S15:S19,X15:X19, AQ15:AQ19,AV15:AV19))</f>
        <v>0</v>
      </c>
      <c r="BQ15" s="24">
        <f>IF( OR(ISBLANK(S15:S19),ISBLANK(AQ15:AQ19), ISBLANK(Y15:Y19),ISBLANK(AW15:AW19)), "·", bdRateExtend( S15:S19,Y15:Y19, AQ15:AQ19,AW15:AW19))</f>
        <v>0</v>
      </c>
      <c r="BR15" s="24">
        <f>IF( OR(ISBLANK(S15:S19),ISBLANK(AQ15:AQ19), ISBLANK(Z15:Z19),ISBLANK(AX15:AX19)), "·", bdRateExtend( S15:S19,Z15:Z19, AQ15:AQ19,AX15:AX19))</f>
        <v>0</v>
      </c>
      <c r="BS15" s="24">
        <f>IF( OR(ISBLANK(S15:S19),ISBLANK(AQ15:AQ19), ISBLANK(AA15:AA19),ISBLANK(AY15:AY19)), "·", bdRateExtend( S15:S19,AA15:AA19, AQ15:AQ19,AY15:AY19))</f>
        <v>0</v>
      </c>
      <c r="BU15" s="4">
        <f t="shared" si="17"/>
        <v>0</v>
      </c>
      <c r="BV15" s="4">
        <f t="shared" si="16"/>
        <v>0</v>
      </c>
      <c r="BW15" s="4">
        <f t="shared" si="16"/>
        <v>0</v>
      </c>
      <c r="BX15" s="4">
        <f t="shared" si="16"/>
        <v>0</v>
      </c>
      <c r="BY15" s="4">
        <f t="shared" si="16"/>
        <v>0</v>
      </c>
      <c r="BZ15" s="4">
        <f t="shared" si="16"/>
        <v>0</v>
      </c>
      <c r="CA15" s="4">
        <f t="shared" si="16"/>
        <v>0</v>
      </c>
      <c r="CB15" s="4">
        <f t="shared" si="16"/>
        <v>0</v>
      </c>
      <c r="CC15" s="4">
        <f t="shared" si="16"/>
        <v>0</v>
      </c>
      <c r="CD15" s="4">
        <f t="shared" si="16"/>
        <v>0</v>
      </c>
      <c r="CE15" s="4">
        <f t="shared" si="16"/>
        <v>0</v>
      </c>
      <c r="CF15" s="4">
        <f t="shared" si="16"/>
        <v>0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7.223535</v>
      </c>
      <c r="J16" s="28">
        <f t="shared" si="1"/>
        <v>0.22696971855368894</v>
      </c>
      <c r="K16" s="28">
        <f t="shared" si="2"/>
        <v>9.4459839686426045E-2</v>
      </c>
      <c r="L16" s="28">
        <f t="shared" si="3"/>
        <v>5.6942148512014859E-2</v>
      </c>
      <c r="M16" s="28">
        <f t="shared" si="4"/>
        <v>0.13249526816500595</v>
      </c>
      <c r="N16" s="25">
        <f t="shared" si="5"/>
        <v>3206696</v>
      </c>
      <c r="O16" s="28">
        <f t="shared" si="6"/>
        <v>0.22978563124064225</v>
      </c>
      <c r="P16" s="29">
        <v>33531705</v>
      </c>
      <c r="Q16" s="29">
        <v>1047865.78125</v>
      </c>
      <c r="R16" s="29">
        <v>38886.46875</v>
      </c>
      <c r="S16" s="30">
        <v>7705104</v>
      </c>
      <c r="T16" s="30">
        <v>1933056</v>
      </c>
      <c r="U16" s="30">
        <v>1273640</v>
      </c>
      <c r="V16" s="30">
        <v>4497912</v>
      </c>
      <c r="W16" s="31">
        <v>67.824271874999994</v>
      </c>
      <c r="X16" s="31">
        <v>69.877096874999907</v>
      </c>
      <c r="Y16" s="31">
        <v>32.069268749999999</v>
      </c>
      <c r="Z16" s="31">
        <v>44.0404499999999</v>
      </c>
      <c r="AA16" s="31">
        <v>44.459962500000003</v>
      </c>
      <c r="AB16" s="32">
        <v>13340.7</v>
      </c>
      <c r="AC16" s="32">
        <v>1477.68</v>
      </c>
      <c r="AD16" s="32">
        <v>6.8239999999999998</v>
      </c>
      <c r="AE16" s="32">
        <v>18.059999999999999</v>
      </c>
      <c r="AG16" s="27">
        <f t="shared" si="7"/>
        <v>7.223535</v>
      </c>
      <c r="AH16" s="28">
        <f t="shared" si="8"/>
        <v>0.22696971855368894</v>
      </c>
      <c r="AI16" s="28">
        <f t="shared" si="9"/>
        <v>9.4459839686426045E-2</v>
      </c>
      <c r="AJ16" s="28">
        <f t="shared" si="10"/>
        <v>5.6942148512014859E-2</v>
      </c>
      <c r="AK16" s="28">
        <f t="shared" si="11"/>
        <v>0.13249526816500595</v>
      </c>
      <c r="AL16" s="25">
        <f t="shared" si="12"/>
        <v>3206696</v>
      </c>
      <c r="AM16" s="28">
        <f t="shared" si="13"/>
        <v>0.22978563124064225</v>
      </c>
      <c r="AN16" s="29">
        <v>33531705</v>
      </c>
      <c r="AO16" s="29">
        <v>1047865.78125</v>
      </c>
      <c r="AP16" s="29">
        <v>38886.46875</v>
      </c>
      <c r="AQ16" s="30">
        <v>7705104</v>
      </c>
      <c r="AR16" s="30">
        <v>1933056</v>
      </c>
      <c r="AS16" s="30">
        <v>1273640</v>
      </c>
      <c r="AT16" s="30">
        <v>4497912</v>
      </c>
      <c r="AU16" s="31">
        <v>67.824271874999994</v>
      </c>
      <c r="AV16" s="31">
        <v>69.877096874999907</v>
      </c>
      <c r="AW16" s="31">
        <v>32.069268749999999</v>
      </c>
      <c r="AX16" s="31">
        <v>44.0404499999999</v>
      </c>
      <c r="AY16" s="31">
        <v>44.459962500000003</v>
      </c>
      <c r="AZ16" s="32">
        <v>10073.9</v>
      </c>
      <c r="BA16" s="32">
        <v>1570.39</v>
      </c>
      <c r="BB16" s="32">
        <v>8.0120000000000005</v>
      </c>
      <c r="BC16" s="32">
        <v>21.376000000000001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0</v>
      </c>
      <c r="BV16" s="4">
        <f t="shared" si="16"/>
        <v>0</v>
      </c>
      <c r="BW16" s="4">
        <f t="shared" si="16"/>
        <v>0</v>
      </c>
      <c r="BX16" s="4">
        <f t="shared" si="16"/>
        <v>0</v>
      </c>
      <c r="BY16" s="4">
        <f t="shared" si="16"/>
        <v>0</v>
      </c>
      <c r="BZ16" s="4">
        <f t="shared" si="16"/>
        <v>0</v>
      </c>
      <c r="CA16" s="4">
        <f t="shared" si="16"/>
        <v>0</v>
      </c>
      <c r="CB16" s="4">
        <f t="shared" si="16"/>
        <v>0</v>
      </c>
      <c r="CC16" s="4">
        <f t="shared" si="16"/>
        <v>0</v>
      </c>
      <c r="CD16" s="4">
        <f t="shared" si="16"/>
        <v>0</v>
      </c>
      <c r="CE16" s="4">
        <f t="shared" si="16"/>
        <v>0</v>
      </c>
      <c r="CF16" s="4">
        <f t="shared" si="16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12.1654125</v>
      </c>
      <c r="J17" s="18">
        <f t="shared" si="1"/>
        <v>0.38224778466699882</v>
      </c>
      <c r="K17" s="18">
        <f t="shared" si="2"/>
        <v>0.11806413615194988</v>
      </c>
      <c r="L17" s="18">
        <f t="shared" si="3"/>
        <v>8.0546444977538698E-2</v>
      </c>
      <c r="M17" s="18">
        <f t="shared" si="4"/>
        <v>0.264169037812792</v>
      </c>
      <c r="N17" s="15">
        <f t="shared" si="5"/>
        <v>4008008</v>
      </c>
      <c r="O17" s="18">
        <f t="shared" si="6"/>
        <v>0.3812197024560075</v>
      </c>
      <c r="P17" s="19">
        <v>34039269</v>
      </c>
      <c r="Q17" s="19">
        <v>1063727.15625</v>
      </c>
      <c r="R17" s="19">
        <v>40807.28125</v>
      </c>
      <c r="S17" s="20">
        <v>12976440</v>
      </c>
      <c r="T17" s="20">
        <v>2734368</v>
      </c>
      <c r="U17" s="20">
        <v>1273640</v>
      </c>
      <c r="V17" s="20">
        <v>8967936</v>
      </c>
      <c r="W17" s="21">
        <v>69.261243749999906</v>
      </c>
      <c r="X17" s="21">
        <v>71.672759374999998</v>
      </c>
      <c r="Y17" s="21">
        <v>34.620124999999902</v>
      </c>
      <c r="Z17" s="21">
        <v>44.856715625</v>
      </c>
      <c r="AA17" s="21">
        <v>45.372</v>
      </c>
      <c r="AB17" s="22">
        <v>13360.2</v>
      </c>
      <c r="AC17" s="22">
        <v>1589.31</v>
      </c>
      <c r="AD17" s="22">
        <v>7.1</v>
      </c>
      <c r="AE17" s="22">
        <v>18.623999999999999</v>
      </c>
      <c r="AG17" s="17">
        <f t="shared" si="7"/>
        <v>12.1654125</v>
      </c>
      <c r="AH17" s="18">
        <f t="shared" si="8"/>
        <v>0.38224778466699882</v>
      </c>
      <c r="AI17" s="18">
        <f t="shared" si="9"/>
        <v>0.11806413615194988</v>
      </c>
      <c r="AJ17" s="18">
        <f t="shared" si="10"/>
        <v>8.0546444977538698E-2</v>
      </c>
      <c r="AK17" s="18">
        <f t="shared" si="11"/>
        <v>0.264169037812792</v>
      </c>
      <c r="AL17" s="15">
        <f t="shared" si="12"/>
        <v>4008008</v>
      </c>
      <c r="AM17" s="18">
        <f t="shared" si="13"/>
        <v>0.3812197024560075</v>
      </c>
      <c r="AN17" s="19">
        <v>34039269</v>
      </c>
      <c r="AO17" s="19">
        <v>1063727.15625</v>
      </c>
      <c r="AP17" s="19">
        <v>40807.28125</v>
      </c>
      <c r="AQ17" s="20">
        <v>12976440</v>
      </c>
      <c r="AR17" s="20">
        <v>2734368</v>
      </c>
      <c r="AS17" s="20">
        <v>1273640</v>
      </c>
      <c r="AT17" s="20">
        <v>8967936</v>
      </c>
      <c r="AU17" s="21">
        <v>69.261243749999906</v>
      </c>
      <c r="AV17" s="21">
        <v>71.672759374999998</v>
      </c>
      <c r="AW17" s="21">
        <v>34.620124999999902</v>
      </c>
      <c r="AX17" s="21">
        <v>44.856715625</v>
      </c>
      <c r="AY17" s="21">
        <v>45.372</v>
      </c>
      <c r="AZ17" s="22">
        <v>10078.4</v>
      </c>
      <c r="BA17" s="22">
        <v>1705.26</v>
      </c>
      <c r="BB17" s="22">
        <v>13.488</v>
      </c>
      <c r="BC17" s="22">
        <v>31.352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0</v>
      </c>
      <c r="BV17" s="4">
        <f t="shared" si="16"/>
        <v>0</v>
      </c>
      <c r="BW17" s="4">
        <f t="shared" si="16"/>
        <v>0</v>
      </c>
      <c r="BX17" s="4">
        <f t="shared" si="16"/>
        <v>0</v>
      </c>
      <c r="BY17" s="4">
        <f t="shared" si="16"/>
        <v>0</v>
      </c>
      <c r="BZ17" s="4">
        <f t="shared" si="16"/>
        <v>0</v>
      </c>
      <c r="CA17" s="4">
        <f t="shared" si="16"/>
        <v>0</v>
      </c>
      <c r="CB17" s="4">
        <f t="shared" si="16"/>
        <v>0</v>
      </c>
      <c r="CC17" s="4">
        <f t="shared" si="16"/>
        <v>0</v>
      </c>
      <c r="CD17" s="4">
        <f t="shared" si="16"/>
        <v>0</v>
      </c>
      <c r="CE17" s="4">
        <f t="shared" si="16"/>
        <v>0</v>
      </c>
      <c r="CF17" s="4">
        <f t="shared" si="16"/>
        <v>0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21.973485</v>
      </c>
      <c r="J18" s="28">
        <f t="shared" si="1"/>
        <v>0.6904259072730603</v>
      </c>
      <c r="K18" s="28">
        <f t="shared" si="2"/>
        <v>0.15696772313237667</v>
      </c>
      <c r="L18" s="28">
        <f t="shared" si="3"/>
        <v>0.11945003195796548</v>
      </c>
      <c r="M18" s="28">
        <f t="shared" si="4"/>
        <v>0.53344357343842674</v>
      </c>
      <c r="N18" s="25">
        <f t="shared" si="5"/>
        <v>5328696</v>
      </c>
      <c r="O18" s="28">
        <f t="shared" si="6"/>
        <v>0.65917191275066989</v>
      </c>
      <c r="P18" s="29">
        <v>35557316</v>
      </c>
      <c r="Q18" s="29">
        <v>1111166.125</v>
      </c>
      <c r="R18" s="29">
        <v>46580.46875</v>
      </c>
      <c r="S18" s="30">
        <v>23438384</v>
      </c>
      <c r="T18" s="30">
        <v>4055056</v>
      </c>
      <c r="U18" s="30">
        <v>1273640</v>
      </c>
      <c r="V18" s="30">
        <v>18109192</v>
      </c>
      <c r="W18" s="31">
        <v>70.382015624999994</v>
      </c>
      <c r="X18" s="31">
        <v>73.005503125000004</v>
      </c>
      <c r="Y18" s="31">
        <v>37.274690624999998</v>
      </c>
      <c r="Z18" s="31">
        <v>46.213653125</v>
      </c>
      <c r="AA18" s="31">
        <v>46.780184374999997</v>
      </c>
      <c r="AB18" s="32">
        <v>14172.8</v>
      </c>
      <c r="AC18" s="32">
        <v>1851.86</v>
      </c>
      <c r="AD18" s="32">
        <v>9.1679999999999993</v>
      </c>
      <c r="AE18" s="32">
        <v>24.911999999999999</v>
      </c>
      <c r="AG18" s="27">
        <f t="shared" si="7"/>
        <v>21.973485</v>
      </c>
      <c r="AH18" s="28">
        <f t="shared" si="8"/>
        <v>0.6904259072730603</v>
      </c>
      <c r="AI18" s="28">
        <f t="shared" si="9"/>
        <v>0.15696772313237667</v>
      </c>
      <c r="AJ18" s="28">
        <f t="shared" si="10"/>
        <v>0.11945003195796548</v>
      </c>
      <c r="AK18" s="28">
        <f t="shared" si="11"/>
        <v>0.53344357343842674</v>
      </c>
      <c r="AL18" s="25">
        <f t="shared" si="12"/>
        <v>5328696</v>
      </c>
      <c r="AM18" s="28">
        <f t="shared" si="13"/>
        <v>0.65917191275066989</v>
      </c>
      <c r="AN18" s="29">
        <v>35557316</v>
      </c>
      <c r="AO18" s="29">
        <v>1111166.125</v>
      </c>
      <c r="AP18" s="29">
        <v>46580.46875</v>
      </c>
      <c r="AQ18" s="30">
        <v>23438384</v>
      </c>
      <c r="AR18" s="30">
        <v>4055056</v>
      </c>
      <c r="AS18" s="30">
        <v>1273640</v>
      </c>
      <c r="AT18" s="30">
        <v>18109192</v>
      </c>
      <c r="AU18" s="31">
        <v>70.382015624999994</v>
      </c>
      <c r="AV18" s="31">
        <v>73.005503125000004</v>
      </c>
      <c r="AW18" s="31">
        <v>37.274690624999998</v>
      </c>
      <c r="AX18" s="31">
        <v>46.213653125</v>
      </c>
      <c r="AY18" s="31">
        <v>46.780184374999997</v>
      </c>
      <c r="AZ18" s="32">
        <v>12755.6</v>
      </c>
      <c r="BA18" s="32">
        <v>1988.47</v>
      </c>
      <c r="BB18" s="32">
        <v>13.62</v>
      </c>
      <c r="BC18" s="32">
        <v>33.26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0</v>
      </c>
      <c r="BV18" s="4">
        <f t="shared" si="16"/>
        <v>0</v>
      </c>
      <c r="BW18" s="4">
        <f t="shared" si="16"/>
        <v>0</v>
      </c>
      <c r="BX18" s="4">
        <f t="shared" si="16"/>
        <v>0</v>
      </c>
      <c r="BY18" s="4">
        <f t="shared" si="16"/>
        <v>0</v>
      </c>
      <c r="BZ18" s="4">
        <f t="shared" si="16"/>
        <v>0</v>
      </c>
      <c r="CA18" s="4">
        <f t="shared" si="16"/>
        <v>0</v>
      </c>
      <c r="CB18" s="4">
        <f t="shared" si="16"/>
        <v>0</v>
      </c>
      <c r="CC18" s="4">
        <f t="shared" si="16"/>
        <v>0</v>
      </c>
      <c r="CD18" s="4">
        <f t="shared" si="16"/>
        <v>0</v>
      </c>
      <c r="CE18" s="4">
        <f t="shared" si="16"/>
        <v>0</v>
      </c>
      <c r="CF18" s="4">
        <f t="shared" si="16"/>
        <v>0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39.4071675</v>
      </c>
      <c r="J19" s="38">
        <f t="shared" si="1"/>
        <v>1.2382072927552892</v>
      </c>
      <c r="K19" s="38">
        <f t="shared" si="2"/>
        <v>0.25350840960797422</v>
      </c>
      <c r="L19" s="38">
        <f t="shared" si="3"/>
        <v>0.18329267375203245</v>
      </c>
      <c r="M19" s="38">
        <f t="shared" si="4"/>
        <v>0.98468427244505796</v>
      </c>
      <c r="N19" s="35">
        <f t="shared" si="5"/>
        <v>8606032</v>
      </c>
      <c r="O19" s="38">
        <f t="shared" si="6"/>
        <v>1.245438659949474</v>
      </c>
      <c r="P19" s="39">
        <v>33750608</v>
      </c>
      <c r="Q19" s="39">
        <v>1054706.5</v>
      </c>
      <c r="R19" s="39">
        <v>12599.84375</v>
      </c>
      <c r="S19" s="40">
        <v>42034312</v>
      </c>
      <c r="T19" s="40">
        <v>6222368</v>
      </c>
      <c r="U19" s="40">
        <v>2383664</v>
      </c>
      <c r="V19" s="40">
        <v>33427784</v>
      </c>
      <c r="W19" s="41">
        <v>71.71376875</v>
      </c>
      <c r="X19" s="41">
        <v>75.179740624999994</v>
      </c>
      <c r="Y19" s="41">
        <v>39.388859375000003</v>
      </c>
      <c r="Z19" s="41">
        <v>47.980259375000003</v>
      </c>
      <c r="AA19" s="41">
        <v>48.576546874999899</v>
      </c>
      <c r="AB19" s="42">
        <v>14159.8</v>
      </c>
      <c r="AC19" s="42">
        <v>2351.8200000000002</v>
      </c>
      <c r="AD19" s="42">
        <v>9.58</v>
      </c>
      <c r="AE19" s="42">
        <v>26.74</v>
      </c>
      <c r="AG19" s="37">
        <f t="shared" si="7"/>
        <v>39.4071675</v>
      </c>
      <c r="AH19" s="38">
        <f t="shared" si="8"/>
        <v>1.2382072927552892</v>
      </c>
      <c r="AI19" s="38">
        <f t="shared" si="9"/>
        <v>0.25350840960797422</v>
      </c>
      <c r="AJ19" s="38">
        <f t="shared" si="10"/>
        <v>0.18329267375203245</v>
      </c>
      <c r="AK19" s="38">
        <f t="shared" si="11"/>
        <v>0.98468427244505796</v>
      </c>
      <c r="AL19" s="35">
        <f t="shared" si="12"/>
        <v>8606032</v>
      </c>
      <c r="AM19" s="38">
        <f t="shared" si="13"/>
        <v>1.245438659949474</v>
      </c>
      <c r="AN19" s="39">
        <v>33750608</v>
      </c>
      <c r="AO19" s="39">
        <v>1054706.5</v>
      </c>
      <c r="AP19" s="39">
        <v>12599.84375</v>
      </c>
      <c r="AQ19" s="40">
        <v>42034312</v>
      </c>
      <c r="AR19" s="40">
        <v>6222368</v>
      </c>
      <c r="AS19" s="40">
        <v>2383664</v>
      </c>
      <c r="AT19" s="40">
        <v>33427784</v>
      </c>
      <c r="AU19" s="41">
        <v>71.71376875</v>
      </c>
      <c r="AV19" s="41">
        <v>75.179740624999994</v>
      </c>
      <c r="AW19" s="41">
        <v>39.388859375000003</v>
      </c>
      <c r="AX19" s="41">
        <v>47.980259375000003</v>
      </c>
      <c r="AY19" s="41">
        <v>48.576546874999899</v>
      </c>
      <c r="AZ19" s="42">
        <v>10419.4</v>
      </c>
      <c r="BA19" s="42">
        <v>2328.35</v>
      </c>
      <c r="BB19" s="42">
        <v>10.276</v>
      </c>
      <c r="BC19" s="42">
        <v>29.611999999999998</v>
      </c>
      <c r="BE19" s="43">
        <f t="shared" si="14"/>
        <v>0</v>
      </c>
      <c r="BF19" s="43">
        <f t="shared" si="15"/>
        <v>0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0</v>
      </c>
      <c r="BV19" s="4">
        <f t="shared" si="16"/>
        <v>0</v>
      </c>
      <c r="BW19" s="4">
        <f t="shared" si="16"/>
        <v>0</v>
      </c>
      <c r="BX19" s="4">
        <f t="shared" si="16"/>
        <v>0</v>
      </c>
      <c r="BY19" s="4">
        <f t="shared" si="16"/>
        <v>0</v>
      </c>
      <c r="BZ19" s="4">
        <f t="shared" si="16"/>
        <v>0</v>
      </c>
      <c r="CA19" s="4">
        <f t="shared" si="16"/>
        <v>0</v>
      </c>
      <c r="CB19" s="4">
        <f t="shared" si="16"/>
        <v>0</v>
      </c>
      <c r="CC19" s="4">
        <f t="shared" si="16"/>
        <v>0</v>
      </c>
      <c r="CD19" s="4">
        <f t="shared" si="16"/>
        <v>0</v>
      </c>
      <c r="CE19" s="4">
        <f t="shared" si="16"/>
        <v>0</v>
      </c>
      <c r="CF19" s="4">
        <f t="shared" si="16"/>
        <v>0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5.3381499999999997</v>
      </c>
      <c r="J20" s="28">
        <f t="shared" si="1"/>
        <v>0.10606811134168734</v>
      </c>
      <c r="K20" s="28">
        <f t="shared" si="2"/>
        <v>5.9300750399499925E-2</v>
      </c>
      <c r="L20" s="28">
        <f t="shared" si="3"/>
        <v>2.9250619139119301E-2</v>
      </c>
      <c r="M20" s="28">
        <f t="shared" si="4"/>
        <v>4.6751961827083896E-2</v>
      </c>
      <c r="N20" s="25">
        <f t="shared" si="5"/>
        <v>1910056</v>
      </c>
      <c r="O20" s="28">
        <f t="shared" si="6"/>
        <v>0.11301245453340769</v>
      </c>
      <c r="P20" s="29">
        <v>30230438</v>
      </c>
      <c r="Q20" s="29">
        <v>944701.1875</v>
      </c>
      <c r="R20" s="29">
        <v>27161</v>
      </c>
      <c r="S20" s="30">
        <v>3416416</v>
      </c>
      <c r="T20" s="30">
        <v>942152</v>
      </c>
      <c r="U20" s="30">
        <v>967904</v>
      </c>
      <c r="V20" s="30">
        <v>1505864</v>
      </c>
      <c r="W20" s="31">
        <v>67.065771874999996</v>
      </c>
      <c r="X20" s="31">
        <v>68.733975000000001</v>
      </c>
      <c r="Y20" s="31">
        <v>30.891359375</v>
      </c>
      <c r="Z20" s="31">
        <v>39.5859406249999</v>
      </c>
      <c r="AA20" s="31">
        <v>38.404590624999997</v>
      </c>
      <c r="AB20" s="32">
        <v>13187.7</v>
      </c>
      <c r="AC20" s="32">
        <v>1243.6099999999999</v>
      </c>
      <c r="AD20" s="32">
        <v>6.9039999999999999</v>
      </c>
      <c r="AE20" s="32">
        <v>19.536000000000001</v>
      </c>
      <c r="AG20" s="27">
        <f t="shared" si="7"/>
        <v>5.3381499999999997</v>
      </c>
      <c r="AH20" s="28">
        <f t="shared" si="8"/>
        <v>0.10606811134168734</v>
      </c>
      <c r="AI20" s="28">
        <f t="shared" si="9"/>
        <v>5.9300750399499925E-2</v>
      </c>
      <c r="AJ20" s="28">
        <f t="shared" si="10"/>
        <v>2.9250619139119301E-2</v>
      </c>
      <c r="AK20" s="28">
        <f t="shared" si="11"/>
        <v>4.6751961827083896E-2</v>
      </c>
      <c r="AL20" s="25">
        <f t="shared" si="12"/>
        <v>1910056</v>
      </c>
      <c r="AM20" s="28">
        <f t="shared" si="13"/>
        <v>0.11301245453340769</v>
      </c>
      <c r="AN20" s="29">
        <v>30230438</v>
      </c>
      <c r="AO20" s="29">
        <v>944701.1875</v>
      </c>
      <c r="AP20" s="29">
        <v>27161</v>
      </c>
      <c r="AQ20" s="30">
        <v>3416416</v>
      </c>
      <c r="AR20" s="30">
        <v>942152</v>
      </c>
      <c r="AS20" s="30">
        <v>967904</v>
      </c>
      <c r="AT20" s="30">
        <v>1505864</v>
      </c>
      <c r="AU20" s="31">
        <v>67.065771874999996</v>
      </c>
      <c r="AV20" s="31">
        <v>68.733975000000001</v>
      </c>
      <c r="AW20" s="31">
        <v>30.891359375</v>
      </c>
      <c r="AX20" s="31">
        <v>39.5859406249999</v>
      </c>
      <c r="AY20" s="31">
        <v>38.404590624999997</v>
      </c>
      <c r="AZ20" s="32">
        <v>6388.06</v>
      </c>
      <c r="BA20" s="32">
        <v>1292.67</v>
      </c>
      <c r="BB20" s="32">
        <v>7.58</v>
      </c>
      <c r="BC20" s="32">
        <v>19.495999999999999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7"/>
        <v>0</v>
      </c>
      <c r="BV20" s="4">
        <f t="shared" si="16"/>
        <v>0</v>
      </c>
      <c r="BW20" s="4">
        <f t="shared" si="16"/>
        <v>0</v>
      </c>
      <c r="BX20" s="4">
        <f t="shared" si="16"/>
        <v>0</v>
      </c>
      <c r="BY20" s="4">
        <f t="shared" si="16"/>
        <v>0</v>
      </c>
      <c r="BZ20" s="4">
        <f t="shared" si="16"/>
        <v>0</v>
      </c>
      <c r="CA20" s="4">
        <f t="shared" si="16"/>
        <v>0</v>
      </c>
      <c r="CB20" s="4">
        <f t="shared" si="16"/>
        <v>0</v>
      </c>
      <c r="CC20" s="4">
        <f t="shared" si="16"/>
        <v>0</v>
      </c>
      <c r="CD20" s="4">
        <f t="shared" si="16"/>
        <v>0</v>
      </c>
      <c r="CE20" s="4">
        <f t="shared" si="16"/>
        <v>0</v>
      </c>
      <c r="CF20" s="4">
        <f t="shared" si="16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8.3959875000000004</v>
      </c>
      <c r="J21" s="18">
        <f t="shared" si="1"/>
        <v>0.1668268102195358</v>
      </c>
      <c r="K21" s="18">
        <f t="shared" si="2"/>
        <v>7.0274855266169819E-2</v>
      </c>
      <c r="L21" s="18">
        <f t="shared" si="3"/>
        <v>4.0224724005789199E-2</v>
      </c>
      <c r="M21" s="18">
        <f t="shared" si="4"/>
        <v>9.6536555838262469E-2</v>
      </c>
      <c r="N21" s="15">
        <f t="shared" si="5"/>
        <v>2263528</v>
      </c>
      <c r="O21" s="18">
        <f t="shared" si="6"/>
        <v>0.17013866658864918</v>
      </c>
      <c r="P21" s="19">
        <v>31582662</v>
      </c>
      <c r="Q21" s="19">
        <v>986958.1875</v>
      </c>
      <c r="R21" s="19">
        <v>32537.78125</v>
      </c>
      <c r="S21" s="20">
        <v>5373432</v>
      </c>
      <c r="T21" s="20">
        <v>1295624</v>
      </c>
      <c r="U21" s="20">
        <v>967904</v>
      </c>
      <c r="V21" s="20">
        <v>3109408</v>
      </c>
      <c r="W21" s="21">
        <v>68.659734374999999</v>
      </c>
      <c r="X21" s="21">
        <v>70.740428124999994</v>
      </c>
      <c r="Y21" s="21">
        <v>32.783678124999902</v>
      </c>
      <c r="Z21" s="21">
        <v>40.733424999999997</v>
      </c>
      <c r="AA21" s="21">
        <v>39.702150000000003</v>
      </c>
      <c r="AB21" s="22">
        <v>14248</v>
      </c>
      <c r="AC21" s="22">
        <v>1263.05</v>
      </c>
      <c r="AD21" s="22">
        <v>7.4560000000000004</v>
      </c>
      <c r="AE21" s="22">
        <v>20.263999999999999</v>
      </c>
      <c r="AG21" s="17">
        <f t="shared" si="7"/>
        <v>8.3959875000000004</v>
      </c>
      <c r="AH21" s="18">
        <f t="shared" si="8"/>
        <v>0.1668268102195358</v>
      </c>
      <c r="AI21" s="18">
        <f t="shared" si="9"/>
        <v>7.0274855266169819E-2</v>
      </c>
      <c r="AJ21" s="18">
        <f t="shared" si="10"/>
        <v>4.0224724005789199E-2</v>
      </c>
      <c r="AK21" s="18">
        <f t="shared" si="11"/>
        <v>9.6536555838262469E-2</v>
      </c>
      <c r="AL21" s="15">
        <f t="shared" si="12"/>
        <v>2263528</v>
      </c>
      <c r="AM21" s="18">
        <f t="shared" si="13"/>
        <v>0.17013866658864918</v>
      </c>
      <c r="AN21" s="19">
        <v>31582662</v>
      </c>
      <c r="AO21" s="19">
        <v>986958.1875</v>
      </c>
      <c r="AP21" s="19">
        <v>32537.78125</v>
      </c>
      <c r="AQ21" s="20">
        <v>5373432</v>
      </c>
      <c r="AR21" s="20">
        <v>1295624</v>
      </c>
      <c r="AS21" s="20">
        <v>967904</v>
      </c>
      <c r="AT21" s="20">
        <v>3109408</v>
      </c>
      <c r="AU21" s="21">
        <v>68.659734374999999</v>
      </c>
      <c r="AV21" s="21">
        <v>70.740428124999994</v>
      </c>
      <c r="AW21" s="21">
        <v>32.783678124999902</v>
      </c>
      <c r="AX21" s="21">
        <v>40.733424999999997</v>
      </c>
      <c r="AY21" s="21">
        <v>39.702150000000003</v>
      </c>
      <c r="AZ21" s="22">
        <v>12838.3</v>
      </c>
      <c r="BA21" s="22">
        <v>1385.47</v>
      </c>
      <c r="BB21" s="22">
        <v>7.8159999999999998</v>
      </c>
      <c r="BC21" s="22">
        <v>20.216000000000001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0</v>
      </c>
      <c r="BV21" s="4">
        <f t="shared" ref="BV21:BV29" si="18">AO21-Q21</f>
        <v>0</v>
      </c>
      <c r="BW21" s="4">
        <f t="shared" ref="BW21:BW29" si="19">AP21-R21</f>
        <v>0</v>
      </c>
      <c r="BX21" s="4">
        <f t="shared" ref="BX21:BX29" si="20">AQ21-S21</f>
        <v>0</v>
      </c>
      <c r="BY21" s="4">
        <f t="shared" ref="BY21:BY29" si="21">AR21-T21</f>
        <v>0</v>
      </c>
      <c r="BZ21" s="4">
        <f t="shared" ref="BZ21:BZ29" si="22">AS21-U21</f>
        <v>0</v>
      </c>
      <c r="CA21" s="4">
        <f t="shared" ref="CA21:CA29" si="23">AT21-V21</f>
        <v>0</v>
      </c>
      <c r="CB21" s="4">
        <f t="shared" ref="CB21:CB29" si="24">AU21-W21</f>
        <v>0</v>
      </c>
      <c r="CC21" s="4">
        <f t="shared" ref="CC21:CC29" si="25">AV21-X21</f>
        <v>0</v>
      </c>
      <c r="CD21" s="4">
        <f t="shared" ref="CD21:CD29" si="26">AW21-Y21</f>
        <v>0</v>
      </c>
      <c r="CE21" s="4">
        <f t="shared" ref="CE21:CE29" si="27">AX21-Z21</f>
        <v>0</v>
      </c>
      <c r="CF21" s="4">
        <f t="shared" ref="CF21:CF29" si="28">AY21-AA21</f>
        <v>0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13.905637499999999</v>
      </c>
      <c r="J22" s="28">
        <f t="shared" si="1"/>
        <v>0.27630259670993557</v>
      </c>
      <c r="K22" s="28">
        <f t="shared" si="2"/>
        <v>8.6776497336527453E-2</v>
      </c>
      <c r="L22" s="28">
        <f t="shared" si="3"/>
        <v>5.6726366076146825E-2</v>
      </c>
      <c r="M22" s="28">
        <f t="shared" si="4"/>
        <v>0.18951070025830463</v>
      </c>
      <c r="N22" s="25">
        <f t="shared" si="5"/>
        <v>2795040</v>
      </c>
      <c r="O22" s="28">
        <f t="shared" si="6"/>
        <v>0.27041804673303138</v>
      </c>
      <c r="P22" s="29">
        <v>32910555</v>
      </c>
      <c r="Q22" s="29">
        <v>1028454.84375</v>
      </c>
      <c r="R22" s="29">
        <v>34769.59375</v>
      </c>
      <c r="S22" s="30">
        <v>8899608</v>
      </c>
      <c r="T22" s="30">
        <v>1827136</v>
      </c>
      <c r="U22" s="30">
        <v>967904</v>
      </c>
      <c r="V22" s="30">
        <v>6104072</v>
      </c>
      <c r="W22" s="31">
        <v>69.831643749999998</v>
      </c>
      <c r="X22" s="31">
        <v>72.240359374999898</v>
      </c>
      <c r="Y22" s="31">
        <v>34.627749999999999</v>
      </c>
      <c r="Z22" s="31">
        <v>41.769931249999999</v>
      </c>
      <c r="AA22" s="31">
        <v>40.774081249999902</v>
      </c>
      <c r="AB22" s="32">
        <v>8827.76</v>
      </c>
      <c r="AC22" s="32">
        <v>1509.9</v>
      </c>
      <c r="AD22" s="32">
        <v>6.024</v>
      </c>
      <c r="AE22" s="32">
        <v>15.724</v>
      </c>
      <c r="AG22" s="27">
        <f t="shared" si="7"/>
        <v>13.905637499999999</v>
      </c>
      <c r="AH22" s="28">
        <f t="shared" si="8"/>
        <v>0.27630259670993557</v>
      </c>
      <c r="AI22" s="28">
        <f t="shared" si="9"/>
        <v>8.6776497336527453E-2</v>
      </c>
      <c r="AJ22" s="28">
        <f t="shared" si="10"/>
        <v>5.6726366076146825E-2</v>
      </c>
      <c r="AK22" s="28">
        <f t="shared" si="11"/>
        <v>0.18951070025830463</v>
      </c>
      <c r="AL22" s="25">
        <f t="shared" si="12"/>
        <v>2795040</v>
      </c>
      <c r="AM22" s="28">
        <f t="shared" si="13"/>
        <v>0.27041804673303138</v>
      </c>
      <c r="AN22" s="29">
        <v>32910555</v>
      </c>
      <c r="AO22" s="29">
        <v>1028454.84375</v>
      </c>
      <c r="AP22" s="29">
        <v>34769.59375</v>
      </c>
      <c r="AQ22" s="30">
        <v>8899608</v>
      </c>
      <c r="AR22" s="30">
        <v>1827136</v>
      </c>
      <c r="AS22" s="30">
        <v>967904</v>
      </c>
      <c r="AT22" s="30">
        <v>6104072</v>
      </c>
      <c r="AU22" s="31">
        <v>69.831643749999998</v>
      </c>
      <c r="AV22" s="31">
        <v>72.240359374999898</v>
      </c>
      <c r="AW22" s="31">
        <v>34.627749999999999</v>
      </c>
      <c r="AX22" s="31">
        <v>41.769931249999999</v>
      </c>
      <c r="AY22" s="31">
        <v>40.774081249999902</v>
      </c>
      <c r="AZ22" s="32">
        <v>7161.09</v>
      </c>
      <c r="BA22" s="32">
        <v>1558.11</v>
      </c>
      <c r="BB22" s="32">
        <v>8.0239999999999991</v>
      </c>
      <c r="BC22" s="32">
        <v>21.224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0</v>
      </c>
      <c r="BV22" s="4">
        <f t="shared" si="18"/>
        <v>0</v>
      </c>
      <c r="BW22" s="4">
        <f t="shared" si="19"/>
        <v>0</v>
      </c>
      <c r="BX22" s="4">
        <f t="shared" si="20"/>
        <v>0</v>
      </c>
      <c r="BY22" s="4">
        <f t="shared" si="21"/>
        <v>0</v>
      </c>
      <c r="BZ22" s="4">
        <f t="shared" si="22"/>
        <v>0</v>
      </c>
      <c r="CA22" s="4">
        <f t="shared" si="23"/>
        <v>0</v>
      </c>
      <c r="CB22" s="4">
        <f t="shared" si="24"/>
        <v>0</v>
      </c>
      <c r="CC22" s="4">
        <f t="shared" si="25"/>
        <v>0</v>
      </c>
      <c r="CD22" s="4">
        <f t="shared" si="26"/>
        <v>0</v>
      </c>
      <c r="CE22" s="4">
        <f t="shared" si="27"/>
        <v>0</v>
      </c>
      <c r="CF22" s="4">
        <f t="shared" si="28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24.242312500000001</v>
      </c>
      <c r="J23" s="18">
        <f t="shared" si="1"/>
        <v>0.48169052975843291</v>
      </c>
      <c r="K23" s="18">
        <f t="shared" si="2"/>
        <v>0.11521593083164566</v>
      </c>
      <c r="L23" s="18">
        <f t="shared" si="3"/>
        <v>8.5165799571265036E-2</v>
      </c>
      <c r="M23" s="18">
        <f t="shared" si="4"/>
        <v>0.36645919981168373</v>
      </c>
      <c r="N23" s="15">
        <f t="shared" si="5"/>
        <v>3711064</v>
      </c>
      <c r="O23" s="18">
        <f t="shared" si="6"/>
        <v>0.47079999111508047</v>
      </c>
      <c r="P23" s="19">
        <v>32954716</v>
      </c>
      <c r="Q23" s="19">
        <v>1029834.875</v>
      </c>
      <c r="R23" s="19">
        <v>36665.46875</v>
      </c>
      <c r="S23" s="20">
        <v>15515080</v>
      </c>
      <c r="T23" s="20">
        <v>2743160</v>
      </c>
      <c r="U23" s="20">
        <v>967904</v>
      </c>
      <c r="V23" s="20">
        <v>11803520</v>
      </c>
      <c r="W23" s="21">
        <v>70.837203125000002</v>
      </c>
      <c r="X23" s="21">
        <v>73.567968750000006</v>
      </c>
      <c r="Y23" s="21">
        <v>36.275915624999897</v>
      </c>
      <c r="Z23" s="21">
        <v>42.959853125000002</v>
      </c>
      <c r="AA23" s="21">
        <v>41.852284374999897</v>
      </c>
      <c r="AB23" s="22">
        <v>8718.89</v>
      </c>
      <c r="AC23" s="22">
        <v>1687.38</v>
      </c>
      <c r="AD23" s="22">
        <v>5.9640000000000004</v>
      </c>
      <c r="AE23" s="22">
        <v>16.212</v>
      </c>
      <c r="AG23" s="17">
        <f t="shared" si="7"/>
        <v>24.242312500000001</v>
      </c>
      <c r="AH23" s="18">
        <f t="shared" si="8"/>
        <v>0.48169052975843291</v>
      </c>
      <c r="AI23" s="18">
        <f t="shared" si="9"/>
        <v>0.11521593083164566</v>
      </c>
      <c r="AJ23" s="18">
        <f t="shared" si="10"/>
        <v>8.5165799571265036E-2</v>
      </c>
      <c r="AK23" s="18">
        <f t="shared" si="11"/>
        <v>0.36645919981168373</v>
      </c>
      <c r="AL23" s="15">
        <f t="shared" si="12"/>
        <v>3711064</v>
      </c>
      <c r="AM23" s="18">
        <f t="shared" si="13"/>
        <v>0.47079999111508047</v>
      </c>
      <c r="AN23" s="19">
        <v>32954716</v>
      </c>
      <c r="AO23" s="19">
        <v>1029834.875</v>
      </c>
      <c r="AP23" s="19">
        <v>36665.46875</v>
      </c>
      <c r="AQ23" s="20">
        <v>15515080</v>
      </c>
      <c r="AR23" s="20">
        <v>2743160</v>
      </c>
      <c r="AS23" s="20">
        <v>967904</v>
      </c>
      <c r="AT23" s="20">
        <v>11803520</v>
      </c>
      <c r="AU23" s="21">
        <v>70.837203125000002</v>
      </c>
      <c r="AV23" s="21">
        <v>73.567968750000006</v>
      </c>
      <c r="AW23" s="21">
        <v>36.275915624999897</v>
      </c>
      <c r="AX23" s="21">
        <v>42.959853125000002</v>
      </c>
      <c r="AY23" s="21">
        <v>41.852284374999897</v>
      </c>
      <c r="AZ23" s="22">
        <v>12912.5</v>
      </c>
      <c r="BA23" s="22">
        <v>1653.95</v>
      </c>
      <c r="BB23" s="22">
        <v>8.0280000000000005</v>
      </c>
      <c r="BC23" s="22">
        <v>21.908000000000001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0</v>
      </c>
      <c r="BV23" s="4">
        <f t="shared" si="18"/>
        <v>0</v>
      </c>
      <c r="BW23" s="4">
        <f t="shared" si="19"/>
        <v>0</v>
      </c>
      <c r="BX23" s="4">
        <f t="shared" si="20"/>
        <v>0</v>
      </c>
      <c r="BY23" s="4">
        <f t="shared" si="21"/>
        <v>0</v>
      </c>
      <c r="BZ23" s="4">
        <f t="shared" si="22"/>
        <v>0</v>
      </c>
      <c r="CA23" s="4">
        <f t="shared" si="23"/>
        <v>0</v>
      </c>
      <c r="CB23" s="4">
        <f t="shared" si="24"/>
        <v>0</v>
      </c>
      <c r="CC23" s="4">
        <f t="shared" si="25"/>
        <v>0</v>
      </c>
      <c r="CD23" s="4">
        <f t="shared" si="26"/>
        <v>0</v>
      </c>
      <c r="CE23" s="4">
        <f t="shared" si="27"/>
        <v>0</v>
      </c>
      <c r="CF23" s="4">
        <f t="shared" si="28"/>
        <v>0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40.182237499999999</v>
      </c>
      <c r="J24" s="48">
        <f t="shared" si="1"/>
        <v>0.79841406500531531</v>
      </c>
      <c r="K24" s="48">
        <f t="shared" si="2"/>
        <v>0.19028860394385619</v>
      </c>
      <c r="L24" s="48">
        <f t="shared" si="3"/>
        <v>0.13218525893006638</v>
      </c>
      <c r="M24" s="48">
        <f t="shared" si="4"/>
        <v>0.60811006194635564</v>
      </c>
      <c r="N24" s="45">
        <f t="shared" si="5"/>
        <v>6129128</v>
      </c>
      <c r="O24" s="48">
        <f t="shared" si="6"/>
        <v>0.81420614872637775</v>
      </c>
      <c r="P24" s="49">
        <v>31584915</v>
      </c>
      <c r="Q24" s="49">
        <v>987028.59375</v>
      </c>
      <c r="R24" s="49">
        <v>10420.40625</v>
      </c>
      <c r="S24" s="50">
        <v>25716632</v>
      </c>
      <c r="T24" s="50">
        <v>4257640</v>
      </c>
      <c r="U24" s="50">
        <v>1871488</v>
      </c>
      <c r="V24" s="50">
        <v>19587008</v>
      </c>
      <c r="W24" s="51">
        <v>72.175037500000002</v>
      </c>
      <c r="X24" s="51">
        <v>75.995553125000001</v>
      </c>
      <c r="Y24" s="51">
        <v>37.542568750000001</v>
      </c>
      <c r="Z24" s="51">
        <v>44.079475000000002</v>
      </c>
      <c r="AA24" s="51">
        <v>42.783065624999999</v>
      </c>
      <c r="AB24" s="52">
        <v>8830.01</v>
      </c>
      <c r="AC24" s="52">
        <v>1895.35</v>
      </c>
      <c r="AD24" s="52">
        <v>6.3840000000000003</v>
      </c>
      <c r="AE24" s="52">
        <v>16.88</v>
      </c>
      <c r="AG24" s="47">
        <f t="shared" si="7"/>
        <v>40.182237499999999</v>
      </c>
      <c r="AH24" s="48">
        <f t="shared" si="8"/>
        <v>0.79841406500531531</v>
      </c>
      <c r="AI24" s="48">
        <f t="shared" si="9"/>
        <v>0.19028860394385619</v>
      </c>
      <c r="AJ24" s="48">
        <f t="shared" si="10"/>
        <v>0.13218525893006638</v>
      </c>
      <c r="AK24" s="48">
        <f t="shared" si="11"/>
        <v>0.60811006194635564</v>
      </c>
      <c r="AL24" s="45">
        <f t="shared" si="12"/>
        <v>6129128</v>
      </c>
      <c r="AM24" s="48">
        <f t="shared" si="13"/>
        <v>0.81420614872637775</v>
      </c>
      <c r="AN24" s="49">
        <v>31584915</v>
      </c>
      <c r="AO24" s="49">
        <v>987028.59375</v>
      </c>
      <c r="AP24" s="49">
        <v>10420.40625</v>
      </c>
      <c r="AQ24" s="50">
        <v>25716632</v>
      </c>
      <c r="AR24" s="50">
        <v>4257640</v>
      </c>
      <c r="AS24" s="50">
        <v>1871488</v>
      </c>
      <c r="AT24" s="50">
        <v>19587008</v>
      </c>
      <c r="AU24" s="51">
        <v>72.175037500000002</v>
      </c>
      <c r="AV24" s="51">
        <v>75.995553125000001</v>
      </c>
      <c r="AW24" s="51">
        <v>37.542568750000001</v>
      </c>
      <c r="AX24" s="51">
        <v>44.079475000000002</v>
      </c>
      <c r="AY24" s="51">
        <v>42.783065624999999</v>
      </c>
      <c r="AZ24" s="52">
        <v>10830.2</v>
      </c>
      <c r="BA24" s="52">
        <v>1824.27</v>
      </c>
      <c r="BB24" s="52">
        <v>7.508</v>
      </c>
      <c r="BC24" s="52">
        <v>19.664000000000001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0</v>
      </c>
      <c r="BV24" s="4">
        <f t="shared" si="18"/>
        <v>0</v>
      </c>
      <c r="BW24" s="4">
        <f t="shared" si="19"/>
        <v>0</v>
      </c>
      <c r="BX24" s="4">
        <f t="shared" si="20"/>
        <v>0</v>
      </c>
      <c r="BY24" s="4">
        <f t="shared" si="21"/>
        <v>0</v>
      </c>
      <c r="BZ24" s="4">
        <f t="shared" si="22"/>
        <v>0</v>
      </c>
      <c r="CA24" s="4">
        <f t="shared" si="23"/>
        <v>0</v>
      </c>
      <c r="CB24" s="4">
        <f t="shared" si="24"/>
        <v>0</v>
      </c>
      <c r="CC24" s="4">
        <f t="shared" si="25"/>
        <v>0</v>
      </c>
      <c r="CD24" s="4">
        <f t="shared" si="26"/>
        <v>0</v>
      </c>
      <c r="CE24" s="4">
        <f t="shared" si="27"/>
        <v>0</v>
      </c>
      <c r="CF24" s="4">
        <f t="shared" si="28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4.7430374999999998</v>
      </c>
      <c r="J25" s="18">
        <f t="shared" si="1"/>
        <v>0.19987193632466732</v>
      </c>
      <c r="K25" s="18">
        <f t="shared" si="2"/>
        <v>6.9763098003161134E-2</v>
      </c>
      <c r="L25" s="18">
        <f t="shared" si="3"/>
        <v>3.7842626430484215E-2</v>
      </c>
      <c r="M25" s="18">
        <f t="shared" si="4"/>
        <v>0.13008924318855797</v>
      </c>
      <c r="N25" s="15">
        <f t="shared" si="5"/>
        <v>1765872</v>
      </c>
      <c r="O25" s="18">
        <f t="shared" si="6"/>
        <v>0.21950595583952728</v>
      </c>
      <c r="P25" s="19">
        <v>23048304</v>
      </c>
      <c r="Q25" s="19">
        <v>720259.5</v>
      </c>
      <c r="R25" s="19">
        <v>17695.40625</v>
      </c>
      <c r="S25" s="20">
        <v>5059240</v>
      </c>
      <c r="T25" s="20">
        <v>957888</v>
      </c>
      <c r="U25" s="20">
        <v>807984</v>
      </c>
      <c r="V25" s="20">
        <v>3292872</v>
      </c>
      <c r="W25" s="21">
        <v>66.198771875000006</v>
      </c>
      <c r="X25" s="21">
        <v>68.019856250000004</v>
      </c>
      <c r="Y25" s="21">
        <v>27.514909374999899</v>
      </c>
      <c r="Z25" s="21">
        <v>33.295200000000001</v>
      </c>
      <c r="AA25" s="21">
        <v>32.739334374999999</v>
      </c>
      <c r="AB25" s="22">
        <v>6126.82</v>
      </c>
      <c r="AC25" s="22">
        <v>1858.24</v>
      </c>
      <c r="AD25" s="22">
        <v>7.016</v>
      </c>
      <c r="AE25" s="22">
        <v>28.216000000000001</v>
      </c>
      <c r="AG25" s="17">
        <f t="shared" si="7"/>
        <v>4.7430374999999998</v>
      </c>
      <c r="AH25" s="18">
        <f t="shared" si="8"/>
        <v>0.19987193632466732</v>
      </c>
      <c r="AI25" s="18">
        <f t="shared" si="9"/>
        <v>6.9763098003161134E-2</v>
      </c>
      <c r="AJ25" s="18">
        <f t="shared" si="10"/>
        <v>3.7842626430484215E-2</v>
      </c>
      <c r="AK25" s="18">
        <f t="shared" si="11"/>
        <v>0.13008924318855797</v>
      </c>
      <c r="AL25" s="15">
        <f t="shared" si="12"/>
        <v>1765872</v>
      </c>
      <c r="AM25" s="18">
        <f t="shared" si="13"/>
        <v>0.21950595583952728</v>
      </c>
      <c r="AN25" s="19">
        <v>23048304</v>
      </c>
      <c r="AO25" s="19">
        <v>720259.5</v>
      </c>
      <c r="AP25" s="19">
        <v>17695.40625</v>
      </c>
      <c r="AQ25" s="20">
        <v>5059240</v>
      </c>
      <c r="AR25" s="20">
        <v>957888</v>
      </c>
      <c r="AS25" s="20">
        <v>807984</v>
      </c>
      <c r="AT25" s="20">
        <v>3292872</v>
      </c>
      <c r="AU25" s="21">
        <v>66.198771875000006</v>
      </c>
      <c r="AV25" s="21">
        <v>68.019856250000004</v>
      </c>
      <c r="AW25" s="21">
        <v>27.514909374999899</v>
      </c>
      <c r="AX25" s="21">
        <v>33.295200000000001</v>
      </c>
      <c r="AY25" s="21">
        <v>32.739334374999999</v>
      </c>
      <c r="AZ25" s="22">
        <v>4227.8999999999996</v>
      </c>
      <c r="BA25" s="22">
        <v>1284.69</v>
      </c>
      <c r="BB25" s="22">
        <v>6.98</v>
      </c>
      <c r="BC25" s="22">
        <v>28.224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0</v>
      </c>
      <c r="BP25" s="24">
        <f>IF( OR(ISBLANK(S25:S29),ISBLANK(AQ25:AQ29), ISBLANK(X25:X29),ISBLANK(AV25:AV29)), "·", bdRateExtend( S25:S29,X25:X29, AQ25:AQ29,AV25:AV29))</f>
        <v>0</v>
      </c>
      <c r="BQ25" s="24">
        <f>IF( OR(ISBLANK(S25:S29),ISBLANK(AQ25:AQ29), ISBLANK(Y25:Y29),ISBLANK(AW25:AW29)), "·", bdRateExtend( S25:S29,Y25:Y29, AQ25:AQ29,AW25:AW29))</f>
        <v>0</v>
      </c>
      <c r="BR25" s="24">
        <f>IF( OR(ISBLANK(S25:S29),ISBLANK(AQ25:AQ29), ISBLANK(Z25:Z29),ISBLANK(AX25:AX29)), "·", bdRateExtend( S25:S29,Z25:Z29, AQ25:AQ29,AX25:AX29))</f>
        <v>0</v>
      </c>
      <c r="BS25" s="24">
        <f>IF( OR(ISBLANK(S25:S29),ISBLANK(AQ25:AQ29), ISBLANK(AA25:AA29),ISBLANK(AY25:AY29)), "·", bdRateExtend( S25:S29,AA25:AA29, AQ25:AQ29,AY25:AY29))</f>
        <v>0</v>
      </c>
      <c r="BU25" s="4">
        <f t="shared" si="17"/>
        <v>0</v>
      </c>
      <c r="BV25" s="4">
        <f t="shared" si="18"/>
        <v>0</v>
      </c>
      <c r="BW25" s="4">
        <f t="shared" si="19"/>
        <v>0</v>
      </c>
      <c r="BX25" s="4">
        <f t="shared" si="20"/>
        <v>0</v>
      </c>
      <c r="BY25" s="4">
        <f t="shared" si="21"/>
        <v>0</v>
      </c>
      <c r="BZ25" s="4">
        <f t="shared" si="22"/>
        <v>0</v>
      </c>
      <c r="CA25" s="4">
        <f t="shared" si="23"/>
        <v>0</v>
      </c>
      <c r="CB25" s="4">
        <f t="shared" si="24"/>
        <v>0</v>
      </c>
      <c r="CC25" s="4">
        <f t="shared" si="25"/>
        <v>0</v>
      </c>
      <c r="CD25" s="4">
        <f t="shared" si="26"/>
        <v>0</v>
      </c>
      <c r="CE25" s="4">
        <f t="shared" si="27"/>
        <v>0</v>
      </c>
      <c r="CF25" s="4">
        <f t="shared" si="28"/>
        <v>0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8.1527250000000002</v>
      </c>
      <c r="J26" s="28">
        <f t="shared" si="1"/>
        <v>0.34355640917292418</v>
      </c>
      <c r="K26" s="28">
        <f t="shared" si="2"/>
        <v>8.4498637980234825E-2</v>
      </c>
      <c r="L26" s="28">
        <f t="shared" si="3"/>
        <v>5.2578166407557907E-2</v>
      </c>
      <c r="M26" s="28">
        <f t="shared" si="4"/>
        <v>0.25903817605974111</v>
      </c>
      <c r="N26" s="25">
        <f t="shared" si="5"/>
        <v>2138864</v>
      </c>
      <c r="O26" s="28">
        <f t="shared" si="6"/>
        <v>0.34839383297436594</v>
      </c>
      <c r="P26" s="29">
        <v>24960947</v>
      </c>
      <c r="Q26" s="29">
        <v>780029.59375</v>
      </c>
      <c r="R26" s="29">
        <v>23056.625</v>
      </c>
      <c r="S26" s="30">
        <v>8696240</v>
      </c>
      <c r="T26" s="30">
        <v>1330880</v>
      </c>
      <c r="U26" s="30">
        <v>807984</v>
      </c>
      <c r="V26" s="30">
        <v>6556880</v>
      </c>
      <c r="W26" s="31">
        <v>68.025268749999995</v>
      </c>
      <c r="X26" s="31">
        <v>69.988003125000006</v>
      </c>
      <c r="Y26" s="31">
        <v>29.930174999999998</v>
      </c>
      <c r="Z26" s="31">
        <v>34.4803</v>
      </c>
      <c r="AA26" s="31">
        <v>34.073531249999903</v>
      </c>
      <c r="AB26" s="32">
        <v>7375.06</v>
      </c>
      <c r="AC26" s="32">
        <v>1868.62</v>
      </c>
      <c r="AD26" s="32">
        <v>7.2519999999999998</v>
      </c>
      <c r="AE26" s="32">
        <v>29.244</v>
      </c>
      <c r="AG26" s="27">
        <f t="shared" si="7"/>
        <v>8.1527250000000002</v>
      </c>
      <c r="AH26" s="28">
        <f t="shared" si="8"/>
        <v>0.34355640917292418</v>
      </c>
      <c r="AI26" s="28">
        <f t="shared" si="9"/>
        <v>8.4498637980234825E-2</v>
      </c>
      <c r="AJ26" s="28">
        <f t="shared" si="10"/>
        <v>5.2578166407557907E-2</v>
      </c>
      <c r="AK26" s="28">
        <f t="shared" si="11"/>
        <v>0.25903817605974111</v>
      </c>
      <c r="AL26" s="25">
        <f t="shared" si="12"/>
        <v>2138864</v>
      </c>
      <c r="AM26" s="28">
        <f t="shared" si="13"/>
        <v>0.34839383297436594</v>
      </c>
      <c r="AN26" s="29">
        <v>24960947</v>
      </c>
      <c r="AO26" s="29">
        <v>780029.59375</v>
      </c>
      <c r="AP26" s="29">
        <v>23056.625</v>
      </c>
      <c r="AQ26" s="30">
        <v>8696240</v>
      </c>
      <c r="AR26" s="30">
        <v>1330880</v>
      </c>
      <c r="AS26" s="30">
        <v>807984</v>
      </c>
      <c r="AT26" s="30">
        <v>6556880</v>
      </c>
      <c r="AU26" s="31">
        <v>68.025268749999995</v>
      </c>
      <c r="AV26" s="31">
        <v>69.988003125000006</v>
      </c>
      <c r="AW26" s="31">
        <v>29.930174999999998</v>
      </c>
      <c r="AX26" s="31">
        <v>34.4803</v>
      </c>
      <c r="AY26" s="31">
        <v>34.073531249999903</v>
      </c>
      <c r="AZ26" s="32">
        <v>4242.6400000000003</v>
      </c>
      <c r="BA26" s="32">
        <v>1357.76</v>
      </c>
      <c r="BB26" s="32">
        <v>7.2160000000000002</v>
      </c>
      <c r="BC26" s="32">
        <v>28.852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0</v>
      </c>
      <c r="BV26" s="4">
        <f t="shared" si="18"/>
        <v>0</v>
      </c>
      <c r="BW26" s="4">
        <f t="shared" si="19"/>
        <v>0</v>
      </c>
      <c r="BX26" s="4">
        <f t="shared" si="20"/>
        <v>0</v>
      </c>
      <c r="BY26" s="4">
        <f t="shared" si="21"/>
        <v>0</v>
      </c>
      <c r="BZ26" s="4">
        <f t="shared" si="22"/>
        <v>0</v>
      </c>
      <c r="CA26" s="4">
        <f t="shared" si="23"/>
        <v>0</v>
      </c>
      <c r="CB26" s="4">
        <f t="shared" si="24"/>
        <v>0</v>
      </c>
      <c r="CC26" s="4">
        <f t="shared" si="25"/>
        <v>0</v>
      </c>
      <c r="CD26" s="4">
        <f t="shared" si="26"/>
        <v>0</v>
      </c>
      <c r="CE26" s="4">
        <f t="shared" si="27"/>
        <v>0</v>
      </c>
      <c r="CF26" s="4">
        <f t="shared" si="28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14.7292275</v>
      </c>
      <c r="J27" s="18">
        <f t="shared" si="1"/>
        <v>0.62069069051036152</v>
      </c>
      <c r="K27" s="18">
        <f t="shared" si="2"/>
        <v>0.10577895236201945</v>
      </c>
      <c r="L27" s="18">
        <f t="shared" si="3"/>
        <v>7.3858480789342526E-2</v>
      </c>
      <c r="M27" s="18">
        <f t="shared" si="4"/>
        <v>0.51489214301539388</v>
      </c>
      <c r="N27" s="15">
        <f t="shared" si="5"/>
        <v>2677520</v>
      </c>
      <c r="O27" s="18">
        <f t="shared" si="6"/>
        <v>0.62017078643453671</v>
      </c>
      <c r="P27" s="19">
        <v>25333628</v>
      </c>
      <c r="Q27" s="19">
        <v>791675.875</v>
      </c>
      <c r="R27" s="19">
        <v>24569.1875</v>
      </c>
      <c r="S27" s="20">
        <v>15711176</v>
      </c>
      <c r="T27" s="20">
        <v>1869536</v>
      </c>
      <c r="U27" s="20">
        <v>807984</v>
      </c>
      <c r="V27" s="20">
        <v>13033160</v>
      </c>
      <c r="W27" s="21">
        <v>69.401209374999993</v>
      </c>
      <c r="X27" s="21">
        <v>71.729034374999998</v>
      </c>
      <c r="Y27" s="21">
        <v>32.428381250000001</v>
      </c>
      <c r="Z27" s="21">
        <v>35.743596874999902</v>
      </c>
      <c r="AA27" s="21">
        <v>35.411506250000002</v>
      </c>
      <c r="AB27" s="22">
        <v>7245.14</v>
      </c>
      <c r="AC27" s="22">
        <v>2002.85</v>
      </c>
      <c r="AD27" s="22">
        <v>7.3760000000000003</v>
      </c>
      <c r="AE27" s="22">
        <v>30.824000000000002</v>
      </c>
      <c r="AG27" s="17">
        <f t="shared" si="7"/>
        <v>14.7292275</v>
      </c>
      <c r="AH27" s="18">
        <f t="shared" si="8"/>
        <v>0.62069069051036152</v>
      </c>
      <c r="AI27" s="18">
        <f t="shared" si="9"/>
        <v>0.10577895236201945</v>
      </c>
      <c r="AJ27" s="18">
        <f t="shared" si="10"/>
        <v>7.3858480789342526E-2</v>
      </c>
      <c r="AK27" s="18">
        <f t="shared" si="11"/>
        <v>0.51489214301539388</v>
      </c>
      <c r="AL27" s="15">
        <f t="shared" si="12"/>
        <v>2677520</v>
      </c>
      <c r="AM27" s="18">
        <f t="shared" si="13"/>
        <v>0.62017078643453671</v>
      </c>
      <c r="AN27" s="19">
        <v>25333628</v>
      </c>
      <c r="AO27" s="19">
        <v>791675.875</v>
      </c>
      <c r="AP27" s="19">
        <v>24569.1875</v>
      </c>
      <c r="AQ27" s="20">
        <v>15711176</v>
      </c>
      <c r="AR27" s="20">
        <v>1869536</v>
      </c>
      <c r="AS27" s="20">
        <v>807984</v>
      </c>
      <c r="AT27" s="20">
        <v>13033160</v>
      </c>
      <c r="AU27" s="21">
        <v>69.401209374999993</v>
      </c>
      <c r="AV27" s="21">
        <v>71.729034374999998</v>
      </c>
      <c r="AW27" s="21">
        <v>32.428381250000001</v>
      </c>
      <c r="AX27" s="21">
        <v>35.743596874999902</v>
      </c>
      <c r="AY27" s="21">
        <v>35.411506250000002</v>
      </c>
      <c r="AZ27" s="22">
        <v>4231.17</v>
      </c>
      <c r="BA27" s="22">
        <v>1458.69</v>
      </c>
      <c r="BB27" s="22">
        <v>7.7519999999999998</v>
      </c>
      <c r="BC27" s="22">
        <v>30.192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0</v>
      </c>
      <c r="BV27" s="4">
        <f t="shared" si="18"/>
        <v>0</v>
      </c>
      <c r="BW27" s="4">
        <f t="shared" si="19"/>
        <v>0</v>
      </c>
      <c r="BX27" s="4">
        <f t="shared" si="20"/>
        <v>0</v>
      </c>
      <c r="BY27" s="4">
        <f t="shared" si="21"/>
        <v>0</v>
      </c>
      <c r="BZ27" s="4">
        <f t="shared" si="22"/>
        <v>0</v>
      </c>
      <c r="CA27" s="4">
        <f t="shared" si="23"/>
        <v>0</v>
      </c>
      <c r="CB27" s="4">
        <f t="shared" si="24"/>
        <v>0</v>
      </c>
      <c r="CC27" s="4">
        <f t="shared" si="25"/>
        <v>0</v>
      </c>
      <c r="CD27" s="4">
        <f t="shared" si="26"/>
        <v>0</v>
      </c>
      <c r="CE27" s="4">
        <f t="shared" si="27"/>
        <v>0</v>
      </c>
      <c r="CF27" s="4">
        <f t="shared" si="28"/>
        <v>0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27.910852500000001</v>
      </c>
      <c r="J28" s="28">
        <f t="shared" si="1"/>
        <v>1.1761653020131471</v>
      </c>
      <c r="K28" s="28">
        <f t="shared" si="2"/>
        <v>0.14075468442196412</v>
      </c>
      <c r="L28" s="28">
        <f t="shared" si="3"/>
        <v>0.1088342128492872</v>
      </c>
      <c r="M28" s="28">
        <f t="shared" si="4"/>
        <v>1.0353910224582348</v>
      </c>
      <c r="N28" s="25">
        <f t="shared" si="5"/>
        <v>3562840</v>
      </c>
      <c r="O28" s="28">
        <f t="shared" si="6"/>
        <v>1.1321628421084176</v>
      </c>
      <c r="P28" s="29">
        <v>26296196</v>
      </c>
      <c r="Q28" s="29">
        <v>821756.125</v>
      </c>
      <c r="R28" s="29">
        <v>28036.40625</v>
      </c>
      <c r="S28" s="30">
        <v>29771576</v>
      </c>
      <c r="T28" s="30">
        <v>2754856</v>
      </c>
      <c r="U28" s="30">
        <v>807984</v>
      </c>
      <c r="V28" s="30">
        <v>26208240</v>
      </c>
      <c r="W28" s="31">
        <v>70.442159374999903</v>
      </c>
      <c r="X28" s="31">
        <v>73.004240624999994</v>
      </c>
      <c r="Y28" s="31">
        <v>34.886721874999999</v>
      </c>
      <c r="Z28" s="31">
        <v>37.569025000000003</v>
      </c>
      <c r="AA28" s="31">
        <v>37.178337499999998</v>
      </c>
      <c r="AB28" s="32">
        <v>7501.38</v>
      </c>
      <c r="AC28" s="32">
        <v>2266</v>
      </c>
      <c r="AD28" s="32">
        <v>6.3360000000000003</v>
      </c>
      <c r="AE28" s="32">
        <v>27.175999999999998</v>
      </c>
      <c r="AG28" s="27">
        <f t="shared" si="7"/>
        <v>27.910852500000001</v>
      </c>
      <c r="AH28" s="28">
        <f t="shared" si="8"/>
        <v>1.1761653020131471</v>
      </c>
      <c r="AI28" s="28">
        <f t="shared" si="9"/>
        <v>0.14075468442196412</v>
      </c>
      <c r="AJ28" s="28">
        <f t="shared" si="10"/>
        <v>0.1088342128492872</v>
      </c>
      <c r="AK28" s="28">
        <f t="shared" si="11"/>
        <v>1.0353910224582348</v>
      </c>
      <c r="AL28" s="25">
        <f t="shared" si="12"/>
        <v>3562840</v>
      </c>
      <c r="AM28" s="28">
        <f t="shared" si="13"/>
        <v>1.1321628421084176</v>
      </c>
      <c r="AN28" s="29">
        <v>26296196</v>
      </c>
      <c r="AO28" s="29">
        <v>821756.125</v>
      </c>
      <c r="AP28" s="29">
        <v>28036.40625</v>
      </c>
      <c r="AQ28" s="30">
        <v>29771576</v>
      </c>
      <c r="AR28" s="30">
        <v>2754856</v>
      </c>
      <c r="AS28" s="30">
        <v>807984</v>
      </c>
      <c r="AT28" s="30">
        <v>26208240</v>
      </c>
      <c r="AU28" s="31">
        <v>70.442159374999903</v>
      </c>
      <c r="AV28" s="31">
        <v>73.004240624999994</v>
      </c>
      <c r="AW28" s="31">
        <v>34.886721874999999</v>
      </c>
      <c r="AX28" s="31">
        <v>37.569025000000003</v>
      </c>
      <c r="AY28" s="31">
        <v>37.178337499999998</v>
      </c>
      <c r="AZ28" s="32">
        <v>6904.7</v>
      </c>
      <c r="BA28" s="32">
        <v>2284.59</v>
      </c>
      <c r="BB28" s="32">
        <v>7</v>
      </c>
      <c r="BC28" s="32">
        <v>30.08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0</v>
      </c>
      <c r="BY28" s="4">
        <f t="shared" si="21"/>
        <v>0</v>
      </c>
      <c r="BZ28" s="4">
        <f t="shared" si="22"/>
        <v>0</v>
      </c>
      <c r="CA28" s="4">
        <f t="shared" si="23"/>
        <v>0</v>
      </c>
      <c r="CB28" s="4">
        <f t="shared" si="24"/>
        <v>0</v>
      </c>
      <c r="CC28" s="4">
        <f t="shared" si="25"/>
        <v>0</v>
      </c>
      <c r="CD28" s="4">
        <f t="shared" si="26"/>
        <v>0</v>
      </c>
      <c r="CE28" s="4">
        <f t="shared" si="27"/>
        <v>0</v>
      </c>
      <c r="CF28" s="4">
        <f t="shared" si="28"/>
        <v>0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48.560782500000002</v>
      </c>
      <c r="J29" s="38">
        <f t="shared" si="1"/>
        <v>2.0463548153933044</v>
      </c>
      <c r="K29" s="38">
        <f t="shared" si="2"/>
        <v>0.22623560745386215</v>
      </c>
      <c r="L29" s="38">
        <f t="shared" si="3"/>
        <v>0.16645212103091891</v>
      </c>
      <c r="M29" s="38">
        <f t="shared" si="4"/>
        <v>1.8200996128064939</v>
      </c>
      <c r="N29" s="35">
        <f t="shared" si="5"/>
        <v>5726568</v>
      </c>
      <c r="O29" s="38">
        <f t="shared" si="6"/>
        <v>2.0600598687297742</v>
      </c>
      <c r="P29" s="39">
        <v>25144011</v>
      </c>
      <c r="Q29" s="39">
        <v>785750.34375</v>
      </c>
      <c r="R29" s="39">
        <v>7357.28125</v>
      </c>
      <c r="S29" s="40">
        <v>51798168</v>
      </c>
      <c r="T29" s="40">
        <v>4213304</v>
      </c>
      <c r="U29" s="40">
        <v>1513264</v>
      </c>
      <c r="V29" s="40">
        <v>46071104</v>
      </c>
      <c r="W29" s="41">
        <v>71.735059375000006</v>
      </c>
      <c r="X29" s="41">
        <v>75.106865624999998</v>
      </c>
      <c r="Y29" s="41">
        <v>36.584949999999999</v>
      </c>
      <c r="Z29" s="41">
        <v>39.675212500000001</v>
      </c>
      <c r="AA29" s="41">
        <v>39.083446875</v>
      </c>
      <c r="AB29" s="42">
        <v>7462.34</v>
      </c>
      <c r="AC29" s="42">
        <v>2593.91</v>
      </c>
      <c r="AD29" s="42">
        <v>7.6559999999999997</v>
      </c>
      <c r="AE29" s="42">
        <v>33.24</v>
      </c>
      <c r="AG29" s="37">
        <f t="shared" si="7"/>
        <v>48.560782500000002</v>
      </c>
      <c r="AH29" s="38">
        <f t="shared" si="8"/>
        <v>2.0463548153933044</v>
      </c>
      <c r="AI29" s="38">
        <f t="shared" si="9"/>
        <v>0.22623560745386215</v>
      </c>
      <c r="AJ29" s="38">
        <f t="shared" si="10"/>
        <v>0.16645212103091891</v>
      </c>
      <c r="AK29" s="38">
        <f t="shared" si="11"/>
        <v>1.8200996128064939</v>
      </c>
      <c r="AL29" s="35">
        <f t="shared" si="12"/>
        <v>5726568</v>
      </c>
      <c r="AM29" s="38">
        <f t="shared" si="13"/>
        <v>2.0600598687297742</v>
      </c>
      <c r="AN29" s="39">
        <v>25144011</v>
      </c>
      <c r="AO29" s="39">
        <v>785750.34375</v>
      </c>
      <c r="AP29" s="39">
        <v>7357.28125</v>
      </c>
      <c r="AQ29" s="40">
        <v>51798168</v>
      </c>
      <c r="AR29" s="40">
        <v>4213304</v>
      </c>
      <c r="AS29" s="40">
        <v>1513264</v>
      </c>
      <c r="AT29" s="40">
        <v>46071104</v>
      </c>
      <c r="AU29" s="41">
        <v>71.735059375000006</v>
      </c>
      <c r="AV29" s="41">
        <v>75.106865624999998</v>
      </c>
      <c r="AW29" s="41">
        <v>36.584949999999999</v>
      </c>
      <c r="AX29" s="41">
        <v>39.675212500000001</v>
      </c>
      <c r="AY29" s="41">
        <v>39.083446875</v>
      </c>
      <c r="AZ29" s="42">
        <v>5722.86</v>
      </c>
      <c r="BA29" s="42">
        <v>2570.0100000000002</v>
      </c>
      <c r="BB29" s="42">
        <v>7.548</v>
      </c>
      <c r="BC29" s="42">
        <v>31.623999999999999</v>
      </c>
      <c r="BE29" s="43">
        <f t="shared" si="14"/>
        <v>0</v>
      </c>
      <c r="BF29" s="43">
        <f t="shared" si="15"/>
        <v>0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0</v>
      </c>
      <c r="BV29" s="4">
        <f t="shared" si="18"/>
        <v>0</v>
      </c>
      <c r="BW29" s="4">
        <f t="shared" si="19"/>
        <v>0</v>
      </c>
      <c r="BX29" s="4">
        <f t="shared" si="20"/>
        <v>0</v>
      </c>
      <c r="BY29" s="4">
        <f t="shared" si="21"/>
        <v>0</v>
      </c>
      <c r="BZ29" s="4">
        <f t="shared" si="22"/>
        <v>0</v>
      </c>
      <c r="CA29" s="4">
        <f t="shared" si="23"/>
        <v>0</v>
      </c>
      <c r="CB29" s="4">
        <f t="shared" si="24"/>
        <v>0</v>
      </c>
      <c r="CC29" s="4">
        <f t="shared" si="25"/>
        <v>0</v>
      </c>
      <c r="CD29" s="4">
        <f t="shared" si="26"/>
        <v>0</v>
      </c>
      <c r="CE29" s="4">
        <f t="shared" si="27"/>
        <v>0</v>
      </c>
      <c r="CF29" s="4">
        <f t="shared" si="28"/>
        <v>0</v>
      </c>
    </row>
    <row r="30" spans="1:84">
      <c r="B30" s="55" t="s">
        <v>286</v>
      </c>
      <c r="J30" s="56">
        <f>AVERAGE(J5:J24)</f>
        <v>0.42966358808305022</v>
      </c>
      <c r="K30" s="56">
        <f>AVERAGE(K5:K24)</f>
        <v>0.12438262588270543</v>
      </c>
      <c r="L30" s="56">
        <f>AVERAGE(L5:L24)</f>
        <v>8.481286734982188E-2</v>
      </c>
      <c r="M30" s="56">
        <f>AVERAGE(M5:M24)</f>
        <v>0.30526301920474658</v>
      </c>
      <c r="AH30" s="56">
        <f>AVERAGE(AH5:AH24)</f>
        <v>0.42966358808305022</v>
      </c>
      <c r="AI30" s="56">
        <f>AVERAGE(AI5:AI24)</f>
        <v>0.12438262588270543</v>
      </c>
      <c r="AJ30" s="56">
        <f>AVERAGE(AJ5:AJ24)</f>
        <v>8.481286734982188E-2</v>
      </c>
      <c r="AK30" s="56">
        <f>AVERAGE(AK5:AK24)</f>
        <v>0.30526301920474658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84">
      <c r="B31" s="55" t="s">
        <v>287</v>
      </c>
      <c r="J31" s="56">
        <f>AVERAGE(J25:J29)</f>
        <v>0.87732783068288089</v>
      </c>
      <c r="K31" s="56">
        <f>AVERAGE(K25:K29)</f>
        <v>0.12540619604424835</v>
      </c>
      <c r="L31" s="56">
        <f>AVERAGE(L25:L29)</f>
        <v>8.7913121501518157E-2</v>
      </c>
      <c r="M31" s="56">
        <f>AVERAGE(M25:M29)</f>
        <v>0.75190203950568435</v>
      </c>
      <c r="AH31" s="56">
        <f>AVERAGE(AH25:AH29)</f>
        <v>0.87732783068288089</v>
      </c>
      <c r="AI31" s="56">
        <f>AVERAGE(AI25:AI29)</f>
        <v>0.12540619604424835</v>
      </c>
      <c r="AJ31" s="56">
        <f>AVERAGE(AJ25:AJ29)</f>
        <v>8.7913121501518157E-2</v>
      </c>
      <c r="AK31" s="56">
        <f>AVERAGE(AK25:AK29)</f>
        <v>0.75190203950568435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84" collapsed="1">
      <c r="B32" s="55" t="s">
        <v>288</v>
      </c>
      <c r="J32" s="56">
        <f>AVERAGE(J5:J29)</f>
        <v>0.51919643660301629</v>
      </c>
      <c r="K32" s="56">
        <f>AVERAGE(K5:K29)</f>
        <v>0.12458733991501403</v>
      </c>
      <c r="L32" s="56">
        <f>AVERAGE(L5:L29)</f>
        <v>8.5432918180161133E-2</v>
      </c>
      <c r="M32" s="56">
        <f>AVERAGE(M5:M29)</f>
        <v>0.39459082326493417</v>
      </c>
      <c r="AH32" s="56">
        <f>AVERAGE(AH5:AH29)</f>
        <v>0.51919643660301629</v>
      </c>
      <c r="AI32" s="56">
        <f>AVERAGE(AI5:AI29)</f>
        <v>0.12458733991501403</v>
      </c>
      <c r="AJ32" s="56">
        <f>AVERAGE(AJ5:AJ29)</f>
        <v>8.5432918180161133E-2</v>
      </c>
      <c r="AK32" s="56">
        <f>AVERAGE(AK5:AK29)</f>
        <v>0.39459082326493417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265839.87000000005</v>
      </c>
      <c r="AC33" s="57">
        <f>SUM(AC5:AC24,AC25:AC29)</f>
        <v>40526.150000000009</v>
      </c>
      <c r="AD33" s="57">
        <f>SUM(AD5:AD24,AD25:AD29)</f>
        <v>179.72000000000003</v>
      </c>
      <c r="AE33" s="57">
        <f>SUM(AE5:AE24,AE25:AE29)</f>
        <v>567.51199999999994</v>
      </c>
      <c r="AZ33" s="57">
        <f>SUM(AZ5:AZ24,AZ25:AZ29)</f>
        <v>198706.49</v>
      </c>
      <c r="BA33" s="57">
        <f>SUM(BA5:BA24,BA25:BA29)</f>
        <v>40351.450000000004</v>
      </c>
      <c r="BB33" s="57">
        <f>SUM(BB5:BB24,BB25:BB29)</f>
        <v>200.8</v>
      </c>
      <c r="BC33" s="57">
        <f>SUM(BC5:BC24,BC25:BC29)</f>
        <v>610.01200000000006</v>
      </c>
    </row>
    <row r="34" spans="1:55" hidden="1" outlineLevel="2">
      <c r="B34" s="55" t="s">
        <v>291</v>
      </c>
      <c r="AZ34" s="8">
        <f>AZ33/AB33</f>
        <v>0.74746684912236805</v>
      </c>
      <c r="BA34" s="8">
        <f>BA33/AC33</f>
        <v>0.99568920314414266</v>
      </c>
      <c r="BB34" s="8">
        <f>BB33/AD33</f>
        <v>1.1172935677720899</v>
      </c>
      <c r="BC34" s="8">
        <f>BC33/AE33</f>
        <v>1.0748882843005965</v>
      </c>
    </row>
    <row r="35" spans="1:55" hidden="1" outlineLevel="2">
      <c r="B35" s="55" t="s">
        <v>292</v>
      </c>
      <c r="AB35" s="57">
        <f>GEOMEAN(AB5:AB24,AB25:AB29)</f>
        <v>10316.001967089069</v>
      </c>
      <c r="AC35" s="57">
        <f>GEOMEAN(AC5:AC24,AC25:AC29)</f>
        <v>1576.15816578412</v>
      </c>
      <c r="AD35" s="57">
        <f>GEOMEAN(AD5:AD24,AD25:AD29)</f>
        <v>7.1116254732644339</v>
      </c>
      <c r="AE35" s="57">
        <f>GEOMEAN(AE5:AE24,AE25:AE29)</f>
        <v>22.185039241268782</v>
      </c>
      <c r="AZ35" s="57">
        <f>GEOMEAN(AZ5:AZ24,AZ25:AZ29)</f>
        <v>7556.172012736828</v>
      </c>
      <c r="BA35" s="57">
        <f>GEOMEAN(BA5:BA24,BA25:BA29)</f>
        <v>1581.4611745530008</v>
      </c>
      <c r="BB35" s="57">
        <f>GEOMEAN(BB5:BB24,BB25:BB29)</f>
        <v>7.8599844227758107</v>
      </c>
      <c r="BC35" s="57">
        <f>GEOMEAN(BC5:BC24,BC25:BC29)</f>
        <v>24.002653206672829</v>
      </c>
    </row>
    <row r="36" spans="1:55" outlineLevel="2" collapsed="1">
      <c r="B36" s="55" t="s">
        <v>293</v>
      </c>
      <c r="AZ36" s="8">
        <f>AZ35/AB35</f>
        <v>0.73247097439910636</v>
      </c>
      <c r="BA36" s="8">
        <f>BA35/AC35</f>
        <v>1.0033645156203232</v>
      </c>
      <c r="BB36" s="8">
        <f>BB35/AD35</f>
        <v>1.1052303657335121</v>
      </c>
      <c r="BC36" s="8">
        <f>BC35/AE35</f>
        <v>1.081929716041381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>
      <c r="AQ65" s="4"/>
      <c r="AR65" s="4"/>
      <c r="AS65" s="4"/>
      <c r="AT65" s="4"/>
      <c r="AU65" s="4"/>
      <c r="AV65" s="4"/>
      <c r="AW65" s="4"/>
      <c r="AX65" s="4"/>
      <c r="AY65" s="4"/>
    </row>
    <row r="66" spans="40:51">
      <c r="AQ66" s="4"/>
      <c r="AR66" s="4"/>
      <c r="AS66" s="4"/>
      <c r="AT66" s="4"/>
      <c r="AU66" s="4"/>
      <c r="AV66" s="4"/>
      <c r="AW66" s="4"/>
      <c r="AX66" s="4"/>
      <c r="AY66" s="4"/>
    </row>
    <row r="67" spans="40:51">
      <c r="AQ67" s="4"/>
      <c r="AR67" s="4"/>
      <c r="AS67" s="4"/>
      <c r="AT67" s="4"/>
      <c r="AU67" s="4"/>
      <c r="AV67" s="4"/>
      <c r="AW67" s="4"/>
      <c r="AX67" s="4"/>
      <c r="AY67" s="4"/>
    </row>
    <row r="68" spans="40:51">
      <c r="AQ68" s="4"/>
      <c r="AR68" s="4"/>
      <c r="AS68" s="4"/>
      <c r="AT68" s="4"/>
      <c r="AU68" s="4"/>
      <c r="AV68" s="4"/>
      <c r="AW68" s="4"/>
      <c r="AX68" s="4"/>
      <c r="AY68" s="4"/>
    </row>
    <row r="69" spans="40:51">
      <c r="AQ69" s="4"/>
      <c r="AR69" s="4"/>
      <c r="AS69" s="4"/>
      <c r="AT69" s="4"/>
      <c r="AU69" s="4"/>
      <c r="AV69" s="4"/>
      <c r="AW69" s="4"/>
      <c r="AX69" s="4"/>
      <c r="AY69" s="4"/>
    </row>
    <row r="70" spans="40:51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85546875"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38"/>
  <sheetViews>
    <sheetView zoomScale="85" zoomScaleNormal="85" workbookViewId="0">
      <pane xSplit="2" topLeftCell="AP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364</v>
      </c>
      <c r="B1" s="74"/>
      <c r="C1" s="74"/>
      <c r="D1" s="74"/>
      <c r="E1" s="74"/>
      <c r="F1" s="74"/>
      <c r="H1" s="62" t="s">
        <v>547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0.29534966962142789</v>
      </c>
      <c r="I5" s="17">
        <f>IF(OR(ISBLANK(Q5),ISBLANK(F5)),"·",Q5*F5/E5/1000000)</f>
        <v>207.37152750000001</v>
      </c>
      <c r="J5" s="18">
        <f>IF(ISBLANK(Q5),"·",Q5/C5)</f>
        <v>8.8604900886428357</v>
      </c>
      <c r="K5" s="18">
        <f>IF(N5="","·",N5/C5)</f>
        <v>1.3561718292503695</v>
      </c>
      <c r="L5" s="18">
        <f>IF(R5="","·",R5/C5)</f>
        <v>1.275532007834695</v>
      </c>
      <c r="M5" s="18">
        <f>IF(ISBLANK(T5),"·",T5/C5)</f>
        <v>7.5042157131245721</v>
      </c>
      <c r="N5" s="15">
        <f>IF(OR(ISBLANK(R5),ISBLANK(S5)),"",R5+S5)</f>
        <v>33855936</v>
      </c>
      <c r="O5" s="18">
        <f>IF(ISBLANK(Q5),"·",Q5/P5)</f>
        <v>8.8604900886428357</v>
      </c>
      <c r="P5" s="19">
        <v>24964341</v>
      </c>
      <c r="Q5" s="20">
        <v>221196296</v>
      </c>
      <c r="R5" s="20">
        <v>31842816</v>
      </c>
      <c r="S5" s="20">
        <v>2013120</v>
      </c>
      <c r="T5" s="20">
        <v>187337800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3146.23</v>
      </c>
      <c r="AA5" s="22">
        <v>4139.1099999999997</v>
      </c>
      <c r="AB5" s="22">
        <v>3.1960000000000002</v>
      </c>
      <c r="AC5" s="22">
        <v>22.468</v>
      </c>
      <c r="AE5" s="23">
        <f>IF(ISBLANK(AN5),"·",AN5/(C5*D5*3))</f>
        <v>0.29534966962142789</v>
      </c>
      <c r="AF5" s="17">
        <f>IF(OR(ISBLANK(AN5),ISBLANK(F5)),"·",AN5*F5/E5/1000000)</f>
        <v>207.37152750000001</v>
      </c>
      <c r="AG5" s="18">
        <f>IF(ISBLANK(AN5),"·",AN5/C5)</f>
        <v>8.8604900886428357</v>
      </c>
      <c r="AH5" s="18">
        <f>IF(AK5="","·",AK5/C5)</f>
        <v>1.3561718292503695</v>
      </c>
      <c r="AI5" s="18">
        <f>IF(AO5="","·",AO5/C5)</f>
        <v>1.275532007834695</v>
      </c>
      <c r="AJ5" s="18">
        <f>IF(ISBLANK(AQ5),"·",AQ5/C5)</f>
        <v>7.5042157131245721</v>
      </c>
      <c r="AK5" s="15">
        <f>IF(OR(ISBLANK(AO5),ISBLANK(AP5)),"",AO5+AP5)</f>
        <v>33855936</v>
      </c>
      <c r="AL5" s="18">
        <f>IF(ISBLANK(AN5),"·",AN5/AM5)</f>
        <v>8.8604900886428357</v>
      </c>
      <c r="AM5" s="19">
        <v>24964341</v>
      </c>
      <c r="AN5" s="20">
        <v>221196296</v>
      </c>
      <c r="AO5" s="20">
        <v>31842816</v>
      </c>
      <c r="AP5" s="20">
        <v>2013120</v>
      </c>
      <c r="AQ5" s="20">
        <v>187337800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6581.24</v>
      </c>
      <c r="AX5" s="22">
        <v>5901.5</v>
      </c>
      <c r="AY5" s="22">
        <v>3.0680000000000001</v>
      </c>
      <c r="AZ5" s="22">
        <v>19.155999999999999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AM5-P5</f>
        <v>0</v>
      </c>
      <c r="BI5" s="4">
        <f t="shared" ref="BI5:BL9" si="2">AN5-Q5</f>
        <v>0</v>
      </c>
      <c r="BJ5" s="4">
        <f t="shared" si="2"/>
        <v>0</v>
      </c>
      <c r="BK5" s="4">
        <f t="shared" si="2"/>
        <v>0</v>
      </c>
      <c r="BL5" s="4">
        <f t="shared" si="2"/>
        <v>0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0.42494935029704611</v>
      </c>
      <c r="I6" s="27">
        <f>IF(OR(ISBLANK(Q6),ISBLANK(F6)),"·",Q6*F6/E6/1000000)</f>
        <v>270.76325250000002</v>
      </c>
      <c r="J6" s="28">
        <f>IF(ISBLANK(Q6),"·",Q6/C6)</f>
        <v>12.748480508911383</v>
      </c>
      <c r="K6" s="28">
        <f>IF(N6="","·",N6/C6)</f>
        <v>1.6686089638707295</v>
      </c>
      <c r="L6" s="28">
        <f>IF(R6="","·",R6/C6)</f>
        <v>1.5278087118798591</v>
      </c>
      <c r="M6" s="28">
        <f>IF(ISBLANK(T6),"·",T6/C6)</f>
        <v>11.079758544650316</v>
      </c>
      <c r="N6" s="25">
        <f>IF(OR(ISBLANK(R6),ISBLANK(S6)),"",R6+S6)</f>
        <v>37801984</v>
      </c>
      <c r="O6" s="28">
        <f>IF(ISBLANK(Q6),"·",Q6/P6)</f>
        <v>12.748480508911383</v>
      </c>
      <c r="P6" s="29">
        <v>22654789</v>
      </c>
      <c r="Q6" s="30">
        <v>288814136</v>
      </c>
      <c r="R6" s="30">
        <v>34612184</v>
      </c>
      <c r="S6" s="30">
        <v>3189800</v>
      </c>
      <c r="T6" s="30">
        <v>251009592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3636.26</v>
      </c>
      <c r="AA6" s="32">
        <v>5772.39</v>
      </c>
      <c r="AB6" s="32">
        <v>2.7879999999999998</v>
      </c>
      <c r="AC6" s="32">
        <v>19.788</v>
      </c>
      <c r="AE6" s="33">
        <f>IF(ISBLANK(AN6),"·",AN6/(C6*D6*3))</f>
        <v>0.42494935029704611</v>
      </c>
      <c r="AF6" s="27">
        <f>IF(OR(ISBLANK(AN6),ISBLANK(F6)),"·",AN6*F6/E6/1000000)</f>
        <v>270.76325250000002</v>
      </c>
      <c r="AG6" s="28">
        <f>IF(ISBLANK(AN6),"·",AN6/C6)</f>
        <v>12.748480508911383</v>
      </c>
      <c r="AH6" s="28">
        <f>IF(AK6="","·",AK6/C6)</f>
        <v>1.6686089638707295</v>
      </c>
      <c r="AI6" s="28">
        <f>IF(AO6="","·",AO6/C6)</f>
        <v>1.5278087118798591</v>
      </c>
      <c r="AJ6" s="28">
        <f>IF(ISBLANK(AQ6),"·",AQ6/C6)</f>
        <v>11.079758544650316</v>
      </c>
      <c r="AK6" s="25">
        <f>IF(OR(ISBLANK(AO6),ISBLANK(AP6)),"",AO6+AP6)</f>
        <v>37801984</v>
      </c>
      <c r="AL6" s="28">
        <f>IF(ISBLANK(AN6),"·",AN6/AM6)</f>
        <v>12.748480508911383</v>
      </c>
      <c r="AM6" s="29">
        <v>22654789</v>
      </c>
      <c r="AN6" s="30">
        <v>288814136</v>
      </c>
      <c r="AO6" s="30">
        <v>34612184</v>
      </c>
      <c r="AP6" s="30">
        <v>3189800</v>
      </c>
      <c r="AQ6" s="30">
        <v>251009592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5957.95</v>
      </c>
      <c r="AX6" s="32">
        <v>6079.87</v>
      </c>
      <c r="AY6" s="32">
        <v>2.8079999999999998</v>
      </c>
      <c r="AZ6" s="32">
        <v>20.196000000000002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3">AM6-P6</f>
        <v>0</v>
      </c>
      <c r="BI6" s="4">
        <f t="shared" si="2"/>
        <v>0</v>
      </c>
      <c r="BJ6" s="4">
        <f t="shared" si="2"/>
        <v>0</v>
      </c>
      <c r="BK6" s="4">
        <f t="shared" si="2"/>
        <v>0</v>
      </c>
      <c r="BL6" s="4">
        <f t="shared" si="2"/>
        <v>0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0.32540039362881473</v>
      </c>
      <c r="I7" s="17">
        <f>IF(OR(ISBLANK(Q7),ISBLANK(F7)),"·",Q7*F7/E7/1000000)</f>
        <v>310.68564750000002</v>
      </c>
      <c r="J7" s="18">
        <f>IF(ISBLANK(Q7),"·",Q7/C7)</f>
        <v>9.7620118088644432</v>
      </c>
      <c r="K7" s="18">
        <f>IF(N7="","·",N7/C7)</f>
        <v>1.4943915817846725</v>
      </c>
      <c r="L7" s="18">
        <f>IF(R7="","·",R7/C7)</f>
        <v>1.3811864467591017</v>
      </c>
      <c r="M7" s="18">
        <f>IF(ISBLANK(T7),"·",T7/C7)</f>
        <v>8.2675448170036052</v>
      </c>
      <c r="N7" s="15">
        <f>IF(OR(ISBLANK(R7),ISBLANK(S7)),"",R7+S7)</f>
        <v>50731184</v>
      </c>
      <c r="O7" s="18">
        <f>IF(ISBLANK(Q7),"·",Q7/P7)</f>
        <v>9.7620118088644432</v>
      </c>
      <c r="P7" s="19">
        <v>33947718</v>
      </c>
      <c r="Q7" s="20">
        <v>331398024</v>
      </c>
      <c r="R7" s="20">
        <v>46888128</v>
      </c>
      <c r="S7" s="20">
        <v>3843056</v>
      </c>
      <c r="T7" s="20">
        <v>280664280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5422.14</v>
      </c>
      <c r="AA7" s="22">
        <v>8108.62</v>
      </c>
      <c r="AB7" s="22">
        <v>4.556</v>
      </c>
      <c r="AC7" s="22">
        <v>30.448</v>
      </c>
      <c r="AE7" s="23">
        <f>IF(ISBLANK(AN7),"·",AN7/(C7*D7*3))</f>
        <v>0.32540039362881473</v>
      </c>
      <c r="AF7" s="17">
        <f>IF(OR(ISBLANK(AN7),ISBLANK(F7)),"·",AN7*F7/E7/1000000)</f>
        <v>310.68564750000002</v>
      </c>
      <c r="AG7" s="18">
        <f>IF(ISBLANK(AN7),"·",AN7/C7)</f>
        <v>9.7620118088644432</v>
      </c>
      <c r="AH7" s="18">
        <f>IF(AK7="","·",AK7/C7)</f>
        <v>1.4943915817846725</v>
      </c>
      <c r="AI7" s="18">
        <f>IF(AO7="","·",AO7/C7)</f>
        <v>1.3811864467591017</v>
      </c>
      <c r="AJ7" s="18">
        <f>IF(ISBLANK(AQ7),"·",AQ7/C7)</f>
        <v>8.2675448170036052</v>
      </c>
      <c r="AK7" s="15">
        <f>IF(OR(ISBLANK(AO7),ISBLANK(AP7)),"",AO7+AP7)</f>
        <v>50731184</v>
      </c>
      <c r="AL7" s="18">
        <f>IF(ISBLANK(AN7),"·",AN7/AM7)</f>
        <v>9.7620118088644432</v>
      </c>
      <c r="AM7" s="19">
        <v>33947718</v>
      </c>
      <c r="AN7" s="20">
        <v>331398024</v>
      </c>
      <c r="AO7" s="20">
        <v>46888128</v>
      </c>
      <c r="AP7" s="20">
        <v>3843056</v>
      </c>
      <c r="AQ7" s="20">
        <v>280664280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10054.1</v>
      </c>
      <c r="AX7" s="22">
        <v>8450.36</v>
      </c>
      <c r="AY7" s="22">
        <v>4.2560000000000002</v>
      </c>
      <c r="AZ7" s="22">
        <v>24.423999999999999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3"/>
        <v>0</v>
      </c>
      <c r="BI7" s="4">
        <f t="shared" si="2"/>
        <v>0</v>
      </c>
      <c r="BJ7" s="4">
        <f t="shared" si="2"/>
        <v>0</v>
      </c>
      <c r="BK7" s="4">
        <f t="shared" si="2"/>
        <v>0</v>
      </c>
      <c r="BL7" s="4">
        <f t="shared" si="2"/>
        <v>0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0.25481219604534788</v>
      </c>
      <c r="I8" s="47">
        <f>IF(OR(ISBLANK(Q8),ISBLANK(F8)),"·",Q8*F8/E8/1000000)</f>
        <v>384.72233749999998</v>
      </c>
      <c r="J8" s="48">
        <f>IF(ISBLANK(Q8),"·",Q8/C8)</f>
        <v>7.6443658813604358</v>
      </c>
      <c r="K8" s="48">
        <f>IF(N8="","·",N8/C8)</f>
        <v>0.9869620721968263</v>
      </c>
      <c r="L8" s="48">
        <f>IF(R8="","·",R8/C8)</f>
        <v>0.8366470873334424</v>
      </c>
      <c r="M8" s="48">
        <f>IF(ISBLANK(T8),"·",T8/C8)</f>
        <v>6.6573243298598497</v>
      </c>
      <c r="N8" s="45">
        <f>IF(OR(ISBLANK(R8),ISBLANK(S8)),"",R8+S8)</f>
        <v>31789696</v>
      </c>
      <c r="O8" s="48">
        <f>IF(ISBLANK(Q8),"·",Q8/P8)</f>
        <v>7.6443658813604358</v>
      </c>
      <c r="P8" s="49">
        <v>32209643</v>
      </c>
      <c r="Q8" s="50">
        <v>246222296</v>
      </c>
      <c r="R8" s="50">
        <v>26948104</v>
      </c>
      <c r="S8" s="50">
        <v>4841592</v>
      </c>
      <c r="T8" s="50">
        <v>214430040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7970.12</v>
      </c>
      <c r="AA8" s="52">
        <v>5417.78</v>
      </c>
      <c r="AB8" s="52">
        <v>3.3559999999999999</v>
      </c>
      <c r="AC8" s="52">
        <v>18.071999999999999</v>
      </c>
      <c r="AE8" s="53">
        <f>IF(ISBLANK(AN8),"·",AN8/(C8*D8*3))</f>
        <v>0.25481219604534788</v>
      </c>
      <c r="AF8" s="47">
        <f>IF(OR(ISBLANK(AN8),ISBLANK(F8)),"·",AN8*F8/E8/1000000)</f>
        <v>384.72233749999998</v>
      </c>
      <c r="AG8" s="48">
        <f>IF(ISBLANK(AN8),"·",AN8/C8)</f>
        <v>7.6443658813604358</v>
      </c>
      <c r="AH8" s="48">
        <f>IF(AK8="","·",AK8/C8)</f>
        <v>0.9869620721968263</v>
      </c>
      <c r="AI8" s="48">
        <f>IF(AO8="","·",AO8/C8)</f>
        <v>0.8366470873334424</v>
      </c>
      <c r="AJ8" s="48">
        <f>IF(ISBLANK(AQ8),"·",AQ8/C8)</f>
        <v>6.6573243298598497</v>
      </c>
      <c r="AK8" s="45">
        <f>IF(OR(ISBLANK(AO8),ISBLANK(AP8)),"",AO8+AP8)</f>
        <v>31789696</v>
      </c>
      <c r="AL8" s="48">
        <f>IF(ISBLANK(AN8),"·",AN8/AM8)</f>
        <v>7.6443658813604358</v>
      </c>
      <c r="AM8" s="49">
        <v>32209643</v>
      </c>
      <c r="AN8" s="50">
        <v>246222296</v>
      </c>
      <c r="AO8" s="50">
        <v>26948104</v>
      </c>
      <c r="AP8" s="50">
        <v>4841592</v>
      </c>
      <c r="AQ8" s="50">
        <v>214430040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9849.9</v>
      </c>
      <c r="AX8" s="52">
        <v>5877.2</v>
      </c>
      <c r="AY8" s="52">
        <v>3.7080000000000002</v>
      </c>
      <c r="AZ8" s="52">
        <v>24.204000000000001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3"/>
        <v>0</v>
      </c>
      <c r="BI8" s="4">
        <f t="shared" si="2"/>
        <v>0</v>
      </c>
      <c r="BJ8" s="4">
        <f t="shared" si="2"/>
        <v>0</v>
      </c>
      <c r="BK8" s="4">
        <f t="shared" si="2"/>
        <v>0</v>
      </c>
      <c r="BL8" s="4">
        <f t="shared" si="2"/>
        <v>0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0.50131075636897127</v>
      </c>
      <c r="I9" s="37">
        <f>IF(OR(ISBLANK(Q9),ISBLANK(F9)),"·",Q9*F9/E9/1000000)</f>
        <v>356.88887999999997</v>
      </c>
      <c r="J9" s="38">
        <f>IF(ISBLANK(Q9),"·",Q9/C9)</f>
        <v>15.039322691069138</v>
      </c>
      <c r="K9" s="38">
        <f>IF(N9="","·",N9/C9)</f>
        <v>1.5141355180431668</v>
      </c>
      <c r="L9" s="38">
        <f>IF(R9="","·",R9/C9)</f>
        <v>1.4138883981326471</v>
      </c>
      <c r="M9" s="38">
        <f>IF(ISBLANK(T9),"·",T9/C9)</f>
        <v>13.525086036855917</v>
      </c>
      <c r="N9" s="35">
        <f>IF(OR(ISBLANK(R9),ISBLANK(S9)),"",R9+S9)</f>
        <v>38326416</v>
      </c>
      <c r="O9" s="38">
        <f>IF(ISBLANK(Q9),"·",Q9/P9)</f>
        <v>15.039322691069138</v>
      </c>
      <c r="P9" s="39">
        <v>25312408</v>
      </c>
      <c r="Q9" s="40">
        <v>380681472</v>
      </c>
      <c r="R9" s="40">
        <v>35788920</v>
      </c>
      <c r="S9" s="40">
        <v>2537496</v>
      </c>
      <c r="T9" s="40">
        <v>342352496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7267.6</v>
      </c>
      <c r="AA9" s="42">
        <v>6928.24</v>
      </c>
      <c r="AB9" s="42">
        <v>4.92</v>
      </c>
      <c r="AC9" s="42">
        <v>57.088000000000001</v>
      </c>
      <c r="AE9" s="43">
        <f>IF(ISBLANK(AN9),"·",AN9/(C9*D9*3))</f>
        <v>0.50131075636897127</v>
      </c>
      <c r="AF9" s="37">
        <f>IF(OR(ISBLANK(AN9),ISBLANK(F9)),"·",AN9*F9/E9/1000000)</f>
        <v>356.88887999999997</v>
      </c>
      <c r="AG9" s="38">
        <f>IF(ISBLANK(AN9),"·",AN9/C9)</f>
        <v>15.039322691069138</v>
      </c>
      <c r="AH9" s="38">
        <f>IF(AK9="","·",AK9/C9)</f>
        <v>1.5141355180431668</v>
      </c>
      <c r="AI9" s="38">
        <f>IF(AO9="","·",AO9/C9)</f>
        <v>1.4138883981326471</v>
      </c>
      <c r="AJ9" s="38">
        <f>IF(ISBLANK(AQ9),"·",AQ9/C9)</f>
        <v>13.525086036855917</v>
      </c>
      <c r="AK9" s="35">
        <f>IF(OR(ISBLANK(AO9),ISBLANK(AP9)),"",AO9+AP9)</f>
        <v>38326416</v>
      </c>
      <c r="AL9" s="38">
        <f>IF(ISBLANK(AN9),"·",AN9/AM9)</f>
        <v>15.039322691069138</v>
      </c>
      <c r="AM9" s="39">
        <v>25312408</v>
      </c>
      <c r="AN9" s="40">
        <v>380681472</v>
      </c>
      <c r="AO9" s="40">
        <v>35788920</v>
      </c>
      <c r="AP9" s="40">
        <v>2537496</v>
      </c>
      <c r="AQ9" s="40">
        <v>342352496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7443.68</v>
      </c>
      <c r="AX9" s="42">
        <v>6887.48</v>
      </c>
      <c r="AY9" s="42">
        <v>4.8239999999999998</v>
      </c>
      <c r="AZ9" s="42">
        <v>43.444000000000003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3"/>
        <v>0</v>
      </c>
      <c r="BI9" s="4">
        <f t="shared" si="2"/>
        <v>0</v>
      </c>
      <c r="BJ9" s="4">
        <f t="shared" si="2"/>
        <v>0</v>
      </c>
      <c r="BK9" s="4">
        <f t="shared" si="2"/>
        <v>0</v>
      </c>
      <c r="BL9" s="4">
        <f t="shared" si="2"/>
        <v>0</v>
      </c>
    </row>
    <row r="10" spans="1:64">
      <c r="B10" s="55" t="s">
        <v>286</v>
      </c>
      <c r="J10" s="56">
        <f>AVERAGE(J5:J8)</f>
        <v>9.7538370719447745</v>
      </c>
      <c r="K10" s="56">
        <f>AVERAGE(K5:K8)</f>
        <v>1.3765336117756495</v>
      </c>
      <c r="L10" s="56">
        <f>AVERAGE(L5:L8)</f>
        <v>1.2552935634517746</v>
      </c>
      <c r="M10" s="56">
        <f>AVERAGE(M5:M8)</f>
        <v>8.3772108511595853</v>
      </c>
      <c r="AG10" s="56">
        <f>AVERAGE(AG5:AG8)</f>
        <v>9.7538370719447745</v>
      </c>
      <c r="AH10" s="56">
        <f>AVERAGE(AH5:AH8)</f>
        <v>1.3765336117756495</v>
      </c>
      <c r="AI10" s="56">
        <f>AVERAGE(AI5:AI8)</f>
        <v>1.2552935634517746</v>
      </c>
      <c r="AJ10" s="56">
        <f>AVERAGE(AJ5:AJ8)</f>
        <v>8.3772108511595853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4">
      <c r="B11" s="55" t="s">
        <v>287</v>
      </c>
      <c r="J11" s="56">
        <f>AVERAGE(J9:J9)</f>
        <v>15.039322691069138</v>
      </c>
      <c r="K11" s="56">
        <f>AVERAGE(K9:K9)</f>
        <v>1.5141355180431668</v>
      </c>
      <c r="L11" s="56">
        <f>AVERAGE(L9:L9)</f>
        <v>1.4138883981326471</v>
      </c>
      <c r="M11" s="56">
        <f>AVERAGE(M9:M9)</f>
        <v>13.525086036855917</v>
      </c>
      <c r="AG11" s="56">
        <f>AVERAGE(AG9:AG9)</f>
        <v>15.039322691069138</v>
      </c>
      <c r="AH11" s="56">
        <f>AVERAGE(AH9:AH9)</f>
        <v>1.5141355180431668</v>
      </c>
      <c r="AI11" s="56">
        <f>AVERAGE(AI9:AI9)</f>
        <v>1.4138883981326471</v>
      </c>
      <c r="AJ11" s="56">
        <f>AVERAGE(AJ9:AJ9)</f>
        <v>13.525086036855917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4" collapsed="1">
      <c r="B12" s="55" t="s">
        <v>288</v>
      </c>
      <c r="J12" s="56">
        <f>AVERAGE(J5:J9)</f>
        <v>10.810934195769647</v>
      </c>
      <c r="K12" s="56">
        <f>AVERAGE(K5:K9)</f>
        <v>1.4040539930291529</v>
      </c>
      <c r="L12" s="56">
        <f>AVERAGE(L5:L9)</f>
        <v>1.2870125303879489</v>
      </c>
      <c r="M12" s="56">
        <f>AVERAGE(M5:M9)</f>
        <v>9.4067858882988524</v>
      </c>
      <c r="AG12" s="56">
        <f>AVERAGE(AG5:AG9)</f>
        <v>10.810934195769647</v>
      </c>
      <c r="AH12" s="56">
        <f>AVERAGE(AH5:AH9)</f>
        <v>1.4040539930291529</v>
      </c>
      <c r="AI12" s="56">
        <f>AVERAGE(AI5:AI9)</f>
        <v>1.2870125303879489</v>
      </c>
      <c r="AJ12" s="56">
        <f>AVERAGE(AJ5:AJ9)</f>
        <v>9.4067858882988524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4" hidden="1" outlineLevel="2">
      <c r="A13" s="55" t="s">
        <v>289</v>
      </c>
      <c r="B13" s="55" t="s">
        <v>290</v>
      </c>
      <c r="Z13" s="57">
        <f>SUM(Z5:Z8,Z9:Z9)</f>
        <v>27442.35</v>
      </c>
      <c r="AA13" s="57">
        <f>SUM(AA5:AA8,AA9:AA9)</f>
        <v>30366.14</v>
      </c>
      <c r="AB13" s="57">
        <f>SUM(AB5:AB8,AB9:AB9)</f>
        <v>18.815999999999999</v>
      </c>
      <c r="AC13" s="57">
        <f>SUM(AC5:AC8,AC9:AC9)</f>
        <v>147.864</v>
      </c>
      <c r="AW13" s="57">
        <f>SUM(AW5:AW8,AW9:AW9)</f>
        <v>39886.870000000003</v>
      </c>
      <c r="AX13" s="57">
        <f>SUM(AX5:AX8,AX9:AX9)</f>
        <v>33196.410000000003</v>
      </c>
      <c r="AY13" s="57">
        <f>SUM(AY5:AY8,AY9:AY9)</f>
        <v>18.664000000000001</v>
      </c>
      <c r="AZ13" s="57">
        <f>SUM(AZ5:AZ8,AZ9:AZ9)</f>
        <v>131.42400000000001</v>
      </c>
    </row>
    <row r="14" spans="1:64" hidden="1" outlineLevel="2">
      <c r="B14" s="55" t="s">
        <v>291</v>
      </c>
      <c r="AW14" s="8">
        <f>AW13/Z13</f>
        <v>1.4534786561646509</v>
      </c>
      <c r="AX14" s="8">
        <f>AX13/AA13</f>
        <v>1.0932047998197993</v>
      </c>
      <c r="AY14" s="8">
        <f>AY13/AB13</f>
        <v>0.99192176870748316</v>
      </c>
      <c r="AZ14" s="8">
        <f>AZ13/AC13</f>
        <v>0.88881675052751175</v>
      </c>
    </row>
    <row r="15" spans="1:64" hidden="1" outlineLevel="2">
      <c r="B15" s="55" t="s">
        <v>292</v>
      </c>
      <c r="Z15" s="57">
        <f>GEOMEAN(Z5:Z8,Z9:Z9)</f>
        <v>5141.5539829662603</v>
      </c>
      <c r="AA15" s="57">
        <f>GEOMEAN(AA5:AA8,AA9:AA9)</f>
        <v>5920.1236038955094</v>
      </c>
      <c r="AB15" s="57">
        <f>GEOMEAN(AB5:AB8,AB9:AB9)</f>
        <v>3.6749722334016237</v>
      </c>
      <c r="AC15" s="57">
        <f>GEOMEAN(AC5:AC8,AC9:AC9)</f>
        <v>26.854385983157858</v>
      </c>
      <c r="AW15" s="57">
        <f>GEOMEAN(AW5:AW8,AW9:AW9)</f>
        <v>7801.7756937904705</v>
      </c>
      <c r="AX15" s="57">
        <f>GEOMEAN(AX5:AX8,AX9:AX9)</f>
        <v>6573.4376401044083</v>
      </c>
      <c r="AY15" s="57">
        <f>GEOMEAN(AY5:AY8,AY9:AY9)</f>
        <v>3.6589815576993248</v>
      </c>
      <c r="AZ15" s="57">
        <f>GEOMEAN(AZ5:AZ8,AZ9:AZ9)</f>
        <v>25.086541141336301</v>
      </c>
    </row>
    <row r="16" spans="1:64" outlineLevel="2" collapsed="1">
      <c r="B16" s="55" t="s">
        <v>293</v>
      </c>
      <c r="AW16" s="8">
        <f>AW15/Z15</f>
        <v>1.5173964368821968</v>
      </c>
      <c r="AX16" s="8">
        <f>AX15/AA15</f>
        <v>1.1103547966091469</v>
      </c>
      <c r="AY16" s="8">
        <f>AY15/AB15</f>
        <v>0.99564876285133241</v>
      </c>
      <c r="AZ16" s="8">
        <f>AZ15/AC15</f>
        <v>0.9341692324326355</v>
      </c>
    </row>
    <row r="23" spans="41:41">
      <c r="AO23" s="4"/>
    </row>
    <row r="24" spans="41:41">
      <c r="AO24" s="4"/>
    </row>
    <row r="25" spans="41:41">
      <c r="AO25" s="4"/>
    </row>
    <row r="26" spans="41:41">
      <c r="AO26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23"/>
  <sheetViews>
    <sheetView zoomScale="85" zoomScaleNormal="85" workbookViewId="0">
      <pane xSplit="2" topLeftCell="AP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439</v>
      </c>
      <c r="B1" s="74"/>
      <c r="C1" s="74"/>
      <c r="D1" s="74"/>
      <c r="E1" s="74"/>
      <c r="F1" s="74"/>
      <c r="H1" s="62" t="s">
        <v>547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0.29286802857457095</v>
      </c>
      <c r="I5" s="17">
        <f>IF(OR(ISBLANK(Q5),ISBLANK(F5)),"·",Q5*F5/E5/1000000)</f>
        <v>205.62911249999999</v>
      </c>
      <c r="J5" s="18">
        <f>IF(ISBLANK(Q5),"·",Q5/C5)</f>
        <v>8.7860408572371291</v>
      </c>
      <c r="K5" s="18">
        <f>IF(N5="","·",N5/C5)</f>
        <v>1.3511775055468118</v>
      </c>
      <c r="L5" s="18">
        <f>IF(R5="","·",R5/C5)</f>
        <v>1.2699522090328761</v>
      </c>
      <c r="M5" s="18">
        <f>IF(ISBLANK(T5),"·",T5/C5)</f>
        <v>7.4347608054224219</v>
      </c>
      <c r="N5" s="15">
        <f>IF(OR(ISBLANK(R5),ISBLANK(S5)),"",R5+S5)</f>
        <v>33731256</v>
      </c>
      <c r="O5" s="18">
        <f>IF(ISBLANK(Q5),"·",Q5/P5)</f>
        <v>8.7860408572371291</v>
      </c>
      <c r="P5" s="19">
        <v>24964341</v>
      </c>
      <c r="Q5" s="20">
        <v>219337720</v>
      </c>
      <c r="R5" s="20">
        <v>31703520</v>
      </c>
      <c r="S5" s="20">
        <v>2027736</v>
      </c>
      <c r="T5" s="20">
        <v>185603904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7262.08</v>
      </c>
      <c r="AA5" s="22">
        <v>7107.53</v>
      </c>
      <c r="AB5" s="22">
        <v>4.0679999999999996</v>
      </c>
      <c r="AC5" s="22">
        <v>23.956</v>
      </c>
      <c r="AD5" s="22">
        <v>19.712</v>
      </c>
      <c r="AE5" s="23">
        <f>IF(ISBLANK(AN5),"·",AN5/(C5*D5*3))</f>
        <v>0.29286802857457095</v>
      </c>
      <c r="AF5" s="17">
        <f>IF(OR(ISBLANK(AN5),ISBLANK(F5)),"·",AN5*F5/E5/1000000)</f>
        <v>205.62911249999999</v>
      </c>
      <c r="AG5" s="18">
        <f>IF(ISBLANK(AN5),"·",AN5/C5)</f>
        <v>8.7860408572371291</v>
      </c>
      <c r="AH5" s="18">
        <f>IF(AK5="","·",AK5/C5)</f>
        <v>1.3511775055468118</v>
      </c>
      <c r="AI5" s="18">
        <f>IF(AO5="","·",AO5/C5)</f>
        <v>1.2699522090328761</v>
      </c>
      <c r="AJ5" s="18">
        <f>IF(ISBLANK(AQ5),"·",AQ5/C5)</f>
        <v>7.4347608054224219</v>
      </c>
      <c r="AK5" s="15">
        <f>IF(OR(ISBLANK(AO5),ISBLANK(AP5)),"",AO5+AP5)</f>
        <v>33731256</v>
      </c>
      <c r="AL5" s="18">
        <f>IF(ISBLANK(AN5),"·",AN5/AM5)</f>
        <v>8.7860408572371291</v>
      </c>
      <c r="AM5" s="19">
        <v>24964341</v>
      </c>
      <c r="AN5" s="20">
        <v>219337720</v>
      </c>
      <c r="AO5" s="20">
        <v>31703520</v>
      </c>
      <c r="AP5" s="20">
        <v>2027736</v>
      </c>
      <c r="AQ5" s="20">
        <v>185603904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7266.43</v>
      </c>
      <c r="AX5" s="22">
        <v>7045.89</v>
      </c>
      <c r="AY5" s="22">
        <v>4.508</v>
      </c>
      <c r="AZ5" s="22">
        <v>33.584000000000003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AM5-P5</f>
        <v>0</v>
      </c>
      <c r="BI5" s="4">
        <f t="shared" ref="BI5:BL9" si="2">AN5-Q5</f>
        <v>0</v>
      </c>
      <c r="BJ5" s="4">
        <f t="shared" si="2"/>
        <v>0</v>
      </c>
      <c r="BK5" s="4">
        <f t="shared" si="2"/>
        <v>0</v>
      </c>
      <c r="BL5" s="4">
        <f t="shared" si="2"/>
        <v>0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0.42262391997265275</v>
      </c>
      <c r="I6" s="27">
        <f>IF(OR(ISBLANK(Q6),ISBLANK(F6)),"·",Q6*F6/E6/1000000)</f>
        <v>269.28156749999999</v>
      </c>
      <c r="J6" s="28">
        <f>IF(ISBLANK(Q6),"·",Q6/C6)</f>
        <v>12.678717599179581</v>
      </c>
      <c r="K6" s="28">
        <f>IF(N6="","·",N6/C6)</f>
        <v>1.675194061617612</v>
      </c>
      <c r="L6" s="28">
        <f>IF(R6="","·",R6/C6)</f>
        <v>1.5267694614149794</v>
      </c>
      <c r="M6" s="28">
        <f>IF(ISBLANK(T6),"·",T6/C6)</f>
        <v>11.003410537171632</v>
      </c>
      <c r="N6" s="25">
        <f>IF(OR(ISBLANK(R6),ISBLANK(S6)),"",R6+S6)</f>
        <v>37951168</v>
      </c>
      <c r="O6" s="28">
        <f>IF(ISBLANK(Q6),"·",Q6/P6)</f>
        <v>12.678717599179581</v>
      </c>
      <c r="P6" s="29">
        <v>22654789</v>
      </c>
      <c r="Q6" s="30">
        <v>287233672</v>
      </c>
      <c r="R6" s="30">
        <v>34588640</v>
      </c>
      <c r="S6" s="30">
        <v>3362528</v>
      </c>
      <c r="T6" s="30">
        <v>249279944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5993.7</v>
      </c>
      <c r="AA6" s="32">
        <v>9849.7900000000009</v>
      </c>
      <c r="AB6" s="32">
        <v>2.9159999999999999</v>
      </c>
      <c r="AC6" s="32">
        <v>22.128</v>
      </c>
      <c r="AD6" s="32">
        <v>32.856000000000002</v>
      </c>
      <c r="AE6" s="33">
        <f>IF(ISBLANK(AN6),"·",AN6/(C6*D6*3))</f>
        <v>0.42262391997265275</v>
      </c>
      <c r="AF6" s="27">
        <f>IF(OR(ISBLANK(AN6),ISBLANK(F6)),"·",AN6*F6/E6/1000000)</f>
        <v>269.28156749999999</v>
      </c>
      <c r="AG6" s="28">
        <f>IF(ISBLANK(AN6),"·",AN6/C6)</f>
        <v>12.678717599179581</v>
      </c>
      <c r="AH6" s="28">
        <f>IF(AK6="","·",AK6/C6)</f>
        <v>1.675194061617612</v>
      </c>
      <c r="AI6" s="28">
        <f>IF(AO6="","·",AO6/C6)</f>
        <v>1.5267694614149794</v>
      </c>
      <c r="AJ6" s="28">
        <f>IF(ISBLANK(AQ6),"·",AQ6/C6)</f>
        <v>11.003410537171632</v>
      </c>
      <c r="AK6" s="25">
        <f>IF(OR(ISBLANK(AO6),ISBLANK(AP6)),"",AO6+AP6)</f>
        <v>37951168</v>
      </c>
      <c r="AL6" s="28">
        <f>IF(ISBLANK(AN6),"·",AN6/AM6)</f>
        <v>12.678717599179581</v>
      </c>
      <c r="AM6" s="29">
        <v>22654789</v>
      </c>
      <c r="AN6" s="30">
        <v>287233672</v>
      </c>
      <c r="AO6" s="30">
        <v>34588640</v>
      </c>
      <c r="AP6" s="30">
        <v>3362528</v>
      </c>
      <c r="AQ6" s="30">
        <v>249279944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6199.1</v>
      </c>
      <c r="AX6" s="32">
        <v>9733.6200000000008</v>
      </c>
      <c r="AY6" s="32">
        <v>3.5720000000000001</v>
      </c>
      <c r="AZ6" s="32">
        <v>31.263999999999999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3">AM6-P6</f>
        <v>0</v>
      </c>
      <c r="BI6" s="4">
        <f t="shared" si="2"/>
        <v>0</v>
      </c>
      <c r="BJ6" s="4">
        <f t="shared" si="2"/>
        <v>0</v>
      </c>
      <c r="BK6" s="4">
        <f t="shared" si="2"/>
        <v>0</v>
      </c>
      <c r="BL6" s="4">
        <f t="shared" si="2"/>
        <v>0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0.32102606720133586</v>
      </c>
      <c r="I7" s="17">
        <f>IF(OR(ISBLANK(Q7),ISBLANK(F7)),"·",Q7*F7/E7/1000000)</f>
        <v>306.50913000000003</v>
      </c>
      <c r="J7" s="18">
        <f>IF(ISBLANK(Q7),"·",Q7/C7)</f>
        <v>9.6307820160400759</v>
      </c>
      <c r="K7" s="18">
        <f>IF(N7="","·",N7/C7)</f>
        <v>1.4772327259228442</v>
      </c>
      <c r="L7" s="18">
        <f>IF(R7="","·",R7/C7)</f>
        <v>1.3633168509294205</v>
      </c>
      <c r="M7" s="18">
        <f>IF(ISBLANK(T7),"·",T7/C7)</f>
        <v>8.1534738800410675</v>
      </c>
      <c r="N7" s="15">
        <f>IF(OR(ISBLANK(R7),ISBLANK(S7)),"",R7+S7)</f>
        <v>50148680</v>
      </c>
      <c r="O7" s="18">
        <f>IF(ISBLANK(Q7),"·",Q7/P7)</f>
        <v>9.6307820160400759</v>
      </c>
      <c r="P7" s="19">
        <v>33947718</v>
      </c>
      <c r="Q7" s="20">
        <v>326943072</v>
      </c>
      <c r="R7" s="20">
        <v>46281496</v>
      </c>
      <c r="S7" s="20">
        <v>3867184</v>
      </c>
      <c r="T7" s="20">
        <v>276791832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9484.56</v>
      </c>
      <c r="AA7" s="22">
        <v>10463.1</v>
      </c>
      <c r="AB7" s="22">
        <v>5.8559999999999999</v>
      </c>
      <c r="AC7" s="22">
        <v>37.892000000000003</v>
      </c>
      <c r="AD7" s="22">
        <v>34.671999999999997</v>
      </c>
      <c r="AE7" s="23">
        <f>IF(ISBLANK(AN7),"·",AN7/(C7*D7*3))</f>
        <v>0.32102606720133586</v>
      </c>
      <c r="AF7" s="17">
        <f>IF(OR(ISBLANK(AN7),ISBLANK(F7)),"·",AN7*F7/E7/1000000)</f>
        <v>306.50913000000003</v>
      </c>
      <c r="AG7" s="18">
        <f>IF(ISBLANK(AN7),"·",AN7/C7)</f>
        <v>9.6307820160400759</v>
      </c>
      <c r="AH7" s="18">
        <f>IF(AK7="","·",AK7/C7)</f>
        <v>1.4772327259228442</v>
      </c>
      <c r="AI7" s="18">
        <f>IF(AO7="","·",AO7/C7)</f>
        <v>1.3633168509294205</v>
      </c>
      <c r="AJ7" s="18">
        <f>IF(ISBLANK(AQ7),"·",AQ7/C7)</f>
        <v>8.1534738800410675</v>
      </c>
      <c r="AK7" s="15">
        <f>IF(OR(ISBLANK(AO7),ISBLANK(AP7)),"",AO7+AP7)</f>
        <v>50148680</v>
      </c>
      <c r="AL7" s="18">
        <f>IF(ISBLANK(AN7),"·",AN7/AM7)</f>
        <v>9.6307820160400759</v>
      </c>
      <c r="AM7" s="19">
        <v>33947718</v>
      </c>
      <c r="AN7" s="20">
        <v>326943072</v>
      </c>
      <c r="AO7" s="20">
        <v>46281496</v>
      </c>
      <c r="AP7" s="20">
        <v>3867184</v>
      </c>
      <c r="AQ7" s="20">
        <v>276791832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8206.07</v>
      </c>
      <c r="AX7" s="22">
        <v>10425.200000000001</v>
      </c>
      <c r="AY7" s="22">
        <v>5.1479999999999997</v>
      </c>
      <c r="AZ7" s="22">
        <v>32.892000000000003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3"/>
        <v>0</v>
      </c>
      <c r="BI7" s="4">
        <f t="shared" si="2"/>
        <v>0</v>
      </c>
      <c r="BJ7" s="4">
        <f t="shared" si="2"/>
        <v>0</v>
      </c>
      <c r="BK7" s="4">
        <f t="shared" si="2"/>
        <v>0</v>
      </c>
      <c r="BL7" s="4">
        <f t="shared" si="2"/>
        <v>0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0.2407559334534278</v>
      </c>
      <c r="I8" s="47">
        <f>IF(OR(ISBLANK(Q8),ISBLANK(F8)),"·",Q8*F8/E8/1000000)</f>
        <v>363.49981250000002</v>
      </c>
      <c r="J8" s="48">
        <f>IF(ISBLANK(Q8),"·",Q8/C8)</f>
        <v>7.2226780036028337</v>
      </c>
      <c r="K8" s="48">
        <f>IF(N8="","·",N8/C8)</f>
        <v>0.88901177824293176</v>
      </c>
      <c r="L8" s="48">
        <f>IF(R8="","·",R8/C8)</f>
        <v>0.78847070735928371</v>
      </c>
      <c r="M8" s="48">
        <f>IF(ISBLANK(T8),"·",T8/C8)</f>
        <v>6.3335867460561426</v>
      </c>
      <c r="N8" s="45">
        <f>IF(OR(ISBLANK(R8),ISBLANK(S8)),"",R8+S8)</f>
        <v>28634752</v>
      </c>
      <c r="O8" s="48">
        <f>IF(ISBLANK(Q8),"·",Q8/P8)</f>
        <v>7.2226780036028337</v>
      </c>
      <c r="P8" s="49">
        <v>32209643</v>
      </c>
      <c r="Q8" s="50">
        <v>232639880</v>
      </c>
      <c r="R8" s="50">
        <v>25396360</v>
      </c>
      <c r="S8" s="50">
        <v>3238392</v>
      </c>
      <c r="T8" s="50">
        <v>204002568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9460.58</v>
      </c>
      <c r="AA8" s="52">
        <v>6561.79</v>
      </c>
      <c r="AB8" s="52">
        <v>3.74</v>
      </c>
      <c r="AC8" s="52">
        <v>22.391999999999999</v>
      </c>
      <c r="AD8" s="52">
        <v>26.904</v>
      </c>
      <c r="AE8" s="53">
        <f>IF(ISBLANK(AN8),"·",AN8/(C8*D8*3))</f>
        <v>0.2407559334534278</v>
      </c>
      <c r="AF8" s="47">
        <f>IF(OR(ISBLANK(AN8),ISBLANK(F8)),"·",AN8*F8/E8/1000000)</f>
        <v>363.49981250000002</v>
      </c>
      <c r="AG8" s="48">
        <f>IF(ISBLANK(AN8),"·",AN8/C8)</f>
        <v>7.2226780036028337</v>
      </c>
      <c r="AH8" s="48">
        <f>IF(AK8="","·",AK8/C8)</f>
        <v>0.88901177824293176</v>
      </c>
      <c r="AI8" s="48">
        <f>IF(AO8="","·",AO8/C8)</f>
        <v>0.78847070735928371</v>
      </c>
      <c r="AJ8" s="48">
        <f>IF(ISBLANK(AQ8),"·",AQ8/C8)</f>
        <v>6.3335867460561426</v>
      </c>
      <c r="AK8" s="45">
        <f>IF(OR(ISBLANK(AO8),ISBLANK(AP8)),"",AO8+AP8)</f>
        <v>28634752</v>
      </c>
      <c r="AL8" s="48">
        <f>IF(ISBLANK(AN8),"·",AN8/AM8)</f>
        <v>7.2226780036028337</v>
      </c>
      <c r="AM8" s="49">
        <v>32209643</v>
      </c>
      <c r="AN8" s="50">
        <v>232639880</v>
      </c>
      <c r="AO8" s="50">
        <v>25396360</v>
      </c>
      <c r="AP8" s="50">
        <v>3238392</v>
      </c>
      <c r="AQ8" s="50">
        <v>204002568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6308.29</v>
      </c>
      <c r="AX8" s="52">
        <v>7001.9</v>
      </c>
      <c r="AY8" s="52">
        <v>4.1159999999999997</v>
      </c>
      <c r="AZ8" s="52">
        <v>25.084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3"/>
        <v>0</v>
      </c>
      <c r="BI8" s="4">
        <f t="shared" si="2"/>
        <v>0</v>
      </c>
      <c r="BJ8" s="4">
        <f t="shared" si="2"/>
        <v>0</v>
      </c>
      <c r="BK8" s="4">
        <f t="shared" si="2"/>
        <v>0</v>
      </c>
      <c r="BL8" s="4">
        <f t="shared" si="2"/>
        <v>0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0.49734615529269283</v>
      </c>
      <c r="I9" s="37">
        <f>IF(OR(ISBLANK(Q9),ISBLANK(F9)),"·",Q9*F9/E9/1000000)</f>
        <v>354.06643500000001</v>
      </c>
      <c r="J9" s="38">
        <f>IF(ISBLANK(Q9),"·",Q9/C9)</f>
        <v>14.920384658780785</v>
      </c>
      <c r="K9" s="38">
        <f>IF(N9="","·",N9/C9)</f>
        <v>1.5187229915067741</v>
      </c>
      <c r="L9" s="38">
        <f>IF(R9="","·",R9/C9)</f>
        <v>1.4119364700505777</v>
      </c>
      <c r="M9" s="38">
        <f>IF(ISBLANK(T9),"·",T9/C9)</f>
        <v>13.401560531103955</v>
      </c>
      <c r="N9" s="35">
        <f>IF(OR(ISBLANK(R9),ISBLANK(S9)),"",R9+S9)</f>
        <v>38442536</v>
      </c>
      <c r="O9" s="38">
        <f>IF(ISBLANK(Q9),"·",Q9/P9)</f>
        <v>14.920384658780785</v>
      </c>
      <c r="P9" s="39">
        <v>25312408</v>
      </c>
      <c r="Q9" s="40">
        <v>377670864</v>
      </c>
      <c r="R9" s="40">
        <v>35739512</v>
      </c>
      <c r="S9" s="40">
        <v>2703024</v>
      </c>
      <c r="T9" s="40">
        <v>339225768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7855.11</v>
      </c>
      <c r="AA9" s="42">
        <v>10422.799999999999</v>
      </c>
      <c r="AB9" s="42">
        <v>3.5640000000000001</v>
      </c>
      <c r="AC9" s="42">
        <v>30.692</v>
      </c>
      <c r="AD9" s="42">
        <v>34.74</v>
      </c>
      <c r="AE9" s="43">
        <f>IF(ISBLANK(AN9),"·",AN9/(C9*D9*3))</f>
        <v>0.49734615529269283</v>
      </c>
      <c r="AF9" s="37">
        <f>IF(OR(ISBLANK(AN9),ISBLANK(F9)),"·",AN9*F9/E9/1000000)</f>
        <v>354.06643500000001</v>
      </c>
      <c r="AG9" s="38">
        <f>IF(ISBLANK(AN9),"·",AN9/C9)</f>
        <v>14.920384658780785</v>
      </c>
      <c r="AH9" s="38">
        <f>IF(AK9="","·",AK9/C9)</f>
        <v>1.5187229915067741</v>
      </c>
      <c r="AI9" s="38">
        <f>IF(AO9="","·",AO9/C9)</f>
        <v>1.4119364700505777</v>
      </c>
      <c r="AJ9" s="38">
        <f>IF(ISBLANK(AQ9),"·",AQ9/C9)</f>
        <v>13.401560531103955</v>
      </c>
      <c r="AK9" s="35">
        <f>IF(OR(ISBLANK(AO9),ISBLANK(AP9)),"",AO9+AP9)</f>
        <v>38442536</v>
      </c>
      <c r="AL9" s="38">
        <f>IF(ISBLANK(AN9),"·",AN9/AM9)</f>
        <v>14.920384658780785</v>
      </c>
      <c r="AM9" s="39">
        <v>25312408</v>
      </c>
      <c r="AN9" s="40">
        <v>377670864</v>
      </c>
      <c r="AO9" s="40">
        <v>35739512</v>
      </c>
      <c r="AP9" s="40">
        <v>2703024</v>
      </c>
      <c r="AQ9" s="40">
        <v>339225768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5515.35</v>
      </c>
      <c r="AX9" s="42">
        <v>10932.8</v>
      </c>
      <c r="AY9" s="42">
        <v>3.2240000000000002</v>
      </c>
      <c r="AZ9" s="42">
        <v>27.22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3"/>
        <v>0</v>
      </c>
      <c r="BI9" s="4">
        <f t="shared" si="2"/>
        <v>0</v>
      </c>
      <c r="BJ9" s="4">
        <f t="shared" si="2"/>
        <v>0</v>
      </c>
      <c r="BK9" s="4">
        <f t="shared" si="2"/>
        <v>0</v>
      </c>
      <c r="BL9" s="4">
        <f t="shared" si="2"/>
        <v>0</v>
      </c>
    </row>
    <row r="10" spans="1:64">
      <c r="B10" s="55" t="s">
        <v>286</v>
      </c>
      <c r="J10" s="56">
        <f>AVERAGE(J5:J8)</f>
        <v>9.579554619014905</v>
      </c>
      <c r="K10" s="56">
        <f>AVERAGE(K5:K8)</f>
        <v>1.34815401783255</v>
      </c>
      <c r="L10" s="56">
        <f>AVERAGE(L5:L8)</f>
        <v>1.2371273071841398</v>
      </c>
      <c r="M10" s="56">
        <f>AVERAGE(M5:M8)</f>
        <v>8.2313079921728161</v>
      </c>
      <c r="AG10" s="56">
        <f>AVERAGE(AG5:AG8)</f>
        <v>9.579554619014905</v>
      </c>
      <c r="AH10" s="56">
        <f>AVERAGE(AH5:AH8)</f>
        <v>1.34815401783255</v>
      </c>
      <c r="AI10" s="56">
        <f>AVERAGE(AI5:AI8)</f>
        <v>1.2371273071841398</v>
      </c>
      <c r="AJ10" s="56">
        <f>AVERAGE(AJ5:AJ8)</f>
        <v>8.2313079921728161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4">
      <c r="B11" s="55" t="s">
        <v>287</v>
      </c>
      <c r="J11" s="56">
        <f>AVERAGE(J9:J9)</f>
        <v>14.920384658780785</v>
      </c>
      <c r="K11" s="56">
        <f>AVERAGE(K9:K9)</f>
        <v>1.5187229915067741</v>
      </c>
      <c r="L11" s="56">
        <f>AVERAGE(L9:L9)</f>
        <v>1.4119364700505777</v>
      </c>
      <c r="M11" s="56">
        <f>AVERAGE(M9:M9)</f>
        <v>13.401560531103955</v>
      </c>
      <c r="AG11" s="56">
        <f>AVERAGE(AG9:AG9)</f>
        <v>14.920384658780785</v>
      </c>
      <c r="AH11" s="56">
        <f>AVERAGE(AH9:AH9)</f>
        <v>1.5187229915067741</v>
      </c>
      <c r="AI11" s="56">
        <f>AVERAGE(AI9:AI9)</f>
        <v>1.4119364700505777</v>
      </c>
      <c r="AJ11" s="56">
        <f>AVERAGE(AJ9:AJ9)</f>
        <v>13.401560531103955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4">
      <c r="B12" s="55" t="s">
        <v>288</v>
      </c>
      <c r="J12" s="56">
        <f>AVERAGE(J5:J9)</f>
        <v>10.647720626968081</v>
      </c>
      <c r="K12" s="56">
        <f>AVERAGE(K5:K9)</f>
        <v>1.3822678125673948</v>
      </c>
      <c r="L12" s="56">
        <f>AVERAGE(L5:L9)</f>
        <v>1.2720891397574274</v>
      </c>
      <c r="M12" s="56">
        <f>AVERAGE(M5:M9)</f>
        <v>9.2653584999590439</v>
      </c>
      <c r="AG12" s="56">
        <f>AVERAGE(AG5:AG9)</f>
        <v>10.647720626968081</v>
      </c>
      <c r="AH12" s="56">
        <f>AVERAGE(AH5:AH9)</f>
        <v>1.3822678125673948</v>
      </c>
      <c r="AI12" s="56">
        <f>AVERAGE(AI5:AI9)</f>
        <v>1.2720891397574274</v>
      </c>
      <c r="AJ12" s="56">
        <f>AVERAGE(AJ5:AJ9)</f>
        <v>9.2653584999590439</v>
      </c>
      <c r="AN12" s="4"/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4" outlineLevel="2">
      <c r="A13" s="55" t="s">
        <v>289</v>
      </c>
      <c r="B13" s="55" t="s">
        <v>290</v>
      </c>
      <c r="Z13" s="57">
        <f>SUM(Z5:Z8,Z9:Z9)</f>
        <v>40056.03</v>
      </c>
      <c r="AA13" s="57">
        <f>SUM(AA5:AA8,AA9:AA9)</f>
        <v>44405.009999999995</v>
      </c>
      <c r="AB13" s="57">
        <f>SUM(AB5:AB8,AB9:AB9)</f>
        <v>20.143999999999998</v>
      </c>
      <c r="AC13" s="57">
        <f>SUM(AC5:AC8,AC9:AC9)</f>
        <v>137.06</v>
      </c>
      <c r="AN13" s="4"/>
      <c r="AW13" s="57">
        <f>SUM(AW5:AW8,AW9:AW9)</f>
        <v>33495.24</v>
      </c>
      <c r="AX13" s="57">
        <f>SUM(AX5:AX8,AX9:AX9)</f>
        <v>45139.41</v>
      </c>
      <c r="AY13" s="57">
        <f>SUM(AY5:AY8,AY9:AY9)</f>
        <v>20.568000000000001</v>
      </c>
      <c r="AZ13" s="57">
        <f>SUM(AZ5:AZ8,AZ9:AZ9)</f>
        <v>150.04400000000001</v>
      </c>
    </row>
    <row r="14" spans="1:64" outlineLevel="2">
      <c r="B14" s="55" t="s">
        <v>291</v>
      </c>
      <c r="AN14" s="4"/>
      <c r="AW14" s="8">
        <f>AW13/Z13</f>
        <v>0.83620967929173207</v>
      </c>
      <c r="AX14" s="8">
        <f>AX13/AA13</f>
        <v>1.0165386743522862</v>
      </c>
      <c r="AY14" s="8">
        <f>AY13/AB13</f>
        <v>1.0210484511517079</v>
      </c>
      <c r="AZ14" s="8">
        <f>AZ13/AC13</f>
        <v>1.0947322340580767</v>
      </c>
    </row>
    <row r="15" spans="1:64" outlineLevel="2">
      <c r="B15" s="55" t="s">
        <v>292</v>
      </c>
      <c r="Z15" s="57">
        <f>GEOMEAN(Z5:Z8,Z9:Z9)</f>
        <v>7895.3002508306527</v>
      </c>
      <c r="AA15" s="57">
        <f>GEOMEAN(AA5:AA8,AA9:AA9)</f>
        <v>8708.8850066075429</v>
      </c>
      <c r="AB15" s="57">
        <f>GEOMEAN(AB5:AB8,AB9:AB9)</f>
        <v>3.9202680752416201</v>
      </c>
      <c r="AC15" s="57">
        <f>GEOMEAN(AC5:AC8,AC9:AC9)</f>
        <v>26.791955559647914</v>
      </c>
      <c r="AN15" s="4"/>
      <c r="AW15" s="57">
        <f>GEOMEAN(AW5:AW8,AW9:AW9)</f>
        <v>6635.1987514881112</v>
      </c>
      <c r="AX15" s="57">
        <f>GEOMEAN(AX5:AX8,AX9:AX9)</f>
        <v>8864.3805012156627</v>
      </c>
      <c r="AY15" s="57">
        <f>GEOMEAN(AY5:AY8,AY9:AY9)</f>
        <v>4.0577086335000949</v>
      </c>
      <c r="AZ15" s="57">
        <f>GEOMEAN(AZ5:AZ8,AZ9:AZ9)</f>
        <v>29.82019173885335</v>
      </c>
    </row>
    <row r="16" spans="1:64" outlineLevel="2" collapsed="1">
      <c r="B16" s="55" t="s">
        <v>293</v>
      </c>
      <c r="AN16" s="4"/>
      <c r="AW16" s="8">
        <f>AW15/Z15</f>
        <v>0.84039853339206849</v>
      </c>
      <c r="AX16" s="8">
        <f>AX15/AA15</f>
        <v>1.0178548108615677</v>
      </c>
      <c r="AY16" s="8">
        <f>AY15/AB15</f>
        <v>1.0350589693410199</v>
      </c>
      <c r="AZ16" s="8">
        <f>AZ15/AC15</f>
        <v>1.11302781435508</v>
      </c>
    </row>
    <row r="17" spans="17:43">
      <c r="Q17" s="4"/>
      <c r="R17" s="4"/>
      <c r="S17" s="4"/>
      <c r="T17" s="4"/>
      <c r="AN17" s="4"/>
      <c r="AP17" s="4"/>
      <c r="AQ17" s="4"/>
    </row>
    <row r="18" spans="17:43">
      <c r="Q18" s="4"/>
      <c r="R18" s="4"/>
      <c r="S18" s="4"/>
      <c r="T18" s="4"/>
      <c r="AN18" s="4"/>
      <c r="AO18" s="4"/>
      <c r="AP18" s="4"/>
      <c r="AQ18" s="4"/>
    </row>
    <row r="19" spans="17:43">
      <c r="Q19" s="4"/>
      <c r="R19" s="4"/>
      <c r="S19" s="4"/>
      <c r="T19" s="4"/>
      <c r="AN19" s="4"/>
      <c r="AO19" s="4"/>
      <c r="AP19" s="4"/>
      <c r="AQ19" s="4"/>
    </row>
    <row r="20" spans="17:43">
      <c r="Q20" s="4"/>
      <c r="R20" s="4"/>
      <c r="S20" s="4"/>
      <c r="T20" s="4"/>
      <c r="AN20" s="4"/>
      <c r="AO20" s="4"/>
      <c r="AP20" s="4"/>
      <c r="AQ20" s="4"/>
    </row>
    <row r="21" spans="17:43">
      <c r="Q21" s="4"/>
      <c r="R21" s="4"/>
      <c r="S21" s="4"/>
      <c r="T21" s="4"/>
      <c r="AN21" s="4"/>
      <c r="AO21" s="4"/>
      <c r="AP21" s="4"/>
      <c r="AQ21" s="4"/>
    </row>
    <row r="22" spans="17:43">
      <c r="AN22" s="4"/>
      <c r="AO22" s="4"/>
      <c r="AP22" s="4"/>
      <c r="AQ22" s="4"/>
    </row>
    <row r="23" spans="17:43">
      <c r="AN23" s="4"/>
      <c r="AO23" s="4"/>
      <c r="AP23" s="4"/>
      <c r="AQ23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tabSelected="1" zoomScale="85" zoomScaleNormal="85" workbookViewId="0">
      <pane xSplit="2" topLeftCell="BH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526</v>
      </c>
      <c r="B1" s="74"/>
      <c r="C1" s="74"/>
      <c r="D1" s="74"/>
      <c r="E1" s="74"/>
      <c r="F1" s="74"/>
      <c r="G1" s="74"/>
      <c r="I1" s="62" t="s">
        <v>547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2" t="s">
        <v>22</v>
      </c>
      <c r="BV2" s="71" t="s">
        <v>24</v>
      </c>
      <c r="BW2" s="72" t="s">
        <v>20</v>
      </c>
      <c r="BX2" s="73" t="s">
        <v>140</v>
      </c>
      <c r="BY2" s="73"/>
      <c r="BZ2" s="73"/>
      <c r="CA2" s="73"/>
      <c r="CB2" s="70" t="s">
        <v>151</v>
      </c>
      <c r="CC2" s="70"/>
      <c r="CD2" s="73" t="s">
        <v>158</v>
      </c>
      <c r="CE2" s="73"/>
      <c r="CF2" s="73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2"/>
      <c r="BV3" s="71"/>
      <c r="BW3" s="72"/>
      <c r="BX3" s="59" t="s">
        <v>116</v>
      </c>
      <c r="BY3" s="59" t="s">
        <v>122</v>
      </c>
      <c r="BZ3" s="59" t="s">
        <v>145</v>
      </c>
      <c r="CA3" s="59" t="s">
        <v>148</v>
      </c>
      <c r="CB3" s="60" t="s">
        <v>152</v>
      </c>
      <c r="CC3" s="60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1.2289049999999999</v>
      </c>
      <c r="J5" s="18">
        <f t="shared" ref="J5:J29" si="1">IF(ISBLANK(S5),"·",S5/D5)</f>
        <v>5.2508175561293606E-2</v>
      </c>
      <c r="K5" s="18">
        <f t="shared" ref="K5:K29" si="2">IF(N5="","·",N5/D5)</f>
        <v>4.3744956055519348E-2</v>
      </c>
      <c r="L5" s="18">
        <f t="shared" ref="L5:L29" si="3">IF(T5="","·",T5/D5)</f>
        <v>2.6164359796238962E-2</v>
      </c>
      <c r="M5" s="18">
        <f t="shared" ref="M5:M29" si="4">IF(ISBLANK(V5),"·",V5/D5)</f>
        <v>8.7433511663696627E-3</v>
      </c>
      <c r="N5" s="15">
        <f t="shared" ref="N5:N29" si="5">IF(OR(ISBLANK(T5),ISBLANK(U5)),"",T5+U5)</f>
        <v>1092064</v>
      </c>
      <c r="O5" s="18">
        <f t="shared" ref="O5:O29" si="6">IF(ISBLANK(S5),"·",S5/P5)</f>
        <v>5.6279470812434951E-2</v>
      </c>
      <c r="P5" s="19">
        <v>23291477</v>
      </c>
      <c r="Q5" s="19">
        <v>727858.65625</v>
      </c>
      <c r="R5" s="19">
        <v>16263.4375</v>
      </c>
      <c r="S5" s="20">
        <v>1310832</v>
      </c>
      <c r="T5" s="20">
        <v>653176</v>
      </c>
      <c r="U5" s="20">
        <v>438888</v>
      </c>
      <c r="V5" s="20">
        <v>218272</v>
      </c>
      <c r="W5" s="21">
        <v>66.755174999999994</v>
      </c>
      <c r="X5" s="21">
        <v>68.482021874999901</v>
      </c>
      <c r="Y5" s="21">
        <v>31.711881249999902</v>
      </c>
      <c r="Z5" s="21">
        <v>44.206637499999999</v>
      </c>
      <c r="AA5" s="21">
        <v>43.811549999999997</v>
      </c>
      <c r="AB5" s="22">
        <v>10826.7</v>
      </c>
      <c r="AC5" s="22">
        <v>3990.43</v>
      </c>
      <c r="AD5" s="22">
        <v>6.6120000000000001</v>
      </c>
      <c r="AE5" s="22">
        <v>21.46</v>
      </c>
      <c r="AG5" s="17">
        <f t="shared" ref="AG5:AG29" si="7">IF(OR(ISBLANK(AQ5),ISBLANK(G5)),"·",AQ5*G5/F5/1000000)</f>
        <v>1.2289049999999999</v>
      </c>
      <c r="AH5" s="18">
        <f t="shared" ref="AH5:AH29" si="8">IF(ISBLANK(AQ5),"·",AQ5/D5)</f>
        <v>5.2508175561293606E-2</v>
      </c>
      <c r="AI5" s="18">
        <f t="shared" ref="AI5:AI29" si="9">IF(AL5="","·",AL5/D5)</f>
        <v>4.3744956055519348E-2</v>
      </c>
      <c r="AJ5" s="18">
        <f t="shared" ref="AJ5:AJ29" si="10">IF(AR5="","·",AR5/D5)</f>
        <v>2.6164359796238962E-2</v>
      </c>
      <c r="AK5" s="18">
        <f t="shared" ref="AK5:AK29" si="11">IF(ISBLANK(AT5),"·",AT5/D5)</f>
        <v>8.7433511663696627E-3</v>
      </c>
      <c r="AL5" s="15">
        <f t="shared" ref="AL5:AL29" si="12">IF(OR(ISBLANK(AR5),ISBLANK(AS5)),"",AR5+AS5)</f>
        <v>1092064</v>
      </c>
      <c r="AM5" s="18">
        <f t="shared" ref="AM5:AM29" si="13">IF(ISBLANK(AQ5),"·",AQ5/AN5)</f>
        <v>5.6279470812434951E-2</v>
      </c>
      <c r="AN5" s="19">
        <v>23291477</v>
      </c>
      <c r="AO5" s="19">
        <v>727858.65625</v>
      </c>
      <c r="AP5" s="19">
        <v>16263.4375</v>
      </c>
      <c r="AQ5" s="20">
        <v>1310832</v>
      </c>
      <c r="AR5" s="20">
        <v>653176</v>
      </c>
      <c r="AS5" s="20">
        <v>438888</v>
      </c>
      <c r="AT5" s="20">
        <v>218272</v>
      </c>
      <c r="AU5" s="21">
        <v>66.755174999999994</v>
      </c>
      <c r="AV5" s="21">
        <v>68.482021874999901</v>
      </c>
      <c r="AW5" s="21">
        <v>31.711881249999902</v>
      </c>
      <c r="AX5" s="21">
        <v>44.206637499999999</v>
      </c>
      <c r="AY5" s="21">
        <v>43.811549999999997</v>
      </c>
      <c r="AZ5" s="22">
        <v>6974.14</v>
      </c>
      <c r="BA5" s="22">
        <v>4280.09</v>
      </c>
      <c r="BB5" s="22">
        <v>6.32</v>
      </c>
      <c r="BC5" s="22">
        <v>20.975999999999999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0</v>
      </c>
      <c r="BP5" s="24">
        <f>IF( OR(ISBLANK(S5:S9),ISBLANK(AQ5:AQ9), ISBLANK(X5:X9),ISBLANK(AV5:AV9)), "·", bdRateExtend( S5:S9,X5:X9, AQ5:AQ9,AV5:AV9))</f>
        <v>0</v>
      </c>
      <c r="BQ5" s="24">
        <f>IF( OR(ISBLANK(S5:S9),ISBLANK(AQ5:AQ9), ISBLANK(Y5:Y9),ISBLANK(AW5:AW9)), "·", bdRateExtend( S5:S9,Y5:Y9, AQ5:AQ9,AW5:AW9))</f>
        <v>0</v>
      </c>
      <c r="BR5" s="24">
        <f>IF( OR(ISBLANK(S5:S9),ISBLANK(AQ5:AQ9), ISBLANK(Z5:Z9),ISBLANK(AX5:AX9)), "·", bdRateExtend( S5:S9,Z5:Z9, AQ5:AQ9,AX5:AX9))</f>
        <v>0</v>
      </c>
      <c r="BS5" s="24">
        <f>IF( OR(ISBLANK(S5:S9),ISBLANK(AQ5:AQ9), ISBLANK(AA5:AA9),ISBLANK(AY5:AY9)), "·", bdRateExtend( S5:S9,AA5:AA9, AQ5:AQ9,AY5:AY9))</f>
        <v>0</v>
      </c>
      <c r="BU5">
        <f>AN5-P5</f>
        <v>0</v>
      </c>
      <c r="BV5" s="4">
        <f t="shared" ref="BV5:CF20" si="16">AO5-Q5</f>
        <v>0</v>
      </c>
      <c r="BW5" s="4">
        <f t="shared" si="16"/>
        <v>0</v>
      </c>
      <c r="BX5" s="4">
        <f t="shared" si="16"/>
        <v>0</v>
      </c>
      <c r="BY5" s="4">
        <f t="shared" si="16"/>
        <v>0</v>
      </c>
      <c r="BZ5" s="4">
        <f t="shared" si="16"/>
        <v>0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1.59093</v>
      </c>
      <c r="J6" s="28">
        <f t="shared" si="1"/>
        <v>6.7976639159030877E-2</v>
      </c>
      <c r="K6" s="28">
        <f t="shared" si="2"/>
        <v>5.2830234933900315E-2</v>
      </c>
      <c r="L6" s="28">
        <f t="shared" si="3"/>
        <v>3.5249638674619929E-2</v>
      </c>
      <c r="M6" s="28">
        <f t="shared" si="4"/>
        <v>1.5126535885725965E-2</v>
      </c>
      <c r="N6" s="25">
        <f t="shared" si="5"/>
        <v>1318872</v>
      </c>
      <c r="O6" s="28">
        <f t="shared" si="6"/>
        <v>6.8505104199297909E-2</v>
      </c>
      <c r="P6" s="29">
        <v>24771760</v>
      </c>
      <c r="Q6" s="29">
        <v>774117.5</v>
      </c>
      <c r="R6" s="29">
        <v>20008.375</v>
      </c>
      <c r="S6" s="30">
        <v>1696992</v>
      </c>
      <c r="T6" s="30">
        <v>879984</v>
      </c>
      <c r="U6" s="30">
        <v>438888</v>
      </c>
      <c r="V6" s="30">
        <v>377624</v>
      </c>
      <c r="W6" s="31">
        <v>68.484087499999902</v>
      </c>
      <c r="X6" s="31">
        <v>70.470168749999999</v>
      </c>
      <c r="Y6" s="31">
        <v>33.798806249999998</v>
      </c>
      <c r="Z6" s="31">
        <v>45.365068749999999</v>
      </c>
      <c r="AA6" s="31">
        <v>44.907209374999901</v>
      </c>
      <c r="AB6" s="32">
        <v>11829.6</v>
      </c>
      <c r="AC6" s="32">
        <v>4205.3</v>
      </c>
      <c r="AD6" s="32">
        <v>6.9320000000000004</v>
      </c>
      <c r="AE6" s="32">
        <v>21.812000000000001</v>
      </c>
      <c r="AG6" s="27">
        <f t="shared" si="7"/>
        <v>1.59093</v>
      </c>
      <c r="AH6" s="28">
        <f t="shared" si="8"/>
        <v>6.7976639159030877E-2</v>
      </c>
      <c r="AI6" s="28">
        <f t="shared" si="9"/>
        <v>5.2830234933900315E-2</v>
      </c>
      <c r="AJ6" s="28">
        <f t="shared" si="10"/>
        <v>3.5249638674619929E-2</v>
      </c>
      <c r="AK6" s="28">
        <f t="shared" si="11"/>
        <v>1.5126535885725965E-2</v>
      </c>
      <c r="AL6" s="25">
        <f t="shared" si="12"/>
        <v>1318872</v>
      </c>
      <c r="AM6" s="28">
        <f t="shared" si="13"/>
        <v>6.8505104199297909E-2</v>
      </c>
      <c r="AN6" s="29">
        <v>24771760</v>
      </c>
      <c r="AO6" s="29">
        <v>774117.5</v>
      </c>
      <c r="AP6" s="29">
        <v>20008.375</v>
      </c>
      <c r="AQ6" s="30">
        <v>1696992</v>
      </c>
      <c r="AR6" s="30">
        <v>879984</v>
      </c>
      <c r="AS6" s="30">
        <v>438888</v>
      </c>
      <c r="AT6" s="30">
        <v>377624</v>
      </c>
      <c r="AU6" s="31">
        <v>68.484087499999902</v>
      </c>
      <c r="AV6" s="31">
        <v>70.470168749999999</v>
      </c>
      <c r="AW6" s="31">
        <v>33.798806249999998</v>
      </c>
      <c r="AX6" s="31">
        <v>45.365068749999999</v>
      </c>
      <c r="AY6" s="31">
        <v>44.907209374999901</v>
      </c>
      <c r="AZ6" s="32">
        <v>7094.55</v>
      </c>
      <c r="BA6" s="32">
        <v>4580.66</v>
      </c>
      <c r="BB6" s="32">
        <v>6.54</v>
      </c>
      <c r="BC6" s="32">
        <v>21.92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0</v>
      </c>
      <c r="BV6" s="4">
        <f t="shared" si="16"/>
        <v>0</v>
      </c>
      <c r="BW6" s="4">
        <f t="shared" si="16"/>
        <v>0</v>
      </c>
      <c r="BX6" s="4">
        <f t="shared" si="16"/>
        <v>0</v>
      </c>
      <c r="BY6" s="4">
        <f t="shared" si="16"/>
        <v>0</v>
      </c>
      <c r="BZ6" s="4">
        <f t="shared" si="16"/>
        <v>0</v>
      </c>
      <c r="CA6" s="4">
        <f t="shared" si="16"/>
        <v>0</v>
      </c>
      <c r="CB6" s="4">
        <f t="shared" si="16"/>
        <v>0</v>
      </c>
      <c r="CC6" s="4">
        <f t="shared" si="16"/>
        <v>0</v>
      </c>
      <c r="CD6" s="4">
        <f t="shared" si="16"/>
        <v>0</v>
      </c>
      <c r="CE6" s="4">
        <f t="shared" si="16"/>
        <v>0</v>
      </c>
      <c r="CF6" s="4">
        <f t="shared" si="16"/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2.1844725</v>
      </c>
      <c r="J7" s="18">
        <f t="shared" si="1"/>
        <v>9.3337292580645326E-2</v>
      </c>
      <c r="K7" s="18">
        <f t="shared" si="2"/>
        <v>6.4598060088988524E-2</v>
      </c>
      <c r="L7" s="18">
        <f t="shared" si="3"/>
        <v>4.7017463829708145E-2</v>
      </c>
      <c r="M7" s="18">
        <f t="shared" si="4"/>
        <v>2.8719364152252208E-2</v>
      </c>
      <c r="N7" s="15">
        <f t="shared" si="5"/>
        <v>1612648</v>
      </c>
      <c r="O7" s="18">
        <f t="shared" si="6"/>
        <v>9.338971789828647E-2</v>
      </c>
      <c r="P7" s="19">
        <v>24950327</v>
      </c>
      <c r="Q7" s="19">
        <v>779697.71875</v>
      </c>
      <c r="R7" s="19">
        <v>21339.03125</v>
      </c>
      <c r="S7" s="20">
        <v>2330104</v>
      </c>
      <c r="T7" s="20">
        <v>1173760</v>
      </c>
      <c r="U7" s="20">
        <v>438888</v>
      </c>
      <c r="V7" s="20">
        <v>716960</v>
      </c>
      <c r="W7" s="21">
        <v>69.813803125000007</v>
      </c>
      <c r="X7" s="21">
        <v>72.148834375000007</v>
      </c>
      <c r="Y7" s="21">
        <v>36.263181250000002</v>
      </c>
      <c r="Z7" s="21">
        <v>46.865137500000003</v>
      </c>
      <c r="AA7" s="21">
        <v>46.592928125</v>
      </c>
      <c r="AB7" s="22">
        <v>11839.8</v>
      </c>
      <c r="AC7" s="22">
        <v>4557.66</v>
      </c>
      <c r="AD7" s="22">
        <v>5.88</v>
      </c>
      <c r="AE7" s="22">
        <v>19.544</v>
      </c>
      <c r="AG7" s="17">
        <f t="shared" si="7"/>
        <v>2.1844725</v>
      </c>
      <c r="AH7" s="18">
        <f t="shared" si="8"/>
        <v>9.3337292580645326E-2</v>
      </c>
      <c r="AI7" s="18">
        <f t="shared" si="9"/>
        <v>6.4598060088988524E-2</v>
      </c>
      <c r="AJ7" s="18">
        <f t="shared" si="10"/>
        <v>4.7017463829708145E-2</v>
      </c>
      <c r="AK7" s="18">
        <f t="shared" si="11"/>
        <v>2.8719364152252208E-2</v>
      </c>
      <c r="AL7" s="15">
        <f t="shared" si="12"/>
        <v>1612648</v>
      </c>
      <c r="AM7" s="18">
        <f t="shared" si="13"/>
        <v>9.338971789828647E-2</v>
      </c>
      <c r="AN7" s="19">
        <v>24950327</v>
      </c>
      <c r="AO7" s="19">
        <v>779697.71875</v>
      </c>
      <c r="AP7" s="19">
        <v>21339.03125</v>
      </c>
      <c r="AQ7" s="20">
        <v>2330104</v>
      </c>
      <c r="AR7" s="20">
        <v>1173760</v>
      </c>
      <c r="AS7" s="20">
        <v>438888</v>
      </c>
      <c r="AT7" s="20">
        <v>716960</v>
      </c>
      <c r="AU7" s="21">
        <v>69.813803125000007</v>
      </c>
      <c r="AV7" s="21">
        <v>72.148834375000007</v>
      </c>
      <c r="AW7" s="21">
        <v>36.263181250000002</v>
      </c>
      <c r="AX7" s="21">
        <v>46.865137500000003</v>
      </c>
      <c r="AY7" s="21">
        <v>46.592928125</v>
      </c>
      <c r="AZ7" s="22">
        <v>6811.74</v>
      </c>
      <c r="BA7" s="22">
        <v>4652.76</v>
      </c>
      <c r="BB7" s="22">
        <v>8.3480000000000008</v>
      </c>
      <c r="BC7" s="22">
        <v>26.06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0</v>
      </c>
      <c r="BV7" s="4">
        <f t="shared" si="16"/>
        <v>0</v>
      </c>
      <c r="BW7" s="4">
        <f t="shared" si="16"/>
        <v>0</v>
      </c>
      <c r="BX7" s="4">
        <f t="shared" si="16"/>
        <v>0</v>
      </c>
      <c r="BY7" s="4">
        <f t="shared" si="16"/>
        <v>0</v>
      </c>
      <c r="BZ7" s="4">
        <f t="shared" si="16"/>
        <v>0</v>
      </c>
      <c r="CA7" s="4">
        <f t="shared" si="16"/>
        <v>0</v>
      </c>
      <c r="CB7" s="4">
        <f t="shared" si="16"/>
        <v>0</v>
      </c>
      <c r="CC7" s="4">
        <f t="shared" si="16"/>
        <v>0</v>
      </c>
      <c r="CD7" s="4">
        <f t="shared" si="16"/>
        <v>0</v>
      </c>
      <c r="CE7" s="4">
        <f t="shared" si="16"/>
        <v>0</v>
      </c>
      <c r="CF7" s="4">
        <f t="shared" si="16"/>
        <v>0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3.5804174999999998</v>
      </c>
      <c r="J8" s="28">
        <f t="shared" si="1"/>
        <v>0.15298268838740825</v>
      </c>
      <c r="K8" s="28">
        <f t="shared" si="2"/>
        <v>9.0028252698519065E-2</v>
      </c>
      <c r="L8" s="28">
        <f t="shared" si="3"/>
        <v>7.2447656439238672E-2</v>
      </c>
      <c r="M8" s="28">
        <f t="shared" si="4"/>
        <v>6.2934567349484605E-2</v>
      </c>
      <c r="N8" s="25">
        <f t="shared" si="5"/>
        <v>2247496</v>
      </c>
      <c r="O8" s="28">
        <f t="shared" si="6"/>
        <v>0.14664121785972381</v>
      </c>
      <c r="P8" s="29">
        <v>26043919</v>
      </c>
      <c r="Q8" s="29">
        <v>813872.46875</v>
      </c>
      <c r="R8" s="29">
        <v>24933.6875</v>
      </c>
      <c r="S8" s="30">
        <v>3819112</v>
      </c>
      <c r="T8" s="30">
        <v>1808608</v>
      </c>
      <c r="U8" s="30">
        <v>438888</v>
      </c>
      <c r="V8" s="30">
        <v>1571120</v>
      </c>
      <c r="W8" s="31">
        <v>70.797706250000005</v>
      </c>
      <c r="X8" s="31">
        <v>73.331156249999907</v>
      </c>
      <c r="Y8" s="31">
        <v>38.726249999999901</v>
      </c>
      <c r="Z8" s="31">
        <v>48.146503125000002</v>
      </c>
      <c r="AA8" s="31">
        <v>48.046862499999897</v>
      </c>
      <c r="AB8" s="32">
        <v>11701.7</v>
      </c>
      <c r="AC8" s="32">
        <v>5049.6099999999997</v>
      </c>
      <c r="AD8" s="32">
        <v>6.6920000000000002</v>
      </c>
      <c r="AE8" s="32">
        <v>22.02</v>
      </c>
      <c r="AG8" s="27">
        <f t="shared" si="7"/>
        <v>3.5804174999999998</v>
      </c>
      <c r="AH8" s="28">
        <f t="shared" si="8"/>
        <v>0.15298268838740825</v>
      </c>
      <c r="AI8" s="28">
        <f t="shared" si="9"/>
        <v>9.0028252698519065E-2</v>
      </c>
      <c r="AJ8" s="28">
        <f t="shared" si="10"/>
        <v>7.2447656439238672E-2</v>
      </c>
      <c r="AK8" s="28">
        <f t="shared" si="11"/>
        <v>6.2934567349484605E-2</v>
      </c>
      <c r="AL8" s="25">
        <f t="shared" si="12"/>
        <v>2247496</v>
      </c>
      <c r="AM8" s="28">
        <f t="shared" si="13"/>
        <v>0.14664121785972381</v>
      </c>
      <c r="AN8" s="29">
        <v>26043919</v>
      </c>
      <c r="AO8" s="29">
        <v>813872.46875</v>
      </c>
      <c r="AP8" s="29">
        <v>24933.6875</v>
      </c>
      <c r="AQ8" s="30">
        <v>3819112</v>
      </c>
      <c r="AR8" s="30">
        <v>1808608</v>
      </c>
      <c r="AS8" s="30">
        <v>438888</v>
      </c>
      <c r="AT8" s="30">
        <v>1571120</v>
      </c>
      <c r="AU8" s="31">
        <v>70.797706250000005</v>
      </c>
      <c r="AV8" s="31">
        <v>73.331156249999907</v>
      </c>
      <c r="AW8" s="31">
        <v>38.726249999999901</v>
      </c>
      <c r="AX8" s="31">
        <v>48.146503125000002</v>
      </c>
      <c r="AY8" s="31">
        <v>48.046862499999897</v>
      </c>
      <c r="AZ8" s="32">
        <v>6891.3</v>
      </c>
      <c r="BA8" s="32">
        <v>5837.29</v>
      </c>
      <c r="BB8" s="32">
        <v>8.7040000000000006</v>
      </c>
      <c r="BC8" s="32">
        <v>27.404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0</v>
      </c>
      <c r="BV8" s="4">
        <f t="shared" si="16"/>
        <v>0</v>
      </c>
      <c r="BW8" s="4">
        <f t="shared" si="16"/>
        <v>0</v>
      </c>
      <c r="BX8" s="4">
        <f t="shared" si="16"/>
        <v>0</v>
      </c>
      <c r="BY8" s="4">
        <f t="shared" si="16"/>
        <v>0</v>
      </c>
      <c r="BZ8" s="4">
        <f t="shared" si="16"/>
        <v>0</v>
      </c>
      <c r="CA8" s="4">
        <f t="shared" si="16"/>
        <v>0</v>
      </c>
      <c r="CB8" s="4">
        <f t="shared" si="16"/>
        <v>0</v>
      </c>
      <c r="CC8" s="4">
        <f t="shared" si="16"/>
        <v>0</v>
      </c>
      <c r="CD8" s="4">
        <f t="shared" si="16"/>
        <v>0</v>
      </c>
      <c r="CE8" s="4">
        <f t="shared" si="16"/>
        <v>0</v>
      </c>
      <c r="CF8" s="4">
        <f t="shared" si="16"/>
        <v>0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7.4982300000000004</v>
      </c>
      <c r="J9" s="38">
        <f t="shared" si="1"/>
        <v>0.32038145929828471</v>
      </c>
      <c r="K9" s="38">
        <f t="shared" si="2"/>
        <v>0.15414947264179735</v>
      </c>
      <c r="L9" s="38">
        <f t="shared" si="3"/>
        <v>0.11731164864315866</v>
      </c>
      <c r="M9" s="38">
        <f t="shared" si="4"/>
        <v>0.16621211831708274</v>
      </c>
      <c r="N9" s="35">
        <f t="shared" si="5"/>
        <v>3848240</v>
      </c>
      <c r="O9" s="38">
        <f t="shared" si="6"/>
        <v>0.31940521655134813</v>
      </c>
      <c r="P9" s="39">
        <v>25040643</v>
      </c>
      <c r="Q9" s="39">
        <v>782520.09375</v>
      </c>
      <c r="R9" s="39">
        <v>7638.71875</v>
      </c>
      <c r="S9" s="40">
        <v>7998112</v>
      </c>
      <c r="T9" s="40">
        <v>2928608</v>
      </c>
      <c r="U9" s="40">
        <v>919632</v>
      </c>
      <c r="V9" s="40">
        <v>4149376</v>
      </c>
      <c r="W9" s="41">
        <v>72.121134374999897</v>
      </c>
      <c r="X9" s="41">
        <v>75.250753125000003</v>
      </c>
      <c r="Y9" s="41">
        <v>41.194781249999998</v>
      </c>
      <c r="Z9" s="41">
        <v>49.626578124999902</v>
      </c>
      <c r="AA9" s="41">
        <v>49.746503124999997</v>
      </c>
      <c r="AB9" s="42">
        <v>10698.4</v>
      </c>
      <c r="AC9" s="42">
        <v>5713.28</v>
      </c>
      <c r="AD9" s="42">
        <v>7.8440000000000003</v>
      </c>
      <c r="AE9" s="42">
        <v>24.571999999999999</v>
      </c>
      <c r="AG9" s="37">
        <f t="shared" si="7"/>
        <v>7.4982300000000004</v>
      </c>
      <c r="AH9" s="38">
        <f t="shared" si="8"/>
        <v>0.32038145929828471</v>
      </c>
      <c r="AI9" s="38">
        <f t="shared" si="9"/>
        <v>0.15414947264179735</v>
      </c>
      <c r="AJ9" s="38">
        <f t="shared" si="10"/>
        <v>0.11731164864315866</v>
      </c>
      <c r="AK9" s="38">
        <f t="shared" si="11"/>
        <v>0.16621211831708274</v>
      </c>
      <c r="AL9" s="35">
        <f t="shared" si="12"/>
        <v>3848240</v>
      </c>
      <c r="AM9" s="38">
        <f t="shared" si="13"/>
        <v>0.31940521655134813</v>
      </c>
      <c r="AN9" s="39">
        <v>25040643</v>
      </c>
      <c r="AO9" s="39">
        <v>782520.09375</v>
      </c>
      <c r="AP9" s="39">
        <v>7638.71875</v>
      </c>
      <c r="AQ9" s="40">
        <v>7998112</v>
      </c>
      <c r="AR9" s="40">
        <v>2928608</v>
      </c>
      <c r="AS9" s="40">
        <v>919632</v>
      </c>
      <c r="AT9" s="40">
        <v>4149376</v>
      </c>
      <c r="AU9" s="41">
        <v>72.121134374999897</v>
      </c>
      <c r="AV9" s="41">
        <v>75.250753125000003</v>
      </c>
      <c r="AW9" s="41">
        <v>41.194781249999998</v>
      </c>
      <c r="AX9" s="41">
        <v>49.626578124999902</v>
      </c>
      <c r="AY9" s="41">
        <v>49.746503124999997</v>
      </c>
      <c r="AZ9" s="42">
        <v>8090.15</v>
      </c>
      <c r="BA9" s="42">
        <v>5929</v>
      </c>
      <c r="BB9" s="42">
        <v>9.8360000000000003</v>
      </c>
      <c r="BC9" s="42">
        <v>30.02</v>
      </c>
      <c r="BE9" s="43">
        <f t="shared" si="14"/>
        <v>0</v>
      </c>
      <c r="BF9" s="43">
        <f t="shared" si="15"/>
        <v>0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0</v>
      </c>
      <c r="BV9" s="4">
        <f t="shared" si="16"/>
        <v>0</v>
      </c>
      <c r="BW9" s="4">
        <f t="shared" si="16"/>
        <v>0</v>
      </c>
      <c r="BX9" s="4">
        <f t="shared" si="16"/>
        <v>0</v>
      </c>
      <c r="BY9" s="4">
        <f t="shared" si="16"/>
        <v>0</v>
      </c>
      <c r="BZ9" s="4">
        <f t="shared" si="16"/>
        <v>0</v>
      </c>
      <c r="CA9" s="4">
        <f t="shared" si="16"/>
        <v>0</v>
      </c>
      <c r="CB9" s="4">
        <f t="shared" si="16"/>
        <v>0</v>
      </c>
      <c r="CC9" s="4">
        <f t="shared" si="16"/>
        <v>0</v>
      </c>
      <c r="CD9" s="4">
        <f t="shared" si="16"/>
        <v>0</v>
      </c>
      <c r="CE9" s="4">
        <f t="shared" si="16"/>
        <v>0</v>
      </c>
      <c r="CF9" s="4">
        <f t="shared" si="16"/>
        <v>0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2.0947049999999998</v>
      </c>
      <c r="J10" s="28">
        <f t="shared" si="1"/>
        <v>9.8626034433602544E-2</v>
      </c>
      <c r="K10" s="28">
        <f t="shared" si="2"/>
        <v>7.1739710310257138E-2</v>
      </c>
      <c r="L10" s="28">
        <f t="shared" si="3"/>
        <v>3.9494695801404286E-2</v>
      </c>
      <c r="M10" s="28">
        <f t="shared" si="4"/>
        <v>2.6864430297717627E-2</v>
      </c>
      <c r="N10" s="25">
        <f t="shared" si="5"/>
        <v>1625248</v>
      </c>
      <c r="O10" s="28">
        <f t="shared" si="6"/>
        <v>0.10679355731943752</v>
      </c>
      <c r="P10" s="29">
        <v>20922161</v>
      </c>
      <c r="Q10" s="29">
        <v>653817.53125</v>
      </c>
      <c r="R10" s="29">
        <v>19494.9375</v>
      </c>
      <c r="S10" s="30">
        <v>2234352</v>
      </c>
      <c r="T10" s="30">
        <v>894744</v>
      </c>
      <c r="U10" s="30">
        <v>730504</v>
      </c>
      <c r="V10" s="30">
        <v>608608</v>
      </c>
      <c r="W10" s="31">
        <v>65.964271874999994</v>
      </c>
      <c r="X10" s="31">
        <v>67.864968750000003</v>
      </c>
      <c r="Y10" s="31">
        <v>31.110006249999898</v>
      </c>
      <c r="Z10" s="31">
        <v>38.609443749999997</v>
      </c>
      <c r="AA10" s="31">
        <v>30.079318749999999</v>
      </c>
      <c r="AB10" s="32">
        <v>12698</v>
      </c>
      <c r="AC10" s="32">
        <v>5640.27</v>
      </c>
      <c r="AD10" s="32">
        <v>6.28</v>
      </c>
      <c r="AE10" s="32">
        <v>27.2</v>
      </c>
      <c r="AG10" s="27">
        <f t="shared" si="7"/>
        <v>2.0947049999999998</v>
      </c>
      <c r="AH10" s="28">
        <f t="shared" si="8"/>
        <v>9.8626034433602544E-2</v>
      </c>
      <c r="AI10" s="28">
        <f t="shared" si="9"/>
        <v>7.1739710310257138E-2</v>
      </c>
      <c r="AJ10" s="28">
        <f t="shared" si="10"/>
        <v>3.9494695801404286E-2</v>
      </c>
      <c r="AK10" s="28">
        <f t="shared" si="11"/>
        <v>2.6864430297717627E-2</v>
      </c>
      <c r="AL10" s="25">
        <f t="shared" si="12"/>
        <v>1625248</v>
      </c>
      <c r="AM10" s="28">
        <f t="shared" si="13"/>
        <v>0.10679355731943752</v>
      </c>
      <c r="AN10" s="29">
        <v>20922161</v>
      </c>
      <c r="AO10" s="29">
        <v>653817.53125</v>
      </c>
      <c r="AP10" s="29">
        <v>19494.9375</v>
      </c>
      <c r="AQ10" s="30">
        <v>2234352</v>
      </c>
      <c r="AR10" s="30">
        <v>894744</v>
      </c>
      <c r="AS10" s="30">
        <v>730504</v>
      </c>
      <c r="AT10" s="30">
        <v>608608</v>
      </c>
      <c r="AU10" s="31">
        <v>65.964271874999994</v>
      </c>
      <c r="AV10" s="31">
        <v>67.864968750000003</v>
      </c>
      <c r="AW10" s="31">
        <v>31.110006249999898</v>
      </c>
      <c r="AX10" s="31">
        <v>38.609443749999997</v>
      </c>
      <c r="AY10" s="31">
        <v>30.079318749999999</v>
      </c>
      <c r="AZ10" s="32">
        <v>9798.7800000000007</v>
      </c>
      <c r="BA10" s="32">
        <v>5673.44</v>
      </c>
      <c r="BB10" s="32">
        <v>5.6520000000000001</v>
      </c>
      <c r="BC10" s="32">
        <v>24.404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0</v>
      </c>
      <c r="BQ10" s="34">
        <f>IF( OR(ISBLANK(S10:S14),ISBLANK(AQ10:AQ14), ISBLANK(Y10:Y14),ISBLANK(AW10:AW14)), "·", bdRateExtend( S10:S14,Y10:Y14, AQ10:AQ14,AW10:AW14))</f>
        <v>0</v>
      </c>
      <c r="BR10" s="34">
        <f>IF( OR(ISBLANK(S10:S14),ISBLANK(AQ10:AQ14), ISBLANK(Z10:Z14),ISBLANK(AX10:AX14)), "·", bdRateExtend( S10:S14,Z10:Z14, AQ10:AQ14,AX10:AX14))</f>
        <v>0</v>
      </c>
      <c r="BS10" s="34">
        <f>IF( OR(ISBLANK(S10:S14),ISBLANK(AQ10:AQ14), ISBLANK(AA10:AA14),ISBLANK(AY10:AY14)), "·", bdRateExtend( S10:S14,AA10:AA14, AQ10:AQ14,AY10:AY14))</f>
        <v>0</v>
      </c>
      <c r="BU10" s="4">
        <f t="shared" si="17"/>
        <v>0</v>
      </c>
      <c r="BV10" s="4">
        <f t="shared" si="16"/>
        <v>0</v>
      </c>
      <c r="BW10" s="4">
        <f t="shared" si="16"/>
        <v>0</v>
      </c>
      <c r="BX10" s="4">
        <f t="shared" si="16"/>
        <v>0</v>
      </c>
      <c r="BY10" s="4">
        <f t="shared" si="16"/>
        <v>0</v>
      </c>
      <c r="BZ10" s="4">
        <f t="shared" si="16"/>
        <v>0</v>
      </c>
      <c r="CA10" s="4">
        <f t="shared" si="16"/>
        <v>0</v>
      </c>
      <c r="CB10" s="4">
        <f t="shared" si="16"/>
        <v>0</v>
      </c>
      <c r="CC10" s="4">
        <f t="shared" si="16"/>
        <v>0</v>
      </c>
      <c r="CD10" s="4">
        <f t="shared" si="16"/>
        <v>0</v>
      </c>
      <c r="CE10" s="4">
        <f t="shared" si="16"/>
        <v>0</v>
      </c>
      <c r="CF10" s="4">
        <f t="shared" si="16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2.8417875000000001</v>
      </c>
      <c r="J11" s="18">
        <f t="shared" si="1"/>
        <v>0.13380129031437901</v>
      </c>
      <c r="K11" s="18">
        <f t="shared" si="2"/>
        <v>8.668860257316896E-2</v>
      </c>
      <c r="L11" s="18">
        <f t="shared" si="3"/>
        <v>5.4443588064316116E-2</v>
      </c>
      <c r="M11" s="18">
        <f t="shared" si="4"/>
        <v>4.7090793915582262E-2</v>
      </c>
      <c r="N11" s="15">
        <f t="shared" si="5"/>
        <v>1963912</v>
      </c>
      <c r="O11" s="18">
        <f t="shared" si="6"/>
        <v>0.13519881930063454</v>
      </c>
      <c r="P11" s="19">
        <v>22420610</v>
      </c>
      <c r="Q11" s="19">
        <v>700644.0625</v>
      </c>
      <c r="R11" s="19">
        <v>24865.21875</v>
      </c>
      <c r="S11" s="20">
        <v>3031240</v>
      </c>
      <c r="T11" s="20">
        <v>1233408</v>
      </c>
      <c r="U11" s="20">
        <v>730504</v>
      </c>
      <c r="V11" s="20">
        <v>1066832</v>
      </c>
      <c r="W11" s="21">
        <v>67.688396874999896</v>
      </c>
      <c r="X11" s="21">
        <v>69.747328124999996</v>
      </c>
      <c r="Y11" s="21">
        <v>32.972578124999998</v>
      </c>
      <c r="Z11" s="21">
        <v>39.676993749999902</v>
      </c>
      <c r="AA11" s="21">
        <v>32.356859374999999</v>
      </c>
      <c r="AB11" s="22">
        <v>13786</v>
      </c>
      <c r="AC11" s="22">
        <v>5939.42</v>
      </c>
      <c r="AD11" s="22">
        <v>6.44</v>
      </c>
      <c r="AE11" s="22">
        <v>27.484000000000002</v>
      </c>
      <c r="AG11" s="17">
        <f t="shared" si="7"/>
        <v>2.8417875000000001</v>
      </c>
      <c r="AH11" s="18">
        <f t="shared" si="8"/>
        <v>0.13380129031437901</v>
      </c>
      <c r="AI11" s="18">
        <f t="shared" si="9"/>
        <v>8.668860257316896E-2</v>
      </c>
      <c r="AJ11" s="18">
        <f t="shared" si="10"/>
        <v>5.4443588064316116E-2</v>
      </c>
      <c r="AK11" s="18">
        <f t="shared" si="11"/>
        <v>4.7090793915582262E-2</v>
      </c>
      <c r="AL11" s="15">
        <f t="shared" si="12"/>
        <v>1963912</v>
      </c>
      <c r="AM11" s="18">
        <f t="shared" si="13"/>
        <v>0.13519881930063454</v>
      </c>
      <c r="AN11" s="19">
        <v>22420610</v>
      </c>
      <c r="AO11" s="19">
        <v>700644.0625</v>
      </c>
      <c r="AP11" s="19">
        <v>24865.21875</v>
      </c>
      <c r="AQ11" s="20">
        <v>3031240</v>
      </c>
      <c r="AR11" s="20">
        <v>1233408</v>
      </c>
      <c r="AS11" s="20">
        <v>730504</v>
      </c>
      <c r="AT11" s="20">
        <v>1066832</v>
      </c>
      <c r="AU11" s="21">
        <v>67.688396874999896</v>
      </c>
      <c r="AV11" s="21">
        <v>69.747328124999996</v>
      </c>
      <c r="AW11" s="21">
        <v>32.972578124999998</v>
      </c>
      <c r="AX11" s="21">
        <v>39.676993749999902</v>
      </c>
      <c r="AY11" s="21">
        <v>32.356859374999999</v>
      </c>
      <c r="AZ11" s="22">
        <v>6568.12</v>
      </c>
      <c r="BA11" s="22">
        <v>6390.5</v>
      </c>
      <c r="BB11" s="22">
        <v>6.2480000000000002</v>
      </c>
      <c r="BC11" s="22">
        <v>27.308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0</v>
      </c>
      <c r="BV11" s="4">
        <f t="shared" si="16"/>
        <v>0</v>
      </c>
      <c r="BW11" s="4">
        <f t="shared" si="16"/>
        <v>0</v>
      </c>
      <c r="BX11" s="4">
        <f t="shared" si="16"/>
        <v>0</v>
      </c>
      <c r="BY11" s="4">
        <f t="shared" si="16"/>
        <v>0</v>
      </c>
      <c r="BZ11" s="4">
        <f t="shared" si="16"/>
        <v>0</v>
      </c>
      <c r="CA11" s="4">
        <f t="shared" si="16"/>
        <v>0</v>
      </c>
      <c r="CB11" s="4">
        <f t="shared" si="16"/>
        <v>0</v>
      </c>
      <c r="CC11" s="4">
        <f t="shared" si="16"/>
        <v>0</v>
      </c>
      <c r="CD11" s="4">
        <f t="shared" si="16"/>
        <v>0</v>
      </c>
      <c r="CE11" s="4">
        <f t="shared" si="16"/>
        <v>0</v>
      </c>
      <c r="CF11" s="4">
        <f t="shared" si="16"/>
        <v>0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4.0162199999999997</v>
      </c>
      <c r="J12" s="28">
        <f t="shared" si="1"/>
        <v>0.18909767819951886</v>
      </c>
      <c r="K12" s="28">
        <f t="shared" si="2"/>
        <v>0.10842493390691037</v>
      </c>
      <c r="L12" s="28">
        <f t="shared" si="3"/>
        <v>7.6179919398057516E-2</v>
      </c>
      <c r="M12" s="28">
        <f t="shared" si="4"/>
        <v>8.0650850466980728E-2</v>
      </c>
      <c r="N12" s="25">
        <f t="shared" si="5"/>
        <v>2456344</v>
      </c>
      <c r="O12" s="28">
        <f t="shared" si="6"/>
        <v>0.18798531421778131</v>
      </c>
      <c r="P12" s="29">
        <v>22788844</v>
      </c>
      <c r="Q12" s="29">
        <v>712151.375</v>
      </c>
      <c r="R12" s="29">
        <v>26439.4375</v>
      </c>
      <c r="S12" s="30">
        <v>4283968</v>
      </c>
      <c r="T12" s="30">
        <v>1725840</v>
      </c>
      <c r="U12" s="30">
        <v>730504</v>
      </c>
      <c r="V12" s="30">
        <v>1827128</v>
      </c>
      <c r="W12" s="31">
        <v>69.049474999999902</v>
      </c>
      <c r="X12" s="31">
        <v>71.393259375</v>
      </c>
      <c r="Y12" s="31">
        <v>35.019659375000003</v>
      </c>
      <c r="Z12" s="31">
        <v>40.725065624999999</v>
      </c>
      <c r="AA12" s="31">
        <v>34.284574999999997</v>
      </c>
      <c r="AB12" s="32">
        <v>13746.3</v>
      </c>
      <c r="AC12" s="32">
        <v>6286.61</v>
      </c>
      <c r="AD12" s="32">
        <v>9.1959999999999997</v>
      </c>
      <c r="AE12" s="32">
        <v>37.564</v>
      </c>
      <c r="AG12" s="27">
        <f t="shared" si="7"/>
        <v>4.0162199999999997</v>
      </c>
      <c r="AH12" s="28">
        <f t="shared" si="8"/>
        <v>0.18909767819951886</v>
      </c>
      <c r="AI12" s="28">
        <f t="shared" si="9"/>
        <v>0.10842493390691037</v>
      </c>
      <c r="AJ12" s="28">
        <f t="shared" si="10"/>
        <v>7.6179919398057516E-2</v>
      </c>
      <c r="AK12" s="28">
        <f t="shared" si="11"/>
        <v>8.0650850466980728E-2</v>
      </c>
      <c r="AL12" s="25">
        <f t="shared" si="12"/>
        <v>2456344</v>
      </c>
      <c r="AM12" s="28">
        <f t="shared" si="13"/>
        <v>0.18798531421778131</v>
      </c>
      <c r="AN12" s="29">
        <v>22788844</v>
      </c>
      <c r="AO12" s="29">
        <v>712151.375</v>
      </c>
      <c r="AP12" s="29">
        <v>26439.4375</v>
      </c>
      <c r="AQ12" s="30">
        <v>4283968</v>
      </c>
      <c r="AR12" s="30">
        <v>1725840</v>
      </c>
      <c r="AS12" s="30">
        <v>730504</v>
      </c>
      <c r="AT12" s="30">
        <v>1827128</v>
      </c>
      <c r="AU12" s="31">
        <v>69.049474999999902</v>
      </c>
      <c r="AV12" s="31">
        <v>71.393259375</v>
      </c>
      <c r="AW12" s="31">
        <v>35.019659375000003</v>
      </c>
      <c r="AX12" s="31">
        <v>40.725065624999999</v>
      </c>
      <c r="AY12" s="31">
        <v>34.284574999999997</v>
      </c>
      <c r="AZ12" s="32">
        <v>9134.86</v>
      </c>
      <c r="BA12" s="32">
        <v>6314.15</v>
      </c>
      <c r="BB12" s="32">
        <v>5.7720000000000002</v>
      </c>
      <c r="BC12" s="32">
        <v>25.084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0</v>
      </c>
      <c r="BV12" s="4">
        <f t="shared" si="16"/>
        <v>0</v>
      </c>
      <c r="BW12" s="4">
        <f t="shared" si="16"/>
        <v>0</v>
      </c>
      <c r="BX12" s="4">
        <f t="shared" si="16"/>
        <v>0</v>
      </c>
      <c r="BY12" s="4">
        <f t="shared" si="16"/>
        <v>0</v>
      </c>
      <c r="BZ12" s="4">
        <f t="shared" si="16"/>
        <v>0</v>
      </c>
      <c r="CA12" s="4">
        <f t="shared" si="16"/>
        <v>0</v>
      </c>
      <c r="CB12" s="4">
        <f t="shared" si="16"/>
        <v>0</v>
      </c>
      <c r="CC12" s="4">
        <f t="shared" si="16"/>
        <v>0</v>
      </c>
      <c r="CD12" s="4">
        <f t="shared" si="16"/>
        <v>0</v>
      </c>
      <c r="CE12" s="4">
        <f t="shared" si="16"/>
        <v>0</v>
      </c>
      <c r="CF12" s="4">
        <f t="shared" si="16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6.5089649999999999</v>
      </c>
      <c r="J13" s="18">
        <f t="shared" si="1"/>
        <v>0.30646482737049546</v>
      </c>
      <c r="K13" s="18">
        <f t="shared" si="2"/>
        <v>0.14831830921047201</v>
      </c>
      <c r="L13" s="18">
        <f t="shared" si="3"/>
        <v>0.11607329470161916</v>
      </c>
      <c r="M13" s="18">
        <f t="shared" si="4"/>
        <v>0.1581246243343957</v>
      </c>
      <c r="N13" s="15">
        <f t="shared" si="5"/>
        <v>3360120</v>
      </c>
      <c r="O13" s="18">
        <f t="shared" si="6"/>
        <v>0.29230117770131719</v>
      </c>
      <c r="P13" s="19">
        <v>23752542</v>
      </c>
      <c r="Q13" s="19">
        <v>742266.9375</v>
      </c>
      <c r="R13" s="19">
        <v>30458.15625</v>
      </c>
      <c r="S13" s="20">
        <v>6942896</v>
      </c>
      <c r="T13" s="20">
        <v>2629616</v>
      </c>
      <c r="U13" s="20">
        <v>730504</v>
      </c>
      <c r="V13" s="20">
        <v>3582280</v>
      </c>
      <c r="W13" s="21">
        <v>70.030603124999899</v>
      </c>
      <c r="X13" s="21">
        <v>72.5611718749999</v>
      </c>
      <c r="Y13" s="21">
        <v>37.213606249999998</v>
      </c>
      <c r="Z13" s="21">
        <v>41.784290624999997</v>
      </c>
      <c r="AA13" s="21">
        <v>36.286212499999998</v>
      </c>
      <c r="AB13" s="22">
        <v>9776.5</v>
      </c>
      <c r="AC13" s="22">
        <v>6903.36</v>
      </c>
      <c r="AD13" s="22">
        <v>6.48</v>
      </c>
      <c r="AE13" s="22">
        <v>28.524000000000001</v>
      </c>
      <c r="AG13" s="17">
        <f t="shared" si="7"/>
        <v>6.5089649999999999</v>
      </c>
      <c r="AH13" s="18">
        <f t="shared" si="8"/>
        <v>0.30646482737049546</v>
      </c>
      <c r="AI13" s="18">
        <f t="shared" si="9"/>
        <v>0.14831830921047201</v>
      </c>
      <c r="AJ13" s="18">
        <f t="shared" si="10"/>
        <v>0.11607329470161916</v>
      </c>
      <c r="AK13" s="18">
        <f t="shared" si="11"/>
        <v>0.1581246243343957</v>
      </c>
      <c r="AL13" s="15">
        <f t="shared" si="12"/>
        <v>3360120</v>
      </c>
      <c r="AM13" s="18">
        <f t="shared" si="13"/>
        <v>0.29230117770131719</v>
      </c>
      <c r="AN13" s="19">
        <v>23752542</v>
      </c>
      <c r="AO13" s="19">
        <v>742266.9375</v>
      </c>
      <c r="AP13" s="19">
        <v>30458.15625</v>
      </c>
      <c r="AQ13" s="20">
        <v>6942896</v>
      </c>
      <c r="AR13" s="20">
        <v>2629616</v>
      </c>
      <c r="AS13" s="20">
        <v>730504</v>
      </c>
      <c r="AT13" s="20">
        <v>3582280</v>
      </c>
      <c r="AU13" s="21">
        <v>70.030603124999899</v>
      </c>
      <c r="AV13" s="21">
        <v>72.5611718749999</v>
      </c>
      <c r="AW13" s="21">
        <v>37.213606249999998</v>
      </c>
      <c r="AX13" s="21">
        <v>41.784290624999997</v>
      </c>
      <c r="AY13" s="21">
        <v>36.286212499999998</v>
      </c>
      <c r="AZ13" s="22">
        <v>6627.6</v>
      </c>
      <c r="BA13" s="22">
        <v>7082.84</v>
      </c>
      <c r="BB13" s="22">
        <v>6.032</v>
      </c>
      <c r="BC13" s="22">
        <v>26.372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0</v>
      </c>
      <c r="BV13" s="4">
        <f t="shared" si="16"/>
        <v>0</v>
      </c>
      <c r="BW13" s="4">
        <f t="shared" si="16"/>
        <v>0</v>
      </c>
      <c r="BX13" s="4">
        <f t="shared" si="16"/>
        <v>0</v>
      </c>
      <c r="BY13" s="4">
        <f t="shared" si="16"/>
        <v>0</v>
      </c>
      <c r="BZ13" s="4">
        <f t="shared" si="16"/>
        <v>0</v>
      </c>
      <c r="CA13" s="4">
        <f t="shared" si="16"/>
        <v>0</v>
      </c>
      <c r="CB13" s="4">
        <f t="shared" si="16"/>
        <v>0</v>
      </c>
      <c r="CC13" s="4">
        <f t="shared" si="16"/>
        <v>0</v>
      </c>
      <c r="CD13" s="4">
        <f t="shared" si="16"/>
        <v>0</v>
      </c>
      <c r="CE13" s="4">
        <f t="shared" si="16"/>
        <v>0</v>
      </c>
      <c r="CF13" s="4">
        <f t="shared" si="16"/>
        <v>0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13.114635</v>
      </c>
      <c r="J14" s="48">
        <f t="shared" si="1"/>
        <v>0.61748286421912824</v>
      </c>
      <c r="K14" s="48">
        <f t="shared" si="2"/>
        <v>0.2497527564701662</v>
      </c>
      <c r="L14" s="48">
        <f t="shared" si="3"/>
        <v>0.1869545551715357</v>
      </c>
      <c r="M14" s="48">
        <f t="shared" si="4"/>
        <v>0.36770821392333425</v>
      </c>
      <c r="N14" s="45">
        <f t="shared" si="5"/>
        <v>5658096</v>
      </c>
      <c r="O14" s="48">
        <f t="shared" si="6"/>
        <v>0.62149683017132396</v>
      </c>
      <c r="P14" s="49">
        <v>22508472</v>
      </c>
      <c r="Q14" s="49">
        <v>703389.75</v>
      </c>
      <c r="R14" s="49">
        <v>8254.25</v>
      </c>
      <c r="S14" s="50">
        <v>13988944</v>
      </c>
      <c r="T14" s="50">
        <v>4235416</v>
      </c>
      <c r="U14" s="50">
        <v>1422680</v>
      </c>
      <c r="V14" s="50">
        <v>8330352</v>
      </c>
      <c r="W14" s="51">
        <v>71.409731249999993</v>
      </c>
      <c r="X14" s="51">
        <v>74.802518750000004</v>
      </c>
      <c r="Y14" s="51">
        <v>39.71280625</v>
      </c>
      <c r="Z14" s="51">
        <v>43.097481250000001</v>
      </c>
      <c r="AA14" s="51">
        <v>38.567306249999902</v>
      </c>
      <c r="AB14" s="52">
        <v>10410</v>
      </c>
      <c r="AC14" s="52">
        <v>7524.88</v>
      </c>
      <c r="AD14" s="52">
        <v>7.4080000000000004</v>
      </c>
      <c r="AE14" s="52">
        <v>31.143999999999998</v>
      </c>
      <c r="AG14" s="47">
        <f t="shared" si="7"/>
        <v>13.114635</v>
      </c>
      <c r="AH14" s="48">
        <f t="shared" si="8"/>
        <v>0.61748286421912824</v>
      </c>
      <c r="AI14" s="48">
        <f t="shared" si="9"/>
        <v>0.2497527564701662</v>
      </c>
      <c r="AJ14" s="48">
        <f t="shared" si="10"/>
        <v>0.1869545551715357</v>
      </c>
      <c r="AK14" s="48">
        <f t="shared" si="11"/>
        <v>0.36770821392333425</v>
      </c>
      <c r="AL14" s="45">
        <f t="shared" si="12"/>
        <v>5658096</v>
      </c>
      <c r="AM14" s="48">
        <f t="shared" si="13"/>
        <v>0.62149683017132396</v>
      </c>
      <c r="AN14" s="49">
        <v>22508472</v>
      </c>
      <c r="AO14" s="49">
        <v>703389.75</v>
      </c>
      <c r="AP14" s="49">
        <v>8254.25</v>
      </c>
      <c r="AQ14" s="50">
        <v>13988944</v>
      </c>
      <c r="AR14" s="50">
        <v>4235416</v>
      </c>
      <c r="AS14" s="50">
        <v>1422680</v>
      </c>
      <c r="AT14" s="50">
        <v>8330352</v>
      </c>
      <c r="AU14" s="51">
        <v>71.409731249999993</v>
      </c>
      <c r="AV14" s="51">
        <v>74.802518750000004</v>
      </c>
      <c r="AW14" s="51">
        <v>39.71280625</v>
      </c>
      <c r="AX14" s="51">
        <v>43.097481250000001</v>
      </c>
      <c r="AY14" s="51">
        <v>38.567306249999902</v>
      </c>
      <c r="AZ14" s="52">
        <v>7091.76</v>
      </c>
      <c r="BA14" s="52">
        <v>7643.75</v>
      </c>
      <c r="BB14" s="52">
        <v>9.3079999999999998</v>
      </c>
      <c r="BC14" s="52">
        <v>36.851999999999997</v>
      </c>
      <c r="BE14" s="53">
        <f t="shared" si="14"/>
        <v>0</v>
      </c>
      <c r="BF14" s="53">
        <f t="shared" si="15"/>
        <v>0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0</v>
      </c>
      <c r="BV14" s="4">
        <f t="shared" si="16"/>
        <v>0</v>
      </c>
      <c r="BW14" s="4">
        <f t="shared" si="16"/>
        <v>0</v>
      </c>
      <c r="BX14" s="4">
        <f t="shared" si="16"/>
        <v>0</v>
      </c>
      <c r="BY14" s="4">
        <f t="shared" si="16"/>
        <v>0</v>
      </c>
      <c r="BZ14" s="4">
        <f t="shared" si="16"/>
        <v>0</v>
      </c>
      <c r="CA14" s="4">
        <f t="shared" si="16"/>
        <v>0</v>
      </c>
      <c r="CB14" s="4">
        <f t="shared" si="16"/>
        <v>0</v>
      </c>
      <c r="CC14" s="4">
        <f t="shared" si="16"/>
        <v>0</v>
      </c>
      <c r="CD14" s="4">
        <f t="shared" si="16"/>
        <v>0</v>
      </c>
      <c r="CE14" s="4">
        <f t="shared" si="16"/>
        <v>0</v>
      </c>
      <c r="CF14" s="4">
        <f t="shared" si="16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2.0009250000000001</v>
      </c>
      <c r="J15" s="18">
        <f t="shared" si="1"/>
        <v>6.2870794437493563E-2</v>
      </c>
      <c r="K15" s="18">
        <f t="shared" si="2"/>
        <v>5.0764649335192424E-2</v>
      </c>
      <c r="L15" s="18">
        <f t="shared" si="3"/>
        <v>2.6397297161476364E-2</v>
      </c>
      <c r="M15" s="18">
        <f t="shared" si="4"/>
        <v>1.2091534400044209E-2</v>
      </c>
      <c r="N15" s="15">
        <f t="shared" si="5"/>
        <v>1723344</v>
      </c>
      <c r="O15" s="18">
        <f t="shared" si="6"/>
        <v>6.5623537989040359E-2</v>
      </c>
      <c r="P15" s="19">
        <v>32523696</v>
      </c>
      <c r="Q15" s="19">
        <v>1016365.5</v>
      </c>
      <c r="R15" s="19">
        <v>34573</v>
      </c>
      <c r="S15" s="20">
        <v>2134320</v>
      </c>
      <c r="T15" s="20">
        <v>896128</v>
      </c>
      <c r="U15" s="20">
        <v>827216</v>
      </c>
      <c r="V15" s="20">
        <v>410480</v>
      </c>
      <c r="W15" s="21">
        <v>66.386921874999999</v>
      </c>
      <c r="X15" s="21">
        <v>67.997512499999999</v>
      </c>
      <c r="Y15" s="21">
        <v>29.264875</v>
      </c>
      <c r="Z15" s="21">
        <v>43.246731250000003</v>
      </c>
      <c r="AA15" s="21">
        <v>43.583284374999998</v>
      </c>
      <c r="AB15" s="22">
        <v>10924</v>
      </c>
      <c r="AC15" s="22">
        <v>4903.5600000000004</v>
      </c>
      <c r="AD15" s="22">
        <v>11.74</v>
      </c>
      <c r="AE15" s="22">
        <v>31.891999999999999</v>
      </c>
      <c r="AG15" s="17">
        <f t="shared" si="7"/>
        <v>2.0009250000000001</v>
      </c>
      <c r="AH15" s="18">
        <f t="shared" si="8"/>
        <v>6.2870794437493563E-2</v>
      </c>
      <c r="AI15" s="18">
        <f t="shared" si="9"/>
        <v>5.0764649335192424E-2</v>
      </c>
      <c r="AJ15" s="18">
        <f t="shared" si="10"/>
        <v>2.6397297161476364E-2</v>
      </c>
      <c r="AK15" s="18">
        <f t="shared" si="11"/>
        <v>1.2091534400044209E-2</v>
      </c>
      <c r="AL15" s="15">
        <f t="shared" si="12"/>
        <v>1723344</v>
      </c>
      <c r="AM15" s="18">
        <f t="shared" si="13"/>
        <v>6.5623537989040359E-2</v>
      </c>
      <c r="AN15" s="19">
        <v>32523696</v>
      </c>
      <c r="AO15" s="19">
        <v>1016365.5</v>
      </c>
      <c r="AP15" s="19">
        <v>34573</v>
      </c>
      <c r="AQ15" s="20">
        <v>2134320</v>
      </c>
      <c r="AR15" s="20">
        <v>896128</v>
      </c>
      <c r="AS15" s="20">
        <v>827216</v>
      </c>
      <c r="AT15" s="20">
        <v>410480</v>
      </c>
      <c r="AU15" s="21">
        <v>66.386921874999999</v>
      </c>
      <c r="AV15" s="21">
        <v>67.997512499999999</v>
      </c>
      <c r="AW15" s="21">
        <v>29.264875</v>
      </c>
      <c r="AX15" s="21">
        <v>43.246731250000003</v>
      </c>
      <c r="AY15" s="21">
        <v>43.583284374999998</v>
      </c>
      <c r="AZ15" s="22">
        <v>7254.66</v>
      </c>
      <c r="BA15" s="22">
        <v>5076.58</v>
      </c>
      <c r="BB15" s="22">
        <v>9.3239999999999998</v>
      </c>
      <c r="BC15" s="22">
        <v>26.536000000000001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0</v>
      </c>
      <c r="BP15" s="24">
        <f>IF( OR(ISBLANK(S15:S19),ISBLANK(AQ15:AQ19), ISBLANK(X15:X19),ISBLANK(AV15:AV19)), "·", bdRateExtend( S15:S19,X15:X19, AQ15:AQ19,AV15:AV19))</f>
        <v>0</v>
      </c>
      <c r="BQ15" s="24">
        <f>IF( OR(ISBLANK(S15:S19),ISBLANK(AQ15:AQ19), ISBLANK(Y15:Y19),ISBLANK(AW15:AW19)), "·", bdRateExtend( S15:S19,Y15:Y19, AQ15:AQ19,AW15:AW19))</f>
        <v>0</v>
      </c>
      <c r="BR15" s="24">
        <f>IF( OR(ISBLANK(S15:S19),ISBLANK(AQ15:AQ19), ISBLANK(Z15:Z19),ISBLANK(AX15:AX19)), "·", bdRateExtend( S15:S19,Z15:Z19, AQ15:AQ19,AX15:AX19))</f>
        <v>0</v>
      </c>
      <c r="BS15" s="24">
        <f>IF( OR(ISBLANK(S15:S19),ISBLANK(AQ15:AQ19), ISBLANK(AA15:AA19),ISBLANK(AY15:AY19)), "·", bdRateExtend( S15:S19,AA15:AA19, AQ15:AQ19,AY15:AY19))</f>
        <v>0</v>
      </c>
      <c r="BU15" s="4">
        <f t="shared" si="17"/>
        <v>0</v>
      </c>
      <c r="BV15" s="4">
        <f t="shared" si="16"/>
        <v>0</v>
      </c>
      <c r="BW15" s="4">
        <f t="shared" si="16"/>
        <v>0</v>
      </c>
      <c r="BX15" s="4">
        <f t="shared" si="16"/>
        <v>0</v>
      </c>
      <c r="BY15" s="4">
        <f t="shared" si="16"/>
        <v>0</v>
      </c>
      <c r="BZ15" s="4">
        <f t="shared" si="16"/>
        <v>0</v>
      </c>
      <c r="CA15" s="4">
        <f t="shared" si="16"/>
        <v>0</v>
      </c>
      <c r="CB15" s="4">
        <f t="shared" si="16"/>
        <v>0</v>
      </c>
      <c r="CC15" s="4">
        <f t="shared" si="16"/>
        <v>0</v>
      </c>
      <c r="CD15" s="4">
        <f t="shared" si="16"/>
        <v>0</v>
      </c>
      <c r="CE15" s="4">
        <f t="shared" si="16"/>
        <v>0</v>
      </c>
      <c r="CF15" s="4">
        <f t="shared" si="16"/>
        <v>0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2.5723124999999998</v>
      </c>
      <c r="J16" s="28">
        <f t="shared" si="1"/>
        <v>8.0824283976908259E-2</v>
      </c>
      <c r="K16" s="28">
        <f t="shared" si="2"/>
        <v>5.907790326289384E-2</v>
      </c>
      <c r="L16" s="28">
        <f t="shared" si="3"/>
        <v>3.4710551089177775E-2</v>
      </c>
      <c r="M16" s="28">
        <f t="shared" si="4"/>
        <v>2.1731770011757492E-2</v>
      </c>
      <c r="N16" s="25">
        <f t="shared" si="5"/>
        <v>2005560</v>
      </c>
      <c r="O16" s="28">
        <f t="shared" si="6"/>
        <v>8.046709981298833E-2</v>
      </c>
      <c r="P16" s="29">
        <v>34098408</v>
      </c>
      <c r="Q16" s="29">
        <v>1065575.25</v>
      </c>
      <c r="R16" s="29">
        <v>40281.5</v>
      </c>
      <c r="S16" s="30">
        <v>2743800</v>
      </c>
      <c r="T16" s="30">
        <v>1178344</v>
      </c>
      <c r="U16" s="30">
        <v>827216</v>
      </c>
      <c r="V16" s="30">
        <v>737744</v>
      </c>
      <c r="W16" s="31">
        <v>68.101581249999995</v>
      </c>
      <c r="X16" s="31">
        <v>70.121399999999994</v>
      </c>
      <c r="Y16" s="31">
        <v>31.679615624999901</v>
      </c>
      <c r="Z16" s="31">
        <v>43.969490624999999</v>
      </c>
      <c r="AA16" s="31">
        <v>44.250634374999997</v>
      </c>
      <c r="AB16" s="32">
        <v>12006.7</v>
      </c>
      <c r="AC16" s="32">
        <v>5214.3999999999996</v>
      </c>
      <c r="AD16" s="32">
        <v>9.4600000000000009</v>
      </c>
      <c r="AE16" s="32">
        <v>28.78</v>
      </c>
      <c r="AG16" s="27">
        <f t="shared" si="7"/>
        <v>2.5723124999999998</v>
      </c>
      <c r="AH16" s="28">
        <f t="shared" si="8"/>
        <v>8.0824283976908259E-2</v>
      </c>
      <c r="AI16" s="28">
        <f t="shared" si="9"/>
        <v>5.907790326289384E-2</v>
      </c>
      <c r="AJ16" s="28">
        <f t="shared" si="10"/>
        <v>3.4710551089177775E-2</v>
      </c>
      <c r="AK16" s="28">
        <f t="shared" si="11"/>
        <v>2.1731770011757492E-2</v>
      </c>
      <c r="AL16" s="25">
        <f t="shared" si="12"/>
        <v>2005560</v>
      </c>
      <c r="AM16" s="28">
        <f t="shared" si="13"/>
        <v>8.046709981298833E-2</v>
      </c>
      <c r="AN16" s="29">
        <v>34098408</v>
      </c>
      <c r="AO16" s="29">
        <v>1065575.25</v>
      </c>
      <c r="AP16" s="29">
        <v>40281.5</v>
      </c>
      <c r="AQ16" s="30">
        <v>2743800</v>
      </c>
      <c r="AR16" s="30">
        <v>1178344</v>
      </c>
      <c r="AS16" s="30">
        <v>827216</v>
      </c>
      <c r="AT16" s="30">
        <v>737744</v>
      </c>
      <c r="AU16" s="31">
        <v>68.101581249999995</v>
      </c>
      <c r="AV16" s="31">
        <v>70.121399999999994</v>
      </c>
      <c r="AW16" s="31">
        <v>31.679615624999901</v>
      </c>
      <c r="AX16" s="31">
        <v>43.969490624999999</v>
      </c>
      <c r="AY16" s="31">
        <v>44.250634374999997</v>
      </c>
      <c r="AZ16" s="32">
        <v>10310.700000000001</v>
      </c>
      <c r="BA16" s="32">
        <v>5094.7</v>
      </c>
      <c r="BB16" s="32">
        <v>10.587999999999999</v>
      </c>
      <c r="BC16" s="32">
        <v>27.975999999999999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0</v>
      </c>
      <c r="BV16" s="4">
        <f t="shared" si="16"/>
        <v>0</v>
      </c>
      <c r="BW16" s="4">
        <f t="shared" si="16"/>
        <v>0</v>
      </c>
      <c r="BX16" s="4">
        <f t="shared" si="16"/>
        <v>0</v>
      </c>
      <c r="BY16" s="4">
        <f t="shared" si="16"/>
        <v>0</v>
      </c>
      <c r="BZ16" s="4">
        <f t="shared" si="16"/>
        <v>0</v>
      </c>
      <c r="CA16" s="4">
        <f t="shared" si="16"/>
        <v>0</v>
      </c>
      <c r="CB16" s="4">
        <f t="shared" si="16"/>
        <v>0</v>
      </c>
      <c r="CC16" s="4">
        <f t="shared" si="16"/>
        <v>0</v>
      </c>
      <c r="CD16" s="4">
        <f t="shared" si="16"/>
        <v>0</v>
      </c>
      <c r="CE16" s="4">
        <f t="shared" si="16"/>
        <v>0</v>
      </c>
      <c r="CF16" s="4">
        <f t="shared" si="16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3.5621174999999998</v>
      </c>
      <c r="J17" s="18">
        <f t="shared" si="1"/>
        <v>0.11192481332618587</v>
      </c>
      <c r="K17" s="18">
        <f t="shared" si="2"/>
        <v>6.9147976308746292E-2</v>
      </c>
      <c r="L17" s="18">
        <f t="shared" si="3"/>
        <v>4.4780624135030228E-2</v>
      </c>
      <c r="M17" s="18">
        <f t="shared" si="4"/>
        <v>4.2762226315182658E-2</v>
      </c>
      <c r="N17" s="15">
        <f t="shared" si="5"/>
        <v>2347416</v>
      </c>
      <c r="O17" s="18">
        <f t="shared" si="6"/>
        <v>0.11095622943329561</v>
      </c>
      <c r="P17" s="19">
        <v>34244062</v>
      </c>
      <c r="Q17" s="19">
        <v>1070126.9375</v>
      </c>
      <c r="R17" s="19">
        <v>41416.84375</v>
      </c>
      <c r="S17" s="20">
        <v>3799592</v>
      </c>
      <c r="T17" s="20">
        <v>1520200</v>
      </c>
      <c r="U17" s="20">
        <v>827216</v>
      </c>
      <c r="V17" s="20">
        <v>1451680</v>
      </c>
      <c r="W17" s="21">
        <v>69.444721874999999</v>
      </c>
      <c r="X17" s="21">
        <v>71.859571874999901</v>
      </c>
      <c r="Y17" s="21">
        <v>34.128753125000003</v>
      </c>
      <c r="Z17" s="21">
        <v>45.224303124999999</v>
      </c>
      <c r="AA17" s="21">
        <v>45.659125000000003</v>
      </c>
      <c r="AB17" s="22">
        <v>15437.3</v>
      </c>
      <c r="AC17" s="22">
        <v>5417.32</v>
      </c>
      <c r="AD17" s="22">
        <v>9.5359999999999996</v>
      </c>
      <c r="AE17" s="22">
        <v>26.872</v>
      </c>
      <c r="AG17" s="17">
        <f t="shared" si="7"/>
        <v>3.5621174999999998</v>
      </c>
      <c r="AH17" s="18">
        <f t="shared" si="8"/>
        <v>0.11192481332618587</v>
      </c>
      <c r="AI17" s="18">
        <f t="shared" si="9"/>
        <v>6.9147976308746292E-2</v>
      </c>
      <c r="AJ17" s="18">
        <f t="shared" si="10"/>
        <v>4.4780624135030228E-2</v>
      </c>
      <c r="AK17" s="18">
        <f t="shared" si="11"/>
        <v>4.2762226315182658E-2</v>
      </c>
      <c r="AL17" s="15">
        <f t="shared" si="12"/>
        <v>2347416</v>
      </c>
      <c r="AM17" s="18">
        <f t="shared" si="13"/>
        <v>0.11095622943329561</v>
      </c>
      <c r="AN17" s="19">
        <v>34244062</v>
      </c>
      <c r="AO17" s="19">
        <v>1070126.9375</v>
      </c>
      <c r="AP17" s="19">
        <v>41416.84375</v>
      </c>
      <c r="AQ17" s="20">
        <v>3799592</v>
      </c>
      <c r="AR17" s="20">
        <v>1520200</v>
      </c>
      <c r="AS17" s="20">
        <v>827216</v>
      </c>
      <c r="AT17" s="20">
        <v>1451680</v>
      </c>
      <c r="AU17" s="21">
        <v>69.444721874999999</v>
      </c>
      <c r="AV17" s="21">
        <v>71.859571874999901</v>
      </c>
      <c r="AW17" s="21">
        <v>34.128753125000003</v>
      </c>
      <c r="AX17" s="21">
        <v>45.224303124999999</v>
      </c>
      <c r="AY17" s="21">
        <v>45.659125000000003</v>
      </c>
      <c r="AZ17" s="22">
        <v>10133.5</v>
      </c>
      <c r="BA17" s="22">
        <v>5348.66</v>
      </c>
      <c r="BB17" s="22">
        <v>11.496</v>
      </c>
      <c r="BC17" s="22">
        <v>31.611999999999998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0</v>
      </c>
      <c r="BV17" s="4">
        <f t="shared" si="16"/>
        <v>0</v>
      </c>
      <c r="BW17" s="4">
        <f t="shared" si="16"/>
        <v>0</v>
      </c>
      <c r="BX17" s="4">
        <f t="shared" si="16"/>
        <v>0</v>
      </c>
      <c r="BY17" s="4">
        <f t="shared" si="16"/>
        <v>0</v>
      </c>
      <c r="BZ17" s="4">
        <f t="shared" si="16"/>
        <v>0</v>
      </c>
      <c r="CA17" s="4">
        <f t="shared" si="16"/>
        <v>0</v>
      </c>
      <c r="CB17" s="4">
        <f t="shared" si="16"/>
        <v>0</v>
      </c>
      <c r="CC17" s="4">
        <f t="shared" si="16"/>
        <v>0</v>
      </c>
      <c r="CD17" s="4">
        <f t="shared" si="16"/>
        <v>0</v>
      </c>
      <c r="CE17" s="4">
        <f t="shared" si="16"/>
        <v>0</v>
      </c>
      <c r="CF17" s="4">
        <f t="shared" si="16"/>
        <v>0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6.3922875000000001</v>
      </c>
      <c r="J18" s="28">
        <f t="shared" si="1"/>
        <v>0.2008512030175342</v>
      </c>
      <c r="K18" s="28">
        <f t="shared" si="2"/>
        <v>9.6967696031880546E-2</v>
      </c>
      <c r="L18" s="28">
        <f t="shared" si="3"/>
        <v>7.2600343858164482E-2</v>
      </c>
      <c r="M18" s="28">
        <f t="shared" si="4"/>
        <v>0.10386889628339672</v>
      </c>
      <c r="N18" s="25">
        <f t="shared" si="5"/>
        <v>3291832</v>
      </c>
      <c r="O18" s="28">
        <f t="shared" si="6"/>
        <v>0.19143664633623506</v>
      </c>
      <c r="P18" s="29">
        <v>35617214</v>
      </c>
      <c r="Q18" s="29">
        <v>1113037.9375</v>
      </c>
      <c r="R18" s="29">
        <v>46682.59375</v>
      </c>
      <c r="S18" s="30">
        <v>6818440</v>
      </c>
      <c r="T18" s="30">
        <v>2464616</v>
      </c>
      <c r="U18" s="30">
        <v>827216</v>
      </c>
      <c r="V18" s="30">
        <v>3526112</v>
      </c>
      <c r="W18" s="31">
        <v>70.503553124999897</v>
      </c>
      <c r="X18" s="31">
        <v>73.141296874999995</v>
      </c>
      <c r="Y18" s="31">
        <v>36.484928124999897</v>
      </c>
      <c r="Z18" s="31">
        <v>46.496287499999902</v>
      </c>
      <c r="AA18" s="31">
        <v>47.021078124999903</v>
      </c>
      <c r="AB18" s="32">
        <v>15457.5</v>
      </c>
      <c r="AC18" s="32">
        <v>5911.88</v>
      </c>
      <c r="AD18" s="32">
        <v>9.3840000000000003</v>
      </c>
      <c r="AE18" s="32">
        <v>26.948</v>
      </c>
      <c r="AG18" s="27">
        <f t="shared" si="7"/>
        <v>6.3922875000000001</v>
      </c>
      <c r="AH18" s="28">
        <f t="shared" si="8"/>
        <v>0.2008512030175342</v>
      </c>
      <c r="AI18" s="28">
        <f t="shared" si="9"/>
        <v>9.6967696031880546E-2</v>
      </c>
      <c r="AJ18" s="28">
        <f t="shared" si="10"/>
        <v>7.2600343858164482E-2</v>
      </c>
      <c r="AK18" s="28">
        <f t="shared" si="11"/>
        <v>0.10386889628339672</v>
      </c>
      <c r="AL18" s="25">
        <f t="shared" si="12"/>
        <v>3291832</v>
      </c>
      <c r="AM18" s="28">
        <f t="shared" si="13"/>
        <v>0.19143664633623506</v>
      </c>
      <c r="AN18" s="29">
        <v>35617214</v>
      </c>
      <c r="AO18" s="29">
        <v>1113037.9375</v>
      </c>
      <c r="AP18" s="29">
        <v>46682.59375</v>
      </c>
      <c r="AQ18" s="30">
        <v>6818440</v>
      </c>
      <c r="AR18" s="30">
        <v>2464616</v>
      </c>
      <c r="AS18" s="30">
        <v>827216</v>
      </c>
      <c r="AT18" s="30">
        <v>3526112</v>
      </c>
      <c r="AU18" s="31">
        <v>70.503553124999897</v>
      </c>
      <c r="AV18" s="31">
        <v>73.141296874999995</v>
      </c>
      <c r="AW18" s="31">
        <v>36.484928124999897</v>
      </c>
      <c r="AX18" s="31">
        <v>46.496287499999902</v>
      </c>
      <c r="AY18" s="31">
        <v>47.021078124999903</v>
      </c>
      <c r="AZ18" s="32">
        <v>6458.6</v>
      </c>
      <c r="BA18" s="32">
        <v>6228.88</v>
      </c>
      <c r="BB18" s="32">
        <v>10.904</v>
      </c>
      <c r="BC18" s="32">
        <v>29.78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0</v>
      </c>
      <c r="BV18" s="4">
        <f t="shared" si="16"/>
        <v>0</v>
      </c>
      <c r="BW18" s="4">
        <f t="shared" si="16"/>
        <v>0</v>
      </c>
      <c r="BX18" s="4">
        <f t="shared" si="16"/>
        <v>0</v>
      </c>
      <c r="BY18" s="4">
        <f t="shared" si="16"/>
        <v>0</v>
      </c>
      <c r="BZ18" s="4">
        <f t="shared" si="16"/>
        <v>0</v>
      </c>
      <c r="CA18" s="4">
        <f t="shared" si="16"/>
        <v>0</v>
      </c>
      <c r="CB18" s="4">
        <f t="shared" si="16"/>
        <v>0</v>
      </c>
      <c r="CC18" s="4">
        <f t="shared" si="16"/>
        <v>0</v>
      </c>
      <c r="CD18" s="4">
        <f t="shared" si="16"/>
        <v>0</v>
      </c>
      <c r="CE18" s="4">
        <f t="shared" si="16"/>
        <v>0</v>
      </c>
      <c r="CF18" s="4">
        <f t="shared" si="16"/>
        <v>0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14.460794999999999</v>
      </c>
      <c r="J19" s="38">
        <f t="shared" si="1"/>
        <v>0.45437068848044515</v>
      </c>
      <c r="K19" s="38">
        <f t="shared" si="2"/>
        <v>0.16800516606153026</v>
      </c>
      <c r="L19" s="38">
        <f t="shared" si="3"/>
        <v>0.11774057979390544</v>
      </c>
      <c r="M19" s="38">
        <f t="shared" si="4"/>
        <v>0.28635091171665794</v>
      </c>
      <c r="N19" s="35">
        <f t="shared" si="5"/>
        <v>5703392</v>
      </c>
      <c r="O19" s="38">
        <f t="shared" si="6"/>
        <v>0.45809418527079482</v>
      </c>
      <c r="P19" s="39">
        <v>33671783</v>
      </c>
      <c r="Q19" s="39">
        <v>1052243.21875</v>
      </c>
      <c r="R19" s="39">
        <v>12620.09375</v>
      </c>
      <c r="S19" s="40">
        <v>15424848</v>
      </c>
      <c r="T19" s="40">
        <v>3997024</v>
      </c>
      <c r="U19" s="40">
        <v>1706368</v>
      </c>
      <c r="V19" s="40">
        <v>9720960</v>
      </c>
      <c r="W19" s="41">
        <v>71.727674999999905</v>
      </c>
      <c r="X19" s="41">
        <v>75.248112500000005</v>
      </c>
      <c r="Y19" s="41">
        <v>38.865056249999903</v>
      </c>
      <c r="Z19" s="41">
        <v>48.234778124999998</v>
      </c>
      <c r="AA19" s="41">
        <v>48.802718749999997</v>
      </c>
      <c r="AB19" s="42">
        <v>15205.3</v>
      </c>
      <c r="AC19" s="42">
        <v>6897.63</v>
      </c>
      <c r="AD19" s="42">
        <v>9.9079999999999995</v>
      </c>
      <c r="AE19" s="42">
        <v>29.672000000000001</v>
      </c>
      <c r="AG19" s="37">
        <f t="shared" si="7"/>
        <v>14.460794999999999</v>
      </c>
      <c r="AH19" s="38">
        <f t="shared" si="8"/>
        <v>0.45437068848044515</v>
      </c>
      <c r="AI19" s="38">
        <f t="shared" si="9"/>
        <v>0.16800516606153026</v>
      </c>
      <c r="AJ19" s="38">
        <f t="shared" si="10"/>
        <v>0.11774057979390544</v>
      </c>
      <c r="AK19" s="38">
        <f t="shared" si="11"/>
        <v>0.28635091171665794</v>
      </c>
      <c r="AL19" s="35">
        <f t="shared" si="12"/>
        <v>5703392</v>
      </c>
      <c r="AM19" s="38">
        <f t="shared" si="13"/>
        <v>0.45809418527079482</v>
      </c>
      <c r="AN19" s="39">
        <v>33671783</v>
      </c>
      <c r="AO19" s="39">
        <v>1052243.21875</v>
      </c>
      <c r="AP19" s="39">
        <v>12620.09375</v>
      </c>
      <c r="AQ19" s="40">
        <v>15424848</v>
      </c>
      <c r="AR19" s="40">
        <v>3997024</v>
      </c>
      <c r="AS19" s="40">
        <v>1706368</v>
      </c>
      <c r="AT19" s="40">
        <v>9720960</v>
      </c>
      <c r="AU19" s="41">
        <v>71.727674999999905</v>
      </c>
      <c r="AV19" s="41">
        <v>75.248112500000005</v>
      </c>
      <c r="AW19" s="41">
        <v>38.865056249999903</v>
      </c>
      <c r="AX19" s="41">
        <v>48.234778124999998</v>
      </c>
      <c r="AY19" s="41">
        <v>48.802718749999997</v>
      </c>
      <c r="AZ19" s="42">
        <v>6681.38</v>
      </c>
      <c r="BA19" s="42">
        <v>7226.42</v>
      </c>
      <c r="BB19" s="42">
        <v>10.288</v>
      </c>
      <c r="BC19" s="42">
        <v>31.308</v>
      </c>
      <c r="BE19" s="43">
        <f t="shared" si="14"/>
        <v>0</v>
      </c>
      <c r="BF19" s="43">
        <f t="shared" si="15"/>
        <v>0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0</v>
      </c>
      <c r="BV19" s="4">
        <f t="shared" si="16"/>
        <v>0</v>
      </c>
      <c r="BW19" s="4">
        <f t="shared" si="16"/>
        <v>0</v>
      </c>
      <c r="BX19" s="4">
        <f t="shared" si="16"/>
        <v>0</v>
      </c>
      <c r="BY19" s="4">
        <f t="shared" si="16"/>
        <v>0</v>
      </c>
      <c r="BZ19" s="4">
        <f t="shared" si="16"/>
        <v>0</v>
      </c>
      <c r="CA19" s="4">
        <f t="shared" si="16"/>
        <v>0</v>
      </c>
      <c r="CB19" s="4">
        <f t="shared" si="16"/>
        <v>0</v>
      </c>
      <c r="CC19" s="4">
        <f t="shared" si="16"/>
        <v>0</v>
      </c>
      <c r="CD19" s="4">
        <f t="shared" si="16"/>
        <v>0</v>
      </c>
      <c r="CE19" s="4">
        <f t="shared" si="16"/>
        <v>0</v>
      </c>
      <c r="CF19" s="4">
        <f t="shared" si="16"/>
        <v>0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2.2681874999999998</v>
      </c>
      <c r="J20" s="28">
        <f t="shared" si="1"/>
        <v>4.5068490824316181E-2</v>
      </c>
      <c r="K20" s="28">
        <f t="shared" si="2"/>
        <v>3.3365411718472009E-2</v>
      </c>
      <c r="L20" s="28">
        <f t="shared" si="3"/>
        <v>1.8870125322407331E-2</v>
      </c>
      <c r="M20" s="28">
        <f t="shared" si="4"/>
        <v>1.1687679990740661E-2</v>
      </c>
      <c r="N20" s="25">
        <f t="shared" si="5"/>
        <v>1074688</v>
      </c>
      <c r="O20" s="28">
        <f t="shared" si="6"/>
        <v>4.7128405392852617E-2</v>
      </c>
      <c r="P20" s="29">
        <v>30801806</v>
      </c>
      <c r="Q20" s="29">
        <v>962556.4375</v>
      </c>
      <c r="R20" s="29">
        <v>28246.0625</v>
      </c>
      <c r="S20" s="30">
        <v>1451640</v>
      </c>
      <c r="T20" s="30">
        <v>607800</v>
      </c>
      <c r="U20" s="30">
        <v>466888</v>
      </c>
      <c r="V20" s="30">
        <v>376456</v>
      </c>
      <c r="W20" s="31">
        <v>67.130621874999903</v>
      </c>
      <c r="X20" s="31">
        <v>68.790568749999906</v>
      </c>
      <c r="Y20" s="31">
        <v>30.040628125000001</v>
      </c>
      <c r="Z20" s="31">
        <v>39.385453124999898</v>
      </c>
      <c r="AA20" s="31">
        <v>38.009237499999898</v>
      </c>
      <c r="AB20" s="32">
        <v>14247.1</v>
      </c>
      <c r="AC20" s="32">
        <v>3776.7</v>
      </c>
      <c r="AD20" s="32">
        <v>9.9039999999999999</v>
      </c>
      <c r="AE20" s="32">
        <v>24.175999999999998</v>
      </c>
      <c r="AG20" s="27">
        <f t="shared" si="7"/>
        <v>2.2681874999999998</v>
      </c>
      <c r="AH20" s="28">
        <f t="shared" si="8"/>
        <v>4.5068490824316181E-2</v>
      </c>
      <c r="AI20" s="28">
        <f t="shared" si="9"/>
        <v>3.3365411718472009E-2</v>
      </c>
      <c r="AJ20" s="28">
        <f t="shared" si="10"/>
        <v>1.8870125322407331E-2</v>
      </c>
      <c r="AK20" s="28">
        <f t="shared" si="11"/>
        <v>1.1687679990740661E-2</v>
      </c>
      <c r="AL20" s="25">
        <f t="shared" si="12"/>
        <v>1074688</v>
      </c>
      <c r="AM20" s="28">
        <f t="shared" si="13"/>
        <v>4.7128405392852617E-2</v>
      </c>
      <c r="AN20" s="29">
        <v>30801806</v>
      </c>
      <c r="AO20" s="29">
        <v>962556.4375</v>
      </c>
      <c r="AP20" s="29">
        <v>28246.0625</v>
      </c>
      <c r="AQ20" s="30">
        <v>1451640</v>
      </c>
      <c r="AR20" s="30">
        <v>607800</v>
      </c>
      <c r="AS20" s="30">
        <v>466888</v>
      </c>
      <c r="AT20" s="30">
        <v>376456</v>
      </c>
      <c r="AU20" s="31">
        <v>67.130621874999903</v>
      </c>
      <c r="AV20" s="31">
        <v>68.790568749999906</v>
      </c>
      <c r="AW20" s="31">
        <v>30.040628125000001</v>
      </c>
      <c r="AX20" s="31">
        <v>39.385453124999898</v>
      </c>
      <c r="AY20" s="31">
        <v>38.009237499999898</v>
      </c>
      <c r="AZ20" s="32">
        <v>6857.25</v>
      </c>
      <c r="BA20" s="32">
        <v>3930.75</v>
      </c>
      <c r="BB20" s="32">
        <v>8.6639999999999997</v>
      </c>
      <c r="BC20" s="32">
        <v>22.367999999999999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7"/>
        <v>0</v>
      </c>
      <c r="BV20" s="4">
        <f t="shared" si="16"/>
        <v>0</v>
      </c>
      <c r="BW20" s="4">
        <f t="shared" si="16"/>
        <v>0</v>
      </c>
      <c r="BX20" s="4">
        <f t="shared" si="16"/>
        <v>0</v>
      </c>
      <c r="BY20" s="4">
        <f t="shared" si="16"/>
        <v>0</v>
      </c>
      <c r="BZ20" s="4">
        <f t="shared" si="16"/>
        <v>0</v>
      </c>
      <c r="CA20" s="4">
        <f t="shared" si="16"/>
        <v>0</v>
      </c>
      <c r="CB20" s="4">
        <f t="shared" si="16"/>
        <v>0</v>
      </c>
      <c r="CC20" s="4">
        <f t="shared" si="16"/>
        <v>0</v>
      </c>
      <c r="CD20" s="4">
        <f t="shared" si="16"/>
        <v>0</v>
      </c>
      <c r="CE20" s="4">
        <f t="shared" si="16"/>
        <v>0</v>
      </c>
      <c r="CF20" s="4">
        <f t="shared" si="16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3.1077625000000002</v>
      </c>
      <c r="J21" s="18">
        <f t="shared" si="1"/>
        <v>6.1750699937903691E-2</v>
      </c>
      <c r="K21" s="18">
        <f t="shared" si="2"/>
        <v>3.8931446709918514E-2</v>
      </c>
      <c r="L21" s="18">
        <f t="shared" si="3"/>
        <v>2.4436160313853837E-2</v>
      </c>
      <c r="M21" s="18">
        <f t="shared" si="4"/>
        <v>2.2803854112881661E-2</v>
      </c>
      <c r="N21" s="15">
        <f t="shared" si="5"/>
        <v>1253968</v>
      </c>
      <c r="O21" s="18">
        <f t="shared" si="6"/>
        <v>6.2887052877796099E-2</v>
      </c>
      <c r="P21" s="19">
        <v>31627623</v>
      </c>
      <c r="Q21" s="19">
        <v>988363.21875</v>
      </c>
      <c r="R21" s="19">
        <v>32272.96875</v>
      </c>
      <c r="S21" s="20">
        <v>1988968</v>
      </c>
      <c r="T21" s="20">
        <v>787080</v>
      </c>
      <c r="U21" s="20">
        <v>466888</v>
      </c>
      <c r="V21" s="20">
        <v>734504</v>
      </c>
      <c r="W21" s="21">
        <v>68.791021874999998</v>
      </c>
      <c r="X21" s="21">
        <v>70.898106249999998</v>
      </c>
      <c r="Y21" s="21">
        <v>31.562603124999999</v>
      </c>
      <c r="Z21" s="21">
        <v>40.492534374999998</v>
      </c>
      <c r="AA21" s="21">
        <v>39.295643749999897</v>
      </c>
      <c r="AB21" s="22">
        <v>16383.4</v>
      </c>
      <c r="AC21" s="22">
        <v>3903.34</v>
      </c>
      <c r="AD21" s="22">
        <v>7.508</v>
      </c>
      <c r="AE21" s="22">
        <v>20.388000000000002</v>
      </c>
      <c r="AG21" s="17">
        <f t="shared" si="7"/>
        <v>3.1077625000000002</v>
      </c>
      <c r="AH21" s="18">
        <f t="shared" si="8"/>
        <v>6.1750699937903691E-2</v>
      </c>
      <c r="AI21" s="18">
        <f t="shared" si="9"/>
        <v>3.8931446709918514E-2</v>
      </c>
      <c r="AJ21" s="18">
        <f t="shared" si="10"/>
        <v>2.4436160313853837E-2</v>
      </c>
      <c r="AK21" s="18">
        <f t="shared" si="11"/>
        <v>2.2803854112881661E-2</v>
      </c>
      <c r="AL21" s="15">
        <f t="shared" si="12"/>
        <v>1253968</v>
      </c>
      <c r="AM21" s="18">
        <f t="shared" si="13"/>
        <v>6.2887052877796099E-2</v>
      </c>
      <c r="AN21" s="19">
        <v>31627623</v>
      </c>
      <c r="AO21" s="19">
        <v>988363.21875</v>
      </c>
      <c r="AP21" s="19">
        <v>32272.96875</v>
      </c>
      <c r="AQ21" s="20">
        <v>1988968</v>
      </c>
      <c r="AR21" s="20">
        <v>787080</v>
      </c>
      <c r="AS21" s="20">
        <v>466888</v>
      </c>
      <c r="AT21" s="20">
        <v>734504</v>
      </c>
      <c r="AU21" s="21">
        <v>68.791021874999998</v>
      </c>
      <c r="AV21" s="21">
        <v>70.898106249999998</v>
      </c>
      <c r="AW21" s="21">
        <v>31.562603124999999</v>
      </c>
      <c r="AX21" s="21">
        <v>40.492534374999998</v>
      </c>
      <c r="AY21" s="21">
        <v>39.295643749999897</v>
      </c>
      <c r="AZ21" s="22">
        <v>5579.37</v>
      </c>
      <c r="BA21" s="22">
        <v>3115.13</v>
      </c>
      <c r="BB21" s="22">
        <v>8.8360000000000003</v>
      </c>
      <c r="BC21" s="22">
        <v>22.904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0</v>
      </c>
      <c r="BV21" s="4">
        <f t="shared" ref="BV21:BV29" si="18">AO21-Q21</f>
        <v>0</v>
      </c>
      <c r="BW21" s="4">
        <f t="shared" ref="BW21:BW29" si="19">AP21-R21</f>
        <v>0</v>
      </c>
      <c r="BX21" s="4">
        <f t="shared" ref="BX21:BX29" si="20">AQ21-S21</f>
        <v>0</v>
      </c>
      <c r="BY21" s="4">
        <f t="shared" ref="BY21:BY29" si="21">AR21-T21</f>
        <v>0</v>
      </c>
      <c r="BZ21" s="4">
        <f t="shared" ref="BZ21:BZ29" si="22">AS21-U21</f>
        <v>0</v>
      </c>
      <c r="CA21" s="4">
        <f t="shared" ref="CA21:CA29" si="23">AT21-V21</f>
        <v>0</v>
      </c>
      <c r="CB21" s="4">
        <f t="shared" ref="CB21:CB29" si="24">AU21-W21</f>
        <v>0</v>
      </c>
      <c r="CC21" s="4">
        <f t="shared" ref="CC21:CC29" si="25">AV21-X21</f>
        <v>0</v>
      </c>
      <c r="CD21" s="4">
        <f t="shared" ref="CD21:CD29" si="26">AW21-Y21</f>
        <v>0</v>
      </c>
      <c r="CE21" s="4">
        <f t="shared" ref="CE21:CE29" si="27">AX21-Z21</f>
        <v>0</v>
      </c>
      <c r="CF21" s="4">
        <f t="shared" ref="CF21:CF29" si="28">AY21-AA21</f>
        <v>0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5.0993500000000003</v>
      </c>
      <c r="J22" s="28">
        <f t="shared" si="1"/>
        <v>0.10132319690721192</v>
      </c>
      <c r="K22" s="28">
        <f t="shared" si="2"/>
        <v>4.5931089642937052E-2</v>
      </c>
      <c r="L22" s="28">
        <f t="shared" si="3"/>
        <v>3.1435803246872375E-2</v>
      </c>
      <c r="M22" s="28">
        <f t="shared" si="4"/>
        <v>5.5376708149171353E-2</v>
      </c>
      <c r="N22" s="25">
        <f t="shared" si="5"/>
        <v>1479424</v>
      </c>
      <c r="O22" s="28">
        <f t="shared" si="6"/>
        <v>9.966170554396149E-2</v>
      </c>
      <c r="P22" s="29">
        <v>32746620</v>
      </c>
      <c r="Q22" s="29">
        <v>1023331.875</v>
      </c>
      <c r="R22" s="29">
        <v>34640.1875</v>
      </c>
      <c r="S22" s="30">
        <v>3263584</v>
      </c>
      <c r="T22" s="30">
        <v>1012536</v>
      </c>
      <c r="U22" s="30">
        <v>466888</v>
      </c>
      <c r="V22" s="30">
        <v>1783664</v>
      </c>
      <c r="W22" s="31">
        <v>70.003465624999905</v>
      </c>
      <c r="X22" s="31">
        <v>72.449924999999993</v>
      </c>
      <c r="Y22" s="31">
        <v>33.580721874999902</v>
      </c>
      <c r="Z22" s="31">
        <v>41.718596874999903</v>
      </c>
      <c r="AA22" s="31">
        <v>40.583143749999898</v>
      </c>
      <c r="AB22" s="32">
        <v>17869.3</v>
      </c>
      <c r="AC22" s="32">
        <v>4092.97</v>
      </c>
      <c r="AD22" s="32">
        <v>7.5759999999999996</v>
      </c>
      <c r="AE22" s="32">
        <v>20.731999999999999</v>
      </c>
      <c r="AG22" s="27">
        <f t="shared" si="7"/>
        <v>5.0993500000000003</v>
      </c>
      <c r="AH22" s="28">
        <f t="shared" si="8"/>
        <v>0.10132319690721192</v>
      </c>
      <c r="AI22" s="28">
        <f t="shared" si="9"/>
        <v>4.5931089642937052E-2</v>
      </c>
      <c r="AJ22" s="28">
        <f t="shared" si="10"/>
        <v>3.1435803246872375E-2</v>
      </c>
      <c r="AK22" s="28">
        <f t="shared" si="11"/>
        <v>5.5376708149171353E-2</v>
      </c>
      <c r="AL22" s="25">
        <f t="shared" si="12"/>
        <v>1479424</v>
      </c>
      <c r="AM22" s="28">
        <f t="shared" si="13"/>
        <v>9.966170554396149E-2</v>
      </c>
      <c r="AN22" s="29">
        <v>32746620</v>
      </c>
      <c r="AO22" s="29">
        <v>1023331.875</v>
      </c>
      <c r="AP22" s="29">
        <v>34640.1875</v>
      </c>
      <c r="AQ22" s="30">
        <v>3263584</v>
      </c>
      <c r="AR22" s="30">
        <v>1012536</v>
      </c>
      <c r="AS22" s="30">
        <v>466888</v>
      </c>
      <c r="AT22" s="30">
        <v>1783664</v>
      </c>
      <c r="AU22" s="31">
        <v>70.003465624999905</v>
      </c>
      <c r="AV22" s="31">
        <v>72.449924999999993</v>
      </c>
      <c r="AW22" s="31">
        <v>33.580721874999902</v>
      </c>
      <c r="AX22" s="31">
        <v>41.718596874999903</v>
      </c>
      <c r="AY22" s="31">
        <v>40.583143749999898</v>
      </c>
      <c r="AZ22" s="32">
        <v>5600.1</v>
      </c>
      <c r="BA22" s="32">
        <v>3287.33</v>
      </c>
      <c r="BB22" s="32">
        <v>7.8319999999999999</v>
      </c>
      <c r="BC22" s="32">
        <v>21.18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0</v>
      </c>
      <c r="BV22" s="4">
        <f t="shared" si="18"/>
        <v>0</v>
      </c>
      <c r="BW22" s="4">
        <f t="shared" si="19"/>
        <v>0</v>
      </c>
      <c r="BX22" s="4">
        <f t="shared" si="20"/>
        <v>0</v>
      </c>
      <c r="BY22" s="4">
        <f t="shared" si="21"/>
        <v>0</v>
      </c>
      <c r="BZ22" s="4">
        <f t="shared" si="22"/>
        <v>0</v>
      </c>
      <c r="CA22" s="4">
        <f t="shared" si="23"/>
        <v>0</v>
      </c>
      <c r="CB22" s="4">
        <f t="shared" si="24"/>
        <v>0</v>
      </c>
      <c r="CC22" s="4">
        <f t="shared" si="25"/>
        <v>0</v>
      </c>
      <c r="CD22" s="4">
        <f t="shared" si="26"/>
        <v>0</v>
      </c>
      <c r="CE22" s="4">
        <f t="shared" si="27"/>
        <v>0</v>
      </c>
      <c r="CF22" s="4">
        <f t="shared" si="28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9.4624625000000009</v>
      </c>
      <c r="J23" s="18">
        <f t="shared" si="1"/>
        <v>0.18801748283891256</v>
      </c>
      <c r="K23" s="18">
        <f t="shared" si="2"/>
        <v>6.5459651322431603E-2</v>
      </c>
      <c r="L23" s="18">
        <f t="shared" si="3"/>
        <v>5.0964364926366926E-2</v>
      </c>
      <c r="M23" s="18">
        <f t="shared" si="4"/>
        <v>0.12254243240137744</v>
      </c>
      <c r="N23" s="15">
        <f t="shared" si="5"/>
        <v>2108432</v>
      </c>
      <c r="O23" s="18">
        <f t="shared" si="6"/>
        <v>0.18323559519247923</v>
      </c>
      <c r="P23" s="19">
        <v>33050216</v>
      </c>
      <c r="Q23" s="19">
        <v>1032819.25</v>
      </c>
      <c r="R23" s="19">
        <v>36820.71875</v>
      </c>
      <c r="S23" s="20">
        <v>6055976</v>
      </c>
      <c r="T23" s="20">
        <v>1641544</v>
      </c>
      <c r="U23" s="20">
        <v>466888</v>
      </c>
      <c r="V23" s="20">
        <v>3947048</v>
      </c>
      <c r="W23" s="21">
        <v>70.935637499999999</v>
      </c>
      <c r="X23" s="21">
        <v>73.669268750000001</v>
      </c>
      <c r="Y23" s="21">
        <v>35.489134374999999</v>
      </c>
      <c r="Z23" s="21">
        <v>42.832921874999897</v>
      </c>
      <c r="AA23" s="21">
        <v>41.608640625</v>
      </c>
      <c r="AB23" s="22">
        <v>17878.599999999999</v>
      </c>
      <c r="AC23" s="22">
        <v>4479.4399999999996</v>
      </c>
      <c r="AD23" s="22">
        <v>7.5960000000000001</v>
      </c>
      <c r="AE23" s="22">
        <v>21.364000000000001</v>
      </c>
      <c r="AG23" s="17">
        <f t="shared" si="7"/>
        <v>9.4624625000000009</v>
      </c>
      <c r="AH23" s="18">
        <f t="shared" si="8"/>
        <v>0.18801748283891256</v>
      </c>
      <c r="AI23" s="18">
        <f t="shared" si="9"/>
        <v>6.5459651322431603E-2</v>
      </c>
      <c r="AJ23" s="18">
        <f t="shared" si="10"/>
        <v>5.0964364926366926E-2</v>
      </c>
      <c r="AK23" s="18">
        <f t="shared" si="11"/>
        <v>0.12254243240137744</v>
      </c>
      <c r="AL23" s="15">
        <f t="shared" si="12"/>
        <v>2108432</v>
      </c>
      <c r="AM23" s="18">
        <f t="shared" si="13"/>
        <v>0.18323559519247923</v>
      </c>
      <c r="AN23" s="19">
        <v>33050216</v>
      </c>
      <c r="AO23" s="19">
        <v>1032819.25</v>
      </c>
      <c r="AP23" s="19">
        <v>36820.71875</v>
      </c>
      <c r="AQ23" s="20">
        <v>6055976</v>
      </c>
      <c r="AR23" s="20">
        <v>1641544</v>
      </c>
      <c r="AS23" s="20">
        <v>466888</v>
      </c>
      <c r="AT23" s="20">
        <v>3947048</v>
      </c>
      <c r="AU23" s="21">
        <v>70.935637499999999</v>
      </c>
      <c r="AV23" s="21">
        <v>73.669268750000001</v>
      </c>
      <c r="AW23" s="21">
        <v>35.489134374999999</v>
      </c>
      <c r="AX23" s="21">
        <v>42.832921874999897</v>
      </c>
      <c r="AY23" s="21">
        <v>41.608640625</v>
      </c>
      <c r="AZ23" s="22">
        <v>9646.44</v>
      </c>
      <c r="BA23" s="22">
        <v>4711.1099999999997</v>
      </c>
      <c r="BB23" s="22">
        <v>7.6239999999999997</v>
      </c>
      <c r="BC23" s="22">
        <v>22.148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0</v>
      </c>
      <c r="BV23" s="4">
        <f t="shared" si="18"/>
        <v>0</v>
      </c>
      <c r="BW23" s="4">
        <f t="shared" si="19"/>
        <v>0</v>
      </c>
      <c r="BX23" s="4">
        <f t="shared" si="20"/>
        <v>0</v>
      </c>
      <c r="BY23" s="4">
        <f t="shared" si="21"/>
        <v>0</v>
      </c>
      <c r="BZ23" s="4">
        <f t="shared" si="22"/>
        <v>0</v>
      </c>
      <c r="CA23" s="4">
        <f t="shared" si="23"/>
        <v>0</v>
      </c>
      <c r="CB23" s="4">
        <f t="shared" si="24"/>
        <v>0</v>
      </c>
      <c r="CC23" s="4">
        <f t="shared" si="25"/>
        <v>0</v>
      </c>
      <c r="CD23" s="4">
        <f t="shared" si="26"/>
        <v>0</v>
      </c>
      <c r="CE23" s="4">
        <f t="shared" si="27"/>
        <v>0</v>
      </c>
      <c r="CF23" s="4">
        <f t="shared" si="28"/>
        <v>0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17.533000000000001</v>
      </c>
      <c r="J24" s="48">
        <f t="shared" si="1"/>
        <v>0.3483776582062707</v>
      </c>
      <c r="K24" s="48">
        <f t="shared" si="2"/>
        <v>0.11173573081825217</v>
      </c>
      <c r="L24" s="48">
        <f t="shared" si="3"/>
        <v>8.0884845572488956E-2</v>
      </c>
      <c r="M24" s="48">
        <f t="shared" si="4"/>
        <v>0.23662652827291503</v>
      </c>
      <c r="N24" s="45">
        <f t="shared" si="5"/>
        <v>3598968</v>
      </c>
      <c r="O24" s="48">
        <f t="shared" si="6"/>
        <v>0.35631017750509397</v>
      </c>
      <c r="P24" s="49">
        <v>31492561</v>
      </c>
      <c r="Q24" s="49">
        <v>984142.53125</v>
      </c>
      <c r="R24" s="49">
        <v>10237.09375</v>
      </c>
      <c r="S24" s="50">
        <v>11221120</v>
      </c>
      <c r="T24" s="50">
        <v>2605272</v>
      </c>
      <c r="U24" s="50">
        <v>993696</v>
      </c>
      <c r="V24" s="50">
        <v>7621656</v>
      </c>
      <c r="W24" s="51">
        <v>72.228803124999999</v>
      </c>
      <c r="X24" s="51">
        <v>76.166456249999996</v>
      </c>
      <c r="Y24" s="51">
        <v>37.177734375</v>
      </c>
      <c r="Z24" s="51">
        <v>43.906037499999996</v>
      </c>
      <c r="AA24" s="51">
        <v>42.582962500000001</v>
      </c>
      <c r="AB24" s="52">
        <v>17814.2</v>
      </c>
      <c r="AC24" s="52">
        <v>5093.16</v>
      </c>
      <c r="AD24" s="52">
        <v>8.048</v>
      </c>
      <c r="AE24" s="52">
        <v>22.696000000000002</v>
      </c>
      <c r="AG24" s="47">
        <f t="shared" si="7"/>
        <v>17.533000000000001</v>
      </c>
      <c r="AH24" s="48">
        <f t="shared" si="8"/>
        <v>0.3483776582062707</v>
      </c>
      <c r="AI24" s="48">
        <f t="shared" si="9"/>
        <v>0.11173573081825217</v>
      </c>
      <c r="AJ24" s="48">
        <f t="shared" si="10"/>
        <v>8.0884845572488956E-2</v>
      </c>
      <c r="AK24" s="48">
        <f t="shared" si="11"/>
        <v>0.23662652827291503</v>
      </c>
      <c r="AL24" s="45">
        <f t="shared" si="12"/>
        <v>3598968</v>
      </c>
      <c r="AM24" s="48">
        <f t="shared" si="13"/>
        <v>0.35631017750509397</v>
      </c>
      <c r="AN24" s="49">
        <v>31492561</v>
      </c>
      <c r="AO24" s="49">
        <v>984142.53125</v>
      </c>
      <c r="AP24" s="49">
        <v>10237.09375</v>
      </c>
      <c r="AQ24" s="50">
        <v>11221120</v>
      </c>
      <c r="AR24" s="50">
        <v>2605272</v>
      </c>
      <c r="AS24" s="50">
        <v>993696</v>
      </c>
      <c r="AT24" s="50">
        <v>7621656</v>
      </c>
      <c r="AU24" s="51">
        <v>72.228803124999999</v>
      </c>
      <c r="AV24" s="51">
        <v>76.166456249999996</v>
      </c>
      <c r="AW24" s="51">
        <v>37.177734375</v>
      </c>
      <c r="AX24" s="51">
        <v>43.906037499999996</v>
      </c>
      <c r="AY24" s="51">
        <v>42.582962500000001</v>
      </c>
      <c r="AZ24" s="52">
        <v>10064.1</v>
      </c>
      <c r="BA24" s="52">
        <v>5331.64</v>
      </c>
      <c r="BB24" s="52">
        <v>8.1679999999999993</v>
      </c>
      <c r="BC24" s="52">
        <v>22.852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0</v>
      </c>
      <c r="BV24" s="4">
        <f t="shared" si="18"/>
        <v>0</v>
      </c>
      <c r="BW24" s="4">
        <f t="shared" si="19"/>
        <v>0</v>
      </c>
      <c r="BX24" s="4">
        <f t="shared" si="20"/>
        <v>0</v>
      </c>
      <c r="BY24" s="4">
        <f t="shared" si="21"/>
        <v>0</v>
      </c>
      <c r="BZ24" s="4">
        <f t="shared" si="22"/>
        <v>0</v>
      </c>
      <c r="CA24" s="4">
        <f t="shared" si="23"/>
        <v>0</v>
      </c>
      <c r="CB24" s="4">
        <f t="shared" si="24"/>
        <v>0</v>
      </c>
      <c r="CC24" s="4">
        <f t="shared" si="25"/>
        <v>0</v>
      </c>
      <c r="CD24" s="4">
        <f t="shared" si="26"/>
        <v>0</v>
      </c>
      <c r="CE24" s="4">
        <f t="shared" si="27"/>
        <v>0</v>
      </c>
      <c r="CF24" s="4">
        <f t="shared" si="28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2.2948200000000001</v>
      </c>
      <c r="J25" s="18">
        <f t="shared" si="1"/>
        <v>9.6703877402734659E-2</v>
      </c>
      <c r="K25" s="18">
        <f t="shared" si="2"/>
        <v>6.1812530834679975E-2</v>
      </c>
      <c r="L25" s="18">
        <f t="shared" si="3"/>
        <v>3.6407757017823041E-2</v>
      </c>
      <c r="M25" s="18">
        <f t="shared" si="4"/>
        <v>3.487175143510645E-2</v>
      </c>
      <c r="N25" s="15">
        <f t="shared" si="5"/>
        <v>1564624</v>
      </c>
      <c r="O25" s="18">
        <f t="shared" si="6"/>
        <v>0.10524888735073576</v>
      </c>
      <c r="P25" s="19">
        <v>23257329</v>
      </c>
      <c r="Q25" s="19">
        <v>726791.53125</v>
      </c>
      <c r="R25" s="19">
        <v>18232.34375</v>
      </c>
      <c r="S25" s="20">
        <v>2447808</v>
      </c>
      <c r="T25" s="20">
        <v>921568</v>
      </c>
      <c r="U25" s="20">
        <v>643056</v>
      </c>
      <c r="V25" s="20">
        <v>882688</v>
      </c>
      <c r="W25" s="21">
        <v>66.245468750000001</v>
      </c>
      <c r="X25" s="21">
        <v>68.005784375000005</v>
      </c>
      <c r="Y25" s="21">
        <v>26.016018750000001</v>
      </c>
      <c r="Z25" s="21">
        <v>32.498974999999902</v>
      </c>
      <c r="AA25" s="21">
        <v>31.714106249999901</v>
      </c>
      <c r="AB25" s="22">
        <v>10149.799999999999</v>
      </c>
      <c r="AC25" s="22">
        <v>5485.74</v>
      </c>
      <c r="AD25" s="22">
        <v>7.0960000000000001</v>
      </c>
      <c r="AE25" s="22">
        <v>30.655999999999999</v>
      </c>
      <c r="AG25" s="17">
        <f t="shared" si="7"/>
        <v>2.2948200000000001</v>
      </c>
      <c r="AH25" s="18">
        <f t="shared" si="8"/>
        <v>9.6703877402734659E-2</v>
      </c>
      <c r="AI25" s="18">
        <f t="shared" si="9"/>
        <v>6.1812530834679975E-2</v>
      </c>
      <c r="AJ25" s="18">
        <f t="shared" si="10"/>
        <v>3.6407757017823041E-2</v>
      </c>
      <c r="AK25" s="18">
        <f t="shared" si="11"/>
        <v>3.487175143510645E-2</v>
      </c>
      <c r="AL25" s="15">
        <f t="shared" si="12"/>
        <v>1564624</v>
      </c>
      <c r="AM25" s="18">
        <f t="shared" si="13"/>
        <v>0.10524888735073576</v>
      </c>
      <c r="AN25" s="19">
        <v>23257329</v>
      </c>
      <c r="AO25" s="19">
        <v>726791.53125</v>
      </c>
      <c r="AP25" s="19">
        <v>18232.34375</v>
      </c>
      <c r="AQ25" s="20">
        <v>2447808</v>
      </c>
      <c r="AR25" s="20">
        <v>921568</v>
      </c>
      <c r="AS25" s="20">
        <v>643056</v>
      </c>
      <c r="AT25" s="20">
        <v>882688</v>
      </c>
      <c r="AU25" s="21">
        <v>66.245468750000001</v>
      </c>
      <c r="AV25" s="21">
        <v>68.005784375000005</v>
      </c>
      <c r="AW25" s="21">
        <v>26.016018750000001</v>
      </c>
      <c r="AX25" s="21">
        <v>32.498974999999902</v>
      </c>
      <c r="AY25" s="21">
        <v>31.714106249999901</v>
      </c>
      <c r="AZ25" s="22">
        <v>7053.91</v>
      </c>
      <c r="BA25" s="22">
        <v>5504.79</v>
      </c>
      <c r="BB25" s="22">
        <v>8.016</v>
      </c>
      <c r="BC25" s="22">
        <v>30.571999999999999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0</v>
      </c>
      <c r="BP25" s="24">
        <f>IF( OR(ISBLANK(S25:S29),ISBLANK(AQ25:AQ29), ISBLANK(X25:X29),ISBLANK(AV25:AV29)), "·", bdRateExtend( S25:S29,X25:X29, AQ25:AQ29,AV25:AV29))</f>
        <v>0</v>
      </c>
      <c r="BQ25" s="24">
        <f>IF( OR(ISBLANK(S25:S29),ISBLANK(AQ25:AQ29), ISBLANK(Y25:Y29),ISBLANK(AW25:AW29)), "·", bdRateExtend( S25:S29,Y25:Y29, AQ25:AQ29,AW25:AW29))</f>
        <v>0</v>
      </c>
      <c r="BR25" s="24">
        <f>IF( OR(ISBLANK(S25:S29),ISBLANK(AQ25:AQ29), ISBLANK(Z25:Z29),ISBLANK(AX25:AX29)), "·", bdRateExtend( S25:S29,Z25:Z29, AQ25:AQ29,AX25:AX29))</f>
        <v>0</v>
      </c>
      <c r="BS25" s="24">
        <f>IF( OR(ISBLANK(S25:S29),ISBLANK(AQ25:AQ29), ISBLANK(AA25:AA29),ISBLANK(AY25:AY29)), "·", bdRateExtend( S25:S29,AA25:AA29, AQ25:AQ29,AY25:AY29))</f>
        <v>0</v>
      </c>
      <c r="BU25" s="4">
        <f t="shared" si="17"/>
        <v>0</v>
      </c>
      <c r="BV25" s="4">
        <f t="shared" si="18"/>
        <v>0</v>
      </c>
      <c r="BW25" s="4">
        <f t="shared" si="19"/>
        <v>0</v>
      </c>
      <c r="BX25" s="4">
        <f t="shared" si="20"/>
        <v>0</v>
      </c>
      <c r="BY25" s="4">
        <f t="shared" si="21"/>
        <v>0</v>
      </c>
      <c r="BZ25" s="4">
        <f t="shared" si="22"/>
        <v>0</v>
      </c>
      <c r="CA25" s="4">
        <f t="shared" si="23"/>
        <v>0</v>
      </c>
      <c r="CB25" s="4">
        <f t="shared" si="24"/>
        <v>0</v>
      </c>
      <c r="CC25" s="4">
        <f t="shared" si="25"/>
        <v>0</v>
      </c>
      <c r="CD25" s="4">
        <f t="shared" si="26"/>
        <v>0</v>
      </c>
      <c r="CE25" s="4">
        <f t="shared" si="27"/>
        <v>0</v>
      </c>
      <c r="CF25" s="4">
        <f t="shared" si="28"/>
        <v>0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3.4924274999999998</v>
      </c>
      <c r="J26" s="28">
        <f t="shared" si="1"/>
        <v>0.14717114231091724</v>
      </c>
      <c r="K26" s="28">
        <f t="shared" si="2"/>
        <v>7.5544610374485108E-2</v>
      </c>
      <c r="L26" s="28">
        <f t="shared" si="3"/>
        <v>5.013983655762818E-2</v>
      </c>
      <c r="M26" s="28">
        <f t="shared" si="4"/>
        <v>7.1606936803483887E-2</v>
      </c>
      <c r="N26" s="25">
        <f t="shared" si="5"/>
        <v>1912216</v>
      </c>
      <c r="O26" s="28">
        <f t="shared" si="6"/>
        <v>0.14906998725089016</v>
      </c>
      <c r="P26" s="29">
        <v>24989980</v>
      </c>
      <c r="Q26" s="29">
        <v>780936.875</v>
      </c>
      <c r="R26" s="29">
        <v>23156.5625</v>
      </c>
      <c r="S26" s="30">
        <v>3725256</v>
      </c>
      <c r="T26" s="30">
        <v>1269160</v>
      </c>
      <c r="U26" s="30">
        <v>643056</v>
      </c>
      <c r="V26" s="30">
        <v>1812544</v>
      </c>
      <c r="W26" s="31">
        <v>68.037143749999899</v>
      </c>
      <c r="X26" s="31">
        <v>70.009271874999996</v>
      </c>
      <c r="Y26" s="31">
        <v>28.059918750000001</v>
      </c>
      <c r="Z26" s="31">
        <v>33.753224999999901</v>
      </c>
      <c r="AA26" s="31">
        <v>33.158000000000001</v>
      </c>
      <c r="AB26" s="32">
        <v>11253.9</v>
      </c>
      <c r="AC26" s="32">
        <v>5811.54</v>
      </c>
      <c r="AD26" s="32">
        <v>6.984</v>
      </c>
      <c r="AE26" s="32">
        <v>29.923999999999999</v>
      </c>
      <c r="AG26" s="27">
        <f t="shared" si="7"/>
        <v>3.4924274999999998</v>
      </c>
      <c r="AH26" s="28">
        <f t="shared" si="8"/>
        <v>0.14717114231091724</v>
      </c>
      <c r="AI26" s="28">
        <f t="shared" si="9"/>
        <v>7.5544610374485108E-2</v>
      </c>
      <c r="AJ26" s="28">
        <f t="shared" si="10"/>
        <v>5.013983655762818E-2</v>
      </c>
      <c r="AK26" s="28">
        <f t="shared" si="11"/>
        <v>7.1606936803483887E-2</v>
      </c>
      <c r="AL26" s="25">
        <f t="shared" si="12"/>
        <v>1912216</v>
      </c>
      <c r="AM26" s="28">
        <f t="shared" si="13"/>
        <v>0.14906998725089016</v>
      </c>
      <c r="AN26" s="29">
        <v>24989980</v>
      </c>
      <c r="AO26" s="29">
        <v>780936.875</v>
      </c>
      <c r="AP26" s="29">
        <v>23156.5625</v>
      </c>
      <c r="AQ26" s="30">
        <v>3725256</v>
      </c>
      <c r="AR26" s="30">
        <v>1269160</v>
      </c>
      <c r="AS26" s="30">
        <v>643056</v>
      </c>
      <c r="AT26" s="30">
        <v>1812544</v>
      </c>
      <c r="AU26" s="31">
        <v>68.037143749999899</v>
      </c>
      <c r="AV26" s="31">
        <v>70.009271874999996</v>
      </c>
      <c r="AW26" s="31">
        <v>28.059918750000001</v>
      </c>
      <c r="AX26" s="31">
        <v>33.753224999999901</v>
      </c>
      <c r="AY26" s="31">
        <v>33.158000000000001</v>
      </c>
      <c r="AZ26" s="32">
        <v>4241.34</v>
      </c>
      <c r="BA26" s="32">
        <v>4726.57</v>
      </c>
      <c r="BB26" s="32">
        <v>6.8079999999999998</v>
      </c>
      <c r="BC26" s="32">
        <v>26.367999999999999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0</v>
      </c>
      <c r="BV26" s="4">
        <f t="shared" si="18"/>
        <v>0</v>
      </c>
      <c r="BW26" s="4">
        <f t="shared" si="19"/>
        <v>0</v>
      </c>
      <c r="BX26" s="4">
        <f t="shared" si="20"/>
        <v>0</v>
      </c>
      <c r="BY26" s="4">
        <f t="shared" si="21"/>
        <v>0</v>
      </c>
      <c r="BZ26" s="4">
        <f t="shared" si="22"/>
        <v>0</v>
      </c>
      <c r="CA26" s="4">
        <f t="shared" si="23"/>
        <v>0</v>
      </c>
      <c r="CB26" s="4">
        <f t="shared" si="24"/>
        <v>0</v>
      </c>
      <c r="CC26" s="4">
        <f t="shared" si="25"/>
        <v>0</v>
      </c>
      <c r="CD26" s="4">
        <f t="shared" si="26"/>
        <v>0</v>
      </c>
      <c r="CE26" s="4">
        <f t="shared" si="27"/>
        <v>0</v>
      </c>
      <c r="CF26" s="4">
        <f t="shared" si="28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5.9349974999999997</v>
      </c>
      <c r="J27" s="18">
        <f t="shared" si="1"/>
        <v>0.25010121518268824</v>
      </c>
      <c r="K27" s="18">
        <f t="shared" si="2"/>
        <v>9.5430193761099305E-2</v>
      </c>
      <c r="L27" s="18">
        <f t="shared" si="3"/>
        <v>7.002541994424237E-2</v>
      </c>
      <c r="M27" s="18">
        <f t="shared" si="4"/>
        <v>0.15465142628864073</v>
      </c>
      <c r="N27" s="15">
        <f t="shared" si="5"/>
        <v>2415568</v>
      </c>
      <c r="O27" s="18">
        <f t="shared" si="6"/>
        <v>0.25038556519225735</v>
      </c>
      <c r="P27" s="19">
        <v>25283662</v>
      </c>
      <c r="Q27" s="19">
        <v>790114.4375</v>
      </c>
      <c r="R27" s="19">
        <v>24410</v>
      </c>
      <c r="S27" s="20">
        <v>6330664</v>
      </c>
      <c r="T27" s="20">
        <v>1772512</v>
      </c>
      <c r="U27" s="20">
        <v>643056</v>
      </c>
      <c r="V27" s="20">
        <v>3914600</v>
      </c>
      <c r="W27" s="21">
        <v>69.410443749999999</v>
      </c>
      <c r="X27" s="21">
        <v>71.751900000000006</v>
      </c>
      <c r="Y27" s="21">
        <v>30.354290625000001</v>
      </c>
      <c r="Z27" s="21">
        <v>35.0298625</v>
      </c>
      <c r="AA27" s="21">
        <v>34.506781250000003</v>
      </c>
      <c r="AB27" s="22">
        <v>11217.7</v>
      </c>
      <c r="AC27" s="22">
        <v>6236.91</v>
      </c>
      <c r="AD27" s="22">
        <v>7.6079999999999997</v>
      </c>
      <c r="AE27" s="22">
        <v>30.16</v>
      </c>
      <c r="AG27" s="17">
        <f t="shared" si="7"/>
        <v>5.9349974999999997</v>
      </c>
      <c r="AH27" s="18">
        <f t="shared" si="8"/>
        <v>0.25010121518268824</v>
      </c>
      <c r="AI27" s="18">
        <f t="shared" si="9"/>
        <v>9.5430193761099305E-2</v>
      </c>
      <c r="AJ27" s="18">
        <f t="shared" si="10"/>
        <v>7.002541994424237E-2</v>
      </c>
      <c r="AK27" s="18">
        <f t="shared" si="11"/>
        <v>0.15465142628864073</v>
      </c>
      <c r="AL27" s="15">
        <f t="shared" si="12"/>
        <v>2415568</v>
      </c>
      <c r="AM27" s="18">
        <f t="shared" si="13"/>
        <v>0.25038556519225735</v>
      </c>
      <c r="AN27" s="19">
        <v>25283662</v>
      </c>
      <c r="AO27" s="19">
        <v>790114.4375</v>
      </c>
      <c r="AP27" s="19">
        <v>24410</v>
      </c>
      <c r="AQ27" s="20">
        <v>6330664</v>
      </c>
      <c r="AR27" s="20">
        <v>1772512</v>
      </c>
      <c r="AS27" s="20">
        <v>643056</v>
      </c>
      <c r="AT27" s="20">
        <v>3914600</v>
      </c>
      <c r="AU27" s="21">
        <v>69.410443749999999</v>
      </c>
      <c r="AV27" s="21">
        <v>71.751900000000006</v>
      </c>
      <c r="AW27" s="21">
        <v>30.354290625000001</v>
      </c>
      <c r="AX27" s="21">
        <v>35.0298625</v>
      </c>
      <c r="AY27" s="21">
        <v>34.506781250000003</v>
      </c>
      <c r="AZ27" s="22">
        <v>6145.93</v>
      </c>
      <c r="BA27" s="22">
        <v>6622.77</v>
      </c>
      <c r="BB27" s="22">
        <v>7.992</v>
      </c>
      <c r="BC27" s="22">
        <v>30.972000000000001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0</v>
      </c>
      <c r="BV27" s="4">
        <f t="shared" si="18"/>
        <v>0</v>
      </c>
      <c r="BW27" s="4">
        <f t="shared" si="19"/>
        <v>0</v>
      </c>
      <c r="BX27" s="4">
        <f t="shared" si="20"/>
        <v>0</v>
      </c>
      <c r="BY27" s="4">
        <f t="shared" si="21"/>
        <v>0</v>
      </c>
      <c r="BZ27" s="4">
        <f t="shared" si="22"/>
        <v>0</v>
      </c>
      <c r="CA27" s="4">
        <f t="shared" si="23"/>
        <v>0</v>
      </c>
      <c r="CB27" s="4">
        <f t="shared" si="24"/>
        <v>0</v>
      </c>
      <c r="CC27" s="4">
        <f t="shared" si="25"/>
        <v>0</v>
      </c>
      <c r="CD27" s="4">
        <f t="shared" si="26"/>
        <v>0</v>
      </c>
      <c r="CE27" s="4">
        <f t="shared" si="27"/>
        <v>0</v>
      </c>
      <c r="CF27" s="4">
        <f t="shared" si="28"/>
        <v>0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11.9379975</v>
      </c>
      <c r="J28" s="28">
        <f t="shared" si="1"/>
        <v>0.50306806053379038</v>
      </c>
      <c r="K28" s="28">
        <f t="shared" si="2"/>
        <v>0.1295456362745101</v>
      </c>
      <c r="L28" s="28">
        <f t="shared" si="3"/>
        <v>0.10414086245765318</v>
      </c>
      <c r="M28" s="28">
        <f t="shared" si="4"/>
        <v>0.37350282912633204</v>
      </c>
      <c r="N28" s="25">
        <f t="shared" si="5"/>
        <v>3279112</v>
      </c>
      <c r="O28" s="28">
        <f t="shared" si="6"/>
        <v>0.48414720346113815</v>
      </c>
      <c r="P28" s="29">
        <v>26301637</v>
      </c>
      <c r="Q28" s="29">
        <v>821926.15625</v>
      </c>
      <c r="R28" s="29">
        <v>28154.375</v>
      </c>
      <c r="S28" s="30">
        <v>12733864</v>
      </c>
      <c r="T28" s="30">
        <v>2636056</v>
      </c>
      <c r="U28" s="30">
        <v>643056</v>
      </c>
      <c r="V28" s="30">
        <v>9454256</v>
      </c>
      <c r="W28" s="31">
        <v>70.434465624999902</v>
      </c>
      <c r="X28" s="31">
        <v>72.984446875000003</v>
      </c>
      <c r="Y28" s="31">
        <v>32.841746874999998</v>
      </c>
      <c r="Z28" s="31">
        <v>36.576868749999903</v>
      </c>
      <c r="AA28" s="31">
        <v>36.067968749999999</v>
      </c>
      <c r="AB28" s="32">
        <v>11507.1</v>
      </c>
      <c r="AC28" s="32">
        <v>6961.12</v>
      </c>
      <c r="AD28" s="32">
        <v>7.0679999999999996</v>
      </c>
      <c r="AE28" s="32">
        <v>28.56</v>
      </c>
      <c r="AG28" s="27">
        <f t="shared" si="7"/>
        <v>11.9379975</v>
      </c>
      <c r="AH28" s="28">
        <f t="shared" si="8"/>
        <v>0.50306806053379038</v>
      </c>
      <c r="AI28" s="28">
        <f t="shared" si="9"/>
        <v>0.1295456362745101</v>
      </c>
      <c r="AJ28" s="28">
        <f t="shared" si="10"/>
        <v>0.10414086245765318</v>
      </c>
      <c r="AK28" s="28">
        <f t="shared" si="11"/>
        <v>0.37350282912633204</v>
      </c>
      <c r="AL28" s="25">
        <f t="shared" si="12"/>
        <v>3279112</v>
      </c>
      <c r="AM28" s="28">
        <f t="shared" si="13"/>
        <v>0.48414720346113815</v>
      </c>
      <c r="AN28" s="29">
        <v>26301637</v>
      </c>
      <c r="AO28" s="29">
        <v>821926.15625</v>
      </c>
      <c r="AP28" s="29">
        <v>28154.375</v>
      </c>
      <c r="AQ28" s="30">
        <v>12733864</v>
      </c>
      <c r="AR28" s="30">
        <v>2636056</v>
      </c>
      <c r="AS28" s="30">
        <v>643056</v>
      </c>
      <c r="AT28" s="30">
        <v>9454256</v>
      </c>
      <c r="AU28" s="31">
        <v>70.434465624999902</v>
      </c>
      <c r="AV28" s="31">
        <v>72.984446875000003</v>
      </c>
      <c r="AW28" s="31">
        <v>32.841746874999998</v>
      </c>
      <c r="AX28" s="31">
        <v>36.576868749999903</v>
      </c>
      <c r="AY28" s="31">
        <v>36.067968749999999</v>
      </c>
      <c r="AZ28" s="32">
        <v>6234.31</v>
      </c>
      <c r="BA28" s="32">
        <v>7123.74</v>
      </c>
      <c r="BB28" s="32">
        <v>7.2160000000000002</v>
      </c>
      <c r="BC28" s="32">
        <v>27.963999999999999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0</v>
      </c>
      <c r="BY28" s="4">
        <f t="shared" si="21"/>
        <v>0</v>
      </c>
      <c r="BZ28" s="4">
        <f t="shared" si="22"/>
        <v>0</v>
      </c>
      <c r="CA28" s="4">
        <f t="shared" si="23"/>
        <v>0</v>
      </c>
      <c r="CB28" s="4">
        <f t="shared" si="24"/>
        <v>0</v>
      </c>
      <c r="CC28" s="4">
        <f t="shared" si="25"/>
        <v>0</v>
      </c>
      <c r="CD28" s="4">
        <f t="shared" si="26"/>
        <v>0</v>
      </c>
      <c r="CE28" s="4">
        <f t="shared" si="27"/>
        <v>0</v>
      </c>
      <c r="CF28" s="4">
        <f t="shared" si="28"/>
        <v>0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27.441825000000001</v>
      </c>
      <c r="J29" s="38">
        <f t="shared" si="1"/>
        <v>1.1564004499295366</v>
      </c>
      <c r="K29" s="38">
        <f t="shared" si="2"/>
        <v>0.21309896711525825</v>
      </c>
      <c r="L29" s="38">
        <f t="shared" si="3"/>
        <v>0.16276128292495917</v>
      </c>
      <c r="M29" s="38">
        <f t="shared" si="4"/>
        <v>0.94328188768133003</v>
      </c>
      <c r="N29" s="35">
        <f t="shared" si="5"/>
        <v>5394048</v>
      </c>
      <c r="O29" s="38">
        <f t="shared" si="6"/>
        <v>1.1640134127293358</v>
      </c>
      <c r="P29" s="39">
        <v>25146858</v>
      </c>
      <c r="Q29" s="39">
        <v>785839.3125</v>
      </c>
      <c r="R29" s="39">
        <v>7368.78125</v>
      </c>
      <c r="S29" s="40">
        <v>29271280</v>
      </c>
      <c r="T29" s="40">
        <v>4119880</v>
      </c>
      <c r="U29" s="40">
        <v>1274168</v>
      </c>
      <c r="V29" s="40">
        <v>23876736</v>
      </c>
      <c r="W29" s="41">
        <v>71.723278124999993</v>
      </c>
      <c r="X29" s="41">
        <v>75.086359375000001</v>
      </c>
      <c r="Y29" s="41">
        <v>35.557456250000001</v>
      </c>
      <c r="Z29" s="41">
        <v>38.595428124999998</v>
      </c>
      <c r="AA29" s="41">
        <v>38.05100625</v>
      </c>
      <c r="AB29" s="42">
        <v>4790.74</v>
      </c>
      <c r="AC29" s="42">
        <v>7483.04</v>
      </c>
      <c r="AD29" s="42">
        <v>8.4480000000000004</v>
      </c>
      <c r="AE29" s="42">
        <v>34.396000000000001</v>
      </c>
      <c r="AG29" s="37">
        <f t="shared" si="7"/>
        <v>27.441825000000001</v>
      </c>
      <c r="AH29" s="38">
        <f t="shared" si="8"/>
        <v>1.1564004499295366</v>
      </c>
      <c r="AI29" s="38">
        <f t="shared" si="9"/>
        <v>0.21309896711525825</v>
      </c>
      <c r="AJ29" s="38">
        <f t="shared" si="10"/>
        <v>0.16276128292495917</v>
      </c>
      <c r="AK29" s="38">
        <f t="shared" si="11"/>
        <v>0.94328188768133003</v>
      </c>
      <c r="AL29" s="35">
        <f t="shared" si="12"/>
        <v>5394048</v>
      </c>
      <c r="AM29" s="38">
        <f t="shared" si="13"/>
        <v>1.1640134127293358</v>
      </c>
      <c r="AN29" s="39">
        <v>25146858</v>
      </c>
      <c r="AO29" s="39">
        <v>785839.3125</v>
      </c>
      <c r="AP29" s="39">
        <v>7368.78125</v>
      </c>
      <c r="AQ29" s="40">
        <v>29271280</v>
      </c>
      <c r="AR29" s="40">
        <v>4119880</v>
      </c>
      <c r="AS29" s="40">
        <v>1274168</v>
      </c>
      <c r="AT29" s="40">
        <v>23876736</v>
      </c>
      <c r="AU29" s="41">
        <v>71.723278124999993</v>
      </c>
      <c r="AV29" s="41">
        <v>75.086359375000001</v>
      </c>
      <c r="AW29" s="41">
        <v>35.557456250000001</v>
      </c>
      <c r="AX29" s="41">
        <v>38.595428124999998</v>
      </c>
      <c r="AY29" s="41">
        <v>38.05100625</v>
      </c>
      <c r="AZ29" s="42">
        <v>7328.11</v>
      </c>
      <c r="BA29" s="42">
        <v>8183.26</v>
      </c>
      <c r="BB29" s="42">
        <v>5.7119999999999997</v>
      </c>
      <c r="BC29" s="42">
        <v>22.448</v>
      </c>
      <c r="BE29" s="43">
        <f t="shared" si="14"/>
        <v>0</v>
      </c>
      <c r="BF29" s="43">
        <f t="shared" si="15"/>
        <v>0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0</v>
      </c>
      <c r="BV29" s="4">
        <f t="shared" si="18"/>
        <v>0</v>
      </c>
      <c r="BW29" s="4">
        <f t="shared" si="19"/>
        <v>0</v>
      </c>
      <c r="BX29" s="4">
        <f t="shared" si="20"/>
        <v>0</v>
      </c>
      <c r="BY29" s="4">
        <f t="shared" si="21"/>
        <v>0</v>
      </c>
      <c r="BZ29" s="4">
        <f t="shared" si="22"/>
        <v>0</v>
      </c>
      <c r="CA29" s="4">
        <f t="shared" si="23"/>
        <v>0</v>
      </c>
      <c r="CB29" s="4">
        <f t="shared" si="24"/>
        <v>0</v>
      </c>
      <c r="CC29" s="4">
        <f t="shared" si="25"/>
        <v>0</v>
      </c>
      <c r="CD29" s="4">
        <f t="shared" si="26"/>
        <v>0</v>
      </c>
      <c r="CE29" s="4">
        <f t="shared" si="27"/>
        <v>0</v>
      </c>
      <c r="CF29" s="4">
        <f t="shared" si="28"/>
        <v>0</v>
      </c>
    </row>
    <row r="30" spans="1:84">
      <c r="B30" s="55" t="s">
        <v>286</v>
      </c>
      <c r="J30" s="56">
        <f>AVERAGE(J5:J24)</f>
        <v>0.18440191307384843</v>
      </c>
      <c r="K30" s="56">
        <f>AVERAGE(K5:K24)</f>
        <v>9.0483100505097711E-2</v>
      </c>
      <c r="L30" s="56">
        <f>AVERAGE(L5:L24)</f>
        <v>6.3707875796982033E-2</v>
      </c>
      <c r="M30" s="56">
        <f>AVERAGE(M5:M24)</f>
        <v>9.3900869573152551E-2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H30" s="56">
        <f>AVERAGE(AH5:AH24)</f>
        <v>0.18440191307384843</v>
      </c>
      <c r="AI30" s="56">
        <f>AVERAGE(AI5:AI24)</f>
        <v>9.0483100505097711E-2</v>
      </c>
      <c r="AJ30" s="56">
        <f>AVERAGE(AJ5:AJ24)</f>
        <v>6.3707875796982033E-2</v>
      </c>
      <c r="AK30" s="56">
        <f>AVERAGE(AK5:AK24)</f>
        <v>9.3900869573152551E-2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84">
      <c r="B31" s="55" t="s">
        <v>287</v>
      </c>
      <c r="J31" s="56">
        <f>AVERAGE(J25:J29)</f>
        <v>0.43068894907193345</v>
      </c>
      <c r="K31" s="56">
        <f>AVERAGE(K25:K29)</f>
        <v>0.11508638767200655</v>
      </c>
      <c r="L31" s="56">
        <f>AVERAGE(L25:L29)</f>
        <v>8.46950317804612E-2</v>
      </c>
      <c r="M31" s="56">
        <f>AVERAGE(M25:M29)</f>
        <v>0.31558296626697863</v>
      </c>
      <c r="AH31" s="56">
        <f>AVERAGE(AH25:AH29)</f>
        <v>0.43068894907193345</v>
      </c>
      <c r="AI31" s="56">
        <f>AVERAGE(AI25:AI29)</f>
        <v>0.11508638767200655</v>
      </c>
      <c r="AJ31" s="56">
        <f>AVERAGE(AJ25:AJ29)</f>
        <v>8.46950317804612E-2</v>
      </c>
      <c r="AK31" s="56">
        <f>AVERAGE(AK25:AK29)</f>
        <v>0.31558296626697863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84" collapsed="1">
      <c r="B32" s="55" t="s">
        <v>288</v>
      </c>
      <c r="J32" s="56">
        <f>AVERAGE(J5:J29)</f>
        <v>0.23365932027346545</v>
      </c>
      <c r="K32" s="56">
        <f>AVERAGE(K5:K29)</f>
        <v>9.540375793847948E-2</v>
      </c>
      <c r="L32" s="56">
        <f>AVERAGE(L5:L29)</f>
        <v>6.7905306993677861E-2</v>
      </c>
      <c r="M32" s="56">
        <f>AVERAGE(M5:M29)</f>
        <v>0.13823728891191778</v>
      </c>
      <c r="AH32" s="56">
        <f>AVERAGE(AH5:AH29)</f>
        <v>0.23365932027346545</v>
      </c>
      <c r="AI32" s="56">
        <f>AVERAGE(AI5:AI29)</f>
        <v>9.540375793847948E-2</v>
      </c>
      <c r="AJ32" s="56">
        <f>AVERAGE(AJ5:AJ29)</f>
        <v>6.7905306993677861E-2</v>
      </c>
      <c r="AK32" s="56">
        <f>AVERAGE(AK5:AK29)</f>
        <v>0.13823728891191778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319455.63999999996</v>
      </c>
      <c r="AC33" s="57">
        <f>SUM(AC5:AC24,AC25:AC29)</f>
        <v>137479.57</v>
      </c>
      <c r="AD33" s="57">
        <f>SUM(AD5:AD24,AD25:AD29)</f>
        <v>197.62800000000004</v>
      </c>
      <c r="AE33" s="57">
        <f>SUM(AE5:AE24,AE25:AE29)</f>
        <v>668.53999999999974</v>
      </c>
      <c r="AZ33" s="57">
        <f>SUM(AZ5:AZ24,AZ25:AZ29)</f>
        <v>184672.69999999998</v>
      </c>
      <c r="BA33" s="57">
        <f>SUM(BA5:BA24,BA25:BA29)</f>
        <v>139896.81000000003</v>
      </c>
      <c r="BB33" s="57">
        <f>SUM(BB5:BB24,BB25:BB29)</f>
        <v>202.22799999999995</v>
      </c>
      <c r="BC33" s="57">
        <f>SUM(BC5:BC24,BC25:BC29)</f>
        <v>663.38800000000003</v>
      </c>
    </row>
    <row r="34" spans="1:55" hidden="1" outlineLevel="2">
      <c r="B34" s="55" t="s">
        <v>291</v>
      </c>
      <c r="AZ34" s="8">
        <f>AZ33/AB33</f>
        <v>0.57808558333795579</v>
      </c>
      <c r="BA34" s="8">
        <f>BA33/AC33</f>
        <v>1.017582539718447</v>
      </c>
      <c r="BB34" s="8">
        <f>BB33/AD33</f>
        <v>1.0232760540004449</v>
      </c>
      <c r="BC34" s="8">
        <f>BC33/AE33</f>
        <v>0.99229365482992837</v>
      </c>
    </row>
    <row r="35" spans="1:55" hidden="1" outlineLevel="2">
      <c r="B35" s="55" t="s">
        <v>292</v>
      </c>
      <c r="AB35" s="57">
        <f>GEOMEAN(AB5:AB24,AB25:AB29)</f>
        <v>12379.130507759475</v>
      </c>
      <c r="AC35" s="57">
        <f>GEOMEAN(AC5:AC24,AC25:AC29)</f>
        <v>5389.4940513923175</v>
      </c>
      <c r="AD35" s="57">
        <f>GEOMEAN(AD5:AD24,AD25:AD29)</f>
        <v>7.7876558248795904</v>
      </c>
      <c r="AE35" s="57">
        <f>GEOMEAN(AE5:AE24,AE25:AE29)</f>
        <v>26.341015019656517</v>
      </c>
      <c r="AZ35" s="57">
        <f>GEOMEAN(AZ5:AZ24,AZ25:AZ29)</f>
        <v>7225.9672887669967</v>
      </c>
      <c r="BA35" s="57">
        <f>GEOMEAN(BA5:BA24,BA25:BA29)</f>
        <v>5441.7688904289744</v>
      </c>
      <c r="BB35" s="57">
        <f>GEOMEAN(BB5:BB24,BB25:BB29)</f>
        <v>7.9146147663996906</v>
      </c>
      <c r="BC35" s="57">
        <f>GEOMEAN(BC5:BC24,BC25:BC29)</f>
        <v>26.252913276041141</v>
      </c>
    </row>
    <row r="36" spans="1:55" outlineLevel="2" collapsed="1">
      <c r="B36" s="55" t="s">
        <v>293</v>
      </c>
      <c r="AZ36" s="8">
        <f>AZ35/AB35</f>
        <v>0.58372171488438729</v>
      </c>
      <c r="BA36" s="8">
        <f>BA35/AC35</f>
        <v>1.0096993963697116</v>
      </c>
      <c r="BB36" s="8">
        <f>BB35/AD35</f>
        <v>1.0163025876303493</v>
      </c>
      <c r="BC36" s="8">
        <f>BC35/AE35</f>
        <v>0.9966553398360074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>
      <c r="P65" s="4"/>
      <c r="Q65" s="4"/>
      <c r="R65" s="4"/>
      <c r="S65" s="4"/>
      <c r="T65" s="4"/>
      <c r="U65" s="58"/>
      <c r="V65" s="4"/>
    </row>
    <row r="66" spans="16:51">
      <c r="P66" s="4"/>
      <c r="Q66" s="4"/>
      <c r="R66" s="4"/>
      <c r="S66" s="4"/>
      <c r="T66" s="4"/>
      <c r="U66" s="58"/>
      <c r="V66" s="4"/>
    </row>
    <row r="67" spans="16:51">
      <c r="P67" s="4"/>
      <c r="Q67" s="4"/>
      <c r="R67" s="4"/>
      <c r="S67" s="4"/>
      <c r="T67" s="4"/>
      <c r="U67" s="58"/>
      <c r="V67" s="4"/>
    </row>
    <row r="68" spans="16:51">
      <c r="P68" s="4"/>
      <c r="Q68" s="4"/>
      <c r="R68" s="4"/>
      <c r="S68" s="4"/>
      <c r="T68" s="4"/>
      <c r="U68" s="58"/>
      <c r="V68" s="4"/>
    </row>
    <row r="69" spans="16:51">
      <c r="P69" s="4"/>
      <c r="Q69" s="4"/>
      <c r="R69" s="4"/>
      <c r="S69" s="4"/>
      <c r="U69" s="58"/>
    </row>
    <row r="70" spans="16:51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Graziosi, Danillo</cp:lastModifiedBy>
  <dcterms:created xsi:type="dcterms:W3CDTF">2018-08-31T19:13:00Z</dcterms:created>
  <dcterms:modified xsi:type="dcterms:W3CDTF">2019-02-04T06:16:52Z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  <property fmtid="{D5CDD505-2E9C-101B-9397-08002B2CF9AE}" pid="4" name="WorkbookGuid">
    <vt:lpwstr>54943bd3-034f-4482-9724-bfec53f6805a</vt:lpwstr>
  </property>
</Properties>
</file>