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1" defaultThemeVersion="124226"/>
  <mc:AlternateContent xmlns:mc="http://schemas.openxmlformats.org/markup-compatibility/2006">
    <mc:Choice Requires="x15">
      <x15ac:absPath xmlns:x15ac="http://schemas.microsoft.com/office/spreadsheetml/2010/11/ac" url="C:\Users\ricardj\Interdigital Communications Inc\Joan Llach - PCC\mpeg127\output-ce\w18668 - V-PCC performance evaluation and anchor results\"/>
    </mc:Choice>
  </mc:AlternateContent>
  <xr:revisionPtr revIDLastSave="22" documentId="11_B3ED7973DB0D1E37AB9BCDA9721612067EFC246A" xr6:coauthVersionLast="43" xr6:coauthVersionMax="43" xr10:uidLastSave="{FE2AC5F8-6E96-4D7E-9AE3-4724C1578AC6}"/>
  <bookViews>
    <workbookView xWindow="-108" yWindow="-108" windowWidth="23256" windowHeight="12768"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A45" i="7"/>
  <c r="BC44" i="7"/>
  <c r="BB44" i="7"/>
  <c r="BA44" i="7"/>
  <c r="AZ44" i="7"/>
  <c r="AE44" i="7"/>
  <c r="AD44" i="7"/>
  <c r="AC44" i="7"/>
  <c r="AB44" i="7"/>
  <c r="BF39" i="7"/>
  <c r="AL39" i="7"/>
  <c r="AK39" i="7"/>
  <c r="AJ39" i="7"/>
  <c r="AI39" i="7"/>
  <c r="BE39" i="7" s="1"/>
  <c r="AH39" i="7"/>
  <c r="AG39" i="7"/>
  <c r="N39" i="7"/>
  <c r="K39" i="7" s="1"/>
  <c r="M39" i="7"/>
  <c r="L39" i="7"/>
  <c r="J39" i="7"/>
  <c r="I39" i="7"/>
  <c r="BF38" i="7"/>
  <c r="AL38" i="7"/>
  <c r="AK38" i="7"/>
  <c r="AJ38" i="7"/>
  <c r="AH38" i="7"/>
  <c r="AG38" i="7"/>
  <c r="N38" i="7"/>
  <c r="K38" i="7" s="1"/>
  <c r="M38" i="7"/>
  <c r="L38" i="7"/>
  <c r="J38" i="7"/>
  <c r="I38" i="7"/>
  <c r="BG37"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K35" i="7"/>
  <c r="AJ35" i="7"/>
  <c r="AI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H30" i="7" s="1" a="1"/>
  <c r="AK31" i="7"/>
  <c r="AJ31" i="7"/>
  <c r="AH31" i="7"/>
  <c r="AG31" i="7"/>
  <c r="N31" i="7"/>
  <c r="K31" i="7" s="1"/>
  <c r="M31" i="7"/>
  <c r="L31" i="7"/>
  <c r="J31" i="7"/>
  <c r="I31" i="7"/>
  <c r="BF30" i="7"/>
  <c r="AL30" i="7"/>
  <c r="AI30" i="7" s="1"/>
  <c r="AK30" i="7"/>
  <c r="AK42" i="7" s="1"/>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K26" i="7"/>
  <c r="AJ26" i="7"/>
  <c r="AI26" i="7"/>
  <c r="AH26" i="7"/>
  <c r="AG26" i="7"/>
  <c r="N26" i="7"/>
  <c r="BG26" i="7" s="1"/>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H19" i="7"/>
  <c r="AG19" i="7"/>
  <c r="N19" i="7"/>
  <c r="K19" i="7" s="1"/>
  <c r="M19" i="7"/>
  <c r="L19" i="7"/>
  <c r="J19" i="7"/>
  <c r="I19" i="7"/>
  <c r="BF18" i="7"/>
  <c r="AL18" i="7"/>
  <c r="AK18" i="7"/>
  <c r="AJ18" i="7"/>
  <c r="AI18" i="7"/>
  <c r="AH18" i="7"/>
  <c r="AG18" i="7"/>
  <c r="N18" i="7"/>
  <c r="BG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H5" i="7" a="1"/>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J13" i="6"/>
  <c r="AK11" i="6"/>
  <c r="BG11" i="6" s="1" a="1"/>
  <c r="AJ11" i="6"/>
  <c r="AI11" i="6"/>
  <c r="BD11" i="6" s="1"/>
  <c r="AG11" i="6"/>
  <c r="AF11" i="6"/>
  <c r="AE11" i="6"/>
  <c r="N11" i="6"/>
  <c r="K11" i="6" s="1"/>
  <c r="M11" i="6"/>
  <c r="BE11" i="6" s="1"/>
  <c r="L11" i="6"/>
  <c r="J11" i="6"/>
  <c r="I11" i="6"/>
  <c r="H11" i="6"/>
  <c r="AK10" i="6"/>
  <c r="AH10" i="6" s="1"/>
  <c r="AJ10" i="6"/>
  <c r="BE10" i="6" s="1"/>
  <c r="AI10" i="6"/>
  <c r="AG10" i="6"/>
  <c r="AF10" i="6"/>
  <c r="AE10" i="6"/>
  <c r="N10" i="6"/>
  <c r="BG10" i="6" s="1" a="1"/>
  <c r="M10" i="6"/>
  <c r="M14" i="6" s="1"/>
  <c r="L10" i="6"/>
  <c r="J10" i="6"/>
  <c r="I10" i="6"/>
  <c r="H10" i="6"/>
  <c r="AK9" i="6"/>
  <c r="BF9" i="6" s="1"/>
  <c r="AJ9" i="6"/>
  <c r="AI9" i="6"/>
  <c r="AI13" i="6" s="1"/>
  <c r="AG9" i="6"/>
  <c r="BB9" i="6" s="1"/>
  <c r="AF9" i="6"/>
  <c r="AE9" i="6"/>
  <c r="N9" i="6"/>
  <c r="M9" i="6"/>
  <c r="BE9" i="6" s="1"/>
  <c r="L9" i="6"/>
  <c r="L13" i="6" s="1"/>
  <c r="K9" i="6"/>
  <c r="K13" i="6" s="1"/>
  <c r="J9" i="6"/>
  <c r="J13" i="6" s="1"/>
  <c r="I9" i="6"/>
  <c r="H9" i="6"/>
  <c r="BG8" i="6" a="1"/>
  <c r="AK8" i="6"/>
  <c r="AH8" i="6" s="1"/>
  <c r="AJ8" i="6"/>
  <c r="BE8" i="6" s="1"/>
  <c r="AI8" i="6"/>
  <c r="AG8" i="6"/>
  <c r="AF8" i="6"/>
  <c r="AE8" i="6"/>
  <c r="N8" i="6"/>
  <c r="K8" i="6" s="1"/>
  <c r="M8" i="6"/>
  <c r="L8" i="6"/>
  <c r="BD8" i="6" s="1"/>
  <c r="J8" i="6"/>
  <c r="I8" i="6"/>
  <c r="H8" i="6"/>
  <c r="AK7" i="6"/>
  <c r="BG7" i="6" s="1" a="1"/>
  <c r="AJ7" i="6"/>
  <c r="AI7" i="6"/>
  <c r="AG7" i="6"/>
  <c r="AF7" i="6"/>
  <c r="AE7" i="6"/>
  <c r="N7" i="6"/>
  <c r="K7" i="6" s="1"/>
  <c r="M7" i="6"/>
  <c r="BE7" i="6" s="1"/>
  <c r="L7" i="6"/>
  <c r="J7" i="6"/>
  <c r="I7" i="6"/>
  <c r="H7" i="6"/>
  <c r="AK6" i="6"/>
  <c r="AH6" i="6" s="1"/>
  <c r="AJ6" i="6"/>
  <c r="AI6" i="6"/>
  <c r="AG6" i="6"/>
  <c r="AF6" i="6"/>
  <c r="AE6" i="6"/>
  <c r="N6" i="6"/>
  <c r="BG6" i="6" s="1" a="1"/>
  <c r="M6" i="6"/>
  <c r="L6" i="6"/>
  <c r="J6" i="6"/>
  <c r="I6" i="6"/>
  <c r="H6" i="6"/>
  <c r="AK5" i="6"/>
  <c r="AJ5" i="6"/>
  <c r="AI5" i="6"/>
  <c r="AI12" i="6" s="1"/>
  <c r="AG5" i="6"/>
  <c r="AG15" i="6" s="1"/>
  <c r="AF5" i="6"/>
  <c r="AE5" i="6"/>
  <c r="N5" i="6"/>
  <c r="K5" i="6" s="1"/>
  <c r="M5" i="6"/>
  <c r="M12" i="6" s="1"/>
  <c r="L5" i="6"/>
  <c r="J5" i="6"/>
  <c r="I5" i="6"/>
  <c r="H5" i="6"/>
  <c r="AE1" i="6"/>
  <c r="H1" i="6"/>
  <c r="AZ18" i="5"/>
  <c r="AY18" i="5"/>
  <c r="AX18" i="5"/>
  <c r="AW18" i="5"/>
  <c r="AC18" i="5"/>
  <c r="AB18" i="5"/>
  <c r="AA18" i="5"/>
  <c r="Z18" i="5"/>
  <c r="AZ16" i="5"/>
  <c r="AY16" i="5"/>
  <c r="AX16" i="5"/>
  <c r="AW16" i="5"/>
  <c r="AC16" i="5"/>
  <c r="AB16" i="5"/>
  <c r="AA16" i="5"/>
  <c r="Z16" i="5"/>
  <c r="AK11" i="5"/>
  <c r="AJ11" i="5"/>
  <c r="BE11" i="5" s="1"/>
  <c r="AI11" i="5"/>
  <c r="AH11" i="5"/>
  <c r="AG11" i="5"/>
  <c r="AF11" i="5"/>
  <c r="AE11" i="5"/>
  <c r="N11" i="5"/>
  <c r="BG11" i="5" s="1" a="1"/>
  <c r="BG11" i="5" s="1"/>
  <c r="M11" i="5"/>
  <c r="L11" i="5"/>
  <c r="BD11" i="5" s="1"/>
  <c r="J11" i="5"/>
  <c r="BB11" i="5" s="1"/>
  <c r="I11" i="5"/>
  <c r="H11" i="5"/>
  <c r="AK10" i="5"/>
  <c r="BF10" i="5" s="1"/>
  <c r="AJ10" i="5"/>
  <c r="AI10" i="5"/>
  <c r="AI14" i="5" s="1"/>
  <c r="AG10" i="5"/>
  <c r="AF10" i="5"/>
  <c r="AE10" i="5"/>
  <c r="N10" i="5"/>
  <c r="K10" i="5" s="1"/>
  <c r="M10" i="5"/>
  <c r="L10" i="5"/>
  <c r="L14" i="5" s="1"/>
  <c r="J10" i="5"/>
  <c r="I10" i="5"/>
  <c r="H10" i="5"/>
  <c r="AK9" i="5"/>
  <c r="AH9" i="5" s="1"/>
  <c r="AJ9" i="5"/>
  <c r="AJ13" i="5" s="1"/>
  <c r="AI9" i="5"/>
  <c r="AI13" i="5" s="1"/>
  <c r="AG9" i="5"/>
  <c r="AG13" i="5" s="1"/>
  <c r="AF9" i="5"/>
  <c r="AE9" i="5"/>
  <c r="N9" i="5"/>
  <c r="K9" i="5" s="1"/>
  <c r="K13" i="5" s="1"/>
  <c r="M9" i="5"/>
  <c r="M13" i="5" s="1"/>
  <c r="L9" i="5"/>
  <c r="L13" i="5" s="1"/>
  <c r="J9" i="5"/>
  <c r="BB9" i="5" s="1"/>
  <c r="I9" i="5"/>
  <c r="H9" i="5"/>
  <c r="AK8" i="5"/>
  <c r="BG8" i="5" s="1" a="1"/>
  <c r="AJ8" i="5"/>
  <c r="AI8" i="5"/>
  <c r="AG8" i="5"/>
  <c r="AF8" i="5"/>
  <c r="AE8" i="5"/>
  <c r="N8" i="5"/>
  <c r="K8" i="5" s="1"/>
  <c r="M8" i="5"/>
  <c r="L8" i="5"/>
  <c r="J8" i="5"/>
  <c r="I8" i="5"/>
  <c r="H8" i="5"/>
  <c r="AK7" i="5"/>
  <c r="AJ7" i="5"/>
  <c r="AI7" i="5"/>
  <c r="AH7" i="5"/>
  <c r="AG7" i="5"/>
  <c r="AF7" i="5"/>
  <c r="AE7" i="5"/>
  <c r="N7" i="5"/>
  <c r="BG7" i="5" s="1" a="1"/>
  <c r="BG7" i="5" s="1"/>
  <c r="M7" i="5"/>
  <c r="L7" i="5"/>
  <c r="BD7" i="5" s="1"/>
  <c r="J7" i="5"/>
  <c r="I7" i="5"/>
  <c r="H7" i="5"/>
  <c r="AK6" i="5"/>
  <c r="AJ6" i="5"/>
  <c r="AI6" i="5"/>
  <c r="AG6" i="5"/>
  <c r="BB6" i="5" s="1"/>
  <c r="AF6" i="5"/>
  <c r="AE6" i="5"/>
  <c r="N6" i="5"/>
  <c r="K6" i="5" s="1"/>
  <c r="M6" i="5"/>
  <c r="BE6" i="5" s="1"/>
  <c r="L6" i="5"/>
  <c r="J6" i="5"/>
  <c r="I6" i="5"/>
  <c r="H6" i="5"/>
  <c r="AK5" i="5"/>
  <c r="AH5" i="5" s="1"/>
  <c r="AJ5" i="5"/>
  <c r="AI5" i="5"/>
  <c r="AI12" i="5" s="1"/>
  <c r="AG5" i="5"/>
  <c r="AG12" i="5" s="1"/>
  <c r="AF5" i="5"/>
  <c r="AE5" i="5"/>
  <c r="N5" i="5"/>
  <c r="K5" i="5" s="1"/>
  <c r="M5" i="5"/>
  <c r="L5" i="5"/>
  <c r="J5" i="5"/>
  <c r="I5" i="5"/>
  <c r="H5" i="5"/>
  <c r="AE1" i="5"/>
  <c r="H1" i="5"/>
  <c r="BC46" i="3"/>
  <c r="BB46" i="3"/>
  <c r="BA46" i="3"/>
  <c r="AZ46" i="3"/>
  <c r="AE46" i="3"/>
  <c r="AD46" i="3"/>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K38" i="3"/>
  <c r="AJ38" i="3"/>
  <c r="AI38" i="3"/>
  <c r="AH38" i="3"/>
  <c r="AG38" i="3"/>
  <c r="N38" i="3"/>
  <c r="BG38" i="3" s="1"/>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AK35" i="3"/>
  <c r="AJ35" i="3"/>
  <c r="AH35" i="3"/>
  <c r="AG35" i="3"/>
  <c r="N35" i="3"/>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H30" i="3" a="1"/>
  <c r="BF30" i="3"/>
  <c r="AL30" i="3"/>
  <c r="AK30" i="3"/>
  <c r="AJ30" i="3"/>
  <c r="AJ42" i="3" s="1"/>
  <c r="AI30" i="3"/>
  <c r="AH30" i="3"/>
  <c r="AG30" i="3"/>
  <c r="N30" i="3"/>
  <c r="K30" i="3" s="1"/>
  <c r="M30" i="3"/>
  <c r="L30" i="3"/>
  <c r="J30" i="3"/>
  <c r="I30" i="3"/>
  <c r="BF29" i="3"/>
  <c r="AL29" i="3"/>
  <c r="AK29" i="3"/>
  <c r="AJ29" i="3"/>
  <c r="AH29" i="3"/>
  <c r="AG29" i="3"/>
  <c r="N29" i="3"/>
  <c r="K29" i="3" s="1"/>
  <c r="M29" i="3"/>
  <c r="L29" i="3"/>
  <c r="J29" i="3"/>
  <c r="I29" i="3"/>
  <c r="BF28" i="3"/>
  <c r="AL28" i="3"/>
  <c r="AK28" i="3"/>
  <c r="AJ28" i="3"/>
  <c r="AI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K25" i="3"/>
  <c r="AJ25" i="3"/>
  <c r="AH25" i="3"/>
  <c r="AG25" i="3"/>
  <c r="N25" i="3"/>
  <c r="M25" i="3"/>
  <c r="L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K22" i="3"/>
  <c r="AJ22" i="3"/>
  <c r="AI22" i="3"/>
  <c r="AH22" i="3"/>
  <c r="AG22" i="3"/>
  <c r="N22" i="3"/>
  <c r="K22" i="3" s="1"/>
  <c r="M22" i="3"/>
  <c r="L22" i="3"/>
  <c r="J22" i="3"/>
  <c r="I22" i="3"/>
  <c r="BF21" i="3"/>
  <c r="AL21" i="3"/>
  <c r="AK21" i="3"/>
  <c r="AJ21" i="3"/>
  <c r="AH21" i="3"/>
  <c r="AG21" i="3"/>
  <c r="N21" i="3"/>
  <c r="K21" i="3" s="1"/>
  <c r="M21" i="3"/>
  <c r="L21" i="3"/>
  <c r="J21" i="3"/>
  <c r="I21" i="3"/>
  <c r="BF20" i="3"/>
  <c r="AL20" i="3"/>
  <c r="AK20" i="3"/>
  <c r="AJ20" i="3"/>
  <c r="AI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M16" i="3"/>
  <c r="L16" i="3"/>
  <c r="J16" i="3"/>
  <c r="I16" i="3"/>
  <c r="BF15" i="3"/>
  <c r="AL15" i="3"/>
  <c r="BH15" i="3" s="1" a="1"/>
  <c r="AK15" i="3"/>
  <c r="AJ15" i="3"/>
  <c r="AH15" i="3"/>
  <c r="AG15" i="3"/>
  <c r="N15" i="3"/>
  <c r="M15" i="3"/>
  <c r="L15" i="3"/>
  <c r="J15" i="3"/>
  <c r="I15" i="3"/>
  <c r="BF14" i="3"/>
  <c r="AL14" i="3"/>
  <c r="AK14" i="3"/>
  <c r="AJ14" i="3"/>
  <c r="AI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BG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K5" i="3"/>
  <c r="AK40" i="3" s="1"/>
  <c r="AJ5" i="3"/>
  <c r="AH5" i="3"/>
  <c r="AG5" i="3"/>
  <c r="N5" i="3"/>
  <c r="M5" i="3"/>
  <c r="L5" i="3"/>
  <c r="J5" i="3"/>
  <c r="I5" i="3"/>
  <c r="AG1" i="3"/>
  <c r="I1" i="3"/>
  <c r="B2" i="2"/>
  <c r="B1" i="2"/>
  <c r="BT35" i="7"/>
  <c r="BP35" i="7"/>
  <c r="BR30" i="7"/>
  <c r="BM30" i="7"/>
  <c r="BS25" i="7"/>
  <c r="BN25" i="7"/>
  <c r="BT20" i="7"/>
  <c r="BP20" i="7"/>
  <c r="BK20" i="7"/>
  <c r="BQ15" i="7"/>
  <c r="BL15" i="7"/>
  <c r="BT10" i="7"/>
  <c r="BP10" i="7"/>
  <c r="BJ10" i="7"/>
  <c r="BR5" i="7"/>
  <c r="BM5" i="7"/>
  <c r="BT35" i="3"/>
  <c r="BP35" i="3"/>
  <c r="BQ30" i="3"/>
  <c r="BL30" i="3"/>
  <c r="BS25" i="3"/>
  <c r="BN25" i="3"/>
  <c r="BT20" i="3"/>
  <c r="BP20" i="3"/>
  <c r="BK20" i="3"/>
  <c r="BQ15" i="3"/>
  <c r="BL15" i="3"/>
  <c r="BR10" i="3"/>
  <c r="BM10" i="3"/>
  <c r="BJ10" i="3"/>
  <c r="BT5" i="3"/>
  <c r="BP5" i="3"/>
  <c r="BR35" i="7"/>
  <c r="BT30" i="7"/>
  <c r="BK30" i="7"/>
  <c r="BL25" i="7"/>
  <c r="BM20" i="7"/>
  <c r="BN15" i="7"/>
  <c r="BM10" i="7"/>
  <c r="BP5" i="7"/>
  <c r="BT10" i="3"/>
  <c r="BP10" i="3"/>
  <c r="BK10" i="3"/>
  <c r="BR5" i="3"/>
  <c r="BM5" i="3"/>
  <c r="BK5" i="3"/>
  <c r="BQ35" i="7"/>
  <c r="BS30" i="7"/>
  <c r="BN30" i="7"/>
  <c r="BJ30" i="7"/>
  <c r="BT25" i="7"/>
  <c r="BP25" i="7"/>
  <c r="BQ20" i="7"/>
  <c r="BR15" i="7"/>
  <c r="BL10" i="7"/>
  <c r="BN5" i="7"/>
  <c r="BQ35" i="3"/>
  <c r="BR30" i="3"/>
  <c r="BJ30" i="3"/>
  <c r="BP25" i="3"/>
  <c r="BL20" i="3"/>
  <c r="BM15" i="3"/>
  <c r="BS10" i="3"/>
  <c r="BL5" i="3"/>
  <c r="BS35" i="7"/>
  <c r="BN35" i="7"/>
  <c r="BQ30" i="7"/>
  <c r="BL30" i="7"/>
  <c r="BR25" i="7"/>
  <c r="BM25" i="7"/>
  <c r="BJ25" i="7"/>
  <c r="BS20" i="7"/>
  <c r="BN20" i="7"/>
  <c r="BJ20" i="7"/>
  <c r="BT15" i="7"/>
  <c r="BP15" i="7"/>
  <c r="BS10" i="7"/>
  <c r="BN10" i="7"/>
  <c r="BK10" i="7"/>
  <c r="BQ5" i="7"/>
  <c r="BL5" i="7"/>
  <c r="BS35" i="3"/>
  <c r="BN35" i="3"/>
  <c r="BT30" i="3"/>
  <c r="BP30" i="3"/>
  <c r="BK30" i="3"/>
  <c r="BR25" i="3"/>
  <c r="BM25" i="3"/>
  <c r="BK25" i="3"/>
  <c r="BS20" i="3"/>
  <c r="BN20" i="3"/>
  <c r="BJ20" i="3"/>
  <c r="BT15" i="3"/>
  <c r="BP15" i="3"/>
  <c r="BQ10" i="3"/>
  <c r="BL10" i="3"/>
  <c r="BS5" i="3"/>
  <c r="BN5" i="3"/>
  <c r="BM35" i="7"/>
  <c r="BP30" i="7"/>
  <c r="BQ25" i="7"/>
  <c r="BR20" i="7"/>
  <c r="BS15" i="7"/>
  <c r="BR10" i="7"/>
  <c r="BT5" i="7"/>
  <c r="BR35" i="3"/>
  <c r="BM35" i="3"/>
  <c r="BJ35" i="3"/>
  <c r="BS30" i="3"/>
  <c r="BN30" i="3"/>
  <c r="BQ25" i="3"/>
  <c r="BL25" i="3"/>
  <c r="BR20" i="3"/>
  <c r="BM20" i="3"/>
  <c r="BS15" i="3"/>
  <c r="BN15" i="3"/>
  <c r="BL35" i="7"/>
  <c r="BL20" i="7"/>
  <c r="BM15" i="7"/>
  <c r="BQ10" i="7"/>
  <c r="BS5" i="7"/>
  <c r="BL35" i="3"/>
  <c r="BM30" i="3"/>
  <c r="BT25" i="3"/>
  <c r="BQ20" i="3"/>
  <c r="BR15" i="3"/>
  <c r="BJ15" i="3"/>
  <c r="BN10" i="3"/>
  <c r="BQ5" i="3"/>
  <c r="AJ41" i="7" l="1"/>
  <c r="BG5" i="7"/>
  <c r="BG8" i="7"/>
  <c r="BG36" i="7"/>
  <c r="BG14" i="7"/>
  <c r="AJ42" i="7"/>
  <c r="BG6" i="6"/>
  <c r="BG10" i="6"/>
  <c r="AG14" i="6"/>
  <c r="AJ12" i="6"/>
  <c r="BB6" i="6"/>
  <c r="BD6" i="6"/>
  <c r="BB8" i="6"/>
  <c r="BD10" i="6"/>
  <c r="BE8" i="5"/>
  <c r="AJ12" i="5"/>
  <c r="BE12" i="5" s="1"/>
  <c r="BB7" i="5"/>
  <c r="BE10" i="5"/>
  <c r="AJ41" i="3"/>
  <c r="AH43" i="3"/>
  <c r="AJ40" i="3"/>
  <c r="AH42" i="3"/>
  <c r="AH41" i="3"/>
  <c r="BG16" i="3"/>
  <c r="BG24" i="3"/>
  <c r="AK41" i="3"/>
  <c r="M12" i="5"/>
  <c r="BD8" i="5"/>
  <c r="BB10" i="5"/>
  <c r="BF6" i="5"/>
  <c r="BE7" i="5"/>
  <c r="K5" i="7"/>
  <c r="J41" i="7"/>
  <c r="K26" i="7"/>
  <c r="BG32" i="7"/>
  <c r="BG38" i="7"/>
  <c r="K8" i="7"/>
  <c r="BE8" i="7" s="1"/>
  <c r="BH5" i="7"/>
  <c r="K18" i="7"/>
  <c r="BH30" i="7"/>
  <c r="BG7" i="6"/>
  <c r="BB8" i="5"/>
  <c r="BH15" i="3"/>
  <c r="K24" i="3"/>
  <c r="BG9" i="3"/>
  <c r="K10" i="3"/>
  <c r="BE10" i="3" s="1"/>
  <c r="BH10" i="3"/>
  <c r="K16" i="3"/>
  <c r="BG37" i="3"/>
  <c r="K38" i="3"/>
  <c r="BE38" i="3" s="1"/>
  <c r="BE10" i="7"/>
  <c r="BE12" i="7"/>
  <c r="BG20" i="7"/>
  <c r="BE22" i="7"/>
  <c r="BG28" i="7"/>
  <c r="BB45" i="7"/>
  <c r="BA47" i="7"/>
  <c r="BE6" i="7"/>
  <c r="BG10" i="7"/>
  <c r="BE16" i="7"/>
  <c r="BG22" i="7"/>
  <c r="BE24" i="7"/>
  <c r="BG30" i="7"/>
  <c r="BG34" i="7"/>
  <c r="BC45" i="7"/>
  <c r="BB47" i="7"/>
  <c r="BG6" i="7"/>
  <c r="BG9" i="7"/>
  <c r="BG16" i="7"/>
  <c r="BE18" i="7"/>
  <c r="BG21" i="7"/>
  <c r="BG24" i="7"/>
  <c r="BE26" i="7"/>
  <c r="BG29" i="7"/>
  <c r="BE32" i="7"/>
  <c r="K36" i="7"/>
  <c r="BE36" i="7" s="1"/>
  <c r="AZ45" i="7"/>
  <c r="BC47" i="7"/>
  <c r="BE9" i="7"/>
  <c r="BG13" i="7"/>
  <c r="BE20" i="7"/>
  <c r="BE28" i="7"/>
  <c r="L42" i="7"/>
  <c r="BH35" i="7"/>
  <c r="AZ47" i="7"/>
  <c r="J15" i="6"/>
  <c r="BB15" i="6" s="1"/>
  <c r="BE12" i="6"/>
  <c r="BB7" i="6"/>
  <c r="BD13" i="6"/>
  <c r="BG11" i="6"/>
  <c r="AY17" i="6"/>
  <c r="AY19" i="6"/>
  <c r="AW17" i="6"/>
  <c r="AW19" i="6"/>
  <c r="AX17" i="6"/>
  <c r="AX19" i="6"/>
  <c r="L12" i="6"/>
  <c r="BD12" i="6" s="1"/>
  <c r="BF5" i="6"/>
  <c r="BE6" i="6"/>
  <c r="BD7" i="6"/>
  <c r="BG8" i="6"/>
  <c r="J14" i="6"/>
  <c r="BB14" i="6" s="1"/>
  <c r="AZ17" i="6"/>
  <c r="AZ19" i="6"/>
  <c r="AZ17" i="5"/>
  <c r="AZ19" i="5"/>
  <c r="AW17" i="5"/>
  <c r="AW19" i="5"/>
  <c r="J12" i="5"/>
  <c r="BB12" i="5" s="1"/>
  <c r="AX17" i="5"/>
  <c r="AX19" i="5"/>
  <c r="L12" i="5"/>
  <c r="BD12" i="5" s="1"/>
  <c r="BD6" i="5"/>
  <c r="BG8" i="5"/>
  <c r="BE13" i="5"/>
  <c r="J14" i="5"/>
  <c r="AY17" i="5"/>
  <c r="AY19" i="5"/>
  <c r="BE6" i="3"/>
  <c r="BE12" i="3"/>
  <c r="BG18" i="3"/>
  <c r="BE20" i="3"/>
  <c r="BG26" i="3"/>
  <c r="BE28" i="3"/>
  <c r="BG32" i="3"/>
  <c r="BE34" i="3"/>
  <c r="BA45" i="3"/>
  <c r="BG6" i="3"/>
  <c r="BE8" i="3"/>
  <c r="BG12" i="3"/>
  <c r="BE14" i="3"/>
  <c r="BG17" i="3"/>
  <c r="BG20" i="3"/>
  <c r="BE22" i="3"/>
  <c r="J41" i="3"/>
  <c r="BG25" i="3"/>
  <c r="BG28" i="3"/>
  <c r="M42" i="3"/>
  <c r="BE31" i="3"/>
  <c r="BG34" i="3"/>
  <c r="BE36" i="3"/>
  <c r="BE39" i="3"/>
  <c r="BA47" i="3"/>
  <c r="J40" i="3"/>
  <c r="BG5" i="3"/>
  <c r="BG8" i="3"/>
  <c r="BG14" i="3"/>
  <c r="BE16" i="3"/>
  <c r="BG22" i="3"/>
  <c r="BE24" i="3"/>
  <c r="L41" i="3"/>
  <c r="BE27" i="3"/>
  <c r="J42" i="3"/>
  <c r="BG30" i="3"/>
  <c r="BG33" i="3"/>
  <c r="BG36" i="3"/>
  <c r="BC45" i="3"/>
  <c r="L43" i="3"/>
  <c r="BG13" i="3"/>
  <c r="BE18" i="3"/>
  <c r="BG21" i="3"/>
  <c r="M41" i="3"/>
  <c r="BE26" i="3"/>
  <c r="BG29" i="3"/>
  <c r="BH30" i="3"/>
  <c r="BE32" i="3"/>
  <c r="L42" i="3"/>
  <c r="BH35" i="3"/>
  <c r="AZ45" i="3"/>
  <c r="BC47" i="3"/>
  <c r="BM42" i="3"/>
  <c r="F11" i="1" s="1"/>
  <c r="BL41" i="3"/>
  <c r="E10" i="1" s="1"/>
  <c r="BN42" i="3"/>
  <c r="G11" i="1" s="1"/>
  <c r="BQ41" i="7"/>
  <c r="BN40" i="3"/>
  <c r="G9" i="1" s="1"/>
  <c r="BK41" i="3"/>
  <c r="D10" i="1" s="1"/>
  <c r="BM41" i="3"/>
  <c r="F10" i="1" s="1"/>
  <c r="BJ41" i="7"/>
  <c r="C44" i="1" s="1"/>
  <c r="BM41" i="7"/>
  <c r="F44" i="1" s="1"/>
  <c r="BL42" i="7"/>
  <c r="E45" i="1" s="1"/>
  <c r="BL43" i="3"/>
  <c r="E12" i="1" s="1"/>
  <c r="BJ42" i="3"/>
  <c r="C11" i="1" s="1"/>
  <c r="BP41" i="7"/>
  <c r="BT41" i="7"/>
  <c r="BN42" i="7"/>
  <c r="G45" i="1" s="1"/>
  <c r="BM43" i="3"/>
  <c r="F12" i="1" s="1"/>
  <c r="BL41" i="7"/>
  <c r="E44" i="1" s="1"/>
  <c r="BP40" i="3"/>
  <c r="BT40" i="3"/>
  <c r="L9" i="1" s="1"/>
  <c r="BN41" i="3"/>
  <c r="G10" i="1" s="1"/>
  <c r="BL42" i="3"/>
  <c r="E11" i="1" s="1"/>
  <c r="BN41" i="7"/>
  <c r="G44" i="1" s="1"/>
  <c r="BM42" i="7"/>
  <c r="F45" i="1" s="1"/>
  <c r="BS41" i="3"/>
  <c r="BN43" i="3"/>
  <c r="G12" i="1" s="1"/>
  <c r="BS40" i="3"/>
  <c r="BS42" i="3"/>
  <c r="BE23" i="3"/>
  <c r="BE7" i="3"/>
  <c r="BE11" i="3"/>
  <c r="BE19" i="3"/>
  <c r="BE30" i="3"/>
  <c r="L40" i="3"/>
  <c r="AJ43" i="3"/>
  <c r="BC9" i="5"/>
  <c r="M43" i="3"/>
  <c r="AI5" i="3"/>
  <c r="BH5" i="3" a="1"/>
  <c r="BH5" i="3" s="1"/>
  <c r="BR43" i="3"/>
  <c r="BG7" i="3"/>
  <c r="AI9" i="3"/>
  <c r="BE9" i="3" s="1"/>
  <c r="BG11" i="3"/>
  <c r="AI13" i="3"/>
  <c r="BE13" i="3" s="1"/>
  <c r="K15" i="3"/>
  <c r="BG15" i="3"/>
  <c r="AI17" i="3"/>
  <c r="BE17" i="3" s="1"/>
  <c r="BG19" i="3"/>
  <c r="AI21" i="3"/>
  <c r="BE21" i="3" s="1"/>
  <c r="BG23" i="3"/>
  <c r="AI25" i="3"/>
  <c r="BH25" i="3" a="1"/>
  <c r="BH25" i="3" s="1"/>
  <c r="BH41" i="3" s="1"/>
  <c r="BG27" i="3"/>
  <c r="AI29" i="3"/>
  <c r="BE29" i="3" s="1"/>
  <c r="BG31" i="3"/>
  <c r="AI33" i="3"/>
  <c r="BE33" i="3" s="1"/>
  <c r="K35" i="3"/>
  <c r="BG35" i="3"/>
  <c r="AI37" i="3"/>
  <c r="BE37" i="3" s="1"/>
  <c r="BG39" i="3"/>
  <c r="M40" i="3"/>
  <c r="BP41" i="3"/>
  <c r="BT41" i="3"/>
  <c r="J43" i="3"/>
  <c r="BQ43" i="3"/>
  <c r="AZ47" i="3"/>
  <c r="BR42" i="3"/>
  <c r="BH20" i="3" a="1"/>
  <c r="BH20" i="3" s="1"/>
  <c r="AK42" i="3"/>
  <c r="BP42" i="3"/>
  <c r="BT42" i="3"/>
  <c r="AH40" i="3"/>
  <c r="BL40" i="3"/>
  <c r="E9" i="1" s="1"/>
  <c r="BQ40" i="3"/>
  <c r="BQ41" i="3"/>
  <c r="BS43" i="3"/>
  <c r="BD14" i="5"/>
  <c r="BC8" i="6"/>
  <c r="K10" i="1"/>
  <c r="K5" i="3"/>
  <c r="AK43" i="3"/>
  <c r="BP43" i="3"/>
  <c r="BT43" i="3"/>
  <c r="AI15" i="3"/>
  <c r="K25" i="3"/>
  <c r="K41" i="3" s="1"/>
  <c r="AI35" i="3"/>
  <c r="BE35" i="3" s="1"/>
  <c r="BM40" i="3"/>
  <c r="F9" i="1" s="1"/>
  <c r="BR40" i="3"/>
  <c r="BR41" i="3"/>
  <c r="BQ42" i="3"/>
  <c r="BB47" i="3"/>
  <c r="BD13" i="5"/>
  <c r="BD5" i="5"/>
  <c r="BG5" i="5" a="1"/>
  <c r="BG5" i="5" s="1"/>
  <c r="BF7" i="5"/>
  <c r="BD9" i="5"/>
  <c r="BG9" i="5" a="1"/>
  <c r="BG9" i="5" s="1"/>
  <c r="BG13" i="5" s="1"/>
  <c r="BF11" i="5"/>
  <c r="J13" i="5"/>
  <c r="BB13" i="5" s="1"/>
  <c r="M14" i="5"/>
  <c r="AJ14" i="5"/>
  <c r="L15" i="5"/>
  <c r="AI15" i="5"/>
  <c r="BF6" i="6"/>
  <c r="BB10" i="6"/>
  <c r="BF10" i="6"/>
  <c r="J12" i="6"/>
  <c r="AG12" i="6"/>
  <c r="M13" i="6"/>
  <c r="BE13" i="6" s="1"/>
  <c r="L14" i="6"/>
  <c r="AI14" i="6"/>
  <c r="AK43" i="7"/>
  <c r="AK40" i="7"/>
  <c r="BL43" i="7"/>
  <c r="E46" i="1" s="1"/>
  <c r="BL40" i="7"/>
  <c r="E43" i="1" s="1"/>
  <c r="BQ43" i="7"/>
  <c r="BQ40" i="7"/>
  <c r="BE11" i="7"/>
  <c r="BH15" i="7" a="1"/>
  <c r="BH15" i="7" s="1"/>
  <c r="AI15" i="7"/>
  <c r="BE15" i="7" s="1"/>
  <c r="AI19" i="7"/>
  <c r="BE19" i="7" s="1"/>
  <c r="BG19" i="7"/>
  <c r="L41" i="7"/>
  <c r="BS41" i="7"/>
  <c r="BE5" i="5"/>
  <c r="BG6" i="5" a="1"/>
  <c r="BG6" i="5" s="1"/>
  <c r="K7" i="5"/>
  <c r="K12" i="5" s="1"/>
  <c r="AH8" i="5"/>
  <c r="BC8" i="5" s="1"/>
  <c r="BF8" i="5"/>
  <c r="BE9" i="5"/>
  <c r="BD10" i="5"/>
  <c r="BG10" i="5" a="1"/>
  <c r="BG10" i="5" s="1"/>
  <c r="BG14" i="5" s="1"/>
  <c r="K11" i="5"/>
  <c r="AH13" i="5"/>
  <c r="BC13" i="5" s="1"/>
  <c r="AG14" i="5"/>
  <c r="BB14" i="5" s="1"/>
  <c r="M15" i="5"/>
  <c r="AJ15" i="5"/>
  <c r="BD5" i="6"/>
  <c r="BG5" i="6" a="1"/>
  <c r="BG5" i="6" s="1"/>
  <c r="K6" i="6"/>
  <c r="BC6" i="6" s="1"/>
  <c r="AH7" i="6"/>
  <c r="BC7" i="6" s="1"/>
  <c r="BF7" i="6"/>
  <c r="BD9" i="6"/>
  <c r="BG9" i="6" a="1"/>
  <c r="BG9" i="6" s="1"/>
  <c r="BG13" i="6" s="1"/>
  <c r="K10" i="6"/>
  <c r="K14" i="6" s="1"/>
  <c r="AH11" i="6"/>
  <c r="BC11" i="6" s="1"/>
  <c r="BB11" i="6"/>
  <c r="BF11" i="6"/>
  <c r="AG13" i="6"/>
  <c r="BB13" i="6" s="1"/>
  <c r="AJ14" i="6"/>
  <c r="BE14" i="6" s="1"/>
  <c r="L15" i="6"/>
  <c r="AI15" i="6"/>
  <c r="BD15" i="6" s="1"/>
  <c r="L40" i="7"/>
  <c r="L43" i="7"/>
  <c r="AH43" i="7"/>
  <c r="AH40" i="7"/>
  <c r="BM40" i="7"/>
  <c r="F43" i="1" s="1"/>
  <c r="BM43" i="7"/>
  <c r="F46" i="1" s="1"/>
  <c r="BR43" i="7"/>
  <c r="BR40" i="7"/>
  <c r="BE7" i="7"/>
  <c r="BG12" i="7"/>
  <c r="AI13" i="7"/>
  <c r="BE13" i="7" s="1"/>
  <c r="K14" i="7"/>
  <c r="BH20" i="7" a="1"/>
  <c r="BH20" i="7" s="1"/>
  <c r="AI23" i="7"/>
  <c r="BE23" i="7" s="1"/>
  <c r="BG23" i="7"/>
  <c r="AI27" i="7"/>
  <c r="BE27" i="7" s="1"/>
  <c r="BG27" i="7"/>
  <c r="BB5" i="5"/>
  <c r="BF5" i="5"/>
  <c r="BF9" i="5"/>
  <c r="J15" i="5"/>
  <c r="AG15" i="5"/>
  <c r="BE5" i="6"/>
  <c r="BF8" i="6"/>
  <c r="M15" i="6"/>
  <c r="AJ15" i="6"/>
  <c r="M43" i="7"/>
  <c r="M40" i="7"/>
  <c r="AI40" i="7"/>
  <c r="BE5" i="7"/>
  <c r="BN43" i="7"/>
  <c r="G46" i="1" s="1"/>
  <c r="BN40" i="7"/>
  <c r="G43" i="1" s="1"/>
  <c r="BS40" i="7"/>
  <c r="BS43" i="7"/>
  <c r="BG11" i="7"/>
  <c r="BG15" i="7"/>
  <c r="BG17" i="7"/>
  <c r="AI17" i="7"/>
  <c r="BE17" i="7" s="1"/>
  <c r="K25" i="7"/>
  <c r="BC5" i="5"/>
  <c r="AH6" i="5"/>
  <c r="BC6" i="5" s="1"/>
  <c r="AH10" i="5"/>
  <c r="AH5" i="6"/>
  <c r="BB5" i="6"/>
  <c r="AH9" i="6"/>
  <c r="J43" i="7"/>
  <c r="J40" i="7"/>
  <c r="AJ43" i="7"/>
  <c r="AJ40" i="7"/>
  <c r="BG7" i="7"/>
  <c r="BH10" i="7" a="1"/>
  <c r="BH10" i="7" s="1"/>
  <c r="BG25" i="7"/>
  <c r="AI21" i="7"/>
  <c r="BE21" i="7" s="1"/>
  <c r="M41" i="7"/>
  <c r="AI25" i="7"/>
  <c r="BH25" i="7" a="1"/>
  <c r="BH25" i="7" s="1"/>
  <c r="BH41" i="7" s="1"/>
  <c r="AI29" i="7"/>
  <c r="BE29" i="7" s="1"/>
  <c r="J42" i="7"/>
  <c r="BG31" i="7"/>
  <c r="BE33" i="7"/>
  <c r="K35" i="7"/>
  <c r="K42" i="7" s="1"/>
  <c r="BP42" i="7"/>
  <c r="BT42" i="7"/>
  <c r="BG33" i="7"/>
  <c r="BR42" i="7"/>
  <c r="BP43" i="7"/>
  <c r="BP40" i="7"/>
  <c r="BT43" i="7"/>
  <c r="BT40" i="7"/>
  <c r="AK41" i="7"/>
  <c r="AH42" i="7"/>
  <c r="BQ42" i="7"/>
  <c r="AI31" i="7"/>
  <c r="BE31" i="7" s="1"/>
  <c r="AI34" i="7"/>
  <c r="BE34" i="7" s="1"/>
  <c r="BG35" i="7"/>
  <c r="AI38" i="7"/>
  <c r="BE38" i="7" s="1"/>
  <c r="BG39" i="7"/>
  <c r="BS42" i="7"/>
  <c r="AH41" i="7"/>
  <c r="M42" i="7"/>
  <c r="BE30" i="7"/>
  <c r="BE37" i="7"/>
  <c r="BR41" i="7"/>
  <c r="BK35" i="3"/>
  <c r="BJ25" i="3"/>
  <c r="BK35" i="7"/>
  <c r="BK15" i="7"/>
  <c r="BK25" i="7"/>
  <c r="BK15" i="3"/>
  <c r="BK5" i="7"/>
  <c r="BJ35" i="7"/>
  <c r="BJ5" i="3"/>
  <c r="BJ15" i="7"/>
  <c r="BJ5" i="7"/>
  <c r="BG14" i="6" l="1"/>
  <c r="AI42" i="3"/>
  <c r="H9" i="1"/>
  <c r="BE15" i="5"/>
  <c r="K41" i="7"/>
  <c r="BH42" i="7"/>
  <c r="BH43" i="7"/>
  <c r="K15" i="5"/>
  <c r="BH42" i="3"/>
  <c r="K42" i="3"/>
  <c r="BE42" i="3" s="1"/>
  <c r="C47" i="1"/>
  <c r="C48" i="1"/>
  <c r="K43" i="7"/>
  <c r="K40" i="7"/>
  <c r="BE40" i="7" s="1"/>
  <c r="I44" i="1"/>
  <c r="C36" i="1"/>
  <c r="C35" i="1"/>
  <c r="D31" i="1"/>
  <c r="BB12" i="6"/>
  <c r="K12" i="6"/>
  <c r="D20" i="1"/>
  <c r="C24" i="1"/>
  <c r="C23" i="1"/>
  <c r="D19" i="1"/>
  <c r="BE15" i="3"/>
  <c r="BJ42" i="7"/>
  <c r="C45" i="1" s="1"/>
  <c r="BK43" i="3"/>
  <c r="D12" i="1" s="1"/>
  <c r="BK40" i="3"/>
  <c r="D9" i="1" s="1"/>
  <c r="BK41" i="7"/>
  <c r="D44" i="1" s="1"/>
  <c r="BK42" i="7"/>
  <c r="D45" i="1" s="1"/>
  <c r="BJ41" i="3"/>
  <c r="C10" i="1" s="1"/>
  <c r="BK42" i="3"/>
  <c r="D11" i="1" s="1"/>
  <c r="L44" i="1"/>
  <c r="H44" i="1"/>
  <c r="K11" i="1"/>
  <c r="K9" i="1"/>
  <c r="H46" i="1"/>
  <c r="D22" i="1"/>
  <c r="I43" i="1"/>
  <c r="BJ43" i="3"/>
  <c r="C12" i="1" s="1"/>
  <c r="BJ40" i="3"/>
  <c r="C9" i="1" s="1"/>
  <c r="I45" i="1"/>
  <c r="L43" i="1"/>
  <c r="AH13" i="6"/>
  <c r="BC13" i="6" s="1"/>
  <c r="BC9" i="6"/>
  <c r="K46" i="1"/>
  <c r="BE35" i="7"/>
  <c r="I46" i="1"/>
  <c r="BD14" i="6"/>
  <c r="BD15" i="5"/>
  <c r="BH40" i="7"/>
  <c r="I11" i="1"/>
  <c r="K43" i="3"/>
  <c r="K40" i="3"/>
  <c r="E33" i="1"/>
  <c r="BC11" i="5"/>
  <c r="I10" i="1"/>
  <c r="L11" i="1"/>
  <c r="J11" i="1"/>
  <c r="BH43" i="3"/>
  <c r="BH40" i="3"/>
  <c r="L45" i="1"/>
  <c r="AI41" i="7"/>
  <c r="BE41" i="7" s="1"/>
  <c r="BE25" i="7"/>
  <c r="J46" i="1"/>
  <c r="E20" i="1"/>
  <c r="K12" i="1"/>
  <c r="I12" i="1"/>
  <c r="L46" i="1"/>
  <c r="H45" i="1"/>
  <c r="D33" i="1"/>
  <c r="BG15" i="6"/>
  <c r="BG12" i="6"/>
  <c r="E21" i="1"/>
  <c r="K44" i="1"/>
  <c r="AH12" i="5"/>
  <c r="BC12" i="5" s="1"/>
  <c r="K14" i="5"/>
  <c r="J10" i="1"/>
  <c r="H12" i="1"/>
  <c r="I9" i="1"/>
  <c r="L10" i="1"/>
  <c r="AI43" i="3"/>
  <c r="AI40" i="3"/>
  <c r="BE40" i="3" s="1"/>
  <c r="BE5" i="3"/>
  <c r="BE14" i="7"/>
  <c r="J44" i="1"/>
  <c r="AH14" i="5"/>
  <c r="BC10" i="5"/>
  <c r="AI42" i="7"/>
  <c r="BE42" i="7" s="1"/>
  <c r="K15" i="6"/>
  <c r="C14" i="1"/>
  <c r="L12" i="1"/>
  <c r="D32" i="1"/>
  <c r="AH15" i="5"/>
  <c r="BC15" i="5" s="1"/>
  <c r="K45" i="1"/>
  <c r="J45" i="1"/>
  <c r="BK43" i="7"/>
  <c r="D46" i="1" s="1"/>
  <c r="BK40" i="7"/>
  <c r="D43" i="1" s="1"/>
  <c r="K43" i="1"/>
  <c r="H43" i="1"/>
  <c r="BJ40" i="7"/>
  <c r="C43" i="1" s="1"/>
  <c r="BJ43" i="7"/>
  <c r="C46" i="1" s="1"/>
  <c r="AH12" i="6"/>
  <c r="AH15" i="6"/>
  <c r="BC5" i="6"/>
  <c r="AI43" i="7"/>
  <c r="BE43" i="7" s="1"/>
  <c r="BE15" i="6"/>
  <c r="BB15" i="5"/>
  <c r="J43" i="1"/>
  <c r="E32" i="1"/>
  <c r="BC10" i="6"/>
  <c r="C20" i="1"/>
  <c r="BE14" i="5"/>
  <c r="BG12" i="5"/>
  <c r="BG15" i="5"/>
  <c r="E34" i="1"/>
  <c r="E19" i="1"/>
  <c r="J9" i="1"/>
  <c r="BC7" i="5"/>
  <c r="H11" i="1"/>
  <c r="AH14" i="6"/>
  <c r="BC14" i="6" s="1"/>
  <c r="C13" i="1"/>
  <c r="H10" i="1"/>
  <c r="AI41" i="3"/>
  <c r="BE41" i="3" s="1"/>
  <c r="BE25" i="3"/>
  <c r="J12" i="1"/>
  <c r="E31" i="1" l="1"/>
  <c r="BC15" i="6"/>
  <c r="BC12" i="6"/>
  <c r="D34" i="1"/>
  <c r="C31" i="1"/>
  <c r="C22" i="1"/>
  <c r="BE43" i="3"/>
  <c r="C32" i="1"/>
  <c r="C33" i="1"/>
  <c r="D21" i="1"/>
  <c r="E22" i="1"/>
  <c r="BC14" i="5"/>
  <c r="C19" i="1"/>
  <c r="C34" i="1" l="1"/>
  <c r="C2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<sst xmlns="http://schemas.openxmlformats.org/spreadsheetml/2006/main" count="1459" uniqueCount="575">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</sst>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1823-4534-ADF6-A5A41AD9D9B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823-4534-ADF6-A5A41AD9D9B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5CC0-499C-9180-A8B597944D9C}"/>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CC0-499C-9180-A8B597944D9C}"/>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A2EC-49A3-B720-C76DBC2701A7}"/>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A2EC-49A3-B720-C76DBC2701A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A5-42C3-A6A3-4FD72939431B}"/>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BA5-42C3-A6A3-4FD72939431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FBC7-4696-AE9E-DB913B04CA35}"/>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FBC7-4696-AE9E-DB913B04CA3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87C-495C-AA44-CEF4E97A433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87C-495C-AA44-CEF4E97A433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defaultRowHeight="14.4" x14ac:dyDescent="0.3"/>
  <cols>
    <col min="2" max="2" width="16.6640625" style="53" customWidth="1"/>
    <col min="3" max="12" width="24.6640625" style="53" customWidth="1"/>
  </cols>
  <sheetData>
    <row r="1" spans="2:12" x14ac:dyDescent="0.3">
      <c r="B1" t="s">
        <v>0</v>
      </c>
      <c r="C1" s="58" t="s">
        <v>574</v>
      </c>
      <c r="D1" s="59"/>
      <c r="E1" s="59"/>
    </row>
    <row r="2" spans="2:12" x14ac:dyDescent="0.3">
      <c r="B2" t="s">
        <v>1</v>
      </c>
      <c r="C2" s="60"/>
      <c r="D2" s="59"/>
      <c r="E2" s="59"/>
    </row>
    <row r="4" spans="2:12" s="1" customFormat="1" x14ac:dyDescent="0.3">
      <c r="B4" s="1" t="s">
        <v>2</v>
      </c>
    </row>
    <row r="6" spans="2:12" x14ac:dyDescent="0.3">
      <c r="B6" s="61" t="s">
        <v>3</v>
      </c>
      <c r="C6" s="63" t="s">
        <v>4</v>
      </c>
      <c r="D6" s="64"/>
      <c r="E6" s="64"/>
      <c r="F6" s="64"/>
      <c r="G6" s="64"/>
      <c r="H6" s="64"/>
      <c r="I6" s="64"/>
      <c r="J6" s="64"/>
      <c r="K6" s="64"/>
      <c r="L6" s="64"/>
    </row>
    <row r="7" spans="2:12" x14ac:dyDescent="0.3">
      <c r="B7" s="59"/>
      <c r="C7" s="65" t="s">
        <v>5</v>
      </c>
      <c r="D7" s="59"/>
      <c r="E7" s="66" t="s">
        <v>6</v>
      </c>
      <c r="F7" s="59"/>
      <c r="G7" s="59"/>
      <c r="H7" s="65" t="s">
        <v>7</v>
      </c>
      <c r="I7" s="59"/>
      <c r="J7" s="66" t="s">
        <v>8</v>
      </c>
      <c r="K7" s="59"/>
      <c r="L7" s="59"/>
    </row>
    <row r="8" spans="2:12" x14ac:dyDescent="0.3">
      <c r="B8" s="62"/>
      <c r="C8" s="2" t="s">
        <v>9</v>
      </c>
      <c r="D8" s="2" t="s">
        <v>10</v>
      </c>
      <c r="E8" s="3" t="s">
        <v>11</v>
      </c>
      <c r="F8" s="3" t="s">
        <v>12</v>
      </c>
      <c r="G8" s="3" t="s">
        <v>13</v>
      </c>
      <c r="H8" s="2" t="s">
        <v>9</v>
      </c>
      <c r="I8" s="2" t="s">
        <v>10</v>
      </c>
      <c r="J8" s="3" t="s">
        <v>11</v>
      </c>
      <c r="K8" s="3" t="s">
        <v>12</v>
      </c>
      <c r="L8" s="3" t="s">
        <v>13</v>
      </c>
    </row>
    <row r="9" spans="2:12" x14ac:dyDescent="0.3">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3">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3">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3">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3">
      <c r="B13" t="s">
        <v>18</v>
      </c>
      <c r="C13" s="67" t="e">
        <f>'C2 lossyG,lossyA,intra'!AZ47</f>
        <v>#NUM!</v>
      </c>
      <c r="D13" s="59"/>
      <c r="E13" s="59"/>
      <c r="F13" s="59"/>
      <c r="G13" s="59"/>
      <c r="H13" s="59"/>
      <c r="I13" s="59"/>
      <c r="J13" s="59"/>
      <c r="K13" s="59"/>
      <c r="L13" s="59"/>
    </row>
    <row r="14" spans="2:12" x14ac:dyDescent="0.3">
      <c r="B14" s="6" t="s">
        <v>19</v>
      </c>
      <c r="C14" s="68" t="e">
        <f>'C2 lossyG,lossyA,intra'!BB47</f>
        <v>#NUM!</v>
      </c>
      <c r="D14" s="62"/>
      <c r="E14" s="62"/>
      <c r="F14" s="62"/>
      <c r="G14" s="62"/>
      <c r="H14" s="62"/>
      <c r="I14" s="62"/>
      <c r="J14" s="62"/>
      <c r="K14" s="62"/>
      <c r="L14" s="62"/>
    </row>
    <row r="16" spans="2:12" x14ac:dyDescent="0.3">
      <c r="B16" s="61" t="s">
        <v>20</v>
      </c>
      <c r="C16" s="63" t="s">
        <v>21</v>
      </c>
      <c r="D16" s="64"/>
      <c r="E16" s="64"/>
    </row>
    <row r="17" spans="2:5" x14ac:dyDescent="0.3">
      <c r="B17" s="59"/>
      <c r="C17" s="65" t="s">
        <v>22</v>
      </c>
      <c r="D17" s="59"/>
      <c r="E17" s="59"/>
    </row>
    <row r="18" spans="2:5" x14ac:dyDescent="0.3">
      <c r="B18" s="62"/>
      <c r="C18" s="2" t="s">
        <v>23</v>
      </c>
      <c r="D18" s="2" t="s">
        <v>24</v>
      </c>
      <c r="E18" s="2" t="s">
        <v>25</v>
      </c>
    </row>
    <row r="19" spans="2:5" x14ac:dyDescent="0.3">
      <c r="B19" t="s">
        <v>14</v>
      </c>
      <c r="C19" s="52" t="e">
        <f>'CW losslG,losslA,intra'!BC12</f>
        <v>#DIV/0!</v>
      </c>
      <c r="D19" s="52" t="e">
        <f>'CW losslG,losslA,intra'!BE12</f>
        <v>#DIV/0!</v>
      </c>
      <c r="E19" s="52" t="e">
        <f>'CW losslG,losslA,intra'!BB12</f>
        <v>#DIV/0!</v>
      </c>
    </row>
    <row r="20" spans="2:5" x14ac:dyDescent="0.3">
      <c r="B20" t="s">
        <v>15</v>
      </c>
      <c r="C20" s="52" t="e">
        <f>'CW losslG,losslA,intra'!BC13</f>
        <v>#DIV/0!</v>
      </c>
      <c r="D20" s="52" t="e">
        <f>'CW losslG,losslA,intra'!BE13</f>
        <v>#DIV/0!</v>
      </c>
      <c r="E20" s="52" t="e">
        <f>'CW losslG,losslA,intra'!BB13</f>
        <v>#DIV/0!</v>
      </c>
    </row>
    <row r="21" spans="2:5" x14ac:dyDescent="0.3">
      <c r="B21" t="s">
        <v>16</v>
      </c>
      <c r="C21" s="52" t="e">
        <f>'CW losslG,losslA,intra'!BC14</f>
        <v>#DIV/0!</v>
      </c>
      <c r="D21" s="52" t="e">
        <f>'CW losslG,losslA,intra'!BE14</f>
        <v>#DIV/0!</v>
      </c>
      <c r="E21" s="52" t="e">
        <f>'CW losslG,losslA,intra'!BB14</f>
        <v>#DIV/0!</v>
      </c>
    </row>
    <row r="22" spans="2:5" x14ac:dyDescent="0.3">
      <c r="B22" s="4" t="s">
        <v>17</v>
      </c>
      <c r="C22" s="5" t="e">
        <f>'CW losslG,losslA,intra'!BC15</f>
        <v>#DIV/0!</v>
      </c>
      <c r="D22" s="5" t="e">
        <f>'CW losslG,losslA,intra'!BE15</f>
        <v>#DIV/0!</v>
      </c>
      <c r="E22" s="5" t="e">
        <f>'CW losslG,losslA,intra'!BB15</f>
        <v>#DIV/0!</v>
      </c>
    </row>
    <row r="23" spans="2:5" x14ac:dyDescent="0.3">
      <c r="B23" t="s">
        <v>18</v>
      </c>
      <c r="C23" s="67" t="e">
        <f>'CW losslG,losslA,intra'!AW19</f>
        <v>#NUM!</v>
      </c>
      <c r="D23" s="59"/>
      <c r="E23" s="59"/>
    </row>
    <row r="24" spans="2:5" x14ac:dyDescent="0.3">
      <c r="B24" s="6" t="s">
        <v>19</v>
      </c>
      <c r="C24" s="68" t="e">
        <f>'CW losslG,losslA,intra'!AY19</f>
        <v>#NUM!</v>
      </c>
      <c r="D24" s="62"/>
      <c r="E24" s="62"/>
    </row>
    <row r="26" spans="2:5" s="1" customFormat="1" x14ac:dyDescent="0.3">
      <c r="B26" s="1" t="s">
        <v>26</v>
      </c>
    </row>
    <row r="28" spans="2:5" x14ac:dyDescent="0.3">
      <c r="B28" s="61" t="s">
        <v>27</v>
      </c>
      <c r="C28" s="63" t="s">
        <v>28</v>
      </c>
      <c r="D28" s="64"/>
      <c r="E28" s="64"/>
    </row>
    <row r="29" spans="2:5" x14ac:dyDescent="0.3">
      <c r="B29" s="59"/>
      <c r="C29" s="65" t="s">
        <v>22</v>
      </c>
      <c r="D29" s="59"/>
      <c r="E29" s="59"/>
    </row>
    <row r="30" spans="2:5" x14ac:dyDescent="0.3">
      <c r="B30" s="62"/>
      <c r="C30" s="2" t="s">
        <v>23</v>
      </c>
      <c r="D30" s="2" t="s">
        <v>24</v>
      </c>
      <c r="E30" s="2" t="s">
        <v>25</v>
      </c>
    </row>
    <row r="31" spans="2:5" x14ac:dyDescent="0.3">
      <c r="B31" t="s">
        <v>14</v>
      </c>
      <c r="C31" s="52" t="e">
        <f>'CW losslG,losslA,interLD'!BC12</f>
        <v>#DIV/0!</v>
      </c>
      <c r="D31" s="52" t="e">
        <f>'CW losslG,losslA,interLD'!BE12</f>
        <v>#DIV/0!</v>
      </c>
      <c r="E31" s="52" t="e">
        <f>'CW losslG,losslA,interLD'!BB12</f>
        <v>#DIV/0!</v>
      </c>
    </row>
    <row r="32" spans="2:5" x14ac:dyDescent="0.3">
      <c r="B32" t="s">
        <v>15</v>
      </c>
      <c r="C32" s="52" t="e">
        <f>'CW losslG,losslA,interLD'!BC13</f>
        <v>#DIV/0!</v>
      </c>
      <c r="D32" s="52" t="e">
        <f>'CW losslG,losslA,interLD'!BE13</f>
        <v>#DIV/0!</v>
      </c>
      <c r="E32" s="52" t="e">
        <f>'CW losslG,losslA,interLD'!BB13</f>
        <v>#DIV/0!</v>
      </c>
    </row>
    <row r="33" spans="2:12" x14ac:dyDescent="0.3">
      <c r="B33" t="s">
        <v>16</v>
      </c>
      <c r="C33" s="52" t="e">
        <f>'CW losslG,losslA,interLD'!BC14</f>
        <v>#DIV/0!</v>
      </c>
      <c r="D33" s="52" t="e">
        <f>'CW losslG,losslA,interLD'!BE14</f>
        <v>#DIV/0!</v>
      </c>
      <c r="E33" s="52" t="e">
        <f>'CW losslG,losslA,interLD'!BB14</f>
        <v>#DIV/0!</v>
      </c>
    </row>
    <row r="34" spans="2:12" x14ac:dyDescent="0.3">
      <c r="B34" s="4" t="s">
        <v>17</v>
      </c>
      <c r="C34" s="5" t="e">
        <f>'CW losslG,losslA,interLD'!BC15</f>
        <v>#DIV/0!</v>
      </c>
      <c r="D34" s="5" t="e">
        <f>'CW losslG,losslA,interLD'!BE15</f>
        <v>#DIV/0!</v>
      </c>
      <c r="E34" s="5" t="e">
        <f>'CW losslG,losslA,interLD'!BB15</f>
        <v>#DIV/0!</v>
      </c>
    </row>
    <row r="35" spans="2:12" x14ac:dyDescent="0.3">
      <c r="B35" t="s">
        <v>18</v>
      </c>
      <c r="C35" s="67" t="e">
        <f>'CW losslG,losslA,interLD'!AW19</f>
        <v>#NUM!</v>
      </c>
      <c r="D35" s="59"/>
      <c r="E35" s="59"/>
    </row>
    <row r="36" spans="2:12" x14ac:dyDescent="0.3">
      <c r="B36" s="6" t="s">
        <v>19</v>
      </c>
      <c r="C36" s="68" t="e">
        <f>'CW losslG,losslA,interLD'!AY19</f>
        <v>#NUM!</v>
      </c>
      <c r="D36" s="62"/>
      <c r="E36" s="62"/>
    </row>
    <row r="38" spans="2:12" s="1" customFormat="1" x14ac:dyDescent="0.3">
      <c r="B38" s="1" t="s">
        <v>29</v>
      </c>
    </row>
    <row r="40" spans="2:12" x14ac:dyDescent="0.3">
      <c r="B40" s="61" t="s">
        <v>30</v>
      </c>
      <c r="C40" s="63" t="s">
        <v>31</v>
      </c>
      <c r="D40" s="64"/>
      <c r="E40" s="64"/>
      <c r="F40" s="64"/>
      <c r="G40" s="64"/>
      <c r="H40" s="64"/>
      <c r="I40" s="64"/>
      <c r="J40" s="64"/>
      <c r="K40" s="64"/>
      <c r="L40" s="64"/>
    </row>
    <row r="41" spans="2:12" x14ac:dyDescent="0.3">
      <c r="B41" s="59"/>
      <c r="C41" s="65" t="s">
        <v>5</v>
      </c>
      <c r="D41" s="59"/>
      <c r="E41" s="66" t="s">
        <v>6</v>
      </c>
      <c r="F41" s="59"/>
      <c r="G41" s="59"/>
      <c r="H41" s="65" t="s">
        <v>7</v>
      </c>
      <c r="I41" s="59"/>
      <c r="J41" s="66" t="s">
        <v>8</v>
      </c>
      <c r="K41" s="59"/>
      <c r="L41" s="59"/>
    </row>
    <row r="42" spans="2:12" x14ac:dyDescent="0.3">
      <c r="B42" s="62"/>
      <c r="C42" s="2" t="s">
        <v>9</v>
      </c>
      <c r="D42" s="2" t="s">
        <v>10</v>
      </c>
      <c r="E42" s="3" t="s">
        <v>11</v>
      </c>
      <c r="F42" s="3" t="s">
        <v>12</v>
      </c>
      <c r="G42" s="3" t="s">
        <v>13</v>
      </c>
      <c r="H42" s="2" t="s">
        <v>9</v>
      </c>
      <c r="I42" s="2" t="s">
        <v>10</v>
      </c>
      <c r="J42" s="3" t="s">
        <v>11</v>
      </c>
      <c r="K42" s="3" t="s">
        <v>12</v>
      </c>
      <c r="L42" s="3" t="s">
        <v>13</v>
      </c>
    </row>
    <row r="43" spans="2:12" x14ac:dyDescent="0.3">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3">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3">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3">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3">
      <c r="B47" t="s">
        <v>18</v>
      </c>
      <c r="C47" s="67" t="e">
        <f>'C2 lossyG,lossyA,interRA'!AZ47</f>
        <v>#NUM!</v>
      </c>
      <c r="D47" s="59"/>
      <c r="E47" s="59"/>
      <c r="F47" s="59"/>
      <c r="G47" s="59"/>
      <c r="H47" s="59"/>
      <c r="I47" s="59"/>
      <c r="J47" s="59"/>
      <c r="K47" s="59"/>
      <c r="L47" s="59"/>
    </row>
    <row r="48" spans="2:12" x14ac:dyDescent="0.3">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tabSelected="1" zoomScale="55" zoomScaleNormal="55" workbookViewId="0">
      <pane xSplit="2" ySplit="4" topLeftCell="D5" activePane="bottomRight" state="frozen"/>
      <selection pane="topRight" activeCell="C1" sqref="C1"/>
      <selection pane="bottomLeft" activeCell="A5" sqref="A5"/>
      <selection pane="bottomRight" activeCell="BC39" sqref="AN5:BC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3" t="s">
        <v>136</v>
      </c>
      <c r="B1" s="59"/>
      <c r="C1" s="59"/>
      <c r="D1" s="59"/>
      <c r="E1" s="59"/>
      <c r="F1" s="59"/>
      <c r="G1" s="59"/>
      <c r="I1" s="58" t="str">
        <f>Summary!$C$1</f>
        <v>Master+r7.0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3">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3">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32</v>
      </c>
      <c r="G5" s="10">
        <v>30</v>
      </c>
      <c r="I5" s="11">
        <f t="shared" ref="I5:I39" si="0">IF(OR(ISBLANK(S5),ISBLANK(G5)),"·",S5*G5/F5/1000000)</f>
        <v>2.1858974999999998</v>
      </c>
      <c r="J5" s="12">
        <f t="shared" ref="J5:J39" si="1">IF(ISBLANK(S5),"·",S5/D5)</f>
        <v>9.790717340746935E-3</v>
      </c>
      <c r="K5" s="12">
        <f t="shared" ref="K5:K39" si="2">IF(N5="","·",N5/D5)</f>
        <v>6.211103992753768E-3</v>
      </c>
      <c r="L5" s="12">
        <f t="shared" ref="L5:L39" si="3">IF(T5="","·",T5/D5)</f>
        <v>3.5272086067430685E-3</v>
      </c>
      <c r="M5" s="12">
        <f t="shared" ref="M5:M39" si="4">IF(ISBLANK(V5),"·",V5/D5)</f>
        <v>3.5796133479931679E-3</v>
      </c>
      <c r="N5" s="54">
        <f t="shared" ref="N5:N39" si="5">IF(OR(ISBLANK(T5),ISBLANK(U5)),"",T5+U5)</f>
        <v>1479152</v>
      </c>
      <c r="O5" s="12">
        <v>16</v>
      </c>
      <c r="P5" s="13">
        <v>21785839</v>
      </c>
      <c r="Q5" s="13">
        <v>680807.46875</v>
      </c>
      <c r="R5" s="13">
        <v>13493.8125</v>
      </c>
      <c r="S5" s="14">
        <v>2331624</v>
      </c>
      <c r="T5" s="14">
        <v>839992</v>
      </c>
      <c r="U5" s="14">
        <v>639160</v>
      </c>
      <c r="V5" s="14">
        <v>852472</v>
      </c>
      <c r="W5" s="15">
        <v>66.354628125000005</v>
      </c>
      <c r="X5" s="15">
        <v>68.478525000000005</v>
      </c>
      <c r="Y5" s="15">
        <v>32.109446875000003</v>
      </c>
      <c r="Z5" s="15">
        <v>44.148171875000003</v>
      </c>
      <c r="AA5" s="15">
        <v>43.839812500000001</v>
      </c>
      <c r="AB5" s="16">
        <v>2811.82</v>
      </c>
      <c r="AC5" s="16">
        <v>1198.49</v>
      </c>
      <c r="AD5" s="16">
        <v>6.2670000000000003</v>
      </c>
      <c r="AE5" s="16">
        <v>21.552</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3">
      <c r="A6" s="18"/>
      <c r="B6" s="18" t="s">
        <v>49</v>
      </c>
      <c r="C6" s="19" t="s">
        <v>231</v>
      </c>
      <c r="D6" s="18">
        <v>238146391</v>
      </c>
      <c r="E6" s="19">
        <v>10</v>
      </c>
      <c r="F6" s="19">
        <v>32</v>
      </c>
      <c r="G6" s="19">
        <v>30</v>
      </c>
      <c r="I6" s="20">
        <f t="shared" si="0"/>
        <v>3.4072650000000002</v>
      </c>
      <c r="J6" s="21">
        <f t="shared" si="1"/>
        <v>1.5261268435514523E-2</v>
      </c>
      <c r="K6" s="21">
        <f t="shared" si="2"/>
        <v>7.5753069043989841E-3</v>
      </c>
      <c r="L6" s="21">
        <f t="shared" si="3"/>
        <v>4.8914115183882837E-3</v>
      </c>
      <c r="M6" s="21">
        <f t="shared" si="4"/>
        <v>7.6859615311155394E-3</v>
      </c>
      <c r="N6" s="18">
        <f t="shared" si="5"/>
        <v>1804032</v>
      </c>
      <c r="O6" s="21">
        <v>16</v>
      </c>
      <c r="P6" s="22">
        <v>24191962</v>
      </c>
      <c r="Q6" s="22">
        <v>755998.8125</v>
      </c>
      <c r="R6" s="22">
        <v>19085.96875</v>
      </c>
      <c r="S6" s="23">
        <v>3634416</v>
      </c>
      <c r="T6" s="23">
        <v>1164872</v>
      </c>
      <c r="U6" s="23">
        <v>639160</v>
      </c>
      <c r="V6" s="23">
        <v>1830384</v>
      </c>
      <c r="W6" s="24">
        <v>68.255978124999999</v>
      </c>
      <c r="X6" s="24">
        <v>70.438459374999994</v>
      </c>
      <c r="Y6" s="24">
        <v>34.365984374999996</v>
      </c>
      <c r="Z6" s="24">
        <v>45.499918749999999</v>
      </c>
      <c r="AA6" s="24">
        <v>45.231668749999997</v>
      </c>
      <c r="AB6" s="25">
        <v>2801.62</v>
      </c>
      <c r="AC6" s="25">
        <v>1256.19</v>
      </c>
      <c r="AD6" s="25">
        <v>6.2370000000000001</v>
      </c>
      <c r="AE6" s="25">
        <v>21.053000000000001</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32</v>
      </c>
      <c r="G7" s="10">
        <v>30</v>
      </c>
      <c r="I7" s="11">
        <f t="shared" si="0"/>
        <v>5.5887525</v>
      </c>
      <c r="J7" s="12">
        <f t="shared" si="1"/>
        <v>2.5032233219944112E-2</v>
      </c>
      <c r="K7" s="12">
        <f t="shared" si="2"/>
        <v>9.522613340800113E-3</v>
      </c>
      <c r="L7" s="12">
        <f t="shared" si="3"/>
        <v>6.8387179547894136E-3</v>
      </c>
      <c r="M7" s="12">
        <f t="shared" si="4"/>
        <v>1.5509619879144001E-2</v>
      </c>
      <c r="N7" s="54">
        <f t="shared" si="5"/>
        <v>2267776</v>
      </c>
      <c r="O7" s="12">
        <v>16</v>
      </c>
      <c r="P7" s="13">
        <v>24808216</v>
      </c>
      <c r="Q7" s="13">
        <v>775256.75</v>
      </c>
      <c r="R7" s="13">
        <v>20954.78125</v>
      </c>
      <c r="S7" s="14">
        <v>5961336</v>
      </c>
      <c r="T7" s="14">
        <v>1628616</v>
      </c>
      <c r="U7" s="14">
        <v>639160</v>
      </c>
      <c r="V7" s="14">
        <v>3693560</v>
      </c>
      <c r="W7" s="15">
        <v>69.683724999999995</v>
      </c>
      <c r="X7" s="15">
        <v>72.129403124999996</v>
      </c>
      <c r="Y7" s="15">
        <v>36.915784375000001</v>
      </c>
      <c r="Z7" s="15">
        <v>46.579393750000001</v>
      </c>
      <c r="AA7" s="15">
        <v>46.454928125000002</v>
      </c>
      <c r="AB7" s="16">
        <v>2811.4</v>
      </c>
      <c r="AC7" s="16">
        <v>1319</v>
      </c>
      <c r="AD7" s="16">
        <v>6.2530000000000001</v>
      </c>
      <c r="AE7" s="16">
        <v>21.295999999999999</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32</v>
      </c>
      <c r="G8" s="19">
        <v>30</v>
      </c>
      <c r="I8" s="20">
        <f t="shared" si="0"/>
        <v>9.4696274999999996</v>
      </c>
      <c r="J8" s="21">
        <f t="shared" si="1"/>
        <v>4.2414818707036381E-2</v>
      </c>
      <c r="K8" s="21">
        <f t="shared" si="2"/>
        <v>1.2784640519704538E-2</v>
      </c>
      <c r="L8" s="21">
        <f t="shared" si="3"/>
        <v>1.0100745133693839E-2</v>
      </c>
      <c r="M8" s="21">
        <f t="shared" si="4"/>
        <v>2.9630178187331841E-2</v>
      </c>
      <c r="N8" s="18">
        <f t="shared" si="5"/>
        <v>3044616</v>
      </c>
      <c r="O8" s="21">
        <v>16</v>
      </c>
      <c r="P8" s="22">
        <v>25797809</v>
      </c>
      <c r="Q8" s="22">
        <v>806181.53125</v>
      </c>
      <c r="R8" s="22">
        <v>24199.8125</v>
      </c>
      <c r="S8" s="23">
        <v>10100936</v>
      </c>
      <c r="T8" s="23">
        <v>2405456</v>
      </c>
      <c r="U8" s="23">
        <v>639160</v>
      </c>
      <c r="V8" s="23">
        <v>7056320</v>
      </c>
      <c r="W8" s="24">
        <v>70.836840624999994</v>
      </c>
      <c r="X8" s="24">
        <v>73.406981250000001</v>
      </c>
      <c r="Y8" s="24">
        <v>39.549353125000003</v>
      </c>
      <c r="Z8" s="24">
        <v>47.886118750000001</v>
      </c>
      <c r="AA8" s="24">
        <v>47.95035</v>
      </c>
      <c r="AB8" s="25">
        <v>2808.9</v>
      </c>
      <c r="AC8" s="25">
        <v>1400.63</v>
      </c>
      <c r="AD8" s="25">
        <v>6.3579999999999997</v>
      </c>
      <c r="AE8" s="25">
        <v>22.01</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32</v>
      </c>
      <c r="G9" s="28">
        <v>30</v>
      </c>
      <c r="I9" s="29">
        <f t="shared" si="0"/>
        <v>16.897575</v>
      </c>
      <c r="J9" s="30">
        <f t="shared" si="1"/>
        <v>7.5684875694799009E-2</v>
      </c>
      <c r="K9" s="30">
        <f t="shared" si="2"/>
        <v>2.068986214449918E-2</v>
      </c>
      <c r="L9" s="30">
        <f t="shared" si="3"/>
        <v>1.5547781280464586E-2</v>
      </c>
      <c r="M9" s="30">
        <f t="shared" si="4"/>
        <v>5.4995013550299822E-2</v>
      </c>
      <c r="N9" s="27">
        <f t="shared" si="5"/>
        <v>4927216</v>
      </c>
      <c r="O9" s="30">
        <v>16</v>
      </c>
      <c r="P9" s="31">
        <v>24868389</v>
      </c>
      <c r="Q9" s="31">
        <v>777137.15625</v>
      </c>
      <c r="R9" s="31">
        <v>10635.96875</v>
      </c>
      <c r="S9" s="32">
        <v>18024080</v>
      </c>
      <c r="T9" s="32">
        <v>3702648</v>
      </c>
      <c r="U9" s="32">
        <v>1224568</v>
      </c>
      <c r="V9" s="32">
        <v>13096864</v>
      </c>
      <c r="W9" s="33">
        <v>71.945243750000003</v>
      </c>
      <c r="X9" s="33">
        <v>75.319240625000006</v>
      </c>
      <c r="Y9" s="33">
        <v>42.14968125</v>
      </c>
      <c r="Z9" s="33">
        <v>49.42193125</v>
      </c>
      <c r="AA9" s="33">
        <v>49.547406250000002</v>
      </c>
      <c r="AB9" s="34">
        <v>2806.03</v>
      </c>
      <c r="AC9" s="34">
        <v>1543.46</v>
      </c>
      <c r="AD9" s="34">
        <v>6.1970000000000001</v>
      </c>
      <c r="AE9" s="34">
        <v>22.631</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3.2135775</v>
      </c>
      <c r="J10" s="21">
        <f t="shared" si="1"/>
        <v>1.5715186510812183E-2</v>
      </c>
      <c r="K10" s="21">
        <f t="shared" si="2"/>
        <v>8.1856126603203558E-3</v>
      </c>
      <c r="L10" s="21">
        <f t="shared" si="3"/>
        <v>4.2806284772576161E-3</v>
      </c>
      <c r="M10" s="21">
        <f t="shared" si="4"/>
        <v>7.5295738504918283E-3</v>
      </c>
      <c r="N10" s="18">
        <f t="shared" si="5"/>
        <v>1785456</v>
      </c>
      <c r="O10" s="21">
        <v>16</v>
      </c>
      <c r="P10" s="22">
        <v>20666971</v>
      </c>
      <c r="Q10" s="22">
        <v>645842.84375</v>
      </c>
      <c r="R10" s="22">
        <v>18163.46875</v>
      </c>
      <c r="S10" s="23">
        <v>3427816</v>
      </c>
      <c r="T10" s="23">
        <v>933696</v>
      </c>
      <c r="U10" s="23">
        <v>851760</v>
      </c>
      <c r="V10" s="23">
        <v>1642360</v>
      </c>
      <c r="W10" s="24">
        <v>65.904412500000007</v>
      </c>
      <c r="X10" s="24">
        <v>67.822759375000004</v>
      </c>
      <c r="Y10" s="24">
        <v>32.384371874999999</v>
      </c>
      <c r="Z10" s="24">
        <v>39.164465624999998</v>
      </c>
      <c r="AA10" s="24">
        <v>32.081006250000002</v>
      </c>
      <c r="AB10" s="25">
        <v>2572.59</v>
      </c>
      <c r="AC10" s="25">
        <v>1271.3900000000001</v>
      </c>
      <c r="AD10" s="25">
        <v>6.069</v>
      </c>
      <c r="AE10" s="25">
        <v>23.152999999999999</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3">
      <c r="A11" s="54"/>
      <c r="B11" s="54" t="s">
        <v>57</v>
      </c>
      <c r="C11" s="10" t="s">
        <v>231</v>
      </c>
      <c r="D11" s="54">
        <v>218121242</v>
      </c>
      <c r="E11" s="10">
        <v>10</v>
      </c>
      <c r="F11" s="10">
        <v>32</v>
      </c>
      <c r="G11" s="10">
        <v>30</v>
      </c>
      <c r="I11" s="11">
        <f t="shared" si="0"/>
        <v>4.6348349999999998</v>
      </c>
      <c r="J11" s="12">
        <f t="shared" si="1"/>
        <v>2.2665486197809198E-2</v>
      </c>
      <c r="K11" s="12">
        <f t="shared" si="2"/>
        <v>9.9355385111918621E-3</v>
      </c>
      <c r="L11" s="12">
        <f t="shared" si="3"/>
        <v>6.0305543281291233E-3</v>
      </c>
      <c r="M11" s="12">
        <f t="shared" si="4"/>
        <v>1.2729947686617336E-2</v>
      </c>
      <c r="N11" s="54">
        <f t="shared" si="5"/>
        <v>2167152</v>
      </c>
      <c r="O11" s="12">
        <v>16</v>
      </c>
      <c r="P11" s="13">
        <v>22097663</v>
      </c>
      <c r="Q11" s="13">
        <v>690551.96875</v>
      </c>
      <c r="R11" s="13">
        <v>22957.28125</v>
      </c>
      <c r="S11" s="14">
        <v>4943824</v>
      </c>
      <c r="T11" s="14">
        <v>1315392</v>
      </c>
      <c r="U11" s="14">
        <v>851760</v>
      </c>
      <c r="V11" s="14">
        <v>2776672</v>
      </c>
      <c r="W11" s="15">
        <v>67.607918749999996</v>
      </c>
      <c r="X11" s="15">
        <v>69.699943750000003</v>
      </c>
      <c r="Y11" s="15">
        <v>34.252084375000003</v>
      </c>
      <c r="Z11" s="15">
        <v>40.021503125000002</v>
      </c>
      <c r="AA11" s="15">
        <v>33.864340624999997</v>
      </c>
      <c r="AB11" s="16">
        <v>2572.83</v>
      </c>
      <c r="AC11" s="16">
        <v>1327.68</v>
      </c>
      <c r="AD11" s="16">
        <v>6.3689999999999998</v>
      </c>
      <c r="AE11" s="16">
        <v>23.81</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32</v>
      </c>
      <c r="G12" s="19">
        <v>30</v>
      </c>
      <c r="I12" s="20">
        <f t="shared" si="0"/>
        <v>7.1531174999999996</v>
      </c>
      <c r="J12" s="21">
        <f t="shared" si="1"/>
        <v>3.4980508684248186E-2</v>
      </c>
      <c r="K12" s="21">
        <f t="shared" si="2"/>
        <v>1.2619110246951556E-2</v>
      </c>
      <c r="L12" s="21">
        <f t="shared" si="3"/>
        <v>8.714126063888817E-3</v>
      </c>
      <c r="M12" s="21">
        <f t="shared" si="4"/>
        <v>2.2361398437296631E-2</v>
      </c>
      <c r="N12" s="18">
        <f t="shared" si="5"/>
        <v>2752496</v>
      </c>
      <c r="O12" s="21">
        <v>16</v>
      </c>
      <c r="P12" s="22">
        <v>22510846</v>
      </c>
      <c r="Q12" s="22">
        <v>703463.9375</v>
      </c>
      <c r="R12" s="22">
        <v>24709.6875</v>
      </c>
      <c r="S12" s="23">
        <v>7629992</v>
      </c>
      <c r="T12" s="23">
        <v>1900736</v>
      </c>
      <c r="U12" s="23">
        <v>851760</v>
      </c>
      <c r="V12" s="23">
        <v>4877496</v>
      </c>
      <c r="W12" s="24">
        <v>68.956062500000002</v>
      </c>
      <c r="X12" s="24">
        <v>71.331965624999995</v>
      </c>
      <c r="Y12" s="24">
        <v>36.354259374999998</v>
      </c>
      <c r="Z12" s="24">
        <v>40.927831249999997</v>
      </c>
      <c r="AA12" s="24">
        <v>35.635178125000003</v>
      </c>
      <c r="AB12" s="25">
        <v>2561.7399999999998</v>
      </c>
      <c r="AC12" s="25">
        <v>1382.9</v>
      </c>
      <c r="AD12" s="25">
        <v>6.0659999999999998</v>
      </c>
      <c r="AE12" s="25">
        <v>23.172999999999998</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32</v>
      </c>
      <c r="G13" s="10">
        <v>30</v>
      </c>
      <c r="I13" s="11">
        <f t="shared" si="0"/>
        <v>12.072022499999999</v>
      </c>
      <c r="J13" s="12">
        <f t="shared" si="1"/>
        <v>5.9035167239695069E-2</v>
      </c>
      <c r="K13" s="12">
        <f t="shared" si="2"/>
        <v>1.730054333726928E-2</v>
      </c>
      <c r="L13" s="12">
        <f t="shared" si="3"/>
        <v>1.3395559154206539E-2</v>
      </c>
      <c r="M13" s="12">
        <f t="shared" si="4"/>
        <v>4.1734623902425792E-2</v>
      </c>
      <c r="N13" s="54">
        <f t="shared" si="5"/>
        <v>3773616</v>
      </c>
      <c r="O13" s="12">
        <v>16</v>
      </c>
      <c r="P13" s="13">
        <v>23291739</v>
      </c>
      <c r="Q13" s="13">
        <v>727866.84375</v>
      </c>
      <c r="R13" s="13">
        <v>28062.03125</v>
      </c>
      <c r="S13" s="14">
        <v>12876824</v>
      </c>
      <c r="T13" s="14">
        <v>2921856</v>
      </c>
      <c r="U13" s="14">
        <v>851760</v>
      </c>
      <c r="V13" s="14">
        <v>9103208</v>
      </c>
      <c r="W13" s="15">
        <v>70.072275000000005</v>
      </c>
      <c r="X13" s="15">
        <v>72.590206249999994</v>
      </c>
      <c r="Y13" s="15">
        <v>38.689725000000003</v>
      </c>
      <c r="Z13" s="15">
        <v>42.113684374999998</v>
      </c>
      <c r="AA13" s="15">
        <v>37.693637500000001</v>
      </c>
      <c r="AB13" s="16">
        <v>2563.42</v>
      </c>
      <c r="AC13" s="16">
        <v>1490.85</v>
      </c>
      <c r="AD13" s="16">
        <v>6.1390000000000002</v>
      </c>
      <c r="AE13" s="16">
        <v>24.062999999999999</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32</v>
      </c>
      <c r="G14" s="38">
        <v>30</v>
      </c>
      <c r="I14" s="39">
        <f t="shared" si="0"/>
        <v>21.625042499999999</v>
      </c>
      <c r="J14" s="40">
        <f t="shared" si="1"/>
        <v>0.105751791015384</v>
      </c>
      <c r="K14" s="40">
        <f t="shared" si="2"/>
        <v>2.838032620408424E-2</v>
      </c>
      <c r="L14" s="40">
        <f t="shared" si="3"/>
        <v>2.1154363315059429E-2</v>
      </c>
      <c r="M14" s="40">
        <f t="shared" si="4"/>
        <v>7.7371464811299764E-2</v>
      </c>
      <c r="N14" s="37">
        <f t="shared" si="5"/>
        <v>6190352</v>
      </c>
      <c r="O14" s="40">
        <v>16</v>
      </c>
      <c r="P14" s="41">
        <v>22124056</v>
      </c>
      <c r="Q14" s="41">
        <v>691376.75</v>
      </c>
      <c r="R14" s="41">
        <v>13278.71875</v>
      </c>
      <c r="S14" s="42">
        <v>23066712</v>
      </c>
      <c r="T14" s="42">
        <v>4614216</v>
      </c>
      <c r="U14" s="42">
        <v>1576136</v>
      </c>
      <c r="V14" s="42">
        <v>16876360</v>
      </c>
      <c r="W14" s="43">
        <v>70.923046874999997</v>
      </c>
      <c r="X14" s="43">
        <v>74.675603124999995</v>
      </c>
      <c r="Y14" s="43">
        <v>40.970318749999997</v>
      </c>
      <c r="Z14" s="43">
        <v>43.413924999999999</v>
      </c>
      <c r="AA14" s="43">
        <v>39.478603124999999</v>
      </c>
      <c r="AB14" s="44">
        <v>2561.87</v>
      </c>
      <c r="AC14" s="44">
        <v>1652.88</v>
      </c>
      <c r="AD14" s="44">
        <v>5.8040000000000003</v>
      </c>
      <c r="AE14" s="44">
        <v>24.513999999999999</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32</v>
      </c>
      <c r="G15" s="10">
        <v>30</v>
      </c>
      <c r="I15" s="11">
        <f t="shared" si="0"/>
        <v>4.4315024999999997</v>
      </c>
      <c r="J15" s="12">
        <f t="shared" si="1"/>
        <v>1.4653090106062406E-2</v>
      </c>
      <c r="K15" s="12">
        <f t="shared" si="2"/>
        <v>8.3179096131350792E-3</v>
      </c>
      <c r="L15" s="12">
        <f t="shared" si="3"/>
        <v>4.3923534521734149E-3</v>
      </c>
      <c r="M15" s="12">
        <f t="shared" si="4"/>
        <v>6.3351804929273258E-3</v>
      </c>
      <c r="N15" s="54">
        <f t="shared" si="5"/>
        <v>2683272</v>
      </c>
      <c r="O15" s="12">
        <v>16</v>
      </c>
      <c r="P15" s="13">
        <v>31086837</v>
      </c>
      <c r="Q15" s="13">
        <v>971463.65625</v>
      </c>
      <c r="R15" s="13">
        <v>27944.21875</v>
      </c>
      <c r="S15" s="14">
        <v>4726936</v>
      </c>
      <c r="T15" s="14">
        <v>1416928</v>
      </c>
      <c r="U15" s="14">
        <v>1266344</v>
      </c>
      <c r="V15" s="14">
        <v>2043664</v>
      </c>
      <c r="W15" s="15">
        <v>65.923106250000004</v>
      </c>
      <c r="X15" s="15">
        <v>67.661793750000001</v>
      </c>
      <c r="Y15" s="15">
        <v>29.416059375</v>
      </c>
      <c r="Z15" s="15">
        <v>43.123156250000001</v>
      </c>
      <c r="AA15" s="15">
        <v>43.328384374999999</v>
      </c>
      <c r="AB15" s="16">
        <v>3689.64</v>
      </c>
      <c r="AC15" s="16">
        <v>1222.99</v>
      </c>
      <c r="AD15" s="16">
        <v>7.383</v>
      </c>
      <c r="AE15" s="16">
        <v>20.687000000000001</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32</v>
      </c>
      <c r="G16" s="19">
        <v>30</v>
      </c>
      <c r="I16" s="20">
        <f t="shared" si="0"/>
        <v>7.0332074999999996</v>
      </c>
      <c r="J16" s="21">
        <f t="shared" si="1"/>
        <v>2.3255819720768272E-2</v>
      </c>
      <c r="K16" s="21">
        <f t="shared" si="2"/>
        <v>1.0123298913470592E-2</v>
      </c>
      <c r="L16" s="21">
        <f t="shared" si="3"/>
        <v>6.1977427525089267E-3</v>
      </c>
      <c r="M16" s="21">
        <f t="shared" si="4"/>
        <v>1.3132520807297682E-2</v>
      </c>
      <c r="N16" s="18">
        <f t="shared" si="5"/>
        <v>3265672</v>
      </c>
      <c r="O16" s="21">
        <v>16</v>
      </c>
      <c r="P16" s="22">
        <v>33185472</v>
      </c>
      <c r="Q16" s="22">
        <v>1037046</v>
      </c>
      <c r="R16" s="22">
        <v>34748.59375</v>
      </c>
      <c r="S16" s="23">
        <v>7502088</v>
      </c>
      <c r="T16" s="23">
        <v>1999328</v>
      </c>
      <c r="U16" s="23">
        <v>1266344</v>
      </c>
      <c r="V16" s="23">
        <v>4236416</v>
      </c>
      <c r="W16" s="24">
        <v>67.712850000000003</v>
      </c>
      <c r="X16" s="24">
        <v>69.741403125000005</v>
      </c>
      <c r="Y16" s="24">
        <v>31.814990625</v>
      </c>
      <c r="Z16" s="24">
        <v>43.952409375000002</v>
      </c>
      <c r="AA16" s="24">
        <v>44.252962500000002</v>
      </c>
      <c r="AB16" s="25">
        <v>3695.86</v>
      </c>
      <c r="AC16" s="25">
        <v>1291.74</v>
      </c>
      <c r="AD16" s="25">
        <v>7.73</v>
      </c>
      <c r="AE16" s="25">
        <v>21.268999999999998</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32</v>
      </c>
      <c r="G17" s="10">
        <v>30</v>
      </c>
      <c r="I17" s="11">
        <f t="shared" si="0"/>
        <v>11.735175</v>
      </c>
      <c r="J17" s="12">
        <f t="shared" si="1"/>
        <v>3.8803222312389737E-2</v>
      </c>
      <c r="K17" s="12">
        <f t="shared" si="2"/>
        <v>1.2882643024465529E-2</v>
      </c>
      <c r="L17" s="12">
        <f t="shared" si="3"/>
        <v>8.9570868635038652E-3</v>
      </c>
      <c r="M17" s="12">
        <f t="shared" si="4"/>
        <v>2.5920579287924204E-2</v>
      </c>
      <c r="N17" s="54">
        <f t="shared" si="5"/>
        <v>4155808</v>
      </c>
      <c r="O17" s="12">
        <v>16</v>
      </c>
      <c r="P17" s="13">
        <v>33604345</v>
      </c>
      <c r="Q17" s="13">
        <v>1050135.78125</v>
      </c>
      <c r="R17" s="13">
        <v>36572.96875</v>
      </c>
      <c r="S17" s="14">
        <v>12517520</v>
      </c>
      <c r="T17" s="14">
        <v>2889464</v>
      </c>
      <c r="U17" s="14">
        <v>1266344</v>
      </c>
      <c r="V17" s="14">
        <v>8361712</v>
      </c>
      <c r="W17" s="15">
        <v>69.134437500000004</v>
      </c>
      <c r="X17" s="15">
        <v>71.597096875000005</v>
      </c>
      <c r="Y17" s="15">
        <v>34.361643749999999</v>
      </c>
      <c r="Z17" s="15">
        <v>44.795584374999997</v>
      </c>
      <c r="AA17" s="15">
        <v>45.197471874999998</v>
      </c>
      <c r="AB17" s="16">
        <v>3684.6</v>
      </c>
      <c r="AC17" s="16">
        <v>1400.12</v>
      </c>
      <c r="AD17" s="16">
        <v>7.9720000000000004</v>
      </c>
      <c r="AE17" s="16">
        <v>22.571999999999999</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32</v>
      </c>
      <c r="G18" s="19">
        <v>30</v>
      </c>
      <c r="I18" s="20">
        <f t="shared" si="0"/>
        <v>20.320822499999998</v>
      </c>
      <c r="J18" s="21">
        <f t="shared" si="1"/>
        <v>6.7192299478969111E-2</v>
      </c>
      <c r="K18" s="21">
        <f t="shared" si="2"/>
        <v>1.7385626169891647E-2</v>
      </c>
      <c r="L18" s="21">
        <f t="shared" si="3"/>
        <v>1.3460070008929981E-2</v>
      </c>
      <c r="M18" s="21">
        <f t="shared" si="4"/>
        <v>4.9806673309077468E-2</v>
      </c>
      <c r="N18" s="18">
        <f t="shared" si="5"/>
        <v>5608424</v>
      </c>
      <c r="O18" s="21">
        <v>16</v>
      </c>
      <c r="P18" s="22">
        <v>34799418</v>
      </c>
      <c r="Q18" s="22">
        <v>1087481.8125</v>
      </c>
      <c r="R18" s="22">
        <v>40860.15625</v>
      </c>
      <c r="S18" s="23">
        <v>21675544</v>
      </c>
      <c r="T18" s="23">
        <v>4342080</v>
      </c>
      <c r="U18" s="23">
        <v>1266344</v>
      </c>
      <c r="V18" s="23">
        <v>16067120</v>
      </c>
      <c r="W18" s="24">
        <v>70.372874999999993</v>
      </c>
      <c r="X18" s="24">
        <v>72.951281249999994</v>
      </c>
      <c r="Y18" s="24">
        <v>37.068993749999997</v>
      </c>
      <c r="Z18" s="24">
        <v>46.119856249999998</v>
      </c>
      <c r="AA18" s="24">
        <v>46.648406250000001</v>
      </c>
      <c r="AB18" s="25">
        <v>3685.37</v>
      </c>
      <c r="AC18" s="25">
        <v>1545.99</v>
      </c>
      <c r="AD18" s="25">
        <v>8.5619999999999994</v>
      </c>
      <c r="AE18" s="25">
        <v>23.481000000000002</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32</v>
      </c>
      <c r="G19" s="28">
        <v>30</v>
      </c>
      <c r="I19" s="29">
        <f t="shared" si="0"/>
        <v>35.963302499999998</v>
      </c>
      <c r="J19" s="30">
        <f t="shared" si="1"/>
        <v>0.11891531417258128</v>
      </c>
      <c r="K19" s="30">
        <f t="shared" si="2"/>
        <v>2.7855396153623056E-2</v>
      </c>
      <c r="L19" s="30">
        <f t="shared" si="3"/>
        <v>2.0647974555319349E-2</v>
      </c>
      <c r="M19" s="30">
        <f t="shared" si="4"/>
        <v>9.1059918018958227E-2</v>
      </c>
      <c r="N19" s="27">
        <f t="shared" si="5"/>
        <v>8985864</v>
      </c>
      <c r="O19" s="30">
        <v>16</v>
      </c>
      <c r="P19" s="31">
        <v>33039030</v>
      </c>
      <c r="Q19" s="31">
        <v>1032469.6875</v>
      </c>
      <c r="R19" s="31">
        <v>17754.53125</v>
      </c>
      <c r="S19" s="32">
        <v>38360856</v>
      </c>
      <c r="T19" s="32">
        <v>6660824</v>
      </c>
      <c r="U19" s="32">
        <v>2325040</v>
      </c>
      <c r="V19" s="32">
        <v>29374992</v>
      </c>
      <c r="W19" s="33">
        <v>71.149228124999993</v>
      </c>
      <c r="X19" s="33">
        <v>75.004365625000005</v>
      </c>
      <c r="Y19" s="33">
        <v>39.554531249999997</v>
      </c>
      <c r="Z19" s="33">
        <v>47.858968750000003</v>
      </c>
      <c r="AA19" s="33">
        <v>48.457106250000002</v>
      </c>
      <c r="AB19" s="34">
        <v>4430.3900000000003</v>
      </c>
      <c r="AC19" s="34">
        <v>2553.42</v>
      </c>
      <c r="AD19" s="34">
        <v>10.242000000000001</v>
      </c>
      <c r="AE19" s="34">
        <v>32.979999999999997</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5.1864875000000001</v>
      </c>
      <c r="J20" s="21">
        <f t="shared" si="1"/>
        <v>1.3245465711726367E-2</v>
      </c>
      <c r="K20" s="21">
        <f t="shared" si="2"/>
        <v>7.7059286598573197E-3</v>
      </c>
      <c r="L20" s="21">
        <f t="shared" si="3"/>
        <v>3.7835477324960308E-3</v>
      </c>
      <c r="M20" s="21">
        <f t="shared" si="4"/>
        <v>5.5395370518690461E-3</v>
      </c>
      <c r="N20" s="18">
        <f t="shared" si="5"/>
        <v>1931128</v>
      </c>
      <c r="O20" s="21">
        <v>16</v>
      </c>
      <c r="P20" s="22">
        <v>30274532</v>
      </c>
      <c r="Q20" s="22">
        <v>946079.125</v>
      </c>
      <c r="R20" s="22">
        <v>27842.25</v>
      </c>
      <c r="S20" s="23">
        <v>3319352</v>
      </c>
      <c r="T20" s="23">
        <v>948168</v>
      </c>
      <c r="U20" s="23">
        <v>982960</v>
      </c>
      <c r="V20" s="23">
        <v>1388224</v>
      </c>
      <c r="W20" s="24">
        <v>67.105800000000002</v>
      </c>
      <c r="X20" s="24">
        <v>68.817099999999996</v>
      </c>
      <c r="Y20" s="24">
        <v>30.70466875</v>
      </c>
      <c r="Z20" s="24">
        <v>39.516743750000003</v>
      </c>
      <c r="AA20" s="24">
        <v>38.250818750000001</v>
      </c>
      <c r="AB20" s="25">
        <v>4212.41</v>
      </c>
      <c r="AC20" s="25">
        <v>1902.02</v>
      </c>
      <c r="AD20" s="25">
        <v>9.3079999999999998</v>
      </c>
      <c r="AE20" s="25">
        <v>32.075000000000003</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3">
      <c r="A21" s="54"/>
      <c r="B21" s="54" t="s">
        <v>68</v>
      </c>
      <c r="C21" s="10" t="s">
        <v>231</v>
      </c>
      <c r="D21" s="54">
        <v>250602891</v>
      </c>
      <c r="E21" s="10">
        <v>10</v>
      </c>
      <c r="F21" s="10">
        <v>32</v>
      </c>
      <c r="G21" s="10">
        <v>50</v>
      </c>
      <c r="I21" s="11">
        <f t="shared" si="0"/>
        <v>7.7664</v>
      </c>
      <c r="J21" s="12">
        <f t="shared" si="1"/>
        <v>1.9834152671447034E-2</v>
      </c>
      <c r="K21" s="12">
        <f t="shared" si="2"/>
        <v>9.149295887412567E-3</v>
      </c>
      <c r="L21" s="12">
        <f t="shared" si="3"/>
        <v>5.226914960051279E-3</v>
      </c>
      <c r="M21" s="12">
        <f t="shared" si="4"/>
        <v>1.0684856784034467E-2</v>
      </c>
      <c r="N21" s="54">
        <f t="shared" si="5"/>
        <v>2292840</v>
      </c>
      <c r="O21" s="12">
        <v>16</v>
      </c>
      <c r="P21" s="13">
        <v>31505484</v>
      </c>
      <c r="Q21" s="13">
        <v>984546.375</v>
      </c>
      <c r="R21" s="13">
        <v>33029.375</v>
      </c>
      <c r="S21" s="14">
        <v>4970496</v>
      </c>
      <c r="T21" s="14">
        <v>1309880</v>
      </c>
      <c r="U21" s="14">
        <v>982960</v>
      </c>
      <c r="V21" s="14">
        <v>2677656</v>
      </c>
      <c r="W21" s="15">
        <v>68.686528124999995</v>
      </c>
      <c r="X21" s="15">
        <v>70.761815624999997</v>
      </c>
      <c r="Y21" s="15">
        <v>32.563856250000001</v>
      </c>
      <c r="Z21" s="15">
        <v>40.663400000000003</v>
      </c>
      <c r="AA21" s="15">
        <v>39.598671875000001</v>
      </c>
      <c r="AB21" s="16">
        <v>4314.9399999999996</v>
      </c>
      <c r="AC21" s="16">
        <v>2022.62</v>
      </c>
      <c r="AD21" s="16">
        <v>9.5210000000000008</v>
      </c>
      <c r="AE21" s="16">
        <v>31.864000000000001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32</v>
      </c>
      <c r="G22" s="19">
        <v>50</v>
      </c>
      <c r="I22" s="20">
        <f t="shared" si="0"/>
        <v>12.712025000000001</v>
      </c>
      <c r="J22" s="21">
        <f t="shared" si="1"/>
        <v>3.2464493795484585E-2</v>
      </c>
      <c r="K22" s="21">
        <f t="shared" si="2"/>
        <v>1.1394345805851058E-2</v>
      </c>
      <c r="L22" s="21">
        <f t="shared" si="3"/>
        <v>7.4719648784897699E-3</v>
      </c>
      <c r="M22" s="21">
        <f t="shared" si="4"/>
        <v>2.1070147989633529E-2</v>
      </c>
      <c r="N22" s="18">
        <f t="shared" si="5"/>
        <v>2855456</v>
      </c>
      <c r="O22" s="21">
        <v>16</v>
      </c>
      <c r="P22" s="22">
        <v>32735750</v>
      </c>
      <c r="Q22" s="22">
        <v>1022992.1875</v>
      </c>
      <c r="R22" s="22">
        <v>35066.4375</v>
      </c>
      <c r="S22" s="23">
        <v>8135696</v>
      </c>
      <c r="T22" s="23">
        <v>1872496</v>
      </c>
      <c r="U22" s="23">
        <v>982960</v>
      </c>
      <c r="V22" s="23">
        <v>5280240</v>
      </c>
      <c r="W22" s="24">
        <v>69.861821875000004</v>
      </c>
      <c r="X22" s="24">
        <v>72.258756250000005</v>
      </c>
      <c r="Y22" s="24">
        <v>34.406353125000003</v>
      </c>
      <c r="Z22" s="24">
        <v>41.679393750000003</v>
      </c>
      <c r="AA22" s="24">
        <v>40.627628125000001</v>
      </c>
      <c r="AB22" s="25">
        <v>4292.8100000000004</v>
      </c>
      <c r="AC22" s="25">
        <v>2120.9</v>
      </c>
      <c r="AD22" s="25">
        <v>9.7360000000000007</v>
      </c>
      <c r="AE22" s="25">
        <v>33.723999999999997</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32</v>
      </c>
      <c r="G23" s="10">
        <v>50</v>
      </c>
      <c r="I23" s="11">
        <f t="shared" si="0"/>
        <v>22.567150000000002</v>
      </c>
      <c r="J23" s="12">
        <f t="shared" si="1"/>
        <v>5.7632918528461828E-2</v>
      </c>
      <c r="K23" s="12">
        <f t="shared" si="2"/>
        <v>1.532240902999E-2</v>
      </c>
      <c r="L23" s="12">
        <f t="shared" si="3"/>
        <v>1.1400028102628712E-2</v>
      </c>
      <c r="M23" s="12">
        <f t="shared" si="4"/>
        <v>4.2310509498471829E-2</v>
      </c>
      <c r="N23" s="54">
        <f t="shared" si="5"/>
        <v>3839840</v>
      </c>
      <c r="O23" s="12">
        <v>16</v>
      </c>
      <c r="P23" s="13">
        <v>32798890</v>
      </c>
      <c r="Q23" s="13">
        <v>1024965.3125</v>
      </c>
      <c r="R23" s="13">
        <v>36962.65625</v>
      </c>
      <c r="S23" s="14">
        <v>14442976</v>
      </c>
      <c r="T23" s="14">
        <v>2856880</v>
      </c>
      <c r="U23" s="14">
        <v>982960</v>
      </c>
      <c r="V23" s="14">
        <v>10603136</v>
      </c>
      <c r="W23" s="15">
        <v>70.888134375000007</v>
      </c>
      <c r="X23" s="15">
        <v>73.610840624999994</v>
      </c>
      <c r="Y23" s="15">
        <v>35.93786875</v>
      </c>
      <c r="Z23" s="15">
        <v>42.840609375</v>
      </c>
      <c r="AA23" s="15">
        <v>41.69013125</v>
      </c>
      <c r="AB23" s="16">
        <v>4237.8999999999996</v>
      </c>
      <c r="AC23" s="16">
        <v>2298.09</v>
      </c>
      <c r="AD23" s="16">
        <v>9.4719999999999995</v>
      </c>
      <c r="AE23" s="16">
        <v>32.183</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32</v>
      </c>
      <c r="G24" s="38">
        <v>50</v>
      </c>
      <c r="I24" s="39">
        <f t="shared" si="0"/>
        <v>39.617637500000001</v>
      </c>
      <c r="J24" s="40">
        <f t="shared" si="1"/>
        <v>0.10117715681101221</v>
      </c>
      <c r="K24" s="40">
        <f t="shared" si="2"/>
        <v>2.5344895163240556E-2</v>
      </c>
      <c r="L24" s="40">
        <f t="shared" si="3"/>
        <v>1.7906609066213844E-2</v>
      </c>
      <c r="M24" s="40">
        <f t="shared" si="4"/>
        <v>7.5832261647771654E-2</v>
      </c>
      <c r="N24" s="37">
        <f t="shared" si="5"/>
        <v>6351504</v>
      </c>
      <c r="O24" s="40">
        <v>16</v>
      </c>
      <c r="P24" s="41">
        <v>31426902</v>
      </c>
      <c r="Q24" s="41">
        <v>982090.6875</v>
      </c>
      <c r="R24" s="41">
        <v>18270.09375</v>
      </c>
      <c r="S24" s="42">
        <v>25355288</v>
      </c>
      <c r="T24" s="42">
        <v>4487448</v>
      </c>
      <c r="U24" s="42">
        <v>1864056</v>
      </c>
      <c r="V24" s="42">
        <v>19003784</v>
      </c>
      <c r="W24" s="43">
        <v>71.730803124999994</v>
      </c>
      <c r="X24" s="43">
        <v>75.625753125000003</v>
      </c>
      <c r="Y24" s="43">
        <v>37.229371874999998</v>
      </c>
      <c r="Z24" s="43">
        <v>43.646537500000001</v>
      </c>
      <c r="AA24" s="43">
        <v>42.206934375000003</v>
      </c>
      <c r="AB24" s="44">
        <v>4220.28</v>
      </c>
      <c r="AC24" s="44">
        <v>2543.31</v>
      </c>
      <c r="AD24" s="44">
        <v>9.1460000000000008</v>
      </c>
      <c r="AE24" s="44">
        <v>35.872</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32</v>
      </c>
      <c r="G25" s="10">
        <v>30</v>
      </c>
      <c r="I25" s="11">
        <f t="shared" si="0"/>
        <v>4.3931100000000001</v>
      </c>
      <c r="J25" s="12">
        <f t="shared" si="1"/>
        <v>1.8721875489897739E-2</v>
      </c>
      <c r="K25" s="12">
        <f t="shared" si="2"/>
        <v>6.5750684127872973E-3</v>
      </c>
      <c r="L25" s="12">
        <f t="shared" si="3"/>
        <v>3.7261054256460093E-3</v>
      </c>
      <c r="M25" s="12">
        <f t="shared" si="4"/>
        <v>1.2146807077110442E-2</v>
      </c>
      <c r="N25" s="54">
        <f t="shared" si="5"/>
        <v>1645704</v>
      </c>
      <c r="O25" s="12">
        <v>16</v>
      </c>
      <c r="P25" s="13">
        <v>23156910</v>
      </c>
      <c r="Q25" s="13">
        <v>723653.4375</v>
      </c>
      <c r="R25" s="13">
        <v>14060.625</v>
      </c>
      <c r="S25" s="14">
        <v>4685984</v>
      </c>
      <c r="T25" s="14">
        <v>932624</v>
      </c>
      <c r="U25" s="14">
        <v>713080</v>
      </c>
      <c r="V25" s="14">
        <v>3040280</v>
      </c>
      <c r="W25" s="15">
        <v>66.208681249999998</v>
      </c>
      <c r="X25" s="15">
        <v>67.982928125000001</v>
      </c>
      <c r="Y25" s="15">
        <v>27.338421875000002</v>
      </c>
      <c r="Z25" s="15">
        <v>33.158384374999997</v>
      </c>
      <c r="AA25" s="15">
        <v>32.589131250000001</v>
      </c>
      <c r="AB25" s="16">
        <v>1469.18</v>
      </c>
      <c r="AC25" s="16">
        <v>1781.66</v>
      </c>
      <c r="AD25" s="16">
        <v>8.2889999999999997</v>
      </c>
      <c r="AE25" s="16">
        <v>30.687000000000001</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32</v>
      </c>
      <c r="G26" s="19">
        <v>30</v>
      </c>
      <c r="I26" s="20">
        <f t="shared" si="0"/>
        <v>7.5271650000000001</v>
      </c>
      <c r="J26" s="21">
        <f t="shared" si="1"/>
        <v>3.2078105470137584E-2</v>
      </c>
      <c r="K26" s="21">
        <f t="shared" si="2"/>
        <v>8.1015577077093899E-3</v>
      </c>
      <c r="L26" s="21">
        <f t="shared" si="3"/>
        <v>5.2525947205681028E-3</v>
      </c>
      <c r="M26" s="21">
        <f t="shared" si="4"/>
        <v>2.3976547762428194E-2</v>
      </c>
      <c r="N26" s="18">
        <f t="shared" si="5"/>
        <v>2027776</v>
      </c>
      <c r="O26" s="21">
        <v>16</v>
      </c>
      <c r="P26" s="22">
        <v>24564301</v>
      </c>
      <c r="Q26" s="22">
        <v>767634.40625</v>
      </c>
      <c r="R26" s="22">
        <v>17714.59375</v>
      </c>
      <c r="S26" s="23">
        <v>8028976</v>
      </c>
      <c r="T26" s="23">
        <v>1314696</v>
      </c>
      <c r="U26" s="23">
        <v>713080</v>
      </c>
      <c r="V26" s="23">
        <v>6001200</v>
      </c>
      <c r="W26" s="24">
        <v>67.941556250000005</v>
      </c>
      <c r="X26" s="24">
        <v>69.941896874999998</v>
      </c>
      <c r="Y26" s="24">
        <v>29.720368749999999</v>
      </c>
      <c r="Z26" s="24">
        <v>34.340334374999998</v>
      </c>
      <c r="AA26" s="24">
        <v>33.888184375000002</v>
      </c>
      <c r="AB26" s="25">
        <v>1436.49</v>
      </c>
      <c r="AC26" s="25">
        <v>1871.97</v>
      </c>
      <c r="AD26" s="25">
        <v>7.9489999999999998</v>
      </c>
      <c r="AE26" s="25">
        <v>29.503</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32</v>
      </c>
      <c r="G27" s="10">
        <v>30</v>
      </c>
      <c r="I27" s="11">
        <f t="shared" si="0"/>
        <v>13.24686</v>
      </c>
      <c r="J27" s="12">
        <f t="shared" si="1"/>
        <v>5.6453415359985701E-2</v>
      </c>
      <c r="K27" s="12">
        <f t="shared" si="2"/>
        <v>1.0397987759878878E-2</v>
      </c>
      <c r="L27" s="12">
        <f t="shared" si="3"/>
        <v>7.5490247727375897E-3</v>
      </c>
      <c r="M27" s="12">
        <f t="shared" si="4"/>
        <v>4.6055427600106821E-2</v>
      </c>
      <c r="N27" s="54">
        <f t="shared" si="5"/>
        <v>2602560</v>
      </c>
      <c r="O27" s="12">
        <v>16</v>
      </c>
      <c r="P27" s="13">
        <v>24852477</v>
      </c>
      <c r="Q27" s="13">
        <v>776639.90625</v>
      </c>
      <c r="R27" s="13">
        <v>18688.75</v>
      </c>
      <c r="S27" s="14">
        <v>14129984</v>
      </c>
      <c r="T27" s="14">
        <v>1889480</v>
      </c>
      <c r="U27" s="14">
        <v>713080</v>
      </c>
      <c r="V27" s="14">
        <v>11527424</v>
      </c>
      <c r="W27" s="15">
        <v>69.263743750000003</v>
      </c>
      <c r="X27" s="15">
        <v>71.649234375000006</v>
      </c>
      <c r="Y27" s="15">
        <v>32.231909375000001</v>
      </c>
      <c r="Z27" s="15">
        <v>35.58279375</v>
      </c>
      <c r="AA27" s="15">
        <v>35.206625000000003</v>
      </c>
      <c r="AB27" s="16">
        <v>1445.21</v>
      </c>
      <c r="AC27" s="16">
        <v>1984.57</v>
      </c>
      <c r="AD27" s="16">
        <v>8.1470000000000002</v>
      </c>
      <c r="AE27" s="16">
        <v>32.075000000000003</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32</v>
      </c>
      <c r="G28" s="19">
        <v>30</v>
      </c>
      <c r="I28" s="20">
        <f t="shared" si="0"/>
        <v>24.604582499999999</v>
      </c>
      <c r="J28" s="21">
        <f t="shared" si="1"/>
        <v>0.10485599724248126</v>
      </c>
      <c r="K28" s="21">
        <f t="shared" si="2"/>
        <v>1.4255106808504548E-2</v>
      </c>
      <c r="L28" s="21">
        <f t="shared" si="3"/>
        <v>1.1406143821363261E-2</v>
      </c>
      <c r="M28" s="21">
        <f t="shared" si="4"/>
        <v>9.0600890433976719E-2</v>
      </c>
      <c r="N28" s="18">
        <f t="shared" si="5"/>
        <v>3567976</v>
      </c>
      <c r="O28" s="21">
        <v>16</v>
      </c>
      <c r="P28" s="22">
        <v>25521142</v>
      </c>
      <c r="Q28" s="22">
        <v>797535.6875</v>
      </c>
      <c r="R28" s="22">
        <v>20922.53125</v>
      </c>
      <c r="S28" s="23">
        <v>26244888</v>
      </c>
      <c r="T28" s="23">
        <v>2854896</v>
      </c>
      <c r="U28" s="23">
        <v>713080</v>
      </c>
      <c r="V28" s="23">
        <v>22676912</v>
      </c>
      <c r="W28" s="24">
        <v>70.432471875000005</v>
      </c>
      <c r="X28" s="24">
        <v>72.970200000000006</v>
      </c>
      <c r="Y28" s="24">
        <v>34.942618750000001</v>
      </c>
      <c r="Z28" s="24">
        <v>37.370328125</v>
      </c>
      <c r="AA28" s="24">
        <v>36.938165625000003</v>
      </c>
      <c r="AB28" s="25">
        <v>1474.69</v>
      </c>
      <c r="AC28" s="25">
        <v>2229.7399999999998</v>
      </c>
      <c r="AD28" s="25">
        <v>8.2029999999999994</v>
      </c>
      <c r="AE28" s="25">
        <v>31.96</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32</v>
      </c>
      <c r="G29" s="28">
        <v>30</v>
      </c>
      <c r="I29" s="29">
        <f t="shared" si="0"/>
        <v>44.305185000000002</v>
      </c>
      <c r="J29" s="30">
        <f t="shared" si="1"/>
        <v>0.18881297238787215</v>
      </c>
      <c r="K29" s="30">
        <f t="shared" si="2"/>
        <v>2.2993258399816262E-2</v>
      </c>
      <c r="L29" s="30">
        <f t="shared" si="3"/>
        <v>1.7641772205840237E-2</v>
      </c>
      <c r="M29" s="30">
        <f t="shared" si="4"/>
        <v>0.16581971398805589</v>
      </c>
      <c r="N29" s="27">
        <f t="shared" si="5"/>
        <v>5755088</v>
      </c>
      <c r="O29" s="30">
        <v>16</v>
      </c>
      <c r="P29" s="31">
        <v>24571358</v>
      </c>
      <c r="Q29" s="31">
        <v>767854.9375</v>
      </c>
      <c r="R29" s="31">
        <v>9744.125</v>
      </c>
      <c r="S29" s="32">
        <v>47258864</v>
      </c>
      <c r="T29" s="32">
        <v>4415640</v>
      </c>
      <c r="U29" s="32">
        <v>1339448</v>
      </c>
      <c r="V29" s="32">
        <v>41503776</v>
      </c>
      <c r="W29" s="33">
        <v>71.152737500000001</v>
      </c>
      <c r="X29" s="33">
        <v>74.9055125</v>
      </c>
      <c r="Y29" s="33">
        <v>37.394256249999998</v>
      </c>
      <c r="Z29" s="33">
        <v>39.396478125000002</v>
      </c>
      <c r="AA29" s="33">
        <v>38.749353124999999</v>
      </c>
      <c r="AB29" s="34">
        <v>1454.07</v>
      </c>
      <c r="AC29" s="34">
        <v>2546.27</v>
      </c>
      <c r="AD29" s="34">
        <v>8.1069999999999993</v>
      </c>
      <c r="AE29" s="34">
        <v>32.743000000000002</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5.7321524999999998</v>
      </c>
      <c r="J30" s="21">
        <f t="shared" si="1"/>
        <v>1.6286438252445998E-2</v>
      </c>
      <c r="K30" s="21">
        <f t="shared" si="2"/>
        <v>9.9774936528251434E-3</v>
      </c>
      <c r="L30" s="21">
        <f t="shared" si="3"/>
        <v>6.1752286002199775E-3</v>
      </c>
      <c r="M30" s="21">
        <f t="shared" si="4"/>
        <v>6.3089445996208551E-3</v>
      </c>
      <c r="N30" s="18">
        <f t="shared" si="5"/>
        <v>3745776</v>
      </c>
      <c r="O30" s="21">
        <v>16</v>
      </c>
      <c r="P30" s="22">
        <v>84258322</v>
      </c>
      <c r="Q30" s="22">
        <v>2633072.5625</v>
      </c>
      <c r="R30" s="22">
        <v>32425.28125</v>
      </c>
      <c r="S30" s="23">
        <v>6114296</v>
      </c>
      <c r="T30" s="23">
        <v>2318320</v>
      </c>
      <c r="U30" s="23">
        <v>1427456</v>
      </c>
      <c r="V30" s="23">
        <v>2368520</v>
      </c>
      <c r="W30" s="24">
        <v>73.460731249999995</v>
      </c>
      <c r="X30" s="24">
        <v>75.713606249999998</v>
      </c>
      <c r="Y30" s="24">
        <v>34.736618749999998</v>
      </c>
      <c r="Z30" s="24">
        <v>42.165665625000003</v>
      </c>
      <c r="AA30" s="24">
        <v>43.775818749999999</v>
      </c>
      <c r="AB30" s="25">
        <v>3250.83</v>
      </c>
      <c r="AC30" s="25">
        <v>5114.51</v>
      </c>
      <c r="AD30" s="25">
        <v>26.648</v>
      </c>
      <c r="AE30" s="25">
        <v>86.28</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3">
      <c r="A31" s="54"/>
      <c r="B31" s="54" t="s">
        <v>75</v>
      </c>
      <c r="C31" s="10" t="s">
        <v>231</v>
      </c>
      <c r="D31" s="54">
        <v>375422539</v>
      </c>
      <c r="E31" s="10">
        <v>11</v>
      </c>
      <c r="F31" s="10">
        <v>32</v>
      </c>
      <c r="G31" s="10">
        <v>30</v>
      </c>
      <c r="I31" s="11">
        <f t="shared" si="0"/>
        <v>8.1855150000000005</v>
      </c>
      <c r="J31" s="12">
        <f t="shared" si="1"/>
        <v>2.3257037319221796E-2</v>
      </c>
      <c r="K31" s="12">
        <f t="shared" si="2"/>
        <v>1.2273274833933185E-2</v>
      </c>
      <c r="L31" s="12">
        <f t="shared" si="3"/>
        <v>8.4710097813280195E-3</v>
      </c>
      <c r="M31" s="12">
        <f t="shared" si="4"/>
        <v>1.0983762485288609E-2</v>
      </c>
      <c r="N31" s="54">
        <f t="shared" si="5"/>
        <v>4607664</v>
      </c>
      <c r="O31" s="12">
        <v>16</v>
      </c>
      <c r="P31" s="13">
        <v>89857639</v>
      </c>
      <c r="Q31" s="13">
        <v>2808051.21875</v>
      </c>
      <c r="R31" s="13">
        <v>41097.03125</v>
      </c>
      <c r="S31" s="14">
        <v>8731216</v>
      </c>
      <c r="T31" s="14">
        <v>3180208</v>
      </c>
      <c r="U31" s="14">
        <v>1427456</v>
      </c>
      <c r="V31" s="14">
        <v>4123552</v>
      </c>
      <c r="W31" s="15">
        <v>75.170684374999993</v>
      </c>
      <c r="X31" s="15">
        <v>77.575240625000006</v>
      </c>
      <c r="Y31" s="15">
        <v>36.653584375000001</v>
      </c>
      <c r="Z31" s="15">
        <v>42.688837499999998</v>
      </c>
      <c r="AA31" s="15">
        <v>45.004959374999999</v>
      </c>
      <c r="AB31" s="16">
        <v>3170.46</v>
      </c>
      <c r="AC31" s="16">
        <v>5500.25</v>
      </c>
      <c r="AD31" s="16">
        <v>31.145</v>
      </c>
      <c r="AE31" s="16">
        <v>89.867999999999995</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32</v>
      </c>
      <c r="G32" s="19">
        <v>30</v>
      </c>
      <c r="I32" s="20">
        <f t="shared" si="0"/>
        <v>12.671250000000001</v>
      </c>
      <c r="J32" s="21">
        <f t="shared" si="1"/>
        <v>3.6002100555821981E-2</v>
      </c>
      <c r="K32" s="21">
        <f t="shared" si="2"/>
        <v>1.5579735877285728E-2</v>
      </c>
      <c r="L32" s="21">
        <f t="shared" si="3"/>
        <v>1.1777470824680562E-2</v>
      </c>
      <c r="M32" s="21">
        <f t="shared" si="4"/>
        <v>2.0422364678536257E-2</v>
      </c>
      <c r="N32" s="18">
        <f t="shared" si="5"/>
        <v>5848984</v>
      </c>
      <c r="O32" s="21">
        <v>16</v>
      </c>
      <c r="P32" s="22">
        <v>91814344</v>
      </c>
      <c r="Q32" s="22">
        <v>2869198.25</v>
      </c>
      <c r="R32" s="22">
        <v>44687.40625</v>
      </c>
      <c r="S32" s="23">
        <v>13516000</v>
      </c>
      <c r="T32" s="23">
        <v>4421528</v>
      </c>
      <c r="U32" s="23">
        <v>1427456</v>
      </c>
      <c r="V32" s="23">
        <v>7667016</v>
      </c>
      <c r="W32" s="24">
        <v>76.466315624999993</v>
      </c>
      <c r="X32" s="24">
        <v>79.123750000000001</v>
      </c>
      <c r="Y32" s="24">
        <v>38.407431250000002</v>
      </c>
      <c r="Z32" s="24">
        <v>43.216706250000001</v>
      </c>
      <c r="AA32" s="24">
        <v>46.245334374999999</v>
      </c>
      <c r="AB32" s="25">
        <v>3166.99</v>
      </c>
      <c r="AC32" s="25">
        <v>5728.13</v>
      </c>
      <c r="AD32" s="25">
        <v>29.620999999999999</v>
      </c>
      <c r="AE32" s="25">
        <v>88.846999999999994</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32</v>
      </c>
      <c r="G33" s="10">
        <v>30</v>
      </c>
      <c r="I33" s="11">
        <f t="shared" si="0"/>
        <v>21.2011875</v>
      </c>
      <c r="J33" s="12">
        <f t="shared" si="1"/>
        <v>6.0237725897432065E-2</v>
      </c>
      <c r="K33" s="12">
        <f t="shared" si="2"/>
        <v>2.1049370187121344E-2</v>
      </c>
      <c r="L33" s="12">
        <f t="shared" si="3"/>
        <v>1.7247105134516178E-2</v>
      </c>
      <c r="M33" s="12">
        <f t="shared" si="4"/>
        <v>3.9188355710310721E-2</v>
      </c>
      <c r="N33" s="54">
        <f t="shared" si="5"/>
        <v>7902408</v>
      </c>
      <c r="O33" s="12">
        <v>16</v>
      </c>
      <c r="P33" s="13">
        <v>93918250</v>
      </c>
      <c r="Q33" s="13">
        <v>2934945.3125</v>
      </c>
      <c r="R33" s="13">
        <v>49412.375</v>
      </c>
      <c r="S33" s="14">
        <v>22614600</v>
      </c>
      <c r="T33" s="14">
        <v>6474952</v>
      </c>
      <c r="U33" s="14">
        <v>1427456</v>
      </c>
      <c r="V33" s="14">
        <v>14712192</v>
      </c>
      <c r="W33" s="15">
        <v>77.598421875</v>
      </c>
      <c r="X33" s="15">
        <v>80.328506250000004</v>
      </c>
      <c r="Y33" s="15">
        <v>40.010034374999996</v>
      </c>
      <c r="Z33" s="15">
        <v>43.908103124999997</v>
      </c>
      <c r="AA33" s="15">
        <v>47.816249999999997</v>
      </c>
      <c r="AB33" s="16">
        <v>3169.57</v>
      </c>
      <c r="AC33" s="16">
        <v>6075.99</v>
      </c>
      <c r="AD33" s="16">
        <v>29.408000000000001</v>
      </c>
      <c r="AE33" s="16">
        <v>90.102000000000004</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32</v>
      </c>
      <c r="G34" s="38">
        <v>30</v>
      </c>
      <c r="I34" s="39">
        <f t="shared" si="0"/>
        <v>39.873292499999998</v>
      </c>
      <c r="J34" s="40">
        <f t="shared" si="1"/>
        <v>0.11328971380698057</v>
      </c>
      <c r="K34" s="40">
        <f t="shared" si="2"/>
        <v>3.3717187129246921E-2</v>
      </c>
      <c r="L34" s="40">
        <f t="shared" si="3"/>
        <v>2.6181230424207429E-2</v>
      </c>
      <c r="M34" s="40">
        <f t="shared" si="4"/>
        <v>7.9572526677733652E-2</v>
      </c>
      <c r="N34" s="37">
        <f t="shared" si="5"/>
        <v>12658192</v>
      </c>
      <c r="O34" s="40">
        <v>16</v>
      </c>
      <c r="P34" s="41">
        <v>92079625</v>
      </c>
      <c r="Q34" s="41">
        <v>2877488.28125</v>
      </c>
      <c r="R34" s="41">
        <v>21318.28125</v>
      </c>
      <c r="S34" s="42">
        <v>42531512</v>
      </c>
      <c r="T34" s="42">
        <v>9829024</v>
      </c>
      <c r="U34" s="42">
        <v>2829168</v>
      </c>
      <c r="V34" s="42">
        <v>29873320</v>
      </c>
      <c r="W34" s="43">
        <v>78.535987500000005</v>
      </c>
      <c r="X34" s="43">
        <v>81.998384375000001</v>
      </c>
      <c r="Y34" s="43">
        <v>41.522762499999999</v>
      </c>
      <c r="Z34" s="43">
        <v>44.701212499999997</v>
      </c>
      <c r="AA34" s="43">
        <v>49.230084374999997</v>
      </c>
      <c r="AB34" s="44">
        <v>3172.68</v>
      </c>
      <c r="AC34" s="44">
        <v>6644.75</v>
      </c>
      <c r="AD34" s="44">
        <v>28.466000000000001</v>
      </c>
      <c r="AE34" s="44">
        <v>92.138000000000005</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32</v>
      </c>
      <c r="G35" s="10">
        <v>30</v>
      </c>
      <c r="I35" s="11">
        <f t="shared" si="0"/>
        <v>6.3769799999999996</v>
      </c>
      <c r="J35" s="12">
        <f t="shared" si="1"/>
        <v>2.0415072283127337E-2</v>
      </c>
      <c r="K35" s="12">
        <f t="shared" si="2"/>
        <v>1.1829190100807409E-2</v>
      </c>
      <c r="L35" s="12">
        <f t="shared" si="3"/>
        <v>7.2102134882886838E-3</v>
      </c>
      <c r="M35" s="12">
        <f t="shared" si="4"/>
        <v>8.5858821823199261E-3</v>
      </c>
      <c r="N35" s="54">
        <f t="shared" si="5"/>
        <v>3941376</v>
      </c>
      <c r="O35" s="12">
        <v>16</v>
      </c>
      <c r="P35" s="13">
        <v>74688855</v>
      </c>
      <c r="Q35" s="13">
        <v>2334026.71875</v>
      </c>
      <c r="R35" s="13">
        <v>31011.90625</v>
      </c>
      <c r="S35" s="14">
        <v>6802112</v>
      </c>
      <c r="T35" s="14">
        <v>2402376</v>
      </c>
      <c r="U35" s="14">
        <v>1539000</v>
      </c>
      <c r="V35" s="14">
        <v>2860736</v>
      </c>
      <c r="W35" s="15">
        <v>73.191281250000003</v>
      </c>
      <c r="X35" s="15">
        <v>75.430568750000006</v>
      </c>
      <c r="Y35" s="15">
        <v>33.985153124999997</v>
      </c>
      <c r="Z35" s="15">
        <v>42.563106249999997</v>
      </c>
      <c r="AA35" s="15">
        <v>44.055871875000001</v>
      </c>
      <c r="AB35" s="16">
        <v>2910.16</v>
      </c>
      <c r="AC35" s="16">
        <v>7854.81</v>
      </c>
      <c r="AD35" s="16">
        <v>27.329000000000001</v>
      </c>
      <c r="AE35" s="16">
        <v>122.65900000000001</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32</v>
      </c>
      <c r="G36" s="19">
        <v>30</v>
      </c>
      <c r="I36" s="20">
        <f t="shared" si="0"/>
        <v>9.0738074999999991</v>
      </c>
      <c r="J36" s="21">
        <f t="shared" si="1"/>
        <v>2.9048614860903269E-2</v>
      </c>
      <c r="K36" s="21">
        <f t="shared" si="2"/>
        <v>1.4424772836314163E-2</v>
      </c>
      <c r="L36" s="21">
        <f t="shared" si="3"/>
        <v>9.8057962237954373E-3</v>
      </c>
      <c r="M36" s="21">
        <f t="shared" si="4"/>
        <v>1.4623842024589108E-2</v>
      </c>
      <c r="N36" s="18">
        <f t="shared" si="5"/>
        <v>4806200</v>
      </c>
      <c r="O36" s="21">
        <v>16</v>
      </c>
      <c r="P36" s="22">
        <v>79945808</v>
      </c>
      <c r="Q36" s="22">
        <v>2498306.5</v>
      </c>
      <c r="R36" s="22">
        <v>39523.15625</v>
      </c>
      <c r="S36" s="23">
        <v>9678728</v>
      </c>
      <c r="T36" s="23">
        <v>3267200</v>
      </c>
      <c r="U36" s="23">
        <v>1539000</v>
      </c>
      <c r="V36" s="23">
        <v>4872528</v>
      </c>
      <c r="W36" s="24">
        <v>74.930581250000003</v>
      </c>
      <c r="X36" s="24">
        <v>77.358815625000005</v>
      </c>
      <c r="Y36" s="24">
        <v>36.095068750000003</v>
      </c>
      <c r="Z36" s="24">
        <v>43.189968749999998</v>
      </c>
      <c r="AA36" s="24">
        <v>45.416678124999997</v>
      </c>
      <c r="AB36" s="25">
        <v>2901.97</v>
      </c>
      <c r="AC36" s="25">
        <v>8053.79</v>
      </c>
      <c r="AD36" s="25">
        <v>27.93</v>
      </c>
      <c r="AE36" s="25">
        <v>123.60599999999999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32</v>
      </c>
      <c r="G37" s="10">
        <v>30</v>
      </c>
      <c r="I37" s="11">
        <f t="shared" si="0"/>
        <v>13.7978325</v>
      </c>
      <c r="J37" s="12">
        <f t="shared" si="1"/>
        <v>4.4171966642201098E-2</v>
      </c>
      <c r="K37" s="12">
        <f t="shared" si="2"/>
        <v>1.8223870595615595E-2</v>
      </c>
      <c r="L37" s="12">
        <f t="shared" si="3"/>
        <v>1.3604893983096869E-2</v>
      </c>
      <c r="M37" s="12">
        <f t="shared" si="4"/>
        <v>2.5948096046585503E-2</v>
      </c>
      <c r="N37" s="54">
        <f t="shared" si="5"/>
        <v>6072024</v>
      </c>
      <c r="O37" s="12">
        <v>16</v>
      </c>
      <c r="P37" s="13">
        <v>81780101</v>
      </c>
      <c r="Q37" s="13">
        <v>2555628.15625</v>
      </c>
      <c r="R37" s="13">
        <v>43014.71875</v>
      </c>
      <c r="S37" s="14">
        <v>14717688</v>
      </c>
      <c r="T37" s="14">
        <v>4533024</v>
      </c>
      <c r="U37" s="14">
        <v>1539000</v>
      </c>
      <c r="V37" s="14">
        <v>8645664</v>
      </c>
      <c r="W37" s="15">
        <v>76.238812499999995</v>
      </c>
      <c r="X37" s="15">
        <v>78.941209375</v>
      </c>
      <c r="Y37" s="15">
        <v>37.935643749999997</v>
      </c>
      <c r="Z37" s="15">
        <v>43.761018749999998</v>
      </c>
      <c r="AA37" s="15">
        <v>46.521678125000001</v>
      </c>
      <c r="AB37" s="16">
        <v>2912.85</v>
      </c>
      <c r="AC37" s="16">
        <v>8253.2800000000007</v>
      </c>
      <c r="AD37" s="16">
        <v>27.498000000000001</v>
      </c>
      <c r="AE37" s="16">
        <v>123.86</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32</v>
      </c>
      <c r="G38" s="19">
        <v>30</v>
      </c>
      <c r="I38" s="20">
        <f t="shared" si="0"/>
        <v>23.071792500000001</v>
      </c>
      <c r="J38" s="21">
        <f t="shared" si="1"/>
        <v>7.3861343706396312E-2</v>
      </c>
      <c r="K38" s="21">
        <f t="shared" si="2"/>
        <v>2.4418401439783331E-2</v>
      </c>
      <c r="L38" s="21">
        <f t="shared" si="3"/>
        <v>1.9799424827264607E-2</v>
      </c>
      <c r="M38" s="21">
        <f t="shared" si="4"/>
        <v>4.9442942266612978E-2</v>
      </c>
      <c r="N38" s="18">
        <f t="shared" si="5"/>
        <v>8135984</v>
      </c>
      <c r="O38" s="21">
        <v>16</v>
      </c>
      <c r="P38" s="22">
        <v>83963908</v>
      </c>
      <c r="Q38" s="22">
        <v>2623872.125</v>
      </c>
      <c r="R38" s="22">
        <v>48278.125</v>
      </c>
      <c r="S38" s="23">
        <v>24609912</v>
      </c>
      <c r="T38" s="23">
        <v>6596984</v>
      </c>
      <c r="U38" s="23">
        <v>1539000</v>
      </c>
      <c r="V38" s="23">
        <v>16473928</v>
      </c>
      <c r="W38" s="24">
        <v>77.418415624999994</v>
      </c>
      <c r="X38" s="24">
        <v>80.140518749999998</v>
      </c>
      <c r="Y38" s="24">
        <v>39.70821875</v>
      </c>
      <c r="Z38" s="24">
        <v>44.538234375000002</v>
      </c>
      <c r="AA38" s="24">
        <v>47.814162500000002</v>
      </c>
      <c r="AB38" s="25">
        <v>2381.19</v>
      </c>
      <c r="AC38" s="25">
        <v>6507.6</v>
      </c>
      <c r="AD38" s="25">
        <v>22.033999999999999</v>
      </c>
      <c r="AE38" s="25">
        <v>98.745000000000005</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32</v>
      </c>
      <c r="G39" s="28">
        <v>30</v>
      </c>
      <c r="I39" s="29">
        <f t="shared" si="0"/>
        <v>42.438195</v>
      </c>
      <c r="J39" s="30">
        <f t="shared" si="1"/>
        <v>0.1358603631327765</v>
      </c>
      <c r="K39" s="30">
        <f t="shared" si="2"/>
        <v>3.9490059099460607E-2</v>
      </c>
      <c r="L39" s="30">
        <f t="shared" si="3"/>
        <v>3.0117168130109423E-2</v>
      </c>
      <c r="M39" s="30">
        <f t="shared" si="4"/>
        <v>9.6370304033315896E-2</v>
      </c>
      <c r="N39" s="27">
        <f t="shared" si="5"/>
        <v>13157720</v>
      </c>
      <c r="O39" s="30">
        <v>16</v>
      </c>
      <c r="P39" s="31">
        <v>82025858</v>
      </c>
      <c r="Q39" s="31">
        <v>2563308.0625</v>
      </c>
      <c r="R39" s="31">
        <v>19366.5625</v>
      </c>
      <c r="S39" s="32">
        <v>45267408</v>
      </c>
      <c r="T39" s="32">
        <v>10034760</v>
      </c>
      <c r="U39" s="32">
        <v>3122960</v>
      </c>
      <c r="V39" s="32">
        <v>32109688</v>
      </c>
      <c r="W39" s="33">
        <v>78.318231249999997</v>
      </c>
      <c r="X39" s="33">
        <v>81.877509375000002</v>
      </c>
      <c r="Y39" s="33">
        <v>41.303937500000004</v>
      </c>
      <c r="Z39" s="33">
        <v>45.53430625</v>
      </c>
      <c r="AA39" s="33">
        <v>49.130743750000001</v>
      </c>
      <c r="AB39" s="34">
        <v>2383.3200000000002</v>
      </c>
      <c r="AC39" s="34">
        <v>6912.85</v>
      </c>
      <c r="AD39" s="34">
        <v>21.811</v>
      </c>
      <c r="AE39" s="34">
        <v>104.783</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4.4675299317744624E-2</v>
      </c>
      <c r="K40" s="48">
        <f>AVERAGE(K5:K24)</f>
        <v>1.3934320314145566E-2</v>
      </c>
      <c r="L40" s="48">
        <f>AVERAGE(L5:L24)</f>
        <v>9.696269410246797E-3</v>
      </c>
      <c r="M40" s="48">
        <f>AVERAGE(M5:M24)</f>
        <v>3.074097900359906E-2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3">
      <c r="B41" s="47" t="s">
        <v>15</v>
      </c>
      <c r="J41" s="48">
        <f>AVERAGE(J25:J29)</f>
        <v>8.0184473190074892E-2</v>
      </c>
      <c r="K41" s="48">
        <f>AVERAGE(K25:K29)</f>
        <v>1.2464595817739278E-2</v>
      </c>
      <c r="L41" s="48">
        <f>AVERAGE(L25:L29)</f>
        <v>9.1151281892310389E-3</v>
      </c>
      <c r="M41" s="48">
        <f>AVERAGE(M25:M29)</f>
        <v>6.7719877372335618E-2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3">
      <c r="B42" s="47" t="s">
        <v>16</v>
      </c>
      <c r="J42" s="48">
        <f>AVERAGE(J30:J39)</f>
        <v>5.5243037645730686E-2</v>
      </c>
      <c r="K42" s="48">
        <f>AVERAGE(K30:K39)</f>
        <v>2.0098335575239341E-2</v>
      </c>
      <c r="L42" s="48">
        <f>AVERAGE(L30:L39)</f>
        <v>1.5038954141750719E-2</v>
      </c>
      <c r="M42" s="48">
        <f>AVERAGE(M30:M39)</f>
        <v>3.5144702070491349E-2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3">
      <c r="B43" s="47" t="s">
        <v>17</v>
      </c>
      <c r="J43" s="48">
        <f>AVERAGE(J5:J39)</f>
        <v>5.2767392250359257E-2</v>
      </c>
      <c r="K43" s="48">
        <f>AVERAGE(K5:K39)</f>
        <v>1.5485506889257174E-2</v>
      </c>
      <c r="L43" s="48">
        <f>AVERAGE(L5:L39)</f>
        <v>1.1139730587674238E-2</v>
      </c>
      <c r="M43" s="48">
        <f>AVERAGE(M5:M39)</f>
        <v>3.728188536110208E-2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3">
      <c r="A44" s="47" t="s">
        <v>237</v>
      </c>
      <c r="B44" s="47" t="s">
        <v>238</v>
      </c>
      <c r="AB44" s="49">
        <f>SUM(AB5:AB24,AB25:AB29,AB30:AB39)</f>
        <v>104036.08000000005</v>
      </c>
      <c r="AC44" s="49">
        <f>SUM(AC5:AC24,AC25:AC29,AC30:AC39)</f>
        <v>109804.84000000001</v>
      </c>
      <c r="AD44" s="49">
        <f>SUM(AD5:AD24,AD25:AD29,AD30:AD39)</f>
        <v>463.416</v>
      </c>
      <c r="AE44" s="49">
        <f>SUM(AE5:AE24,AE25:AE29,AE30:AE39)</f>
        <v>1691.8180000000002</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55">
        <f>AZ44/AB44</f>
        <v>0</v>
      </c>
      <c r="BA45" s="55">
        <f>BA44/AC44</f>
        <v>0</v>
      </c>
      <c r="BB45" s="55">
        <f>BB44/AD44</f>
        <v>0</v>
      </c>
      <c r="BC45" s="55">
        <f>BC44/AE44</f>
        <v>0</v>
      </c>
    </row>
    <row r="46" spans="1:72" hidden="1" outlineLevel="2" x14ac:dyDescent="0.3">
      <c r="B46" s="47" t="s">
        <v>240</v>
      </c>
      <c r="AB46" s="49">
        <f>GEOMEAN(AB5:AB24,AB25:AB29,AB30:AB39)</f>
        <v>2832.1525111254637</v>
      </c>
      <c r="AC46" s="49">
        <f>GEOMEAN(AC5:AC24,AC25:AC29,AC30:AC39)</f>
        <v>2474.357245009423</v>
      </c>
      <c r="AD46" s="49">
        <f>GEOMEAN(AD5:AD24,AD25:AD29,AD30:AD39)</f>
        <v>10.857059984982698</v>
      </c>
      <c r="AE46" s="49">
        <f>GEOMEAN(AE5:AE24,AE25:AE29,AE30:AE39)</f>
        <v>38.710038205106386</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4.4" x14ac:dyDescent="0.3"/>
  <sheetData>
    <row r="1" spans="1:2" x14ac:dyDescent="0.3">
      <c r="A1" t="s">
        <v>242</v>
      </c>
      <c r="B1">
        <v>1</v>
      </c>
    </row>
    <row r="2" spans="1:2" x14ac:dyDescent="0.3">
      <c r="A2" t="s">
        <v>243</v>
      </c>
      <c r="B2">
        <v>2</v>
      </c>
    </row>
    <row r="3" spans="1:2" x14ac:dyDescent="0.3">
      <c r="A3" t="s">
        <v>244</v>
      </c>
      <c r="B3">
        <v>3</v>
      </c>
    </row>
    <row r="4" spans="1:2" x14ac:dyDescent="0.3">
      <c r="A4" t="s">
        <v>245</v>
      </c>
      <c r="B4">
        <v>4</v>
      </c>
    </row>
    <row r="5" spans="1:2" x14ac:dyDescent="0.3">
      <c r="A5" t="s">
        <v>246</v>
      </c>
      <c r="B5">
        <v>5</v>
      </c>
    </row>
    <row r="6" spans="1:2" x14ac:dyDescent="0.3">
      <c r="A6" t="s">
        <v>247</v>
      </c>
      <c r="B6">
        <v>6</v>
      </c>
    </row>
    <row r="7" spans="1:2" x14ac:dyDescent="0.3">
      <c r="A7" t="s">
        <v>248</v>
      </c>
      <c r="B7">
        <v>7</v>
      </c>
    </row>
    <row r="8" spans="1:2" x14ac:dyDescent="0.3">
      <c r="A8" t="s">
        <v>249</v>
      </c>
      <c r="B8">
        <v>9</v>
      </c>
    </row>
    <row r="9" spans="1:2" x14ac:dyDescent="0.3">
      <c r="A9" t="s">
        <v>250</v>
      </c>
      <c r="B9">
        <v>10</v>
      </c>
    </row>
    <row r="10" spans="1:2" x14ac:dyDescent="0.3">
      <c r="A10" t="s">
        <v>251</v>
      </c>
      <c r="B10">
        <v>11</v>
      </c>
    </row>
    <row r="11" spans="1:2" x14ac:dyDescent="0.3">
      <c r="A11" t="s">
        <v>252</v>
      </c>
      <c r="B11">
        <v>12</v>
      </c>
    </row>
    <row r="12" spans="1:2" x14ac:dyDescent="0.3">
      <c r="A12" t="s">
        <v>253</v>
      </c>
      <c r="B12">
        <v>13</v>
      </c>
    </row>
    <row r="13" spans="1:2" x14ac:dyDescent="0.3">
      <c r="A13" t="s">
        <v>254</v>
      </c>
      <c r="B13">
        <v>14</v>
      </c>
    </row>
    <row r="14" spans="1:2" x14ac:dyDescent="0.3">
      <c r="A14" t="s">
        <v>255</v>
      </c>
      <c r="B14">
        <v>15</v>
      </c>
    </row>
    <row r="15" spans="1:2" x14ac:dyDescent="0.3">
      <c r="A15" t="s">
        <v>256</v>
      </c>
      <c r="B15">
        <v>16</v>
      </c>
    </row>
    <row r="16" spans="1:2" x14ac:dyDescent="0.3">
      <c r="A16" t="s">
        <v>257</v>
      </c>
      <c r="B16">
        <v>17</v>
      </c>
    </row>
    <row r="17" spans="1:2" x14ac:dyDescent="0.3">
      <c r="A17" t="s">
        <v>258</v>
      </c>
      <c r="B17">
        <v>18</v>
      </c>
    </row>
    <row r="18" spans="1:2" x14ac:dyDescent="0.3">
      <c r="A18" t="s">
        <v>259</v>
      </c>
      <c r="B18">
        <v>19</v>
      </c>
    </row>
    <row r="19" spans="1:2" x14ac:dyDescent="0.3">
      <c r="A19" t="s">
        <v>260</v>
      </c>
      <c r="B19">
        <v>20</v>
      </c>
    </row>
    <row r="20" spans="1:2" x14ac:dyDescent="0.3">
      <c r="A20" t="s">
        <v>261</v>
      </c>
      <c r="B20">
        <v>21</v>
      </c>
    </row>
    <row r="21" spans="1:2" x14ac:dyDescent="0.3">
      <c r="A21" t="s">
        <v>262</v>
      </c>
      <c r="B21">
        <v>22</v>
      </c>
    </row>
    <row r="22" spans="1:2" x14ac:dyDescent="0.3">
      <c r="A22" t="s">
        <v>263</v>
      </c>
      <c r="B22">
        <v>23</v>
      </c>
    </row>
    <row r="23" spans="1:2" x14ac:dyDescent="0.3">
      <c r="A23" t="s">
        <v>264</v>
      </c>
      <c r="B23">
        <v>24</v>
      </c>
    </row>
    <row r="24" spans="1:2" x14ac:dyDescent="0.3">
      <c r="A24" t="s">
        <v>265</v>
      </c>
      <c r="B24">
        <v>25</v>
      </c>
    </row>
    <row r="25" spans="1:2" x14ac:dyDescent="0.3">
      <c r="A25" t="s">
        <v>266</v>
      </c>
      <c r="B25">
        <v>26</v>
      </c>
    </row>
    <row r="26" spans="1:2" x14ac:dyDescent="0.3">
      <c r="A26" t="s">
        <v>267</v>
      </c>
      <c r="B26">
        <v>27</v>
      </c>
    </row>
    <row r="27" spans="1:2" x14ac:dyDescent="0.3">
      <c r="A27" t="s">
        <v>268</v>
      </c>
      <c r="B27">
        <v>28</v>
      </c>
    </row>
    <row r="28" spans="1:2" x14ac:dyDescent="0.3">
      <c r="A28" t="s">
        <v>269</v>
      </c>
      <c r="B28">
        <v>29</v>
      </c>
    </row>
    <row r="29" spans="1:2" x14ac:dyDescent="0.3">
      <c r="A29" t="s">
        <v>270</v>
      </c>
      <c r="B29">
        <v>30</v>
      </c>
    </row>
    <row r="30" spans="1:2" x14ac:dyDescent="0.3">
      <c r="A30" t="s">
        <v>271</v>
      </c>
      <c r="B30">
        <v>31</v>
      </c>
    </row>
    <row r="31" spans="1:2" x14ac:dyDescent="0.3">
      <c r="A31" t="s">
        <v>272</v>
      </c>
      <c r="B31">
        <v>33</v>
      </c>
    </row>
    <row r="32" spans="1:2" x14ac:dyDescent="0.3">
      <c r="A32" t="s">
        <v>273</v>
      </c>
      <c r="B32">
        <v>34</v>
      </c>
    </row>
    <row r="33" spans="1:2" x14ac:dyDescent="0.3">
      <c r="A33" t="s">
        <v>274</v>
      </c>
      <c r="B33">
        <v>35</v>
      </c>
    </row>
    <row r="34" spans="1:2" x14ac:dyDescent="0.3">
      <c r="A34" t="s">
        <v>275</v>
      </c>
      <c r="B34">
        <v>36</v>
      </c>
    </row>
    <row r="35" spans="1:2" x14ac:dyDescent="0.3">
      <c r="A35" t="s">
        <v>276</v>
      </c>
      <c r="B35">
        <v>37</v>
      </c>
    </row>
    <row r="36" spans="1:2" x14ac:dyDescent="0.3">
      <c r="A36" t="s">
        <v>277</v>
      </c>
      <c r="B36">
        <v>38</v>
      </c>
    </row>
    <row r="37" spans="1:2" x14ac:dyDescent="0.3">
      <c r="A37" t="s">
        <v>278</v>
      </c>
      <c r="B37">
        <v>39</v>
      </c>
    </row>
    <row r="38" spans="1:2" x14ac:dyDescent="0.3">
      <c r="A38" t="s">
        <v>279</v>
      </c>
      <c r="B38">
        <v>40</v>
      </c>
    </row>
    <row r="39" spans="1:2" x14ac:dyDescent="0.3">
      <c r="A39" t="s">
        <v>280</v>
      </c>
      <c r="B39">
        <v>41</v>
      </c>
    </row>
    <row r="40" spans="1:2" x14ac:dyDescent="0.3">
      <c r="A40" t="s">
        <v>281</v>
      </c>
      <c r="B40">
        <v>42</v>
      </c>
    </row>
    <row r="41" spans="1:2" x14ac:dyDescent="0.3">
      <c r="A41" t="s">
        <v>282</v>
      </c>
      <c r="B41">
        <v>43</v>
      </c>
    </row>
    <row r="42" spans="1:2" x14ac:dyDescent="0.3">
      <c r="A42" t="s">
        <v>283</v>
      </c>
      <c r="B42">
        <v>44</v>
      </c>
    </row>
    <row r="43" spans="1:2" x14ac:dyDescent="0.3">
      <c r="A43" t="s">
        <v>284</v>
      </c>
      <c r="B43">
        <v>45</v>
      </c>
    </row>
    <row r="44" spans="1:2" x14ac:dyDescent="0.3">
      <c r="A44" t="s">
        <v>285</v>
      </c>
      <c r="B44">
        <v>46</v>
      </c>
    </row>
    <row r="45" spans="1:2" x14ac:dyDescent="0.3">
      <c r="A45" t="s">
        <v>286</v>
      </c>
      <c r="B45">
        <v>47</v>
      </c>
    </row>
    <row r="46" spans="1:2" x14ac:dyDescent="0.3">
      <c r="A46" t="s">
        <v>287</v>
      </c>
      <c r="B46">
        <v>48</v>
      </c>
    </row>
    <row r="47" spans="1:2" x14ac:dyDescent="0.3">
      <c r="A47" t="s">
        <v>288</v>
      </c>
      <c r="B47">
        <v>49</v>
      </c>
    </row>
    <row r="48" spans="1:2" x14ac:dyDescent="0.3">
      <c r="A48" t="s">
        <v>289</v>
      </c>
      <c r="B48">
        <v>50</v>
      </c>
    </row>
    <row r="49" spans="1:2" x14ac:dyDescent="0.3">
      <c r="A49" t="s">
        <v>290</v>
      </c>
      <c r="B49">
        <v>51</v>
      </c>
    </row>
    <row r="50" spans="1:2" x14ac:dyDescent="0.3">
      <c r="A50" t="s">
        <v>291</v>
      </c>
      <c r="B50">
        <v>52</v>
      </c>
    </row>
    <row r="51" spans="1:2" x14ac:dyDescent="0.3">
      <c r="A51" t="s">
        <v>292</v>
      </c>
      <c r="B51">
        <v>53</v>
      </c>
    </row>
    <row r="52" spans="1:2" x14ac:dyDescent="0.3">
      <c r="A52" t="s">
        <v>293</v>
      </c>
      <c r="B52">
        <v>54</v>
      </c>
    </row>
    <row r="53" spans="1:2" x14ac:dyDescent="0.3">
      <c r="A53" t="s">
        <v>294</v>
      </c>
      <c r="B53">
        <v>55</v>
      </c>
    </row>
    <row r="54" spans="1:2" x14ac:dyDescent="0.3">
      <c r="A54" t="s">
        <v>295</v>
      </c>
      <c r="B54">
        <v>57</v>
      </c>
    </row>
    <row r="55" spans="1:2" x14ac:dyDescent="0.3">
      <c r="A55" t="s">
        <v>296</v>
      </c>
      <c r="B55">
        <v>58</v>
      </c>
    </row>
    <row r="56" spans="1:2" x14ac:dyDescent="0.3">
      <c r="A56" t="s">
        <v>297</v>
      </c>
      <c r="B56">
        <v>59</v>
      </c>
    </row>
    <row r="57" spans="1:2" x14ac:dyDescent="0.3">
      <c r="A57" t="s">
        <v>298</v>
      </c>
      <c r="B57">
        <v>60</v>
      </c>
    </row>
    <row r="58" spans="1:2" x14ac:dyDescent="0.3">
      <c r="A58" t="s">
        <v>299</v>
      </c>
      <c r="B58">
        <v>62</v>
      </c>
    </row>
    <row r="59" spans="1:2" x14ac:dyDescent="0.3">
      <c r="A59" t="s">
        <v>300</v>
      </c>
      <c r="B59">
        <v>63</v>
      </c>
    </row>
    <row r="60" spans="1:2" x14ac:dyDescent="0.3">
      <c r="A60" t="s">
        <v>301</v>
      </c>
      <c r="B60">
        <v>64</v>
      </c>
    </row>
    <row r="61" spans="1:2" x14ac:dyDescent="0.3">
      <c r="A61" t="s">
        <v>302</v>
      </c>
      <c r="B61">
        <v>65</v>
      </c>
    </row>
    <row r="62" spans="1:2" x14ac:dyDescent="0.3">
      <c r="A62" t="s">
        <v>303</v>
      </c>
      <c r="B62">
        <v>66</v>
      </c>
    </row>
    <row r="63" spans="1:2" x14ac:dyDescent="0.3">
      <c r="A63" t="s">
        <v>304</v>
      </c>
      <c r="B63">
        <v>68</v>
      </c>
    </row>
    <row r="64" spans="1:2" x14ac:dyDescent="0.3">
      <c r="A64" t="s">
        <v>305</v>
      </c>
      <c r="B64">
        <v>69</v>
      </c>
    </row>
    <row r="65" spans="1:24" x14ac:dyDescent="0.3">
      <c r="A65" t="s">
        <v>306</v>
      </c>
      <c r="B65">
        <v>70</v>
      </c>
    </row>
    <row r="66" spans="1:24" x14ac:dyDescent="0.3">
      <c r="A66" t="s">
        <v>307</v>
      </c>
      <c r="B66">
        <v>71</v>
      </c>
    </row>
    <row r="67" spans="1:24" x14ac:dyDescent="0.3">
      <c r="A67" t="s">
        <v>308</v>
      </c>
      <c r="B67">
        <v>72</v>
      </c>
    </row>
    <row r="68" spans="1:24" x14ac:dyDescent="0.3">
      <c r="A68" t="s">
        <v>309</v>
      </c>
      <c r="B68" t="s">
        <v>310</v>
      </c>
    </row>
    <row r="69" spans="1:24" x14ac:dyDescent="0.3">
      <c r="A69" t="s">
        <v>311</v>
      </c>
      <c r="B69" t="s">
        <v>312</v>
      </c>
    </row>
    <row r="70" spans="1:24" x14ac:dyDescent="0.3">
      <c r="A70" t="s">
        <v>313</v>
      </c>
      <c r="B70" t="s">
        <v>314</v>
      </c>
    </row>
    <row r="71" spans="1:24" x14ac:dyDescent="0.3">
      <c r="A71" t="s">
        <v>315</v>
      </c>
      <c r="B71" t="s">
        <v>316</v>
      </c>
    </row>
    <row r="72" spans="1:24" x14ac:dyDescent="0.3">
      <c r="A72" t="s">
        <v>317</v>
      </c>
      <c r="B72" t="s">
        <v>318</v>
      </c>
    </row>
    <row r="73" spans="1:24" x14ac:dyDescent="0.3">
      <c r="A73" t="s">
        <v>319</v>
      </c>
      <c r="B73" t="s">
        <v>320</v>
      </c>
    </row>
    <row r="74" spans="1:24" x14ac:dyDescent="0.3">
      <c r="A74" t="s">
        <v>321</v>
      </c>
      <c r="B74" t="s">
        <v>322</v>
      </c>
    </row>
    <row r="75" spans="1:24" x14ac:dyDescent="0.3">
      <c r="A75" t="s">
        <v>323</v>
      </c>
      <c r="B75" t="s">
        <v>324</v>
      </c>
    </row>
    <row r="76" spans="1:24" x14ac:dyDescent="0.3">
      <c r="A76" t="s">
        <v>325</v>
      </c>
      <c r="B76" t="s">
        <v>326</v>
      </c>
    </row>
    <row r="77" spans="1:24" x14ac:dyDescent="0.3">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328</v>
      </c>
      <c r="B78">
        <v>1</v>
      </c>
    </row>
    <row r="79" spans="1:24" x14ac:dyDescent="0.3">
      <c r="A79" t="s">
        <v>329</v>
      </c>
      <c r="B79">
        <v>2</v>
      </c>
    </row>
    <row r="80" spans="1:24" x14ac:dyDescent="0.3">
      <c r="A80" t="s">
        <v>330</v>
      </c>
      <c r="B80">
        <v>3</v>
      </c>
    </row>
    <row r="81" spans="1:2" x14ac:dyDescent="0.3">
      <c r="A81" t="s">
        <v>331</v>
      </c>
      <c r="B81">
        <v>4</v>
      </c>
    </row>
    <row r="82" spans="1:2" x14ac:dyDescent="0.3">
      <c r="A82" t="s">
        <v>332</v>
      </c>
      <c r="B82">
        <v>5</v>
      </c>
    </row>
    <row r="83" spans="1:2" x14ac:dyDescent="0.3">
      <c r="A83" t="s">
        <v>333</v>
      </c>
      <c r="B83">
        <v>6</v>
      </c>
    </row>
    <row r="84" spans="1:2" x14ac:dyDescent="0.3">
      <c r="A84" t="s">
        <v>334</v>
      </c>
      <c r="B84">
        <v>8</v>
      </c>
    </row>
    <row r="85" spans="1:2" x14ac:dyDescent="0.3">
      <c r="A85" t="s">
        <v>335</v>
      </c>
      <c r="B85">
        <v>9</v>
      </c>
    </row>
    <row r="86" spans="1:2" x14ac:dyDescent="0.3">
      <c r="A86" t="s">
        <v>336</v>
      </c>
      <c r="B86">
        <v>10</v>
      </c>
    </row>
    <row r="87" spans="1:2" x14ac:dyDescent="0.3">
      <c r="A87" t="s">
        <v>337</v>
      </c>
      <c r="B87">
        <v>11</v>
      </c>
    </row>
    <row r="88" spans="1:2" x14ac:dyDescent="0.3">
      <c r="A88" t="s">
        <v>338</v>
      </c>
      <c r="B88">
        <v>12</v>
      </c>
    </row>
    <row r="89" spans="1:2" x14ac:dyDescent="0.3">
      <c r="A89" t="s">
        <v>339</v>
      </c>
      <c r="B89">
        <v>13</v>
      </c>
    </row>
    <row r="90" spans="1:2" x14ac:dyDescent="0.3">
      <c r="A90" t="s">
        <v>340</v>
      </c>
      <c r="B90">
        <v>14</v>
      </c>
    </row>
    <row r="91" spans="1:2" x14ac:dyDescent="0.3">
      <c r="A91" t="s">
        <v>341</v>
      </c>
      <c r="B91">
        <v>15</v>
      </c>
    </row>
    <row r="92" spans="1:2" x14ac:dyDescent="0.3">
      <c r="A92" t="s">
        <v>342</v>
      </c>
      <c r="B92">
        <v>16</v>
      </c>
    </row>
    <row r="93" spans="1:2" x14ac:dyDescent="0.3">
      <c r="A93" t="s">
        <v>343</v>
      </c>
      <c r="B93">
        <v>17</v>
      </c>
    </row>
    <row r="94" spans="1:2" x14ac:dyDescent="0.3">
      <c r="A94" t="s">
        <v>344</v>
      </c>
      <c r="B94">
        <v>18</v>
      </c>
    </row>
    <row r="95" spans="1:2" x14ac:dyDescent="0.3">
      <c r="A95" t="s">
        <v>345</v>
      </c>
      <c r="B95">
        <v>19</v>
      </c>
    </row>
    <row r="96" spans="1:2" x14ac:dyDescent="0.3">
      <c r="A96" t="s">
        <v>346</v>
      </c>
      <c r="B96">
        <v>20</v>
      </c>
    </row>
    <row r="97" spans="1:2" x14ac:dyDescent="0.3">
      <c r="A97" t="s">
        <v>347</v>
      </c>
      <c r="B97">
        <v>21</v>
      </c>
    </row>
    <row r="98" spans="1:2" x14ac:dyDescent="0.3">
      <c r="A98" t="s">
        <v>348</v>
      </c>
      <c r="B98">
        <v>22</v>
      </c>
    </row>
    <row r="99" spans="1:2" x14ac:dyDescent="0.3">
      <c r="A99" t="s">
        <v>349</v>
      </c>
      <c r="B99">
        <v>23</v>
      </c>
    </row>
    <row r="100" spans="1:2" x14ac:dyDescent="0.3">
      <c r="A100" t="s">
        <v>350</v>
      </c>
      <c r="B100">
        <v>24</v>
      </c>
    </row>
    <row r="101" spans="1:2" x14ac:dyDescent="0.3">
      <c r="A101" t="s">
        <v>351</v>
      </c>
      <c r="B101">
        <v>25</v>
      </c>
    </row>
    <row r="102" spans="1:2" x14ac:dyDescent="0.3">
      <c r="A102" t="s">
        <v>352</v>
      </c>
      <c r="B102">
        <v>26</v>
      </c>
    </row>
    <row r="103" spans="1:2" x14ac:dyDescent="0.3">
      <c r="A103" t="s">
        <v>353</v>
      </c>
      <c r="B103">
        <v>27</v>
      </c>
    </row>
    <row r="104" spans="1:2" x14ac:dyDescent="0.3">
      <c r="A104" t="s">
        <v>354</v>
      </c>
      <c r="B104">
        <v>28</v>
      </c>
    </row>
    <row r="105" spans="1:2" x14ac:dyDescent="0.3">
      <c r="A105" t="s">
        <v>355</v>
      </c>
      <c r="B105">
        <v>29</v>
      </c>
    </row>
    <row r="106" spans="1:2" x14ac:dyDescent="0.3">
      <c r="A106" t="s">
        <v>356</v>
      </c>
      <c r="B106">
        <v>31</v>
      </c>
    </row>
    <row r="107" spans="1:2" x14ac:dyDescent="0.3">
      <c r="A107" t="s">
        <v>357</v>
      </c>
      <c r="B107">
        <v>32</v>
      </c>
    </row>
    <row r="108" spans="1:2" x14ac:dyDescent="0.3">
      <c r="A108" t="s">
        <v>358</v>
      </c>
      <c r="B108">
        <v>33</v>
      </c>
    </row>
    <row r="109" spans="1:2" x14ac:dyDescent="0.3">
      <c r="A109" t="s">
        <v>359</v>
      </c>
      <c r="B109">
        <v>34</v>
      </c>
    </row>
    <row r="110" spans="1:2" x14ac:dyDescent="0.3">
      <c r="A110" t="s">
        <v>360</v>
      </c>
      <c r="B110">
        <v>35</v>
      </c>
    </row>
    <row r="111" spans="1:2" x14ac:dyDescent="0.3">
      <c r="A111" t="s">
        <v>361</v>
      </c>
      <c r="B111">
        <v>36</v>
      </c>
    </row>
    <row r="112" spans="1:2" x14ac:dyDescent="0.3">
      <c r="A112" t="s">
        <v>362</v>
      </c>
      <c r="B112">
        <v>37</v>
      </c>
    </row>
    <row r="113" spans="1:2" x14ac:dyDescent="0.3">
      <c r="A113" t="s">
        <v>363</v>
      </c>
      <c r="B113">
        <v>38</v>
      </c>
    </row>
    <row r="114" spans="1:2" x14ac:dyDescent="0.3">
      <c r="A114" t="s">
        <v>364</v>
      </c>
      <c r="B114">
        <v>39</v>
      </c>
    </row>
    <row r="115" spans="1:2" x14ac:dyDescent="0.3">
      <c r="A115" t="s">
        <v>365</v>
      </c>
      <c r="B115">
        <v>40</v>
      </c>
    </row>
    <row r="116" spans="1:2" x14ac:dyDescent="0.3">
      <c r="A116" t="s">
        <v>366</v>
      </c>
      <c r="B116">
        <v>41</v>
      </c>
    </row>
    <row r="117" spans="1:2" x14ac:dyDescent="0.3">
      <c r="A117" t="s">
        <v>367</v>
      </c>
      <c r="B117">
        <v>42</v>
      </c>
    </row>
    <row r="118" spans="1:2" x14ac:dyDescent="0.3">
      <c r="A118" t="s">
        <v>368</v>
      </c>
      <c r="B118">
        <v>43</v>
      </c>
    </row>
    <row r="119" spans="1:2" x14ac:dyDescent="0.3">
      <c r="A119" t="s">
        <v>369</v>
      </c>
      <c r="B119">
        <v>44</v>
      </c>
    </row>
    <row r="120" spans="1:2" x14ac:dyDescent="0.3">
      <c r="A120" t="s">
        <v>370</v>
      </c>
      <c r="B120">
        <v>45</v>
      </c>
    </row>
    <row r="121" spans="1:2" x14ac:dyDescent="0.3">
      <c r="A121" t="s">
        <v>371</v>
      </c>
      <c r="B121">
        <v>46</v>
      </c>
    </row>
    <row r="122" spans="1:2" x14ac:dyDescent="0.3">
      <c r="A122" t="s">
        <v>372</v>
      </c>
      <c r="B122">
        <v>47</v>
      </c>
    </row>
    <row r="123" spans="1:2" x14ac:dyDescent="0.3">
      <c r="A123" t="s">
        <v>373</v>
      </c>
      <c r="B123">
        <v>48</v>
      </c>
    </row>
    <row r="124" spans="1:2" x14ac:dyDescent="0.3">
      <c r="A124" t="s">
        <v>374</v>
      </c>
      <c r="B124">
        <v>49</v>
      </c>
    </row>
    <row r="125" spans="1:2" x14ac:dyDescent="0.3">
      <c r="A125" t="s">
        <v>375</v>
      </c>
      <c r="B125">
        <v>50</v>
      </c>
    </row>
    <row r="126" spans="1:2" x14ac:dyDescent="0.3">
      <c r="A126" t="s">
        <v>376</v>
      </c>
      <c r="B126">
        <v>51</v>
      </c>
    </row>
    <row r="127" spans="1:2" x14ac:dyDescent="0.3">
      <c r="A127" t="s">
        <v>377</v>
      </c>
      <c r="B127">
        <v>52</v>
      </c>
    </row>
    <row r="128" spans="1:2" x14ac:dyDescent="0.3">
      <c r="A128" t="s">
        <v>378</v>
      </c>
      <c r="B128">
        <v>54</v>
      </c>
    </row>
    <row r="129" spans="1:23" x14ac:dyDescent="0.3">
      <c r="A129" t="s">
        <v>379</v>
      </c>
      <c r="B129">
        <v>55</v>
      </c>
    </row>
    <row r="130" spans="1:23" x14ac:dyDescent="0.3">
      <c r="A130" t="s">
        <v>380</v>
      </c>
      <c r="B130">
        <v>56</v>
      </c>
    </row>
    <row r="131" spans="1:23" x14ac:dyDescent="0.3">
      <c r="A131" t="s">
        <v>381</v>
      </c>
      <c r="B131">
        <v>57</v>
      </c>
    </row>
    <row r="132" spans="1:23" x14ac:dyDescent="0.3">
      <c r="A132" t="s">
        <v>382</v>
      </c>
      <c r="B132">
        <v>58</v>
      </c>
    </row>
    <row r="133" spans="1:23" x14ac:dyDescent="0.3">
      <c r="A133" t="s">
        <v>383</v>
      </c>
      <c r="B133">
        <v>59</v>
      </c>
    </row>
    <row r="134" spans="1:23" x14ac:dyDescent="0.3">
      <c r="A134" t="s">
        <v>384</v>
      </c>
      <c r="B134" t="s">
        <v>385</v>
      </c>
    </row>
    <row r="135" spans="1:23" x14ac:dyDescent="0.3">
      <c r="A135" t="s">
        <v>386</v>
      </c>
      <c r="B135" t="s">
        <v>387</v>
      </c>
    </row>
    <row r="136" spans="1:23" x14ac:dyDescent="0.3">
      <c r="A136" t="s">
        <v>388</v>
      </c>
      <c r="B136" t="s">
        <v>389</v>
      </c>
    </row>
    <row r="137" spans="1:23" x14ac:dyDescent="0.3">
      <c r="A137" t="s">
        <v>390</v>
      </c>
      <c r="B137" t="s">
        <v>391</v>
      </c>
    </row>
    <row r="138" spans="1:23" x14ac:dyDescent="0.3">
      <c r="A138" t="s">
        <v>392</v>
      </c>
      <c r="B138" t="s">
        <v>393</v>
      </c>
    </row>
    <row r="139" spans="1:23" x14ac:dyDescent="0.3">
      <c r="A139" t="s">
        <v>394</v>
      </c>
      <c r="B139" t="s">
        <v>395</v>
      </c>
    </row>
    <row r="140" spans="1:23" x14ac:dyDescent="0.3">
      <c r="A140" t="s">
        <v>396</v>
      </c>
      <c r="B140" t="s">
        <v>397</v>
      </c>
    </row>
    <row r="141" spans="1:23" x14ac:dyDescent="0.3">
      <c r="A141" t="s">
        <v>398</v>
      </c>
      <c r="B141" t="s">
        <v>399</v>
      </c>
    </row>
    <row r="142" spans="1:23" x14ac:dyDescent="0.3">
      <c r="A142" t="s">
        <v>400</v>
      </c>
      <c r="B142" t="s">
        <v>401</v>
      </c>
    </row>
    <row r="143" spans="1:23" x14ac:dyDescent="0.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403</v>
      </c>
      <c r="B144">
        <v>1</v>
      </c>
    </row>
    <row r="145" spans="1:2" x14ac:dyDescent="0.3">
      <c r="A145" t="s">
        <v>404</v>
      </c>
      <c r="B145">
        <v>2</v>
      </c>
    </row>
    <row r="146" spans="1:2" x14ac:dyDescent="0.3">
      <c r="A146" t="s">
        <v>405</v>
      </c>
      <c r="B146">
        <v>3</v>
      </c>
    </row>
    <row r="147" spans="1:2" x14ac:dyDescent="0.3">
      <c r="A147" t="s">
        <v>406</v>
      </c>
      <c r="B147">
        <v>4</v>
      </c>
    </row>
    <row r="148" spans="1:2" x14ac:dyDescent="0.3">
      <c r="A148" t="s">
        <v>407</v>
      </c>
      <c r="B148">
        <v>5</v>
      </c>
    </row>
    <row r="149" spans="1:2" x14ac:dyDescent="0.3">
      <c r="A149" t="s">
        <v>408</v>
      </c>
      <c r="B149">
        <v>6</v>
      </c>
    </row>
    <row r="150" spans="1:2" x14ac:dyDescent="0.3">
      <c r="A150" t="s">
        <v>409</v>
      </c>
      <c r="B150">
        <v>8</v>
      </c>
    </row>
    <row r="151" spans="1:2" x14ac:dyDescent="0.3">
      <c r="A151" t="s">
        <v>410</v>
      </c>
      <c r="B151">
        <v>9</v>
      </c>
    </row>
    <row r="152" spans="1:2" x14ac:dyDescent="0.3">
      <c r="A152" t="s">
        <v>411</v>
      </c>
      <c r="B152">
        <v>10</v>
      </c>
    </row>
    <row r="153" spans="1:2" x14ac:dyDescent="0.3">
      <c r="A153" t="s">
        <v>412</v>
      </c>
      <c r="B153">
        <v>11</v>
      </c>
    </row>
    <row r="154" spans="1:2" x14ac:dyDescent="0.3">
      <c r="A154" t="s">
        <v>413</v>
      </c>
      <c r="B154">
        <v>12</v>
      </c>
    </row>
    <row r="155" spans="1:2" x14ac:dyDescent="0.3">
      <c r="A155" t="s">
        <v>414</v>
      </c>
      <c r="B155">
        <v>13</v>
      </c>
    </row>
    <row r="156" spans="1:2" x14ac:dyDescent="0.3">
      <c r="A156" t="s">
        <v>415</v>
      </c>
      <c r="B156">
        <v>14</v>
      </c>
    </row>
    <row r="157" spans="1:2" x14ac:dyDescent="0.3">
      <c r="A157" t="s">
        <v>416</v>
      </c>
      <c r="B157">
        <v>15</v>
      </c>
    </row>
    <row r="158" spans="1:2" x14ac:dyDescent="0.3">
      <c r="A158" t="s">
        <v>417</v>
      </c>
      <c r="B158">
        <v>16</v>
      </c>
    </row>
    <row r="159" spans="1:2" x14ac:dyDescent="0.3">
      <c r="A159" t="s">
        <v>418</v>
      </c>
      <c r="B159">
        <v>17</v>
      </c>
    </row>
    <row r="160" spans="1:2" x14ac:dyDescent="0.3">
      <c r="A160" t="s">
        <v>419</v>
      </c>
      <c r="B160">
        <v>18</v>
      </c>
    </row>
    <row r="161" spans="1:2" x14ac:dyDescent="0.3">
      <c r="A161" t="s">
        <v>420</v>
      </c>
      <c r="B161">
        <v>19</v>
      </c>
    </row>
    <row r="162" spans="1:2" x14ac:dyDescent="0.3">
      <c r="A162" t="s">
        <v>421</v>
      </c>
      <c r="B162">
        <v>20</v>
      </c>
    </row>
    <row r="163" spans="1:2" x14ac:dyDescent="0.3">
      <c r="A163" t="s">
        <v>422</v>
      </c>
      <c r="B163">
        <v>21</v>
      </c>
    </row>
    <row r="164" spans="1:2" x14ac:dyDescent="0.3">
      <c r="A164" t="s">
        <v>423</v>
      </c>
      <c r="B164">
        <v>22</v>
      </c>
    </row>
    <row r="165" spans="1:2" x14ac:dyDescent="0.3">
      <c r="A165" t="s">
        <v>424</v>
      </c>
      <c r="B165">
        <v>23</v>
      </c>
    </row>
    <row r="166" spans="1:2" x14ac:dyDescent="0.3">
      <c r="A166" t="s">
        <v>425</v>
      </c>
      <c r="B166">
        <v>24</v>
      </c>
    </row>
    <row r="167" spans="1:2" x14ac:dyDescent="0.3">
      <c r="A167" t="s">
        <v>426</v>
      </c>
      <c r="B167">
        <v>25</v>
      </c>
    </row>
    <row r="168" spans="1:2" x14ac:dyDescent="0.3">
      <c r="A168" t="s">
        <v>427</v>
      </c>
      <c r="B168">
        <v>26</v>
      </c>
    </row>
    <row r="169" spans="1:2" x14ac:dyDescent="0.3">
      <c r="A169" t="s">
        <v>428</v>
      </c>
      <c r="B169">
        <v>27</v>
      </c>
    </row>
    <row r="170" spans="1:2" x14ac:dyDescent="0.3">
      <c r="A170" t="s">
        <v>429</v>
      </c>
      <c r="B170">
        <v>28</v>
      </c>
    </row>
    <row r="171" spans="1:2" x14ac:dyDescent="0.3">
      <c r="A171" t="s">
        <v>430</v>
      </c>
      <c r="B171">
        <v>29</v>
      </c>
    </row>
    <row r="172" spans="1:2" x14ac:dyDescent="0.3">
      <c r="A172" t="s">
        <v>431</v>
      </c>
      <c r="B172">
        <v>31</v>
      </c>
    </row>
    <row r="173" spans="1:2" x14ac:dyDescent="0.3">
      <c r="A173" t="s">
        <v>432</v>
      </c>
      <c r="B173">
        <v>32</v>
      </c>
    </row>
    <row r="174" spans="1:2" x14ac:dyDescent="0.3">
      <c r="A174" t="s">
        <v>433</v>
      </c>
      <c r="B174">
        <v>33</v>
      </c>
    </row>
    <row r="175" spans="1:2" x14ac:dyDescent="0.3">
      <c r="A175" t="s">
        <v>434</v>
      </c>
      <c r="B175">
        <v>34</v>
      </c>
    </row>
    <row r="176" spans="1:2" x14ac:dyDescent="0.3">
      <c r="A176" t="s">
        <v>435</v>
      </c>
      <c r="B176">
        <v>35</v>
      </c>
    </row>
    <row r="177" spans="1:2" x14ac:dyDescent="0.3">
      <c r="A177" t="s">
        <v>436</v>
      </c>
      <c r="B177">
        <v>36</v>
      </c>
    </row>
    <row r="178" spans="1:2" x14ac:dyDescent="0.3">
      <c r="A178" t="s">
        <v>437</v>
      </c>
      <c r="B178">
        <v>37</v>
      </c>
    </row>
    <row r="179" spans="1:2" x14ac:dyDescent="0.3">
      <c r="A179" t="s">
        <v>438</v>
      </c>
      <c r="B179">
        <v>38</v>
      </c>
    </row>
    <row r="180" spans="1:2" x14ac:dyDescent="0.3">
      <c r="A180" t="s">
        <v>439</v>
      </c>
      <c r="B180">
        <v>39</v>
      </c>
    </row>
    <row r="181" spans="1:2" x14ac:dyDescent="0.3">
      <c r="A181" t="s">
        <v>440</v>
      </c>
      <c r="B181">
        <v>40</v>
      </c>
    </row>
    <row r="182" spans="1:2" x14ac:dyDescent="0.3">
      <c r="A182" t="s">
        <v>441</v>
      </c>
      <c r="B182">
        <v>41</v>
      </c>
    </row>
    <row r="183" spans="1:2" x14ac:dyDescent="0.3">
      <c r="A183" t="s">
        <v>442</v>
      </c>
      <c r="B183">
        <v>42</v>
      </c>
    </row>
    <row r="184" spans="1:2" x14ac:dyDescent="0.3">
      <c r="A184" t="s">
        <v>443</v>
      </c>
      <c r="B184">
        <v>43</v>
      </c>
    </row>
    <row r="185" spans="1:2" x14ac:dyDescent="0.3">
      <c r="A185" t="s">
        <v>444</v>
      </c>
      <c r="B185">
        <v>44</v>
      </c>
    </row>
    <row r="186" spans="1:2" x14ac:dyDescent="0.3">
      <c r="A186" t="s">
        <v>445</v>
      </c>
      <c r="B186">
        <v>45</v>
      </c>
    </row>
    <row r="187" spans="1:2" x14ac:dyDescent="0.3">
      <c r="A187" t="s">
        <v>446</v>
      </c>
      <c r="B187">
        <v>46</v>
      </c>
    </row>
    <row r="188" spans="1:2" x14ac:dyDescent="0.3">
      <c r="A188" t="s">
        <v>447</v>
      </c>
      <c r="B188">
        <v>47</v>
      </c>
    </row>
    <row r="189" spans="1:2" x14ac:dyDescent="0.3">
      <c r="A189" t="s">
        <v>448</v>
      </c>
      <c r="B189">
        <v>48</v>
      </c>
    </row>
    <row r="190" spans="1:2" x14ac:dyDescent="0.3">
      <c r="A190" t="s">
        <v>449</v>
      </c>
      <c r="B190">
        <v>49</v>
      </c>
    </row>
    <row r="191" spans="1:2" x14ac:dyDescent="0.3">
      <c r="A191" t="s">
        <v>450</v>
      </c>
      <c r="B191">
        <v>50</v>
      </c>
    </row>
    <row r="192" spans="1:2" x14ac:dyDescent="0.3">
      <c r="A192" t="s">
        <v>451</v>
      </c>
      <c r="B192">
        <v>51</v>
      </c>
    </row>
    <row r="193" spans="1:2" x14ac:dyDescent="0.3">
      <c r="A193" t="s">
        <v>452</v>
      </c>
      <c r="B193">
        <v>52</v>
      </c>
    </row>
    <row r="194" spans="1:2" x14ac:dyDescent="0.3">
      <c r="A194" t="s">
        <v>453</v>
      </c>
      <c r="B194">
        <v>54</v>
      </c>
    </row>
    <row r="195" spans="1:2" x14ac:dyDescent="0.3">
      <c r="A195" t="s">
        <v>454</v>
      </c>
      <c r="B195">
        <v>55</v>
      </c>
    </row>
    <row r="196" spans="1:2" x14ac:dyDescent="0.3">
      <c r="A196" t="s">
        <v>455</v>
      </c>
      <c r="B196">
        <v>56</v>
      </c>
    </row>
    <row r="197" spans="1:2" x14ac:dyDescent="0.3">
      <c r="A197" t="s">
        <v>456</v>
      </c>
      <c r="B197">
        <v>57</v>
      </c>
    </row>
    <row r="198" spans="1:2" x14ac:dyDescent="0.3">
      <c r="A198" t="s">
        <v>457</v>
      </c>
      <c r="B198">
        <v>58</v>
      </c>
    </row>
    <row r="199" spans="1:2" x14ac:dyDescent="0.3">
      <c r="A199" t="s">
        <v>458</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478</v>
      </c>
      <c r="B210">
        <v>1</v>
      </c>
    </row>
    <row r="211" spans="1:23" x14ac:dyDescent="0.3">
      <c r="A211" t="s">
        <v>479</v>
      </c>
      <c r="B211">
        <v>2</v>
      </c>
    </row>
    <row r="212" spans="1:23" x14ac:dyDescent="0.3">
      <c r="A212" t="s">
        <v>480</v>
      </c>
      <c r="B212">
        <v>3</v>
      </c>
    </row>
    <row r="213" spans="1:23" x14ac:dyDescent="0.3">
      <c r="A213" t="s">
        <v>481</v>
      </c>
      <c r="B213">
        <v>4</v>
      </c>
    </row>
    <row r="214" spans="1:23" x14ac:dyDescent="0.3">
      <c r="A214" t="s">
        <v>482</v>
      </c>
      <c r="B214">
        <v>5</v>
      </c>
    </row>
    <row r="215" spans="1:23" x14ac:dyDescent="0.3">
      <c r="A215" t="s">
        <v>483</v>
      </c>
      <c r="B215">
        <v>6</v>
      </c>
    </row>
    <row r="216" spans="1:23" x14ac:dyDescent="0.3">
      <c r="A216" t="s">
        <v>484</v>
      </c>
      <c r="B216">
        <v>7</v>
      </c>
    </row>
    <row r="217" spans="1:23" x14ac:dyDescent="0.3">
      <c r="A217" t="s">
        <v>485</v>
      </c>
      <c r="B217">
        <v>9</v>
      </c>
    </row>
    <row r="218" spans="1:23" x14ac:dyDescent="0.3">
      <c r="A218" t="s">
        <v>486</v>
      </c>
      <c r="B218">
        <v>10</v>
      </c>
    </row>
    <row r="219" spans="1:23" x14ac:dyDescent="0.3">
      <c r="A219" t="s">
        <v>487</v>
      </c>
      <c r="B219">
        <v>11</v>
      </c>
    </row>
    <row r="220" spans="1:23" x14ac:dyDescent="0.3">
      <c r="A220" t="s">
        <v>488</v>
      </c>
      <c r="B220">
        <v>12</v>
      </c>
    </row>
    <row r="221" spans="1:23" x14ac:dyDescent="0.3">
      <c r="A221" t="s">
        <v>489</v>
      </c>
      <c r="B221">
        <v>13</v>
      </c>
    </row>
    <row r="222" spans="1:23" x14ac:dyDescent="0.3">
      <c r="A222" t="s">
        <v>490</v>
      </c>
      <c r="B222">
        <v>14</v>
      </c>
    </row>
    <row r="223" spans="1:23" x14ac:dyDescent="0.3">
      <c r="A223" t="s">
        <v>491</v>
      </c>
      <c r="B223">
        <v>15</v>
      </c>
    </row>
    <row r="224" spans="1:23" x14ac:dyDescent="0.3">
      <c r="A224" t="s">
        <v>492</v>
      </c>
      <c r="B224">
        <v>16</v>
      </c>
    </row>
    <row r="225" spans="1:2" x14ac:dyDescent="0.3">
      <c r="A225" t="s">
        <v>493</v>
      </c>
      <c r="B225">
        <v>17</v>
      </c>
    </row>
    <row r="226" spans="1:2" x14ac:dyDescent="0.3">
      <c r="A226" t="s">
        <v>494</v>
      </c>
      <c r="B226">
        <v>18</v>
      </c>
    </row>
    <row r="227" spans="1:2" x14ac:dyDescent="0.3">
      <c r="A227" t="s">
        <v>495</v>
      </c>
      <c r="B227">
        <v>19</v>
      </c>
    </row>
    <row r="228" spans="1:2" x14ac:dyDescent="0.3">
      <c r="A228" t="s">
        <v>496</v>
      </c>
      <c r="B228">
        <v>20</v>
      </c>
    </row>
    <row r="229" spans="1:2" x14ac:dyDescent="0.3">
      <c r="A229" t="s">
        <v>497</v>
      </c>
      <c r="B229">
        <v>21</v>
      </c>
    </row>
    <row r="230" spans="1:2" x14ac:dyDescent="0.3">
      <c r="A230" t="s">
        <v>498</v>
      </c>
      <c r="B230">
        <v>22</v>
      </c>
    </row>
    <row r="231" spans="1:2" x14ac:dyDescent="0.3">
      <c r="A231" t="s">
        <v>499</v>
      </c>
      <c r="B231">
        <v>23</v>
      </c>
    </row>
    <row r="232" spans="1:2" x14ac:dyDescent="0.3">
      <c r="A232" t="s">
        <v>500</v>
      </c>
      <c r="B232">
        <v>24</v>
      </c>
    </row>
    <row r="233" spans="1:2" x14ac:dyDescent="0.3">
      <c r="A233" t="s">
        <v>501</v>
      </c>
      <c r="B233">
        <v>25</v>
      </c>
    </row>
    <row r="234" spans="1:2" x14ac:dyDescent="0.3">
      <c r="A234" t="s">
        <v>502</v>
      </c>
      <c r="B234">
        <v>26</v>
      </c>
    </row>
    <row r="235" spans="1:2" x14ac:dyDescent="0.3">
      <c r="A235" t="s">
        <v>503</v>
      </c>
      <c r="B235">
        <v>27</v>
      </c>
    </row>
    <row r="236" spans="1:2" x14ac:dyDescent="0.3">
      <c r="A236" t="s">
        <v>504</v>
      </c>
      <c r="B236">
        <v>28</v>
      </c>
    </row>
    <row r="237" spans="1:2" x14ac:dyDescent="0.3">
      <c r="A237" t="s">
        <v>505</v>
      </c>
      <c r="B237">
        <v>29</v>
      </c>
    </row>
    <row r="238" spans="1:2" x14ac:dyDescent="0.3">
      <c r="A238" t="s">
        <v>506</v>
      </c>
      <c r="B238">
        <v>30</v>
      </c>
    </row>
    <row r="239" spans="1:2" x14ac:dyDescent="0.3">
      <c r="A239" t="s">
        <v>507</v>
      </c>
      <c r="B239">
        <v>31</v>
      </c>
    </row>
    <row r="240" spans="1:2" x14ac:dyDescent="0.3">
      <c r="A240" t="s">
        <v>508</v>
      </c>
      <c r="B240">
        <v>33</v>
      </c>
    </row>
    <row r="241" spans="1:2" x14ac:dyDescent="0.3">
      <c r="A241" t="s">
        <v>509</v>
      </c>
      <c r="B241">
        <v>34</v>
      </c>
    </row>
    <row r="242" spans="1:2" x14ac:dyDescent="0.3">
      <c r="A242" t="s">
        <v>510</v>
      </c>
      <c r="B242">
        <v>35</v>
      </c>
    </row>
    <row r="243" spans="1:2" x14ac:dyDescent="0.3">
      <c r="A243" t="s">
        <v>511</v>
      </c>
      <c r="B243">
        <v>36</v>
      </c>
    </row>
    <row r="244" spans="1:2" x14ac:dyDescent="0.3">
      <c r="A244" t="s">
        <v>512</v>
      </c>
      <c r="B244">
        <v>37</v>
      </c>
    </row>
    <row r="245" spans="1:2" x14ac:dyDescent="0.3">
      <c r="A245" t="s">
        <v>513</v>
      </c>
      <c r="B245">
        <v>38</v>
      </c>
    </row>
    <row r="246" spans="1:2" x14ac:dyDescent="0.3">
      <c r="A246" t="s">
        <v>514</v>
      </c>
      <c r="B246">
        <v>39</v>
      </c>
    </row>
    <row r="247" spans="1:2" x14ac:dyDescent="0.3">
      <c r="A247" t="s">
        <v>515</v>
      </c>
      <c r="B247">
        <v>40</v>
      </c>
    </row>
    <row r="248" spans="1:2" x14ac:dyDescent="0.3">
      <c r="A248" t="s">
        <v>516</v>
      </c>
      <c r="B248">
        <v>41</v>
      </c>
    </row>
    <row r="249" spans="1:2" x14ac:dyDescent="0.3">
      <c r="A249" t="s">
        <v>517</v>
      </c>
      <c r="B249">
        <v>42</v>
      </c>
    </row>
    <row r="250" spans="1:2" x14ac:dyDescent="0.3">
      <c r="A250" t="s">
        <v>518</v>
      </c>
      <c r="B250">
        <v>43</v>
      </c>
    </row>
    <row r="251" spans="1:2" x14ac:dyDescent="0.3">
      <c r="A251" t="s">
        <v>519</v>
      </c>
      <c r="B251">
        <v>44</v>
      </c>
    </row>
    <row r="252" spans="1:2" x14ac:dyDescent="0.3">
      <c r="A252" t="s">
        <v>520</v>
      </c>
      <c r="B252">
        <v>45</v>
      </c>
    </row>
    <row r="253" spans="1:2" x14ac:dyDescent="0.3">
      <c r="A253" t="s">
        <v>521</v>
      </c>
      <c r="B253">
        <v>46</v>
      </c>
    </row>
    <row r="254" spans="1:2" x14ac:dyDescent="0.3">
      <c r="A254" t="s">
        <v>522</v>
      </c>
      <c r="B254">
        <v>47</v>
      </c>
    </row>
    <row r="255" spans="1:2" x14ac:dyDescent="0.3">
      <c r="A255" t="s">
        <v>523</v>
      </c>
      <c r="B255">
        <v>48</v>
      </c>
    </row>
    <row r="256" spans="1:2" x14ac:dyDescent="0.3">
      <c r="A256" t="s">
        <v>524</v>
      </c>
      <c r="B256">
        <v>49</v>
      </c>
    </row>
    <row r="257" spans="1:2" x14ac:dyDescent="0.3">
      <c r="A257" t="s">
        <v>525</v>
      </c>
      <c r="B257">
        <v>50</v>
      </c>
    </row>
    <row r="258" spans="1:2" x14ac:dyDescent="0.3">
      <c r="A258" t="s">
        <v>526</v>
      </c>
      <c r="B258">
        <v>51</v>
      </c>
    </row>
    <row r="259" spans="1:2" x14ac:dyDescent="0.3">
      <c r="A259" t="s">
        <v>527</v>
      </c>
      <c r="B259">
        <v>52</v>
      </c>
    </row>
    <row r="260" spans="1:2" x14ac:dyDescent="0.3">
      <c r="A260" t="s">
        <v>528</v>
      </c>
      <c r="B260">
        <v>53</v>
      </c>
    </row>
    <row r="261" spans="1:2" x14ac:dyDescent="0.3">
      <c r="A261" t="s">
        <v>529</v>
      </c>
      <c r="B261">
        <v>54</v>
      </c>
    </row>
    <row r="262" spans="1:2" x14ac:dyDescent="0.3">
      <c r="A262" t="s">
        <v>530</v>
      </c>
      <c r="B262">
        <v>55</v>
      </c>
    </row>
    <row r="263" spans="1:2" x14ac:dyDescent="0.3">
      <c r="A263" t="s">
        <v>531</v>
      </c>
      <c r="B263">
        <v>57</v>
      </c>
    </row>
    <row r="264" spans="1:2" x14ac:dyDescent="0.3">
      <c r="A264" t="s">
        <v>532</v>
      </c>
      <c r="B264">
        <v>58</v>
      </c>
    </row>
    <row r="265" spans="1:2" x14ac:dyDescent="0.3">
      <c r="A265" t="s">
        <v>533</v>
      </c>
      <c r="B265">
        <v>59</v>
      </c>
    </row>
    <row r="266" spans="1:2" x14ac:dyDescent="0.3">
      <c r="A266" t="s">
        <v>534</v>
      </c>
      <c r="B266">
        <v>60</v>
      </c>
    </row>
    <row r="267" spans="1:2" x14ac:dyDescent="0.3">
      <c r="A267" t="s">
        <v>535</v>
      </c>
      <c r="B267">
        <v>62</v>
      </c>
    </row>
    <row r="268" spans="1:2" x14ac:dyDescent="0.3">
      <c r="A268" t="s">
        <v>536</v>
      </c>
      <c r="B268">
        <v>63</v>
      </c>
    </row>
    <row r="269" spans="1:2" x14ac:dyDescent="0.3">
      <c r="A269" t="s">
        <v>537</v>
      </c>
      <c r="B269">
        <v>64</v>
      </c>
    </row>
    <row r="270" spans="1:2" x14ac:dyDescent="0.3">
      <c r="A270" t="s">
        <v>538</v>
      </c>
      <c r="B270">
        <v>65</v>
      </c>
    </row>
    <row r="271" spans="1:2" x14ac:dyDescent="0.3">
      <c r="A271" t="s">
        <v>539</v>
      </c>
      <c r="B271">
        <v>66</v>
      </c>
    </row>
    <row r="272" spans="1:2" x14ac:dyDescent="0.3">
      <c r="A272" t="s">
        <v>540</v>
      </c>
      <c r="B272">
        <v>68</v>
      </c>
    </row>
    <row r="273" spans="1:24" x14ac:dyDescent="0.3">
      <c r="A273" t="s">
        <v>541</v>
      </c>
      <c r="B273">
        <v>69</v>
      </c>
    </row>
    <row r="274" spans="1:24" x14ac:dyDescent="0.3">
      <c r="A274" t="s">
        <v>542</v>
      </c>
      <c r="B274">
        <v>70</v>
      </c>
    </row>
    <row r="275" spans="1:24" x14ac:dyDescent="0.3">
      <c r="A275" t="s">
        <v>543</v>
      </c>
      <c r="B275">
        <v>71</v>
      </c>
    </row>
    <row r="276" spans="1:24" x14ac:dyDescent="0.3">
      <c r="A276" t="s">
        <v>544</v>
      </c>
      <c r="B276">
        <v>72</v>
      </c>
    </row>
    <row r="277" spans="1:24" x14ac:dyDescent="0.3">
      <c r="A277" t="s">
        <v>545</v>
      </c>
      <c r="B277" t="s">
        <v>546</v>
      </c>
    </row>
    <row r="278" spans="1:24" x14ac:dyDescent="0.3">
      <c r="A278" t="s">
        <v>547</v>
      </c>
      <c r="B278" t="s">
        <v>548</v>
      </c>
    </row>
    <row r="279" spans="1:24" x14ac:dyDescent="0.3">
      <c r="A279" t="s">
        <v>549</v>
      </c>
      <c r="B279" t="s">
        <v>550</v>
      </c>
    </row>
    <row r="280" spans="1:24" x14ac:dyDescent="0.3">
      <c r="A280" t="s">
        <v>551</v>
      </c>
      <c r="B280" t="s">
        <v>552</v>
      </c>
    </row>
    <row r="281" spans="1:24" x14ac:dyDescent="0.3">
      <c r="A281" t="s">
        <v>553</v>
      </c>
      <c r="B281" t="s">
        <v>554</v>
      </c>
    </row>
    <row r="282" spans="1:24" x14ac:dyDescent="0.3">
      <c r="A282" t="s">
        <v>555</v>
      </c>
      <c r="B282" t="s">
        <v>556</v>
      </c>
    </row>
    <row r="283" spans="1:24" x14ac:dyDescent="0.3">
      <c r="A283" t="s">
        <v>557</v>
      </c>
      <c r="B283" t="s">
        <v>558</v>
      </c>
    </row>
    <row r="284" spans="1:24" x14ac:dyDescent="0.3">
      <c r="A284" t="s">
        <v>559</v>
      </c>
      <c r="B284" t="s">
        <v>560</v>
      </c>
    </row>
    <row r="285" spans="1:24" x14ac:dyDescent="0.3">
      <c r="A285" t="s">
        <v>561</v>
      </c>
      <c r="B285" t="s">
        <v>562</v>
      </c>
    </row>
    <row r="286" spans="1:24" x14ac:dyDescent="0.3">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3" t="s">
        <v>564</v>
      </c>
      <c r="B1" s="59"/>
      <c r="C1" s="59"/>
      <c r="D1" s="59"/>
      <c r="E1" s="59"/>
      <c r="F1" s="59"/>
      <c r="H1" s="58" t="str">
        <f>Summary!$C$1</f>
        <v>Master+r7.0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3">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571</v>
      </c>
      <c r="V5" s="15" t="s">
        <v>571</v>
      </c>
      <c r="W5" s="15" t="s">
        <v>571</v>
      </c>
      <c r="X5" s="15" t="s">
        <v>571</v>
      </c>
      <c r="Y5" s="15" t="s">
        <v>571</v>
      </c>
      <c r="Z5" s="16">
        <v>2774.65</v>
      </c>
      <c r="AA5" s="16">
        <v>4254.18</v>
      </c>
      <c r="AB5" s="16">
        <v>3.5830000000000002</v>
      </c>
      <c r="AC5" s="16">
        <v>18.701000000000001</v>
      </c>
      <c r="AE5" s="17">
        <f t="shared" ref="AE5:AE11" si="7">IF(ISBLANK(Q5),"·",Q5/(C5*(D5*3+IF(AND(ISNUMBER(T5),T5&gt;0),24,0))))</f>
        <v>1.7246264730099159E-2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571</v>
      </c>
      <c r="V6" s="24" t="s">
        <v>571</v>
      </c>
      <c r="W6" s="24" t="s">
        <v>571</v>
      </c>
      <c r="X6" s="24" t="s">
        <v>571</v>
      </c>
      <c r="Y6" s="24" t="s">
        <v>571</v>
      </c>
      <c r="Z6" s="25">
        <v>2526.75</v>
      </c>
      <c r="AA6" s="25">
        <v>4340.82</v>
      </c>
      <c r="AB6" s="25">
        <v>3.4420000000000002</v>
      </c>
      <c r="AC6" s="25">
        <v>20.407</v>
      </c>
      <c r="AE6" s="26">
        <f t="shared" si="7"/>
        <v>2.4546267577049512E-2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571</v>
      </c>
      <c r="V7" s="15" t="s">
        <v>571</v>
      </c>
      <c r="W7" s="15" t="s">
        <v>571</v>
      </c>
      <c r="X7" s="15" t="s">
        <v>571</v>
      </c>
      <c r="Y7" s="15" t="s">
        <v>571</v>
      </c>
      <c r="Z7" s="16">
        <v>3679.12</v>
      </c>
      <c r="AA7" s="16">
        <v>5763.1</v>
      </c>
      <c r="AB7" s="16">
        <v>4.88</v>
      </c>
      <c r="AC7" s="16">
        <v>22.954000000000001</v>
      </c>
      <c r="AE7" s="17">
        <f t="shared" si="7"/>
        <v>1.9382873445357721E-2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571</v>
      </c>
      <c r="V8" s="43" t="s">
        <v>571</v>
      </c>
      <c r="W8" s="43" t="s">
        <v>571</v>
      </c>
      <c r="X8" s="43" t="s">
        <v>571</v>
      </c>
      <c r="Y8" s="43" t="s">
        <v>571</v>
      </c>
      <c r="Z8" s="44">
        <v>3575.41</v>
      </c>
      <c r="AA8" s="44">
        <v>4561.07</v>
      </c>
      <c r="AB8" s="44">
        <v>4.33</v>
      </c>
      <c r="AC8" s="44">
        <v>21.745000000000001</v>
      </c>
      <c r="AE8" s="46">
        <f t="shared" si="7"/>
        <v>1.9264459855466445E-2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571</v>
      </c>
      <c r="V9" s="33" t="s">
        <v>571</v>
      </c>
      <c r="W9" s="33" t="s">
        <v>571</v>
      </c>
      <c r="X9" s="33" t="s">
        <v>571</v>
      </c>
      <c r="Y9" s="33" t="s">
        <v>571</v>
      </c>
      <c r="Z9" s="34">
        <v>1179.9000000000001</v>
      </c>
      <c r="AA9" s="34">
        <v>4869.26</v>
      </c>
      <c r="AB9" s="34">
        <v>3.653</v>
      </c>
      <c r="AC9" s="34">
        <v>22.413</v>
      </c>
      <c r="AE9" s="36">
        <f t="shared" si="7"/>
        <v>2.7932178879673222E-2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571</v>
      </c>
      <c r="V10" s="24" t="s">
        <v>571</v>
      </c>
      <c r="W10" s="24" t="s">
        <v>571</v>
      </c>
      <c r="X10" s="24" t="s">
        <v>571</v>
      </c>
      <c r="Y10" s="24" t="s">
        <v>571</v>
      </c>
      <c r="Z10" s="25">
        <v>2515.04</v>
      </c>
      <c r="AA10" s="25">
        <v>13902.4</v>
      </c>
      <c r="AB10" s="25">
        <v>11.909000000000001</v>
      </c>
      <c r="AC10" s="25">
        <v>60.41</v>
      </c>
      <c r="AE10" s="26">
        <f t="shared" si="7"/>
        <v>4.2419744383943012E-2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571</v>
      </c>
      <c r="V11" s="33" t="s">
        <v>571</v>
      </c>
      <c r="W11" s="33" t="s">
        <v>571</v>
      </c>
      <c r="X11" s="33" t="s">
        <v>571</v>
      </c>
      <c r="Y11" s="33" t="s">
        <v>571</v>
      </c>
      <c r="Z11" s="34">
        <v>2219.91</v>
      </c>
      <c r="AA11" s="34">
        <v>15592.1</v>
      </c>
      <c r="AB11" s="34">
        <v>13.412000000000001</v>
      </c>
      <c r="AC11" s="34">
        <v>80.790000000000006</v>
      </c>
      <c r="AE11" s="36">
        <f t="shared" si="7"/>
        <v>4.3594405379414072E-2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1.0859381857076333</v>
      </c>
      <c r="K12" s="48">
        <f>AVERAGE(K5:K8)</f>
        <v>0.164933655500591</v>
      </c>
      <c r="L12" s="48">
        <f>AVERAGE(L5:L8)</f>
        <v>0.15052109274881903</v>
      </c>
      <c r="M12" s="48">
        <f>AVERAGE(M5:M8)</f>
        <v>0.92100453020704232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1.5083376595023539</v>
      </c>
      <c r="K13" s="48">
        <f>AVERAGE(K9:K9)</f>
        <v>0.15215971394858238</v>
      </c>
      <c r="L13" s="48">
        <f>AVERAGE(L9:L9)</f>
        <v>0.14248046328066341</v>
      </c>
      <c r="M13" s="48">
        <f>AVERAGE(M9:M9)</f>
        <v>1.3561779455537715</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2.4514032682556768</v>
      </c>
      <c r="K14" s="48">
        <f>AVERAGE(K10:K11)</f>
        <v>0.28563839595288176</v>
      </c>
      <c r="L14" s="48">
        <f>AVERAGE(L10:L11)</f>
        <v>0.27232374830951822</v>
      </c>
      <c r="M14" s="48">
        <f>AVERAGE(M10:M11)</f>
        <v>2.1657648723027951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1.5364138484063203</v>
      </c>
      <c r="K15" s="48">
        <f>AVERAGE(K5:K11)</f>
        <v>0.19759587540810139</v>
      </c>
      <c r="L15" s="48">
        <f>AVERAGE(L5:L11)</f>
        <v>0.18417319012785374</v>
      </c>
      <c r="M15" s="48">
        <f>AVERAGE(M5:M11)</f>
        <v>1.3388179729982188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18470.78</v>
      </c>
      <c r="AA16" s="49">
        <f>SUM(AA5:AA8,AA9:AA9,AA10:AA11)</f>
        <v>53282.93</v>
      </c>
      <c r="AB16" s="49">
        <f>SUM(AB5:AB8,AB9:AB9,AB10:AB11)</f>
        <v>45.208999999999996</v>
      </c>
      <c r="AC16" s="49">
        <f>SUM(AC5:AC8,AC9:AC9,AC10:AC11)</f>
        <v>247.42000000000002</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f>AX16/AA16</f>
        <v>0</v>
      </c>
      <c r="AY17" s="55">
        <f>AY16/AB16</f>
        <v>0</v>
      </c>
      <c r="AZ17" s="55">
        <f>AZ16/AC16</f>
        <v>0</v>
      </c>
    </row>
    <row r="18" spans="2:52" hidden="1" outlineLevel="2" x14ac:dyDescent="0.3">
      <c r="B18" s="47" t="s">
        <v>240</v>
      </c>
      <c r="Z18" s="49">
        <f>GEOMEAN(Z5:Z8,Z9:Z9,Z10:Z11)</f>
        <v>2498.3440778183904</v>
      </c>
      <c r="AA18" s="49">
        <f>GEOMEAN(AA5:AA8,AA9:AA9,AA10:AA11)</f>
        <v>6541.1266103798353</v>
      </c>
      <c r="AB18" s="49">
        <f>GEOMEAN(AB5:AB8,AB9:AB9,AB10:AB11)</f>
        <v>5.4989961416789566</v>
      </c>
      <c r="AC18" s="49">
        <f>GEOMEAN(AC5:AC8,AC9:AC9,AC10:AC11)</f>
        <v>29.793279919745444</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Z11" sqref="AM5:AZ1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3" t="s">
        <v>572</v>
      </c>
      <c r="B1" s="59"/>
      <c r="C1" s="59"/>
      <c r="D1" s="59"/>
      <c r="E1" s="59"/>
      <c r="F1" s="59"/>
      <c r="H1" s="58" t="str">
        <f>Summary!$C$1</f>
        <v>Master+r7.0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3">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571</v>
      </c>
      <c r="V5" s="15" t="s">
        <v>571</v>
      </c>
      <c r="W5" s="15" t="s">
        <v>571</v>
      </c>
      <c r="X5" s="15" t="s">
        <v>571</v>
      </c>
      <c r="Y5" s="15" t="s">
        <v>571</v>
      </c>
      <c r="Z5" s="16">
        <v>2777.85</v>
      </c>
      <c r="AA5" s="16">
        <v>5719.68</v>
      </c>
      <c r="AB5" s="16">
        <v>3.5369999999999999</v>
      </c>
      <c r="AC5" s="16">
        <v>18.356000000000002</v>
      </c>
      <c r="AE5" s="17">
        <f t="shared" ref="AE5:AE11" si="7">IF(ISBLANK(Q5),"·",Q5/(C5*(D5*3+IF(AND(ISNUMBER(T5),T5&gt;0),24,0))))</f>
        <v>1.7106541770709367E-2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571</v>
      </c>
      <c r="V6" s="24" t="s">
        <v>571</v>
      </c>
      <c r="W6" s="24" t="s">
        <v>571</v>
      </c>
      <c r="X6" s="24" t="s">
        <v>571</v>
      </c>
      <c r="Y6" s="24" t="s">
        <v>571</v>
      </c>
      <c r="Z6" s="25">
        <v>2526.63</v>
      </c>
      <c r="AA6" s="25">
        <v>7232.02</v>
      </c>
      <c r="AB6" s="25">
        <v>3.2759999999999998</v>
      </c>
      <c r="AC6" s="25">
        <v>19.443999999999999</v>
      </c>
      <c r="AE6" s="26">
        <f t="shared" si="7"/>
        <v>2.4427222673471426E-2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571</v>
      </c>
      <c r="V7" s="15" t="s">
        <v>571</v>
      </c>
      <c r="W7" s="15" t="s">
        <v>571</v>
      </c>
      <c r="X7" s="15" t="s">
        <v>571</v>
      </c>
      <c r="Y7" s="15" t="s">
        <v>571</v>
      </c>
      <c r="Z7" s="16">
        <v>3677.17</v>
      </c>
      <c r="AA7" s="16">
        <v>7356.98</v>
      </c>
      <c r="AB7" s="16">
        <v>4.9260000000000002</v>
      </c>
      <c r="AC7" s="16">
        <v>23.303999999999998</v>
      </c>
      <c r="AE7" s="17">
        <f t="shared" si="7"/>
        <v>1.8798636296583474E-2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571</v>
      </c>
      <c r="V8" s="43" t="s">
        <v>571</v>
      </c>
      <c r="W8" s="43" t="s">
        <v>571</v>
      </c>
      <c r="X8" s="43" t="s">
        <v>571</v>
      </c>
      <c r="Y8" s="43" t="s">
        <v>571</v>
      </c>
      <c r="Z8" s="44">
        <v>3559.15</v>
      </c>
      <c r="AA8" s="44">
        <v>5724.11</v>
      </c>
      <c r="AB8" s="44">
        <v>4.3179999999999996</v>
      </c>
      <c r="AC8" s="44">
        <v>19.478999999999999</v>
      </c>
      <c r="AE8" s="46">
        <f t="shared" si="7"/>
        <v>1.7288516820407697E-2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571</v>
      </c>
      <c r="V9" s="33" t="s">
        <v>571</v>
      </c>
      <c r="W9" s="33" t="s">
        <v>571</v>
      </c>
      <c r="X9" s="33" t="s">
        <v>571</v>
      </c>
      <c r="Y9" s="33" t="s">
        <v>571</v>
      </c>
      <c r="Z9" s="34">
        <v>1179.93</v>
      </c>
      <c r="AA9" s="34">
        <v>8006.34</v>
      </c>
      <c r="AB9" s="34">
        <v>3.827</v>
      </c>
      <c r="AC9" s="34">
        <v>23.512</v>
      </c>
      <c r="AE9" s="36">
        <f t="shared" si="7"/>
        <v>2.7762189553226645E-2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571</v>
      </c>
      <c r="V10" s="24" t="s">
        <v>571</v>
      </c>
      <c r="W10" s="24" t="s">
        <v>571</v>
      </c>
      <c r="X10" s="24" t="s">
        <v>571</v>
      </c>
      <c r="Y10" s="24" t="s">
        <v>571</v>
      </c>
      <c r="Z10" s="25">
        <v>2508.6999999999998</v>
      </c>
      <c r="AA10" s="25">
        <v>25093.7</v>
      </c>
      <c r="AB10" s="25">
        <v>12.569000000000001</v>
      </c>
      <c r="AC10" s="25">
        <v>69.03</v>
      </c>
      <c r="AE10" s="26">
        <f t="shared" si="7"/>
        <v>4.2399916620022626E-2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571</v>
      </c>
      <c r="V11" s="33" t="s">
        <v>571</v>
      </c>
      <c r="W11" s="33" t="s">
        <v>571</v>
      </c>
      <c r="X11" s="33" t="s">
        <v>571</v>
      </c>
      <c r="Y11" s="33" t="s">
        <v>571</v>
      </c>
      <c r="Z11" s="34">
        <v>2214.23</v>
      </c>
      <c r="AA11" s="34">
        <v>29230.2</v>
      </c>
      <c r="AB11" s="34">
        <v>12.816000000000001</v>
      </c>
      <c r="AC11" s="34">
        <v>71.846999999999994</v>
      </c>
      <c r="AE11" s="36">
        <f t="shared" si="7"/>
        <v>4.3587035488752549E-2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1.0478823870758216</v>
      </c>
      <c r="K12" s="48">
        <f>AVERAGE(K5:K8)</f>
        <v>0.14881517523979948</v>
      </c>
      <c r="L12" s="48">
        <f>AVERAGE(L5:L8)</f>
        <v>0.13600121020998429</v>
      </c>
      <c r="M12" s="48">
        <f>AVERAGE(M5:M8)</f>
        <v>0.89906721183602201</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1.4991582358742388</v>
      </c>
      <c r="K13" s="48">
        <f>AVERAGE(K9:K9)</f>
        <v>0.15212171072884031</v>
      </c>
      <c r="L13" s="48">
        <f>AVERAGE(L9:L9)</f>
        <v>0.14210963623655265</v>
      </c>
      <c r="M13" s="48">
        <f>AVERAGE(M9:M9)</f>
        <v>1.3470365251453984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2.4506281351000925</v>
      </c>
      <c r="K14" s="48">
        <f>AVERAGE(K10:K11)</f>
        <v>0.28541758596136163</v>
      </c>
      <c r="L14" s="48">
        <f>AVERAGE(L10:L11)</f>
        <v>0.27167241432631806</v>
      </c>
      <c r="M14" s="48">
        <f>AVERAGE(M10:M11)</f>
        <v>2.165210549138731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1.5131348649111014</v>
      </c>
      <c r="K15" s="48">
        <f>AVERAGE(K5:K11)</f>
        <v>0.1883167976586802</v>
      </c>
      <c r="L15" s="48">
        <f>AVERAGE(L5:L11)</f>
        <v>0.17563704367558941</v>
      </c>
      <c r="M15" s="48">
        <f>AVERAGE(M5:M11)</f>
        <v>1.3248180672524212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18443.66</v>
      </c>
      <c r="AA16" s="49">
        <f>SUM(AA5:AA8,AA9:AA9,AA10:AA11)</f>
        <v>88363.03</v>
      </c>
      <c r="AB16" s="49">
        <f>SUM(AB5:AB8,AB9:AB9,AB10:AB11)</f>
        <v>45.269000000000005</v>
      </c>
      <c r="AC16" s="49">
        <f>SUM(AC5:AC8,AC9:AC9,AC10:AC11)</f>
        <v>244.97199999999998</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f>AX16/AA16</f>
        <v>0</v>
      </c>
      <c r="AY17" s="55">
        <f>AY16/AB16</f>
        <v>0</v>
      </c>
      <c r="AZ17" s="55">
        <f>AZ16/AC16</f>
        <v>0</v>
      </c>
    </row>
    <row r="18" spans="2:52" hidden="1" outlineLevel="2" x14ac:dyDescent="0.3">
      <c r="B18" s="47" t="s">
        <v>240</v>
      </c>
      <c r="Z18" s="49">
        <f>GEOMEAN(Z5:Z8,Z9:Z9,Z10:Z11)</f>
        <v>2495.1184252455687</v>
      </c>
      <c r="AA18" s="49">
        <f>GEOMEAN(AA5:AA8,AA9:AA9,AA10:AA11)</f>
        <v>10032.517277897274</v>
      </c>
      <c r="AB18" s="49">
        <f>GEOMEAN(AB5:AB8,AB9:AB9,AB10:AB11)</f>
        <v>5.4984241803987306</v>
      </c>
      <c r="AC18" s="49">
        <f>GEOMEAN(AC5:AC8,AC9:AC9,AC10:AC11)</f>
        <v>29.379365407999728</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BC39" sqref="AN5:BC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3" t="s">
        <v>573</v>
      </c>
      <c r="B1" s="59"/>
      <c r="C1" s="59"/>
      <c r="D1" s="59"/>
      <c r="E1" s="59"/>
      <c r="F1" s="59"/>
      <c r="G1" s="59"/>
      <c r="I1" s="58" t="str">
        <f>Summary!$C$1</f>
        <v>Master+r7.0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3">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3">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32</v>
      </c>
      <c r="G5" s="10">
        <v>30</v>
      </c>
      <c r="I5" s="11">
        <f t="shared" ref="I5:I39" si="0">IF(OR(ISBLANK(S5),ISBLANK(G5)),"·",S5*G5/F5/1000000)</f>
        <v>1.0443150000000001</v>
      </c>
      <c r="J5" s="12">
        <f t="shared" ref="J5:J39" si="1">IF(ISBLANK(S5),"·",S5/D5)</f>
        <v>4.6775262699656024E-3</v>
      </c>
      <c r="K5" s="12">
        <f t="shared" ref="K5:K39" si="2">IF(N5="","·",N5/D5)</f>
        <v>4.0576386479860621E-3</v>
      </c>
      <c r="L5" s="12">
        <f t="shared" ref="L5:L39" si="3">IF(T5="","·",T5/D5)</f>
        <v>2.5510359298285567E-3</v>
      </c>
      <c r="M5" s="12">
        <f t="shared" ref="M5:M39" si="4">IF(ISBLANK(V5),"·",V5/D5)</f>
        <v>6.1988762197954118E-4</v>
      </c>
      <c r="N5" s="54">
        <f t="shared" ref="N5:N39" si="5">IF(OR(ISBLANK(T5),ISBLANK(U5)),"",T5+U5)</f>
        <v>966312</v>
      </c>
      <c r="O5" s="12">
        <v>16</v>
      </c>
      <c r="P5" s="13">
        <v>23582209</v>
      </c>
      <c r="Q5" s="13">
        <v>736944.03125</v>
      </c>
      <c r="R5" s="13">
        <v>16984.9375</v>
      </c>
      <c r="S5" s="14">
        <v>1113936</v>
      </c>
      <c r="T5" s="14">
        <v>607520</v>
      </c>
      <c r="U5" s="14">
        <v>358792</v>
      </c>
      <c r="V5" s="14">
        <v>147624</v>
      </c>
      <c r="W5" s="15">
        <v>66.845706250000006</v>
      </c>
      <c r="X5" s="15">
        <v>68.619974999999997</v>
      </c>
      <c r="Y5" s="15">
        <v>31.713699999999999</v>
      </c>
      <c r="Z5" s="15">
        <v>44.621000000000002</v>
      </c>
      <c r="AA5" s="15">
        <v>44.121778124999999</v>
      </c>
      <c r="AB5" s="16">
        <v>2929.73</v>
      </c>
      <c r="AC5" s="16">
        <v>3678.83</v>
      </c>
      <c r="AD5" s="16">
        <v>6.3380000000000001</v>
      </c>
      <c r="AE5" s="16">
        <v>20.437999999999999</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3">
      <c r="A6" s="18"/>
      <c r="B6" s="18" t="s">
        <v>49</v>
      </c>
      <c r="C6" s="19" t="s">
        <v>231</v>
      </c>
      <c r="D6" s="18">
        <v>238146391</v>
      </c>
      <c r="E6" s="19">
        <v>10</v>
      </c>
      <c r="F6" s="19">
        <v>32</v>
      </c>
      <c r="G6" s="19">
        <v>30</v>
      </c>
      <c r="I6" s="20">
        <f t="shared" si="0"/>
        <v>1.3556325</v>
      </c>
      <c r="J6" s="21">
        <f t="shared" si="1"/>
        <v>6.0719290933953307E-3</v>
      </c>
      <c r="K6" s="21">
        <f t="shared" si="2"/>
        <v>4.9478809863635516E-3</v>
      </c>
      <c r="L6" s="21">
        <f t="shared" si="3"/>
        <v>3.4412782682060462E-3</v>
      </c>
      <c r="M6" s="21">
        <f t="shared" si="4"/>
        <v>1.1240481070317794E-3</v>
      </c>
      <c r="N6" s="18">
        <f t="shared" si="5"/>
        <v>1178320</v>
      </c>
      <c r="O6" s="21">
        <v>16</v>
      </c>
      <c r="P6" s="22">
        <v>24777501</v>
      </c>
      <c r="Q6" s="22">
        <v>774296.90625</v>
      </c>
      <c r="R6" s="22">
        <v>19924.3125</v>
      </c>
      <c r="S6" s="23">
        <v>1446008</v>
      </c>
      <c r="T6" s="23">
        <v>819528</v>
      </c>
      <c r="U6" s="23">
        <v>358792</v>
      </c>
      <c r="V6" s="23">
        <v>267688</v>
      </c>
      <c r="W6" s="24">
        <v>68.552896875000002</v>
      </c>
      <c r="X6" s="24">
        <v>70.622062499999998</v>
      </c>
      <c r="Y6" s="24">
        <v>33.784087499999998</v>
      </c>
      <c r="Z6" s="24">
        <v>45.602718750000001</v>
      </c>
      <c r="AA6" s="24">
        <v>45.241318749999998</v>
      </c>
      <c r="AB6" s="25">
        <v>2921.41</v>
      </c>
      <c r="AC6" s="25">
        <v>3980.53</v>
      </c>
      <c r="AD6" s="25">
        <v>6.5110000000000001</v>
      </c>
      <c r="AE6" s="25">
        <v>21.599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32</v>
      </c>
      <c r="G7" s="10">
        <v>30</v>
      </c>
      <c r="I7" s="11">
        <f t="shared" si="0"/>
        <v>1.8799950000000001</v>
      </c>
      <c r="J7" s="12">
        <f t="shared" si="1"/>
        <v>8.4205685065368054E-3</v>
      </c>
      <c r="K7" s="12">
        <f t="shared" si="2"/>
        <v>6.1465050713281648E-3</v>
      </c>
      <c r="L7" s="12">
        <f t="shared" si="3"/>
        <v>4.6399023531706598E-3</v>
      </c>
      <c r="M7" s="12">
        <f t="shared" si="4"/>
        <v>2.2740634352086402E-3</v>
      </c>
      <c r="N7" s="54">
        <f t="shared" si="5"/>
        <v>1463768</v>
      </c>
      <c r="O7" s="12">
        <v>16</v>
      </c>
      <c r="P7" s="13">
        <v>24923704</v>
      </c>
      <c r="Q7" s="13">
        <v>778865.75</v>
      </c>
      <c r="R7" s="13">
        <v>21104.875</v>
      </c>
      <c r="S7" s="14">
        <v>2005328</v>
      </c>
      <c r="T7" s="14">
        <v>1104976</v>
      </c>
      <c r="U7" s="14">
        <v>358792</v>
      </c>
      <c r="V7" s="14">
        <v>541560</v>
      </c>
      <c r="W7" s="15">
        <v>69.837434375000001</v>
      </c>
      <c r="X7" s="15">
        <v>72.274171874999993</v>
      </c>
      <c r="Y7" s="15">
        <v>36.196365624999999</v>
      </c>
      <c r="Z7" s="15">
        <v>46.918012500000003</v>
      </c>
      <c r="AA7" s="15">
        <v>46.584559374999998</v>
      </c>
      <c r="AB7" s="16">
        <v>2911.18</v>
      </c>
      <c r="AC7" s="16">
        <v>4178.74</v>
      </c>
      <c r="AD7" s="16">
        <v>6.2249999999999996</v>
      </c>
      <c r="AE7" s="16">
        <v>20.766999999999999</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32</v>
      </c>
      <c r="G8" s="19">
        <v>30</v>
      </c>
      <c r="I8" s="20">
        <f t="shared" si="0"/>
        <v>3.1113675000000001</v>
      </c>
      <c r="J8" s="21">
        <f t="shared" si="1"/>
        <v>1.3935932373629799E-2</v>
      </c>
      <c r="K8" s="21">
        <f t="shared" si="2"/>
        <v>8.8610034825176084E-3</v>
      </c>
      <c r="L8" s="21">
        <f t="shared" si="3"/>
        <v>7.3544007643601035E-3</v>
      </c>
      <c r="M8" s="21">
        <f t="shared" si="4"/>
        <v>5.0749288911121895E-3</v>
      </c>
      <c r="N8" s="18">
        <f t="shared" si="5"/>
        <v>2110216</v>
      </c>
      <c r="O8" s="21">
        <v>16</v>
      </c>
      <c r="P8" s="22">
        <v>25894561</v>
      </c>
      <c r="Q8" s="22">
        <v>809205.03125</v>
      </c>
      <c r="R8" s="22">
        <v>24362.65625</v>
      </c>
      <c r="S8" s="23">
        <v>3318792</v>
      </c>
      <c r="T8" s="23">
        <v>1751424</v>
      </c>
      <c r="U8" s="23">
        <v>358792</v>
      </c>
      <c r="V8" s="23">
        <v>1208576</v>
      </c>
      <c r="W8" s="24">
        <v>70.899381250000005</v>
      </c>
      <c r="X8" s="24">
        <v>73.460274999999996</v>
      </c>
      <c r="Y8" s="24">
        <v>38.677993749999999</v>
      </c>
      <c r="Z8" s="24">
        <v>48.119690624999997</v>
      </c>
      <c r="AA8" s="24">
        <v>48.028525000000002</v>
      </c>
      <c r="AB8" s="25">
        <v>2902.87</v>
      </c>
      <c r="AC8" s="25">
        <v>4592.6400000000003</v>
      </c>
      <c r="AD8" s="25">
        <v>6.3380000000000001</v>
      </c>
      <c r="AE8" s="25">
        <v>21.638999999999999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32</v>
      </c>
      <c r="G9" s="28">
        <v>30</v>
      </c>
      <c r="I9" s="29">
        <f t="shared" si="0"/>
        <v>6.3775424999999997</v>
      </c>
      <c r="J9" s="30">
        <f t="shared" si="1"/>
        <v>2.8565253378120686E-2</v>
      </c>
      <c r="K9" s="30">
        <f t="shared" si="2"/>
        <v>1.5570053295495878E-2</v>
      </c>
      <c r="L9" s="30">
        <f t="shared" si="3"/>
        <v>1.2147654171253009E-2</v>
      </c>
      <c r="M9" s="30">
        <f t="shared" si="4"/>
        <v>1.2995200082624808E-2</v>
      </c>
      <c r="N9" s="27">
        <f t="shared" si="5"/>
        <v>3707952</v>
      </c>
      <c r="O9" s="30">
        <v>16</v>
      </c>
      <c r="P9" s="31">
        <v>24903158</v>
      </c>
      <c r="Q9" s="31">
        <v>778223.6875</v>
      </c>
      <c r="R9" s="31">
        <v>10582.96875</v>
      </c>
      <c r="S9" s="32">
        <v>6802712</v>
      </c>
      <c r="T9" s="32">
        <v>2892920</v>
      </c>
      <c r="U9" s="32">
        <v>815032</v>
      </c>
      <c r="V9" s="32">
        <v>3094760</v>
      </c>
      <c r="W9" s="33">
        <v>71.932043750000005</v>
      </c>
      <c r="X9" s="33">
        <v>75.246165625000003</v>
      </c>
      <c r="Y9" s="33">
        <v>41.146812500000003</v>
      </c>
      <c r="Z9" s="33">
        <v>49.540606250000003</v>
      </c>
      <c r="AA9" s="33">
        <v>49.645290625000001</v>
      </c>
      <c r="AB9" s="34">
        <v>3159.34</v>
      </c>
      <c r="AC9" s="34">
        <v>5449.64</v>
      </c>
      <c r="AD9" s="34">
        <v>7.1950000000000003</v>
      </c>
      <c r="AE9" s="34">
        <v>26.574000000000002</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1.9776</v>
      </c>
      <c r="J10" s="21">
        <f t="shared" si="1"/>
        <v>9.6709517177607125E-3</v>
      </c>
      <c r="K10" s="21">
        <f t="shared" si="2"/>
        <v>7.2509765004914106E-3</v>
      </c>
      <c r="L10" s="21">
        <f t="shared" si="3"/>
        <v>4.1104845716952226E-3</v>
      </c>
      <c r="M10" s="21">
        <f t="shared" si="4"/>
        <v>2.4199752172693019E-3</v>
      </c>
      <c r="N10" s="18">
        <f t="shared" si="5"/>
        <v>1581592</v>
      </c>
      <c r="O10" s="21">
        <v>16</v>
      </c>
      <c r="P10" s="22">
        <v>20942558</v>
      </c>
      <c r="Q10" s="22">
        <v>654454.9375</v>
      </c>
      <c r="R10" s="22">
        <v>18943.59375</v>
      </c>
      <c r="S10" s="23">
        <v>2109440</v>
      </c>
      <c r="T10" s="23">
        <v>896584</v>
      </c>
      <c r="U10" s="23">
        <v>685008</v>
      </c>
      <c r="V10" s="23">
        <v>527848</v>
      </c>
      <c r="W10" s="24">
        <v>65.984046875000004</v>
      </c>
      <c r="X10" s="24">
        <v>67.859693750000005</v>
      </c>
      <c r="Y10" s="24">
        <v>31.013375</v>
      </c>
      <c r="Z10" s="24">
        <v>38.767165624999997</v>
      </c>
      <c r="AA10" s="24">
        <v>30.131440625</v>
      </c>
      <c r="AB10" s="25">
        <v>2866.13</v>
      </c>
      <c r="AC10" s="25">
        <v>4987.0600000000004</v>
      </c>
      <c r="AD10" s="25">
        <v>6.3710000000000004</v>
      </c>
      <c r="AE10" s="25">
        <v>24.920999999999999</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3">
      <c r="A11" s="54"/>
      <c r="B11" s="54" t="s">
        <v>57</v>
      </c>
      <c r="C11" s="10" t="s">
        <v>231</v>
      </c>
      <c r="D11" s="54">
        <v>218121242</v>
      </c>
      <c r="E11" s="10">
        <v>10</v>
      </c>
      <c r="F11" s="10">
        <v>32</v>
      </c>
      <c r="G11" s="10">
        <v>30</v>
      </c>
      <c r="I11" s="11">
        <f t="shared" si="0"/>
        <v>2.7023925000000002</v>
      </c>
      <c r="J11" s="12">
        <f t="shared" si="1"/>
        <v>1.3215365791837918E-2</v>
      </c>
      <c r="K11" s="12">
        <f t="shared" si="2"/>
        <v>8.8998576305557627E-3</v>
      </c>
      <c r="L11" s="12">
        <f t="shared" si="3"/>
        <v>5.7593657017595747E-3</v>
      </c>
      <c r="M11" s="12">
        <f t="shared" si="4"/>
        <v>4.3155081612821552E-3</v>
      </c>
      <c r="N11" s="54">
        <f t="shared" si="5"/>
        <v>1941248</v>
      </c>
      <c r="O11" s="12">
        <v>16</v>
      </c>
      <c r="P11" s="13">
        <v>22233167</v>
      </c>
      <c r="Q11" s="13">
        <v>694786.46875</v>
      </c>
      <c r="R11" s="13">
        <v>23204.09375</v>
      </c>
      <c r="S11" s="14">
        <v>2882552</v>
      </c>
      <c r="T11" s="14">
        <v>1256240</v>
      </c>
      <c r="U11" s="14">
        <v>685008</v>
      </c>
      <c r="V11" s="14">
        <v>941304</v>
      </c>
      <c r="W11" s="15">
        <v>67.674731249999994</v>
      </c>
      <c r="X11" s="15">
        <v>69.753456249999999</v>
      </c>
      <c r="Y11" s="15">
        <v>32.828746875</v>
      </c>
      <c r="Z11" s="15">
        <v>39.653337499999999</v>
      </c>
      <c r="AA11" s="15">
        <v>32.228321874999999</v>
      </c>
      <c r="AB11" s="16">
        <v>2884.45</v>
      </c>
      <c r="AC11" s="16">
        <v>5313.56</v>
      </c>
      <c r="AD11" s="16">
        <v>6.5010000000000003</v>
      </c>
      <c r="AE11" s="16">
        <v>24.98</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32</v>
      </c>
      <c r="G12" s="19">
        <v>30</v>
      </c>
      <c r="I12" s="20">
        <f t="shared" si="0"/>
        <v>3.8537474999999999</v>
      </c>
      <c r="J12" s="21">
        <f t="shared" si="1"/>
        <v>1.8845775690200774E-2</v>
      </c>
      <c r="K12" s="21">
        <f t="shared" si="2"/>
        <v>1.141757665216302E-2</v>
      </c>
      <c r="L12" s="21">
        <f t="shared" si="3"/>
        <v>8.2770847233668322E-3</v>
      </c>
      <c r="M12" s="21">
        <f t="shared" si="4"/>
        <v>7.4281990380377534E-3</v>
      </c>
      <c r="N12" s="18">
        <f t="shared" si="5"/>
        <v>2490416</v>
      </c>
      <c r="O12" s="21">
        <v>16</v>
      </c>
      <c r="P12" s="22">
        <v>22569901</v>
      </c>
      <c r="Q12" s="22">
        <v>705309.40625</v>
      </c>
      <c r="R12" s="22">
        <v>24721.9375</v>
      </c>
      <c r="S12" s="23">
        <v>4110664</v>
      </c>
      <c r="T12" s="23">
        <v>1805408</v>
      </c>
      <c r="U12" s="23">
        <v>685008</v>
      </c>
      <c r="V12" s="23">
        <v>1620248</v>
      </c>
      <c r="W12" s="24">
        <v>69.009450000000001</v>
      </c>
      <c r="X12" s="24">
        <v>71.379971874999995</v>
      </c>
      <c r="Y12" s="24">
        <v>34.879440625000001</v>
      </c>
      <c r="Z12" s="24">
        <v>40.63448125</v>
      </c>
      <c r="AA12" s="24">
        <v>34.126809375000001</v>
      </c>
      <c r="AB12" s="25">
        <v>2890.27</v>
      </c>
      <c r="AC12" s="25">
        <v>5668.87</v>
      </c>
      <c r="AD12" s="25">
        <v>6.5519999999999996</v>
      </c>
      <c r="AE12" s="25">
        <v>25.488</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32</v>
      </c>
      <c r="G13" s="10">
        <v>30</v>
      </c>
      <c r="I13" s="11">
        <f t="shared" si="0"/>
        <v>6.2247824999999999</v>
      </c>
      <c r="J13" s="12">
        <f t="shared" si="1"/>
        <v>3.0440721587308768E-2</v>
      </c>
      <c r="K13" s="12">
        <f t="shared" si="2"/>
        <v>1.5919990039301168E-2</v>
      </c>
      <c r="L13" s="12">
        <f t="shared" si="3"/>
        <v>1.2779498110504982E-2</v>
      </c>
      <c r="M13" s="12">
        <f t="shared" si="4"/>
        <v>1.4520731548007598E-2</v>
      </c>
      <c r="N13" s="54">
        <f t="shared" si="5"/>
        <v>3472488</v>
      </c>
      <c r="O13" s="12">
        <v>16</v>
      </c>
      <c r="P13" s="13">
        <v>23308443</v>
      </c>
      <c r="Q13" s="13">
        <v>728388.84375</v>
      </c>
      <c r="R13" s="13">
        <v>27991.21875</v>
      </c>
      <c r="S13" s="14">
        <v>6639768</v>
      </c>
      <c r="T13" s="14">
        <v>2787480</v>
      </c>
      <c r="U13" s="14">
        <v>685008</v>
      </c>
      <c r="V13" s="14">
        <v>3167280</v>
      </c>
      <c r="W13" s="15">
        <v>70.060287500000001</v>
      </c>
      <c r="X13" s="15">
        <v>72.567171875</v>
      </c>
      <c r="Y13" s="15">
        <v>37.06</v>
      </c>
      <c r="Z13" s="15">
        <v>41.690990624999998</v>
      </c>
      <c r="AA13" s="15">
        <v>36.083268750000002</v>
      </c>
      <c r="AB13" s="16">
        <v>2877.86</v>
      </c>
      <c r="AC13" s="16">
        <v>6056.14</v>
      </c>
      <c r="AD13" s="16">
        <v>6.6369999999999996</v>
      </c>
      <c r="AE13" s="16">
        <v>26.651</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32</v>
      </c>
      <c r="G14" s="38">
        <v>30</v>
      </c>
      <c r="I14" s="39">
        <f t="shared" si="0"/>
        <v>12.267659999999999</v>
      </c>
      <c r="J14" s="40">
        <f t="shared" si="1"/>
        <v>5.9991882863017994E-2</v>
      </c>
      <c r="K14" s="40">
        <f t="shared" si="2"/>
        <v>2.6824237503654046E-2</v>
      </c>
      <c r="L14" s="40">
        <f t="shared" si="3"/>
        <v>2.0741492018461916E-2</v>
      </c>
      <c r="M14" s="40">
        <f t="shared" si="4"/>
        <v>3.3167645359363944E-2</v>
      </c>
      <c r="N14" s="37">
        <f t="shared" si="5"/>
        <v>5850936</v>
      </c>
      <c r="O14" s="40">
        <v>16</v>
      </c>
      <c r="P14" s="41">
        <v>22150010</v>
      </c>
      <c r="Q14" s="41">
        <v>692187.8125</v>
      </c>
      <c r="R14" s="41">
        <v>13331.5625</v>
      </c>
      <c r="S14" s="42">
        <v>13085504</v>
      </c>
      <c r="T14" s="42">
        <v>4524160</v>
      </c>
      <c r="U14" s="42">
        <v>1326776</v>
      </c>
      <c r="V14" s="42">
        <v>7234568</v>
      </c>
      <c r="W14" s="43">
        <v>70.920671874999996</v>
      </c>
      <c r="X14" s="43">
        <v>74.632662499999995</v>
      </c>
      <c r="Y14" s="43">
        <v>39.462553124999999</v>
      </c>
      <c r="Z14" s="43">
        <v>42.973531250000001</v>
      </c>
      <c r="AA14" s="43">
        <v>38.239546875000002</v>
      </c>
      <c r="AB14" s="44">
        <v>2867.04</v>
      </c>
      <c r="AC14" s="44">
        <v>6669.3</v>
      </c>
      <c r="AD14" s="44">
        <v>6.13</v>
      </c>
      <c r="AE14" s="44">
        <v>26.266999999999999</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32</v>
      </c>
      <c r="G15" s="10">
        <v>30</v>
      </c>
      <c r="I15" s="11">
        <f t="shared" si="0"/>
        <v>1.628055</v>
      </c>
      <c r="J15" s="12">
        <f t="shared" si="1"/>
        <v>5.383284024464711E-3</v>
      </c>
      <c r="K15" s="12">
        <f t="shared" si="2"/>
        <v>4.5265920824305046E-3</v>
      </c>
      <c r="L15" s="12">
        <f t="shared" si="3"/>
        <v>2.3656551667253461E-3</v>
      </c>
      <c r="M15" s="12">
        <f t="shared" si="4"/>
        <v>8.5669194203420707E-4</v>
      </c>
      <c r="N15" s="54">
        <f t="shared" si="5"/>
        <v>1460232</v>
      </c>
      <c r="O15" s="12">
        <v>16</v>
      </c>
      <c r="P15" s="13">
        <v>32415907</v>
      </c>
      <c r="Q15" s="13">
        <v>1012997.09375</v>
      </c>
      <c r="R15" s="13">
        <v>32038.09375</v>
      </c>
      <c r="S15" s="14">
        <v>1736592</v>
      </c>
      <c r="T15" s="14">
        <v>763136</v>
      </c>
      <c r="U15" s="14">
        <v>697096</v>
      </c>
      <c r="V15" s="14">
        <v>276360</v>
      </c>
      <c r="W15" s="15">
        <v>66.298768749999994</v>
      </c>
      <c r="X15" s="15">
        <v>67.850190624999996</v>
      </c>
      <c r="Y15" s="15">
        <v>29.2416375</v>
      </c>
      <c r="Z15" s="15">
        <v>43.356131249999997</v>
      </c>
      <c r="AA15" s="15">
        <v>43.670806249999998</v>
      </c>
      <c r="AB15" s="16">
        <v>4099.1899999999996</v>
      </c>
      <c r="AC15" s="16">
        <v>3959.59</v>
      </c>
      <c r="AD15" s="16">
        <v>8.8719999999999999</v>
      </c>
      <c r="AE15" s="16">
        <v>22.559000000000001</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32</v>
      </c>
      <c r="G16" s="19">
        <v>30</v>
      </c>
      <c r="I16" s="20">
        <f t="shared" si="0"/>
        <v>2.133435</v>
      </c>
      <c r="J16" s="21">
        <f t="shared" si="1"/>
        <v>7.0543602966324061E-3</v>
      </c>
      <c r="K16" s="21">
        <f t="shared" si="2"/>
        <v>5.4569131567819657E-3</v>
      </c>
      <c r="L16" s="21">
        <f t="shared" si="3"/>
        <v>3.2959762410768078E-3</v>
      </c>
      <c r="M16" s="21">
        <f t="shared" si="4"/>
        <v>1.5974471398504399E-3</v>
      </c>
      <c r="N16" s="18">
        <f t="shared" si="5"/>
        <v>1760344</v>
      </c>
      <c r="O16" s="21">
        <v>16</v>
      </c>
      <c r="P16" s="22">
        <v>33874164</v>
      </c>
      <c r="Q16" s="22">
        <v>1058567.625</v>
      </c>
      <c r="R16" s="22">
        <v>36864.21875</v>
      </c>
      <c r="S16" s="23">
        <v>2275664</v>
      </c>
      <c r="T16" s="23">
        <v>1063248</v>
      </c>
      <c r="U16" s="23">
        <v>697096</v>
      </c>
      <c r="V16" s="23">
        <v>515320</v>
      </c>
      <c r="W16" s="24">
        <v>68.029634375000001</v>
      </c>
      <c r="X16" s="24">
        <v>70.006815625000002</v>
      </c>
      <c r="Y16" s="24">
        <v>31.530703124999999</v>
      </c>
      <c r="Z16" s="24">
        <v>44.119390625000001</v>
      </c>
      <c r="AA16" s="24">
        <v>44.541440625</v>
      </c>
      <c r="AB16" s="25">
        <v>4099.01</v>
      </c>
      <c r="AC16" s="25">
        <v>4249.1099999999997</v>
      </c>
      <c r="AD16" s="25">
        <v>9.5510000000000002</v>
      </c>
      <c r="AE16" s="25">
        <v>22.998999999999999</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32</v>
      </c>
      <c r="G17" s="10">
        <v>30</v>
      </c>
      <c r="I17" s="11">
        <f t="shared" si="0"/>
        <v>3.0166650000000002</v>
      </c>
      <c r="J17" s="12">
        <f t="shared" si="1"/>
        <v>9.9748254829608567E-3</v>
      </c>
      <c r="K17" s="12">
        <f t="shared" si="2"/>
        <v>6.6616633245058562E-3</v>
      </c>
      <c r="L17" s="12">
        <f t="shared" si="3"/>
        <v>4.5007264088006973E-3</v>
      </c>
      <c r="M17" s="12">
        <f t="shared" si="4"/>
        <v>3.3131621584550014E-3</v>
      </c>
      <c r="N17" s="54">
        <f t="shared" si="5"/>
        <v>2148984</v>
      </c>
      <c r="O17" s="12">
        <v>16</v>
      </c>
      <c r="P17" s="13">
        <v>33778649</v>
      </c>
      <c r="Q17" s="13">
        <v>1055582.78125</v>
      </c>
      <c r="R17" s="13">
        <v>37421.1875</v>
      </c>
      <c r="S17" s="14">
        <v>3217776</v>
      </c>
      <c r="T17" s="14">
        <v>1451888</v>
      </c>
      <c r="U17" s="14">
        <v>697096</v>
      </c>
      <c r="V17" s="14">
        <v>1068792</v>
      </c>
      <c r="W17" s="15">
        <v>69.351503124999994</v>
      </c>
      <c r="X17" s="15">
        <v>71.840315625000002</v>
      </c>
      <c r="Y17" s="15">
        <v>33.946487500000003</v>
      </c>
      <c r="Z17" s="15">
        <v>45.134740624999999</v>
      </c>
      <c r="AA17" s="15">
        <v>45.742221874999998</v>
      </c>
      <c r="AB17" s="16">
        <v>4122.04</v>
      </c>
      <c r="AC17" s="16">
        <v>4499.3500000000004</v>
      </c>
      <c r="AD17" s="16">
        <v>9.5920000000000005</v>
      </c>
      <c r="AE17" s="16">
        <v>23.669</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32</v>
      </c>
      <c r="G18" s="19">
        <v>30</v>
      </c>
      <c r="I18" s="20">
        <f t="shared" si="0"/>
        <v>5.3492249999999997</v>
      </c>
      <c r="J18" s="21">
        <f t="shared" si="1"/>
        <v>1.7687607289537052E-2</v>
      </c>
      <c r="K18" s="21">
        <f t="shared" si="2"/>
        <v>9.9237637168977967E-3</v>
      </c>
      <c r="L18" s="21">
        <f t="shared" si="3"/>
        <v>7.7628268011926379E-3</v>
      </c>
      <c r="M18" s="21">
        <f t="shared" si="4"/>
        <v>7.7638435726392558E-3</v>
      </c>
      <c r="N18" s="18">
        <f t="shared" si="5"/>
        <v>3201304</v>
      </c>
      <c r="O18" s="21">
        <v>16</v>
      </c>
      <c r="P18" s="22">
        <v>34914325</v>
      </c>
      <c r="Q18" s="22">
        <v>1091072.65625</v>
      </c>
      <c r="R18" s="22">
        <v>41603.21875</v>
      </c>
      <c r="S18" s="23">
        <v>5705840</v>
      </c>
      <c r="T18" s="23">
        <v>2504208</v>
      </c>
      <c r="U18" s="23">
        <v>697096</v>
      </c>
      <c r="V18" s="23">
        <v>2504536</v>
      </c>
      <c r="W18" s="24">
        <v>70.529849999999996</v>
      </c>
      <c r="X18" s="24">
        <v>73.133384375000006</v>
      </c>
      <c r="Y18" s="24">
        <v>36.289246875000003</v>
      </c>
      <c r="Z18" s="24">
        <v>46.428246874999999</v>
      </c>
      <c r="AA18" s="24">
        <v>46.981940625</v>
      </c>
      <c r="AB18" s="25">
        <v>4116.3500000000004</v>
      </c>
      <c r="AC18" s="25">
        <v>4949.68</v>
      </c>
      <c r="AD18" s="25">
        <v>9.24</v>
      </c>
      <c r="AE18" s="25">
        <v>23.731999999999999</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32</v>
      </c>
      <c r="G19" s="28">
        <v>30</v>
      </c>
      <c r="I19" s="29">
        <f t="shared" si="0"/>
        <v>11.627325000000001</v>
      </c>
      <c r="J19" s="30">
        <f t="shared" si="1"/>
        <v>3.8446608326966322E-2</v>
      </c>
      <c r="K19" s="30">
        <f t="shared" si="2"/>
        <v>1.7450451549439409E-2</v>
      </c>
      <c r="L19" s="30">
        <f t="shared" si="3"/>
        <v>1.2811841012755943E-2</v>
      </c>
      <c r="M19" s="30">
        <f t="shared" si="4"/>
        <v>2.0996156777526909E-2</v>
      </c>
      <c r="N19" s="27">
        <f t="shared" si="5"/>
        <v>5629336</v>
      </c>
      <c r="O19" s="30">
        <v>16</v>
      </c>
      <c r="P19" s="31">
        <v>33019287</v>
      </c>
      <c r="Q19" s="31">
        <v>1031852.71875</v>
      </c>
      <c r="R19" s="31">
        <v>17790.15625</v>
      </c>
      <c r="S19" s="32">
        <v>12402480</v>
      </c>
      <c r="T19" s="32">
        <v>4132968</v>
      </c>
      <c r="U19" s="32">
        <v>1496368</v>
      </c>
      <c r="V19" s="32">
        <v>6773144</v>
      </c>
      <c r="W19" s="33">
        <v>71.185568750000002</v>
      </c>
      <c r="X19" s="33">
        <v>75.071018749999993</v>
      </c>
      <c r="Y19" s="33">
        <v>38.695609374999997</v>
      </c>
      <c r="Z19" s="33">
        <v>48.186309375</v>
      </c>
      <c r="AA19" s="33">
        <v>48.786537500000001</v>
      </c>
      <c r="AB19" s="34">
        <v>4113.05</v>
      </c>
      <c r="AC19" s="34">
        <v>5659.29</v>
      </c>
      <c r="AD19" s="34">
        <v>8.2230000000000008</v>
      </c>
      <c r="AE19" s="34">
        <v>24.376999999999999</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1.9899875</v>
      </c>
      <c r="J20" s="21">
        <f t="shared" si="1"/>
        <v>5.0821121612679241E-3</v>
      </c>
      <c r="K20" s="21">
        <f t="shared" si="2"/>
        <v>3.9497708747502037E-3</v>
      </c>
      <c r="L20" s="21">
        <f t="shared" si="3"/>
        <v>2.2980102013268476E-3</v>
      </c>
      <c r="M20" s="21">
        <f t="shared" si="4"/>
        <v>1.1323412865177202E-3</v>
      </c>
      <c r="N20" s="18">
        <f t="shared" si="5"/>
        <v>989824</v>
      </c>
      <c r="O20" s="21">
        <v>16</v>
      </c>
      <c r="P20" s="22">
        <v>30379563</v>
      </c>
      <c r="Q20" s="22">
        <v>949361.34375</v>
      </c>
      <c r="R20" s="22">
        <v>28806.71875</v>
      </c>
      <c r="S20" s="23">
        <v>1273592</v>
      </c>
      <c r="T20" s="23">
        <v>575888</v>
      </c>
      <c r="U20" s="23">
        <v>413936</v>
      </c>
      <c r="V20" s="23">
        <v>283768</v>
      </c>
      <c r="W20" s="24">
        <v>67.248237500000002</v>
      </c>
      <c r="X20" s="24">
        <v>68.985434374999997</v>
      </c>
      <c r="Y20" s="24">
        <v>30.072700000000001</v>
      </c>
      <c r="Z20" s="24">
        <v>39.540096875000003</v>
      </c>
      <c r="AA20" s="24">
        <v>38.07433125</v>
      </c>
      <c r="AB20" s="25">
        <v>3982.55</v>
      </c>
      <c r="AC20" s="25">
        <v>4144.13</v>
      </c>
      <c r="AD20" s="25">
        <v>7.8719999999999999</v>
      </c>
      <c r="AE20" s="25">
        <v>23.995999999999999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3">
      <c r="A21" s="54"/>
      <c r="B21" s="54" t="s">
        <v>68</v>
      </c>
      <c r="C21" s="10" t="s">
        <v>231</v>
      </c>
      <c r="D21" s="54">
        <v>250602891</v>
      </c>
      <c r="E21" s="10">
        <v>10</v>
      </c>
      <c r="F21" s="10">
        <v>32</v>
      </c>
      <c r="G21" s="10">
        <v>50</v>
      </c>
      <c r="I21" s="11">
        <f t="shared" si="0"/>
        <v>2.6944124999999999</v>
      </c>
      <c r="J21" s="12">
        <f t="shared" si="1"/>
        <v>6.8811017826606001E-3</v>
      </c>
      <c r="K21" s="12">
        <f t="shared" si="2"/>
        <v>4.6939921375448142E-3</v>
      </c>
      <c r="L21" s="12">
        <f t="shared" si="3"/>
        <v>3.0422314641214573E-3</v>
      </c>
      <c r="M21" s="12">
        <f t="shared" si="4"/>
        <v>2.1871096451157859E-3</v>
      </c>
      <c r="N21" s="54">
        <f t="shared" si="5"/>
        <v>1176328</v>
      </c>
      <c r="O21" s="12">
        <v>16</v>
      </c>
      <c r="P21" s="13">
        <v>31696812</v>
      </c>
      <c r="Q21" s="13">
        <v>990525.375</v>
      </c>
      <c r="R21" s="13">
        <v>33593.15625</v>
      </c>
      <c r="S21" s="14">
        <v>1724424</v>
      </c>
      <c r="T21" s="14">
        <v>762392</v>
      </c>
      <c r="U21" s="14">
        <v>413936</v>
      </c>
      <c r="V21" s="14">
        <v>548096</v>
      </c>
      <c r="W21" s="15">
        <v>68.873231250000003</v>
      </c>
      <c r="X21" s="15">
        <v>70.998265625000002</v>
      </c>
      <c r="Y21" s="15">
        <v>31.541346874999999</v>
      </c>
      <c r="Z21" s="15">
        <v>40.515546874999998</v>
      </c>
      <c r="AA21" s="15">
        <v>39.215978124999999</v>
      </c>
      <c r="AB21" s="16">
        <v>3983.32</v>
      </c>
      <c r="AC21" s="16">
        <v>4374.59</v>
      </c>
      <c r="AD21" s="16">
        <v>8.093</v>
      </c>
      <c r="AE21" s="16">
        <v>24.568000000000001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32</v>
      </c>
      <c r="G22" s="19">
        <v>50</v>
      </c>
      <c r="I22" s="20">
        <f t="shared" si="0"/>
        <v>4.1956749999999996</v>
      </c>
      <c r="J22" s="21">
        <f t="shared" si="1"/>
        <v>1.0715087879812209E-2</v>
      </c>
      <c r="K22" s="21">
        <f t="shared" si="2"/>
        <v>5.5723219888951722E-3</v>
      </c>
      <c r="L22" s="21">
        <f t="shared" si="3"/>
        <v>3.9205613154718157E-3</v>
      </c>
      <c r="M22" s="21">
        <f t="shared" si="4"/>
        <v>5.1427658909170369E-3</v>
      </c>
      <c r="N22" s="18">
        <f t="shared" si="5"/>
        <v>1396440</v>
      </c>
      <c r="O22" s="21">
        <v>16</v>
      </c>
      <c r="P22" s="22">
        <v>32604849</v>
      </c>
      <c r="Q22" s="22">
        <v>1018901.53125</v>
      </c>
      <c r="R22" s="22">
        <v>35090.5625</v>
      </c>
      <c r="S22" s="23">
        <v>2685232</v>
      </c>
      <c r="T22" s="23">
        <v>982504</v>
      </c>
      <c r="U22" s="23">
        <v>413936</v>
      </c>
      <c r="V22" s="23">
        <v>1288792</v>
      </c>
      <c r="W22" s="24">
        <v>70.092034374999997</v>
      </c>
      <c r="X22" s="24">
        <v>72.552462500000004</v>
      </c>
      <c r="Y22" s="24">
        <v>33.40596875</v>
      </c>
      <c r="Z22" s="24">
        <v>41.661025000000002</v>
      </c>
      <c r="AA22" s="24">
        <v>40.480746875000001</v>
      </c>
      <c r="AB22" s="25">
        <v>3954.77</v>
      </c>
      <c r="AC22" s="25">
        <v>4580.67</v>
      </c>
      <c r="AD22" s="25">
        <v>8.2129999999999992</v>
      </c>
      <c r="AE22" s="25">
        <v>25.64</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32</v>
      </c>
      <c r="G23" s="10">
        <v>50</v>
      </c>
      <c r="I23" s="11">
        <f t="shared" si="0"/>
        <v>7.9713250000000002</v>
      </c>
      <c r="J23" s="12">
        <f t="shared" si="1"/>
        <v>2.035749858927206E-2</v>
      </c>
      <c r="K23" s="12">
        <f t="shared" si="2"/>
        <v>8.2705829598749524E-3</v>
      </c>
      <c r="L23" s="12">
        <f t="shared" si="3"/>
        <v>6.6188222864515959E-3</v>
      </c>
      <c r="M23" s="12">
        <f t="shared" si="4"/>
        <v>1.2086915629397109E-2</v>
      </c>
      <c r="N23" s="54">
        <f t="shared" si="5"/>
        <v>2072632</v>
      </c>
      <c r="O23" s="12">
        <v>16</v>
      </c>
      <c r="P23" s="13">
        <v>32813316</v>
      </c>
      <c r="Q23" s="13">
        <v>1025416.125</v>
      </c>
      <c r="R23" s="13">
        <v>37028.40625</v>
      </c>
      <c r="S23" s="14">
        <v>5101648</v>
      </c>
      <c r="T23" s="14">
        <v>1658696</v>
      </c>
      <c r="U23" s="14">
        <v>413936</v>
      </c>
      <c r="V23" s="14">
        <v>3029016</v>
      </c>
      <c r="W23" s="15">
        <v>71.045559374999996</v>
      </c>
      <c r="X23" s="15">
        <v>73.797390625000006</v>
      </c>
      <c r="Y23" s="15">
        <v>35.29325</v>
      </c>
      <c r="Z23" s="15">
        <v>42.754381250000002</v>
      </c>
      <c r="AA23" s="15">
        <v>41.481662499999999</v>
      </c>
      <c r="AB23" s="16">
        <v>3981.61</v>
      </c>
      <c r="AC23" s="16">
        <v>4945.53</v>
      </c>
      <c r="AD23" s="16">
        <v>8.0969999999999995</v>
      </c>
      <c r="AE23" s="16">
        <v>24.908000000000001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32</v>
      </c>
      <c r="G24" s="38">
        <v>50</v>
      </c>
      <c r="I24" s="39">
        <f t="shared" si="0"/>
        <v>16.4397375</v>
      </c>
      <c r="J24" s="40">
        <f t="shared" si="1"/>
        <v>4.1984479740100042E-2</v>
      </c>
      <c r="K24" s="40">
        <f t="shared" si="2"/>
        <v>1.4241814951767656E-2</v>
      </c>
      <c r="L24" s="40">
        <f t="shared" si="3"/>
        <v>1.0614817687797545E-2</v>
      </c>
      <c r="M24" s="40">
        <f t="shared" si="4"/>
        <v>2.7742664788332389E-2</v>
      </c>
      <c r="N24" s="37">
        <f t="shared" si="5"/>
        <v>3569040</v>
      </c>
      <c r="O24" s="40">
        <v>16</v>
      </c>
      <c r="P24" s="41">
        <v>31274990</v>
      </c>
      <c r="Q24" s="41">
        <v>977343.4375</v>
      </c>
      <c r="R24" s="41">
        <v>17914.71875</v>
      </c>
      <c r="S24" s="42">
        <v>10521432</v>
      </c>
      <c r="T24" s="42">
        <v>2660104</v>
      </c>
      <c r="U24" s="42">
        <v>908936</v>
      </c>
      <c r="V24" s="42">
        <v>6952392</v>
      </c>
      <c r="W24" s="43">
        <v>71.767975000000007</v>
      </c>
      <c r="X24" s="43">
        <v>75.810796874999994</v>
      </c>
      <c r="Y24" s="43">
        <v>36.874640624999998</v>
      </c>
      <c r="Z24" s="43">
        <v>43.50733125</v>
      </c>
      <c r="AA24" s="43">
        <v>42.057256250000002</v>
      </c>
      <c r="AB24" s="44">
        <v>4041.37</v>
      </c>
      <c r="AC24" s="44">
        <v>5479.38</v>
      </c>
      <c r="AD24" s="44">
        <v>7.5670000000000002</v>
      </c>
      <c r="AE24" s="44">
        <v>26.256</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32</v>
      </c>
      <c r="G25" s="10">
        <v>30</v>
      </c>
      <c r="I25" s="11">
        <f t="shared" si="0"/>
        <v>2.05959</v>
      </c>
      <c r="J25" s="12">
        <f t="shared" si="1"/>
        <v>8.7772415305417996E-3</v>
      </c>
      <c r="K25" s="12">
        <f t="shared" si="2"/>
        <v>5.7151217120632678E-3</v>
      </c>
      <c r="L25" s="12">
        <f t="shared" si="3"/>
        <v>3.5055013695821828E-3</v>
      </c>
      <c r="M25" s="12">
        <f t="shared" si="4"/>
        <v>3.0621198184785318E-3</v>
      </c>
      <c r="N25" s="54">
        <f t="shared" si="5"/>
        <v>1430464</v>
      </c>
      <c r="O25" s="12">
        <v>16</v>
      </c>
      <c r="P25" s="13">
        <v>23423729</v>
      </c>
      <c r="Q25" s="13">
        <v>731991.53125</v>
      </c>
      <c r="R25" s="13">
        <v>14601.28125</v>
      </c>
      <c r="S25" s="14">
        <v>2196896</v>
      </c>
      <c r="T25" s="14">
        <v>877408</v>
      </c>
      <c r="U25" s="14">
        <v>553056</v>
      </c>
      <c r="V25" s="14">
        <v>766432</v>
      </c>
      <c r="W25" s="15">
        <v>66.249556249999998</v>
      </c>
      <c r="X25" s="15">
        <v>68.002121875</v>
      </c>
      <c r="Y25" s="15">
        <v>25.895034375000002</v>
      </c>
      <c r="Z25" s="15">
        <v>32.454721874999997</v>
      </c>
      <c r="AA25" s="15">
        <v>31.646274999999999</v>
      </c>
      <c r="AB25" s="16">
        <v>1331.43</v>
      </c>
      <c r="AC25" s="16">
        <v>5331.59</v>
      </c>
      <c r="AD25" s="16">
        <v>6.9550000000000001</v>
      </c>
      <c r="AE25" s="16">
        <v>26.082000000000001</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32</v>
      </c>
      <c r="G26" s="19">
        <v>30</v>
      </c>
      <c r="I26" s="20">
        <f t="shared" si="0"/>
        <v>3.1800600000000001</v>
      </c>
      <c r="J26" s="21">
        <f t="shared" si="1"/>
        <v>1.3552286960810043E-2</v>
      </c>
      <c r="K26" s="21">
        <f t="shared" si="2"/>
        <v>7.1894484715614021E-3</v>
      </c>
      <c r="L26" s="21">
        <f t="shared" si="3"/>
        <v>4.9798281290803171E-3</v>
      </c>
      <c r="M26" s="21">
        <f t="shared" si="4"/>
        <v>6.3628384892486407E-3</v>
      </c>
      <c r="N26" s="18">
        <f t="shared" si="5"/>
        <v>1799480</v>
      </c>
      <c r="O26" s="21">
        <v>16</v>
      </c>
      <c r="P26" s="22">
        <v>24642332</v>
      </c>
      <c r="Q26" s="22">
        <v>770072.875</v>
      </c>
      <c r="R26" s="22">
        <v>17838.375</v>
      </c>
      <c r="S26" s="23">
        <v>3392064</v>
      </c>
      <c r="T26" s="23">
        <v>1246424</v>
      </c>
      <c r="U26" s="23">
        <v>553056</v>
      </c>
      <c r="V26" s="23">
        <v>1592584</v>
      </c>
      <c r="W26" s="24">
        <v>68.005359374999998</v>
      </c>
      <c r="X26" s="24">
        <v>70.016609375000002</v>
      </c>
      <c r="Y26" s="24">
        <v>27.912871875</v>
      </c>
      <c r="Z26" s="24">
        <v>33.647859375000003</v>
      </c>
      <c r="AA26" s="24">
        <v>33.01885</v>
      </c>
      <c r="AB26" s="25">
        <v>1335.41</v>
      </c>
      <c r="AC26" s="25">
        <v>5717.57</v>
      </c>
      <c r="AD26" s="25">
        <v>7.2770000000000001</v>
      </c>
      <c r="AE26" s="25">
        <v>27.896999999999998</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32</v>
      </c>
      <c r="G27" s="10">
        <v>30</v>
      </c>
      <c r="I27" s="11">
        <f t="shared" si="0"/>
        <v>5.3721525000000003</v>
      </c>
      <c r="J27" s="12">
        <f t="shared" si="1"/>
        <v>2.2894207114718929E-2</v>
      </c>
      <c r="K27" s="12">
        <f t="shared" si="2"/>
        <v>9.3524357630721706E-3</v>
      </c>
      <c r="L27" s="12">
        <f t="shared" si="3"/>
        <v>7.1428154205910857E-3</v>
      </c>
      <c r="M27" s="12">
        <f t="shared" si="4"/>
        <v>1.3541771351646756E-2</v>
      </c>
      <c r="N27" s="54">
        <f t="shared" si="5"/>
        <v>2340864</v>
      </c>
      <c r="O27" s="12">
        <v>16</v>
      </c>
      <c r="P27" s="13">
        <v>24875407</v>
      </c>
      <c r="Q27" s="13">
        <v>777356.46875</v>
      </c>
      <c r="R27" s="13">
        <v>18687.4375</v>
      </c>
      <c r="S27" s="14">
        <v>5730296</v>
      </c>
      <c r="T27" s="14">
        <v>1787808</v>
      </c>
      <c r="U27" s="14">
        <v>553056</v>
      </c>
      <c r="V27" s="14">
        <v>3389432</v>
      </c>
      <c r="W27" s="15">
        <v>69.301756249999997</v>
      </c>
      <c r="X27" s="15">
        <v>71.690518749999995</v>
      </c>
      <c r="Y27" s="15">
        <v>30.208674999999999</v>
      </c>
      <c r="Z27" s="15">
        <v>34.935650000000003</v>
      </c>
      <c r="AA27" s="15">
        <v>34.363496875000003</v>
      </c>
      <c r="AB27" s="16">
        <v>1325.31</v>
      </c>
      <c r="AC27" s="16">
        <v>6130.63</v>
      </c>
      <c r="AD27" s="16">
        <v>7.1449999999999996</v>
      </c>
      <c r="AE27" s="16">
        <v>27.172999999999998</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32</v>
      </c>
      <c r="G28" s="19">
        <v>30</v>
      </c>
      <c r="I28" s="20">
        <f t="shared" si="0"/>
        <v>10.3915275</v>
      </c>
      <c r="J28" s="21">
        <f t="shared" si="1"/>
        <v>4.4285001742466801E-2</v>
      </c>
      <c r="K28" s="21">
        <f t="shared" si="2"/>
        <v>1.318660585309833E-2</v>
      </c>
      <c r="L28" s="21">
        <f t="shared" si="3"/>
        <v>1.0976985510617246E-2</v>
      </c>
      <c r="M28" s="21">
        <f t="shared" si="4"/>
        <v>3.1098395889368472E-2</v>
      </c>
      <c r="N28" s="18">
        <f t="shared" si="5"/>
        <v>3300536</v>
      </c>
      <c r="O28" s="21">
        <v>16</v>
      </c>
      <c r="P28" s="22">
        <v>25558634</v>
      </c>
      <c r="Q28" s="22">
        <v>798707.3125</v>
      </c>
      <c r="R28" s="22">
        <v>21108.9375</v>
      </c>
      <c r="S28" s="23">
        <v>11084296</v>
      </c>
      <c r="T28" s="23">
        <v>2747480</v>
      </c>
      <c r="U28" s="23">
        <v>553056</v>
      </c>
      <c r="V28" s="23">
        <v>7783760</v>
      </c>
      <c r="W28" s="24">
        <v>70.462115624999996</v>
      </c>
      <c r="X28" s="24">
        <v>72.993593750000002</v>
      </c>
      <c r="Y28" s="24">
        <v>32.718546875000001</v>
      </c>
      <c r="Z28" s="24">
        <v>36.415940624999998</v>
      </c>
      <c r="AA28" s="24">
        <v>35.862046874999997</v>
      </c>
      <c r="AB28" s="25">
        <v>1322.44</v>
      </c>
      <c r="AC28" s="25">
        <v>6661.1</v>
      </c>
      <c r="AD28" s="25">
        <v>7.3360000000000003</v>
      </c>
      <c r="AE28" s="25">
        <v>28.658000000000001</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32</v>
      </c>
      <c r="G29" s="28">
        <v>30</v>
      </c>
      <c r="I29" s="29">
        <f t="shared" si="0"/>
        <v>23.949997499999998</v>
      </c>
      <c r="J29" s="30">
        <f t="shared" si="1"/>
        <v>0.10206638831678745</v>
      </c>
      <c r="K29" s="30">
        <f t="shared" si="2"/>
        <v>2.1642817661950031E-2</v>
      </c>
      <c r="L29" s="30">
        <f t="shared" si="3"/>
        <v>1.7231247938079619E-2</v>
      </c>
      <c r="M29" s="30">
        <f t="shared" si="4"/>
        <v>8.042357065483742E-2</v>
      </c>
      <c r="N29" s="27">
        <f t="shared" si="5"/>
        <v>5417080</v>
      </c>
      <c r="O29" s="30">
        <v>16</v>
      </c>
      <c r="P29" s="31">
        <v>24591050</v>
      </c>
      <c r="Q29" s="31">
        <v>768470.3125</v>
      </c>
      <c r="R29" s="31">
        <v>9839.84375</v>
      </c>
      <c r="S29" s="32">
        <v>25546664</v>
      </c>
      <c r="T29" s="32">
        <v>4312888</v>
      </c>
      <c r="U29" s="32">
        <v>1104192</v>
      </c>
      <c r="V29" s="32">
        <v>20129584</v>
      </c>
      <c r="W29" s="33">
        <v>71.138031249999997</v>
      </c>
      <c r="X29" s="33">
        <v>74.865934374999995</v>
      </c>
      <c r="Y29" s="33">
        <v>35.7631625</v>
      </c>
      <c r="Z29" s="33">
        <v>38.359853125000001</v>
      </c>
      <c r="AA29" s="33">
        <v>37.754874999999998</v>
      </c>
      <c r="AB29" s="34">
        <v>1325.48</v>
      </c>
      <c r="AC29" s="34">
        <v>7513.3</v>
      </c>
      <c r="AD29" s="34">
        <v>7.0350000000000001</v>
      </c>
      <c r="AE29" s="34">
        <v>30.338999999999999</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3.71814</v>
      </c>
      <c r="J30" s="21">
        <f t="shared" si="1"/>
        <v>1.056413930437991E-2</v>
      </c>
      <c r="K30" s="21">
        <f t="shared" si="2"/>
        <v>8.3820433594158812E-3</v>
      </c>
      <c r="L30" s="21">
        <f t="shared" si="3"/>
        <v>5.2756768554058494E-3</v>
      </c>
      <c r="M30" s="21">
        <f t="shared" si="4"/>
        <v>2.1820959449640291E-3</v>
      </c>
      <c r="N30" s="18">
        <f t="shared" si="5"/>
        <v>3146808</v>
      </c>
      <c r="O30" s="21">
        <v>16</v>
      </c>
      <c r="P30" s="22">
        <v>86243398</v>
      </c>
      <c r="Q30" s="22">
        <v>2695106.1875</v>
      </c>
      <c r="R30" s="22">
        <v>33846.0625</v>
      </c>
      <c r="S30" s="23">
        <v>3966016</v>
      </c>
      <c r="T30" s="23">
        <v>1980608</v>
      </c>
      <c r="U30" s="23">
        <v>1166200</v>
      </c>
      <c r="V30" s="23">
        <v>819208</v>
      </c>
      <c r="W30" s="24">
        <v>73.637074999999996</v>
      </c>
      <c r="X30" s="24">
        <v>75.742599999999996</v>
      </c>
      <c r="Y30" s="24">
        <v>33.214593749999999</v>
      </c>
      <c r="Z30" s="24">
        <v>41.966721874999998</v>
      </c>
      <c r="AA30" s="24">
        <v>43.243724999999998</v>
      </c>
      <c r="AB30" s="25">
        <v>2872.21</v>
      </c>
      <c r="AC30" s="25">
        <v>21871.200000000001</v>
      </c>
      <c r="AD30" s="25">
        <v>24.815000000000001</v>
      </c>
      <c r="AE30" s="25">
        <v>110.17700000000001</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3">
      <c r="A31" s="54"/>
      <c r="B31" s="54" t="s">
        <v>75</v>
      </c>
      <c r="C31" s="10" t="s">
        <v>231</v>
      </c>
      <c r="D31" s="54">
        <v>375422539</v>
      </c>
      <c r="E31" s="10">
        <v>11</v>
      </c>
      <c r="F31" s="10">
        <v>32</v>
      </c>
      <c r="G31" s="10">
        <v>30</v>
      </c>
      <c r="I31" s="11">
        <f t="shared" si="0"/>
        <v>4.9612049999999996</v>
      </c>
      <c r="J31" s="12">
        <f t="shared" si="1"/>
        <v>1.4095989053017406E-2</v>
      </c>
      <c r="K31" s="12">
        <f t="shared" si="2"/>
        <v>1.0321894924907532E-2</v>
      </c>
      <c r="L31" s="12">
        <f t="shared" si="3"/>
        <v>7.2155284208974997E-3</v>
      </c>
      <c r="M31" s="12">
        <f t="shared" si="4"/>
        <v>3.7740941281098734E-3</v>
      </c>
      <c r="N31" s="54">
        <f t="shared" si="5"/>
        <v>3875072</v>
      </c>
      <c r="O31" s="12">
        <v>16</v>
      </c>
      <c r="P31" s="13">
        <v>90541792</v>
      </c>
      <c r="Q31" s="13">
        <v>2829431</v>
      </c>
      <c r="R31" s="13">
        <v>41460.6875</v>
      </c>
      <c r="S31" s="14">
        <v>5291952</v>
      </c>
      <c r="T31" s="14">
        <v>2708872</v>
      </c>
      <c r="U31" s="14">
        <v>1166200</v>
      </c>
      <c r="V31" s="14">
        <v>1416880</v>
      </c>
      <c r="W31" s="15">
        <v>75.252650000000003</v>
      </c>
      <c r="X31" s="15">
        <v>77.584662499999993</v>
      </c>
      <c r="Y31" s="15">
        <v>35.170787500000003</v>
      </c>
      <c r="Z31" s="15">
        <v>42.536018749999997</v>
      </c>
      <c r="AA31" s="15">
        <v>44.678146875000003</v>
      </c>
      <c r="AB31" s="16">
        <v>2854.38</v>
      </c>
      <c r="AC31" s="16">
        <v>22613.5</v>
      </c>
      <c r="AD31" s="16">
        <v>24.253</v>
      </c>
      <c r="AE31" s="16">
        <v>109.95699999999999</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32</v>
      </c>
      <c r="G32" s="19">
        <v>30</v>
      </c>
      <c r="I32" s="20">
        <f t="shared" si="0"/>
        <v>7.1719049999999998</v>
      </c>
      <c r="J32" s="21">
        <f t="shared" si="1"/>
        <v>2.0377124986627401E-2</v>
      </c>
      <c r="K32" s="21">
        <f t="shared" si="2"/>
        <v>1.3213229054422862E-2</v>
      </c>
      <c r="L32" s="21">
        <f t="shared" si="3"/>
        <v>1.0106862550412829E-2</v>
      </c>
      <c r="M32" s="21">
        <f t="shared" si="4"/>
        <v>7.1638959322045392E-3</v>
      </c>
      <c r="N32" s="18">
        <f t="shared" si="5"/>
        <v>4960544</v>
      </c>
      <c r="O32" s="21">
        <v>16</v>
      </c>
      <c r="P32" s="22">
        <v>91787366</v>
      </c>
      <c r="Q32" s="22">
        <v>2868355.1875</v>
      </c>
      <c r="R32" s="22">
        <v>44534.90625</v>
      </c>
      <c r="S32" s="23">
        <v>7650032</v>
      </c>
      <c r="T32" s="23">
        <v>3794344</v>
      </c>
      <c r="U32" s="23">
        <v>1166200</v>
      </c>
      <c r="V32" s="23">
        <v>2689488</v>
      </c>
      <c r="W32" s="24">
        <v>76.469399999999993</v>
      </c>
      <c r="X32" s="24">
        <v>79.114190625000006</v>
      </c>
      <c r="Y32" s="24">
        <v>36.955215625000001</v>
      </c>
      <c r="Z32" s="24">
        <v>43.140440624999997</v>
      </c>
      <c r="AA32" s="24">
        <v>45.958556250000001</v>
      </c>
      <c r="AB32" s="25">
        <v>2890.37</v>
      </c>
      <c r="AC32" s="25">
        <v>23546.400000000001</v>
      </c>
      <c r="AD32" s="25">
        <v>24.82</v>
      </c>
      <c r="AE32" s="25">
        <v>111.703</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32</v>
      </c>
      <c r="G33" s="10">
        <v>30</v>
      </c>
      <c r="I33" s="11">
        <f t="shared" si="0"/>
        <v>12.012074999999999</v>
      </c>
      <c r="J33" s="12">
        <f t="shared" si="1"/>
        <v>3.4129224191305145E-2</v>
      </c>
      <c r="K33" s="12">
        <f t="shared" si="2"/>
        <v>1.8543265991816223E-2</v>
      </c>
      <c r="L33" s="12">
        <f t="shared" si="3"/>
        <v>1.5436899487806192E-2</v>
      </c>
      <c r="M33" s="12">
        <f t="shared" si="4"/>
        <v>1.5585958199488922E-2</v>
      </c>
      <c r="N33" s="54">
        <f t="shared" si="5"/>
        <v>6961560</v>
      </c>
      <c r="O33" s="12">
        <v>16</v>
      </c>
      <c r="P33" s="13">
        <v>94114766</v>
      </c>
      <c r="Q33" s="13">
        <v>2941086.4375</v>
      </c>
      <c r="R33" s="13">
        <v>49715.25</v>
      </c>
      <c r="S33" s="14">
        <v>12812880</v>
      </c>
      <c r="T33" s="14">
        <v>5795360</v>
      </c>
      <c r="U33" s="14">
        <v>1166200</v>
      </c>
      <c r="V33" s="14">
        <v>5851320</v>
      </c>
      <c r="W33" s="15">
        <v>77.566353125000006</v>
      </c>
      <c r="X33" s="15">
        <v>80.266603125000003</v>
      </c>
      <c r="Y33" s="15">
        <v>38.719509375000001</v>
      </c>
      <c r="Z33" s="15">
        <v>43.700431250000001</v>
      </c>
      <c r="AA33" s="15">
        <v>47.378553125000003</v>
      </c>
      <c r="AB33" s="16">
        <v>2867.76</v>
      </c>
      <c r="AC33" s="16">
        <v>24775.1</v>
      </c>
      <c r="AD33" s="16">
        <v>24.346</v>
      </c>
      <c r="AE33" s="16">
        <v>110.789</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32</v>
      </c>
      <c r="G34" s="38">
        <v>30</v>
      </c>
      <c r="I34" s="39">
        <f t="shared" si="0"/>
        <v>24.639389999999999</v>
      </c>
      <c r="J34" s="40">
        <f t="shared" si="1"/>
        <v>7.0006494735256164E-2</v>
      </c>
      <c r="K34" s="40">
        <f t="shared" si="2"/>
        <v>3.0977404902160124E-2</v>
      </c>
      <c r="L34" s="40">
        <f t="shared" si="3"/>
        <v>2.459758549552615E-2</v>
      </c>
      <c r="M34" s="40">
        <f t="shared" si="4"/>
        <v>3.9029089833096033E-2</v>
      </c>
      <c r="N34" s="37">
        <f t="shared" si="5"/>
        <v>11629616</v>
      </c>
      <c r="O34" s="40">
        <v>16</v>
      </c>
      <c r="P34" s="41">
        <v>92205535</v>
      </c>
      <c r="Q34" s="41">
        <v>2881422.96875</v>
      </c>
      <c r="R34" s="41">
        <v>21180.46875</v>
      </c>
      <c r="S34" s="42">
        <v>26282016</v>
      </c>
      <c r="T34" s="42">
        <v>9234488</v>
      </c>
      <c r="U34" s="42">
        <v>2395128</v>
      </c>
      <c r="V34" s="42">
        <v>14652400</v>
      </c>
      <c r="W34" s="43">
        <v>78.500296875000004</v>
      </c>
      <c r="X34" s="43">
        <v>81.895681249999996</v>
      </c>
      <c r="Y34" s="43">
        <v>40.507659375000003</v>
      </c>
      <c r="Z34" s="43">
        <v>44.37398125</v>
      </c>
      <c r="AA34" s="43">
        <v>48.810296874999999</v>
      </c>
      <c r="AB34" s="44">
        <v>2857.22</v>
      </c>
      <c r="AC34" s="44">
        <v>26885.200000000001</v>
      </c>
      <c r="AD34" s="44">
        <v>24.484000000000002</v>
      </c>
      <c r="AE34" s="44">
        <v>118.093</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32</v>
      </c>
      <c r="G35" s="10">
        <v>30</v>
      </c>
      <c r="I35" s="11">
        <f t="shared" si="0"/>
        <v>4.6569075</v>
      </c>
      <c r="J35" s="12">
        <f t="shared" si="1"/>
        <v>1.490848383221177E-2</v>
      </c>
      <c r="K35" s="12">
        <f t="shared" si="2"/>
        <v>1.1175390318305084E-2</v>
      </c>
      <c r="L35" s="12">
        <f t="shared" si="3"/>
        <v>7.155662143968255E-3</v>
      </c>
      <c r="M35" s="12">
        <f t="shared" si="4"/>
        <v>3.7330935139066866E-3</v>
      </c>
      <c r="N35" s="54">
        <f t="shared" si="5"/>
        <v>3723536</v>
      </c>
      <c r="O35" s="12">
        <v>16</v>
      </c>
      <c r="P35" s="13">
        <v>74793925</v>
      </c>
      <c r="Q35" s="13">
        <v>2337310.15625</v>
      </c>
      <c r="R35" s="13">
        <v>30824.78125</v>
      </c>
      <c r="S35" s="14">
        <v>4967368</v>
      </c>
      <c r="T35" s="14">
        <v>2384200</v>
      </c>
      <c r="U35" s="14">
        <v>1339336</v>
      </c>
      <c r="V35" s="14">
        <v>1243832</v>
      </c>
      <c r="W35" s="15">
        <v>73.186065624999998</v>
      </c>
      <c r="X35" s="15">
        <v>75.395090624999995</v>
      </c>
      <c r="Y35" s="15">
        <v>31.7822125</v>
      </c>
      <c r="Z35" s="15">
        <v>42.191984374999997</v>
      </c>
      <c r="AA35" s="15">
        <v>43.412915624999997</v>
      </c>
      <c r="AB35" s="16">
        <v>2710.26</v>
      </c>
      <c r="AC35" s="16">
        <v>28745.7</v>
      </c>
      <c r="AD35" s="16">
        <v>28.677</v>
      </c>
      <c r="AE35" s="16">
        <v>145.946</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32</v>
      </c>
      <c r="G36" s="19">
        <v>30</v>
      </c>
      <c r="I36" s="20">
        <f t="shared" si="0"/>
        <v>6.2389275</v>
      </c>
      <c r="J36" s="21">
        <f t="shared" si="1"/>
        <v>1.9973115155087661E-2</v>
      </c>
      <c r="K36" s="21">
        <f t="shared" si="2"/>
        <v>1.3755462416298193E-2</v>
      </c>
      <c r="L36" s="21">
        <f t="shared" si="3"/>
        <v>9.7357342419613652E-3</v>
      </c>
      <c r="M36" s="21">
        <f t="shared" si="4"/>
        <v>6.2176527387894686E-3</v>
      </c>
      <c r="N36" s="18">
        <f t="shared" si="5"/>
        <v>4583192</v>
      </c>
      <c r="O36" s="21">
        <v>16</v>
      </c>
      <c r="P36" s="22">
        <v>79976742</v>
      </c>
      <c r="Q36" s="22">
        <v>2499273.1875</v>
      </c>
      <c r="R36" s="22">
        <v>39105.5</v>
      </c>
      <c r="S36" s="23">
        <v>6654856</v>
      </c>
      <c r="T36" s="23">
        <v>3243856</v>
      </c>
      <c r="U36" s="23">
        <v>1339336</v>
      </c>
      <c r="V36" s="23">
        <v>2071664</v>
      </c>
      <c r="W36" s="24">
        <v>74.938500000000005</v>
      </c>
      <c r="X36" s="24">
        <v>77.355887499999994</v>
      </c>
      <c r="Y36" s="24">
        <v>34.0428</v>
      </c>
      <c r="Z36" s="24">
        <v>42.958224999999999</v>
      </c>
      <c r="AA36" s="24">
        <v>44.998649999999998</v>
      </c>
      <c r="AB36" s="25">
        <v>2696.7</v>
      </c>
      <c r="AC36" s="25">
        <v>30182.6</v>
      </c>
      <c r="AD36" s="25">
        <v>28.399000000000001</v>
      </c>
      <c r="AE36" s="25">
        <v>138.852</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32</v>
      </c>
      <c r="G37" s="10">
        <v>30</v>
      </c>
      <c r="I37" s="11">
        <f t="shared" si="0"/>
        <v>8.9079599999999992</v>
      </c>
      <c r="J37" s="12">
        <f t="shared" si="1"/>
        <v>2.8517675654495856E-2</v>
      </c>
      <c r="K37" s="12">
        <f t="shared" si="2"/>
        <v>1.7446345867125956E-2</v>
      </c>
      <c r="L37" s="12">
        <f t="shared" si="3"/>
        <v>1.3426617692789128E-2</v>
      </c>
      <c r="M37" s="12">
        <f t="shared" si="4"/>
        <v>1.1071329787369898E-2</v>
      </c>
      <c r="N37" s="54">
        <f t="shared" si="5"/>
        <v>5812960</v>
      </c>
      <c r="O37" s="12">
        <v>16</v>
      </c>
      <c r="P37" s="13">
        <v>81787481</v>
      </c>
      <c r="Q37" s="13">
        <v>2555858.78125</v>
      </c>
      <c r="R37" s="13">
        <v>42911.78125</v>
      </c>
      <c r="S37" s="14">
        <v>9501824</v>
      </c>
      <c r="T37" s="14">
        <v>4473624</v>
      </c>
      <c r="U37" s="14">
        <v>1339336</v>
      </c>
      <c r="V37" s="14">
        <v>3688864</v>
      </c>
      <c r="W37" s="15">
        <v>76.246068750000006</v>
      </c>
      <c r="X37" s="15">
        <v>78.937634375000002</v>
      </c>
      <c r="Y37" s="15">
        <v>36.130121875</v>
      </c>
      <c r="Z37" s="15">
        <v>43.529096875</v>
      </c>
      <c r="AA37" s="15">
        <v>46.101628124999998</v>
      </c>
      <c r="AB37" s="16">
        <v>2704.55</v>
      </c>
      <c r="AC37" s="16">
        <v>31818.5</v>
      </c>
      <c r="AD37" s="16">
        <v>28.802</v>
      </c>
      <c r="AE37" s="16">
        <v>145.96799999999999</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32</v>
      </c>
      <c r="G38" s="19">
        <v>30</v>
      </c>
      <c r="I38" s="20">
        <f t="shared" si="0"/>
        <v>14.434597500000001</v>
      </c>
      <c r="J38" s="21">
        <f t="shared" si="1"/>
        <v>4.6210486992330088E-2</v>
      </c>
      <c r="K38" s="21">
        <f t="shared" si="2"/>
        <v>2.3715596686436816E-2</v>
      </c>
      <c r="L38" s="21">
        <f t="shared" si="3"/>
        <v>1.9695868512099989E-2</v>
      </c>
      <c r="M38" s="21">
        <f t="shared" si="4"/>
        <v>2.2494890305893273E-2</v>
      </c>
      <c r="N38" s="18">
        <f t="shared" si="5"/>
        <v>7901816</v>
      </c>
      <c r="O38" s="21">
        <v>16</v>
      </c>
      <c r="P38" s="22">
        <v>83859347</v>
      </c>
      <c r="Q38" s="22">
        <v>2620604.59375</v>
      </c>
      <c r="R38" s="22">
        <v>48103.65625</v>
      </c>
      <c r="S38" s="23">
        <v>15396904</v>
      </c>
      <c r="T38" s="23">
        <v>6562480</v>
      </c>
      <c r="U38" s="23">
        <v>1339336</v>
      </c>
      <c r="V38" s="23">
        <v>7495088</v>
      </c>
      <c r="W38" s="24">
        <v>77.415709375000006</v>
      </c>
      <c r="X38" s="24">
        <v>80.131399999999999</v>
      </c>
      <c r="Y38" s="24">
        <v>38.085528125000003</v>
      </c>
      <c r="Z38" s="24">
        <v>44.206915625000001</v>
      </c>
      <c r="AA38" s="24">
        <v>47.257871874999999</v>
      </c>
      <c r="AB38" s="25">
        <v>2704.8</v>
      </c>
      <c r="AC38" s="25">
        <v>33222.6</v>
      </c>
      <c r="AD38" s="25">
        <v>28.103999999999999</v>
      </c>
      <c r="AE38" s="25">
        <v>138.09100000000001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32</v>
      </c>
      <c r="G39" s="28">
        <v>30</v>
      </c>
      <c r="I39" s="29">
        <f t="shared" si="0"/>
        <v>28.660717500000001</v>
      </c>
      <c r="J39" s="30">
        <f t="shared" si="1"/>
        <v>9.175356037635253E-2</v>
      </c>
      <c r="K39" s="30">
        <f t="shared" si="2"/>
        <v>3.8473536095722051E-2</v>
      </c>
      <c r="L39" s="30">
        <f t="shared" si="3"/>
        <v>3.036807550165365E-2</v>
      </c>
      <c r="M39" s="30">
        <f t="shared" si="4"/>
        <v>5.3280024280630486E-2</v>
      </c>
      <c r="N39" s="27">
        <f t="shared" si="5"/>
        <v>12819024</v>
      </c>
      <c r="O39" s="30">
        <v>16</v>
      </c>
      <c r="P39" s="31">
        <v>82067544</v>
      </c>
      <c r="Q39" s="31">
        <v>2564610.75</v>
      </c>
      <c r="R39" s="31">
        <v>19264.46875</v>
      </c>
      <c r="S39" s="32">
        <v>30571432</v>
      </c>
      <c r="T39" s="32">
        <v>10118360</v>
      </c>
      <c r="U39" s="32">
        <v>2700664</v>
      </c>
      <c r="V39" s="32">
        <v>17752408</v>
      </c>
      <c r="W39" s="33">
        <v>78.311515624999998</v>
      </c>
      <c r="X39" s="33">
        <v>81.848193749999993</v>
      </c>
      <c r="Y39" s="33">
        <v>40.156068750000003</v>
      </c>
      <c r="Z39" s="33">
        <v>45.115956250000004</v>
      </c>
      <c r="AA39" s="33">
        <v>48.630465624999999</v>
      </c>
      <c r="AB39" s="34">
        <v>2770.93</v>
      </c>
      <c r="AC39" s="34">
        <v>35857</v>
      </c>
      <c r="AD39" s="34">
        <v>28.334</v>
      </c>
      <c r="AE39" s="34">
        <v>148.88300000000001</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1.7870143642272428E-2</v>
      </c>
      <c r="K40" s="48">
        <f>AVERAGE(K5:K24)</f>
        <v>9.5321793276372524E-3</v>
      </c>
      <c r="L40" s="48">
        <f>AVERAGE(L5:L24)</f>
        <v>6.9516832599163803E-3</v>
      </c>
      <c r="M40" s="48">
        <f>AVERAGE(M5:M24)</f>
        <v>8.3379643146351788E-3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3">
      <c r="B41" s="47" t="s">
        <v>15</v>
      </c>
      <c r="J41" s="48">
        <f>AVERAGE(J25:J29)</f>
        <v>3.8315025133065006E-2</v>
      </c>
      <c r="K41" s="48">
        <f>AVERAGE(K25:K29)</f>
        <v>1.1417285892349041E-2</v>
      </c>
      <c r="L41" s="48">
        <f>AVERAGE(L25:L29)</f>
        <v>8.7672756735900897E-3</v>
      </c>
      <c r="M41" s="48">
        <f>AVERAGE(M25:M29)</f>
        <v>2.6897739240715968E-2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3">
      <c r="B42" s="47" t="s">
        <v>16</v>
      </c>
      <c r="J42" s="48">
        <f>AVERAGE(J30:J39)</f>
        <v>3.5053629428106393E-2</v>
      </c>
      <c r="K42" s="48">
        <f>AVERAGE(K30:K39)</f>
        <v>1.8600416961661072E-2</v>
      </c>
      <c r="L42" s="48">
        <f>AVERAGE(L30:L39)</f>
        <v>1.4301451090252094E-2</v>
      </c>
      <c r="M42" s="48">
        <f>AVERAGE(M30:M39)</f>
        <v>1.6453212466445322E-2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3">
      <c r="B43" s="47" t="s">
        <v>17</v>
      </c>
      <c r="J43" s="48">
        <f>AVERAGE(J5:J39)</f>
        <v>2.5700408365481077E-2</v>
      </c>
      <c r="K43" s="48">
        <f>AVERAGE(K5:K39)</f>
        <v>1.2392405303745741E-2</v>
      </c>
      <c r="L43" s="48">
        <f>AVERAGE(L5:L39)</f>
        <v>9.3109872705371133E-3</v>
      </c>
      <c r="M43" s="48">
        <f>AVERAGE(M5:M39)</f>
        <v>1.3308003061735334E-2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3">
      <c r="A44" s="47" t="s">
        <v>237</v>
      </c>
      <c r="B44" s="47" t="s">
        <v>238</v>
      </c>
      <c r="AB44" s="49">
        <f>SUM(AB5:AB24,AB25:AB29,AB30:AB39)</f>
        <v>104272.78999999998</v>
      </c>
      <c r="AC44" s="49">
        <f>SUM(AC5:AC24,AC25:AC29,AC30:AC39)</f>
        <v>408288.62</v>
      </c>
      <c r="AD44" s="49">
        <f>SUM(AD5:AD24,AD25:AD29,AD30:AD39)</f>
        <v>450.90000000000003</v>
      </c>
      <c r="AE44" s="49">
        <f>SUM(AE5:AE24,AE25:AE29,AE30:AE39)</f>
        <v>1900.6360000000002</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55">
        <f>AZ44/AB44</f>
        <v>0</v>
      </c>
      <c r="BA45" s="55">
        <f>BA44/AC44</f>
        <v>0</v>
      </c>
      <c r="BB45" s="55">
        <f>BB44/AD44</f>
        <v>0</v>
      </c>
      <c r="BC45" s="55">
        <f>BC44/AE44</f>
        <v>0</v>
      </c>
    </row>
    <row r="46" spans="1:72" hidden="1" outlineLevel="2" x14ac:dyDescent="0.3">
      <c r="B46" s="47" t="s">
        <v>240</v>
      </c>
      <c r="AB46" s="49">
        <f>GEOMEAN(AB5:AB24,AB25:AB29,AB30:AB39)</f>
        <v>2828.0152554793717</v>
      </c>
      <c r="AC46" s="49">
        <f>GEOMEAN(AC5:AC24,AC25:AC29,AC30:AC39)</f>
        <v>8222.1400771197787</v>
      </c>
      <c r="AD46" s="49">
        <f>GEOMEAN(AD5:AD24,AD25:AD29,AD30:AD39)</f>
        <v>10.610143848364229</v>
      </c>
      <c r="AE46" s="49">
        <f>GEOMEAN(AE5:AE24,AE25:AE29,AE30:AE39)</f>
        <v>39.501485608750947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Ricard Julien</cp:lastModifiedBy>
  <dcterms:created xsi:type="dcterms:W3CDTF">2019-04-23T13:57:55Z</dcterms:created>
  <dcterms:modified xsi:type="dcterms:W3CDTF">2019-08-06T06:38:41Z</dcterms:modified>
</cp:coreProperties>
</file>