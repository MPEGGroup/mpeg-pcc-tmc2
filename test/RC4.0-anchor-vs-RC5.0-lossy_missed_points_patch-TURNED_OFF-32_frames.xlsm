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T:\users\indranil\pcc\MPEG125_lmpp_integration\tmc2v5.0_lmpp_integration_release_lmppOff_32_frames\"/>
    </mc:Choice>
  </mc:AlternateContent>
  <bookViews>
    <workbookView xWindow="240" yWindow="12" windowWidth="16092" windowHeight="9660" firstSheet="1" activeTab="6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G5" i="7" a="1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BF8" i="6" a="1"/>
  <c r="AL8" i="6"/>
  <c r="AK8" i="6"/>
  <c r="AH8" i="6" s="1"/>
  <c r="AJ8" i="6"/>
  <c r="AI8" i="6"/>
  <c r="AG8" i="6"/>
  <c r="AF8" i="6"/>
  <c r="AE8" i="6"/>
  <c r="O8" i="6"/>
  <c r="N8" i="6"/>
  <c r="BE8" i="6" s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BF7" i="5" a="1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G10" i="3" a="1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2" i="2"/>
  <c r="B1" i="2"/>
  <c r="BJ25" i="7"/>
  <c r="BM20" i="7"/>
  <c r="BP5" i="7"/>
  <c r="BR15" i="7"/>
  <c r="BM5" i="7"/>
  <c r="BM15" i="7"/>
  <c r="BK10" i="7"/>
  <c r="BQ15" i="7"/>
  <c r="BS25" i="7"/>
  <c r="BR20" i="7"/>
  <c r="BM10" i="7"/>
  <c r="BK15" i="7"/>
  <c r="BK20" i="7"/>
  <c r="BQ20" i="7"/>
  <c r="BL15" i="7"/>
  <c r="BP15" i="7"/>
  <c r="BM25" i="7"/>
  <c r="BS15" i="7"/>
  <c r="BL25" i="7"/>
  <c r="BS5" i="7"/>
  <c r="BR25" i="7"/>
  <c r="BQ10" i="7"/>
  <c r="BS20" i="7"/>
  <c r="BL20" i="7"/>
  <c r="BP25" i="7"/>
  <c r="BR10" i="7"/>
  <c r="BQ5" i="7"/>
  <c r="BO20" i="7"/>
  <c r="BK25" i="7"/>
  <c r="BL5" i="7"/>
  <c r="BL10" i="7"/>
  <c r="BK5" i="7"/>
  <c r="BO25" i="7"/>
  <c r="BS10" i="7"/>
  <c r="BP10" i="7"/>
  <c r="BQ25" i="7"/>
  <c r="BO15" i="7"/>
  <c r="BR5" i="7"/>
  <c r="BO5" i="7"/>
  <c r="BP20" i="7"/>
  <c r="BO10" i="7"/>
  <c r="BJ15" i="3"/>
  <c r="BL15" i="3"/>
  <c r="BP20" i="3"/>
  <c r="BR5" i="3"/>
  <c r="BM15" i="3"/>
  <c r="BM5" i="3"/>
  <c r="BQ25" i="3"/>
  <c r="BP25" i="3"/>
  <c r="BO10" i="3"/>
  <c r="BS25" i="3"/>
  <c r="BL25" i="3"/>
  <c r="BO25" i="3"/>
  <c r="BL10" i="3"/>
  <c r="BO15" i="3"/>
  <c r="BP10" i="3"/>
  <c r="BR25" i="3"/>
  <c r="BM10" i="3"/>
  <c r="BL5" i="3"/>
  <c r="BP5" i="3"/>
  <c r="BO5" i="3"/>
  <c r="BR10" i="3"/>
  <c r="BM25" i="3"/>
  <c r="BK10" i="3"/>
  <c r="BS5" i="3"/>
  <c r="BQ5" i="3"/>
  <c r="BS20" i="3"/>
  <c r="BL20" i="3"/>
  <c r="BO20" i="3"/>
  <c r="BS15" i="3"/>
  <c r="BQ20" i="3"/>
  <c r="BR15" i="3"/>
  <c r="BK15" i="3"/>
  <c r="BM20" i="3"/>
  <c r="BQ10" i="3"/>
  <c r="BP15" i="3"/>
  <c r="BK25" i="3"/>
  <c r="BR20" i="3"/>
  <c r="BS10" i="3"/>
  <c r="BK20" i="3"/>
  <c r="BQ15" i="3"/>
  <c r="BK5" i="3"/>
  <c r="BB8" i="6" l="1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AH12" i="6" s="1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J20" i="7"/>
  <c r="BI15" i="7"/>
  <c r="BI5" i="7"/>
  <c r="BJ5" i="7"/>
  <c r="BI10" i="7"/>
  <c r="BI20" i="7"/>
  <c r="BJ10" i="7"/>
  <c r="BJ15" i="7"/>
  <c r="BI25" i="7"/>
  <c r="BJ10" i="3"/>
  <c r="BI10" i="3"/>
  <c r="BJ20" i="3"/>
  <c r="BI20" i="3"/>
  <c r="BI25" i="3"/>
  <c r="BJ25" i="3"/>
  <c r="BI15" i="3"/>
  <c r="BJ5" i="3"/>
  <c r="BI5" i="3"/>
  <c r="BF12" i="5" l="1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<sst xmlns="http://schemas.openxmlformats.org/spreadsheetml/2006/main" count="1410" uniqueCount="553">
  <si>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</si>
  <si>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</si>
  <si>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</si>
  <si>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</si>
  <si>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</si>
  <si>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</si>
  <si>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</si>
  <si>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</si>
  <si>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</si>
  <si>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</si>
  <si>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</si>
  <si>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</si>
  <si>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</si>
  <si>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</si>
  <si>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</si>
  <si>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</si>
  <si>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</si>
  <si>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</si>
  <si>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</si>
  <si>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</si>
  <si>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</si>
  <si>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</si>
  <si>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</si>
  <si>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</si>
  <si>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</si>
  <si>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</si>
  <si>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</si>
  <si>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</si>
  <si>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</si>
  <si>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</si>
  <si>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</si>
  <si>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</si>
  <si>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</si>
  <si>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</si>
  <si>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</si>
  <si>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</si>
  <si>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</si>
  <si>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</si>
  <si>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</si>
  <si>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</si>
  <si>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</si>
  <si>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</si>
  <si>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</si>
  <si>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</si>
  <si>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</si>
  <si>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</si>
  <si>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</si>
  <si>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</si>
  <si>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</si>
  <si>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</si>
  <si>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</si>
  <si>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</si>
  <si>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</si>
  <si>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</si>
  <si>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</si>
  <si>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</si>
  <si>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</si>
  <si>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</si>
  <si>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</si>
  <si>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</si>
  <si>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</si>
  <si>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</si>
  <si>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</si>
  <si>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</si>
  <si>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</si>
  <si>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</si>
  <si>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</si>
  <si>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</si>
  <si>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</si>
  <si>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</si>
  <si>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</si>
  <si>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</si>
  <si>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</si>
  <si>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</si>
  <si>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</si>
  <si>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</si>
  <si>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</si>
  <si>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</si>
  <si>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</si>
  <si>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</si>
  <si>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</si>
  <si>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</si>
  <si>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</si>
  <si>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</si>
  <si>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</si>
  <si>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</si>
  <si>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</si>
  <si>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</si>
  <si>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</si>
  <si>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</si>
  <si>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</si>
  <si>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</si>
  <si>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</si>
  <si>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</si>
  <si>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</si>
  <si>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</si>
  <si>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</si>
  <si>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</si>
  <si>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</si>
  <si>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</si>
  <si>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</si>
  <si>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</si>
  <si>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</si>
  <si>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</si>
  <si>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</si>
  <si>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</si>
  <si>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</si>
  <si>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</si>
  <si>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</si>
  <si>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</si>
  <si>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</si>
  <si>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</si>
  <si>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</si>
  <si>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</si>
  <si>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</si>
  <si>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</si>
  <si>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</si>
  <si>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</si>
  <si>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</si>
  <si>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</si>
  <si>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</si>
  <si>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</si>
  <si>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</si>
  <si>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</si>
  <si>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</si>
  <si>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</si>
  <si>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</si>
  <si>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</si>
  <si>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</si>
  <si>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</si>
  <si>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</si>
  <si>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</si>
  <si>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</si>
  <si>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</si>
  <si>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</si>
  <si>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</si>
  <si>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</si>
  <si>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</si>
  <si>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</si>
  <si>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</si>
  <si>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</si>
  <si>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</si>
  <si>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</si>
  <si>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</si>
  <si>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</si>
  <si>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</si>
  <si>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</si>
  <si>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</si>
  <si>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</si>
  <si>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</si>
  <si>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</si>
  <si>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</si>
  <si>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</si>
  <si>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</si>
  <si>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</si>
  <si>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</si>
  <si>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</si>
  <si>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</si>
  <si>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</si>
  <si>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</si>
  <si>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</si>
  <si>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</si>
  <si>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</si>
  <si>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</si>
  <si>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</si>
  <si>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</si>
  <si>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</si>
  <si>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</si>
  <si>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</si>
  <si>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</si>
  <si>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</si>
  <si>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</si>
  <si>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</si>
  <si>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</si>
  <si>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</si>
  <si>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</si>
  <si>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</si>
  <si>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</si>
  <si>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</si>
  <si>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</si>
  <si>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</si>
  <si>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</si>
  <si>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</si>
  <si>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</si>
  <si>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</si>
  <si>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</si>
  <si>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</si>
  <si>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</si>
  <si>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</si>
  <si>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</si>
  <si>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</si>
  <si>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</si>
  <si>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</si>
  <si>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</si>
  <si>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</si>
  <si>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</si>
  <si>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</si>
  <si>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</si>
  <si>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</si>
  <si>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</si>
  <si>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</si>
  <si>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</si>
  <si>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</si>
  <si>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</si>
  <si>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</si>
  <si>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</si>
  <si>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</si>
  <si>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</si>
  <si>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</si>
  <si>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</si>
  <si>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</si>
  <si>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</si>
  <si>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</si>
  <si>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</si>
  <si>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</si>
  <si>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</si>
  <si>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</si>
  <si>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</si>
  <si>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</si>
  <si>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</si>
  <si>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</si>
  <si>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</si>
  <si>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</si>
  <si>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</si>
  <si>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</si>
  <si>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</si>
  <si>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</si>
  <si>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</si>
  <si>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</si>
  <si>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</si>
  <si>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</si>
  <si>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</si>
  <si>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</si>
  <si>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</si>
  <si>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</si>
  <si>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</si>
  <si>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</si>
  <si>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</si>
  <si>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</si>
  <si>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</si>
  <si>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</si>
  <si>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</si>
  <si>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</si>
  <si>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</si>
  <si>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</si>
  <si>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</si>
  <si>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</si>
  <si>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</si>
  <si>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</si>
  <si>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</si>
  <si>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</si>
  <si>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</si>
  <si>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</si>
  <si>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</si>
  <si>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</si>
  <si>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</si>
  <si>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</si>
  <si>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</si>
  <si>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</si>
  <si>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</si>
  <si>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</si>
  <si>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</si>
  <si>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</si>
  <si>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</si>
  <si>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</si>
  <si>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</si>
  <si>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</si>
  <si>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</si>
  <si>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</si>
  <si>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</si>
  <si>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</si>
  <si>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</si>
  <si>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</si>
  <si>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</si>
  <si>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</si>
  <si>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</si>
  <si>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</si>
  <si>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</si>
  <si>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</si>
  <si>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</si>
  <si>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</si>
  <si>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</si>
  <si>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</si>
  <si>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</si>
  <si>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</si>
  <si>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</si>
  <si>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</si>
  <si>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</si>
  <si>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</si>
  <si>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</si>
  <si>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</si>
  <si>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</si>
  <si>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</si>
  <si>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</si>
  <si>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</si>
  <si>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</si>
  <si>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</si>
  <si>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</si>
  <si>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</si>
  <si>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</si>
  <si>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</si>
  <si>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</si>
  <si>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</si>
  <si>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</si>
  <si>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</si>
  <si>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</si>
  <si>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</si>
  <si>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</si>
  <si>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</si>
  <si>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</si>
  <si>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</si>
  <si>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</si>
  <si>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</si>
  <si>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</si>
  <si>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</si>
  <si>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</si>
  <si>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</si>
  <si>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</si>
  <si>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</si>
  <si>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</si>
  <si>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</si>
  <si>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</si>
  <si>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</si>
  <si>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</si>
  <si>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</si>
  <si>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</si>
  <si>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</si>
  <si>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</si>
  <si>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</si>
  <si>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</si>
  <si>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</si>
  <si>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</si>
  <si>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</si>
  <si>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</si>
  <si>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</si>
  <si>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</si>
  <si>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</si>
  <si>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</si>
  <si>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</si>
  <si>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</si>
  <si>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</si>
  <si>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</si>
  <si>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</si>
  <si>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</si>
  <si>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</si>
  <si>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</si>
  <si>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</si>
  <si>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</si>
  <si>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</si>
  <si>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</si>
  <si>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</si>
  <si>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</si>
  <si>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</si>
  <si>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</si>
  <si>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</si>
  <si>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</si>
  <si>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</si>
  <si>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</si>
  <si>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</si>
  <si>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</si>
  <si>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</si>
  <si>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</si>
  <si>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</si>
  <si>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</si>
  <si>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</si>
  <si>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</si>
  <si>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</si>
  <si>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</si>
  <si>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</si>
  <si>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</si>
  <si>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</si>
  <si>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</si>
  <si>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</si>
  <si>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</si>
  <si>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</si>
  <si>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</si>
  <si>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</si>
  <si>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</si>
  <si>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</si>
  <si>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</si>
  <si>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</si>
  <si>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</si>
  <si>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</si>
  <si>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</si>
  <si>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</si>
  <si>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</si>
  <si>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</si>
  <si>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</si>
  <si>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</si>
  <si>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</si>
  <si>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</si>
  <si>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</si>
  <si>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</si>
  <si>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</si>
  <si>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</si>
  <si>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</si>
  <si>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</si>
  <si>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</si>
  <si>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</si>
  <si>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</si>
  <si>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</si>
  <si>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</si>
  <si>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</si>
  <si>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</si>
  <si>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</si>
  <si>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</si>
  <si>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</si>
  <si>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</si>
  <si>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</si>
  <si>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</si>
  <si>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</si>
  <si>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</si>
  <si>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</si>
  <si>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</si>
  <si>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</si>
  <si>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</si>
  <si>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</si>
  <si>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</si>
  <si>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</si>
  <si>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</si>
  <si>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</si>
  <si>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</si>
  <si>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</si>
  <si>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</si>
  <si>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</si>
  <si>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</si>
  <si>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</si>
  <si>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</si>
  <si>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</si>
  <si>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</si>
  <si>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</si>
  <si>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</si>
  <si>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</si>
  <si>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</si>
  <si>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</si>
  <si>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</si>
  <si>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</si>
  <si>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</si>
  <si>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</si>
  <si>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</si>
  <si>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</si>
  <si>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</si>
  <si>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</si>
  <si>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</si>
  <si>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</si>
  <si>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</si>
  <si>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</si>
  <si>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</si>
  <si>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</si>
  <si>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</si>
  <si>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</si>
  <si>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</si>
  <si>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</si>
  <si>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</si>
  <si>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</si>
  <si>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</si>
  <si>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</si>
  <si>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</si>
  <si>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</si>
  <si>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</si>
  <si>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</si>
  <si>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</si>
  <si>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</si>
  <si>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</si>
  <si>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</si>
  <si>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</si>
  <si>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</si>
  <si>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</si>
  <si>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</si>
  <si>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</si>
  <si>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</si>
  <si>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</si>
  <si>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</si>
  <si>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</si>
  <si>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</si>
  <si>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</si>
  <si>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</si>
  <si>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</si>
  <si>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</si>
  <si>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</si>
  <si>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</si>
  <si>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</si>
  <si>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</si>
  <si>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</si>
  <si>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</si>
  <si>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</si>
  <si>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</si>
  <si>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</si>
  <si>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</si>
  <si>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</si>
  <si>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</si>
  <si>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</si>
  <si>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</si>
  <si>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</si>
  <si>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</si>
  <si>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</si>
  <si>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</si>
  <si>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</si>
  <si>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</si>
  <si>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</si>
  <si>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</si>
  <si>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</si>
  <si>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</si>
  <si>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</si>
  <si>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</si>
  <si>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</si>
  <si>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</si>
  <si>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</si>
  <si>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</si>
  <si>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</si>
  <si>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</si>
  <si>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</si>
  <si>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</si>
  <si>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</si>
  <si>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</si>
  <si>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</si>
  <si>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</si>
  <si>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</si>
  <si>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</si>
  <si>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</si>
  <si>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</si>
  <si>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</si>
  <si>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</si>
  <si>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</si>
  <si>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</si>
  <si>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</si>
  <si>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</si>
  <si>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</si>
  <si>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</si>
  <si>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</si>
  <si>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</si>
  <si>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</si>
  <si>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</si>
  <si>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</si>
  <si>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</si>
  <si>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</si>
  <si>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</si>
  <si>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</si>
  <si>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</si>
  <si>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</si>
  <si>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</si>
  <si>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</si>
  <si>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</si>
  <si>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</si>
  <si>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</si>
  <si>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</si>
  <si>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</si>
  <si>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</si>
  <si>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</si>
  <si>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</si>
  <si>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reference (TMC2v5.0-RC4.0)</t>
  </si>
  <si>
    <t>inf</t>
  </si>
  <si>
    <t>tested (TMC2v5.0-RC5.0, lossy-missed-points-patch tool OFF)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</si>
</sst>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66.395740625000002</c:v>
                </c:pt>
                <c:pt idx="1">
                  <c:v>68.286643749999996</c:v>
                </c:pt>
                <c:pt idx="2">
                  <c:v>69.66915625</c:v>
                </c:pt>
                <c:pt idx="3">
                  <c:v>70.735515625000005</c:v>
                </c:pt>
                <c:pt idx="4">
                  <c:v>71.631712500000006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 (TMC2v5.0-RC5.0, lossy-missed-points-patch tool OFF)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66.395740625000002</c:v>
                </c:pt>
                <c:pt idx="1">
                  <c:v>68.286643749999996</c:v>
                </c:pt>
                <c:pt idx="2">
                  <c:v>69.66915625</c:v>
                </c:pt>
                <c:pt idx="3">
                  <c:v>70.735515625000005</c:v>
                </c:pt>
                <c:pt idx="4">
                  <c:v>71.631712500000006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68.545965624999994</c:v>
                </c:pt>
                <c:pt idx="1">
                  <c:v>70.515618750000002</c:v>
                </c:pt>
                <c:pt idx="2">
                  <c:v>72.252784375000005</c:v>
                </c:pt>
                <c:pt idx="3">
                  <c:v>73.543899999999994</c:v>
                </c:pt>
                <c:pt idx="4">
                  <c:v>74.732290625000005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 (TMC2v5.0-RC5.0, lossy-missed-points-patch tool OFF)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68.545965624999994</c:v>
                </c:pt>
                <c:pt idx="1">
                  <c:v>70.515618750000002</c:v>
                </c:pt>
                <c:pt idx="2">
                  <c:v>72.252784375000005</c:v>
                </c:pt>
                <c:pt idx="3">
                  <c:v>73.543899999999994</c:v>
                </c:pt>
                <c:pt idx="4">
                  <c:v>74.732290625000005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32.151171875000003</c:v>
                </c:pt>
                <c:pt idx="1">
                  <c:v>34.43336875</c:v>
                </c:pt>
                <c:pt idx="2">
                  <c:v>36.978884375</c:v>
                </c:pt>
                <c:pt idx="3">
                  <c:v>39.621790625000003</c:v>
                </c:pt>
                <c:pt idx="4">
                  <c:v>42.051034375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 (TMC2v5.0-RC5.0, lossy-missed-points-patch tool OFF)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32.151171875000003</c:v>
                </c:pt>
                <c:pt idx="1">
                  <c:v>34.43336875</c:v>
                </c:pt>
                <c:pt idx="2">
                  <c:v>36.978884375</c:v>
                </c:pt>
                <c:pt idx="3">
                  <c:v>39.621790625000003</c:v>
                </c:pt>
                <c:pt idx="4">
                  <c:v>42.051034375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44.135159375000001</c:v>
                </c:pt>
                <c:pt idx="1">
                  <c:v>45.414081250000002</c:v>
                </c:pt>
                <c:pt idx="2">
                  <c:v>46.488531250000001</c:v>
                </c:pt>
                <c:pt idx="3">
                  <c:v>47.778500000000001</c:v>
                </c:pt>
                <c:pt idx="4">
                  <c:v>49.409953125000001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 (TMC2v5.0-RC5.0, lossy-missed-points-patch tool OFF)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44.135159375000001</c:v>
                </c:pt>
                <c:pt idx="1">
                  <c:v>45.414081250000002</c:v>
                </c:pt>
                <c:pt idx="2">
                  <c:v>46.488531250000001</c:v>
                </c:pt>
                <c:pt idx="3">
                  <c:v>47.778500000000001</c:v>
                </c:pt>
                <c:pt idx="4">
                  <c:v>49.409953125000001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43.713462499999999</c:v>
                </c:pt>
                <c:pt idx="1">
                  <c:v>45.089015625000002</c:v>
                </c:pt>
                <c:pt idx="2">
                  <c:v>46.325428125000002</c:v>
                </c:pt>
                <c:pt idx="3">
                  <c:v>47.798987500000003</c:v>
                </c:pt>
                <c:pt idx="4">
                  <c:v>49.533196875000002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 (TMC2v5.0-RC5.0, lossy-missed-points-patch tool OFF)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43.713462499999999</c:v>
                </c:pt>
                <c:pt idx="1">
                  <c:v>45.089015625000002</c:v>
                </c:pt>
                <c:pt idx="2">
                  <c:v>46.325428125000002</c:v>
                </c:pt>
                <c:pt idx="3">
                  <c:v>47.798987500000003</c:v>
                </c:pt>
                <c:pt idx="4">
                  <c:v>49.533196875000002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 (TMC2v5.0-RC5.0, lossy-missed-points-patch tool OFF)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/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58" t="s">
        <v>2</v>
      </c>
      <c r="D1" s="58"/>
      <c r="E1" s="58"/>
    </row>
    <row r="2" spans="2:12" x14ac:dyDescent="0.3">
      <c r="B2" t="s">
        <v>1</v>
      </c>
      <c r="C2" s="59" t="s">
        <v>3</v>
      </c>
      <c r="D2" s="59"/>
      <c r="E2" s="59"/>
    </row>
    <row r="4" spans="2:12" s="1" customFormat="1" x14ac:dyDescent="0.3">
      <c r="B4" s="1" t="s">
        <v>296</v>
      </c>
    </row>
    <row r="6" spans="2:12" x14ac:dyDescent="0.3">
      <c r="B6" s="60" t="s">
        <v>297</v>
      </c>
      <c r="C6" s="61" t="s">
        <v>298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3">
      <c r="B7" s="60"/>
      <c r="C7" s="62" t="s">
        <v>237</v>
      </c>
      <c r="D7" s="62"/>
      <c r="E7" s="63" t="s">
        <v>242</v>
      </c>
      <c r="F7" s="63"/>
      <c r="G7" s="63"/>
      <c r="H7" s="62" t="s">
        <v>249</v>
      </c>
      <c r="I7" s="62"/>
      <c r="J7" s="63" t="s">
        <v>254</v>
      </c>
      <c r="K7" s="63"/>
      <c r="L7" s="63"/>
    </row>
    <row r="8" spans="2:12" x14ac:dyDescent="0.3">
      <c r="B8" s="60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3">
      <c r="B9" s="4" t="s">
        <v>288</v>
      </c>
      <c r="C9" s="5">
        <f>'C2 lossyG,lossyA,intra'!$BI$30:$BI$30</f>
        <v>0</v>
      </c>
      <c r="D9" s="5">
        <f>'C2 lossyG,lossyA,intra'!$BJ$30:$BJ$30</f>
        <v>0</v>
      </c>
      <c r="E9" s="5">
        <f>'C2 lossyG,lossyA,intra'!$BK$30:$BK$30</f>
        <v>0</v>
      </c>
      <c r="F9" s="5">
        <f>'C2 lossyG,lossyA,intra'!$BL$30:$BL$30</f>
        <v>0</v>
      </c>
      <c r="G9" s="5">
        <f>'C2 lossyG,lossyA,intra'!$BM$30:$BM$30</f>
        <v>0</v>
      </c>
      <c r="H9" s="5">
        <f>'C2 lossyG,lossyA,intra'!$BO$30:$BO$30</f>
        <v>1.2782397572630444E-6</v>
      </c>
      <c r="I9" s="5">
        <f>'C2 lossyG,lossyA,intra'!$BP$30:$BP$30</f>
        <v>1.2379276780882797E-6</v>
      </c>
      <c r="J9" s="5">
        <f>'C2 lossyG,lossyA,intra'!$BQ$30:$BQ$30</f>
        <v>1.1006706189808924E-6</v>
      </c>
      <c r="K9" s="5">
        <f>'C2 lossyG,lossyA,intra'!$BR$30:$BR$30</f>
        <v>1.0132165680354355E-6</v>
      </c>
      <c r="L9" s="5">
        <f>'C2 lossyG,lossyA,intra'!$BS$30:$BS$30</f>
        <v>1.0570514884511439E-6</v>
      </c>
    </row>
    <row r="10" spans="2:12" x14ac:dyDescent="0.3">
      <c r="B10" s="4" t="s">
        <v>289</v>
      </c>
      <c r="C10" s="5">
        <f>'C2 lossyG,lossyA,intra'!$BI$31:$BI$31</f>
        <v>0</v>
      </c>
      <c r="D10" s="5">
        <f>'C2 lossyG,lossyA,intra'!$BJ$31:$BJ$31</f>
        <v>0</v>
      </c>
      <c r="E10" s="5">
        <f>'C2 lossyG,lossyA,intra'!$BK$31:$BK$31</f>
        <v>0</v>
      </c>
      <c r="F10" s="5">
        <f>'C2 lossyG,lossyA,intra'!$BL$31:$BL$31</f>
        <v>0</v>
      </c>
      <c r="G10" s="5">
        <f>'C2 lossyG,lossyA,intra'!$BM$31:$BM$31</f>
        <v>0</v>
      </c>
      <c r="H10" s="5">
        <f>'C2 lossyG,lossyA,intra'!$BO$31:$BO$31</f>
        <v>7.486696853575836E-7</v>
      </c>
      <c r="I10" s="5">
        <f>'C2 lossyG,lossyA,intra'!$BP$31:$BP$31</f>
        <v>7.1691850456190309E-7</v>
      </c>
      <c r="J10" s="5">
        <f>'C2 lossyG,lossyA,intra'!$BQ$31:$BQ$31</f>
        <v>6.6727289405044132E-7</v>
      </c>
      <c r="K10" s="5">
        <f>'C2 lossyG,lossyA,intra'!$BR$31:$BR$31</f>
        <v>5.3436814528851073E-7</v>
      </c>
      <c r="L10" s="5">
        <f>'C2 lossyG,lossyA,intra'!$BS$31:$BS$31</f>
        <v>5.6790459224131951E-7</v>
      </c>
    </row>
    <row r="11" spans="2:12" x14ac:dyDescent="0.3">
      <c r="B11" s="6" t="s">
        <v>290</v>
      </c>
      <c r="C11" s="7">
        <f>'C2 lossyG,lossyA,intra'!$BI$32:$BI$32</f>
        <v>0</v>
      </c>
      <c r="D11" s="7">
        <f>'C2 lossyG,lossyA,intra'!$BJ$32:$BJ$32</f>
        <v>0</v>
      </c>
      <c r="E11" s="7">
        <f>'C2 lossyG,lossyA,intra'!$BK$32:$BK$32</f>
        <v>0</v>
      </c>
      <c r="F11" s="7">
        <f>'C2 lossyG,lossyA,intra'!$BL$32:$BL$32</f>
        <v>0</v>
      </c>
      <c r="G11" s="7">
        <f>'C2 lossyG,lossyA,intra'!$BM$32:$BM$32</f>
        <v>0</v>
      </c>
      <c r="H11" s="7">
        <f>'C2 lossyG,lossyA,intra'!$BO$32:$BO$32</f>
        <v>1.1723257428819523E-6</v>
      </c>
      <c r="I11" s="7">
        <f>'C2 lossyG,lossyA,intra'!$BP$32:$BP$32</f>
        <v>1.1337258433830045E-6</v>
      </c>
      <c r="J11" s="7">
        <f>'C2 lossyG,lossyA,intra'!$BQ$32:$BQ$32</f>
        <v>1.0139910739948022E-6</v>
      </c>
      <c r="K11" s="7">
        <f>'C2 lossyG,lossyA,intra'!$BR$32:$BR$32</f>
        <v>9.174468834860505E-7</v>
      </c>
      <c r="L11" s="7">
        <f>'C2 lossyG,lossyA,intra'!$BS$32:$BS$32</f>
        <v>9.5922210920917914E-7</v>
      </c>
    </row>
    <row r="12" spans="2:12" x14ac:dyDescent="0.3">
      <c r="B12" t="s">
        <v>299</v>
      </c>
      <c r="C12" s="64">
        <f>'C2 lossyG,lossyA,intra'!AZ36</f>
        <v>0.95057077418791447</v>
      </c>
      <c r="D12" s="64"/>
      <c r="E12" s="64"/>
      <c r="F12" s="64"/>
      <c r="G12" s="64"/>
      <c r="H12" s="64"/>
      <c r="I12" s="64"/>
      <c r="J12" s="64"/>
      <c r="K12" s="64"/>
      <c r="L12" s="64"/>
    </row>
    <row r="13" spans="2:12" x14ac:dyDescent="0.3">
      <c r="B13" s="9" t="s">
        <v>300</v>
      </c>
      <c r="C13" s="65">
        <f>'C2 lossyG,lossyA,intra'!BB36</f>
        <v>1.1778617994146499</v>
      </c>
      <c r="D13" s="65"/>
      <c r="E13" s="65"/>
      <c r="F13" s="65"/>
      <c r="G13" s="65"/>
      <c r="H13" s="65"/>
      <c r="I13" s="65"/>
      <c r="J13" s="65"/>
      <c r="K13" s="65"/>
      <c r="L13" s="65"/>
    </row>
    <row r="15" spans="2:12" x14ac:dyDescent="0.3">
      <c r="B15" s="60" t="s">
        <v>381</v>
      </c>
      <c r="C15" s="61" t="s">
        <v>382</v>
      </c>
      <c r="D15" s="61"/>
      <c r="E15" s="61"/>
    </row>
    <row r="16" spans="2:12" x14ac:dyDescent="0.3">
      <c r="B16" s="60"/>
      <c r="C16" s="62" t="s">
        <v>357</v>
      </c>
      <c r="D16" s="62"/>
      <c r="E16" s="62"/>
    </row>
    <row r="17" spans="2:5" x14ac:dyDescent="0.3">
      <c r="B17" s="60"/>
      <c r="C17" s="2" t="s">
        <v>124</v>
      </c>
      <c r="D17" s="2" t="s">
        <v>118</v>
      </c>
      <c r="E17" s="2" t="s">
        <v>150</v>
      </c>
    </row>
    <row r="18" spans="2:5" x14ac:dyDescent="0.3">
      <c r="B18" s="4" t="s">
        <v>288</v>
      </c>
      <c r="C18" s="5">
        <f>'CW losslG,losslA,intra'!BC10</f>
        <v>1</v>
      </c>
      <c r="D18" s="5">
        <f>'CW losslG,losslA,intra'!BB10</f>
        <v>0.99948541955831427</v>
      </c>
      <c r="E18" s="5">
        <f>'CW losslG,losslA,intra'!BD10</f>
        <v>0.99939287128577536</v>
      </c>
    </row>
    <row r="19" spans="2:5" x14ac:dyDescent="0.3">
      <c r="B19" s="4" t="s">
        <v>289</v>
      </c>
      <c r="C19" s="5">
        <f>'CW losslG,losslA,intra'!BC11</f>
        <v>1</v>
      </c>
      <c r="D19" s="5">
        <f>'CW losslG,losslA,intra'!BB11</f>
        <v>0.99954006742336765</v>
      </c>
      <c r="E19" s="5">
        <f>'CW losslG,losslA,intra'!BD11</f>
        <v>0.99948316720370145</v>
      </c>
    </row>
    <row r="20" spans="2:5" x14ac:dyDescent="0.3">
      <c r="B20" s="6" t="s">
        <v>290</v>
      </c>
      <c r="C20" s="7">
        <f>'CW losslG,losslA,intra'!BC12</f>
        <v>1</v>
      </c>
      <c r="D20" s="7">
        <f>'CW losslG,losslA,intra'!BB12</f>
        <v>0.99950033119981885</v>
      </c>
      <c r="E20" s="7">
        <f>'CW losslG,losslA,intra'!BD12</f>
        <v>0.99941834494928405</v>
      </c>
    </row>
    <row r="21" spans="2:5" x14ac:dyDescent="0.3">
      <c r="B21" t="s">
        <v>299</v>
      </c>
      <c r="C21" s="64">
        <f>'CW losslG,losslA,intra'!AW16</f>
        <v>0.96361560576339289</v>
      </c>
      <c r="D21" s="64"/>
      <c r="E21" s="64"/>
    </row>
    <row r="22" spans="2:5" x14ac:dyDescent="0.3">
      <c r="B22" s="9" t="s">
        <v>300</v>
      </c>
      <c r="C22" s="65">
        <f>'CW losslG,losslA,intra'!AY16</f>
        <v>0.97806836901950778</v>
      </c>
      <c r="D22" s="65"/>
      <c r="E22" s="65"/>
    </row>
    <row r="24" spans="2:5" s="1" customFormat="1" x14ac:dyDescent="0.3">
      <c r="B24" s="1" t="s">
        <v>456</v>
      </c>
    </row>
    <row r="26" spans="2:5" x14ac:dyDescent="0.3">
      <c r="B26" s="60" t="s">
        <v>457</v>
      </c>
      <c r="C26" s="61" t="s">
        <v>458</v>
      </c>
      <c r="D26" s="61"/>
      <c r="E26" s="61"/>
    </row>
    <row r="27" spans="2:5" x14ac:dyDescent="0.3">
      <c r="B27" s="60"/>
      <c r="C27" s="62" t="s">
        <v>357</v>
      </c>
      <c r="D27" s="62"/>
      <c r="E27" s="62"/>
    </row>
    <row r="28" spans="2:5" x14ac:dyDescent="0.3">
      <c r="B28" s="60"/>
      <c r="C28" s="2" t="s">
        <v>118</v>
      </c>
      <c r="D28" s="2" t="s">
        <v>124</v>
      </c>
      <c r="E28" s="2" t="s">
        <v>150</v>
      </c>
    </row>
    <row r="29" spans="2:5" x14ac:dyDescent="0.3">
      <c r="B29" s="4" t="s">
        <v>288</v>
      </c>
      <c r="C29" s="5">
        <f>'CW losslG,losslA,interLD'!BB10</f>
        <v>0.99946747635921007</v>
      </c>
      <c r="D29" s="5">
        <f>'CW losslG,losslA,interLD'!BC10</f>
        <v>1</v>
      </c>
      <c r="E29" s="5">
        <f>'CW losslG,losslA,interLD'!BD10</f>
        <v>0.99937006747555812</v>
      </c>
    </row>
    <row r="30" spans="2:5" x14ac:dyDescent="0.3">
      <c r="B30" s="4" t="s">
        <v>289</v>
      </c>
      <c r="C30" s="5">
        <f>'CW losslG,losslA,interLD'!BB11</f>
        <v>0.99953950134083824</v>
      </c>
      <c r="D30" s="5">
        <f>'CW losslG,losslA,interLD'!BC11</f>
        <v>1</v>
      </c>
      <c r="E30" s="5">
        <f>'CW losslG,losslA,interLD'!BD11</f>
        <v>0.99948143337573403</v>
      </c>
    </row>
    <row r="31" spans="2:5" x14ac:dyDescent="0.3">
      <c r="B31" s="6" t="s">
        <v>290</v>
      </c>
      <c r="C31" s="7">
        <f>'CW losslG,losslA,interLD'!BB12</f>
        <v>0.99948757182645498</v>
      </c>
      <c r="D31" s="7">
        <f>'CW losslG,losslA,interLD'!BC12</f>
        <v>1</v>
      </c>
      <c r="E31" s="7">
        <f>'CW losslG,losslA,interLD'!BD12</f>
        <v>0.99940219384600326</v>
      </c>
    </row>
    <row r="32" spans="2:5" x14ac:dyDescent="0.3">
      <c r="B32" t="s">
        <v>299</v>
      </c>
      <c r="C32" s="64">
        <f>'CW losslG,losslA,interLD'!AW16</f>
        <v>0.77750796927551558</v>
      </c>
      <c r="D32" s="64"/>
      <c r="E32" s="64"/>
    </row>
    <row r="33" spans="2:12" x14ac:dyDescent="0.3">
      <c r="B33" s="9" t="s">
        <v>300</v>
      </c>
      <c r="C33" s="65">
        <f>'CW losslG,losslA,interLD'!AY16</f>
        <v>1.0243540666790392</v>
      </c>
      <c r="D33" s="65"/>
      <c r="E33" s="65"/>
    </row>
    <row r="35" spans="2:12" s="1" customFormat="1" x14ac:dyDescent="0.3">
      <c r="B35" s="1" t="s">
        <v>543</v>
      </c>
    </row>
    <row r="37" spans="2:12" x14ac:dyDescent="0.3">
      <c r="B37" s="60" t="s">
        <v>544</v>
      </c>
      <c r="C37" s="61" t="s">
        <v>545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3">
      <c r="B38" s="60"/>
      <c r="C38" s="62" t="s">
        <v>237</v>
      </c>
      <c r="D38" s="62"/>
      <c r="E38" s="63" t="s">
        <v>242</v>
      </c>
      <c r="F38" s="63"/>
      <c r="G38" s="63"/>
      <c r="H38" s="62" t="s">
        <v>249</v>
      </c>
      <c r="I38" s="62"/>
      <c r="J38" s="63" t="s">
        <v>254</v>
      </c>
      <c r="K38" s="63"/>
      <c r="L38" s="63"/>
    </row>
    <row r="39" spans="2:12" x14ac:dyDescent="0.3">
      <c r="B39" s="60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3">
      <c r="B40" s="4" t="s">
        <v>288</v>
      </c>
      <c r="C40" s="5">
        <f>'C2 lossyG,lossyA,interRA'!$BI$30:$BI$30</f>
        <v>0</v>
      </c>
      <c r="D40" s="5">
        <f>'C2 lossyG,lossyA,interRA'!$BJ$30:$BJ$30</f>
        <v>0</v>
      </c>
      <c r="E40" s="5">
        <f>'C2 lossyG,lossyA,interRA'!$BK$30:$BK$30</f>
        <v>0</v>
      </c>
      <c r="F40" s="5">
        <f>'C2 lossyG,lossyA,interRA'!$BL$30:$BL$30</f>
        <v>0</v>
      </c>
      <c r="G40" s="5">
        <f>'C2 lossyG,lossyA,interRA'!$BM$30:$BM$30</f>
        <v>0</v>
      </c>
      <c r="H40" s="5">
        <f>'C2 lossyG,lossyA,interRA'!$BO$30:$BO$30</f>
        <v>2.6388135930810463E-6</v>
      </c>
      <c r="I40" s="5">
        <f>'C2 lossyG,lossyA,interRA'!$BP$30:$BP$30</f>
        <v>2.6012935455677066E-6</v>
      </c>
      <c r="J40" s="5">
        <f>'C2 lossyG,lossyA,interRA'!$BQ$30:$BQ$30</f>
        <v>2.2218465392520592E-6</v>
      </c>
      <c r="K40" s="5">
        <f>'C2 lossyG,lossyA,interRA'!$BR$30:$BR$30</f>
        <v>2.2216063353397431E-6</v>
      </c>
      <c r="L40" s="5">
        <f>'C2 lossyG,lossyA,interRA'!$BS$30:$BS$30</f>
        <v>2.2741107197910004E-6</v>
      </c>
    </row>
    <row r="41" spans="2:12" x14ac:dyDescent="0.3">
      <c r="B41" s="4" t="s">
        <v>289</v>
      </c>
      <c r="C41" s="5">
        <f>'C2 lossyG,lossyA,interRA'!$BI$31:$BI$31</f>
        <v>0</v>
      </c>
      <c r="D41" s="5">
        <f>'C2 lossyG,lossyA,interRA'!$BJ$31:$BJ$31</f>
        <v>0</v>
      </c>
      <c r="E41" s="5">
        <f>'C2 lossyG,lossyA,interRA'!$BK$31:$BK$31</f>
        <v>0</v>
      </c>
      <c r="F41" s="5">
        <f>'C2 lossyG,lossyA,interRA'!$BL$31:$BL$31</f>
        <v>0</v>
      </c>
      <c r="G41" s="5">
        <f>'C2 lossyG,lossyA,interRA'!$BM$31:$BM$31</f>
        <v>0</v>
      </c>
      <c r="H41" s="5">
        <f>'C2 lossyG,lossyA,interRA'!$BO$31:$BO$31</f>
        <v>1.6282806665213201E-6</v>
      </c>
      <c r="I41" s="5">
        <f>'C2 lossyG,lossyA,interRA'!$BP$31:$BP$31</f>
        <v>1.5849499550579793E-6</v>
      </c>
      <c r="J41" s="5">
        <f>'C2 lossyG,lossyA,interRA'!$BQ$31:$BQ$31</f>
        <v>1.294502919080287E-6</v>
      </c>
      <c r="K41" s="5">
        <f>'C2 lossyG,lossyA,interRA'!$BR$31:$BR$31</f>
        <v>1.2287224169238442E-6</v>
      </c>
      <c r="L41" s="5">
        <f>'C2 lossyG,lossyA,interRA'!$BS$31:$BS$31</f>
        <v>1.2846271719713087E-6</v>
      </c>
    </row>
    <row r="42" spans="2:12" x14ac:dyDescent="0.3">
      <c r="B42" s="6" t="s">
        <v>290</v>
      </c>
      <c r="C42" s="7">
        <f>'C2 lossyG,lossyA,interRA'!$BI$32:$BI$32</f>
        <v>0</v>
      </c>
      <c r="D42" s="7">
        <f>'C2 lossyG,lossyA,interRA'!$BJ$32:$BJ$32</f>
        <v>0</v>
      </c>
      <c r="E42" s="7">
        <f>'C2 lossyG,lossyA,interRA'!$BK$32:$BK$32</f>
        <v>0</v>
      </c>
      <c r="F42" s="7">
        <f>'C2 lossyG,lossyA,interRA'!$BL$32:$BL$32</f>
        <v>0</v>
      </c>
      <c r="G42" s="7">
        <f>'C2 lossyG,lossyA,interRA'!$BM$32:$BM$32</f>
        <v>0</v>
      </c>
      <c r="H42" s="7">
        <f>'C2 lossyG,lossyA,interRA'!$BO$32:$BO$32</f>
        <v>2.4367070077691013E-6</v>
      </c>
      <c r="I42" s="7">
        <f>'C2 lossyG,lossyA,interRA'!$BP$32:$BP$32</f>
        <v>2.3980248274657611E-6</v>
      </c>
      <c r="J42" s="7">
        <f>'C2 lossyG,lossyA,interRA'!$BQ$32:$BQ$32</f>
        <v>2.0363778152177046E-6</v>
      </c>
      <c r="K42" s="7">
        <f>'C2 lossyG,lossyA,interRA'!$BR$32:$BR$32</f>
        <v>2.0230295516565633E-6</v>
      </c>
      <c r="L42" s="7">
        <f>'C2 lossyG,lossyA,interRA'!$BS$32:$BS$32</f>
        <v>2.0762140102270619E-6</v>
      </c>
    </row>
    <row r="43" spans="2:12" x14ac:dyDescent="0.3">
      <c r="B43" t="s">
        <v>299</v>
      </c>
      <c r="C43" s="64">
        <f>'C2 lossyG,lossyA,interRA'!AZ36</f>
        <v>0.82106487195470312</v>
      </c>
      <c r="D43" s="64"/>
      <c r="E43" s="64"/>
      <c r="F43" s="64"/>
      <c r="G43" s="64"/>
      <c r="H43" s="64"/>
      <c r="I43" s="64"/>
      <c r="J43" s="64"/>
      <c r="K43" s="64"/>
      <c r="L43" s="64"/>
    </row>
    <row r="44" spans="2:12" x14ac:dyDescent="0.3">
      <c r="B44" s="9" t="s">
        <v>300</v>
      </c>
      <c r="C44" s="65">
        <f>'C2 lossyG,lossyA,interRA'!BB36</f>
        <v>1.0011091675984267</v>
      </c>
      <c r="D44" s="65"/>
      <c r="E44" s="65"/>
      <c r="F44" s="65"/>
      <c r="G44" s="65"/>
      <c r="H44" s="65"/>
      <c r="I44" s="65"/>
      <c r="J44" s="65"/>
      <c r="K44" s="65"/>
      <c r="L44" s="65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3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3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3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3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3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3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3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3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3">
      <c r="I10" t="s">
        <v>21</v>
      </c>
      <c r="J10" t="s">
        <v>22</v>
      </c>
    </row>
    <row r="11" spans="1:16" x14ac:dyDescent="0.3">
      <c r="I11" t="s">
        <v>23</v>
      </c>
      <c r="J11" t="s">
        <v>24</v>
      </c>
    </row>
    <row r="12" spans="1:16" x14ac:dyDescent="0.3">
      <c r="I12" t="s">
        <v>25</v>
      </c>
      <c r="J12" t="s">
        <v>26</v>
      </c>
    </row>
    <row r="13" spans="1:16" x14ac:dyDescent="0.3">
      <c r="I13" t="s">
        <v>27</v>
      </c>
      <c r="J13" t="s">
        <v>28</v>
      </c>
    </row>
    <row r="14" spans="1:16" x14ac:dyDescent="0.3">
      <c r="I14" t="s">
        <v>29</v>
      </c>
      <c r="J14" t="s">
        <v>30</v>
      </c>
    </row>
    <row r="15" spans="1:16" x14ac:dyDescent="0.3">
      <c r="I15" t="s">
        <v>31</v>
      </c>
      <c r="J15" t="s">
        <v>32</v>
      </c>
    </row>
    <row r="16" spans="1:16" x14ac:dyDescent="0.3">
      <c r="I16" t="s">
        <v>33</v>
      </c>
      <c r="J16" t="s">
        <v>34</v>
      </c>
    </row>
    <row r="17" spans="9:10" x14ac:dyDescent="0.3">
      <c r="I17" t="s">
        <v>35</v>
      </c>
      <c r="J17" t="s">
        <v>36</v>
      </c>
    </row>
    <row r="18" spans="9:10" x14ac:dyDescent="0.3">
      <c r="I18" t="s">
        <v>37</v>
      </c>
      <c r="J18" t="s">
        <v>38</v>
      </c>
    </row>
    <row r="19" spans="9:10" x14ac:dyDescent="0.3">
      <c r="I19" t="s">
        <v>39</v>
      </c>
      <c r="J19" t="s">
        <v>40</v>
      </c>
    </row>
    <row r="20" spans="9:10" x14ac:dyDescent="0.3">
      <c r="I20" t="s">
        <v>41</v>
      </c>
      <c r="J20" t="s">
        <v>42</v>
      </c>
    </row>
    <row r="21" spans="9:10" x14ac:dyDescent="0.3">
      <c r="I21" t="s">
        <v>43</v>
      </c>
      <c r="J21" t="s">
        <v>44</v>
      </c>
    </row>
    <row r="22" spans="9:10" x14ac:dyDescent="0.3">
      <c r="I22" t="s">
        <v>45</v>
      </c>
      <c r="J22" t="s">
        <v>46</v>
      </c>
    </row>
    <row r="23" spans="9:10" x14ac:dyDescent="0.3">
      <c r="I23" t="s">
        <v>47</v>
      </c>
      <c r="J23" t="s">
        <v>48</v>
      </c>
    </row>
    <row r="24" spans="9:10" x14ac:dyDescent="0.3">
      <c r="I24" t="s">
        <v>49</v>
      </c>
      <c r="J24" t="s">
        <v>50</v>
      </c>
    </row>
    <row r="25" spans="9:10" x14ac:dyDescent="0.3">
      <c r="I25" t="s">
        <v>51</v>
      </c>
      <c r="J25" t="s">
        <v>52</v>
      </c>
    </row>
    <row r="26" spans="9:10" x14ac:dyDescent="0.3">
      <c r="I26" t="s">
        <v>53</v>
      </c>
      <c r="J26" t="s">
        <v>54</v>
      </c>
    </row>
    <row r="27" spans="9:10" x14ac:dyDescent="0.3">
      <c r="I27" t="s">
        <v>55</v>
      </c>
      <c r="J27" t="s">
        <v>56</v>
      </c>
    </row>
    <row r="28" spans="9:10" x14ac:dyDescent="0.3">
      <c r="I28" t="s">
        <v>57</v>
      </c>
      <c r="J28" t="s">
        <v>58</v>
      </c>
    </row>
    <row r="29" spans="9:10" x14ac:dyDescent="0.3">
      <c r="I29" t="s">
        <v>59</v>
      </c>
      <c r="J29" t="s">
        <v>60</v>
      </c>
    </row>
    <row r="30" spans="9:10" x14ac:dyDescent="0.3">
      <c r="I30" t="s">
        <v>61</v>
      </c>
      <c r="J30" t="s">
        <v>62</v>
      </c>
    </row>
    <row r="31" spans="9:10" x14ac:dyDescent="0.3">
      <c r="I31" t="s">
        <v>63</v>
      </c>
      <c r="J31" t="s">
        <v>64</v>
      </c>
    </row>
    <row r="32" spans="9:10" x14ac:dyDescent="0.3">
      <c r="I32" t="s">
        <v>65</v>
      </c>
      <c r="J32" t="s">
        <v>66</v>
      </c>
    </row>
    <row r="33" spans="9:10" x14ac:dyDescent="0.3">
      <c r="I33" t="s">
        <v>67</v>
      </c>
      <c r="J33" t="s">
        <v>68</v>
      </c>
    </row>
    <row r="34" spans="9:10" x14ac:dyDescent="0.3">
      <c r="I34" t="s">
        <v>69</v>
      </c>
      <c r="J34" t="s">
        <v>70</v>
      </c>
    </row>
    <row r="35" spans="9:10" x14ac:dyDescent="0.3">
      <c r="I35" t="s">
        <v>71</v>
      </c>
      <c r="J35" t="s">
        <v>72</v>
      </c>
    </row>
    <row r="36" spans="9:10" x14ac:dyDescent="0.3">
      <c r="I36" t="s">
        <v>73</v>
      </c>
      <c r="J36" t="s">
        <v>74</v>
      </c>
    </row>
    <row r="37" spans="9:10" x14ac:dyDescent="0.3">
      <c r="I37" t="s">
        <v>75</v>
      </c>
      <c r="J37" t="s">
        <v>76</v>
      </c>
    </row>
    <row r="38" spans="9:10" x14ac:dyDescent="0.3">
      <c r="I38" t="s">
        <v>77</v>
      </c>
      <c r="J38" t="s">
        <v>78</v>
      </c>
    </row>
    <row r="39" spans="9:10" x14ac:dyDescent="0.3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zoomScale="85" zoomScaleNormal="85" workbookViewId="0">
      <pane xSplit="2" topLeftCell="AH1" activePane="topRight" state="frozen"/>
      <selection pane="topRight" activeCell="AU31" sqref="AU31"/>
    </sheetView>
  </sheetViews>
  <sheetFormatPr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 x14ac:dyDescent="0.3">
      <c r="A1" s="70" t="s">
        <v>261</v>
      </c>
      <c r="B1" s="70"/>
      <c r="C1" s="70"/>
      <c r="D1" s="70"/>
      <c r="E1" s="70"/>
      <c r="F1" s="70"/>
      <c r="G1" s="70"/>
      <c r="I1" s="58" t="s">
        <v>550</v>
      </c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G1" s="59" t="s">
        <v>552</v>
      </c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</row>
    <row r="2" spans="1:73" ht="30" customHeight="1" x14ac:dyDescent="0.3">
      <c r="A2" s="66" t="s">
        <v>93</v>
      </c>
      <c r="B2" s="67" t="s">
        <v>96</v>
      </c>
      <c r="C2" s="66" t="s">
        <v>99</v>
      </c>
      <c r="D2" s="67" t="s">
        <v>102</v>
      </c>
      <c r="E2" s="66" t="s">
        <v>105</v>
      </c>
      <c r="F2" s="67" t="s">
        <v>108</v>
      </c>
      <c r="G2" s="66" t="s">
        <v>111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7" t="s">
        <v>26</v>
      </c>
      <c r="R2" s="66" t="s">
        <v>22</v>
      </c>
      <c r="S2" s="69" t="s">
        <v>142</v>
      </c>
      <c r="T2" s="69"/>
      <c r="U2" s="69"/>
      <c r="V2" s="69"/>
      <c r="W2" s="68" t="s">
        <v>153</v>
      </c>
      <c r="X2" s="68"/>
      <c r="Y2" s="69" t="s">
        <v>160</v>
      </c>
      <c r="Z2" s="69"/>
      <c r="AA2" s="69"/>
      <c r="AB2" s="68" t="s">
        <v>170</v>
      </c>
      <c r="AC2" s="68"/>
      <c r="AD2" s="69" t="s">
        <v>177</v>
      </c>
      <c r="AE2" s="69"/>
      <c r="AG2" s="66" t="s">
        <v>114</v>
      </c>
      <c r="AH2" s="69" t="s">
        <v>117</v>
      </c>
      <c r="AI2" s="69"/>
      <c r="AJ2" s="69"/>
      <c r="AK2" s="69"/>
      <c r="AL2" s="67" t="s">
        <v>192</v>
      </c>
      <c r="AM2" s="66" t="s">
        <v>133</v>
      </c>
      <c r="AN2" s="67" t="s">
        <v>24</v>
      </c>
      <c r="AO2" s="66" t="s">
        <v>26</v>
      </c>
      <c r="AP2" s="67" t="s">
        <v>22</v>
      </c>
      <c r="AQ2" s="68" t="s">
        <v>142</v>
      </c>
      <c r="AR2" s="68"/>
      <c r="AS2" s="68"/>
      <c r="AT2" s="68"/>
      <c r="AU2" s="69" t="s">
        <v>153</v>
      </c>
      <c r="AV2" s="69"/>
      <c r="AW2" s="68" t="s">
        <v>160</v>
      </c>
      <c r="AX2" s="68"/>
      <c r="AY2" s="68"/>
      <c r="AZ2" s="69" t="s">
        <v>170</v>
      </c>
      <c r="BA2" s="69"/>
      <c r="BB2" s="68" t="s">
        <v>177</v>
      </c>
      <c r="BC2" s="68"/>
      <c r="BE2" s="67" t="s">
        <v>229</v>
      </c>
      <c r="BF2" s="66" t="s">
        <v>232</v>
      </c>
      <c r="BG2" s="67" t="s">
        <v>232</v>
      </c>
      <c r="BI2" s="68" t="s">
        <v>237</v>
      </c>
      <c r="BJ2" s="68"/>
      <c r="BK2" s="69" t="s">
        <v>242</v>
      </c>
      <c r="BL2" s="69"/>
      <c r="BM2" s="69"/>
      <c r="BO2" s="68" t="s">
        <v>249</v>
      </c>
      <c r="BP2" s="68"/>
      <c r="BQ2" s="69" t="s">
        <v>254</v>
      </c>
      <c r="BR2" s="69"/>
      <c r="BS2" s="69"/>
      <c r="BU2" t="s">
        <v>549</v>
      </c>
    </row>
    <row r="3" spans="1:73" ht="15" thickBot="1" x14ac:dyDescent="0.35">
      <c r="A3" s="66"/>
      <c r="B3" s="67"/>
      <c r="C3" s="66"/>
      <c r="D3" s="67"/>
      <c r="E3" s="66"/>
      <c r="F3" s="67"/>
      <c r="G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67"/>
      <c r="R3" s="66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66"/>
      <c r="AH3" s="12" t="s">
        <v>118</v>
      </c>
      <c r="AI3" s="12" t="s">
        <v>121</v>
      </c>
      <c r="AJ3" s="12" t="s">
        <v>124</v>
      </c>
      <c r="AK3" s="12" t="s">
        <v>127</v>
      </c>
      <c r="AL3" s="67"/>
      <c r="AM3" s="66"/>
      <c r="AN3" s="67"/>
      <c r="AO3" s="66"/>
      <c r="AP3" s="67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7"/>
      <c r="BF3" s="66"/>
      <c r="BG3" s="67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09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2.2393800000000001</v>
      </c>
      <c r="J5" s="18">
        <f t="shared" ref="J5:J29" si="1">IF(ISBLANK(S5),"·",S5/D5)</f>
        <v>9.5683358915823177E-2</v>
      </c>
      <c r="K5" s="18">
        <f t="shared" ref="K5:K29" si="2">IF(N5="","·",N5/D5)</f>
        <v>6.0954783464943055E-2</v>
      </c>
      <c r="L5" s="18">
        <f t="shared" ref="L5:L29" si="3">IF(T5="","·",T5/D5)</f>
        <v>3.2430257221690732E-2</v>
      </c>
      <c r="M5" s="18">
        <f t="shared" ref="M5:M29" si="4">IF(ISBLANK(V5),"·",V5/D5)</f>
        <v>3.4709668482737037E-2</v>
      </c>
      <c r="N5" s="15">
        <f t="shared" ref="N5:N29" si="5">IF(OR(ISBLANK(T5),ISBLANK(U5)),"",T5+U5)</f>
        <v>1521696</v>
      </c>
      <c r="O5" s="18">
        <f t="shared" ref="O5:O29" si="6">IF(ISBLANK(S5),"·",S5/P5)</f>
        <v>0.10937999767289461</v>
      </c>
      <c r="P5" s="19">
        <v>21838289</v>
      </c>
      <c r="Q5" s="19">
        <v>682446.53125</v>
      </c>
      <c r="R5" s="19">
        <v>14074.5625</v>
      </c>
      <c r="S5" s="20">
        <v>2388672</v>
      </c>
      <c r="T5" s="20">
        <v>809600</v>
      </c>
      <c r="U5" s="20">
        <v>712096</v>
      </c>
      <c r="V5" s="20">
        <v>866504</v>
      </c>
      <c r="W5" s="21">
        <v>66.395740625000002</v>
      </c>
      <c r="X5" s="21">
        <v>68.545965624999994</v>
      </c>
      <c r="Y5" s="21">
        <v>32.151171875000003</v>
      </c>
      <c r="Z5" s="21">
        <v>44.135159375000001</v>
      </c>
      <c r="AA5" s="21">
        <v>43.713462499999999</v>
      </c>
      <c r="AB5" s="22">
        <v>4198.9799999999996</v>
      </c>
      <c r="AC5" s="22">
        <v>873.61699999999996</v>
      </c>
      <c r="AD5" s="22">
        <v>4.5259999999999998</v>
      </c>
      <c r="AE5" s="22">
        <v>13.837</v>
      </c>
      <c r="AG5" s="17">
        <f t="shared" ref="AG5:AG29" si="7">IF(OR(ISBLANK(AQ5),ISBLANK(G5)),"·",AQ5*G5/F5/1000000)</f>
        <v>2.2393874999999999</v>
      </c>
      <c r="AH5" s="18">
        <f t="shared" ref="AH5:AH29" si="8">IF(ISBLANK(AQ5),"·",AQ5/D5)</f>
        <v>9.5683679372910349E-2</v>
      </c>
      <c r="AI5" s="18">
        <f t="shared" ref="AI5:AI29" si="9">IF(AL5="","·",AL5/D5)</f>
        <v>6.0954783464943055E-2</v>
      </c>
      <c r="AJ5" s="18">
        <f t="shared" ref="AJ5:AJ29" si="10">IF(AR5="","·",AR5/D5)</f>
        <v>3.2430257221690732E-2</v>
      </c>
      <c r="AK5" s="18">
        <f t="shared" ref="AK5:AK29" si="11">IF(ISBLANK(AT5),"·",AT5/D5)</f>
        <v>3.4709668482737037E-2</v>
      </c>
      <c r="AL5" s="15">
        <f t="shared" ref="AL5:AL29" si="12">IF(OR(ISBLANK(AR5),ISBLANK(AS5)),"",AR5+AS5)</f>
        <v>1521696</v>
      </c>
      <c r="AM5" s="18">
        <f t="shared" ref="AM5:AM29" si="13">IF(ISBLANK(AQ5),"·",AQ5/AN5)</f>
        <v>0.10938036400196004</v>
      </c>
      <c r="AN5" s="19">
        <v>21838289</v>
      </c>
      <c r="AO5" s="19">
        <v>682446.53125</v>
      </c>
      <c r="AP5" s="19">
        <v>14074.5625</v>
      </c>
      <c r="AQ5" s="20">
        <v>2388680</v>
      </c>
      <c r="AR5" s="20">
        <v>809600</v>
      </c>
      <c r="AS5" s="20">
        <v>712096</v>
      </c>
      <c r="AT5" s="20">
        <v>866504</v>
      </c>
      <c r="AU5" s="21">
        <v>66.395740625000002</v>
      </c>
      <c r="AV5" s="21">
        <v>68.545965624999994</v>
      </c>
      <c r="AW5" s="21">
        <v>32.151171875000003</v>
      </c>
      <c r="AX5" s="21">
        <v>44.135159375000001</v>
      </c>
      <c r="AY5" s="21">
        <v>43.713462499999999</v>
      </c>
      <c r="AZ5" s="22">
        <v>3897.85</v>
      </c>
      <c r="BA5" s="22">
        <v>1134.28</v>
      </c>
      <c r="BB5" s="22">
        <v>6.4320000000000004</v>
      </c>
      <c r="BC5" s="22">
        <v>14.993</v>
      </c>
      <c r="BE5" s="23">
        <f t="shared" ref="BE5:BE29" si="14">(AP5/AO5) - (R5/Q5)</f>
        <v>0</v>
      </c>
      <c r="BF5" s="23">
        <f t="shared" ref="BF5:BF29" si="15">(AL5/AQ5) - (N5/S5)</f>
        <v>-2.1335527946586552E-6</v>
      </c>
      <c r="BG5" s="23">
        <f t="array" ref="BG5">AVERAGE(AL5:AL9/AQ5:AQ9) - AVERAGE(N5:N9/S5:S9)</f>
        <v>-7.9998180829710108E-7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0</v>
      </c>
      <c r="BL5" s="24">
        <f>IF( OR(ISBLANK(V5:V9),ISBLANK(AT5:AT9), ISBLANK(Z5:Z9),ISBLANK(AX5:AX9)), "·", bdRateExtend( V5:V9,Z5:Z9, AT5:AT9,AX5:AX9))</f>
        <v>0</v>
      </c>
      <c r="BM5" s="24">
        <f>IF( OR(ISBLANK(V5:V9),ISBLANK(AT5:AT9), ISBLANK(AA5:AA9),ISBLANK(AY5:AY9)), "·", bdRateExtend( V5:V9,AA5:AA9, AT5:AT9,AY5:AY9))</f>
        <v>0</v>
      </c>
      <c r="BO5" s="24">
        <f>IF( OR(ISBLANK(S5:S9),ISBLANK(AQ5:AQ9), ISBLANK(W5:W9),ISBLANK(AU5:AU9)), "·", bdRateExtend( S5:S9,W5:W9, AQ5:AQ9,AU5:AU9))</f>
        <v>1.7587223555270981E-6</v>
      </c>
      <c r="BP5" s="24">
        <f>IF( OR(ISBLANK(S5:S9),ISBLANK(AQ5:AQ9), ISBLANK(X5:X9),ISBLANK(AV5:AV9)), "·", bdRateExtend( S5:S9,X5:X9, AQ5:AQ9,AV5:AV9))</f>
        <v>1.678735352284022E-6</v>
      </c>
      <c r="BQ5" s="24">
        <f>IF( OR(ISBLANK(S5:S9),ISBLANK(AQ5:AQ9), ISBLANK(Y5:Y9),ISBLANK(AW5:AW9)), "·", bdRateExtend( S5:S9,Y5:Y9, AQ5:AQ9,AW5:AW9))</f>
        <v>1.4752140820029069E-6</v>
      </c>
      <c r="BR5" s="24">
        <f>IF( OR(ISBLANK(S5:S9),ISBLANK(AQ5:AQ9), ISBLANK(Z5:Z9),ISBLANK(AX5:AX9)), "·", bdRateExtend( S5:S9,Z5:Z9, AQ5:AQ9,AX5:AX9))</f>
        <v>1.4293782120144982E-6</v>
      </c>
      <c r="BS5" s="24">
        <f>IF( OR(ISBLANK(S5:S9),ISBLANK(AQ5:AQ9), ISBLANK(AA5:AA9),ISBLANK(AY5:AY9)), "·", bdRateExtend( S5:S9,AA5:AA9, AQ5:AQ9,AY5:AY9))</f>
        <v>1.4297618597947093E-6</v>
      </c>
      <c r="BU5">
        <f>AQ5-S5</f>
        <v>8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3.4729575000000001</v>
      </c>
      <c r="J6" s="28">
        <f t="shared" si="1"/>
        <v>0.14839117924242423</v>
      </c>
      <c r="K6" s="28">
        <f t="shared" si="2"/>
        <v>7.3573101729382723E-2</v>
      </c>
      <c r="L6" s="28">
        <f t="shared" si="3"/>
        <v>4.50485754861304E-2</v>
      </c>
      <c r="M6" s="28">
        <f t="shared" si="4"/>
        <v>7.4799170544898416E-2</v>
      </c>
      <c r="N6" s="25">
        <f t="shared" si="5"/>
        <v>1836704</v>
      </c>
      <c r="O6" s="28">
        <f t="shared" si="6"/>
        <v>0.15248280431294964</v>
      </c>
      <c r="P6" s="29">
        <v>24294464</v>
      </c>
      <c r="Q6" s="29">
        <v>759202</v>
      </c>
      <c r="R6" s="29">
        <v>19637.125</v>
      </c>
      <c r="S6" s="30">
        <v>3704488</v>
      </c>
      <c r="T6" s="30">
        <v>1124608</v>
      </c>
      <c r="U6" s="30">
        <v>712096</v>
      </c>
      <c r="V6" s="30">
        <v>1867312</v>
      </c>
      <c r="W6" s="31">
        <v>68.286643749999996</v>
      </c>
      <c r="X6" s="31">
        <v>70.515618750000002</v>
      </c>
      <c r="Y6" s="31">
        <v>34.43336875</v>
      </c>
      <c r="Z6" s="31">
        <v>45.414081250000002</v>
      </c>
      <c r="AA6" s="31">
        <v>45.089015625000002</v>
      </c>
      <c r="AB6" s="32">
        <v>4065.47</v>
      </c>
      <c r="AC6" s="32">
        <v>924.00199999999995</v>
      </c>
      <c r="AD6" s="32">
        <v>4.8319999999999999</v>
      </c>
      <c r="AE6" s="32">
        <v>14.61</v>
      </c>
      <c r="AG6" s="27">
        <f t="shared" si="7"/>
        <v>3.4729649999999999</v>
      </c>
      <c r="AH6" s="28">
        <f t="shared" si="8"/>
        <v>0.1483914996995114</v>
      </c>
      <c r="AI6" s="28">
        <f t="shared" si="9"/>
        <v>7.3573101729382723E-2</v>
      </c>
      <c r="AJ6" s="28">
        <f t="shared" si="10"/>
        <v>4.50485754861304E-2</v>
      </c>
      <c r="AK6" s="28">
        <f t="shared" si="11"/>
        <v>7.4799170544898416E-2</v>
      </c>
      <c r="AL6" s="25">
        <f t="shared" si="12"/>
        <v>1836704</v>
      </c>
      <c r="AM6" s="28">
        <f t="shared" si="13"/>
        <v>0.15248313360607585</v>
      </c>
      <c r="AN6" s="29">
        <v>24294464</v>
      </c>
      <c r="AO6" s="29">
        <v>759202</v>
      </c>
      <c r="AP6" s="29">
        <v>19637.125</v>
      </c>
      <c r="AQ6" s="30">
        <v>3704496</v>
      </c>
      <c r="AR6" s="30">
        <v>1124608</v>
      </c>
      <c r="AS6" s="30">
        <v>712096</v>
      </c>
      <c r="AT6" s="30">
        <v>1867312</v>
      </c>
      <c r="AU6" s="31">
        <v>68.286643749999996</v>
      </c>
      <c r="AV6" s="31">
        <v>70.515618750000002</v>
      </c>
      <c r="AW6" s="31">
        <v>34.43336875</v>
      </c>
      <c r="AX6" s="31">
        <v>45.414081250000002</v>
      </c>
      <c r="AY6" s="31">
        <v>45.089015625000002</v>
      </c>
      <c r="AZ6" s="32">
        <v>3662.44</v>
      </c>
      <c r="BA6" s="32">
        <v>1153.21</v>
      </c>
      <c r="BB6" s="32">
        <v>5.3289999999999997</v>
      </c>
      <c r="BC6" s="32">
        <v>17.224</v>
      </c>
      <c r="BE6" s="33">
        <f t="shared" si="14"/>
        <v>0</v>
      </c>
      <c r="BF6" s="33">
        <f t="shared" si="15"/>
        <v>-1.070709944483994E-6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8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5.6993999999999998</v>
      </c>
      <c r="J7" s="18">
        <f t="shared" si="1"/>
        <v>0.24352174968287768</v>
      </c>
      <c r="K7" s="18">
        <f t="shared" si="2"/>
        <v>9.1061726804645068E-2</v>
      </c>
      <c r="L7" s="18">
        <f t="shared" si="3"/>
        <v>6.2537200561392753E-2</v>
      </c>
      <c r="M7" s="18">
        <f t="shared" si="4"/>
        <v>0.15244111591008952</v>
      </c>
      <c r="N7" s="15">
        <f t="shared" si="5"/>
        <v>2273296</v>
      </c>
      <c r="O7" s="18">
        <f t="shared" si="6"/>
        <v>0.24491098542614143</v>
      </c>
      <c r="P7" s="19">
        <v>24822733</v>
      </c>
      <c r="Q7" s="19">
        <v>775710.40625</v>
      </c>
      <c r="R7" s="19">
        <v>21328.78125</v>
      </c>
      <c r="S7" s="20">
        <v>6079360</v>
      </c>
      <c r="T7" s="20">
        <v>1561200</v>
      </c>
      <c r="U7" s="20">
        <v>712096</v>
      </c>
      <c r="V7" s="20">
        <v>3805592</v>
      </c>
      <c r="W7" s="21">
        <v>69.66915625</v>
      </c>
      <c r="X7" s="21">
        <v>72.252784375000005</v>
      </c>
      <c r="Y7" s="21">
        <v>36.978884375</v>
      </c>
      <c r="Z7" s="21">
        <v>46.488531250000001</v>
      </c>
      <c r="AA7" s="21">
        <v>46.325428125000002</v>
      </c>
      <c r="AB7" s="22">
        <v>4131.22</v>
      </c>
      <c r="AC7" s="22">
        <v>1002.64</v>
      </c>
      <c r="AD7" s="22">
        <v>4.8689999999999998</v>
      </c>
      <c r="AE7" s="22">
        <v>14.992000000000001</v>
      </c>
      <c r="AG7" s="17">
        <f t="shared" si="7"/>
        <v>5.6994075000000004</v>
      </c>
      <c r="AH7" s="18">
        <f t="shared" si="8"/>
        <v>0.24352207013996485</v>
      </c>
      <c r="AI7" s="18">
        <f t="shared" si="9"/>
        <v>9.1061726804645068E-2</v>
      </c>
      <c r="AJ7" s="18">
        <f t="shared" si="10"/>
        <v>6.2537200561392753E-2</v>
      </c>
      <c r="AK7" s="18">
        <f t="shared" si="11"/>
        <v>0.15244111591008952</v>
      </c>
      <c r="AL7" s="15">
        <f t="shared" si="12"/>
        <v>2273296</v>
      </c>
      <c r="AM7" s="18">
        <f t="shared" si="13"/>
        <v>0.2449113077113628</v>
      </c>
      <c r="AN7" s="19">
        <v>24822733</v>
      </c>
      <c r="AO7" s="19">
        <v>775710.40625</v>
      </c>
      <c r="AP7" s="19">
        <v>21328.78125</v>
      </c>
      <c r="AQ7" s="20">
        <v>6079368</v>
      </c>
      <c r="AR7" s="20">
        <v>1561200</v>
      </c>
      <c r="AS7" s="20">
        <v>712096</v>
      </c>
      <c r="AT7" s="20">
        <v>3805592</v>
      </c>
      <c r="AU7" s="21">
        <v>69.66915625</v>
      </c>
      <c r="AV7" s="21">
        <v>72.252784375000005</v>
      </c>
      <c r="AW7" s="21">
        <v>36.978884375</v>
      </c>
      <c r="AX7" s="21">
        <v>46.488531250000001</v>
      </c>
      <c r="AY7" s="21">
        <v>46.325428125000002</v>
      </c>
      <c r="AZ7" s="22">
        <v>3666.91</v>
      </c>
      <c r="BA7" s="22">
        <v>1244.6600000000001</v>
      </c>
      <c r="BB7" s="22">
        <v>6.4969999999999999</v>
      </c>
      <c r="BC7" s="22">
        <v>16.486000000000001</v>
      </c>
      <c r="BE7" s="23">
        <f t="shared" si="14"/>
        <v>0</v>
      </c>
      <c r="BF7" s="23">
        <f t="shared" si="15"/>
        <v>-4.9207316310528881E-7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8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9.9691875000000003</v>
      </c>
      <c r="J8" s="28">
        <f t="shared" si="1"/>
        <v>0.4259595716946824</v>
      </c>
      <c r="K8" s="28">
        <f t="shared" si="2"/>
        <v>0.12027331304279172</v>
      </c>
      <c r="L8" s="28">
        <f t="shared" si="3"/>
        <v>9.1748786799539392E-2</v>
      </c>
      <c r="M8" s="28">
        <f t="shared" si="4"/>
        <v>0.30566735168374765</v>
      </c>
      <c r="N8" s="25">
        <f t="shared" si="5"/>
        <v>3002544</v>
      </c>
      <c r="O8" s="28">
        <f t="shared" si="6"/>
        <v>0.40949132011486611</v>
      </c>
      <c r="P8" s="29">
        <v>25968316</v>
      </c>
      <c r="Q8" s="29">
        <v>811509.875</v>
      </c>
      <c r="R8" s="29">
        <v>24839.96875</v>
      </c>
      <c r="S8" s="30">
        <v>10633800</v>
      </c>
      <c r="T8" s="30">
        <v>2290448</v>
      </c>
      <c r="U8" s="30">
        <v>712096</v>
      </c>
      <c r="V8" s="30">
        <v>7630784</v>
      </c>
      <c r="W8" s="31">
        <v>70.735515625000005</v>
      </c>
      <c r="X8" s="31">
        <v>73.543899999999994</v>
      </c>
      <c r="Y8" s="31">
        <v>39.621790625000003</v>
      </c>
      <c r="Z8" s="31">
        <v>47.778500000000001</v>
      </c>
      <c r="AA8" s="31">
        <v>47.798987500000003</v>
      </c>
      <c r="AB8" s="32">
        <v>4106.46</v>
      </c>
      <c r="AC8" s="32">
        <v>1024.97</v>
      </c>
      <c r="AD8" s="32">
        <v>5.016</v>
      </c>
      <c r="AE8" s="32">
        <v>15.401999999999999</v>
      </c>
      <c r="AG8" s="27">
        <f t="shared" si="7"/>
        <v>9.9691949999999991</v>
      </c>
      <c r="AH8" s="28">
        <f t="shared" si="8"/>
        <v>0.4259598921517696</v>
      </c>
      <c r="AI8" s="28">
        <f t="shared" si="9"/>
        <v>0.12027331304279172</v>
      </c>
      <c r="AJ8" s="28">
        <f t="shared" si="10"/>
        <v>9.1748786799539392E-2</v>
      </c>
      <c r="AK8" s="28">
        <f t="shared" si="11"/>
        <v>0.30566735168374765</v>
      </c>
      <c r="AL8" s="25">
        <f t="shared" si="12"/>
        <v>3002544</v>
      </c>
      <c r="AM8" s="28">
        <f t="shared" si="13"/>
        <v>0.40949162818258988</v>
      </c>
      <c r="AN8" s="29">
        <v>25968316</v>
      </c>
      <c r="AO8" s="29">
        <v>811509.875</v>
      </c>
      <c r="AP8" s="29">
        <v>24839.96875</v>
      </c>
      <c r="AQ8" s="30">
        <v>10633808</v>
      </c>
      <c r="AR8" s="30">
        <v>2290448</v>
      </c>
      <c r="AS8" s="30">
        <v>712096</v>
      </c>
      <c r="AT8" s="30">
        <v>7630784</v>
      </c>
      <c r="AU8" s="31">
        <v>70.735515625000005</v>
      </c>
      <c r="AV8" s="31">
        <v>73.543899999999994</v>
      </c>
      <c r="AW8" s="31">
        <v>39.621790625000003</v>
      </c>
      <c r="AX8" s="31">
        <v>47.778500000000001</v>
      </c>
      <c r="AY8" s="31">
        <v>47.798987500000003</v>
      </c>
      <c r="AZ8" s="32">
        <v>3926.67</v>
      </c>
      <c r="BA8" s="32">
        <v>1260.5999999999999</v>
      </c>
      <c r="BB8" s="32">
        <v>6.6840000000000002</v>
      </c>
      <c r="BC8" s="32">
        <v>19.968</v>
      </c>
      <c r="BE8" s="33">
        <f t="shared" si="14"/>
        <v>0</v>
      </c>
      <c r="BF8" s="33">
        <f t="shared" si="15"/>
        <v>-2.1242325770609582E-7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8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18.108090000000001</v>
      </c>
      <c r="J9" s="38">
        <f t="shared" si="1"/>
        <v>0.77371543675036325</v>
      </c>
      <c r="K9" s="38">
        <f t="shared" si="2"/>
        <v>0.17027423235406053</v>
      </c>
      <c r="L9" s="38">
        <f t="shared" si="3"/>
        <v>0.1417497061108082</v>
      </c>
      <c r="M9" s="38">
        <f t="shared" si="4"/>
        <v>0.60342229742815967</v>
      </c>
      <c r="N9" s="35">
        <f t="shared" si="5"/>
        <v>4250784</v>
      </c>
      <c r="O9" s="38">
        <f t="shared" si="6"/>
        <v>0.7366091261020794</v>
      </c>
      <c r="P9" s="39">
        <v>26221907</v>
      </c>
      <c r="Q9" s="39">
        <v>819434.59375</v>
      </c>
      <c r="R9" s="39">
        <v>26544.875</v>
      </c>
      <c r="S9" s="40">
        <v>19315296</v>
      </c>
      <c r="T9" s="40">
        <v>3538688</v>
      </c>
      <c r="U9" s="40">
        <v>712096</v>
      </c>
      <c r="V9" s="40">
        <v>15064040</v>
      </c>
      <c r="W9" s="41">
        <v>71.631712500000006</v>
      </c>
      <c r="X9" s="41">
        <v>74.732290625000005</v>
      </c>
      <c r="Y9" s="41">
        <v>42.051034375</v>
      </c>
      <c r="Z9" s="41">
        <v>49.409953125000001</v>
      </c>
      <c r="AA9" s="41">
        <v>49.533196875000002</v>
      </c>
      <c r="AB9" s="42">
        <v>4182.97</v>
      </c>
      <c r="AC9" s="42">
        <v>1204.3699999999999</v>
      </c>
      <c r="AD9" s="42">
        <v>5.1139999999999999</v>
      </c>
      <c r="AE9" s="42">
        <v>16.573</v>
      </c>
      <c r="AG9" s="37">
        <f t="shared" si="7"/>
        <v>18.1080975</v>
      </c>
      <c r="AH9" s="38">
        <f t="shared" si="8"/>
        <v>0.77371575720745045</v>
      </c>
      <c r="AI9" s="38">
        <f t="shared" si="9"/>
        <v>0.17027423235406053</v>
      </c>
      <c r="AJ9" s="38">
        <f t="shared" si="10"/>
        <v>0.1417497061108082</v>
      </c>
      <c r="AK9" s="38">
        <f t="shared" si="11"/>
        <v>0.60342229742815967</v>
      </c>
      <c r="AL9" s="35">
        <f t="shared" si="12"/>
        <v>4250784</v>
      </c>
      <c r="AM9" s="38">
        <f t="shared" si="13"/>
        <v>0.73660943119049271</v>
      </c>
      <c r="AN9" s="39">
        <v>26221907</v>
      </c>
      <c r="AO9" s="39">
        <v>819434.59375</v>
      </c>
      <c r="AP9" s="39">
        <v>26544.875</v>
      </c>
      <c r="AQ9" s="40">
        <v>19315304</v>
      </c>
      <c r="AR9" s="40">
        <v>3538688</v>
      </c>
      <c r="AS9" s="40">
        <v>712096</v>
      </c>
      <c r="AT9" s="40">
        <v>15064040</v>
      </c>
      <c r="AU9" s="41">
        <v>71.631712500000006</v>
      </c>
      <c r="AV9" s="41">
        <v>74.732290625000005</v>
      </c>
      <c r="AW9" s="41">
        <v>42.051034375</v>
      </c>
      <c r="AX9" s="41">
        <v>49.409953125000001</v>
      </c>
      <c r="AY9" s="41">
        <v>49.533196875000002</v>
      </c>
      <c r="AZ9" s="42">
        <v>3876.12</v>
      </c>
      <c r="BA9" s="42">
        <v>1412.82</v>
      </c>
      <c r="BB9" s="42">
        <v>5.9569999999999999</v>
      </c>
      <c r="BC9" s="42">
        <v>19.759</v>
      </c>
      <c r="BE9" s="43">
        <f t="shared" si="14"/>
        <v>0</v>
      </c>
      <c r="BF9" s="43">
        <f t="shared" si="15"/>
        <v>-9.1149881503715946E-8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8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3.2486549999999998</v>
      </c>
      <c r="J10" s="28">
        <f t="shared" si="1"/>
        <v>0.15295803461246096</v>
      </c>
      <c r="K10" s="28">
        <f t="shared" si="2"/>
        <v>7.8435336563937988E-2</v>
      </c>
      <c r="L10" s="28">
        <f t="shared" si="3"/>
        <v>3.8155994302131881E-2</v>
      </c>
      <c r="M10" s="28">
        <f t="shared" si="4"/>
        <v>7.4501863601554627E-2</v>
      </c>
      <c r="N10" s="25">
        <f t="shared" si="5"/>
        <v>1776936</v>
      </c>
      <c r="O10" s="28">
        <f t="shared" si="6"/>
        <v>0.16657529273587585</v>
      </c>
      <c r="P10" s="29">
        <v>20802797</v>
      </c>
      <c r="Q10" s="29">
        <v>650087.40625</v>
      </c>
      <c r="R10" s="29">
        <v>19199.34375</v>
      </c>
      <c r="S10" s="30">
        <v>3465232</v>
      </c>
      <c r="T10" s="30">
        <v>864416</v>
      </c>
      <c r="U10" s="30">
        <v>912520</v>
      </c>
      <c r="V10" s="30">
        <v>1687824</v>
      </c>
      <c r="W10" s="31">
        <v>65.9461625</v>
      </c>
      <c r="X10" s="31">
        <v>67.930053125000001</v>
      </c>
      <c r="Y10" s="31">
        <v>32.503250000000001</v>
      </c>
      <c r="Z10" s="31">
        <v>39.247293749999997</v>
      </c>
      <c r="AA10" s="31">
        <v>32.195581249999996</v>
      </c>
      <c r="AB10" s="32">
        <v>3884.91</v>
      </c>
      <c r="AC10" s="32">
        <v>982.81</v>
      </c>
      <c r="AD10" s="32">
        <v>4.3789999999999996</v>
      </c>
      <c r="AE10" s="32">
        <v>15.920999999999999</v>
      </c>
      <c r="AG10" s="27">
        <f t="shared" si="7"/>
        <v>3.2486625</v>
      </c>
      <c r="AH10" s="28">
        <f t="shared" si="8"/>
        <v>0.15295838773868078</v>
      </c>
      <c r="AI10" s="28">
        <f t="shared" si="9"/>
        <v>7.8435336563937988E-2</v>
      </c>
      <c r="AJ10" s="28">
        <f t="shared" si="10"/>
        <v>3.8155994302131881E-2</v>
      </c>
      <c r="AK10" s="28">
        <f t="shared" si="11"/>
        <v>7.4501863601554627E-2</v>
      </c>
      <c r="AL10" s="25">
        <f t="shared" si="12"/>
        <v>1776936</v>
      </c>
      <c r="AM10" s="28">
        <f t="shared" si="13"/>
        <v>0.16657567729954775</v>
      </c>
      <c r="AN10" s="29">
        <v>20802797</v>
      </c>
      <c r="AO10" s="29">
        <v>650087.40625</v>
      </c>
      <c r="AP10" s="29">
        <v>19199.34375</v>
      </c>
      <c r="AQ10" s="30">
        <v>3465240</v>
      </c>
      <c r="AR10" s="30">
        <v>864416</v>
      </c>
      <c r="AS10" s="30">
        <v>912520</v>
      </c>
      <c r="AT10" s="30">
        <v>1687824</v>
      </c>
      <c r="AU10" s="31">
        <v>65.9461625</v>
      </c>
      <c r="AV10" s="31">
        <v>67.930053125000001</v>
      </c>
      <c r="AW10" s="31">
        <v>32.503250000000001</v>
      </c>
      <c r="AX10" s="31">
        <v>39.247293749999997</v>
      </c>
      <c r="AY10" s="31">
        <v>32.195581249999996</v>
      </c>
      <c r="AZ10" s="32">
        <v>3431.78</v>
      </c>
      <c r="BA10" s="32">
        <v>1268.3499999999999</v>
      </c>
      <c r="BB10" s="32">
        <v>7.1859999999999999</v>
      </c>
      <c r="BC10" s="32">
        <v>20.071000000000002</v>
      </c>
      <c r="BE10" s="33">
        <f t="shared" si="14"/>
        <v>0</v>
      </c>
      <c r="BF10" s="33">
        <f t="shared" si="15"/>
        <v>-1.1838485264314969E-6</v>
      </c>
      <c r="BG10" s="33">
        <f t="array" ref="BG10">AVERAGE(AL10:AL14/AQ10:AQ14) - AVERAGE(N10:N14/S10:S14)</f>
        <v>-4.8643571298745414E-7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0</v>
      </c>
      <c r="BL10" s="34">
        <f>IF( OR(ISBLANK(V10:V14),ISBLANK(AT10:AT14), ISBLANK(Z10:Z14),ISBLANK(AX10:AX14)), "·", bdRateExtend( V10:V14,Z10:Z14, AT10:AT14,AX10:AX14))</f>
        <v>0</v>
      </c>
      <c r="BM10" s="34">
        <f>IF( OR(ISBLANK(V10:V14),ISBLANK(AT10:AT14), ISBLANK(AA10:AA14),ISBLANK(AY10:AY14)), "·", bdRateExtend( V10:V14,AA10:AA14, AT10:AT14,AY10:AY14))</f>
        <v>0</v>
      </c>
      <c r="BO10" s="34">
        <f>IF( OR(ISBLANK(S10:S14),ISBLANK(AQ10:AQ14), ISBLANK(W10:W14),ISBLANK(AU10:AU14)), "·", bdRateExtend( S10:S14,W10:W14, AQ10:AQ14,AU10:AU14))</f>
        <v>1.28789308329047E-6</v>
      </c>
      <c r="BP10" s="34">
        <f>IF( OR(ISBLANK(S10:S14),ISBLANK(AQ10:AQ14), ISBLANK(X10:X14),ISBLANK(AV10:AV14)), "·", bdRateExtend( S10:S14,X10:X14, AQ10:AQ14,AV10:AV14))</f>
        <v>1.2451029323123919E-6</v>
      </c>
      <c r="BQ10" s="34">
        <f>IF( OR(ISBLANK(S10:S14),ISBLANK(AQ10:AQ14), ISBLANK(Y10:Y14),ISBLANK(AW10:AW14)), "·", bdRateExtend( S10:S14,Y10:Y14, AQ10:AQ14,AW10:AW14))</f>
        <v>1.0656783790974345E-6</v>
      </c>
      <c r="BR10" s="34">
        <f>IF( OR(ISBLANK(S10:S14),ISBLANK(AQ10:AQ14), ISBLANK(Z10:Z14),ISBLANK(AX10:AX14)), "·", bdRateExtend( S10:S14,Z10:Z14, AQ10:AQ14,AX10:AX14))</f>
        <v>1.0065194773201114E-6</v>
      </c>
      <c r="BS10" s="34">
        <f>IF( OR(ISBLANK(S10:S14),ISBLANK(AQ10:AQ14), ISBLANK(AA10:AA14),ISBLANK(AY10:AY14)), "·", bdRateExtend( S10:S14,AA10:AA14, AQ10:AQ14,AY10:AY14))</f>
        <v>1.0890768644689075E-6</v>
      </c>
      <c r="BU10" s="4">
        <f t="shared" si="16"/>
        <v>8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4.6985999999999999</v>
      </c>
      <c r="J11" s="18">
        <f t="shared" si="1"/>
        <v>0.22122651418205661</v>
      </c>
      <c r="K11" s="18">
        <f t="shared" si="2"/>
        <v>9.4114140723182194E-2</v>
      </c>
      <c r="L11" s="18">
        <f t="shared" si="3"/>
        <v>5.3834798461376093E-2</v>
      </c>
      <c r="M11" s="18">
        <f t="shared" si="4"/>
        <v>0.12709153901190604</v>
      </c>
      <c r="N11" s="15">
        <f t="shared" si="5"/>
        <v>2132136</v>
      </c>
      <c r="O11" s="18">
        <f t="shared" si="6"/>
        <v>0.22302750637275165</v>
      </c>
      <c r="P11" s="19">
        <v>22471847</v>
      </c>
      <c r="Q11" s="19">
        <v>702245.21875</v>
      </c>
      <c r="R11" s="19">
        <v>25286.25</v>
      </c>
      <c r="S11" s="20">
        <v>5011840</v>
      </c>
      <c r="T11" s="20">
        <v>1219616</v>
      </c>
      <c r="U11" s="20">
        <v>912520</v>
      </c>
      <c r="V11" s="20">
        <v>2879232</v>
      </c>
      <c r="W11" s="21">
        <v>67.675600000000003</v>
      </c>
      <c r="X11" s="21">
        <v>69.82880625</v>
      </c>
      <c r="Y11" s="21">
        <v>34.388628124999997</v>
      </c>
      <c r="Z11" s="21">
        <v>40.108456250000003</v>
      </c>
      <c r="AA11" s="21">
        <v>33.973350000000003</v>
      </c>
      <c r="AB11" s="22">
        <v>3891.61</v>
      </c>
      <c r="AC11" s="22">
        <v>1014.34</v>
      </c>
      <c r="AD11" s="22">
        <v>4.6319999999999997</v>
      </c>
      <c r="AE11" s="22">
        <v>16.439</v>
      </c>
      <c r="AG11" s="17">
        <f t="shared" si="7"/>
        <v>4.6986074999999996</v>
      </c>
      <c r="AH11" s="18">
        <f t="shared" si="8"/>
        <v>0.2212268673082764</v>
      </c>
      <c r="AI11" s="18">
        <f t="shared" si="9"/>
        <v>9.4114140723182194E-2</v>
      </c>
      <c r="AJ11" s="18">
        <f t="shared" si="10"/>
        <v>5.3834798461376093E-2</v>
      </c>
      <c r="AK11" s="18">
        <f t="shared" si="11"/>
        <v>0.12709153901190604</v>
      </c>
      <c r="AL11" s="15">
        <f t="shared" si="12"/>
        <v>2132136</v>
      </c>
      <c r="AM11" s="18">
        <f t="shared" si="13"/>
        <v>0.22302786237375147</v>
      </c>
      <c r="AN11" s="19">
        <v>22471847</v>
      </c>
      <c r="AO11" s="19">
        <v>702245.21875</v>
      </c>
      <c r="AP11" s="19">
        <v>25286.25</v>
      </c>
      <c r="AQ11" s="20">
        <v>5011848</v>
      </c>
      <c r="AR11" s="20">
        <v>1219616</v>
      </c>
      <c r="AS11" s="20">
        <v>912520</v>
      </c>
      <c r="AT11" s="20">
        <v>2879232</v>
      </c>
      <c r="AU11" s="21">
        <v>67.675600000000003</v>
      </c>
      <c r="AV11" s="21">
        <v>69.82880625</v>
      </c>
      <c r="AW11" s="21">
        <v>34.388628124999997</v>
      </c>
      <c r="AX11" s="21">
        <v>40.108456250000003</v>
      </c>
      <c r="AY11" s="21">
        <v>33.973350000000003</v>
      </c>
      <c r="AZ11" s="22">
        <v>3599.04</v>
      </c>
      <c r="BA11" s="22">
        <v>1274.77</v>
      </c>
      <c r="BB11" s="22">
        <v>5.8440000000000003</v>
      </c>
      <c r="BC11" s="22">
        <v>20.154</v>
      </c>
      <c r="BE11" s="23">
        <f t="shared" si="14"/>
        <v>0</v>
      </c>
      <c r="BF11" s="23">
        <f t="shared" si="15"/>
        <v>-6.7906258277572462E-7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8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7.3323</v>
      </c>
      <c r="J12" s="28">
        <f t="shared" si="1"/>
        <v>0.34523031752800698</v>
      </c>
      <c r="K12" s="28">
        <f t="shared" si="2"/>
        <v>0.11743989317225599</v>
      </c>
      <c r="L12" s="28">
        <f t="shared" si="3"/>
        <v>7.7160550910449877E-2</v>
      </c>
      <c r="M12" s="28">
        <f t="shared" si="4"/>
        <v>0.22776958990878265</v>
      </c>
      <c r="N12" s="25">
        <f t="shared" si="5"/>
        <v>2660576</v>
      </c>
      <c r="O12" s="28">
        <f t="shared" si="6"/>
        <v>0.34263527916899272</v>
      </c>
      <c r="P12" s="29">
        <v>22826371</v>
      </c>
      <c r="Q12" s="29">
        <v>713324.09375</v>
      </c>
      <c r="R12" s="29">
        <v>26845.03125</v>
      </c>
      <c r="S12" s="30">
        <v>7821120</v>
      </c>
      <c r="T12" s="30">
        <v>1748056</v>
      </c>
      <c r="U12" s="30">
        <v>912520</v>
      </c>
      <c r="V12" s="30">
        <v>5160072</v>
      </c>
      <c r="W12" s="31">
        <v>69.029246874999998</v>
      </c>
      <c r="X12" s="31">
        <v>71.512090624999999</v>
      </c>
      <c r="Y12" s="31">
        <v>36.513684374999997</v>
      </c>
      <c r="Z12" s="31">
        <v>41.002600000000001</v>
      </c>
      <c r="AA12" s="31">
        <v>35.772681249999998</v>
      </c>
      <c r="AB12" s="32">
        <v>3902.97</v>
      </c>
      <c r="AC12" s="32">
        <v>1114.74</v>
      </c>
      <c r="AD12" s="32">
        <v>4.7679999999999998</v>
      </c>
      <c r="AE12" s="32">
        <v>16.297000000000001</v>
      </c>
      <c r="AG12" s="27">
        <f t="shared" si="7"/>
        <v>7.3323074999999998</v>
      </c>
      <c r="AH12" s="28">
        <f t="shared" si="8"/>
        <v>0.3452306706542268</v>
      </c>
      <c r="AI12" s="28">
        <f t="shared" si="9"/>
        <v>0.11743989317225599</v>
      </c>
      <c r="AJ12" s="28">
        <f t="shared" si="10"/>
        <v>7.7160550910449877E-2</v>
      </c>
      <c r="AK12" s="28">
        <f t="shared" si="11"/>
        <v>0.22776958990878265</v>
      </c>
      <c r="AL12" s="25">
        <f t="shared" si="12"/>
        <v>2660576</v>
      </c>
      <c r="AM12" s="28">
        <f t="shared" si="13"/>
        <v>0.342635629640822</v>
      </c>
      <c r="AN12" s="29">
        <v>22826371</v>
      </c>
      <c r="AO12" s="29">
        <v>713324.09375</v>
      </c>
      <c r="AP12" s="29">
        <v>26845.03125</v>
      </c>
      <c r="AQ12" s="30">
        <v>7821128</v>
      </c>
      <c r="AR12" s="30">
        <v>1748056</v>
      </c>
      <c r="AS12" s="30">
        <v>912520</v>
      </c>
      <c r="AT12" s="30">
        <v>5160072</v>
      </c>
      <c r="AU12" s="31">
        <v>69.029246874999998</v>
      </c>
      <c r="AV12" s="31">
        <v>71.512090624999999</v>
      </c>
      <c r="AW12" s="31">
        <v>36.513684374999997</v>
      </c>
      <c r="AX12" s="31">
        <v>41.002600000000001</v>
      </c>
      <c r="AY12" s="31">
        <v>35.772681249999998</v>
      </c>
      <c r="AZ12" s="32">
        <v>3512.41</v>
      </c>
      <c r="BA12" s="32">
        <v>1452.31</v>
      </c>
      <c r="BB12" s="32">
        <v>5.9089999999999998</v>
      </c>
      <c r="BC12" s="32">
        <v>20.925000000000001</v>
      </c>
      <c r="BE12" s="33">
        <f t="shared" si="14"/>
        <v>0</v>
      </c>
      <c r="BF12" s="33">
        <f t="shared" si="15"/>
        <v>-3.4795839043422205E-7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8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12.770917499999999</v>
      </c>
      <c r="J13" s="18">
        <f t="shared" si="1"/>
        <v>0.60129944269178581</v>
      </c>
      <c r="K13" s="18">
        <f t="shared" si="2"/>
        <v>0.15827540923025149</v>
      </c>
      <c r="L13" s="18">
        <f t="shared" si="3"/>
        <v>0.11799606696844539</v>
      </c>
      <c r="M13" s="18">
        <f t="shared" si="4"/>
        <v>0.44300319901456597</v>
      </c>
      <c r="N13" s="15">
        <f t="shared" si="5"/>
        <v>3585696</v>
      </c>
      <c r="O13" s="18">
        <f t="shared" si="6"/>
        <v>0.57375429474020623</v>
      </c>
      <c r="P13" s="19">
        <v>23742414</v>
      </c>
      <c r="Q13" s="19">
        <v>741950.4375</v>
      </c>
      <c r="R13" s="19">
        <v>30595</v>
      </c>
      <c r="S13" s="20">
        <v>13622312</v>
      </c>
      <c r="T13" s="20">
        <v>2673176</v>
      </c>
      <c r="U13" s="20">
        <v>912520</v>
      </c>
      <c r="V13" s="20">
        <v>10036144</v>
      </c>
      <c r="W13" s="21">
        <v>70.031556249999994</v>
      </c>
      <c r="X13" s="21">
        <v>72.792896874999997</v>
      </c>
      <c r="Y13" s="21">
        <v>38.857306250000001</v>
      </c>
      <c r="Z13" s="21">
        <v>42.181359375</v>
      </c>
      <c r="AA13" s="21">
        <v>37.871034375000001</v>
      </c>
      <c r="AB13" s="22">
        <v>3856.51</v>
      </c>
      <c r="AC13" s="22">
        <v>1196.96</v>
      </c>
      <c r="AD13" s="22">
        <v>4.8479999999999999</v>
      </c>
      <c r="AE13" s="22">
        <v>17.468</v>
      </c>
      <c r="AG13" s="17">
        <f t="shared" si="7"/>
        <v>12.770925</v>
      </c>
      <c r="AH13" s="18">
        <f t="shared" si="8"/>
        <v>0.60129979581800563</v>
      </c>
      <c r="AI13" s="18">
        <f t="shared" si="9"/>
        <v>0.15827540923025149</v>
      </c>
      <c r="AJ13" s="18">
        <f t="shared" si="10"/>
        <v>0.11799606696844539</v>
      </c>
      <c r="AK13" s="18">
        <f t="shared" si="11"/>
        <v>0.44300319901456597</v>
      </c>
      <c r="AL13" s="15">
        <f t="shared" si="12"/>
        <v>3585696</v>
      </c>
      <c r="AM13" s="18">
        <f t="shared" si="13"/>
        <v>0.57375463168993679</v>
      </c>
      <c r="AN13" s="19">
        <v>23742414</v>
      </c>
      <c r="AO13" s="19">
        <v>741950.4375</v>
      </c>
      <c r="AP13" s="19">
        <v>30595</v>
      </c>
      <c r="AQ13" s="20">
        <v>13622320</v>
      </c>
      <c r="AR13" s="20">
        <v>2673176</v>
      </c>
      <c r="AS13" s="20">
        <v>912520</v>
      </c>
      <c r="AT13" s="20">
        <v>10036144</v>
      </c>
      <c r="AU13" s="21">
        <v>70.031556249999994</v>
      </c>
      <c r="AV13" s="21">
        <v>72.792896874999997</v>
      </c>
      <c r="AW13" s="21">
        <v>38.857306250000001</v>
      </c>
      <c r="AX13" s="21">
        <v>42.181359375</v>
      </c>
      <c r="AY13" s="21">
        <v>37.871034375000001</v>
      </c>
      <c r="AZ13" s="22">
        <v>3521.05</v>
      </c>
      <c r="BA13" s="22">
        <v>1574.81</v>
      </c>
      <c r="BB13" s="22">
        <v>6.0620000000000003</v>
      </c>
      <c r="BC13" s="22">
        <v>19.280999999999999</v>
      </c>
      <c r="BE13" s="23">
        <f t="shared" si="14"/>
        <v>0</v>
      </c>
      <c r="BF13" s="23">
        <f t="shared" si="15"/>
        <v>-1.5458293639580845E-7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8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23.314462500000001</v>
      </c>
      <c r="J14" s="48">
        <f t="shared" si="1"/>
        <v>1.0977264012478773</v>
      </c>
      <c r="K14" s="48">
        <f t="shared" si="2"/>
        <v>0.22769543340262405</v>
      </c>
      <c r="L14" s="48">
        <f t="shared" si="3"/>
        <v>0.18741609114081795</v>
      </c>
      <c r="M14" s="48">
        <f t="shared" si="4"/>
        <v>0.87001013339828503</v>
      </c>
      <c r="N14" s="45">
        <f t="shared" si="5"/>
        <v>5158392</v>
      </c>
      <c r="O14" s="48">
        <f t="shared" si="6"/>
        <v>1.0368756723663066</v>
      </c>
      <c r="P14" s="49">
        <v>23984322</v>
      </c>
      <c r="Q14" s="49">
        <v>749510.0625</v>
      </c>
      <c r="R14" s="49">
        <v>32373.9375</v>
      </c>
      <c r="S14" s="50">
        <v>24868760</v>
      </c>
      <c r="T14" s="50">
        <v>4245872</v>
      </c>
      <c r="U14" s="50">
        <v>912520</v>
      </c>
      <c r="V14" s="50">
        <v>19709896</v>
      </c>
      <c r="W14" s="51">
        <v>70.862768750000001</v>
      </c>
      <c r="X14" s="51">
        <v>73.881662500000004</v>
      </c>
      <c r="Y14" s="51">
        <v>41.215343750000002</v>
      </c>
      <c r="Z14" s="51">
        <v>43.568628124999996</v>
      </c>
      <c r="AA14" s="51">
        <v>39.813234375</v>
      </c>
      <c r="AB14" s="52">
        <v>4046.66</v>
      </c>
      <c r="AC14" s="52">
        <v>1383.74</v>
      </c>
      <c r="AD14" s="52">
        <v>4.7430000000000003</v>
      </c>
      <c r="AE14" s="52">
        <v>18.189</v>
      </c>
      <c r="AG14" s="47">
        <f t="shared" si="7"/>
        <v>23.31447</v>
      </c>
      <c r="AH14" s="48">
        <f t="shared" si="8"/>
        <v>1.0977267543740972</v>
      </c>
      <c r="AI14" s="48">
        <f t="shared" si="9"/>
        <v>0.22769543340262405</v>
      </c>
      <c r="AJ14" s="48">
        <f t="shared" si="10"/>
        <v>0.18741609114081795</v>
      </c>
      <c r="AK14" s="48">
        <f t="shared" si="11"/>
        <v>0.87001013339828503</v>
      </c>
      <c r="AL14" s="45">
        <f t="shared" si="12"/>
        <v>5158392</v>
      </c>
      <c r="AM14" s="48">
        <f t="shared" si="13"/>
        <v>1.0368760059175324</v>
      </c>
      <c r="AN14" s="49">
        <v>23984322</v>
      </c>
      <c r="AO14" s="49">
        <v>749510.0625</v>
      </c>
      <c r="AP14" s="49">
        <v>32373.9375</v>
      </c>
      <c r="AQ14" s="50">
        <v>24868768</v>
      </c>
      <c r="AR14" s="50">
        <v>4245872</v>
      </c>
      <c r="AS14" s="50">
        <v>912520</v>
      </c>
      <c r="AT14" s="50">
        <v>19709896</v>
      </c>
      <c r="AU14" s="51">
        <v>70.862768750000001</v>
      </c>
      <c r="AV14" s="51">
        <v>73.881662500000004</v>
      </c>
      <c r="AW14" s="51">
        <v>41.215343750000002</v>
      </c>
      <c r="AX14" s="51">
        <v>43.568628124999996</v>
      </c>
      <c r="AY14" s="51">
        <v>39.813234375</v>
      </c>
      <c r="AZ14" s="52">
        <v>3560.33</v>
      </c>
      <c r="BA14" s="52">
        <v>1620.66</v>
      </c>
      <c r="BB14" s="52">
        <v>7</v>
      </c>
      <c r="BC14" s="52">
        <v>20.231000000000002</v>
      </c>
      <c r="BE14" s="53">
        <f t="shared" si="14"/>
        <v>0</v>
      </c>
      <c r="BF14" s="53">
        <f t="shared" si="15"/>
        <v>-6.6726128455929512E-8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8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4.4030399999999998</v>
      </c>
      <c r="J15" s="18">
        <f t="shared" si="1"/>
        <v>0.13834732573187983</v>
      </c>
      <c r="K15" s="18">
        <f t="shared" si="2"/>
        <v>7.6947734749063246E-2</v>
      </c>
      <c r="L15" s="18">
        <f t="shared" si="3"/>
        <v>3.8476341767655783E-2</v>
      </c>
      <c r="M15" s="18">
        <f t="shared" si="4"/>
        <v>6.1385687250023697E-2</v>
      </c>
      <c r="N15" s="15">
        <f t="shared" si="5"/>
        <v>2612200</v>
      </c>
      <c r="O15" s="18">
        <f t="shared" si="6"/>
        <v>0.1508845017025594</v>
      </c>
      <c r="P15" s="19">
        <v>31126961</v>
      </c>
      <c r="Q15" s="19">
        <v>972717.53125</v>
      </c>
      <c r="R15" s="19">
        <v>30954.71875</v>
      </c>
      <c r="S15" s="20">
        <v>4696576</v>
      </c>
      <c r="T15" s="20">
        <v>1306184</v>
      </c>
      <c r="U15" s="20">
        <v>1306016</v>
      </c>
      <c r="V15" s="20">
        <v>2083904</v>
      </c>
      <c r="W15" s="21">
        <v>66.004115624999997</v>
      </c>
      <c r="X15" s="21">
        <v>67.863206250000005</v>
      </c>
      <c r="Y15" s="21">
        <v>29.573128125</v>
      </c>
      <c r="Z15" s="21">
        <v>43.198421875000001</v>
      </c>
      <c r="AA15" s="21">
        <v>43.441078124999997</v>
      </c>
      <c r="AB15" s="22">
        <v>5285.42</v>
      </c>
      <c r="AC15" s="22">
        <v>919.178</v>
      </c>
      <c r="AD15" s="22">
        <v>6.1920000000000002</v>
      </c>
      <c r="AE15" s="22">
        <v>16.260999999999999</v>
      </c>
      <c r="AG15" s="17">
        <f t="shared" si="7"/>
        <v>4.4030474999999996</v>
      </c>
      <c r="AH15" s="18">
        <f t="shared" si="8"/>
        <v>0.13834756138836785</v>
      </c>
      <c r="AI15" s="18">
        <f t="shared" si="9"/>
        <v>7.6947734749063246E-2</v>
      </c>
      <c r="AJ15" s="18">
        <f t="shared" si="10"/>
        <v>3.8476341767655783E-2</v>
      </c>
      <c r="AK15" s="18">
        <f t="shared" si="11"/>
        <v>6.1385687250023697E-2</v>
      </c>
      <c r="AL15" s="15">
        <f t="shared" si="12"/>
        <v>2612200</v>
      </c>
      <c r="AM15" s="18">
        <f t="shared" si="13"/>
        <v>0.15088475871447907</v>
      </c>
      <c r="AN15" s="19">
        <v>31126961</v>
      </c>
      <c r="AO15" s="19">
        <v>972717.53125</v>
      </c>
      <c r="AP15" s="19">
        <v>30954.71875</v>
      </c>
      <c r="AQ15" s="20">
        <v>4696584</v>
      </c>
      <c r="AR15" s="20">
        <v>1306184</v>
      </c>
      <c r="AS15" s="20">
        <v>1306016</v>
      </c>
      <c r="AT15" s="20">
        <v>2083904</v>
      </c>
      <c r="AU15" s="21">
        <v>66.004115624999997</v>
      </c>
      <c r="AV15" s="21">
        <v>67.863206250000005</v>
      </c>
      <c r="AW15" s="21">
        <v>29.573128125</v>
      </c>
      <c r="AX15" s="21">
        <v>43.198421875000001</v>
      </c>
      <c r="AY15" s="21">
        <v>43.441078124999997</v>
      </c>
      <c r="AZ15" s="22">
        <v>5273.47</v>
      </c>
      <c r="BA15" s="22">
        <v>1088.05</v>
      </c>
      <c r="BB15" s="22">
        <v>7.76</v>
      </c>
      <c r="BC15" s="22">
        <v>16.736000000000001</v>
      </c>
      <c r="BE15" s="23">
        <f t="shared" si="14"/>
        <v>0</v>
      </c>
      <c r="BF15" s="23">
        <f t="shared" si="15"/>
        <v>-9.4739909028973557E-7</v>
      </c>
      <c r="BG15" s="23">
        <f t="array" ref="BG15">AVERAGE(AL15:AL19/AQ15:AQ19) - AVERAGE(N15:N19/S15:S19)</f>
        <v>-3.3717725983484215E-7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0</v>
      </c>
      <c r="BL15" s="24">
        <f>IF( OR(ISBLANK(V15:V19),ISBLANK(AT15:AT19), ISBLANK(Z15:Z19),ISBLANK(AX15:AX19)), "·", bdRateExtend( V15:V19,Z15:Z19, AT15:AT19,AX15:AX19))</f>
        <v>0</v>
      </c>
      <c r="BM15" s="24">
        <f>IF( OR(ISBLANK(V15:V19),ISBLANK(AT15:AT19), ISBLANK(AA15:AA19),ISBLANK(AY15:AY19)), "·", bdRateExtend( V15:V19,AA15:AA19, AT15:AT19,AY15:AY19))</f>
        <v>0</v>
      </c>
      <c r="BO15" s="24">
        <f>IF( OR(ISBLANK(S15:S19),ISBLANK(AQ15:AQ19), ISBLANK(W15:W19),ISBLANK(AU15:AU19)), "·", bdRateExtend( S15:S19,W15:W19, AQ15:AQ19,AU15:AU19))</f>
        <v>8.5018106954493078E-7</v>
      </c>
      <c r="BP15" s="24">
        <f>IF( OR(ISBLANK(S15:S19),ISBLANK(AQ15:AQ19), ISBLANK(X15:X19),ISBLANK(AV15:AV19)), "·", bdRateExtend( S15:S19,X15:X19, AQ15:AQ19,AV15:AV19))</f>
        <v>8.2623033703654869E-7</v>
      </c>
      <c r="BQ15" s="24">
        <f>IF( OR(ISBLANK(S15:S19),ISBLANK(AQ15:AQ19), ISBLANK(Y15:Y19),ISBLANK(AW15:AW19)), "·", bdRateExtend( S15:S19,Y15:Y19, AQ15:AQ19,AW15:AW19))</f>
        <v>7.44039960753895E-7</v>
      </c>
      <c r="BR15" s="24">
        <f>IF( OR(ISBLANK(S15:S19),ISBLANK(AQ15:AQ19), ISBLANK(Z15:Z19),ISBLANK(AX15:AX19)), "·", bdRateExtend( S15:S19,Z15:Z19, AQ15:AQ19,AX15:AX19))</f>
        <v>5.9734099422392717E-7</v>
      </c>
      <c r="BS15" s="24">
        <f>IF( OR(ISBLANK(S15:S19),ISBLANK(AQ15:AQ19), ISBLANK(AA15:AA19),ISBLANK(AY15:AY19)), "·", bdRateExtend( S15:S19,AA15:AA19, AQ15:AQ19,AY15:AY19))</f>
        <v>6.090241508882599E-7</v>
      </c>
      <c r="BU15" s="4">
        <f t="shared" si="16"/>
        <v>8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7.0890750000000002</v>
      </c>
      <c r="J16" s="28">
        <f t="shared" si="1"/>
        <v>0.22274486903655791</v>
      </c>
      <c r="K16" s="28">
        <f t="shared" si="2"/>
        <v>9.2777488018487717E-2</v>
      </c>
      <c r="L16" s="28">
        <f t="shared" si="3"/>
        <v>5.4306095037080254E-2</v>
      </c>
      <c r="M16" s="28">
        <f t="shared" si="4"/>
        <v>0.12995347728527731</v>
      </c>
      <c r="N16" s="25">
        <f t="shared" si="5"/>
        <v>3149584</v>
      </c>
      <c r="O16" s="28">
        <f t="shared" si="6"/>
        <v>0.22390412399874393</v>
      </c>
      <c r="P16" s="29">
        <v>33771955</v>
      </c>
      <c r="Q16" s="29">
        <v>1055373.59375</v>
      </c>
      <c r="R16" s="29">
        <v>39996.875</v>
      </c>
      <c r="S16" s="30">
        <v>7561680</v>
      </c>
      <c r="T16" s="30">
        <v>1843568</v>
      </c>
      <c r="U16" s="30">
        <v>1306016</v>
      </c>
      <c r="V16" s="30">
        <v>4411624</v>
      </c>
      <c r="W16" s="31">
        <v>67.859421874999995</v>
      </c>
      <c r="X16" s="31">
        <v>69.973478125</v>
      </c>
      <c r="Y16" s="31">
        <v>32.039056250000002</v>
      </c>
      <c r="Z16" s="31">
        <v>44.041056249999997</v>
      </c>
      <c r="AA16" s="31">
        <v>44.373040625000002</v>
      </c>
      <c r="AB16" s="32">
        <v>5326.19</v>
      </c>
      <c r="AC16" s="32">
        <v>996.44</v>
      </c>
      <c r="AD16" s="32">
        <v>7.109</v>
      </c>
      <c r="AE16" s="32">
        <v>17.030999999999999</v>
      </c>
      <c r="AG16" s="27">
        <f t="shared" si="7"/>
        <v>7.0890825</v>
      </c>
      <c r="AH16" s="28">
        <f t="shared" si="8"/>
        <v>0.22274510469304593</v>
      </c>
      <c r="AI16" s="28">
        <f t="shared" si="9"/>
        <v>9.2777488018487717E-2</v>
      </c>
      <c r="AJ16" s="28">
        <f t="shared" si="10"/>
        <v>5.4306095037080254E-2</v>
      </c>
      <c r="AK16" s="28">
        <f t="shared" si="11"/>
        <v>0.12995347728527731</v>
      </c>
      <c r="AL16" s="25">
        <f t="shared" si="12"/>
        <v>3149584</v>
      </c>
      <c r="AM16" s="28">
        <f t="shared" si="13"/>
        <v>0.22390436088168422</v>
      </c>
      <c r="AN16" s="29">
        <v>33771955</v>
      </c>
      <c r="AO16" s="29">
        <v>1055373.59375</v>
      </c>
      <c r="AP16" s="29">
        <v>39996.875</v>
      </c>
      <c r="AQ16" s="30">
        <v>7561688</v>
      </c>
      <c r="AR16" s="30">
        <v>1843568</v>
      </c>
      <c r="AS16" s="30">
        <v>1306016</v>
      </c>
      <c r="AT16" s="30">
        <v>4411624</v>
      </c>
      <c r="AU16" s="31">
        <v>67.859421874999995</v>
      </c>
      <c r="AV16" s="31">
        <v>69.973478125</v>
      </c>
      <c r="AW16" s="31">
        <v>32.039056250000002</v>
      </c>
      <c r="AX16" s="31">
        <v>44.041056249999997</v>
      </c>
      <c r="AY16" s="31">
        <v>44.373040625000002</v>
      </c>
      <c r="AZ16" s="32">
        <v>5308.96</v>
      </c>
      <c r="BA16" s="32">
        <v>1046.05</v>
      </c>
      <c r="BB16" s="32">
        <v>8.5820000000000007</v>
      </c>
      <c r="BC16" s="32">
        <v>17</v>
      </c>
      <c r="BE16" s="33">
        <f t="shared" si="14"/>
        <v>0</v>
      </c>
      <c r="BF16" s="33">
        <f t="shared" si="15"/>
        <v>-4.4066254034635932E-7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8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12.060135000000001</v>
      </c>
      <c r="J17" s="18">
        <f t="shared" si="1"/>
        <v>0.37893987454473377</v>
      </c>
      <c r="K17" s="18">
        <f t="shared" si="2"/>
        <v>0.11565360593604554</v>
      </c>
      <c r="L17" s="18">
        <f t="shared" si="3"/>
        <v>7.7182212954638077E-2</v>
      </c>
      <c r="M17" s="18">
        <f t="shared" si="4"/>
        <v>0.26327236487589534</v>
      </c>
      <c r="N17" s="15">
        <f t="shared" si="5"/>
        <v>3926176</v>
      </c>
      <c r="O17" s="18">
        <f t="shared" si="6"/>
        <v>0.37772142687134885</v>
      </c>
      <c r="P17" s="19">
        <v>34057226</v>
      </c>
      <c r="Q17" s="19">
        <v>1064288.3125</v>
      </c>
      <c r="R17" s="19">
        <v>41259.5</v>
      </c>
      <c r="S17" s="20">
        <v>12864144</v>
      </c>
      <c r="T17" s="20">
        <v>2620160</v>
      </c>
      <c r="U17" s="20">
        <v>1306016</v>
      </c>
      <c r="V17" s="20">
        <v>8937496</v>
      </c>
      <c r="W17" s="21">
        <v>69.260087499999997</v>
      </c>
      <c r="X17" s="21">
        <v>71.842303125000001</v>
      </c>
      <c r="Y17" s="21">
        <v>34.605715625000002</v>
      </c>
      <c r="Z17" s="21">
        <v>44.834134374999998</v>
      </c>
      <c r="AA17" s="21">
        <v>45.275284374999998</v>
      </c>
      <c r="AB17" s="22">
        <v>5286.8</v>
      </c>
      <c r="AC17" s="22">
        <v>1097.9100000000001</v>
      </c>
      <c r="AD17" s="22">
        <v>6.7830000000000004</v>
      </c>
      <c r="AE17" s="22">
        <v>17.367999999999999</v>
      </c>
      <c r="AG17" s="17">
        <f t="shared" si="7"/>
        <v>12.0601425</v>
      </c>
      <c r="AH17" s="18">
        <f t="shared" si="8"/>
        <v>0.37894011020122176</v>
      </c>
      <c r="AI17" s="18">
        <f t="shared" si="9"/>
        <v>0.11565360593604554</v>
      </c>
      <c r="AJ17" s="18">
        <f t="shared" si="10"/>
        <v>7.7182212954638077E-2</v>
      </c>
      <c r="AK17" s="18">
        <f t="shared" si="11"/>
        <v>0.26327236487589534</v>
      </c>
      <c r="AL17" s="15">
        <f t="shared" si="12"/>
        <v>3926176</v>
      </c>
      <c r="AM17" s="18">
        <f t="shared" si="13"/>
        <v>0.37772166177010424</v>
      </c>
      <c r="AN17" s="19">
        <v>34057226</v>
      </c>
      <c r="AO17" s="19">
        <v>1064288.3125</v>
      </c>
      <c r="AP17" s="19">
        <v>41259.5</v>
      </c>
      <c r="AQ17" s="20">
        <v>12864152</v>
      </c>
      <c r="AR17" s="20">
        <v>2620160</v>
      </c>
      <c r="AS17" s="20">
        <v>1306016</v>
      </c>
      <c r="AT17" s="20">
        <v>8937496</v>
      </c>
      <c r="AU17" s="21">
        <v>69.260087499999997</v>
      </c>
      <c r="AV17" s="21">
        <v>71.842303125000001</v>
      </c>
      <c r="AW17" s="21">
        <v>34.605715625000002</v>
      </c>
      <c r="AX17" s="21">
        <v>44.834134374999998</v>
      </c>
      <c r="AY17" s="21">
        <v>45.275284374999998</v>
      </c>
      <c r="AZ17" s="22">
        <v>5307.28</v>
      </c>
      <c r="BA17" s="22">
        <v>1237.72</v>
      </c>
      <c r="BB17" s="22">
        <v>6.9820000000000002</v>
      </c>
      <c r="BC17" s="22">
        <v>17.581</v>
      </c>
      <c r="BE17" s="23">
        <f t="shared" si="14"/>
        <v>0</v>
      </c>
      <c r="BF17" s="23">
        <f t="shared" si="15"/>
        <v>-1.8980064986351408E-7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8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21.963809999999999</v>
      </c>
      <c r="J18" s="28">
        <f t="shared" si="1"/>
        <v>0.69012191040352111</v>
      </c>
      <c r="K18" s="28">
        <f t="shared" si="2"/>
        <v>0.15423646443628405</v>
      </c>
      <c r="L18" s="28">
        <f t="shared" si="3"/>
        <v>0.11576507145487658</v>
      </c>
      <c r="M18" s="28">
        <f t="shared" si="4"/>
        <v>0.53587154223444411</v>
      </c>
      <c r="N18" s="25">
        <f t="shared" si="5"/>
        <v>5235976</v>
      </c>
      <c r="O18" s="28">
        <f t="shared" si="6"/>
        <v>0.65836030009435031</v>
      </c>
      <c r="P18" s="29">
        <v>35585475</v>
      </c>
      <c r="Q18" s="29">
        <v>1112046.09375</v>
      </c>
      <c r="R18" s="29">
        <v>46814.3125</v>
      </c>
      <c r="S18" s="30">
        <v>23428064</v>
      </c>
      <c r="T18" s="30">
        <v>3929960</v>
      </c>
      <c r="U18" s="30">
        <v>1306016</v>
      </c>
      <c r="V18" s="30">
        <v>18191616</v>
      </c>
      <c r="W18" s="31">
        <v>70.364343750000003</v>
      </c>
      <c r="X18" s="31">
        <v>73.219015624999997</v>
      </c>
      <c r="Y18" s="31">
        <v>37.267678125000003</v>
      </c>
      <c r="Z18" s="31">
        <v>46.198950000000004</v>
      </c>
      <c r="AA18" s="31">
        <v>46.691428125000002</v>
      </c>
      <c r="AB18" s="32">
        <v>5326.11</v>
      </c>
      <c r="AC18" s="32">
        <v>1288.68</v>
      </c>
      <c r="AD18" s="32">
        <v>6.931</v>
      </c>
      <c r="AE18" s="32">
        <v>18.911000000000001</v>
      </c>
      <c r="AG18" s="27">
        <f t="shared" si="7"/>
        <v>21.963817500000001</v>
      </c>
      <c r="AH18" s="28">
        <f t="shared" si="8"/>
        <v>0.6901221460600091</v>
      </c>
      <c r="AI18" s="28">
        <f t="shared" si="9"/>
        <v>0.15423646443628405</v>
      </c>
      <c r="AJ18" s="28">
        <f t="shared" si="10"/>
        <v>0.11576507145487658</v>
      </c>
      <c r="AK18" s="28">
        <f t="shared" si="11"/>
        <v>0.53587154223444411</v>
      </c>
      <c r="AL18" s="25">
        <f t="shared" si="12"/>
        <v>5235976</v>
      </c>
      <c r="AM18" s="28">
        <f t="shared" si="13"/>
        <v>0.65836052490517549</v>
      </c>
      <c r="AN18" s="29">
        <v>35585475</v>
      </c>
      <c r="AO18" s="29">
        <v>1112046.09375</v>
      </c>
      <c r="AP18" s="29">
        <v>46814.3125</v>
      </c>
      <c r="AQ18" s="30">
        <v>23428072</v>
      </c>
      <c r="AR18" s="30">
        <v>3929960</v>
      </c>
      <c r="AS18" s="30">
        <v>1306016</v>
      </c>
      <c r="AT18" s="30">
        <v>18191616</v>
      </c>
      <c r="AU18" s="31">
        <v>70.364343750000003</v>
      </c>
      <c r="AV18" s="31">
        <v>73.219015624999997</v>
      </c>
      <c r="AW18" s="31">
        <v>37.267678125000003</v>
      </c>
      <c r="AX18" s="31">
        <v>46.198950000000004</v>
      </c>
      <c r="AY18" s="31">
        <v>46.691428125000002</v>
      </c>
      <c r="AZ18" s="32">
        <v>5020.6000000000004</v>
      </c>
      <c r="BA18" s="32">
        <v>1368.29</v>
      </c>
      <c r="BB18" s="32">
        <v>7.1520000000000001</v>
      </c>
      <c r="BC18" s="32">
        <v>19.131</v>
      </c>
      <c r="BE18" s="33">
        <f t="shared" si="14"/>
        <v>0</v>
      </c>
      <c r="BF18" s="33">
        <f t="shared" si="15"/>
        <v>-7.6315838870577579E-8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8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40.459732500000001</v>
      </c>
      <c r="J19" s="38">
        <f t="shared" si="1"/>
        <v>1.2712797955962754</v>
      </c>
      <c r="K19" s="38">
        <f t="shared" si="2"/>
        <v>0.21745744441496775</v>
      </c>
      <c r="L19" s="38">
        <f t="shared" si="3"/>
        <v>0.17898605143356028</v>
      </c>
      <c r="M19" s="38">
        <f t="shared" si="4"/>
        <v>1.0538084474485148</v>
      </c>
      <c r="N19" s="35">
        <f t="shared" si="5"/>
        <v>7382184</v>
      </c>
      <c r="O19" s="38">
        <f t="shared" si="6"/>
        <v>1.2008858558108806</v>
      </c>
      <c r="P19" s="39">
        <v>35937677</v>
      </c>
      <c r="Q19" s="39">
        <v>1123052.40625</v>
      </c>
      <c r="R19" s="39">
        <v>49618.46875</v>
      </c>
      <c r="S19" s="40">
        <v>43157048</v>
      </c>
      <c r="T19" s="40">
        <v>6076168</v>
      </c>
      <c r="U19" s="40">
        <v>1306016</v>
      </c>
      <c r="V19" s="40">
        <v>35774392</v>
      </c>
      <c r="W19" s="41">
        <v>71.276459375000002</v>
      </c>
      <c r="X19" s="41">
        <v>74.402046874999996</v>
      </c>
      <c r="Y19" s="41">
        <v>39.331274999999998</v>
      </c>
      <c r="Z19" s="41">
        <v>48.002015624999999</v>
      </c>
      <c r="AA19" s="41">
        <v>48.57079375</v>
      </c>
      <c r="AB19" s="42">
        <v>5492.05</v>
      </c>
      <c r="AC19" s="42">
        <v>1587.84</v>
      </c>
      <c r="AD19" s="42">
        <v>6.7969999999999997</v>
      </c>
      <c r="AE19" s="42">
        <v>19.852</v>
      </c>
      <c r="AG19" s="37">
        <f t="shared" si="7"/>
        <v>40.459739999999996</v>
      </c>
      <c r="AH19" s="38">
        <f t="shared" si="8"/>
        <v>1.2712800312527635</v>
      </c>
      <c r="AI19" s="38">
        <f t="shared" si="9"/>
        <v>0.21745744441496775</v>
      </c>
      <c r="AJ19" s="38">
        <f t="shared" si="10"/>
        <v>0.17898605143356028</v>
      </c>
      <c r="AK19" s="38">
        <f t="shared" si="11"/>
        <v>1.0538084474485148</v>
      </c>
      <c r="AL19" s="35">
        <f t="shared" si="12"/>
        <v>7382184</v>
      </c>
      <c r="AM19" s="38">
        <f t="shared" si="13"/>
        <v>1.2008860784184798</v>
      </c>
      <c r="AN19" s="39">
        <v>35937677</v>
      </c>
      <c r="AO19" s="39">
        <v>1123052.40625</v>
      </c>
      <c r="AP19" s="39">
        <v>49618.46875</v>
      </c>
      <c r="AQ19" s="40">
        <v>43157056</v>
      </c>
      <c r="AR19" s="40">
        <v>6076168</v>
      </c>
      <c r="AS19" s="40">
        <v>1306016</v>
      </c>
      <c r="AT19" s="40">
        <v>35774392</v>
      </c>
      <c r="AU19" s="41">
        <v>71.276459375000002</v>
      </c>
      <c r="AV19" s="41">
        <v>74.402046874999996</v>
      </c>
      <c r="AW19" s="41">
        <v>39.331274999999998</v>
      </c>
      <c r="AX19" s="41">
        <v>48.002015624999999</v>
      </c>
      <c r="AY19" s="41">
        <v>48.57079375</v>
      </c>
      <c r="AZ19" s="42">
        <v>5272.01</v>
      </c>
      <c r="BA19" s="42">
        <v>1726.91</v>
      </c>
      <c r="BB19" s="42">
        <v>7.1079999999999997</v>
      </c>
      <c r="BC19" s="42">
        <v>19.876000000000001</v>
      </c>
      <c r="BE19" s="43">
        <f t="shared" si="14"/>
        <v>0</v>
      </c>
      <c r="BF19" s="43">
        <f t="shared" si="15"/>
        <v>-3.1708179720757457E-8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8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5.2679999999999998</v>
      </c>
      <c r="J20" s="28">
        <f t="shared" si="1"/>
        <v>0.10467424305199532</v>
      </c>
      <c r="K20" s="28">
        <f t="shared" si="2"/>
        <v>5.9153465314719572E-2</v>
      </c>
      <c r="L20" s="28">
        <f t="shared" si="3"/>
        <v>2.8262592044252088E-2</v>
      </c>
      <c r="M20" s="28">
        <f t="shared" si="4"/>
        <v>4.5506123740644999E-2</v>
      </c>
      <c r="N20" s="25">
        <f t="shared" si="5"/>
        <v>1905312</v>
      </c>
      <c r="O20" s="28">
        <f t="shared" si="6"/>
        <v>0.11022491077360297</v>
      </c>
      <c r="P20" s="29">
        <v>30587641</v>
      </c>
      <c r="Q20" s="29">
        <v>955863.78125</v>
      </c>
      <c r="R20" s="29">
        <v>27495.84375</v>
      </c>
      <c r="S20" s="30">
        <v>3371520</v>
      </c>
      <c r="T20" s="30">
        <v>910328</v>
      </c>
      <c r="U20" s="30">
        <v>994984</v>
      </c>
      <c r="V20" s="30">
        <v>1465736</v>
      </c>
      <c r="W20" s="31">
        <v>67.020143750000003</v>
      </c>
      <c r="X20" s="31">
        <v>68.734246874999997</v>
      </c>
      <c r="Y20" s="31">
        <v>30.842065625</v>
      </c>
      <c r="Z20" s="31">
        <v>39.512446875000002</v>
      </c>
      <c r="AA20" s="31">
        <v>38.325375000000001</v>
      </c>
      <c r="AB20" s="32">
        <v>5138.8599999999997</v>
      </c>
      <c r="AC20" s="32">
        <v>925.02099999999996</v>
      </c>
      <c r="AD20" s="32">
        <v>5.5960000000000001</v>
      </c>
      <c r="AE20" s="32">
        <v>16.702999999999999</v>
      </c>
      <c r="AG20" s="27">
        <f t="shared" si="7"/>
        <v>5.2680125000000002</v>
      </c>
      <c r="AH20" s="28">
        <f t="shared" si="8"/>
        <v>0.10467449142481958</v>
      </c>
      <c r="AI20" s="28">
        <f t="shared" si="9"/>
        <v>5.9153465314719572E-2</v>
      </c>
      <c r="AJ20" s="28">
        <f t="shared" si="10"/>
        <v>2.8262592044252088E-2</v>
      </c>
      <c r="AK20" s="28">
        <f t="shared" si="11"/>
        <v>4.5506123740644999E-2</v>
      </c>
      <c r="AL20" s="25">
        <f t="shared" si="12"/>
        <v>1905312</v>
      </c>
      <c r="AM20" s="28">
        <f t="shared" si="13"/>
        <v>0.110225172317146</v>
      </c>
      <c r="AN20" s="29">
        <v>30587641</v>
      </c>
      <c r="AO20" s="29">
        <v>955863.78125</v>
      </c>
      <c r="AP20" s="29">
        <v>27495.84375</v>
      </c>
      <c r="AQ20" s="30">
        <v>3371528</v>
      </c>
      <c r="AR20" s="30">
        <v>910328</v>
      </c>
      <c r="AS20" s="30">
        <v>994984</v>
      </c>
      <c r="AT20" s="30">
        <v>1465736</v>
      </c>
      <c r="AU20" s="31">
        <v>67.020143750000003</v>
      </c>
      <c r="AV20" s="31">
        <v>68.734246874999997</v>
      </c>
      <c r="AW20" s="31">
        <v>30.842065625</v>
      </c>
      <c r="AX20" s="31">
        <v>39.512446875000002</v>
      </c>
      <c r="AY20" s="31">
        <v>38.325375000000001</v>
      </c>
      <c r="AZ20" s="32">
        <v>5119.7299999999996</v>
      </c>
      <c r="BA20" s="32">
        <v>984.55899999999997</v>
      </c>
      <c r="BB20" s="32">
        <v>6.8680000000000003</v>
      </c>
      <c r="BC20" s="32">
        <v>18.695</v>
      </c>
      <c r="BE20" s="33">
        <f t="shared" si="14"/>
        <v>0</v>
      </c>
      <c r="BF20" s="33">
        <f t="shared" si="15"/>
        <v>-1.340922193171501E-6</v>
      </c>
      <c r="BG20" s="33">
        <f t="array" ref="BG20">AVERAGE(AL20:AL24/AQ20:AQ24) - AVERAGE(N20:N24/S20:S24)</f>
        <v>-4.8583410350300227E-7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0</v>
      </c>
      <c r="BL20" s="34">
        <f>IF( OR(ISBLANK(V20:V24),ISBLANK(AT20:AT24), ISBLANK(Z20:Z24),ISBLANK(AX20:AX24)), "·", bdRateExtend( V20:V24,Z20:Z24, AT20:AT24,AX20:AX24))</f>
        <v>0</v>
      </c>
      <c r="BM20" s="34">
        <f>IF( OR(ISBLANK(V20:V24),ISBLANK(AT20:AT24), ISBLANK(AA20:AA24),ISBLANK(AY20:AY24)), "·", bdRateExtend( V20:V24,AA20:AA24, AT20:AT24,AY20:AY24))</f>
        <v>0</v>
      </c>
      <c r="BO20" s="34">
        <f>IF( OR(ISBLANK(S20:S24),ISBLANK(AQ20:AQ24), ISBLANK(W20:W24),ISBLANK(AU20:AU24)), "·", bdRateExtend( S20:S24,W20:W24, AQ20:AQ24,AU20:AU24))</f>
        <v>1.2161625206896787E-6</v>
      </c>
      <c r="BP20" s="34">
        <f>IF( OR(ISBLANK(S20:S24),ISBLANK(AQ20:AQ24), ISBLANK(X20:X24),ISBLANK(AV20:AV24)), "·", bdRateExtend( S20:S24,X20:X24, AQ20:AQ24,AV20:AV24))</f>
        <v>1.2016420907201564E-6</v>
      </c>
      <c r="BQ20" s="34">
        <f>IF( OR(ISBLANK(S20:S24),ISBLANK(AQ20:AQ24), ISBLANK(Y20:Y24),ISBLANK(AW20:AW24)), "·", bdRateExtend( S20:S24,Y20:Y24, AQ20:AQ24,AW20:AW24))</f>
        <v>1.117750054069333E-6</v>
      </c>
      <c r="BR20" s="34">
        <f>IF( OR(ISBLANK(S20:S24),ISBLANK(AQ20:AQ24), ISBLANK(Z20:Z24),ISBLANK(AX20:AX24)), "·", bdRateExtend( S20:S24,Z20:Z24, AQ20:AQ24,AX20:AX24))</f>
        <v>1.0196275885832051E-6</v>
      </c>
      <c r="BS20" s="34">
        <f>IF( OR(ISBLANK(S20:S24),ISBLANK(AQ20:AQ24), ISBLANK(AA20:AA24),ISBLANK(AY20:AY24)), "·", bdRateExtend( S20:S24,AA20:AA24, AQ20:AQ24,AY20:AY24))</f>
        <v>1.1003430786526991E-6</v>
      </c>
      <c r="BU20" s="4">
        <f t="shared" si="16"/>
        <v>8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8.3442124999999994</v>
      </c>
      <c r="J21" s="18">
        <f t="shared" si="1"/>
        <v>0.16579804998149156</v>
      </c>
      <c r="K21" s="18">
        <f t="shared" si="2"/>
        <v>6.9731167153886178E-2</v>
      </c>
      <c r="L21" s="18">
        <f t="shared" si="3"/>
        <v>3.8840293883418704E-2</v>
      </c>
      <c r="M21" s="18">
        <f t="shared" si="4"/>
        <v>9.6052228830974626E-2</v>
      </c>
      <c r="N21" s="15">
        <f t="shared" si="5"/>
        <v>2246016</v>
      </c>
      <c r="O21" s="18">
        <f t="shared" si="6"/>
        <v>0.16868797250348927</v>
      </c>
      <c r="P21" s="19">
        <v>31657835</v>
      </c>
      <c r="Q21" s="19">
        <v>989307.34375</v>
      </c>
      <c r="R21" s="19">
        <v>32532.3125</v>
      </c>
      <c r="S21" s="20">
        <v>5340296</v>
      </c>
      <c r="T21" s="20">
        <v>1251032</v>
      </c>
      <c r="U21" s="20">
        <v>994984</v>
      </c>
      <c r="V21" s="20">
        <v>3093808</v>
      </c>
      <c r="W21" s="21">
        <v>68.592931250000007</v>
      </c>
      <c r="X21" s="21">
        <v>70.761106249999997</v>
      </c>
      <c r="Y21" s="21">
        <v>32.755375000000001</v>
      </c>
      <c r="Z21" s="21">
        <v>40.610009374999997</v>
      </c>
      <c r="AA21" s="21">
        <v>39.613965624999999</v>
      </c>
      <c r="AB21" s="22">
        <v>4931.7299999999996</v>
      </c>
      <c r="AC21" s="22">
        <v>1023.99</v>
      </c>
      <c r="AD21" s="22">
        <v>6.0129999999999999</v>
      </c>
      <c r="AE21" s="22">
        <v>16.79</v>
      </c>
      <c r="AG21" s="17">
        <f t="shared" si="7"/>
        <v>8.3442249999999998</v>
      </c>
      <c r="AH21" s="18">
        <f t="shared" si="8"/>
        <v>0.16579829835431581</v>
      </c>
      <c r="AI21" s="18">
        <f t="shared" si="9"/>
        <v>6.9731167153886178E-2</v>
      </c>
      <c r="AJ21" s="18">
        <f t="shared" si="10"/>
        <v>3.8840293883418704E-2</v>
      </c>
      <c r="AK21" s="18">
        <f t="shared" si="11"/>
        <v>9.6052228830974626E-2</v>
      </c>
      <c r="AL21" s="15">
        <f t="shared" si="12"/>
        <v>2246016</v>
      </c>
      <c r="AM21" s="18">
        <f t="shared" si="13"/>
        <v>0.16868822520554549</v>
      </c>
      <c r="AN21" s="19">
        <v>31657835</v>
      </c>
      <c r="AO21" s="19">
        <v>989307.34375</v>
      </c>
      <c r="AP21" s="19">
        <v>32532.3125</v>
      </c>
      <c r="AQ21" s="20">
        <v>5340304</v>
      </c>
      <c r="AR21" s="20">
        <v>1251032</v>
      </c>
      <c r="AS21" s="20">
        <v>994984</v>
      </c>
      <c r="AT21" s="20">
        <v>3093808</v>
      </c>
      <c r="AU21" s="21">
        <v>68.592931250000007</v>
      </c>
      <c r="AV21" s="21">
        <v>70.761106249999997</v>
      </c>
      <c r="AW21" s="21">
        <v>32.755375000000001</v>
      </c>
      <c r="AX21" s="21">
        <v>40.610009374999997</v>
      </c>
      <c r="AY21" s="21">
        <v>39.613965624999999</v>
      </c>
      <c r="AZ21" s="22">
        <v>5058.97</v>
      </c>
      <c r="BA21" s="22">
        <v>1087.3699999999999</v>
      </c>
      <c r="BB21" s="22">
        <v>6.3659999999999997</v>
      </c>
      <c r="BC21" s="22">
        <v>17.928000000000001</v>
      </c>
      <c r="BE21" s="23">
        <f t="shared" si="14"/>
        <v>0</v>
      </c>
      <c r="BF21" s="23">
        <f t="shared" si="15"/>
        <v>-6.3004493255913729E-7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8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13.925675</v>
      </c>
      <c r="J22" s="28">
        <f t="shared" si="1"/>
        <v>0.27670073834720865</v>
      </c>
      <c r="K22" s="28">
        <f t="shared" si="2"/>
        <v>8.6265097691396328E-2</v>
      </c>
      <c r="L22" s="28">
        <f t="shared" si="3"/>
        <v>5.5374224420928847E-2</v>
      </c>
      <c r="M22" s="28">
        <f t="shared" si="4"/>
        <v>0.19042098665918153</v>
      </c>
      <c r="N22" s="25">
        <f t="shared" si="5"/>
        <v>2778568</v>
      </c>
      <c r="O22" s="28">
        <f t="shared" si="6"/>
        <v>0.27010459529840158</v>
      </c>
      <c r="P22" s="29">
        <v>32996225</v>
      </c>
      <c r="Q22" s="29">
        <v>1031132.03125</v>
      </c>
      <c r="R22" s="29">
        <v>34910.03125</v>
      </c>
      <c r="S22" s="30">
        <v>8912432</v>
      </c>
      <c r="T22" s="30">
        <v>1783584</v>
      </c>
      <c r="U22" s="30">
        <v>994984</v>
      </c>
      <c r="V22" s="30">
        <v>6133392</v>
      </c>
      <c r="W22" s="31">
        <v>69.795837500000005</v>
      </c>
      <c r="X22" s="31">
        <v>72.356040625000006</v>
      </c>
      <c r="Y22" s="31">
        <v>34.611943750000002</v>
      </c>
      <c r="Z22" s="31">
        <v>41.691915625</v>
      </c>
      <c r="AA22" s="31">
        <v>40.689765625</v>
      </c>
      <c r="AB22" s="32">
        <v>4977.25</v>
      </c>
      <c r="AC22" s="32">
        <v>1097.51</v>
      </c>
      <c r="AD22" s="32">
        <v>5.7270000000000003</v>
      </c>
      <c r="AE22" s="32">
        <v>16.613</v>
      </c>
      <c r="AG22" s="27">
        <f t="shared" si="7"/>
        <v>13.9256875</v>
      </c>
      <c r="AH22" s="28">
        <f t="shared" si="8"/>
        <v>0.2767009867200329</v>
      </c>
      <c r="AI22" s="28">
        <f t="shared" si="9"/>
        <v>8.6265097691396328E-2</v>
      </c>
      <c r="AJ22" s="28">
        <f t="shared" si="10"/>
        <v>5.5374224420928847E-2</v>
      </c>
      <c r="AK22" s="28">
        <f t="shared" si="11"/>
        <v>0.19042098665918153</v>
      </c>
      <c r="AL22" s="25">
        <f t="shared" si="12"/>
        <v>2778568</v>
      </c>
      <c r="AM22" s="28">
        <f t="shared" si="13"/>
        <v>0.27010483775037902</v>
      </c>
      <c r="AN22" s="29">
        <v>32996225</v>
      </c>
      <c r="AO22" s="29">
        <v>1031132.03125</v>
      </c>
      <c r="AP22" s="29">
        <v>34910.03125</v>
      </c>
      <c r="AQ22" s="30">
        <v>8912440</v>
      </c>
      <c r="AR22" s="30">
        <v>1783584</v>
      </c>
      <c r="AS22" s="30">
        <v>994984</v>
      </c>
      <c r="AT22" s="30">
        <v>6133392</v>
      </c>
      <c r="AU22" s="31">
        <v>69.795837500000005</v>
      </c>
      <c r="AV22" s="31">
        <v>72.356040625000006</v>
      </c>
      <c r="AW22" s="31">
        <v>34.611943750000002</v>
      </c>
      <c r="AX22" s="31">
        <v>41.691915625</v>
      </c>
      <c r="AY22" s="31">
        <v>40.689765625</v>
      </c>
      <c r="AZ22" s="32">
        <v>5115.49</v>
      </c>
      <c r="BA22" s="32">
        <v>1178.53</v>
      </c>
      <c r="BB22" s="32">
        <v>5.94</v>
      </c>
      <c r="BC22" s="32">
        <v>17.542000000000002</v>
      </c>
      <c r="BE22" s="33">
        <f t="shared" si="14"/>
        <v>0</v>
      </c>
      <c r="BF22" s="33">
        <f t="shared" si="15"/>
        <v>-2.7984539729963842E-7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8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24.380737499999999</v>
      </c>
      <c r="J23" s="18">
        <f t="shared" si="1"/>
        <v>0.48444101041417936</v>
      </c>
      <c r="K23" s="18">
        <f t="shared" si="2"/>
        <v>0.11453365068343042</v>
      </c>
      <c r="L23" s="18">
        <f t="shared" si="3"/>
        <v>8.3642777412962943E-2</v>
      </c>
      <c r="M23" s="18">
        <f t="shared" si="4"/>
        <v>0.3698927057341182</v>
      </c>
      <c r="N23" s="15">
        <f t="shared" si="5"/>
        <v>3689088</v>
      </c>
      <c r="O23" s="18">
        <f t="shared" si="6"/>
        <v>0.47261329509378075</v>
      </c>
      <c r="P23" s="19">
        <v>33015728</v>
      </c>
      <c r="Q23" s="19">
        <v>1031741.5</v>
      </c>
      <c r="R23" s="19">
        <v>36525.53125</v>
      </c>
      <c r="S23" s="20">
        <v>15603672</v>
      </c>
      <c r="T23" s="20">
        <v>2694104</v>
      </c>
      <c r="U23" s="20">
        <v>994984</v>
      </c>
      <c r="V23" s="20">
        <v>11914112</v>
      </c>
      <c r="W23" s="21">
        <v>70.797381250000001</v>
      </c>
      <c r="X23" s="21">
        <v>73.705390625000007</v>
      </c>
      <c r="Y23" s="21">
        <v>36.296262499999997</v>
      </c>
      <c r="Z23" s="21">
        <v>42.884687499999998</v>
      </c>
      <c r="AA23" s="21">
        <v>41.799809375000002</v>
      </c>
      <c r="AB23" s="22">
        <v>5166.28</v>
      </c>
      <c r="AC23" s="22">
        <v>1213.05</v>
      </c>
      <c r="AD23" s="22">
        <v>5.8120000000000003</v>
      </c>
      <c r="AE23" s="22">
        <v>17.173999999999999</v>
      </c>
      <c r="AG23" s="17">
        <f t="shared" si="7"/>
        <v>24.380749999999999</v>
      </c>
      <c r="AH23" s="18">
        <f t="shared" si="8"/>
        <v>0.48444125878700361</v>
      </c>
      <c r="AI23" s="18">
        <f t="shared" si="9"/>
        <v>0.11453365068343042</v>
      </c>
      <c r="AJ23" s="18">
        <f t="shared" si="10"/>
        <v>8.3642777412962943E-2</v>
      </c>
      <c r="AK23" s="18">
        <f t="shared" si="11"/>
        <v>0.3698927057341182</v>
      </c>
      <c r="AL23" s="15">
        <f t="shared" si="12"/>
        <v>3689088</v>
      </c>
      <c r="AM23" s="18">
        <f t="shared" si="13"/>
        <v>0.47261353740253736</v>
      </c>
      <c r="AN23" s="19">
        <v>33015728</v>
      </c>
      <c r="AO23" s="19">
        <v>1031741.5</v>
      </c>
      <c r="AP23" s="19">
        <v>36525.53125</v>
      </c>
      <c r="AQ23" s="20">
        <v>15603680</v>
      </c>
      <c r="AR23" s="20">
        <v>2694104</v>
      </c>
      <c r="AS23" s="20">
        <v>994984</v>
      </c>
      <c r="AT23" s="20">
        <v>11914112</v>
      </c>
      <c r="AU23" s="21">
        <v>70.797381250000001</v>
      </c>
      <c r="AV23" s="21">
        <v>73.705390625000007</v>
      </c>
      <c r="AW23" s="21">
        <v>36.296262499999997</v>
      </c>
      <c r="AX23" s="21">
        <v>42.884687499999998</v>
      </c>
      <c r="AY23" s="21">
        <v>41.799809375000002</v>
      </c>
      <c r="AZ23" s="22">
        <v>4974.41</v>
      </c>
      <c r="BA23" s="22">
        <v>1292.97</v>
      </c>
      <c r="BB23" s="22">
        <v>6.1890000000000001</v>
      </c>
      <c r="BC23" s="22">
        <v>17.675000000000001</v>
      </c>
      <c r="BE23" s="23">
        <f t="shared" si="14"/>
        <v>0</v>
      </c>
      <c r="BF23" s="23">
        <f t="shared" si="15"/>
        <v>-1.2121466183567797E-7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8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42.041725</v>
      </c>
      <c r="J24" s="48">
        <f t="shared" si="1"/>
        <v>0.83536175796794765</v>
      </c>
      <c r="K24" s="48">
        <f t="shared" si="2"/>
        <v>0.16055018057790954</v>
      </c>
      <c r="L24" s="48">
        <f t="shared" si="3"/>
        <v>0.12965930730744207</v>
      </c>
      <c r="M24" s="48">
        <f t="shared" si="4"/>
        <v>0.67479692339340736</v>
      </c>
      <c r="N24" s="45">
        <f t="shared" si="5"/>
        <v>5171264</v>
      </c>
      <c r="O24" s="48">
        <f t="shared" si="6"/>
        <v>0.80606464945073941</v>
      </c>
      <c r="P24" s="49">
        <v>33380330</v>
      </c>
      <c r="Q24" s="49">
        <v>1043135.3125</v>
      </c>
      <c r="R24" s="49">
        <v>37738.625</v>
      </c>
      <c r="S24" s="50">
        <v>26906704</v>
      </c>
      <c r="T24" s="50">
        <v>4176280</v>
      </c>
      <c r="U24" s="50">
        <v>994984</v>
      </c>
      <c r="V24" s="50">
        <v>21734968</v>
      </c>
      <c r="W24" s="51">
        <v>71.497268750000003</v>
      </c>
      <c r="X24" s="51">
        <v>74.665240624999996</v>
      </c>
      <c r="Y24" s="51">
        <v>37.58619375</v>
      </c>
      <c r="Z24" s="51">
        <v>44.082262499999999</v>
      </c>
      <c r="AA24" s="51">
        <v>42.781740624999998</v>
      </c>
      <c r="AB24" s="52">
        <v>4910.76</v>
      </c>
      <c r="AC24" s="52">
        <v>1435.46</v>
      </c>
      <c r="AD24" s="52">
        <v>5.8280000000000003</v>
      </c>
      <c r="AE24" s="52">
        <v>18.187000000000001</v>
      </c>
      <c r="AG24" s="47">
        <f t="shared" si="7"/>
        <v>42.041737500000004</v>
      </c>
      <c r="AH24" s="48">
        <f t="shared" si="8"/>
        <v>0.83536200634077196</v>
      </c>
      <c r="AI24" s="48">
        <f t="shared" si="9"/>
        <v>0.16055018057790954</v>
      </c>
      <c r="AJ24" s="48">
        <f t="shared" si="10"/>
        <v>0.12965930730744207</v>
      </c>
      <c r="AK24" s="48">
        <f t="shared" si="11"/>
        <v>0.67479692339340736</v>
      </c>
      <c r="AL24" s="45">
        <f t="shared" si="12"/>
        <v>5171264</v>
      </c>
      <c r="AM24" s="48">
        <f t="shared" si="13"/>
        <v>0.8060648891128398</v>
      </c>
      <c r="AN24" s="49">
        <v>33380330</v>
      </c>
      <c r="AO24" s="49">
        <v>1043135.3125</v>
      </c>
      <c r="AP24" s="49">
        <v>37738.625</v>
      </c>
      <c r="AQ24" s="50">
        <v>26906712</v>
      </c>
      <c r="AR24" s="50">
        <v>4176280</v>
      </c>
      <c r="AS24" s="50">
        <v>994984</v>
      </c>
      <c r="AT24" s="50">
        <v>21734968</v>
      </c>
      <c r="AU24" s="51">
        <v>71.497268750000003</v>
      </c>
      <c r="AV24" s="51">
        <v>74.665240624999996</v>
      </c>
      <c r="AW24" s="51">
        <v>37.58619375</v>
      </c>
      <c r="AX24" s="51">
        <v>44.082262499999999</v>
      </c>
      <c r="AY24" s="51">
        <v>42.781740624999998</v>
      </c>
      <c r="AZ24" s="52">
        <v>5152.5600000000004</v>
      </c>
      <c r="BA24" s="52">
        <v>1468.07</v>
      </c>
      <c r="BB24" s="52">
        <v>5.7939999999999996</v>
      </c>
      <c r="BC24" s="52">
        <v>18.294</v>
      </c>
      <c r="BE24" s="53">
        <f t="shared" si="14"/>
        <v>0</v>
      </c>
      <c r="BF24" s="53">
        <f t="shared" si="15"/>
        <v>-5.7143332649056688E-8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8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4.6757249999999999</v>
      </c>
      <c r="J25" s="18">
        <f t="shared" si="1"/>
        <v>0.1970353828051444</v>
      </c>
      <c r="K25" s="18">
        <f t="shared" si="2"/>
        <v>6.8769751182898131E-2</v>
      </c>
      <c r="L25" s="18">
        <f t="shared" si="3"/>
        <v>3.6444734929999549E-2</v>
      </c>
      <c r="M25" s="18">
        <f t="shared" si="4"/>
        <v>0.12824698464089232</v>
      </c>
      <c r="N25" s="15">
        <f t="shared" si="5"/>
        <v>1740728</v>
      </c>
      <c r="O25" s="18">
        <f t="shared" si="6"/>
        <v>0.21627508804941201</v>
      </c>
      <c r="P25" s="19">
        <v>23060631</v>
      </c>
      <c r="Q25" s="19">
        <v>720644.71875</v>
      </c>
      <c r="R25" s="19">
        <v>17794.15625</v>
      </c>
      <c r="S25" s="20">
        <v>4987440</v>
      </c>
      <c r="T25" s="20">
        <v>922504</v>
      </c>
      <c r="U25" s="20">
        <v>818224</v>
      </c>
      <c r="V25" s="20">
        <v>3246240</v>
      </c>
      <c r="W25" s="21">
        <v>66.213971874999999</v>
      </c>
      <c r="X25" s="21">
        <v>68.123893749999993</v>
      </c>
      <c r="Y25" s="21">
        <v>27.491409375</v>
      </c>
      <c r="Z25" s="21">
        <v>33.278868750000001</v>
      </c>
      <c r="AA25" s="21">
        <v>32.699599999999997</v>
      </c>
      <c r="AB25" s="22">
        <v>4293.82</v>
      </c>
      <c r="AC25" s="22">
        <v>1019.42</v>
      </c>
      <c r="AD25" s="22">
        <v>4.843</v>
      </c>
      <c r="AE25" s="22">
        <v>17.338000000000001</v>
      </c>
      <c r="AG25" s="17">
        <f t="shared" si="7"/>
        <v>4.6757324999999996</v>
      </c>
      <c r="AH25" s="18">
        <f t="shared" si="8"/>
        <v>0.19703569885567584</v>
      </c>
      <c r="AI25" s="18">
        <f t="shared" si="9"/>
        <v>6.8769751182898131E-2</v>
      </c>
      <c r="AJ25" s="18">
        <f t="shared" si="10"/>
        <v>3.6444734929999549E-2</v>
      </c>
      <c r="AK25" s="18">
        <f t="shared" si="11"/>
        <v>0.12824698464089232</v>
      </c>
      <c r="AL25" s="15">
        <f t="shared" si="12"/>
        <v>1740728</v>
      </c>
      <c r="AM25" s="18">
        <f t="shared" si="13"/>
        <v>0.21627543496099477</v>
      </c>
      <c r="AN25" s="19">
        <v>23060631</v>
      </c>
      <c r="AO25" s="19">
        <v>720644.71875</v>
      </c>
      <c r="AP25" s="19">
        <v>17794.15625</v>
      </c>
      <c r="AQ25" s="20">
        <v>4987448</v>
      </c>
      <c r="AR25" s="20">
        <v>922504</v>
      </c>
      <c r="AS25" s="20">
        <v>818224</v>
      </c>
      <c r="AT25" s="20">
        <v>3246240</v>
      </c>
      <c r="AU25" s="21">
        <v>66.213971874999999</v>
      </c>
      <c r="AV25" s="21">
        <v>68.123893749999993</v>
      </c>
      <c r="AW25" s="21">
        <v>27.491409375</v>
      </c>
      <c r="AX25" s="21">
        <v>33.278868750000001</v>
      </c>
      <c r="AY25" s="21">
        <v>32.699599999999997</v>
      </c>
      <c r="AZ25" s="22">
        <v>3898.49</v>
      </c>
      <c r="BA25" s="22">
        <v>1191.3900000000001</v>
      </c>
      <c r="BB25" s="22">
        <v>5.2510000000000003</v>
      </c>
      <c r="BC25" s="22">
        <v>19.291</v>
      </c>
      <c r="BE25" s="23">
        <f t="shared" si="14"/>
        <v>0</v>
      </c>
      <c r="BF25" s="23">
        <f t="shared" si="15"/>
        <v>-5.598411759177857E-7</v>
      </c>
      <c r="BG25" s="23">
        <f t="array" ref="BG25">AVERAGE(AL25:AL29/AQ25:AQ29) - AVERAGE(N25:N29/S25:S29)</f>
        <v>-1.8362471868038632E-7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0</v>
      </c>
      <c r="BL25" s="24">
        <f>IF( OR(ISBLANK(V25:V29),ISBLANK(AT25:AT29), ISBLANK(Z25:Z29),ISBLANK(AX25:AX29)), "·", bdRateExtend( V25:V29,Z25:Z29, AT25:AT29,AX25:AX29))</f>
        <v>0</v>
      </c>
      <c r="BM25" s="24">
        <f>IF( OR(ISBLANK(V25:V29),ISBLANK(AT25:AT29), ISBLANK(AA25:AA29),ISBLANK(AY25:AY29)), "·", bdRateExtend( V25:V29,AA25:AA29, AT25:AT29,AY25:AY29))</f>
        <v>0</v>
      </c>
      <c r="BO25" s="24">
        <f>IF( OR(ISBLANK(S25:S29),ISBLANK(AQ25:AQ29), ISBLANK(W25:W29),ISBLANK(AU25:AU29)), "·", bdRateExtend( S25:S29,W25:W29, AQ25:AQ29,AU25:AU29))</f>
        <v>7.486696853575836E-7</v>
      </c>
      <c r="BP25" s="24">
        <f>IF( OR(ISBLANK(S25:S29),ISBLANK(AQ25:AQ29), ISBLANK(X25:X29),ISBLANK(AV25:AV29)), "·", bdRateExtend( S25:S29,X25:X29, AQ25:AQ29,AV25:AV29))</f>
        <v>7.1691850456190309E-7</v>
      </c>
      <c r="BQ25" s="24">
        <f>IF( OR(ISBLANK(S25:S29),ISBLANK(AQ25:AQ29), ISBLANK(Y25:Y29),ISBLANK(AW25:AW29)), "·", bdRateExtend( S25:S29,Y25:Y29, AQ25:AQ29,AW25:AW29))</f>
        <v>6.6727289405044132E-7</v>
      </c>
      <c r="BR25" s="24">
        <f>IF( OR(ISBLANK(S25:S29),ISBLANK(AQ25:AQ29), ISBLANK(Z25:Z29),ISBLANK(AX25:AX29)), "·", bdRateExtend( S25:S29,Z25:Z29, AQ25:AQ29,AX25:AX29))</f>
        <v>5.3436814528851073E-7</v>
      </c>
      <c r="BS25" s="24">
        <f>IF( OR(ISBLANK(S25:S29),ISBLANK(AQ25:AQ29), ISBLANK(AA25:AA29),ISBLANK(AY25:AY29)), "·", bdRateExtend( S25:S29,AA25:AA29, AQ25:AQ29,AY25:AY29))</f>
        <v>5.6790459224131951E-7</v>
      </c>
      <c r="BU25" s="4">
        <f t="shared" si="16"/>
        <v>8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8.0947125</v>
      </c>
      <c r="J26" s="28">
        <f t="shared" si="1"/>
        <v>0.34111175831236601</v>
      </c>
      <c r="K26" s="28">
        <f t="shared" si="2"/>
        <v>8.3279315030004256E-2</v>
      </c>
      <c r="L26" s="28">
        <f t="shared" si="3"/>
        <v>5.095429877710568E-2</v>
      </c>
      <c r="M26" s="28">
        <f t="shared" si="4"/>
        <v>0.25781379630100781</v>
      </c>
      <c r="N26" s="25">
        <f t="shared" si="5"/>
        <v>2108000</v>
      </c>
      <c r="O26" s="28">
        <f t="shared" si="6"/>
        <v>0.34444189933476899</v>
      </c>
      <c r="P26" s="29">
        <v>25067682</v>
      </c>
      <c r="Q26" s="29">
        <v>783365.0625</v>
      </c>
      <c r="R26" s="29">
        <v>23471.96875</v>
      </c>
      <c r="S26" s="30">
        <v>8634360</v>
      </c>
      <c r="T26" s="30">
        <v>1289776</v>
      </c>
      <c r="U26" s="30">
        <v>818224</v>
      </c>
      <c r="V26" s="30">
        <v>6525888</v>
      </c>
      <c r="W26" s="31">
        <v>68.024268750000005</v>
      </c>
      <c r="X26" s="31">
        <v>70.118606249999999</v>
      </c>
      <c r="Y26" s="31">
        <v>29.920506249999999</v>
      </c>
      <c r="Z26" s="31">
        <v>34.446249999999999</v>
      </c>
      <c r="AA26" s="31">
        <v>34.026671874999998</v>
      </c>
      <c r="AB26" s="32">
        <v>4148.92</v>
      </c>
      <c r="AC26" s="32">
        <v>1089.1300000000001</v>
      </c>
      <c r="AD26" s="32">
        <v>5.1529999999999996</v>
      </c>
      <c r="AE26" s="32">
        <v>17.838000000000001</v>
      </c>
      <c r="AG26" s="27">
        <f t="shared" si="7"/>
        <v>8.0947200000000006</v>
      </c>
      <c r="AH26" s="28">
        <f t="shared" si="8"/>
        <v>0.34111207436289742</v>
      </c>
      <c r="AI26" s="28">
        <f t="shared" si="9"/>
        <v>8.3279315030004256E-2</v>
      </c>
      <c r="AJ26" s="28">
        <f t="shared" si="10"/>
        <v>5.095429877710568E-2</v>
      </c>
      <c r="AK26" s="28">
        <f t="shared" si="11"/>
        <v>0.25781379630100781</v>
      </c>
      <c r="AL26" s="25">
        <f t="shared" si="12"/>
        <v>2108000</v>
      </c>
      <c r="AM26" s="28">
        <f t="shared" si="13"/>
        <v>0.34444221847077844</v>
      </c>
      <c r="AN26" s="29">
        <v>25067682</v>
      </c>
      <c r="AO26" s="29">
        <v>783365.0625</v>
      </c>
      <c r="AP26" s="29">
        <v>23471.96875</v>
      </c>
      <c r="AQ26" s="30">
        <v>8634368</v>
      </c>
      <c r="AR26" s="30">
        <v>1289776</v>
      </c>
      <c r="AS26" s="30">
        <v>818224</v>
      </c>
      <c r="AT26" s="30">
        <v>6525888</v>
      </c>
      <c r="AU26" s="31">
        <v>68.024268750000005</v>
      </c>
      <c r="AV26" s="31">
        <v>70.118606249999999</v>
      </c>
      <c r="AW26" s="31">
        <v>29.920506249999999</v>
      </c>
      <c r="AX26" s="31">
        <v>34.446249999999999</v>
      </c>
      <c r="AY26" s="31">
        <v>34.026671874999998</v>
      </c>
      <c r="AZ26" s="32">
        <v>3965.66</v>
      </c>
      <c r="BA26" s="32">
        <v>1312.16</v>
      </c>
      <c r="BB26" s="32">
        <v>6.0960000000000001</v>
      </c>
      <c r="BC26" s="32">
        <v>19.716999999999999</v>
      </c>
      <c r="BE26" s="33">
        <f t="shared" si="14"/>
        <v>0</v>
      </c>
      <c r="BF26" s="33">
        <f t="shared" si="15"/>
        <v>-2.2620379505622346E-7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8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14.684302499999999</v>
      </c>
      <c r="J27" s="18">
        <f t="shared" si="1"/>
        <v>0.61879754782713681</v>
      </c>
      <c r="K27" s="18">
        <f t="shared" si="2"/>
        <v>0.10432796437225569</v>
      </c>
      <c r="L27" s="18">
        <f t="shared" si="3"/>
        <v>7.2002948119357119E-2</v>
      </c>
      <c r="M27" s="18">
        <f t="shared" si="4"/>
        <v>0.51445093647352713</v>
      </c>
      <c r="N27" s="15">
        <f t="shared" si="5"/>
        <v>2640792</v>
      </c>
      <c r="O27" s="18">
        <f t="shared" si="6"/>
        <v>0.61789973777068274</v>
      </c>
      <c r="P27" s="19">
        <v>25349187</v>
      </c>
      <c r="Q27" s="19">
        <v>792162.09375</v>
      </c>
      <c r="R27" s="19">
        <v>24713.28125</v>
      </c>
      <c r="S27" s="20">
        <v>15663256</v>
      </c>
      <c r="T27" s="20">
        <v>1822568</v>
      </c>
      <c r="U27" s="20">
        <v>818224</v>
      </c>
      <c r="V27" s="20">
        <v>13021992</v>
      </c>
      <c r="W27" s="21">
        <v>69.399496874999997</v>
      </c>
      <c r="X27" s="21">
        <v>71.923853124999994</v>
      </c>
      <c r="Y27" s="21">
        <v>32.419096875000001</v>
      </c>
      <c r="Z27" s="21">
        <v>35.707549999999998</v>
      </c>
      <c r="AA27" s="21">
        <v>35.368006250000001</v>
      </c>
      <c r="AB27" s="22">
        <v>4155.93</v>
      </c>
      <c r="AC27" s="22">
        <v>1185.53</v>
      </c>
      <c r="AD27" s="22">
        <v>4.984</v>
      </c>
      <c r="AE27" s="22">
        <v>17.696999999999999</v>
      </c>
      <c r="AG27" s="17">
        <f t="shared" si="7"/>
        <v>14.68431</v>
      </c>
      <c r="AH27" s="18">
        <f t="shared" si="8"/>
        <v>0.61879786387766822</v>
      </c>
      <c r="AI27" s="18">
        <f t="shared" si="9"/>
        <v>0.10432796437225569</v>
      </c>
      <c r="AJ27" s="18">
        <f t="shared" si="10"/>
        <v>7.2002948119357119E-2</v>
      </c>
      <c r="AK27" s="18">
        <f t="shared" si="11"/>
        <v>0.51445093647352713</v>
      </c>
      <c r="AL27" s="15">
        <f t="shared" si="12"/>
        <v>2640792</v>
      </c>
      <c r="AM27" s="18">
        <f t="shared" si="13"/>
        <v>0.61790005336265819</v>
      </c>
      <c r="AN27" s="19">
        <v>25349187</v>
      </c>
      <c r="AO27" s="19">
        <v>792162.09375</v>
      </c>
      <c r="AP27" s="19">
        <v>24713.28125</v>
      </c>
      <c r="AQ27" s="20">
        <v>15663264</v>
      </c>
      <c r="AR27" s="20">
        <v>1822568</v>
      </c>
      <c r="AS27" s="20">
        <v>818224</v>
      </c>
      <c r="AT27" s="20">
        <v>13021992</v>
      </c>
      <c r="AU27" s="21">
        <v>69.399496874999997</v>
      </c>
      <c r="AV27" s="21">
        <v>71.923853124999994</v>
      </c>
      <c r="AW27" s="21">
        <v>32.419096875000001</v>
      </c>
      <c r="AX27" s="21">
        <v>35.707549999999998</v>
      </c>
      <c r="AY27" s="21">
        <v>35.368006250000001</v>
      </c>
      <c r="AZ27" s="22">
        <v>4029.18</v>
      </c>
      <c r="BA27" s="22">
        <v>1399.43</v>
      </c>
      <c r="BB27" s="22">
        <v>5.4790000000000001</v>
      </c>
      <c r="BC27" s="22">
        <v>19.242999999999999</v>
      </c>
      <c r="BE27" s="23">
        <f t="shared" si="14"/>
        <v>0</v>
      </c>
      <c r="BF27" s="23">
        <f t="shared" si="15"/>
        <v>-8.6111245078956955E-8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8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27.911145000000001</v>
      </c>
      <c r="J28" s="28">
        <f t="shared" si="1"/>
        <v>1.1761776279838725</v>
      </c>
      <c r="K28" s="28">
        <f t="shared" si="2"/>
        <v>0.13937954855974194</v>
      </c>
      <c r="L28" s="28">
        <f t="shared" si="3"/>
        <v>0.10705453230684335</v>
      </c>
      <c r="M28" s="28">
        <f t="shared" si="4"/>
        <v>1.0367794324427766</v>
      </c>
      <c r="N28" s="25">
        <f t="shared" si="5"/>
        <v>3528032</v>
      </c>
      <c r="O28" s="28">
        <f t="shared" si="6"/>
        <v>1.1322783921434219</v>
      </c>
      <c r="P28" s="29">
        <v>26293788</v>
      </c>
      <c r="Q28" s="29">
        <v>821680.875</v>
      </c>
      <c r="R28" s="29">
        <v>28168.09375</v>
      </c>
      <c r="S28" s="30">
        <v>29771888</v>
      </c>
      <c r="T28" s="30">
        <v>2709808</v>
      </c>
      <c r="U28" s="30">
        <v>818224</v>
      </c>
      <c r="V28" s="30">
        <v>26243384</v>
      </c>
      <c r="W28" s="31">
        <v>70.456653125000003</v>
      </c>
      <c r="X28" s="31">
        <v>73.272515624999997</v>
      </c>
      <c r="Y28" s="31">
        <v>34.892353125</v>
      </c>
      <c r="Z28" s="31">
        <v>37.535249999999998</v>
      </c>
      <c r="AA28" s="31">
        <v>37.146465624999998</v>
      </c>
      <c r="AB28" s="32">
        <v>4001.83</v>
      </c>
      <c r="AC28" s="32">
        <v>1422.96</v>
      </c>
      <c r="AD28" s="32">
        <v>5.0979999999999999</v>
      </c>
      <c r="AE28" s="32">
        <v>19.164999999999999</v>
      </c>
      <c r="AG28" s="27">
        <f t="shared" si="7"/>
        <v>27.9111525</v>
      </c>
      <c r="AH28" s="28">
        <f t="shared" si="8"/>
        <v>1.176177944034404</v>
      </c>
      <c r="AI28" s="28">
        <f t="shared" si="9"/>
        <v>0.13937954855974194</v>
      </c>
      <c r="AJ28" s="28">
        <f t="shared" si="10"/>
        <v>0.10705453230684335</v>
      </c>
      <c r="AK28" s="28">
        <f t="shared" si="11"/>
        <v>1.0367794324427766</v>
      </c>
      <c r="AL28" s="25">
        <f t="shared" si="12"/>
        <v>3528032</v>
      </c>
      <c r="AM28" s="28">
        <f t="shared" si="13"/>
        <v>1.1322786963977955</v>
      </c>
      <c r="AN28" s="29">
        <v>26293788</v>
      </c>
      <c r="AO28" s="29">
        <v>821680.875</v>
      </c>
      <c r="AP28" s="29">
        <v>28168.09375</v>
      </c>
      <c r="AQ28" s="30">
        <v>29771896</v>
      </c>
      <c r="AR28" s="30">
        <v>2709808</v>
      </c>
      <c r="AS28" s="30">
        <v>818224</v>
      </c>
      <c r="AT28" s="30">
        <v>26243384</v>
      </c>
      <c r="AU28" s="31">
        <v>70.456653125000003</v>
      </c>
      <c r="AV28" s="31">
        <v>73.272515624999997</v>
      </c>
      <c r="AW28" s="31">
        <v>34.892353125</v>
      </c>
      <c r="AX28" s="31">
        <v>37.535249999999998</v>
      </c>
      <c r="AY28" s="31">
        <v>37.146465624999998</v>
      </c>
      <c r="AZ28" s="32">
        <v>3982.8</v>
      </c>
      <c r="BA28" s="32">
        <v>1640.6</v>
      </c>
      <c r="BB28" s="32">
        <v>5.6230000000000002</v>
      </c>
      <c r="BC28" s="32">
        <v>20.058</v>
      </c>
      <c r="BE28" s="33">
        <f t="shared" si="14"/>
        <v>0</v>
      </c>
      <c r="BF28" s="33">
        <f t="shared" si="15"/>
        <v>-3.1842681491589531E-8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8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49.775152499999997</v>
      </c>
      <c r="J29" s="38">
        <f t="shared" si="1"/>
        <v>2.0975284532392178</v>
      </c>
      <c r="K29" s="38">
        <f t="shared" si="2"/>
        <v>0.19662483316482574</v>
      </c>
      <c r="L29" s="38">
        <f t="shared" si="3"/>
        <v>0.16429981691192716</v>
      </c>
      <c r="M29" s="38">
        <f t="shared" si="4"/>
        <v>1.9008849730930379</v>
      </c>
      <c r="N29" s="35">
        <f t="shared" si="5"/>
        <v>4977048</v>
      </c>
      <c r="O29" s="38">
        <f t="shared" si="6"/>
        <v>2.0027673260878593</v>
      </c>
      <c r="P29" s="39">
        <v>26510067</v>
      </c>
      <c r="Q29" s="39">
        <v>828439.59375</v>
      </c>
      <c r="R29" s="39">
        <v>29877.40625</v>
      </c>
      <c r="S29" s="40">
        <v>53093496</v>
      </c>
      <c r="T29" s="40">
        <v>4158824</v>
      </c>
      <c r="U29" s="40">
        <v>818224</v>
      </c>
      <c r="V29" s="40">
        <v>48115976</v>
      </c>
      <c r="W29" s="41">
        <v>71.332890625000005</v>
      </c>
      <c r="X29" s="41">
        <v>74.419128125</v>
      </c>
      <c r="Y29" s="41">
        <v>36.561346874999998</v>
      </c>
      <c r="Z29" s="41">
        <v>39.684590624999998</v>
      </c>
      <c r="AA29" s="41">
        <v>39.094140625000001</v>
      </c>
      <c r="AB29" s="42">
        <v>4197.62</v>
      </c>
      <c r="AC29" s="42">
        <v>1634.6</v>
      </c>
      <c r="AD29" s="42">
        <v>5.12</v>
      </c>
      <c r="AE29" s="42">
        <v>20.428000000000001</v>
      </c>
      <c r="AG29" s="37">
        <f t="shared" si="7"/>
        <v>49.77516</v>
      </c>
      <c r="AH29" s="38">
        <f t="shared" si="8"/>
        <v>2.0975287692897493</v>
      </c>
      <c r="AI29" s="38">
        <f t="shared" si="9"/>
        <v>0.19662483316482574</v>
      </c>
      <c r="AJ29" s="38">
        <f t="shared" si="10"/>
        <v>0.16429981691192716</v>
      </c>
      <c r="AK29" s="38">
        <f t="shared" si="11"/>
        <v>1.9008849730930379</v>
      </c>
      <c r="AL29" s="35">
        <f t="shared" si="12"/>
        <v>4977048</v>
      </c>
      <c r="AM29" s="38">
        <f t="shared" si="13"/>
        <v>2.0027676278600124</v>
      </c>
      <c r="AN29" s="39">
        <v>26510067</v>
      </c>
      <c r="AO29" s="39">
        <v>828439.59375</v>
      </c>
      <c r="AP29" s="39">
        <v>29877.40625</v>
      </c>
      <c r="AQ29" s="40">
        <v>53093504</v>
      </c>
      <c r="AR29" s="40">
        <v>4158824</v>
      </c>
      <c r="AS29" s="40">
        <v>818224</v>
      </c>
      <c r="AT29" s="40">
        <v>48115976</v>
      </c>
      <c r="AU29" s="41">
        <v>71.332890625000005</v>
      </c>
      <c r="AV29" s="41">
        <v>74.419128125</v>
      </c>
      <c r="AW29" s="41">
        <v>36.561346874999998</v>
      </c>
      <c r="AX29" s="41">
        <v>39.684590624999998</v>
      </c>
      <c r="AY29" s="41">
        <v>39.094140625000001</v>
      </c>
      <c r="AZ29" s="42">
        <v>3790.87</v>
      </c>
      <c r="BA29" s="42">
        <v>2006.16</v>
      </c>
      <c r="BB29" s="42">
        <v>5.35</v>
      </c>
      <c r="BC29" s="42">
        <v>20.323</v>
      </c>
      <c r="BE29" s="43">
        <f t="shared" si="14"/>
        <v>0</v>
      </c>
      <c r="BF29" s="43">
        <f t="shared" si="15"/>
        <v>-1.4124695857375968E-8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8</v>
      </c>
    </row>
    <row r="30" spans="1:73" x14ac:dyDescent="0.3">
      <c r="B30" s="55" t="s">
        <v>288</v>
      </c>
      <c r="J30" s="56">
        <f>AVERAGE(J5:J24)</f>
        <v>0.43370607908120745</v>
      </c>
      <c r="K30" s="56">
        <f>AVERAGE(K5:K24)</f>
        <v>0.11697018347321328</v>
      </c>
      <c r="L30" s="56">
        <f>AVERAGE(L5:L24)</f>
        <v>8.2428649783979929E-2</v>
      </c>
      <c r="M30" s="56">
        <f>AVERAGE(M5:M24)</f>
        <v>0.31671882082186048</v>
      </c>
      <c r="AH30" s="56">
        <f>AVERAGE(AH5:AH24)</f>
        <v>0.43370636848436223</v>
      </c>
      <c r="AI30" s="56">
        <f>AVERAGE(AI5:AI24)</f>
        <v>0.11697018347321328</v>
      </c>
      <c r="AJ30" s="56">
        <f>AVERAGE(AJ5:AJ24)</f>
        <v>8.2428649783979929E-2</v>
      </c>
      <c r="AK30" s="56">
        <f>AVERAGE(AK5:AK24)</f>
        <v>0.31671882082186048</v>
      </c>
      <c r="BG30" s="8">
        <f>AVERAGE(BG5:BG24)</f>
        <v>-5.2735722115559991E-7</v>
      </c>
      <c r="BI30" s="5">
        <f>AVERAGE(BI5:BI24)</f>
        <v>0</v>
      </c>
      <c r="BJ30" s="5">
        <f>AVERAGE(BJ5:BJ24)</f>
        <v>0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1.2782397572630444E-6</v>
      </c>
      <c r="BP30" s="5">
        <f>AVERAGE(BP5:BP24)</f>
        <v>1.2379276780882797E-6</v>
      </c>
      <c r="BQ30" s="5">
        <f>AVERAGE(BQ5:BQ24)</f>
        <v>1.1006706189808924E-6</v>
      </c>
      <c r="BR30" s="5">
        <f>AVERAGE(BR5:BR24)</f>
        <v>1.0132165680354355E-6</v>
      </c>
      <c r="BS30" s="5">
        <f>AVERAGE(BS5:BS24)</f>
        <v>1.0570514884511439E-6</v>
      </c>
    </row>
    <row r="31" spans="1:73" x14ac:dyDescent="0.3">
      <c r="B31" s="55" t="s">
        <v>289</v>
      </c>
      <c r="J31" s="56">
        <f>AVERAGE(J25:J29)</f>
        <v>0.88613015403354756</v>
      </c>
      <c r="K31" s="56">
        <f>AVERAGE(K25:K29)</f>
        <v>0.11847628246194515</v>
      </c>
      <c r="L31" s="56">
        <f>AVERAGE(L25:L29)</f>
        <v>8.6151266209046562E-2</v>
      </c>
      <c r="M31" s="56">
        <f>AVERAGE(M25:M29)</f>
        <v>0.76763522459024836</v>
      </c>
      <c r="AH31" s="56">
        <f>AVERAGE(AH25:AH29)</f>
        <v>0.88613047008407908</v>
      </c>
      <c r="AI31" s="56">
        <f>AVERAGE(AI25:AI29)</f>
        <v>0.11847628246194515</v>
      </c>
      <c r="AJ31" s="56">
        <f>AVERAGE(AJ25:AJ29)</f>
        <v>8.6151266209046562E-2</v>
      </c>
      <c r="AK31" s="56">
        <f>AVERAGE(AK25:AK29)</f>
        <v>0.76763522459024836</v>
      </c>
      <c r="BG31" s="8">
        <f>AVERAGE(BG25:BG29)</f>
        <v>-1.8362471868038632E-7</v>
      </c>
      <c r="BI31" s="5">
        <f>AVERAGE(BI25:BI29)</f>
        <v>0</v>
      </c>
      <c r="BJ31" s="5">
        <f>AVERAGE(BJ25:BJ29)</f>
        <v>0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7.486696853575836E-7</v>
      </c>
      <c r="BP31" s="5">
        <f>AVERAGE(BP25:BP29)</f>
        <v>7.1691850456190309E-7</v>
      </c>
      <c r="BQ31" s="5">
        <f>AVERAGE(BQ25:BQ29)</f>
        <v>6.6727289405044132E-7</v>
      </c>
      <c r="BR31" s="5">
        <f>AVERAGE(BR25:BR29)</f>
        <v>5.3436814528851073E-7</v>
      </c>
      <c r="BS31" s="5">
        <f>AVERAGE(BS25:BS29)</f>
        <v>5.6790459224131951E-7</v>
      </c>
    </row>
    <row r="32" spans="1:73" collapsed="1" x14ac:dyDescent="0.3">
      <c r="B32" s="55" t="s">
        <v>290</v>
      </c>
      <c r="J32" s="56">
        <f>AVERAGE(J5:J29)</f>
        <v>0.52419089407167541</v>
      </c>
      <c r="K32" s="56">
        <f>AVERAGE(K5:K29)</f>
        <v>0.11727140327095968</v>
      </c>
      <c r="L32" s="56">
        <f>AVERAGE(L5:L29)</f>
        <v>8.3173173068993245E-2</v>
      </c>
      <c r="M32" s="56">
        <f>AVERAGE(M5:M29)</f>
        <v>0.40690210157553808</v>
      </c>
      <c r="AH32" s="56">
        <f>AVERAGE(AH5:AH29)</f>
        <v>0.52419118880430549</v>
      </c>
      <c r="AI32" s="56">
        <f>AVERAGE(AI5:AI29)</f>
        <v>0.11727140327095968</v>
      </c>
      <c r="AJ32" s="56">
        <f>AVERAGE(AJ5:AJ29)</f>
        <v>8.3173173068993245E-2</v>
      </c>
      <c r="AK32" s="56">
        <f>AVERAGE(AK5:AK29)</f>
        <v>0.40690210157553808</v>
      </c>
      <c r="BG32" s="8">
        <f>AVERAGE(BG5:BG29)</f>
        <v>-4.5861072066055718E-7</v>
      </c>
      <c r="BI32" s="5">
        <f>AVERAGE(BI5:BI29)</f>
        <v>0</v>
      </c>
      <c r="BJ32" s="5">
        <f>AVERAGE(BJ5:BJ29)</f>
        <v>0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1.1723257428819523E-6</v>
      </c>
      <c r="BP32" s="5">
        <f>AVERAGE(BP5:BP29)</f>
        <v>1.1337258433830045E-6</v>
      </c>
      <c r="BQ32" s="5">
        <f>AVERAGE(BQ5:BQ29)</f>
        <v>1.0139910739948022E-6</v>
      </c>
      <c r="BR32" s="5">
        <f>AVERAGE(BR5:BR29)</f>
        <v>9.174468834860505E-7</v>
      </c>
      <c r="BS32" s="5">
        <f>AVERAGE(BS5:BS29)</f>
        <v>9.5922210920917914E-7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112907.33</v>
      </c>
      <c r="AC33" s="57">
        <f>SUM(AC5:AC24,AC25:AC29)</f>
        <v>28658.907999999996</v>
      </c>
      <c r="AD33" s="57">
        <f>SUM(AD5:AD24,AD25:AD29)</f>
        <v>135.71300000000002</v>
      </c>
      <c r="AE33" s="57">
        <f>SUM(AE5:AE24,AE25:AE29)</f>
        <v>427.08400000000006</v>
      </c>
      <c r="AZ33" s="57">
        <f>SUM(AZ5:AZ24,AZ25:AZ29)</f>
        <v>107925.08000000002</v>
      </c>
      <c r="BA33" s="57">
        <f>SUM(BA5:BA24,BA25:BA29)</f>
        <v>33424.728999999999</v>
      </c>
      <c r="BB33" s="57">
        <f>SUM(BB5:BB24,BB25:BB29)</f>
        <v>159.44</v>
      </c>
      <c r="BC33" s="57">
        <f>SUM(BC5:BC24,BC25:BC29)</f>
        <v>468.18199999999985</v>
      </c>
    </row>
    <row r="34" spans="1:55" hidden="1" outlineLevel="2" x14ac:dyDescent="0.3">
      <c r="B34" s="55" t="s">
        <v>293</v>
      </c>
      <c r="AZ34" s="8">
        <f>AZ33/AB33</f>
        <v>0.95587310407570536</v>
      </c>
      <c r="BA34" s="8">
        <f>BA33/AC33</f>
        <v>1.1662945775882321</v>
      </c>
      <c r="BB34" s="8">
        <f>BB33/AD33</f>
        <v>1.1748321826206773</v>
      </c>
      <c r="BC34" s="8">
        <f>BC33/AE33</f>
        <v>1.0962293132030227</v>
      </c>
    </row>
    <row r="35" spans="1:55" hidden="1" outlineLevel="2" x14ac:dyDescent="0.3">
      <c r="B35" s="55" t="s">
        <v>294</v>
      </c>
      <c r="AB35" s="57">
        <f>GEOMEAN(AB5:AB24,AB25:AB29)</f>
        <v>4481.7565776080637</v>
      </c>
      <c r="AC35" s="57">
        <f>GEOMEAN(AC5:AC24,AC25:AC29)</f>
        <v>1129.4437822297925</v>
      </c>
      <c r="AD35" s="57">
        <f>GEOMEAN(AD5:AD24,AD25:AD29)</f>
        <v>5.3741938084206211</v>
      </c>
      <c r="AE35" s="57">
        <f>GEOMEAN(AE5:AE24,AE25:AE29)</f>
        <v>17.015466658999472</v>
      </c>
      <c r="AZ35" s="57">
        <f>GEOMEAN(AZ5:AZ24,AZ25:AZ29)</f>
        <v>4260.2268196986752</v>
      </c>
      <c r="BA35" s="57">
        <f>GEOMEAN(BA5:BA24,BA25:BA29)</f>
        <v>1318.1256894835633</v>
      </c>
      <c r="BB35" s="57">
        <f>GEOMEAN(BB5:BB24,BB25:BB29)</f>
        <v>6.3300575895893827</v>
      </c>
      <c r="BC35" s="57">
        <f>GEOMEAN(BC5:BC24,BC25:BC29)</f>
        <v>18.667130620119071</v>
      </c>
    </row>
    <row r="36" spans="1:55" outlineLevel="2" collapsed="1" x14ac:dyDescent="0.3">
      <c r="B36" s="55" t="s">
        <v>295</v>
      </c>
      <c r="AZ36" s="8">
        <f>AZ35/AB35</f>
        <v>0.95057077418791447</v>
      </c>
      <c r="BA36" s="8">
        <f>BA35/AC35</f>
        <v>1.1670573694967512</v>
      </c>
      <c r="BB36" s="8">
        <f>BB35/AD35</f>
        <v>1.1778617994146499</v>
      </c>
      <c r="BC36" s="8">
        <f>BC35/AE35</f>
        <v>1.0970683904367697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RowHeight="14.4" x14ac:dyDescent="0.3"/>
  <sheetData>
    <row r="1" spans="1:2" x14ac:dyDescent="0.3">
      <c r="A1" t="s">
        <v>95</v>
      </c>
      <c r="B1">
        <v>1</v>
      </c>
    </row>
    <row r="2" spans="1:2" x14ac:dyDescent="0.3">
      <c r="A2" t="s">
        <v>98</v>
      </c>
      <c r="B2">
        <v>2</v>
      </c>
    </row>
    <row r="3" spans="1:2" x14ac:dyDescent="0.3">
      <c r="A3" t="s">
        <v>101</v>
      </c>
      <c r="B3">
        <v>3</v>
      </c>
    </row>
    <row r="4" spans="1:2" x14ac:dyDescent="0.3">
      <c r="A4" t="s">
        <v>104</v>
      </c>
      <c r="B4">
        <v>4</v>
      </c>
    </row>
    <row r="5" spans="1:2" x14ac:dyDescent="0.3">
      <c r="A5" t="s">
        <v>107</v>
      </c>
      <c r="B5">
        <v>5</v>
      </c>
    </row>
    <row r="6" spans="1:2" x14ac:dyDescent="0.3">
      <c r="A6" t="s">
        <v>110</v>
      </c>
      <c r="B6">
        <v>6</v>
      </c>
    </row>
    <row r="7" spans="1:2" x14ac:dyDescent="0.3">
      <c r="A7" t="s">
        <v>113</v>
      </c>
      <c r="B7">
        <v>7</v>
      </c>
    </row>
    <row r="8" spans="1:2" x14ac:dyDescent="0.3">
      <c r="A8" t="s">
        <v>116</v>
      </c>
      <c r="B8">
        <v>9</v>
      </c>
    </row>
    <row r="9" spans="1:2" x14ac:dyDescent="0.3">
      <c r="A9" t="s">
        <v>120</v>
      </c>
      <c r="B9">
        <v>10</v>
      </c>
    </row>
    <row r="10" spans="1:2" x14ac:dyDescent="0.3">
      <c r="A10" t="s">
        <v>123</v>
      </c>
      <c r="B10">
        <v>11</v>
      </c>
    </row>
    <row r="11" spans="1:2" x14ac:dyDescent="0.3">
      <c r="A11" t="s">
        <v>126</v>
      </c>
      <c r="B11">
        <v>12</v>
      </c>
    </row>
    <row r="12" spans="1:2" x14ac:dyDescent="0.3">
      <c r="A12" t="s">
        <v>129</v>
      </c>
      <c r="B12">
        <v>13</v>
      </c>
    </row>
    <row r="13" spans="1:2" x14ac:dyDescent="0.3">
      <c r="A13" t="s">
        <v>132</v>
      </c>
      <c r="B13">
        <v>14</v>
      </c>
    </row>
    <row r="14" spans="1:2" x14ac:dyDescent="0.3">
      <c r="A14" t="s">
        <v>135</v>
      </c>
      <c r="B14">
        <v>15</v>
      </c>
    </row>
    <row r="15" spans="1:2" x14ac:dyDescent="0.3">
      <c r="A15" t="s">
        <v>137</v>
      </c>
      <c r="B15">
        <v>16</v>
      </c>
    </row>
    <row r="16" spans="1:2" x14ac:dyDescent="0.3">
      <c r="A16" t="s">
        <v>139</v>
      </c>
      <c r="B16">
        <v>17</v>
      </c>
    </row>
    <row r="17" spans="1:2" x14ac:dyDescent="0.3">
      <c r="A17" t="s">
        <v>141</v>
      </c>
      <c r="B17">
        <v>18</v>
      </c>
    </row>
    <row r="18" spans="1:2" x14ac:dyDescent="0.3">
      <c r="A18" t="s">
        <v>144</v>
      </c>
      <c r="B18">
        <v>19</v>
      </c>
    </row>
    <row r="19" spans="1:2" x14ac:dyDescent="0.3">
      <c r="A19" t="s">
        <v>146</v>
      </c>
      <c r="B19">
        <v>20</v>
      </c>
    </row>
    <row r="20" spans="1:2" x14ac:dyDescent="0.3">
      <c r="A20" t="s">
        <v>149</v>
      </c>
      <c r="B20">
        <v>21</v>
      </c>
    </row>
    <row r="21" spans="1:2" x14ac:dyDescent="0.3">
      <c r="A21" t="s">
        <v>152</v>
      </c>
      <c r="B21">
        <v>22</v>
      </c>
    </row>
    <row r="22" spans="1:2" x14ac:dyDescent="0.3">
      <c r="A22" t="s">
        <v>156</v>
      </c>
      <c r="B22">
        <v>23</v>
      </c>
    </row>
    <row r="23" spans="1:2" x14ac:dyDescent="0.3">
      <c r="A23" t="s">
        <v>159</v>
      </c>
      <c r="B23">
        <v>24</v>
      </c>
    </row>
    <row r="24" spans="1:2" x14ac:dyDescent="0.3">
      <c r="A24" t="s">
        <v>163</v>
      </c>
      <c r="B24">
        <v>25</v>
      </c>
    </row>
    <row r="25" spans="1:2" x14ac:dyDescent="0.3">
      <c r="A25" t="s">
        <v>166</v>
      </c>
      <c r="B25">
        <v>26</v>
      </c>
    </row>
    <row r="26" spans="1:2" x14ac:dyDescent="0.3">
      <c r="A26" t="s">
        <v>169</v>
      </c>
      <c r="B26">
        <v>27</v>
      </c>
    </row>
    <row r="27" spans="1:2" x14ac:dyDescent="0.3">
      <c r="A27" t="s">
        <v>173</v>
      </c>
      <c r="B27">
        <v>28</v>
      </c>
    </row>
    <row r="28" spans="1:2" x14ac:dyDescent="0.3">
      <c r="A28" t="s">
        <v>176</v>
      </c>
      <c r="B28">
        <v>29</v>
      </c>
    </row>
    <row r="29" spans="1:2" x14ac:dyDescent="0.3">
      <c r="A29" t="s">
        <v>179</v>
      </c>
      <c r="B29">
        <v>30</v>
      </c>
    </row>
    <row r="30" spans="1:2" x14ac:dyDescent="0.3">
      <c r="A30" t="s">
        <v>181</v>
      </c>
      <c r="B30">
        <v>31</v>
      </c>
    </row>
    <row r="31" spans="1:2" x14ac:dyDescent="0.3">
      <c r="A31" t="s">
        <v>183</v>
      </c>
      <c r="B31">
        <v>33</v>
      </c>
    </row>
    <row r="32" spans="1:2" x14ac:dyDescent="0.3">
      <c r="A32" t="s">
        <v>185</v>
      </c>
      <c r="B32">
        <v>34</v>
      </c>
    </row>
    <row r="33" spans="1:2" x14ac:dyDescent="0.3">
      <c r="A33" t="s">
        <v>187</v>
      </c>
      <c r="B33">
        <v>35</v>
      </c>
    </row>
    <row r="34" spans="1:2" x14ac:dyDescent="0.3">
      <c r="A34" t="s">
        <v>189</v>
      </c>
      <c r="B34">
        <v>36</v>
      </c>
    </row>
    <row r="35" spans="1:2" x14ac:dyDescent="0.3">
      <c r="A35" t="s">
        <v>191</v>
      </c>
      <c r="B35">
        <v>37</v>
      </c>
    </row>
    <row r="36" spans="1:2" x14ac:dyDescent="0.3">
      <c r="A36" t="s">
        <v>194</v>
      </c>
      <c r="B36">
        <v>38</v>
      </c>
    </row>
    <row r="37" spans="1:2" x14ac:dyDescent="0.3">
      <c r="A37" t="s">
        <v>196</v>
      </c>
      <c r="B37">
        <v>39</v>
      </c>
    </row>
    <row r="38" spans="1:2" x14ac:dyDescent="0.3">
      <c r="A38" t="s">
        <v>198</v>
      </c>
      <c r="B38">
        <v>40</v>
      </c>
    </row>
    <row r="39" spans="1:2" x14ac:dyDescent="0.3">
      <c r="A39" t="s">
        <v>200</v>
      </c>
      <c r="B39">
        <v>41</v>
      </c>
    </row>
    <row r="40" spans="1:2" x14ac:dyDescent="0.3">
      <c r="A40" t="s">
        <v>202</v>
      </c>
      <c r="B40">
        <v>42</v>
      </c>
    </row>
    <row r="41" spans="1:2" x14ac:dyDescent="0.3">
      <c r="A41" t="s">
        <v>204</v>
      </c>
      <c r="B41">
        <v>43</v>
      </c>
    </row>
    <row r="42" spans="1:2" x14ac:dyDescent="0.3">
      <c r="A42" t="s">
        <v>206</v>
      </c>
      <c r="B42">
        <v>44</v>
      </c>
    </row>
    <row r="43" spans="1:2" x14ac:dyDescent="0.3">
      <c r="A43" t="s">
        <v>208</v>
      </c>
      <c r="B43">
        <v>45</v>
      </c>
    </row>
    <row r="44" spans="1:2" x14ac:dyDescent="0.3">
      <c r="A44" t="s">
        <v>210</v>
      </c>
      <c r="B44">
        <v>46</v>
      </c>
    </row>
    <row r="45" spans="1:2" x14ac:dyDescent="0.3">
      <c r="A45" t="s">
        <v>212</v>
      </c>
      <c r="B45">
        <v>47</v>
      </c>
    </row>
    <row r="46" spans="1:2" x14ac:dyDescent="0.3">
      <c r="A46" t="s">
        <v>214</v>
      </c>
      <c r="B46">
        <v>48</v>
      </c>
    </row>
    <row r="47" spans="1:2" x14ac:dyDescent="0.3">
      <c r="A47" t="s">
        <v>216</v>
      </c>
      <c r="B47">
        <v>49</v>
      </c>
    </row>
    <row r="48" spans="1:2" x14ac:dyDescent="0.3">
      <c r="A48" t="s">
        <v>218</v>
      </c>
      <c r="B48">
        <v>50</v>
      </c>
    </row>
    <row r="49" spans="1:2" x14ac:dyDescent="0.3">
      <c r="A49" t="s">
        <v>220</v>
      </c>
      <c r="B49">
        <v>51</v>
      </c>
    </row>
    <row r="50" spans="1:2" x14ac:dyDescent="0.3">
      <c r="A50" t="s">
        <v>222</v>
      </c>
      <c r="B50">
        <v>52</v>
      </c>
    </row>
    <row r="51" spans="1:2" x14ac:dyDescent="0.3">
      <c r="A51" t="s">
        <v>224</v>
      </c>
      <c r="B51">
        <v>53</v>
      </c>
    </row>
    <row r="52" spans="1:2" x14ac:dyDescent="0.3">
      <c r="A52" t="s">
        <v>226</v>
      </c>
      <c r="B52">
        <v>54</v>
      </c>
    </row>
    <row r="53" spans="1:2" x14ac:dyDescent="0.3">
      <c r="A53" t="s">
        <v>228</v>
      </c>
      <c r="B53">
        <v>55</v>
      </c>
    </row>
    <row r="54" spans="1:2" x14ac:dyDescent="0.3">
      <c r="A54" t="s">
        <v>231</v>
      </c>
      <c r="B54">
        <v>57</v>
      </c>
    </row>
    <row r="55" spans="1:2" x14ac:dyDescent="0.3">
      <c r="A55" t="s">
        <v>234</v>
      </c>
      <c r="B55">
        <v>58</v>
      </c>
    </row>
    <row r="56" spans="1:2" x14ac:dyDescent="0.3">
      <c r="A56" t="s">
        <v>236</v>
      </c>
      <c r="B56">
        <v>59</v>
      </c>
    </row>
    <row r="57" spans="1:2" x14ac:dyDescent="0.3">
      <c r="A57" t="s">
        <v>239</v>
      </c>
      <c r="B57">
        <v>61</v>
      </c>
    </row>
    <row r="58" spans="1:2" x14ac:dyDescent="0.3">
      <c r="A58" t="s">
        <v>241</v>
      </c>
      <c r="B58">
        <v>62</v>
      </c>
    </row>
    <row r="59" spans="1:2" x14ac:dyDescent="0.3">
      <c r="A59" t="s">
        <v>244</v>
      </c>
      <c r="B59">
        <v>63</v>
      </c>
    </row>
    <row r="60" spans="1:2" x14ac:dyDescent="0.3">
      <c r="A60" t="s">
        <v>246</v>
      </c>
      <c r="B60">
        <v>64</v>
      </c>
    </row>
    <row r="61" spans="1:2" x14ac:dyDescent="0.3">
      <c r="A61" t="s">
        <v>248</v>
      </c>
      <c r="B61">
        <v>65</v>
      </c>
    </row>
    <row r="62" spans="1:2" x14ac:dyDescent="0.3">
      <c r="A62" t="s">
        <v>251</v>
      </c>
      <c r="B62">
        <v>67</v>
      </c>
    </row>
    <row r="63" spans="1:2" x14ac:dyDescent="0.3">
      <c r="A63" t="s">
        <v>253</v>
      </c>
      <c r="B63">
        <v>68</v>
      </c>
    </row>
    <row r="64" spans="1:2" x14ac:dyDescent="0.3">
      <c r="A64" t="s">
        <v>256</v>
      </c>
      <c r="B64">
        <v>69</v>
      </c>
    </row>
    <row r="65" spans="1:24" x14ac:dyDescent="0.3">
      <c r="A65" t="s">
        <v>258</v>
      </c>
      <c r="B65">
        <v>70</v>
      </c>
    </row>
    <row r="66" spans="1:24" x14ac:dyDescent="0.3">
      <c r="A66" t="s">
        <v>260</v>
      </c>
      <c r="B66">
        <v>71</v>
      </c>
    </row>
    <row r="67" spans="1:24" x14ac:dyDescent="0.3">
      <c r="A67" t="s">
        <v>262</v>
      </c>
      <c r="B67" t="s">
        <v>263</v>
      </c>
    </row>
    <row r="68" spans="1:24" x14ac:dyDescent="0.3">
      <c r="A68" t="s">
        <v>264</v>
      </c>
      <c r="B68" t="s">
        <v>265</v>
      </c>
    </row>
    <row r="69" spans="1:24" x14ac:dyDescent="0.3">
      <c r="A69" t="s">
        <v>273</v>
      </c>
      <c r="B69" t="s">
        <v>274</v>
      </c>
    </row>
    <row r="70" spans="1:24" x14ac:dyDescent="0.3">
      <c r="A70" t="s">
        <v>276</v>
      </c>
      <c r="B70" t="s">
        <v>277</v>
      </c>
    </row>
    <row r="71" spans="1:24" x14ac:dyDescent="0.3">
      <c r="A71" t="s">
        <v>279</v>
      </c>
      <c r="B71" t="s">
        <v>280</v>
      </c>
    </row>
    <row r="72" spans="1:24" x14ac:dyDescent="0.3">
      <c r="A72" t="s">
        <v>282</v>
      </c>
      <c r="B72" t="s">
        <v>283</v>
      </c>
    </row>
    <row r="73" spans="1:24" x14ac:dyDescent="0.3">
      <c r="A73" t="s">
        <v>286</v>
      </c>
      <c r="B73" t="s">
        <v>287</v>
      </c>
    </row>
    <row r="74" spans="1:24" x14ac:dyDescent="0.3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3">
      <c r="A75" t="s">
        <v>304</v>
      </c>
      <c r="B75">
        <v>1</v>
      </c>
    </row>
    <row r="76" spans="1:24" x14ac:dyDescent="0.3">
      <c r="A76" t="s">
        <v>305</v>
      </c>
      <c r="B76">
        <v>2</v>
      </c>
    </row>
    <row r="77" spans="1:24" x14ac:dyDescent="0.3">
      <c r="A77" t="s">
        <v>306</v>
      </c>
      <c r="B77">
        <v>3</v>
      </c>
    </row>
    <row r="78" spans="1:24" x14ac:dyDescent="0.3">
      <c r="A78" t="s">
        <v>307</v>
      </c>
      <c r="B78">
        <v>4</v>
      </c>
    </row>
    <row r="79" spans="1:24" x14ac:dyDescent="0.3">
      <c r="A79" t="s">
        <v>308</v>
      </c>
      <c r="B79">
        <v>5</v>
      </c>
    </row>
    <row r="80" spans="1:24" x14ac:dyDescent="0.3">
      <c r="A80" t="s">
        <v>309</v>
      </c>
      <c r="B80">
        <v>6</v>
      </c>
    </row>
    <row r="81" spans="1:2" x14ac:dyDescent="0.3">
      <c r="A81" t="s">
        <v>312</v>
      </c>
      <c r="B81">
        <v>8</v>
      </c>
    </row>
    <row r="82" spans="1:2" x14ac:dyDescent="0.3">
      <c r="A82" t="s">
        <v>313</v>
      </c>
      <c r="B82">
        <v>9</v>
      </c>
    </row>
    <row r="83" spans="1:2" x14ac:dyDescent="0.3">
      <c r="A83" t="s">
        <v>314</v>
      </c>
      <c r="B83">
        <v>10</v>
      </c>
    </row>
    <row r="84" spans="1:2" x14ac:dyDescent="0.3">
      <c r="A84" t="s">
        <v>315</v>
      </c>
      <c r="B84">
        <v>11</v>
      </c>
    </row>
    <row r="85" spans="1:2" x14ac:dyDescent="0.3">
      <c r="A85" t="s">
        <v>316</v>
      </c>
      <c r="B85">
        <v>12</v>
      </c>
    </row>
    <row r="86" spans="1:2" x14ac:dyDescent="0.3">
      <c r="A86" t="s">
        <v>317</v>
      </c>
      <c r="B86">
        <v>13</v>
      </c>
    </row>
    <row r="87" spans="1:2" x14ac:dyDescent="0.3">
      <c r="A87" t="s">
        <v>318</v>
      </c>
      <c r="B87">
        <v>14</v>
      </c>
    </row>
    <row r="88" spans="1:2" x14ac:dyDescent="0.3">
      <c r="A88" t="s">
        <v>319</v>
      </c>
      <c r="B88">
        <v>15</v>
      </c>
    </row>
    <row r="89" spans="1:2" x14ac:dyDescent="0.3">
      <c r="A89" t="s">
        <v>320</v>
      </c>
      <c r="B89">
        <v>16</v>
      </c>
    </row>
    <row r="90" spans="1:2" x14ac:dyDescent="0.3">
      <c r="A90" t="s">
        <v>321</v>
      </c>
      <c r="B90">
        <v>17</v>
      </c>
    </row>
    <row r="91" spans="1:2" x14ac:dyDescent="0.3">
      <c r="A91" t="s">
        <v>322</v>
      </c>
      <c r="B91">
        <v>18</v>
      </c>
    </row>
    <row r="92" spans="1:2" x14ac:dyDescent="0.3">
      <c r="A92" t="s">
        <v>323</v>
      </c>
      <c r="B92">
        <v>19</v>
      </c>
    </row>
    <row r="93" spans="1:2" x14ac:dyDescent="0.3">
      <c r="A93" t="s">
        <v>324</v>
      </c>
      <c r="B93">
        <v>20</v>
      </c>
    </row>
    <row r="94" spans="1:2" x14ac:dyDescent="0.3">
      <c r="A94" t="s">
        <v>325</v>
      </c>
      <c r="B94">
        <v>21</v>
      </c>
    </row>
    <row r="95" spans="1:2" x14ac:dyDescent="0.3">
      <c r="A95" t="s">
        <v>326</v>
      </c>
      <c r="B95">
        <v>22</v>
      </c>
    </row>
    <row r="96" spans="1:2" x14ac:dyDescent="0.3">
      <c r="A96" t="s">
        <v>327</v>
      </c>
      <c r="B96">
        <v>23</v>
      </c>
    </row>
    <row r="97" spans="1:2" x14ac:dyDescent="0.3">
      <c r="A97" t="s">
        <v>328</v>
      </c>
      <c r="B97">
        <v>24</v>
      </c>
    </row>
    <row r="98" spans="1:2" x14ac:dyDescent="0.3">
      <c r="A98" t="s">
        <v>329</v>
      </c>
      <c r="B98">
        <v>25</v>
      </c>
    </row>
    <row r="99" spans="1:2" x14ac:dyDescent="0.3">
      <c r="A99" t="s">
        <v>330</v>
      </c>
      <c r="B99">
        <v>26</v>
      </c>
    </row>
    <row r="100" spans="1:2" x14ac:dyDescent="0.3">
      <c r="A100" t="s">
        <v>331</v>
      </c>
      <c r="B100">
        <v>27</v>
      </c>
    </row>
    <row r="101" spans="1:2" x14ac:dyDescent="0.3">
      <c r="A101" t="s">
        <v>332</v>
      </c>
      <c r="B101">
        <v>28</v>
      </c>
    </row>
    <row r="102" spans="1:2" x14ac:dyDescent="0.3">
      <c r="A102" t="s">
        <v>333</v>
      </c>
      <c r="B102">
        <v>29</v>
      </c>
    </row>
    <row r="103" spans="1:2" x14ac:dyDescent="0.3">
      <c r="A103" t="s">
        <v>335</v>
      </c>
      <c r="B103">
        <v>31</v>
      </c>
    </row>
    <row r="104" spans="1:2" x14ac:dyDescent="0.3">
      <c r="A104" t="s">
        <v>336</v>
      </c>
      <c r="B104">
        <v>32</v>
      </c>
    </row>
    <row r="105" spans="1:2" x14ac:dyDescent="0.3">
      <c r="A105" t="s">
        <v>337</v>
      </c>
      <c r="B105">
        <v>33</v>
      </c>
    </row>
    <row r="106" spans="1:2" x14ac:dyDescent="0.3">
      <c r="A106" t="s">
        <v>338</v>
      </c>
      <c r="B106">
        <v>34</v>
      </c>
    </row>
    <row r="107" spans="1:2" x14ac:dyDescent="0.3">
      <c r="A107" t="s">
        <v>339</v>
      </c>
      <c r="B107">
        <v>35</v>
      </c>
    </row>
    <row r="108" spans="1:2" x14ac:dyDescent="0.3">
      <c r="A108" t="s">
        <v>340</v>
      </c>
      <c r="B108">
        <v>36</v>
      </c>
    </row>
    <row r="109" spans="1:2" x14ac:dyDescent="0.3">
      <c r="A109" t="s">
        <v>341</v>
      </c>
      <c r="B109">
        <v>37</v>
      </c>
    </row>
    <row r="110" spans="1:2" x14ac:dyDescent="0.3">
      <c r="A110" t="s">
        <v>342</v>
      </c>
      <c r="B110">
        <v>38</v>
      </c>
    </row>
    <row r="111" spans="1:2" x14ac:dyDescent="0.3">
      <c r="A111" t="s">
        <v>343</v>
      </c>
      <c r="B111">
        <v>39</v>
      </c>
    </row>
    <row r="112" spans="1:2" x14ac:dyDescent="0.3">
      <c r="A112" t="s">
        <v>344</v>
      </c>
      <c r="B112">
        <v>40</v>
      </c>
    </row>
    <row r="113" spans="1:2" x14ac:dyDescent="0.3">
      <c r="A113" t="s">
        <v>345</v>
      </c>
      <c r="B113">
        <v>41</v>
      </c>
    </row>
    <row r="114" spans="1:2" x14ac:dyDescent="0.3">
      <c r="A114" t="s">
        <v>346</v>
      </c>
      <c r="B114">
        <v>42</v>
      </c>
    </row>
    <row r="115" spans="1:2" x14ac:dyDescent="0.3">
      <c r="A115" t="s">
        <v>347</v>
      </c>
      <c r="B115">
        <v>43</v>
      </c>
    </row>
    <row r="116" spans="1:2" x14ac:dyDescent="0.3">
      <c r="A116" t="s">
        <v>348</v>
      </c>
      <c r="B116">
        <v>44</v>
      </c>
    </row>
    <row r="117" spans="1:2" x14ac:dyDescent="0.3">
      <c r="A117" t="s">
        <v>349</v>
      </c>
      <c r="B117">
        <v>45</v>
      </c>
    </row>
    <row r="118" spans="1:2" x14ac:dyDescent="0.3">
      <c r="A118" t="s">
        <v>350</v>
      </c>
      <c r="B118">
        <v>46</v>
      </c>
    </row>
    <row r="119" spans="1:2" x14ac:dyDescent="0.3">
      <c r="A119" t="s">
        <v>351</v>
      </c>
      <c r="B119">
        <v>47</v>
      </c>
    </row>
    <row r="120" spans="1:2" x14ac:dyDescent="0.3">
      <c r="A120" t="s">
        <v>352</v>
      </c>
      <c r="B120">
        <v>48</v>
      </c>
    </row>
    <row r="121" spans="1:2" x14ac:dyDescent="0.3">
      <c r="A121" t="s">
        <v>353</v>
      </c>
      <c r="B121">
        <v>49</v>
      </c>
    </row>
    <row r="122" spans="1:2" x14ac:dyDescent="0.3">
      <c r="A122" t="s">
        <v>354</v>
      </c>
      <c r="B122">
        <v>50</v>
      </c>
    </row>
    <row r="123" spans="1:2" x14ac:dyDescent="0.3">
      <c r="A123" t="s">
        <v>355</v>
      </c>
      <c r="B123">
        <v>51</v>
      </c>
    </row>
    <row r="124" spans="1:2" x14ac:dyDescent="0.3">
      <c r="A124" t="s">
        <v>356</v>
      </c>
      <c r="B124">
        <v>52</v>
      </c>
    </row>
    <row r="125" spans="1:2" x14ac:dyDescent="0.3">
      <c r="A125" t="s">
        <v>359</v>
      </c>
      <c r="B125">
        <v>54</v>
      </c>
    </row>
    <row r="126" spans="1:2" x14ac:dyDescent="0.3">
      <c r="A126" t="s">
        <v>361</v>
      </c>
      <c r="B126">
        <v>55</v>
      </c>
    </row>
    <row r="127" spans="1:2" x14ac:dyDescent="0.3">
      <c r="A127" t="s">
        <v>363</v>
      </c>
      <c r="B127">
        <v>56</v>
      </c>
    </row>
    <row r="128" spans="1:2" x14ac:dyDescent="0.3">
      <c r="A128" t="s">
        <v>364</v>
      </c>
      <c r="B128">
        <v>57</v>
      </c>
    </row>
    <row r="129" spans="1:23" x14ac:dyDescent="0.3">
      <c r="A129" t="s">
        <v>365</v>
      </c>
      <c r="B129">
        <v>58</v>
      </c>
    </row>
    <row r="130" spans="1:23" x14ac:dyDescent="0.3">
      <c r="A130" t="s">
        <v>367</v>
      </c>
      <c r="B130" t="s">
        <v>368</v>
      </c>
    </row>
    <row r="131" spans="1:23" x14ac:dyDescent="0.3">
      <c r="A131" t="s">
        <v>369</v>
      </c>
      <c r="B131" t="s">
        <v>370</v>
      </c>
    </row>
    <row r="132" spans="1:23" x14ac:dyDescent="0.3">
      <c r="A132" t="s">
        <v>371</v>
      </c>
      <c r="B132" t="s">
        <v>372</v>
      </c>
    </row>
    <row r="133" spans="1:23" x14ac:dyDescent="0.3">
      <c r="A133" t="s">
        <v>373</v>
      </c>
      <c r="B133" t="s">
        <v>374</v>
      </c>
    </row>
    <row r="134" spans="1:23" x14ac:dyDescent="0.3">
      <c r="A134" t="s">
        <v>375</v>
      </c>
      <c r="B134" t="s">
        <v>376</v>
      </c>
    </row>
    <row r="135" spans="1:23" x14ac:dyDescent="0.3">
      <c r="A135" t="s">
        <v>377</v>
      </c>
      <c r="B135" t="s">
        <v>378</v>
      </c>
    </row>
    <row r="136" spans="1:23" x14ac:dyDescent="0.3">
      <c r="A136" t="s">
        <v>379</v>
      </c>
      <c r="B136" t="s">
        <v>380</v>
      </c>
    </row>
    <row r="137" spans="1:23" x14ac:dyDescent="0.3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3">
      <c r="A138" t="s">
        <v>386</v>
      </c>
      <c r="B138">
        <v>1</v>
      </c>
    </row>
    <row r="139" spans="1:23" x14ac:dyDescent="0.3">
      <c r="A139" t="s">
        <v>387</v>
      </c>
      <c r="B139">
        <v>2</v>
      </c>
    </row>
    <row r="140" spans="1:23" x14ac:dyDescent="0.3">
      <c r="A140" t="s">
        <v>388</v>
      </c>
      <c r="B140">
        <v>3</v>
      </c>
    </row>
    <row r="141" spans="1:23" x14ac:dyDescent="0.3">
      <c r="A141" t="s">
        <v>389</v>
      </c>
      <c r="B141">
        <v>4</v>
      </c>
    </row>
    <row r="142" spans="1:23" x14ac:dyDescent="0.3">
      <c r="A142" t="s">
        <v>390</v>
      </c>
      <c r="B142">
        <v>5</v>
      </c>
    </row>
    <row r="143" spans="1:23" x14ac:dyDescent="0.3">
      <c r="A143" t="s">
        <v>391</v>
      </c>
      <c r="B143">
        <v>6</v>
      </c>
    </row>
    <row r="144" spans="1:23" x14ac:dyDescent="0.3">
      <c r="A144" t="s">
        <v>392</v>
      </c>
      <c r="B144">
        <v>8</v>
      </c>
    </row>
    <row r="145" spans="1:2" x14ac:dyDescent="0.3">
      <c r="A145" t="s">
        <v>393</v>
      </c>
      <c r="B145">
        <v>9</v>
      </c>
    </row>
    <row r="146" spans="1:2" x14ac:dyDescent="0.3">
      <c r="A146" t="s">
        <v>394</v>
      </c>
      <c r="B146">
        <v>10</v>
      </c>
    </row>
    <row r="147" spans="1:2" x14ac:dyDescent="0.3">
      <c r="A147" t="s">
        <v>395</v>
      </c>
      <c r="B147">
        <v>11</v>
      </c>
    </row>
    <row r="148" spans="1:2" x14ac:dyDescent="0.3">
      <c r="A148" t="s">
        <v>396</v>
      </c>
      <c r="B148">
        <v>12</v>
      </c>
    </row>
    <row r="149" spans="1:2" x14ac:dyDescent="0.3">
      <c r="A149" t="s">
        <v>397</v>
      </c>
      <c r="B149">
        <v>13</v>
      </c>
    </row>
    <row r="150" spans="1:2" x14ac:dyDescent="0.3">
      <c r="A150" t="s">
        <v>398</v>
      </c>
      <c r="B150">
        <v>14</v>
      </c>
    </row>
    <row r="151" spans="1:2" x14ac:dyDescent="0.3">
      <c r="A151" t="s">
        <v>399</v>
      </c>
      <c r="B151">
        <v>15</v>
      </c>
    </row>
    <row r="152" spans="1:2" x14ac:dyDescent="0.3">
      <c r="A152" t="s">
        <v>400</v>
      </c>
      <c r="B152">
        <v>16</v>
      </c>
    </row>
    <row r="153" spans="1:2" x14ac:dyDescent="0.3">
      <c r="A153" t="s">
        <v>401</v>
      </c>
      <c r="B153">
        <v>17</v>
      </c>
    </row>
    <row r="154" spans="1:2" x14ac:dyDescent="0.3">
      <c r="A154" t="s">
        <v>402</v>
      </c>
      <c r="B154">
        <v>18</v>
      </c>
    </row>
    <row r="155" spans="1:2" x14ac:dyDescent="0.3">
      <c r="A155" t="s">
        <v>403</v>
      </c>
      <c r="B155">
        <v>19</v>
      </c>
    </row>
    <row r="156" spans="1:2" x14ac:dyDescent="0.3">
      <c r="A156" t="s">
        <v>404</v>
      </c>
      <c r="B156">
        <v>20</v>
      </c>
    </row>
    <row r="157" spans="1:2" x14ac:dyDescent="0.3">
      <c r="A157" t="s">
        <v>405</v>
      </c>
      <c r="B157">
        <v>21</v>
      </c>
    </row>
    <row r="158" spans="1:2" x14ac:dyDescent="0.3">
      <c r="A158" t="s">
        <v>406</v>
      </c>
      <c r="B158">
        <v>22</v>
      </c>
    </row>
    <row r="159" spans="1:2" x14ac:dyDescent="0.3">
      <c r="A159" t="s">
        <v>407</v>
      </c>
      <c r="B159">
        <v>23</v>
      </c>
    </row>
    <row r="160" spans="1:2" x14ac:dyDescent="0.3">
      <c r="A160" t="s">
        <v>408</v>
      </c>
      <c r="B160">
        <v>24</v>
      </c>
    </row>
    <row r="161" spans="1:2" x14ac:dyDescent="0.3">
      <c r="A161" t="s">
        <v>409</v>
      </c>
      <c r="B161">
        <v>25</v>
      </c>
    </row>
    <row r="162" spans="1:2" x14ac:dyDescent="0.3">
      <c r="A162" t="s">
        <v>410</v>
      </c>
      <c r="B162">
        <v>26</v>
      </c>
    </row>
    <row r="163" spans="1:2" x14ac:dyDescent="0.3">
      <c r="A163" t="s">
        <v>411</v>
      </c>
      <c r="B163">
        <v>27</v>
      </c>
    </row>
    <row r="164" spans="1:2" x14ac:dyDescent="0.3">
      <c r="A164" t="s">
        <v>412</v>
      </c>
      <c r="B164">
        <v>28</v>
      </c>
    </row>
    <row r="165" spans="1:2" x14ac:dyDescent="0.3">
      <c r="A165" t="s">
        <v>413</v>
      </c>
      <c r="B165">
        <v>29</v>
      </c>
    </row>
    <row r="166" spans="1:2" x14ac:dyDescent="0.3">
      <c r="A166" t="s">
        <v>414</v>
      </c>
      <c r="B166">
        <v>31</v>
      </c>
    </row>
    <row r="167" spans="1:2" x14ac:dyDescent="0.3">
      <c r="A167" t="s">
        <v>415</v>
      </c>
      <c r="B167">
        <v>32</v>
      </c>
    </row>
    <row r="168" spans="1:2" x14ac:dyDescent="0.3">
      <c r="A168" t="s">
        <v>416</v>
      </c>
      <c r="B168">
        <v>33</v>
      </c>
    </row>
    <row r="169" spans="1:2" x14ac:dyDescent="0.3">
      <c r="A169" t="s">
        <v>417</v>
      </c>
      <c r="B169">
        <v>34</v>
      </c>
    </row>
    <row r="170" spans="1:2" x14ac:dyDescent="0.3">
      <c r="A170" t="s">
        <v>418</v>
      </c>
      <c r="B170">
        <v>35</v>
      </c>
    </row>
    <row r="171" spans="1:2" x14ac:dyDescent="0.3">
      <c r="A171" t="s">
        <v>419</v>
      </c>
      <c r="B171">
        <v>36</v>
      </c>
    </row>
    <row r="172" spans="1:2" x14ac:dyDescent="0.3">
      <c r="A172" t="s">
        <v>420</v>
      </c>
      <c r="B172">
        <v>37</v>
      </c>
    </row>
    <row r="173" spans="1:2" x14ac:dyDescent="0.3">
      <c r="A173" t="s">
        <v>421</v>
      </c>
      <c r="B173">
        <v>38</v>
      </c>
    </row>
    <row r="174" spans="1:2" x14ac:dyDescent="0.3">
      <c r="A174" t="s">
        <v>422</v>
      </c>
      <c r="B174">
        <v>39</v>
      </c>
    </row>
    <row r="175" spans="1:2" x14ac:dyDescent="0.3">
      <c r="A175" t="s">
        <v>423</v>
      </c>
      <c r="B175">
        <v>40</v>
      </c>
    </row>
    <row r="176" spans="1:2" x14ac:dyDescent="0.3">
      <c r="A176" t="s">
        <v>424</v>
      </c>
      <c r="B176">
        <v>41</v>
      </c>
    </row>
    <row r="177" spans="1:2" x14ac:dyDescent="0.3">
      <c r="A177" t="s">
        <v>425</v>
      </c>
      <c r="B177">
        <v>42</v>
      </c>
    </row>
    <row r="178" spans="1:2" x14ac:dyDescent="0.3">
      <c r="A178" t="s">
        <v>426</v>
      </c>
      <c r="B178">
        <v>43</v>
      </c>
    </row>
    <row r="179" spans="1:2" x14ac:dyDescent="0.3">
      <c r="A179" t="s">
        <v>427</v>
      </c>
      <c r="B179">
        <v>44</v>
      </c>
    </row>
    <row r="180" spans="1:2" x14ac:dyDescent="0.3">
      <c r="A180" t="s">
        <v>428</v>
      </c>
      <c r="B180">
        <v>45</v>
      </c>
    </row>
    <row r="181" spans="1:2" x14ac:dyDescent="0.3">
      <c r="A181" t="s">
        <v>429</v>
      </c>
      <c r="B181">
        <v>46</v>
      </c>
    </row>
    <row r="182" spans="1:2" x14ac:dyDescent="0.3">
      <c r="A182" t="s">
        <v>430</v>
      </c>
      <c r="B182">
        <v>47</v>
      </c>
    </row>
    <row r="183" spans="1:2" x14ac:dyDescent="0.3">
      <c r="A183" t="s">
        <v>431</v>
      </c>
      <c r="B183">
        <v>48</v>
      </c>
    </row>
    <row r="184" spans="1:2" x14ac:dyDescent="0.3">
      <c r="A184" t="s">
        <v>432</v>
      </c>
      <c r="B184">
        <v>49</v>
      </c>
    </row>
    <row r="185" spans="1:2" x14ac:dyDescent="0.3">
      <c r="A185" t="s">
        <v>433</v>
      </c>
      <c r="B185">
        <v>50</v>
      </c>
    </row>
    <row r="186" spans="1:2" x14ac:dyDescent="0.3">
      <c r="A186" t="s">
        <v>434</v>
      </c>
      <c r="B186">
        <v>51</v>
      </c>
    </row>
    <row r="187" spans="1:2" x14ac:dyDescent="0.3">
      <c r="A187" t="s">
        <v>435</v>
      </c>
      <c r="B187">
        <v>52</v>
      </c>
    </row>
    <row r="188" spans="1:2" x14ac:dyDescent="0.3">
      <c r="A188" t="s">
        <v>436</v>
      </c>
      <c r="B188">
        <v>54</v>
      </c>
    </row>
    <row r="189" spans="1:2" x14ac:dyDescent="0.3">
      <c r="A189" t="s">
        <v>437</v>
      </c>
      <c r="B189">
        <v>55</v>
      </c>
    </row>
    <row r="190" spans="1:2" x14ac:dyDescent="0.3">
      <c r="A190" t="s">
        <v>438</v>
      </c>
      <c r="B190">
        <v>56</v>
      </c>
    </row>
    <row r="191" spans="1:2" x14ac:dyDescent="0.3">
      <c r="A191" t="s">
        <v>439</v>
      </c>
      <c r="B191">
        <v>57</v>
      </c>
    </row>
    <row r="192" spans="1:2" x14ac:dyDescent="0.3">
      <c r="A192" t="s">
        <v>440</v>
      </c>
      <c r="B192">
        <v>58</v>
      </c>
    </row>
    <row r="193" spans="1:23" x14ac:dyDescent="0.3">
      <c r="A193" t="s">
        <v>442</v>
      </c>
      <c r="B193" t="s">
        <v>443</v>
      </c>
    </row>
    <row r="194" spans="1:23" x14ac:dyDescent="0.3">
      <c r="A194" t="s">
        <v>444</v>
      </c>
      <c r="B194" t="s">
        <v>445</v>
      </c>
    </row>
    <row r="195" spans="1:23" x14ac:dyDescent="0.3">
      <c r="A195" t="s">
        <v>446</v>
      </c>
      <c r="B195" t="s">
        <v>447</v>
      </c>
    </row>
    <row r="196" spans="1:23" x14ac:dyDescent="0.3">
      <c r="A196" t="s">
        <v>448</v>
      </c>
      <c r="B196" t="s">
        <v>449</v>
      </c>
    </row>
    <row r="197" spans="1:23" x14ac:dyDescent="0.3">
      <c r="A197" t="s">
        <v>450</v>
      </c>
      <c r="B197" t="s">
        <v>451</v>
      </c>
    </row>
    <row r="198" spans="1:23" x14ac:dyDescent="0.3">
      <c r="A198" t="s">
        <v>452</v>
      </c>
      <c r="B198" t="s">
        <v>453</v>
      </c>
    </row>
    <row r="199" spans="1:23" x14ac:dyDescent="0.3">
      <c r="A199" t="s">
        <v>454</v>
      </c>
      <c r="B199" t="s">
        <v>455</v>
      </c>
    </row>
    <row r="200" spans="1:23" x14ac:dyDescent="0.3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3">
      <c r="A201" t="s">
        <v>462</v>
      </c>
      <c r="B201">
        <v>1</v>
      </c>
    </row>
    <row r="202" spans="1:23" x14ac:dyDescent="0.3">
      <c r="A202" t="s">
        <v>463</v>
      </c>
      <c r="B202">
        <v>2</v>
      </c>
    </row>
    <row r="203" spans="1:23" x14ac:dyDescent="0.3">
      <c r="A203" t="s">
        <v>464</v>
      </c>
      <c r="B203">
        <v>3</v>
      </c>
    </row>
    <row r="204" spans="1:23" x14ac:dyDescent="0.3">
      <c r="A204" t="s">
        <v>465</v>
      </c>
      <c r="B204">
        <v>4</v>
      </c>
    </row>
    <row r="205" spans="1:23" x14ac:dyDescent="0.3">
      <c r="A205" t="s">
        <v>466</v>
      </c>
      <c r="B205">
        <v>5</v>
      </c>
    </row>
    <row r="206" spans="1:23" x14ac:dyDescent="0.3">
      <c r="A206" t="s">
        <v>467</v>
      </c>
      <c r="B206">
        <v>6</v>
      </c>
    </row>
    <row r="207" spans="1:23" x14ac:dyDescent="0.3">
      <c r="A207" t="s">
        <v>468</v>
      </c>
      <c r="B207">
        <v>7</v>
      </c>
    </row>
    <row r="208" spans="1:23" x14ac:dyDescent="0.3">
      <c r="A208" t="s">
        <v>469</v>
      </c>
      <c r="B208">
        <v>9</v>
      </c>
    </row>
    <row r="209" spans="1:2" x14ac:dyDescent="0.3">
      <c r="A209" t="s">
        <v>470</v>
      </c>
      <c r="B209">
        <v>10</v>
      </c>
    </row>
    <row r="210" spans="1:2" x14ac:dyDescent="0.3">
      <c r="A210" t="s">
        <v>471</v>
      </c>
      <c r="B210">
        <v>11</v>
      </c>
    </row>
    <row r="211" spans="1:2" x14ac:dyDescent="0.3">
      <c r="A211" t="s">
        <v>472</v>
      </c>
      <c r="B211">
        <v>12</v>
      </c>
    </row>
    <row r="212" spans="1:2" x14ac:dyDescent="0.3">
      <c r="A212" t="s">
        <v>473</v>
      </c>
      <c r="B212">
        <v>13</v>
      </c>
    </row>
    <row r="213" spans="1:2" x14ac:dyDescent="0.3">
      <c r="A213" t="s">
        <v>474</v>
      </c>
      <c r="B213">
        <v>14</v>
      </c>
    </row>
    <row r="214" spans="1:2" x14ac:dyDescent="0.3">
      <c r="A214" t="s">
        <v>475</v>
      </c>
      <c r="B214">
        <v>15</v>
      </c>
    </row>
    <row r="215" spans="1:2" x14ac:dyDescent="0.3">
      <c r="A215" t="s">
        <v>476</v>
      </c>
      <c r="B215">
        <v>16</v>
      </c>
    </row>
    <row r="216" spans="1:2" x14ac:dyDescent="0.3">
      <c r="A216" t="s">
        <v>477</v>
      </c>
      <c r="B216">
        <v>17</v>
      </c>
    </row>
    <row r="217" spans="1:2" x14ac:dyDescent="0.3">
      <c r="A217" t="s">
        <v>478</v>
      </c>
      <c r="B217">
        <v>18</v>
      </c>
    </row>
    <row r="218" spans="1:2" x14ac:dyDescent="0.3">
      <c r="A218" t="s">
        <v>479</v>
      </c>
      <c r="B218">
        <v>19</v>
      </c>
    </row>
    <row r="219" spans="1:2" x14ac:dyDescent="0.3">
      <c r="A219" t="s">
        <v>480</v>
      </c>
      <c r="B219">
        <v>20</v>
      </c>
    </row>
    <row r="220" spans="1:2" x14ac:dyDescent="0.3">
      <c r="A220" t="s">
        <v>481</v>
      </c>
      <c r="B220">
        <v>21</v>
      </c>
    </row>
    <row r="221" spans="1:2" x14ac:dyDescent="0.3">
      <c r="A221" t="s">
        <v>482</v>
      </c>
      <c r="B221">
        <v>22</v>
      </c>
    </row>
    <row r="222" spans="1:2" x14ac:dyDescent="0.3">
      <c r="A222" t="s">
        <v>483</v>
      </c>
      <c r="B222">
        <v>23</v>
      </c>
    </row>
    <row r="223" spans="1:2" x14ac:dyDescent="0.3">
      <c r="A223" t="s">
        <v>484</v>
      </c>
      <c r="B223">
        <v>24</v>
      </c>
    </row>
    <row r="224" spans="1:2" x14ac:dyDescent="0.3">
      <c r="A224" t="s">
        <v>485</v>
      </c>
      <c r="B224">
        <v>25</v>
      </c>
    </row>
    <row r="225" spans="1:2" x14ac:dyDescent="0.3">
      <c r="A225" t="s">
        <v>486</v>
      </c>
      <c r="B225">
        <v>26</v>
      </c>
    </row>
    <row r="226" spans="1:2" x14ac:dyDescent="0.3">
      <c r="A226" t="s">
        <v>487</v>
      </c>
      <c r="B226">
        <v>27</v>
      </c>
    </row>
    <row r="227" spans="1:2" x14ac:dyDescent="0.3">
      <c r="A227" t="s">
        <v>488</v>
      </c>
      <c r="B227">
        <v>28</v>
      </c>
    </row>
    <row r="228" spans="1:2" x14ac:dyDescent="0.3">
      <c r="A228" t="s">
        <v>489</v>
      </c>
      <c r="B228">
        <v>29</v>
      </c>
    </row>
    <row r="229" spans="1:2" x14ac:dyDescent="0.3">
      <c r="A229" t="s">
        <v>490</v>
      </c>
      <c r="B229">
        <v>30</v>
      </c>
    </row>
    <row r="230" spans="1:2" x14ac:dyDescent="0.3">
      <c r="A230" t="s">
        <v>491</v>
      </c>
      <c r="B230">
        <v>31</v>
      </c>
    </row>
    <row r="231" spans="1:2" x14ac:dyDescent="0.3">
      <c r="A231" t="s">
        <v>492</v>
      </c>
      <c r="B231">
        <v>33</v>
      </c>
    </row>
    <row r="232" spans="1:2" x14ac:dyDescent="0.3">
      <c r="A232" t="s">
        <v>493</v>
      </c>
      <c r="B232">
        <v>34</v>
      </c>
    </row>
    <row r="233" spans="1:2" x14ac:dyDescent="0.3">
      <c r="A233" t="s">
        <v>494</v>
      </c>
      <c r="B233">
        <v>35</v>
      </c>
    </row>
    <row r="234" spans="1:2" x14ac:dyDescent="0.3">
      <c r="A234" t="s">
        <v>495</v>
      </c>
      <c r="B234">
        <v>36</v>
      </c>
    </row>
    <row r="235" spans="1:2" x14ac:dyDescent="0.3">
      <c r="A235" t="s">
        <v>496</v>
      </c>
      <c r="B235">
        <v>37</v>
      </c>
    </row>
    <row r="236" spans="1:2" x14ac:dyDescent="0.3">
      <c r="A236" t="s">
        <v>497</v>
      </c>
      <c r="B236">
        <v>38</v>
      </c>
    </row>
    <row r="237" spans="1:2" x14ac:dyDescent="0.3">
      <c r="A237" t="s">
        <v>498</v>
      </c>
      <c r="B237">
        <v>39</v>
      </c>
    </row>
    <row r="238" spans="1:2" x14ac:dyDescent="0.3">
      <c r="A238" t="s">
        <v>499</v>
      </c>
      <c r="B238">
        <v>40</v>
      </c>
    </row>
    <row r="239" spans="1:2" x14ac:dyDescent="0.3">
      <c r="A239" t="s">
        <v>500</v>
      </c>
      <c r="B239">
        <v>41</v>
      </c>
    </row>
    <row r="240" spans="1:2" x14ac:dyDescent="0.3">
      <c r="A240" t="s">
        <v>501</v>
      </c>
      <c r="B240">
        <v>42</v>
      </c>
    </row>
    <row r="241" spans="1:2" x14ac:dyDescent="0.3">
      <c r="A241" t="s">
        <v>502</v>
      </c>
      <c r="B241">
        <v>43</v>
      </c>
    </row>
    <row r="242" spans="1:2" x14ac:dyDescent="0.3">
      <c r="A242" t="s">
        <v>503</v>
      </c>
      <c r="B242">
        <v>44</v>
      </c>
    </row>
    <row r="243" spans="1:2" x14ac:dyDescent="0.3">
      <c r="A243" t="s">
        <v>504</v>
      </c>
      <c r="B243">
        <v>45</v>
      </c>
    </row>
    <row r="244" spans="1:2" x14ac:dyDescent="0.3">
      <c r="A244" t="s">
        <v>505</v>
      </c>
      <c r="B244">
        <v>46</v>
      </c>
    </row>
    <row r="245" spans="1:2" x14ac:dyDescent="0.3">
      <c r="A245" t="s">
        <v>506</v>
      </c>
      <c r="B245">
        <v>47</v>
      </c>
    </row>
    <row r="246" spans="1:2" x14ac:dyDescent="0.3">
      <c r="A246" t="s">
        <v>507</v>
      </c>
      <c r="B246">
        <v>48</v>
      </c>
    </row>
    <row r="247" spans="1:2" x14ac:dyDescent="0.3">
      <c r="A247" t="s">
        <v>508</v>
      </c>
      <c r="B247">
        <v>49</v>
      </c>
    </row>
    <row r="248" spans="1:2" x14ac:dyDescent="0.3">
      <c r="A248" t="s">
        <v>509</v>
      </c>
      <c r="B248">
        <v>50</v>
      </c>
    </row>
    <row r="249" spans="1:2" x14ac:dyDescent="0.3">
      <c r="A249" t="s">
        <v>510</v>
      </c>
      <c r="B249">
        <v>51</v>
      </c>
    </row>
    <row r="250" spans="1:2" x14ac:dyDescent="0.3">
      <c r="A250" t="s">
        <v>511</v>
      </c>
      <c r="B250">
        <v>52</v>
      </c>
    </row>
    <row r="251" spans="1:2" x14ac:dyDescent="0.3">
      <c r="A251" t="s">
        <v>512</v>
      </c>
      <c r="B251">
        <v>53</v>
      </c>
    </row>
    <row r="252" spans="1:2" x14ac:dyDescent="0.3">
      <c r="A252" t="s">
        <v>513</v>
      </c>
      <c r="B252">
        <v>54</v>
      </c>
    </row>
    <row r="253" spans="1:2" x14ac:dyDescent="0.3">
      <c r="A253" t="s">
        <v>514</v>
      </c>
      <c r="B253">
        <v>55</v>
      </c>
    </row>
    <row r="254" spans="1:2" x14ac:dyDescent="0.3">
      <c r="A254" t="s">
        <v>515</v>
      </c>
      <c r="B254">
        <v>57</v>
      </c>
    </row>
    <row r="255" spans="1:2" x14ac:dyDescent="0.3">
      <c r="A255" t="s">
        <v>516</v>
      </c>
      <c r="B255">
        <v>58</v>
      </c>
    </row>
    <row r="256" spans="1:2" x14ac:dyDescent="0.3">
      <c r="A256" t="s">
        <v>517</v>
      </c>
      <c r="B256">
        <v>59</v>
      </c>
    </row>
    <row r="257" spans="1:2" x14ac:dyDescent="0.3">
      <c r="A257" t="s">
        <v>518</v>
      </c>
      <c r="B257">
        <v>61</v>
      </c>
    </row>
    <row r="258" spans="1:2" x14ac:dyDescent="0.3">
      <c r="A258" t="s">
        <v>519</v>
      </c>
      <c r="B258">
        <v>62</v>
      </c>
    </row>
    <row r="259" spans="1:2" x14ac:dyDescent="0.3">
      <c r="A259" t="s">
        <v>520</v>
      </c>
      <c r="B259">
        <v>63</v>
      </c>
    </row>
    <row r="260" spans="1:2" x14ac:dyDescent="0.3">
      <c r="A260" t="s">
        <v>521</v>
      </c>
      <c r="B260">
        <v>64</v>
      </c>
    </row>
    <row r="261" spans="1:2" x14ac:dyDescent="0.3">
      <c r="A261" t="s">
        <v>522</v>
      </c>
      <c r="B261">
        <v>65</v>
      </c>
    </row>
    <row r="262" spans="1:2" x14ac:dyDescent="0.3">
      <c r="A262" t="s">
        <v>523</v>
      </c>
      <c r="B262">
        <v>67</v>
      </c>
    </row>
    <row r="263" spans="1:2" x14ac:dyDescent="0.3">
      <c r="A263" t="s">
        <v>524</v>
      </c>
      <c r="B263">
        <v>68</v>
      </c>
    </row>
    <row r="264" spans="1:2" x14ac:dyDescent="0.3">
      <c r="A264" t="s">
        <v>525</v>
      </c>
      <c r="B264">
        <v>69</v>
      </c>
    </row>
    <row r="265" spans="1:2" x14ac:dyDescent="0.3">
      <c r="A265" t="s">
        <v>526</v>
      </c>
      <c r="B265">
        <v>70</v>
      </c>
    </row>
    <row r="266" spans="1:2" x14ac:dyDescent="0.3">
      <c r="A266" t="s">
        <v>527</v>
      </c>
      <c r="B266">
        <v>71</v>
      </c>
    </row>
    <row r="267" spans="1:2" x14ac:dyDescent="0.3">
      <c r="A267" t="s">
        <v>529</v>
      </c>
      <c r="B267" t="s">
        <v>530</v>
      </c>
    </row>
    <row r="268" spans="1:2" x14ac:dyDescent="0.3">
      <c r="A268" t="s">
        <v>531</v>
      </c>
      <c r="B268" t="s">
        <v>532</v>
      </c>
    </row>
    <row r="269" spans="1:2" x14ac:dyDescent="0.3">
      <c r="A269" t="s">
        <v>533</v>
      </c>
      <c r="B269" t="s">
        <v>534</v>
      </c>
    </row>
    <row r="270" spans="1:2" x14ac:dyDescent="0.3">
      <c r="A270" t="s">
        <v>535</v>
      </c>
      <c r="B270" t="s">
        <v>536</v>
      </c>
    </row>
    <row r="271" spans="1:2" x14ac:dyDescent="0.3">
      <c r="A271" t="s">
        <v>537</v>
      </c>
      <c r="B271" t="s">
        <v>538</v>
      </c>
    </row>
    <row r="272" spans="1:2" x14ac:dyDescent="0.3">
      <c r="A272" t="s">
        <v>539</v>
      </c>
      <c r="B272" t="s">
        <v>540</v>
      </c>
    </row>
    <row r="273" spans="1:24" x14ac:dyDescent="0.3">
      <c r="A273" t="s">
        <v>541</v>
      </c>
      <c r="B273" t="s">
        <v>542</v>
      </c>
    </row>
    <row r="274" spans="1:24" x14ac:dyDescent="0.3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38"/>
  <sheetViews>
    <sheetView zoomScale="85" zoomScaleNormal="85" workbookViewId="0">
      <pane xSplit="2" topLeftCell="X1" activePane="topRight" state="frozen"/>
      <selection pane="topRight" activeCell="BB34" sqref="BB34"/>
    </sheetView>
  </sheetViews>
  <sheetFormatPr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70" t="s">
        <v>366</v>
      </c>
      <c r="B1" s="70"/>
      <c r="C1" s="70"/>
      <c r="D1" s="70"/>
      <c r="E1" s="70"/>
      <c r="F1" s="70"/>
      <c r="H1" s="58" t="s">
        <v>550</v>
      </c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E1" s="59" t="s">
        <v>552</v>
      </c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60" ht="30" customHeight="1" x14ac:dyDescent="0.3">
      <c r="A2" s="66" t="s">
        <v>93</v>
      </c>
      <c r="B2" s="67" t="s">
        <v>96</v>
      </c>
      <c r="C2" s="66" t="s">
        <v>102</v>
      </c>
      <c r="D2" s="67" t="s">
        <v>105</v>
      </c>
      <c r="E2" s="66" t="s">
        <v>108</v>
      </c>
      <c r="F2" s="67" t="s">
        <v>111</v>
      </c>
      <c r="H2" s="66" t="s">
        <v>310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9" t="s">
        <v>142</v>
      </c>
      <c r="R2" s="69"/>
      <c r="S2" s="69"/>
      <c r="T2" s="69"/>
      <c r="U2" s="68" t="s">
        <v>153</v>
      </c>
      <c r="V2" s="68"/>
      <c r="W2" s="69" t="s">
        <v>160</v>
      </c>
      <c r="X2" s="69"/>
      <c r="Y2" s="69"/>
      <c r="Z2" s="68" t="s">
        <v>170</v>
      </c>
      <c r="AA2" s="68"/>
      <c r="AB2" s="69" t="s">
        <v>177</v>
      </c>
      <c r="AC2" s="69"/>
      <c r="AE2" s="66" t="s">
        <v>310</v>
      </c>
      <c r="AF2" s="67" t="s">
        <v>114</v>
      </c>
      <c r="AG2" s="68" t="s">
        <v>117</v>
      </c>
      <c r="AH2" s="68"/>
      <c r="AI2" s="68"/>
      <c r="AJ2" s="68"/>
      <c r="AK2" s="66" t="s">
        <v>192</v>
      </c>
      <c r="AL2" s="67" t="s">
        <v>133</v>
      </c>
      <c r="AM2" s="66" t="s">
        <v>24</v>
      </c>
      <c r="AN2" s="69" t="s">
        <v>142</v>
      </c>
      <c r="AO2" s="69"/>
      <c r="AP2" s="69"/>
      <c r="AQ2" s="69"/>
      <c r="AR2" s="68" t="s">
        <v>153</v>
      </c>
      <c r="AS2" s="68"/>
      <c r="AT2" s="69" t="s">
        <v>160</v>
      </c>
      <c r="AU2" s="69"/>
      <c r="AV2" s="69"/>
      <c r="AW2" s="68" t="s">
        <v>170</v>
      </c>
      <c r="AX2" s="68"/>
      <c r="AY2" s="69" t="s">
        <v>177</v>
      </c>
      <c r="AZ2" s="69"/>
      <c r="BB2" s="68" t="s">
        <v>357</v>
      </c>
      <c r="BC2" s="68"/>
      <c r="BD2" s="68"/>
      <c r="BE2" s="67" t="s">
        <v>232</v>
      </c>
      <c r="BF2" s="66" t="s">
        <v>232</v>
      </c>
      <c r="BH2" t="s">
        <v>549</v>
      </c>
    </row>
    <row r="3" spans="1:60" ht="29.4" thickBot="1" x14ac:dyDescent="0.35">
      <c r="A3" s="66"/>
      <c r="B3" s="67"/>
      <c r="C3" s="66"/>
      <c r="D3" s="67"/>
      <c r="E3" s="66"/>
      <c r="F3" s="67"/>
      <c r="H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66"/>
      <c r="AF3" s="67"/>
      <c r="AG3" s="11" t="s">
        <v>118</v>
      </c>
      <c r="AH3" s="11" t="s">
        <v>121</v>
      </c>
      <c r="AI3" s="11" t="s">
        <v>124</v>
      </c>
      <c r="AJ3" s="11" t="s">
        <v>127</v>
      </c>
      <c r="AK3" s="66"/>
      <c r="AL3" s="67"/>
      <c r="AM3" s="66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7"/>
      <c r="BF3" s="66"/>
    </row>
    <row r="4" spans="1:60" ht="109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0.30041687594851124</v>
      </c>
      <c r="I5" s="17">
        <f>IF(OR(ISBLANK(Q5),ISBLANK(F5)),"·",Q5*F5/E5/1000000)</f>
        <v>210.92932500000001</v>
      </c>
      <c r="J5" s="18">
        <f>IF(ISBLANK(Q5),"·",Q5/C5)</f>
        <v>9.0125062784553371</v>
      </c>
      <c r="K5" s="18">
        <f>IF(N5="","·",N5/C5)</f>
        <v>1.3669359828084386</v>
      </c>
      <c r="L5" s="18">
        <f>IF(R5="","·",R5/C5)</f>
        <v>1.28520244135425</v>
      </c>
      <c r="M5" s="18">
        <f>IF(ISBLANK(T5),"·",T5/C5)</f>
        <v>7.6455507477645819</v>
      </c>
      <c r="N5" s="15">
        <f>IF(OR(ISBLANK(R5),ISBLANK(S5)),"",R5+S5)</f>
        <v>34124656</v>
      </c>
      <c r="O5" s="18">
        <f>IF(ISBLANK(Q5),"·",Q5/P5)</f>
        <v>9.0125062784553371</v>
      </c>
      <c r="P5" s="19">
        <v>24964341</v>
      </c>
      <c r="Q5" s="20">
        <v>224991280</v>
      </c>
      <c r="R5" s="20">
        <v>32084232</v>
      </c>
      <c r="S5" s="20">
        <v>2040424</v>
      </c>
      <c r="T5" s="20">
        <v>190866136</v>
      </c>
      <c r="U5" s="21" t="s">
        <v>551</v>
      </c>
      <c r="V5" s="21" t="s">
        <v>551</v>
      </c>
      <c r="W5" s="21" t="s">
        <v>551</v>
      </c>
      <c r="X5" s="21" t="s">
        <v>551</v>
      </c>
      <c r="Y5" s="21" t="s">
        <v>551</v>
      </c>
      <c r="Z5" s="22">
        <v>4328.57</v>
      </c>
      <c r="AA5" s="22">
        <v>4288.13</v>
      </c>
      <c r="AB5" s="22">
        <v>2.5510000000000002</v>
      </c>
      <c r="AC5" s="22">
        <v>15.824999999999999</v>
      </c>
      <c r="AE5" s="23">
        <f>IF(ISBLANK(AN5),"·",AN5/(C5*D5*3))</f>
        <v>0.30036788874178572</v>
      </c>
      <c r="AF5" s="17">
        <f>IF(OR(ISBLANK(AN5),ISBLANK(F5)),"·",AN5*F5/E5/1000000)</f>
        <v>210.89492999999999</v>
      </c>
      <c r="AG5" s="18">
        <f>IF(ISBLANK(AN5),"·",AN5/C5)</f>
        <v>9.0110366622535718</v>
      </c>
      <c r="AH5" s="18">
        <f>IF(AK5="","·",AK5/C5)</f>
        <v>1.3669359828084386</v>
      </c>
      <c r="AI5" s="18">
        <f>IF(AO5="","·",AO5/C5)</f>
        <v>1.28520244135425</v>
      </c>
      <c r="AJ5" s="18">
        <f>IF(ISBLANK(AQ5),"·",AQ5/C5)</f>
        <v>7.643998774091413</v>
      </c>
      <c r="AK5" s="15">
        <f>IF(OR(ISBLANK(AO5),ISBLANK(AP5)),"",AO5+AP5)</f>
        <v>34124656</v>
      </c>
      <c r="AL5" s="18">
        <f>IF(ISBLANK(AN5),"·",AN5/AM5)</f>
        <v>9.0110366622535718</v>
      </c>
      <c r="AM5" s="19">
        <v>24964341</v>
      </c>
      <c r="AN5" s="20">
        <v>224954592</v>
      </c>
      <c r="AO5" s="20">
        <v>32084232</v>
      </c>
      <c r="AP5" s="20">
        <v>2040424</v>
      </c>
      <c r="AQ5" s="20">
        <v>190827392</v>
      </c>
      <c r="AR5" s="21" t="s">
        <v>551</v>
      </c>
      <c r="AS5" s="21" t="s">
        <v>551</v>
      </c>
      <c r="AT5" s="21" t="s">
        <v>551</v>
      </c>
      <c r="AU5" s="21" t="s">
        <v>551</v>
      </c>
      <c r="AV5" s="21" t="s">
        <v>551</v>
      </c>
      <c r="AW5" s="22">
        <v>3673.33</v>
      </c>
      <c r="AX5" s="22">
        <v>4498.7700000000004</v>
      </c>
      <c r="AY5" s="22">
        <v>2.2669999999999999</v>
      </c>
      <c r="AZ5" s="22">
        <v>16.093</v>
      </c>
      <c r="BB5" s="24">
        <f t="shared" ref="BB5:BB12" si="0">AG5/J5</f>
        <v>0.9998369359025826</v>
      </c>
      <c r="BC5" s="24">
        <f t="shared" ref="BC5:BD12" si="1">AI5/L5</f>
        <v>1</v>
      </c>
      <c r="BD5" s="24">
        <f t="shared" si="1"/>
        <v>0.99979700956486062</v>
      </c>
      <c r="BE5" s="23">
        <f>(AK5/AN5) - (N5/Q5)</f>
        <v>2.4736130882441199E-5</v>
      </c>
      <c r="BF5" s="23">
        <f t="array" ref="BF5">AVERAGE(AK5:AK5/AN5:AN5) - AVERAGE(N5:N5/Q5:Q5)</f>
        <v>2.4736130882441199E-5</v>
      </c>
      <c r="BH5">
        <f>AN5-Q5</f>
        <v>-36688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0.42962492978121902</v>
      </c>
      <c r="I6" s="27">
        <f>IF(OR(ISBLANK(Q6),ISBLANK(F6)),"·",Q6*F6/E6/1000000)</f>
        <v>273.74237249999999</v>
      </c>
      <c r="J6" s="28">
        <f>IF(ISBLANK(Q6),"·",Q6/C6)</f>
        <v>12.888747893436571</v>
      </c>
      <c r="K6" s="28">
        <f>IF(N6="","·",N6/C6)</f>
        <v>1.667922133373213</v>
      </c>
      <c r="L6" s="28">
        <f>IF(R6="","·",R6/C6)</f>
        <v>1.525547291568242</v>
      </c>
      <c r="M6" s="28">
        <f>IF(ISBLANK(T6),"·",T6/C6)</f>
        <v>11.22080421936395</v>
      </c>
      <c r="N6" s="25">
        <f>IF(OR(ISBLANK(R6),ISBLANK(S6)),"",R6+S6)</f>
        <v>37786424</v>
      </c>
      <c r="O6" s="28">
        <f>IF(ISBLANK(Q6),"·",Q6/P6)</f>
        <v>12.888747893436571</v>
      </c>
      <c r="P6" s="29">
        <v>22654789</v>
      </c>
      <c r="Q6" s="30">
        <v>291991864</v>
      </c>
      <c r="R6" s="30">
        <v>34560952</v>
      </c>
      <c r="S6" s="30">
        <v>3225472</v>
      </c>
      <c r="T6" s="30">
        <v>254204952</v>
      </c>
      <c r="U6" s="31" t="s">
        <v>551</v>
      </c>
      <c r="V6" s="31" t="s">
        <v>551</v>
      </c>
      <c r="W6" s="31" t="s">
        <v>551</v>
      </c>
      <c r="X6" s="31" t="s">
        <v>551</v>
      </c>
      <c r="Y6" s="31" t="s">
        <v>551</v>
      </c>
      <c r="Z6" s="32">
        <v>3545.69</v>
      </c>
      <c r="AA6" s="32">
        <v>4744.3</v>
      </c>
      <c r="AB6" s="32">
        <v>2.3319999999999999</v>
      </c>
      <c r="AC6" s="32">
        <v>17.744</v>
      </c>
      <c r="AE6" s="33">
        <f>IF(ISBLANK(AN6),"·",AN6/(C6*D6*3))</f>
        <v>0.42926508239236599</v>
      </c>
      <c r="AF6" s="27">
        <f>IF(OR(ISBLANK(AN6),ISBLANK(F6)),"·",AN6*F6/E6/1000000)</f>
        <v>273.51308999999998</v>
      </c>
      <c r="AG6" s="28">
        <f>IF(ISBLANK(AN6),"·",AN6/C6)</f>
        <v>12.87795247177098</v>
      </c>
      <c r="AH6" s="28">
        <f>IF(AK6="","·",AK6/C6)</f>
        <v>1.667922133373213</v>
      </c>
      <c r="AI6" s="28">
        <f>IF(AO6="","·",AO6/C6)</f>
        <v>1.525547291568242</v>
      </c>
      <c r="AJ6" s="28">
        <f>IF(ISBLANK(AQ6),"·",AQ6/C6)</f>
        <v>11.209918044259869</v>
      </c>
      <c r="AK6" s="25">
        <f>IF(OR(ISBLANK(AO6),ISBLANK(AP6)),"",AO6+AP6)</f>
        <v>37786424</v>
      </c>
      <c r="AL6" s="28">
        <f>IF(ISBLANK(AN6),"·",AN6/AM6)</f>
        <v>12.87795247177098</v>
      </c>
      <c r="AM6" s="29">
        <v>22654789</v>
      </c>
      <c r="AN6" s="30">
        <v>291747296</v>
      </c>
      <c r="AO6" s="30">
        <v>34560952</v>
      </c>
      <c r="AP6" s="30">
        <v>3225472</v>
      </c>
      <c r="AQ6" s="30">
        <v>253958328</v>
      </c>
      <c r="AR6" s="31" t="s">
        <v>551</v>
      </c>
      <c r="AS6" s="31" t="s">
        <v>551</v>
      </c>
      <c r="AT6" s="31" t="s">
        <v>551</v>
      </c>
      <c r="AU6" s="31" t="s">
        <v>551</v>
      </c>
      <c r="AV6" s="31" t="s">
        <v>551</v>
      </c>
      <c r="AW6" s="32">
        <v>3489.27</v>
      </c>
      <c r="AX6" s="32">
        <v>4927.67</v>
      </c>
      <c r="AY6" s="32">
        <v>2.2400000000000002</v>
      </c>
      <c r="AZ6" s="32">
        <v>17.852</v>
      </c>
      <c r="BB6" s="34">
        <f t="shared" si="0"/>
        <v>0.99916241501852254</v>
      </c>
      <c r="BC6" s="34">
        <f t="shared" si="1"/>
        <v>1</v>
      </c>
      <c r="BD6" s="34">
        <f t="shared" si="1"/>
        <v>0.9990298222042503</v>
      </c>
      <c r="BE6" s="33">
        <f>(AK6/AN6) - (N6/Q6)</f>
        <v>1.0848203798308198E-4</v>
      </c>
      <c r="BF6" s="33">
        <f t="array" ref="BF6">AVERAGE(AK6:AK6/AN6:AN6) - AVERAGE(N6:N6/Q6:Q6)</f>
        <v>1.0848203798308198E-4</v>
      </c>
      <c r="BH6" s="4">
        <f t="shared" ref="BH6:BH9" si="2">AN6-Q6</f>
        <v>-244568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0.34270988111778233</v>
      </c>
      <c r="I7" s="17">
        <f>IF(OR(ISBLANK(Q7),ISBLANK(F7)),"·",Q7*F7/E7/1000000)</f>
        <v>327.21239250000002</v>
      </c>
      <c r="J7" s="18">
        <f>IF(ISBLANK(Q7),"·",Q7/C7)</f>
        <v>10.28129643353347</v>
      </c>
      <c r="K7" s="18">
        <f>IF(N7="","·",N7/C7)</f>
        <v>1.5514633413650956</v>
      </c>
      <c r="L7" s="18">
        <f>IF(R7="","·",R7/C7)</f>
        <v>1.4372250882960675</v>
      </c>
      <c r="M7" s="18">
        <f>IF(ISBLANK(T7),"·",T7/C7)</f>
        <v>8.7298187171226065</v>
      </c>
      <c r="N7" s="15">
        <f>IF(OR(ISBLANK(R7),ISBLANK(S7)),"",R7+S7)</f>
        <v>52668640</v>
      </c>
      <c r="O7" s="18">
        <f>IF(ISBLANK(Q7),"·",Q7/P7)</f>
        <v>10.28129643353347</v>
      </c>
      <c r="P7" s="19">
        <v>33947718</v>
      </c>
      <c r="Q7" s="20">
        <v>349026552</v>
      </c>
      <c r="R7" s="20">
        <v>48790512</v>
      </c>
      <c r="S7" s="20">
        <v>3878128</v>
      </c>
      <c r="T7" s="20">
        <v>296357424</v>
      </c>
      <c r="U7" s="21" t="s">
        <v>551</v>
      </c>
      <c r="V7" s="21" t="s">
        <v>551</v>
      </c>
      <c r="W7" s="21" t="s">
        <v>551</v>
      </c>
      <c r="X7" s="21" t="s">
        <v>551</v>
      </c>
      <c r="Y7" s="21" t="s">
        <v>551</v>
      </c>
      <c r="Z7" s="22">
        <v>5017.38</v>
      </c>
      <c r="AA7" s="22">
        <v>5963.53</v>
      </c>
      <c r="AB7" s="22">
        <v>3.016</v>
      </c>
      <c r="AC7" s="22">
        <v>20.079000000000001</v>
      </c>
      <c r="AE7" s="23">
        <f>IF(ISBLANK(AN7),"·",AN7/(C7*D7*3))</f>
        <v>0.34255221121686785</v>
      </c>
      <c r="AF7" s="17">
        <f>IF(OR(ISBLANK(AN7),ISBLANK(F7)),"·",AN7*F7/E7/1000000)</f>
        <v>327.06185249999999</v>
      </c>
      <c r="AG7" s="18">
        <f>IF(ISBLANK(AN7),"·",AN7/C7)</f>
        <v>10.276566336506036</v>
      </c>
      <c r="AH7" s="18">
        <f>IF(AK7="","·",AK7/C7)</f>
        <v>1.5514633413650956</v>
      </c>
      <c r="AI7" s="18">
        <f>IF(AO7="","·",AO7/C7)</f>
        <v>1.4372250882960675</v>
      </c>
      <c r="AJ7" s="18">
        <f>IF(ISBLANK(AQ7),"·",AQ7/C7)</f>
        <v>8.7250280563777505</v>
      </c>
      <c r="AK7" s="15">
        <f>IF(OR(ISBLANK(AO7),ISBLANK(AP7)),"",AO7+AP7)</f>
        <v>52668640</v>
      </c>
      <c r="AL7" s="18">
        <f>IF(ISBLANK(AN7),"·",AN7/AM7)</f>
        <v>10.276566336506036</v>
      </c>
      <c r="AM7" s="19">
        <v>33947718</v>
      </c>
      <c r="AN7" s="20">
        <v>348865976</v>
      </c>
      <c r="AO7" s="20">
        <v>48790512</v>
      </c>
      <c r="AP7" s="20">
        <v>3878128</v>
      </c>
      <c r="AQ7" s="20">
        <v>296194792</v>
      </c>
      <c r="AR7" s="21" t="s">
        <v>551</v>
      </c>
      <c r="AS7" s="21" t="s">
        <v>551</v>
      </c>
      <c r="AT7" s="21" t="s">
        <v>551</v>
      </c>
      <c r="AU7" s="21" t="s">
        <v>551</v>
      </c>
      <c r="AV7" s="21" t="s">
        <v>551</v>
      </c>
      <c r="AW7" s="22">
        <v>5455.31</v>
      </c>
      <c r="AX7" s="22">
        <v>5949.23</v>
      </c>
      <c r="AY7" s="22">
        <v>3.177</v>
      </c>
      <c r="AZ7" s="22">
        <v>19.972999999999999</v>
      </c>
      <c r="BB7" s="24">
        <f t="shared" si="0"/>
        <v>0.99953993185022794</v>
      </c>
      <c r="BC7" s="24">
        <f t="shared" si="1"/>
        <v>1</v>
      </c>
      <c r="BD7" s="24">
        <f t="shared" si="1"/>
        <v>0.99945123021449922</v>
      </c>
      <c r="BE7" s="23">
        <f>(AK7/AN7) - (N7/Q7)</f>
        <v>6.9456941699047592E-5</v>
      </c>
      <c r="BF7" s="23">
        <f t="array" ref="BF7">AVERAGE(AK7:AK7/AN7:AN7) - AVERAGE(N7:N7/Q7:Q7)</f>
        <v>6.9456941699047592E-5</v>
      </c>
      <c r="BH7" s="4">
        <f t="shared" si="2"/>
        <v>-160576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0.27167730690671321</v>
      </c>
      <c r="I8" s="47">
        <f>IF(OR(ISBLANK(Q8),ISBLANK(F8)),"·",Q8*F8/E8/1000000)</f>
        <v>410.18573750000002</v>
      </c>
      <c r="J8" s="48">
        <f>IF(ISBLANK(Q8),"·",Q8/C8)</f>
        <v>8.150319207201397</v>
      </c>
      <c r="K8" s="48">
        <f>IF(N8="","·",N8/C8)</f>
        <v>1.0717672344272799</v>
      </c>
      <c r="L8" s="48">
        <f>IF(R8="","·",R8/C8)</f>
        <v>0.91922831929556004</v>
      </c>
      <c r="M8" s="48">
        <f>IF(ISBLANK(T8),"·",T8/C8)</f>
        <v>7.078536822031837</v>
      </c>
      <c r="N8" s="45">
        <f>IF(OR(ISBLANK(R8),ISBLANK(S8)),"",R8+S8)</f>
        <v>34521240</v>
      </c>
      <c r="O8" s="48">
        <f>IF(ISBLANK(Q8),"·",Q8/P8)</f>
        <v>8.150319207201397</v>
      </c>
      <c r="P8" s="49">
        <v>32209643</v>
      </c>
      <c r="Q8" s="50">
        <v>262518872</v>
      </c>
      <c r="R8" s="50">
        <v>29608016</v>
      </c>
      <c r="S8" s="50">
        <v>4913224</v>
      </c>
      <c r="T8" s="50">
        <v>227997144</v>
      </c>
      <c r="U8" s="51" t="s">
        <v>551</v>
      </c>
      <c r="V8" s="51" t="s">
        <v>551</v>
      </c>
      <c r="W8" s="51" t="s">
        <v>551</v>
      </c>
      <c r="X8" s="51" t="s">
        <v>551</v>
      </c>
      <c r="Y8" s="51" t="s">
        <v>551</v>
      </c>
      <c r="Z8" s="52">
        <v>5167.45</v>
      </c>
      <c r="AA8" s="52">
        <v>4489.9799999999996</v>
      </c>
      <c r="AB8" s="52">
        <v>2.665</v>
      </c>
      <c r="AC8" s="52">
        <v>17.065000000000001</v>
      </c>
      <c r="AE8" s="53">
        <f>IF(ISBLANK(AN8),"·",AN8/(C8*D8*3))</f>
        <v>0.27155199453778484</v>
      </c>
      <c r="AF8" s="47">
        <f>IF(OR(ISBLANK(AN8),ISBLANK(F8)),"·",AN8*F8/E8/1000000)</f>
        <v>409.99653749999999</v>
      </c>
      <c r="AG8" s="48">
        <f>IF(ISBLANK(AN8),"·",AN8/C8)</f>
        <v>8.1465598361335463</v>
      </c>
      <c r="AH8" s="48">
        <f>IF(AK8="","·",AK8/C8)</f>
        <v>1.0717672344272799</v>
      </c>
      <c r="AI8" s="48">
        <f>IF(AO8="","·",AO8/C8)</f>
        <v>0.91922831929556004</v>
      </c>
      <c r="AJ8" s="48">
        <f>IF(ISBLANK(AQ8),"·",AQ8/C8)</f>
        <v>7.0747136191481541</v>
      </c>
      <c r="AK8" s="45">
        <f>IF(OR(ISBLANK(AO8),ISBLANK(AP8)),"",AO8+AP8)</f>
        <v>34521240</v>
      </c>
      <c r="AL8" s="48">
        <f>IF(ISBLANK(AN8),"·",AN8/AM8)</f>
        <v>8.1465598361335463</v>
      </c>
      <c r="AM8" s="49">
        <v>32209643</v>
      </c>
      <c r="AN8" s="50">
        <v>262397784</v>
      </c>
      <c r="AO8" s="50">
        <v>29608016</v>
      </c>
      <c r="AP8" s="50">
        <v>4913224</v>
      </c>
      <c r="AQ8" s="50">
        <v>227874000</v>
      </c>
      <c r="AR8" s="51" t="s">
        <v>551</v>
      </c>
      <c r="AS8" s="51" t="s">
        <v>551</v>
      </c>
      <c r="AT8" s="51" t="s">
        <v>551</v>
      </c>
      <c r="AU8" s="51" t="s">
        <v>551</v>
      </c>
      <c r="AV8" s="51" t="s">
        <v>551</v>
      </c>
      <c r="AW8" s="52">
        <v>4876.21</v>
      </c>
      <c r="AX8" s="52">
        <v>4561.32</v>
      </c>
      <c r="AY8" s="52">
        <v>2.645</v>
      </c>
      <c r="AZ8" s="52">
        <v>16.747</v>
      </c>
      <c r="BB8" s="54">
        <f t="shared" si="0"/>
        <v>0.99953874554207289</v>
      </c>
      <c r="BC8" s="54">
        <f t="shared" si="1"/>
        <v>1</v>
      </c>
      <c r="BD8" s="54">
        <f t="shared" si="1"/>
        <v>0.99945988797122831</v>
      </c>
      <c r="BE8" s="53">
        <f>(AK8/AN8) - (N8/Q8)</f>
        <v>6.0682966145669814E-5</v>
      </c>
      <c r="BF8" s="53">
        <f t="array" ref="BF8">AVERAGE(AK8:AK8/AN8:AN8) - AVERAGE(N8:N8/Q8:Q8)</f>
        <v>6.0682966145669814E-5</v>
      </c>
      <c r="BH8" s="4">
        <f t="shared" si="2"/>
        <v>-121088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0.50451807930192449</v>
      </c>
      <c r="I9" s="37">
        <f>IF(OR(ISBLANK(Q9),ISBLANK(F9)),"·",Q9*F9/E9/1000000)</f>
        <v>359.17221000000001</v>
      </c>
      <c r="J9" s="38">
        <f>IF(ISBLANK(Q9),"·",Q9/C9)</f>
        <v>15.135542379057734</v>
      </c>
      <c r="K9" s="38">
        <f>IF(N9="","·",N9/C9)</f>
        <v>1.5091548777184691</v>
      </c>
      <c r="L9" s="38">
        <f>IF(R9="","·",R9/C9)</f>
        <v>1.4090332298689243</v>
      </c>
      <c r="M9" s="38">
        <f>IF(ISBLANK(T9),"·",T9/C9)</f>
        <v>13.626368222256847</v>
      </c>
      <c r="N9" s="35">
        <f>IF(OR(ISBLANK(R9),ISBLANK(S9)),"",R9+S9)</f>
        <v>38200344</v>
      </c>
      <c r="O9" s="38">
        <f>IF(ISBLANK(Q9),"·",Q9/P9)</f>
        <v>15.135542379057734</v>
      </c>
      <c r="P9" s="39">
        <v>25312408</v>
      </c>
      <c r="Q9" s="40">
        <v>383117024</v>
      </c>
      <c r="R9" s="40">
        <v>35666024</v>
      </c>
      <c r="S9" s="40">
        <v>2534320</v>
      </c>
      <c r="T9" s="40">
        <v>344916192</v>
      </c>
      <c r="U9" s="41" t="s">
        <v>551</v>
      </c>
      <c r="V9" s="41" t="s">
        <v>551</v>
      </c>
      <c r="W9" s="41" t="s">
        <v>551</v>
      </c>
      <c r="X9" s="41" t="s">
        <v>551</v>
      </c>
      <c r="Y9" s="41" t="s">
        <v>551</v>
      </c>
      <c r="Z9" s="42">
        <v>4102.71</v>
      </c>
      <c r="AA9" s="42">
        <v>5126.08</v>
      </c>
      <c r="AB9" s="42">
        <v>2.3879999999999999</v>
      </c>
      <c r="AC9" s="42">
        <v>19.568000000000001</v>
      </c>
      <c r="AE9" s="43">
        <f>IF(ISBLANK(AN9),"·",AN9/(C9*D9*3))</f>
        <v>0.50428603500175351</v>
      </c>
      <c r="AF9" s="37">
        <f>IF(OR(ISBLANK(AN9),ISBLANK(F9)),"·",AN9*F9/E9/1000000)</f>
        <v>359.00701500000002</v>
      </c>
      <c r="AG9" s="38">
        <f>IF(ISBLANK(AN9),"·",AN9/C9)</f>
        <v>15.128581050052606</v>
      </c>
      <c r="AH9" s="38">
        <f>IF(AK9="","·",AK9/C9)</f>
        <v>1.5091548777184691</v>
      </c>
      <c r="AI9" s="38">
        <f>IF(AO9="","·",AO9/C9)</f>
        <v>1.4090332298689243</v>
      </c>
      <c r="AJ9" s="38">
        <f>IF(ISBLANK(AQ9),"·",AQ9/C9)</f>
        <v>13.619325668265144</v>
      </c>
      <c r="AK9" s="35">
        <f>IF(OR(ISBLANK(AO9),ISBLANK(AP9)),"",AO9+AP9)</f>
        <v>38200344</v>
      </c>
      <c r="AL9" s="38">
        <f>IF(ISBLANK(AN9),"·",AN9/AM9)</f>
        <v>15.128581050052606</v>
      </c>
      <c r="AM9" s="39">
        <v>25312408</v>
      </c>
      <c r="AN9" s="40">
        <v>382940816</v>
      </c>
      <c r="AO9" s="40">
        <v>35666024</v>
      </c>
      <c r="AP9" s="40">
        <v>2534320</v>
      </c>
      <c r="AQ9" s="40">
        <v>344737928</v>
      </c>
      <c r="AR9" s="41" t="s">
        <v>551</v>
      </c>
      <c r="AS9" s="41" t="s">
        <v>551</v>
      </c>
      <c r="AT9" s="41" t="s">
        <v>551</v>
      </c>
      <c r="AU9" s="41" t="s">
        <v>551</v>
      </c>
      <c r="AV9" s="41" t="s">
        <v>551</v>
      </c>
      <c r="AW9" s="42">
        <v>3978.25</v>
      </c>
      <c r="AX9" s="42">
        <v>5111.16</v>
      </c>
      <c r="AY9" s="42">
        <v>2.395</v>
      </c>
      <c r="AZ9" s="42">
        <v>21.059000000000001</v>
      </c>
      <c r="BB9" s="44">
        <f t="shared" si="0"/>
        <v>0.99954006742336765</v>
      </c>
      <c r="BC9" s="44">
        <f t="shared" si="1"/>
        <v>1</v>
      </c>
      <c r="BD9" s="44">
        <f t="shared" si="1"/>
        <v>0.99948316720370145</v>
      </c>
      <c r="BE9" s="43">
        <f>(AK9/AN9) - (N9/Q9)</f>
        <v>4.5880673749221224E-5</v>
      </c>
      <c r="BF9" s="43">
        <f t="array" ref="BF9">AVERAGE(AK9:AK9/AN9:AN9) - AVERAGE(N9:N9/Q9:Q9)</f>
        <v>4.5880673749221224E-5</v>
      </c>
      <c r="BH9" s="4">
        <f t="shared" si="2"/>
        <v>-176208</v>
      </c>
    </row>
    <row r="10" spans="1:60" x14ac:dyDescent="0.3">
      <c r="B10" s="55" t="s">
        <v>288</v>
      </c>
      <c r="J10" s="56">
        <f>AVERAGE(J5:J8)</f>
        <v>10.083217453156694</v>
      </c>
      <c r="K10" s="56">
        <f>AVERAGE(K5:K8)</f>
        <v>1.4145221729935067</v>
      </c>
      <c r="L10" s="56">
        <f>AVERAGE(L5:L8)</f>
        <v>1.2918007851285298</v>
      </c>
      <c r="M10" s="56">
        <f>AVERAGE(M5:M8)</f>
        <v>8.6686776265707444</v>
      </c>
      <c r="AG10" s="56">
        <f>AVERAGE(AG5:AG8)</f>
        <v>10.078028826666035</v>
      </c>
      <c r="AH10" s="56">
        <f>AVERAGE(AH5:AH8)</f>
        <v>1.4145221729935067</v>
      </c>
      <c r="AI10" s="56">
        <f>AVERAGE(AI5:AI8)</f>
        <v>1.2918007851285298</v>
      </c>
      <c r="AJ10" s="56">
        <f>AVERAGE(AJ5:AJ8)</f>
        <v>8.663414623469297</v>
      </c>
      <c r="BB10" s="5">
        <f t="shared" si="0"/>
        <v>0.99948541955831427</v>
      </c>
      <c r="BC10" s="5">
        <f t="shared" si="1"/>
        <v>1</v>
      </c>
      <c r="BD10" s="5">
        <f t="shared" si="1"/>
        <v>0.99939287128577536</v>
      </c>
      <c r="BF10" s="8">
        <f>AVERAGE(BF5:BF8)</f>
        <v>6.5839519177560146E-5</v>
      </c>
    </row>
    <row r="11" spans="1:60" x14ac:dyDescent="0.3">
      <c r="B11" s="55" t="s">
        <v>289</v>
      </c>
      <c r="J11" s="56">
        <f>AVERAGE(J9:J9)</f>
        <v>15.135542379057734</v>
      </c>
      <c r="K11" s="56">
        <f>AVERAGE(K9:K9)</f>
        <v>1.5091548777184691</v>
      </c>
      <c r="L11" s="56">
        <f>AVERAGE(L9:L9)</f>
        <v>1.4090332298689243</v>
      </c>
      <c r="M11" s="56">
        <f>AVERAGE(M9:M9)</f>
        <v>13.626368222256847</v>
      </c>
      <c r="AG11" s="56">
        <f>AVERAGE(AG9:AG9)</f>
        <v>15.128581050052606</v>
      </c>
      <c r="AH11" s="56">
        <f>AVERAGE(AH9:AH9)</f>
        <v>1.5091548777184691</v>
      </c>
      <c r="AI11" s="56">
        <f>AVERAGE(AI9:AI9)</f>
        <v>1.4090332298689243</v>
      </c>
      <c r="AJ11" s="56">
        <f>AVERAGE(AJ9:AJ9)</f>
        <v>13.619325668265144</v>
      </c>
      <c r="BB11" s="5">
        <f t="shared" si="0"/>
        <v>0.99954006742336765</v>
      </c>
      <c r="BC11" s="5">
        <f t="shared" si="1"/>
        <v>1</v>
      </c>
      <c r="BD11" s="5">
        <f t="shared" si="1"/>
        <v>0.99948316720370145</v>
      </c>
      <c r="BF11" s="8">
        <f>AVERAGE(BF9:BF9)</f>
        <v>4.5880673749221224E-5</v>
      </c>
    </row>
    <row r="12" spans="1:60" collapsed="1" x14ac:dyDescent="0.3">
      <c r="B12" s="55" t="s">
        <v>290</v>
      </c>
      <c r="J12" s="56">
        <f>AVERAGE(J5:J9)</f>
        <v>11.093682438336902</v>
      </c>
      <c r="K12" s="56">
        <f>AVERAGE(K5:K9)</f>
        <v>1.4334487139384993</v>
      </c>
      <c r="L12" s="56">
        <f>AVERAGE(L5:L9)</f>
        <v>1.3152472740766086</v>
      </c>
      <c r="M12" s="56">
        <f>AVERAGE(M5:M9)</f>
        <v>9.6602157457079638</v>
      </c>
      <c r="AG12" s="56">
        <f>AVERAGE(AG5:AG9)</f>
        <v>11.088139271343348</v>
      </c>
      <c r="AH12" s="56">
        <f>AVERAGE(AH5:AH9)</f>
        <v>1.4334487139384993</v>
      </c>
      <c r="AI12" s="56">
        <f>AVERAGE(AI5:AI9)</f>
        <v>1.3152472740766086</v>
      </c>
      <c r="AJ12" s="56">
        <f>AVERAGE(AJ5:AJ9)</f>
        <v>9.6545968324284672</v>
      </c>
      <c r="BB12" s="5">
        <f t="shared" si="0"/>
        <v>0.99950033119981885</v>
      </c>
      <c r="BC12" s="5">
        <f t="shared" si="1"/>
        <v>1</v>
      </c>
      <c r="BD12" s="5">
        <f t="shared" si="1"/>
        <v>0.99941834494928405</v>
      </c>
      <c r="BF12" s="8">
        <f>AVERAGE(BF5:BF9)</f>
        <v>6.1847750091892359E-5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22161.8</v>
      </c>
      <c r="AA13" s="57">
        <f>SUM(AA5:AA8,AA9:AA9)</f>
        <v>24612.019999999997</v>
      </c>
      <c r="AB13" s="57">
        <f>SUM(AB5:AB8,AB9:AB9)</f>
        <v>12.952</v>
      </c>
      <c r="AC13" s="57">
        <f>SUM(AC5:AC8,AC9:AC9)</f>
        <v>90.281000000000006</v>
      </c>
      <c r="AW13" s="57">
        <f>SUM(AW5:AW8,AW9:AW9)</f>
        <v>21472.37</v>
      </c>
      <c r="AX13" s="57">
        <f>SUM(AX5:AX8,AX9:AX9)</f>
        <v>25048.149999999998</v>
      </c>
      <c r="AY13" s="57">
        <f>SUM(AY5:AY8,AY9:AY9)</f>
        <v>12.723999999999998</v>
      </c>
      <c r="AZ13" s="57">
        <f>SUM(AZ5:AZ8,AZ9:AZ9)</f>
        <v>91.72399999999999</v>
      </c>
    </row>
    <row r="14" spans="1:60" hidden="1" outlineLevel="2" x14ac:dyDescent="0.3">
      <c r="B14" s="55" t="s">
        <v>293</v>
      </c>
      <c r="AW14" s="8">
        <f>AW13/Z13</f>
        <v>0.96889106480520537</v>
      </c>
      <c r="AX14" s="8">
        <f>AX13/AA13</f>
        <v>1.0177202033802997</v>
      </c>
      <c r="AY14" s="8">
        <f>AY13/AB13</f>
        <v>0.98239654107473739</v>
      </c>
      <c r="AZ14" s="8">
        <f>AZ13/AC13</f>
        <v>1.0159834295145156</v>
      </c>
    </row>
    <row r="15" spans="1:60" hidden="1" outlineLevel="2" x14ac:dyDescent="0.3">
      <c r="B15" s="55" t="s">
        <v>294</v>
      </c>
      <c r="Z15" s="57">
        <f>GEOMEAN(Z5:Z8,Z9:Z9)</f>
        <v>4391.1053937492416</v>
      </c>
      <c r="AA15" s="57">
        <f>GEOMEAN(AA5:AA8,AA9:AA9)</f>
        <v>4888.7142849412585</v>
      </c>
      <c r="AB15" s="57">
        <f>GEOMEAN(AB5:AB8,AB9:AB9)</f>
        <v>2.5794099782739646</v>
      </c>
      <c r="AC15" s="57">
        <f>GEOMEAN(AC5:AC8,AC9:AC9)</f>
        <v>17.986970066056575</v>
      </c>
      <c r="AW15" s="57">
        <f>GEOMEAN(AW5:AW8,AW9:AW9)</f>
        <v>4231.337683968577</v>
      </c>
      <c r="AX15" s="57">
        <f>GEOMEAN(AX5:AX8,AX9:AX9)</f>
        <v>4983.8072399740395</v>
      </c>
      <c r="AY15" s="57">
        <f>GEOMEAN(AY5:AY8,AY9:AY9)</f>
        <v>2.5228393104830604</v>
      </c>
      <c r="AZ15" s="57">
        <f>GEOMEAN(AZ5:AZ8,AZ9:AZ9)</f>
        <v>18.248551237070259</v>
      </c>
    </row>
    <row r="16" spans="1:60" outlineLevel="2" collapsed="1" x14ac:dyDescent="0.3">
      <c r="B16" s="55" t="s">
        <v>295</v>
      </c>
      <c r="AW16" s="8">
        <f>AW15/Z15</f>
        <v>0.96361560576339289</v>
      </c>
      <c r="AX16" s="8">
        <f>AX15/AA15</f>
        <v>1.0194515264116981</v>
      </c>
      <c r="AY16" s="8">
        <f>AY15/AB15</f>
        <v>0.97806836901950778</v>
      </c>
      <c r="AZ16" s="8">
        <f>AZ15/AC15</f>
        <v>1.0145428146070758</v>
      </c>
    </row>
    <row r="23" spans="41:41" x14ac:dyDescent="0.3">
      <c r="AO23" s="4"/>
    </row>
    <row r="24" spans="41:41" x14ac:dyDescent="0.3">
      <c r="AO24" s="4"/>
    </row>
    <row r="25" spans="41:41" x14ac:dyDescent="0.3">
      <c r="AO25" s="4"/>
    </row>
    <row r="26" spans="41:41" x14ac:dyDescent="0.3">
      <c r="AO26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16"/>
  <sheetViews>
    <sheetView zoomScale="85" zoomScaleNormal="85" workbookViewId="0">
      <pane xSplit="2" topLeftCell="W1" activePane="topRight" state="frozen"/>
      <selection pane="topRight" activeCell="AX30" sqref="AX30"/>
    </sheetView>
  </sheetViews>
  <sheetFormatPr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70" t="s">
        <v>441</v>
      </c>
      <c r="B1" s="70"/>
      <c r="C1" s="70"/>
      <c r="D1" s="70"/>
      <c r="E1" s="70"/>
      <c r="F1" s="70"/>
      <c r="H1" s="58" t="s">
        <v>550</v>
      </c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E1" s="59" t="s">
        <v>552</v>
      </c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60" ht="30" customHeight="1" x14ac:dyDescent="0.3">
      <c r="A2" s="66" t="s">
        <v>93</v>
      </c>
      <c r="B2" s="67" t="s">
        <v>96</v>
      </c>
      <c r="C2" s="66" t="s">
        <v>102</v>
      </c>
      <c r="D2" s="67" t="s">
        <v>105</v>
      </c>
      <c r="E2" s="66" t="s">
        <v>108</v>
      </c>
      <c r="F2" s="67" t="s">
        <v>111</v>
      </c>
      <c r="H2" s="66" t="s">
        <v>310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9" t="s">
        <v>142</v>
      </c>
      <c r="R2" s="69"/>
      <c r="S2" s="69"/>
      <c r="T2" s="69"/>
      <c r="U2" s="68" t="s">
        <v>153</v>
      </c>
      <c r="V2" s="68"/>
      <c r="W2" s="69" t="s">
        <v>160</v>
      </c>
      <c r="X2" s="69"/>
      <c r="Y2" s="69"/>
      <c r="Z2" s="68" t="s">
        <v>170</v>
      </c>
      <c r="AA2" s="68"/>
      <c r="AB2" s="69" t="s">
        <v>177</v>
      </c>
      <c r="AC2" s="69"/>
      <c r="AE2" s="66" t="s">
        <v>310</v>
      </c>
      <c r="AF2" s="67" t="s">
        <v>114</v>
      </c>
      <c r="AG2" s="68" t="s">
        <v>117</v>
      </c>
      <c r="AH2" s="68"/>
      <c r="AI2" s="68"/>
      <c r="AJ2" s="68"/>
      <c r="AK2" s="66" t="s">
        <v>192</v>
      </c>
      <c r="AL2" s="67" t="s">
        <v>133</v>
      </c>
      <c r="AM2" s="66" t="s">
        <v>24</v>
      </c>
      <c r="AN2" s="69" t="s">
        <v>142</v>
      </c>
      <c r="AO2" s="69"/>
      <c r="AP2" s="69"/>
      <c r="AQ2" s="69"/>
      <c r="AR2" s="68" t="s">
        <v>153</v>
      </c>
      <c r="AS2" s="68"/>
      <c r="AT2" s="69" t="s">
        <v>160</v>
      </c>
      <c r="AU2" s="69"/>
      <c r="AV2" s="69"/>
      <c r="AW2" s="68" t="s">
        <v>170</v>
      </c>
      <c r="AX2" s="68"/>
      <c r="AY2" s="69" t="s">
        <v>177</v>
      </c>
      <c r="AZ2" s="69"/>
      <c r="BB2" s="68" t="s">
        <v>357</v>
      </c>
      <c r="BC2" s="68"/>
      <c r="BD2" s="68"/>
      <c r="BE2" s="67" t="s">
        <v>232</v>
      </c>
      <c r="BF2" s="66" t="s">
        <v>232</v>
      </c>
      <c r="BH2" t="s">
        <v>549</v>
      </c>
    </row>
    <row r="3" spans="1:60" ht="29.4" thickBot="1" x14ac:dyDescent="0.35">
      <c r="A3" s="66"/>
      <c r="B3" s="67"/>
      <c r="C3" s="66"/>
      <c r="D3" s="67"/>
      <c r="E3" s="66"/>
      <c r="F3" s="67"/>
      <c r="H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66"/>
      <c r="AF3" s="67"/>
      <c r="AG3" s="11" t="s">
        <v>118</v>
      </c>
      <c r="AH3" s="11" t="s">
        <v>121</v>
      </c>
      <c r="AI3" s="11" t="s">
        <v>124</v>
      </c>
      <c r="AJ3" s="11" t="s">
        <v>127</v>
      </c>
      <c r="AK3" s="66"/>
      <c r="AL3" s="67"/>
      <c r="AM3" s="66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7"/>
      <c r="BF3" s="66"/>
    </row>
    <row r="4" spans="1:60" ht="109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0.29420415303572406</v>
      </c>
      <c r="I5" s="17">
        <f>IF(OR(ISBLANK(Q5),ISBLANK(F5)),"·",Q5*F5/E5/1000000)</f>
        <v>206.56723500000001</v>
      </c>
      <c r="J5" s="18">
        <f>IF(ISBLANK(Q5),"·",Q5/C5)</f>
        <v>8.8261245910717214</v>
      </c>
      <c r="K5" s="18">
        <f>IF(N5="","·",N5/C5)</f>
        <v>1.3640867988464025</v>
      </c>
      <c r="L5" s="18">
        <f>IF(R5="","·",R5/C5)</f>
        <v>1.2797889597806729</v>
      </c>
      <c r="M5" s="18">
        <f>IF(ISBLANK(T5),"·",T5/C5)</f>
        <v>7.4620182443430014</v>
      </c>
      <c r="N5" s="15">
        <f>IF(OR(ISBLANK(R5),ISBLANK(S5)),"",R5+S5)</f>
        <v>34053528</v>
      </c>
      <c r="O5" s="18">
        <f>IF(ISBLANK(Q5),"·",Q5/P5)</f>
        <v>8.8261245910717214</v>
      </c>
      <c r="P5" s="19">
        <v>24964341</v>
      </c>
      <c r="Q5" s="20">
        <v>220338384</v>
      </c>
      <c r="R5" s="20">
        <v>31949088</v>
      </c>
      <c r="S5" s="20">
        <v>2104440</v>
      </c>
      <c r="T5" s="20">
        <v>186284368</v>
      </c>
      <c r="U5" s="21" t="s">
        <v>551</v>
      </c>
      <c r="V5" s="21" t="s">
        <v>551</v>
      </c>
      <c r="W5" s="21" t="s">
        <v>551</v>
      </c>
      <c r="X5" s="21" t="s">
        <v>551</v>
      </c>
      <c r="Y5" s="21" t="s">
        <v>551</v>
      </c>
      <c r="Z5" s="22">
        <v>3942.92</v>
      </c>
      <c r="AA5" s="22">
        <v>5850.65</v>
      </c>
      <c r="AB5" s="22">
        <v>2.4729999999999999</v>
      </c>
      <c r="AC5" s="22">
        <v>15.782999999999999</v>
      </c>
      <c r="AE5" s="23">
        <f>IF(ISBLANK(AN5),"·",AN5/(C5*D5*3))</f>
        <v>0.29415612720026002</v>
      </c>
      <c r="AF5" s="17">
        <f>IF(OR(ISBLANK(AN5),ISBLANK(F5)),"·",AN5*F5/E5/1000000)</f>
        <v>206.53351499999999</v>
      </c>
      <c r="AG5" s="18">
        <f>IF(ISBLANK(AN5),"·",AN5/C5)</f>
        <v>8.8246838160078003</v>
      </c>
      <c r="AH5" s="18">
        <f>IF(AK5="","·",AK5/C5)</f>
        <v>1.3640867988464025</v>
      </c>
      <c r="AI5" s="18">
        <f>IF(AO5="","·",AO5/C5)</f>
        <v>1.2797889597806729</v>
      </c>
      <c r="AJ5" s="18">
        <f>IF(ISBLANK(AQ5),"·",AQ5/C5)</f>
        <v>7.4604951118076777</v>
      </c>
      <c r="AK5" s="15">
        <f>IF(OR(ISBLANK(AO5),ISBLANK(AP5)),"",AO5+AP5)</f>
        <v>34053528</v>
      </c>
      <c r="AL5" s="18">
        <f>IF(ISBLANK(AN5),"·",AN5/AM5)</f>
        <v>8.8246838160078003</v>
      </c>
      <c r="AM5" s="19">
        <v>24964341</v>
      </c>
      <c r="AN5" s="20">
        <v>220302416</v>
      </c>
      <c r="AO5" s="20">
        <v>31949088</v>
      </c>
      <c r="AP5" s="20">
        <v>2104440</v>
      </c>
      <c r="AQ5" s="20">
        <v>186246344</v>
      </c>
      <c r="AR5" s="21" t="s">
        <v>551</v>
      </c>
      <c r="AS5" s="21" t="s">
        <v>551</v>
      </c>
      <c r="AT5" s="21" t="s">
        <v>551</v>
      </c>
      <c r="AU5" s="21" t="s">
        <v>551</v>
      </c>
      <c r="AV5" s="21" t="s">
        <v>551</v>
      </c>
      <c r="AW5" s="22">
        <v>3181.37</v>
      </c>
      <c r="AX5" s="22">
        <v>5739.18</v>
      </c>
      <c r="AY5" s="22">
        <v>2.4220000000000002</v>
      </c>
      <c r="AZ5" s="22">
        <v>15.904999999999999</v>
      </c>
      <c r="BB5" s="24">
        <f t="shared" ref="BB5:BB12" si="0">AG5/J5</f>
        <v>0.99983676017157308</v>
      </c>
      <c r="BC5" s="24">
        <f t="shared" ref="BC5:BD12" si="1">AI5/L5</f>
        <v>1</v>
      </c>
      <c r="BD5" s="24">
        <f t="shared" si="1"/>
        <v>0.99979588196042291</v>
      </c>
      <c r="BE5" s="23">
        <f>(AK5/AN5) - (N5/Q5)</f>
        <v>2.5233005470304271E-5</v>
      </c>
      <c r="BF5" s="23">
        <f t="array" ref="BF5">AVERAGE(AK5:AK5/AN5:AN5) - AVERAGE(N5:N5/Q5:Q5)</f>
        <v>2.5233005470304271E-5</v>
      </c>
      <c r="BH5">
        <f>AN5-Q5</f>
        <v>-35968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0.42376006827224627</v>
      </c>
      <c r="I6" s="27">
        <f>IF(OR(ISBLANK(Q6),ISBLANK(F6)),"·",Q6*F6/E6/1000000)</f>
        <v>270.00548250000003</v>
      </c>
      <c r="J6" s="28">
        <f>IF(ISBLANK(Q6),"·",Q6/C6)</f>
        <v>12.712802048167388</v>
      </c>
      <c r="K6" s="28">
        <f>IF(N6="","·",N6/C6)</f>
        <v>1.6756877320728965</v>
      </c>
      <c r="L6" s="28">
        <f>IF(R6="","·",R6/C6)</f>
        <v>1.524806079632876</v>
      </c>
      <c r="M6" s="28">
        <f>IF(ISBLANK(T6),"·",T6/C6)</f>
        <v>11.037092775395083</v>
      </c>
      <c r="N6" s="25">
        <f>IF(OR(ISBLANK(R6),ISBLANK(S6)),"",R6+S6)</f>
        <v>37962352</v>
      </c>
      <c r="O6" s="28">
        <f>IF(ISBLANK(Q6),"·",Q6/P6)</f>
        <v>12.712802048167388</v>
      </c>
      <c r="P6" s="29">
        <v>22654789</v>
      </c>
      <c r="Q6" s="30">
        <v>288005848</v>
      </c>
      <c r="R6" s="30">
        <v>34544160</v>
      </c>
      <c r="S6" s="30">
        <v>3418192</v>
      </c>
      <c r="T6" s="30">
        <v>250043008</v>
      </c>
      <c r="U6" s="31" t="s">
        <v>551</v>
      </c>
      <c r="V6" s="31" t="s">
        <v>551</v>
      </c>
      <c r="W6" s="31" t="s">
        <v>551</v>
      </c>
      <c r="X6" s="31" t="s">
        <v>551</v>
      </c>
      <c r="Y6" s="31" t="s">
        <v>551</v>
      </c>
      <c r="Z6" s="32">
        <v>3923.26</v>
      </c>
      <c r="AA6" s="32">
        <v>7078.22</v>
      </c>
      <c r="AB6" s="32">
        <v>2.14</v>
      </c>
      <c r="AC6" s="32">
        <v>16.966000000000001</v>
      </c>
      <c r="AE6" s="33">
        <f>IF(ISBLANK(AN6),"·",AN6/(C6*D6*3))</f>
        <v>0.42340266922518383</v>
      </c>
      <c r="AF6" s="27">
        <f>IF(OR(ISBLANK(AN6),ISBLANK(F6)),"·",AN6*F6/E6/1000000)</f>
        <v>269.77776</v>
      </c>
      <c r="AG6" s="28">
        <f>IF(ISBLANK(AN6),"·",AN6/C6)</f>
        <v>12.702080076755514</v>
      </c>
      <c r="AH6" s="28">
        <f>IF(AK6="","·",AK6/C6)</f>
        <v>1.6756877320728965</v>
      </c>
      <c r="AI6" s="28">
        <f>IF(AO6="","·",AO6/C6)</f>
        <v>1.524806079632876</v>
      </c>
      <c r="AJ6" s="28">
        <f>IF(ISBLANK(AQ6),"·",AQ6/C6)</f>
        <v>11.026280050544722</v>
      </c>
      <c r="AK6" s="25">
        <f>IF(OR(ISBLANK(AO6),ISBLANK(AP6)),"",AO6+AP6)</f>
        <v>37962352</v>
      </c>
      <c r="AL6" s="28">
        <f>IF(ISBLANK(AN6),"·",AN6/AM6)</f>
        <v>12.702080076755514</v>
      </c>
      <c r="AM6" s="29">
        <v>22654789</v>
      </c>
      <c r="AN6" s="30">
        <v>287762944</v>
      </c>
      <c r="AO6" s="30">
        <v>34544160</v>
      </c>
      <c r="AP6" s="30">
        <v>3418192</v>
      </c>
      <c r="AQ6" s="30">
        <v>249798048</v>
      </c>
      <c r="AR6" s="31" t="s">
        <v>551</v>
      </c>
      <c r="AS6" s="31" t="s">
        <v>551</v>
      </c>
      <c r="AT6" s="31" t="s">
        <v>551</v>
      </c>
      <c r="AU6" s="31" t="s">
        <v>551</v>
      </c>
      <c r="AV6" s="31" t="s">
        <v>551</v>
      </c>
      <c r="AW6" s="32">
        <v>2894.87</v>
      </c>
      <c r="AX6" s="32">
        <v>6971.85</v>
      </c>
      <c r="AY6" s="32">
        <v>2.3090000000000002</v>
      </c>
      <c r="AZ6" s="32">
        <v>19.425999999999998</v>
      </c>
      <c r="BB6" s="34">
        <f t="shared" si="0"/>
        <v>0.99915660045902943</v>
      </c>
      <c r="BC6" s="34">
        <f t="shared" si="1"/>
        <v>1</v>
      </c>
      <c r="BD6" s="34">
        <f t="shared" si="1"/>
        <v>0.99902032853484157</v>
      </c>
      <c r="BE6" s="33">
        <f>(AK6/AN6) - (N6/Q6)</f>
        <v>1.1126321480420254E-4</v>
      </c>
      <c r="BF6" s="33">
        <f t="array" ref="BF6">AVERAGE(AK6:AK6/AN6:AN6) - AVERAGE(N6:N6/Q6:Q6)</f>
        <v>1.1126321480420254E-4</v>
      </c>
      <c r="BH6" s="4">
        <f t="shared" ref="BH6:BH9" si="2">AN6-Q6</f>
        <v>-242904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0.32406066292880126</v>
      </c>
      <c r="I7" s="17">
        <f>IF(OR(ISBLANK(Q7),ISBLANK(F7)),"·",Q7*F7/E7/1000000)</f>
        <v>309.40649999999999</v>
      </c>
      <c r="J7" s="18">
        <f>IF(ISBLANK(Q7),"·",Q7/C7)</f>
        <v>9.7218198878640383</v>
      </c>
      <c r="K7" s="18">
        <f>IF(N7="","·",N7/C7)</f>
        <v>1.5139258550456911</v>
      </c>
      <c r="L7" s="18">
        <f>IF(R7="","·",R7/C7)</f>
        <v>1.3971264872649172</v>
      </c>
      <c r="M7" s="18">
        <f>IF(ISBLANK(T7),"·",T7/C7)</f>
        <v>8.2078796577725779</v>
      </c>
      <c r="N7" s="15">
        <f>IF(OR(ISBLANK(R7),ISBLANK(S7)),"",R7+S7)</f>
        <v>51394328</v>
      </c>
      <c r="O7" s="18">
        <f>IF(ISBLANK(Q7),"·",Q7/P7)</f>
        <v>9.7218198878640383</v>
      </c>
      <c r="P7" s="19">
        <v>33947718</v>
      </c>
      <c r="Q7" s="20">
        <v>330033600</v>
      </c>
      <c r="R7" s="20">
        <v>47429256</v>
      </c>
      <c r="S7" s="20">
        <v>3965072</v>
      </c>
      <c r="T7" s="20">
        <v>278638784</v>
      </c>
      <c r="U7" s="21" t="s">
        <v>551</v>
      </c>
      <c r="V7" s="21" t="s">
        <v>551</v>
      </c>
      <c r="W7" s="21" t="s">
        <v>551</v>
      </c>
      <c r="X7" s="21" t="s">
        <v>551</v>
      </c>
      <c r="Y7" s="21" t="s">
        <v>551</v>
      </c>
      <c r="Z7" s="22">
        <v>5067.62</v>
      </c>
      <c r="AA7" s="22">
        <v>7953.03</v>
      </c>
      <c r="AB7" s="22">
        <v>3.2810000000000001</v>
      </c>
      <c r="AC7" s="22">
        <v>20.324999999999999</v>
      </c>
      <c r="AE7" s="23">
        <f>IF(ISBLANK(AN7),"·",AN7/(C7*D7*3))</f>
        <v>0.32390894728181729</v>
      </c>
      <c r="AF7" s="17">
        <f>IF(OR(ISBLANK(AN7),ISBLANK(F7)),"·",AN7*F7/E7/1000000)</f>
        <v>309.26164499999999</v>
      </c>
      <c r="AG7" s="18">
        <f>IF(ISBLANK(AN7),"·",AN7/C7)</f>
        <v>9.7172684184545179</v>
      </c>
      <c r="AH7" s="18">
        <f>IF(AK7="","·",AK7/C7)</f>
        <v>1.5139258550456911</v>
      </c>
      <c r="AI7" s="18">
        <f>IF(AO7="","·",AO7/C7)</f>
        <v>1.3971264872649172</v>
      </c>
      <c r="AJ7" s="18">
        <f>IF(ISBLANK(AQ7),"·",AQ7/C7)</f>
        <v>8.2032676246456386</v>
      </c>
      <c r="AK7" s="15">
        <f>IF(OR(ISBLANK(AO7),ISBLANK(AP7)),"",AO7+AP7)</f>
        <v>51394328</v>
      </c>
      <c r="AL7" s="18">
        <f>IF(ISBLANK(AN7),"·",AN7/AM7)</f>
        <v>9.7172684184545179</v>
      </c>
      <c r="AM7" s="19">
        <v>33947718</v>
      </c>
      <c r="AN7" s="20">
        <v>329879088</v>
      </c>
      <c r="AO7" s="20">
        <v>47429256</v>
      </c>
      <c r="AP7" s="20">
        <v>3965072</v>
      </c>
      <c r="AQ7" s="20">
        <v>278482216</v>
      </c>
      <c r="AR7" s="21" t="s">
        <v>551</v>
      </c>
      <c r="AS7" s="21" t="s">
        <v>551</v>
      </c>
      <c r="AT7" s="21" t="s">
        <v>551</v>
      </c>
      <c r="AU7" s="21" t="s">
        <v>551</v>
      </c>
      <c r="AV7" s="21" t="s">
        <v>551</v>
      </c>
      <c r="AW7" s="22">
        <v>4273.79</v>
      </c>
      <c r="AX7" s="22">
        <v>7902.32</v>
      </c>
      <c r="AY7" s="22">
        <v>3.3730000000000002</v>
      </c>
      <c r="AZ7" s="22">
        <v>20.25</v>
      </c>
      <c r="BB7" s="24">
        <f t="shared" si="0"/>
        <v>0.99953182948645225</v>
      </c>
      <c r="BC7" s="24">
        <f t="shared" si="1"/>
        <v>1</v>
      </c>
      <c r="BD7" s="24">
        <f t="shared" si="1"/>
        <v>0.9994380968874742</v>
      </c>
      <c r="BE7" s="23">
        <f>(AK7/AN7) - (N7/Q7)</f>
        <v>7.293978250963451E-5</v>
      </c>
      <c r="BF7" s="23">
        <f t="array" ref="BF7">AVERAGE(AK7:AK7/AN7:AN7) - AVERAGE(N7:N7/Q7:Q7)</f>
        <v>7.293978250963451E-5</v>
      </c>
      <c r="BH7" s="4">
        <f t="shared" si="2"/>
        <v>-154512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0.24391968165144415</v>
      </c>
      <c r="I8" s="47">
        <f>IF(OR(ISBLANK(Q8),ISBLANK(F8)),"·",Q8*F8/E8/1000000)</f>
        <v>368.27652499999999</v>
      </c>
      <c r="J8" s="48">
        <f>IF(ISBLANK(Q8),"·",Q8/C8)</f>
        <v>7.3175904495433244</v>
      </c>
      <c r="K8" s="48">
        <f>IF(N8="","·",N8/C8)</f>
        <v>0.93946225979592513</v>
      </c>
      <c r="L8" s="48">
        <f>IF(R8="","·",R8/C8)</f>
        <v>0.83620299672368303</v>
      </c>
      <c r="M8" s="48">
        <f>IF(ISBLANK(T8),"·",T8/C8)</f>
        <v>6.3781130390051199</v>
      </c>
      <c r="N8" s="45">
        <f>IF(OR(ISBLANK(R8),ISBLANK(S8)),"",R8+S8)</f>
        <v>30259744</v>
      </c>
      <c r="O8" s="48">
        <f>IF(ISBLANK(Q8),"·",Q8/P8)</f>
        <v>7.3175904495433244</v>
      </c>
      <c r="P8" s="49">
        <v>32209643</v>
      </c>
      <c r="Q8" s="50">
        <v>235696976</v>
      </c>
      <c r="R8" s="50">
        <v>26933800</v>
      </c>
      <c r="S8" s="50">
        <v>3325944</v>
      </c>
      <c r="T8" s="50">
        <v>205436744</v>
      </c>
      <c r="U8" s="51" t="s">
        <v>551</v>
      </c>
      <c r="V8" s="51" t="s">
        <v>551</v>
      </c>
      <c r="W8" s="51" t="s">
        <v>551</v>
      </c>
      <c r="X8" s="51" t="s">
        <v>551</v>
      </c>
      <c r="Y8" s="51" t="s">
        <v>551</v>
      </c>
      <c r="Z8" s="52">
        <v>4985.22</v>
      </c>
      <c r="AA8" s="52">
        <v>5279.46</v>
      </c>
      <c r="AB8" s="52">
        <v>2.6040000000000001</v>
      </c>
      <c r="AC8" s="52">
        <v>16.661000000000001</v>
      </c>
      <c r="AE8" s="53">
        <f>IF(ISBLANK(AN8),"·",AN8/(C8*D8*3))</f>
        <v>0.2437920262988737</v>
      </c>
      <c r="AF8" s="47">
        <f>IF(OR(ISBLANK(AN8),ISBLANK(F8)),"·",AN8*F8/E8/1000000)</f>
        <v>368.08378750000003</v>
      </c>
      <c r="AG8" s="48">
        <f>IF(ISBLANK(AN8),"·",AN8/C8)</f>
        <v>7.3137607889662108</v>
      </c>
      <c r="AH8" s="48">
        <f>IF(AK8="","·",AK8/C8)</f>
        <v>0.93946225979592513</v>
      </c>
      <c r="AI8" s="48">
        <f>IF(AO8="","·",AO8/C8)</f>
        <v>0.83620299672368303</v>
      </c>
      <c r="AJ8" s="48">
        <f>IF(ISBLANK(AQ8),"·",AQ8/C8)</f>
        <v>6.3742195466121743</v>
      </c>
      <c r="AK8" s="45">
        <f>IF(OR(ISBLANK(AO8),ISBLANK(AP8)),"",AO8+AP8)</f>
        <v>30259744</v>
      </c>
      <c r="AL8" s="48">
        <f>IF(ISBLANK(AN8),"·",AN8/AM8)</f>
        <v>7.3137607889662108</v>
      </c>
      <c r="AM8" s="49">
        <v>32209643</v>
      </c>
      <c r="AN8" s="50">
        <v>235573624</v>
      </c>
      <c r="AO8" s="50">
        <v>26933800</v>
      </c>
      <c r="AP8" s="50">
        <v>3325944</v>
      </c>
      <c r="AQ8" s="50">
        <v>205311336</v>
      </c>
      <c r="AR8" s="51" t="s">
        <v>551</v>
      </c>
      <c r="AS8" s="51" t="s">
        <v>551</v>
      </c>
      <c r="AT8" s="51" t="s">
        <v>551</v>
      </c>
      <c r="AU8" s="51" t="s">
        <v>551</v>
      </c>
      <c r="AV8" s="51" t="s">
        <v>551</v>
      </c>
      <c r="AW8" s="52">
        <v>3974.92</v>
      </c>
      <c r="AX8" s="52">
        <v>5172.21</v>
      </c>
      <c r="AY8" s="52">
        <v>2.6709999999999998</v>
      </c>
      <c r="AZ8" s="52">
        <v>15.44</v>
      </c>
      <c r="BB8" s="54">
        <f t="shared" si="0"/>
        <v>0.99947665005256581</v>
      </c>
      <c r="BC8" s="54">
        <f t="shared" si="1"/>
        <v>1</v>
      </c>
      <c r="BD8" s="54">
        <f t="shared" si="1"/>
        <v>0.99938955418802788</v>
      </c>
      <c r="BE8" s="53">
        <f>(AK8/AN8) - (N8/Q8)</f>
        <v>6.7224993880343753E-5</v>
      </c>
      <c r="BF8" s="53">
        <f t="array" ref="BF8">AVERAGE(AK8:AK8/AN8:AN8) - AVERAGE(N8:N8/Q8:Q8)</f>
        <v>6.7224993880343753E-5</v>
      </c>
      <c r="BH8" s="4">
        <f t="shared" si="2"/>
        <v>-123352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0.49762947352407827</v>
      </c>
      <c r="I9" s="37">
        <f>IF(OR(ISBLANK(Q9),ISBLANK(F9)),"·",Q9*F9/E9/1000000)</f>
        <v>354.26813249999998</v>
      </c>
      <c r="J9" s="38">
        <f>IF(ISBLANK(Q9),"·",Q9/C9)</f>
        <v>14.928884205722348</v>
      </c>
      <c r="K9" s="38">
        <f>IF(N9="","·",N9/C9)</f>
        <v>1.5150511164326996</v>
      </c>
      <c r="L9" s="38">
        <f>IF(R9="","·",R9/C9)</f>
        <v>1.4082788172504173</v>
      </c>
      <c r="M9" s="38">
        <f>IF(ISBLANK(T9),"·",T9/C9)</f>
        <v>13.41381381020723</v>
      </c>
      <c r="N9" s="35">
        <f>IF(OR(ISBLANK(R9),ISBLANK(S9)),"",R9+S9)</f>
        <v>38349592</v>
      </c>
      <c r="O9" s="38">
        <f>IF(ISBLANK(Q9),"·",Q9/P9)</f>
        <v>14.928884205722348</v>
      </c>
      <c r="P9" s="39">
        <v>25312408</v>
      </c>
      <c r="Q9" s="40">
        <v>377886008</v>
      </c>
      <c r="R9" s="40">
        <v>35646928</v>
      </c>
      <c r="S9" s="40">
        <v>2702664</v>
      </c>
      <c r="T9" s="40">
        <v>339535928</v>
      </c>
      <c r="U9" s="41" t="s">
        <v>551</v>
      </c>
      <c r="V9" s="41" t="s">
        <v>551</v>
      </c>
      <c r="W9" s="41" t="s">
        <v>551</v>
      </c>
      <c r="X9" s="41" t="s">
        <v>551</v>
      </c>
      <c r="Y9" s="41" t="s">
        <v>551</v>
      </c>
      <c r="Z9" s="42">
        <v>4298.99</v>
      </c>
      <c r="AA9" s="42">
        <v>7781.43</v>
      </c>
      <c r="AB9" s="42">
        <v>2.468</v>
      </c>
      <c r="AC9" s="42">
        <v>20.236999999999998</v>
      </c>
      <c r="AE9" s="43">
        <f>IF(ISBLANK(AN9),"·",AN9/(C9*D9*3))</f>
        <v>0.49740031581876104</v>
      </c>
      <c r="AF9" s="37">
        <f>IF(OR(ISBLANK(AN9),ISBLANK(F9)),"·",AN9*F9/E9/1000000)</f>
        <v>354.10499249999998</v>
      </c>
      <c r="AG9" s="38">
        <f>IF(ISBLANK(AN9),"·",AN9/C9)</f>
        <v>14.922009474562831</v>
      </c>
      <c r="AH9" s="38">
        <f>IF(AK9="","·",AK9/C9)</f>
        <v>1.5150511164326996</v>
      </c>
      <c r="AI9" s="38">
        <f>IF(AO9="","·",AO9/C9)</f>
        <v>1.4082788172504173</v>
      </c>
      <c r="AJ9" s="38">
        <f>IF(ISBLANK(AQ9),"·",AQ9/C9)</f>
        <v>13.406857854061139</v>
      </c>
      <c r="AK9" s="35">
        <f>IF(OR(ISBLANK(AO9),ISBLANK(AP9)),"",AO9+AP9)</f>
        <v>38349592</v>
      </c>
      <c r="AL9" s="38">
        <f>IF(ISBLANK(AN9),"·",AN9/AM9)</f>
        <v>14.922009474562831</v>
      </c>
      <c r="AM9" s="39">
        <v>25312408</v>
      </c>
      <c r="AN9" s="40">
        <v>377711992</v>
      </c>
      <c r="AO9" s="40">
        <v>35646928</v>
      </c>
      <c r="AP9" s="40">
        <v>2702664</v>
      </c>
      <c r="AQ9" s="40">
        <v>339359856</v>
      </c>
      <c r="AR9" s="41" t="s">
        <v>551</v>
      </c>
      <c r="AS9" s="41" t="s">
        <v>551</v>
      </c>
      <c r="AT9" s="41" t="s">
        <v>551</v>
      </c>
      <c r="AU9" s="41" t="s">
        <v>551</v>
      </c>
      <c r="AV9" s="41" t="s">
        <v>551</v>
      </c>
      <c r="AW9" s="42">
        <v>3051.12</v>
      </c>
      <c r="AX9" s="42">
        <v>7664.12</v>
      </c>
      <c r="AY9" s="42">
        <v>2.4980000000000002</v>
      </c>
      <c r="AZ9" s="42">
        <v>20.675999999999998</v>
      </c>
      <c r="BB9" s="44">
        <f t="shared" si="0"/>
        <v>0.99953950134083824</v>
      </c>
      <c r="BC9" s="44">
        <f t="shared" si="1"/>
        <v>1</v>
      </c>
      <c r="BD9" s="44">
        <f t="shared" si="1"/>
        <v>0.99948143337573403</v>
      </c>
      <c r="BE9" s="43">
        <f>(AK9/AN9) - (N9/Q9)</f>
        <v>4.6755030471481995E-5</v>
      </c>
      <c r="BF9" s="43">
        <f t="array" ref="BF9">AVERAGE(AK9:AK9/AN9:AN9) - AVERAGE(N9:N9/Q9:Q9)</f>
        <v>4.6755030471481995E-5</v>
      </c>
      <c r="BH9" s="4">
        <f t="shared" si="2"/>
        <v>-174016</v>
      </c>
    </row>
    <row r="10" spans="1:60" x14ac:dyDescent="0.3">
      <c r="B10" s="55" t="s">
        <v>288</v>
      </c>
      <c r="J10" s="56">
        <f>AVERAGE(J5:J8)</f>
        <v>9.6445842441616172</v>
      </c>
      <c r="K10" s="56">
        <f>AVERAGE(K5:K8)</f>
        <v>1.3732906614402289</v>
      </c>
      <c r="L10" s="56">
        <f>AVERAGE(L5:L8)</f>
        <v>1.2594811308505374</v>
      </c>
      <c r="M10" s="56">
        <f>AVERAGE(M5:M8)</f>
        <v>8.2712759291289455</v>
      </c>
      <c r="AG10" s="56">
        <f>AVERAGE(AG5:AG8)</f>
        <v>9.6394482750460107</v>
      </c>
      <c r="AH10" s="56">
        <f>AVERAGE(AH5:AH8)</f>
        <v>1.3732906614402289</v>
      </c>
      <c r="AI10" s="56">
        <f>AVERAGE(AI5:AI8)</f>
        <v>1.2594811308505374</v>
      </c>
      <c r="AJ10" s="56">
        <f>AVERAGE(AJ5:AJ8)</f>
        <v>8.266065583402554</v>
      </c>
      <c r="BB10" s="5">
        <f t="shared" si="0"/>
        <v>0.99946747635921007</v>
      </c>
      <c r="BC10" s="5">
        <f t="shared" si="1"/>
        <v>1</v>
      </c>
      <c r="BD10" s="5">
        <f t="shared" si="1"/>
        <v>0.99937006747555812</v>
      </c>
      <c r="BF10" s="8">
        <f>AVERAGE(BF5:BF8)</f>
        <v>6.9165249166121268E-5</v>
      </c>
    </row>
    <row r="11" spans="1:60" x14ac:dyDescent="0.3">
      <c r="B11" s="55" t="s">
        <v>289</v>
      </c>
      <c r="J11" s="56">
        <f>AVERAGE(J9:J9)</f>
        <v>14.928884205722348</v>
      </c>
      <c r="K11" s="56">
        <f>AVERAGE(K9:K9)</f>
        <v>1.5150511164326996</v>
      </c>
      <c r="L11" s="56">
        <f>AVERAGE(L9:L9)</f>
        <v>1.4082788172504173</v>
      </c>
      <c r="M11" s="56">
        <f>AVERAGE(M9:M9)</f>
        <v>13.41381381020723</v>
      </c>
      <c r="AG11" s="56">
        <f>AVERAGE(AG9:AG9)</f>
        <v>14.922009474562831</v>
      </c>
      <c r="AH11" s="56">
        <f>AVERAGE(AH9:AH9)</f>
        <v>1.5150511164326996</v>
      </c>
      <c r="AI11" s="56">
        <f>AVERAGE(AI9:AI9)</f>
        <v>1.4082788172504173</v>
      </c>
      <c r="AJ11" s="56">
        <f>AVERAGE(AJ9:AJ9)</f>
        <v>13.406857854061139</v>
      </c>
      <c r="BB11" s="5">
        <f t="shared" si="0"/>
        <v>0.99953950134083824</v>
      </c>
      <c r="BC11" s="5">
        <f t="shared" si="1"/>
        <v>1</v>
      </c>
      <c r="BD11" s="5">
        <f t="shared" si="1"/>
        <v>0.99948143337573403</v>
      </c>
      <c r="BF11" s="8">
        <f>AVERAGE(BF9:BF9)</f>
        <v>4.6755030471481995E-5</v>
      </c>
    </row>
    <row r="12" spans="1:60" collapsed="1" x14ac:dyDescent="0.3">
      <c r="B12" s="55" t="s">
        <v>290</v>
      </c>
      <c r="J12" s="56">
        <f>AVERAGE(J5:J9)</f>
        <v>10.701444236473764</v>
      </c>
      <c r="K12" s="56">
        <f>AVERAGE(K5:K9)</f>
        <v>1.4016427524387232</v>
      </c>
      <c r="L12" s="56">
        <f>AVERAGE(L5:L9)</f>
        <v>1.2892406681305133</v>
      </c>
      <c r="M12" s="56">
        <f>AVERAGE(M5:M9)</f>
        <v>9.2997835053446032</v>
      </c>
      <c r="AG12" s="56">
        <f>AVERAGE(AG5:AG9)</f>
        <v>10.695960514949373</v>
      </c>
      <c r="AH12" s="56">
        <f>AVERAGE(AH5:AH9)</f>
        <v>1.4016427524387232</v>
      </c>
      <c r="AI12" s="56">
        <f>AVERAGE(AI5:AI9)</f>
        <v>1.2892406681305133</v>
      </c>
      <c r="AJ12" s="56">
        <f>AVERAGE(AJ5:AJ9)</f>
        <v>9.2942240375342706</v>
      </c>
      <c r="BB12" s="5">
        <f t="shared" si="0"/>
        <v>0.99948757182645498</v>
      </c>
      <c r="BC12" s="5">
        <f t="shared" si="1"/>
        <v>1</v>
      </c>
      <c r="BD12" s="5">
        <f t="shared" si="1"/>
        <v>0.99940219384600326</v>
      </c>
      <c r="BF12" s="8">
        <f>AVERAGE(BF5:BF9)</f>
        <v>6.4683205427193408E-5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22218.010000000002</v>
      </c>
      <c r="AA13" s="57">
        <f>SUM(AA5:AA8,AA9:AA9)</f>
        <v>33942.789999999994</v>
      </c>
      <c r="AB13" s="57">
        <f>SUM(AB5:AB8,AB9:AB9)</f>
        <v>12.966000000000001</v>
      </c>
      <c r="AC13" s="57">
        <f>SUM(AC5:AC8,AC9:AC9)</f>
        <v>89.971999999999994</v>
      </c>
      <c r="AW13" s="57">
        <f>SUM(AW5:AW8,AW9:AW9)</f>
        <v>17376.07</v>
      </c>
      <c r="AX13" s="57">
        <f>SUM(AX5:AX8,AX9:AX9)</f>
        <v>33449.68</v>
      </c>
      <c r="AY13" s="57">
        <f>SUM(AY5:AY8,AY9:AY9)</f>
        <v>13.273</v>
      </c>
      <c r="AZ13" s="57">
        <f>SUM(AZ5:AZ8,AZ9:AZ9)</f>
        <v>91.697000000000003</v>
      </c>
    </row>
    <row r="14" spans="1:60" hidden="1" outlineLevel="2" x14ac:dyDescent="0.3">
      <c r="B14" s="55" t="s">
        <v>293</v>
      </c>
      <c r="AW14" s="8">
        <f>AW13/Z13</f>
        <v>0.78207139163228379</v>
      </c>
      <c r="AX14" s="8">
        <f>AX13/AA13</f>
        <v>0.98547231974743399</v>
      </c>
      <c r="AY14" s="8">
        <f>AY13/AB13</f>
        <v>1.0236773098873977</v>
      </c>
      <c r="AZ14" s="8">
        <f>AZ13/AC13</f>
        <v>1.0191726314853511</v>
      </c>
    </row>
    <row r="15" spans="1:60" hidden="1" outlineLevel="2" x14ac:dyDescent="0.3">
      <c r="B15" s="55" t="s">
        <v>294</v>
      </c>
      <c r="Z15" s="57">
        <f>GEOMEAN(Z5:Z8,Z9:Z9)</f>
        <v>4416.3549609890379</v>
      </c>
      <c r="AA15" s="57">
        <f>GEOMEAN(AA5:AA8,AA9:AA9)</f>
        <v>6702.8876945725515</v>
      </c>
      <c r="AB15" s="57">
        <f>GEOMEAN(AB5:AB8,AB9:AB9)</f>
        <v>2.5675922200112637</v>
      </c>
      <c r="AC15" s="57">
        <f>GEOMEAN(AC5:AC8,AC9:AC9)</f>
        <v>17.894903217597619</v>
      </c>
      <c r="AW15" s="57">
        <f>GEOMEAN(AW5:AW8,AW9:AW9)</f>
        <v>3433.7511773184356</v>
      </c>
      <c r="AX15" s="57">
        <f>GEOMEAN(AX5:AX8,AX9:AX9)</f>
        <v>6601.1285108293368</v>
      </c>
      <c r="AY15" s="57">
        <f>GEOMEAN(AY5:AY8,AY9:AY9)</f>
        <v>2.630123532142</v>
      </c>
      <c r="AZ15" s="57">
        <f>GEOMEAN(AZ5:AZ8,AZ9:AZ9)</f>
        <v>18.200829484813468</v>
      </c>
    </row>
    <row r="16" spans="1:60" outlineLevel="2" collapsed="1" x14ac:dyDescent="0.3">
      <c r="B16" s="55" t="s">
        <v>295</v>
      </c>
      <c r="AW16" s="8">
        <f>AW15/Z15</f>
        <v>0.77750796927551558</v>
      </c>
      <c r="AX16" s="8">
        <f>AX15/AA15</f>
        <v>0.98481860529669762</v>
      </c>
      <c r="AY16" s="8">
        <f>AY15/AB15</f>
        <v>1.0243540666790392</v>
      </c>
      <c r="AZ16" s="8">
        <f>AZ15/AC15</f>
        <v>1.0170957206918563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tabSelected="1" zoomScale="85" zoomScaleNormal="85" workbookViewId="0">
      <pane xSplit="2" topLeftCell="AE1" activePane="topRight" state="frozen"/>
      <selection pane="topRight" activeCell="AM37" sqref="AM37"/>
    </sheetView>
  </sheetViews>
  <sheetFormatPr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 x14ac:dyDescent="0.3">
      <c r="A1" s="70" t="s">
        <v>528</v>
      </c>
      <c r="B1" s="70"/>
      <c r="C1" s="70"/>
      <c r="D1" s="70"/>
      <c r="E1" s="70"/>
      <c r="F1" s="70"/>
      <c r="G1" s="70"/>
      <c r="I1" s="58" t="s">
        <v>550</v>
      </c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G1" s="59" t="s">
        <v>552</v>
      </c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</row>
    <row r="2" spans="1:73" ht="30" customHeight="1" x14ac:dyDescent="0.3">
      <c r="A2" s="66" t="s">
        <v>93</v>
      </c>
      <c r="B2" s="67" t="s">
        <v>96</v>
      </c>
      <c r="C2" s="66" t="s">
        <v>99</v>
      </c>
      <c r="D2" s="67" t="s">
        <v>102</v>
      </c>
      <c r="E2" s="66" t="s">
        <v>105</v>
      </c>
      <c r="F2" s="67" t="s">
        <v>108</v>
      </c>
      <c r="G2" s="66" t="s">
        <v>111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7" t="s">
        <v>26</v>
      </c>
      <c r="R2" s="66" t="s">
        <v>22</v>
      </c>
      <c r="S2" s="69" t="s">
        <v>142</v>
      </c>
      <c r="T2" s="69"/>
      <c r="U2" s="69"/>
      <c r="V2" s="69"/>
      <c r="W2" s="68" t="s">
        <v>153</v>
      </c>
      <c r="X2" s="68"/>
      <c r="Y2" s="69" t="s">
        <v>160</v>
      </c>
      <c r="Z2" s="69"/>
      <c r="AA2" s="69"/>
      <c r="AB2" s="68" t="s">
        <v>170</v>
      </c>
      <c r="AC2" s="68"/>
      <c r="AD2" s="69" t="s">
        <v>177</v>
      </c>
      <c r="AE2" s="69"/>
      <c r="AG2" s="66" t="s">
        <v>114</v>
      </c>
      <c r="AH2" s="69" t="s">
        <v>117</v>
      </c>
      <c r="AI2" s="69"/>
      <c r="AJ2" s="69"/>
      <c r="AK2" s="69"/>
      <c r="AL2" s="67" t="s">
        <v>192</v>
      </c>
      <c r="AM2" s="66" t="s">
        <v>133</v>
      </c>
      <c r="AN2" s="67" t="s">
        <v>24</v>
      </c>
      <c r="AO2" s="66" t="s">
        <v>26</v>
      </c>
      <c r="AP2" s="67" t="s">
        <v>22</v>
      </c>
      <c r="AQ2" s="68" t="s">
        <v>142</v>
      </c>
      <c r="AR2" s="68"/>
      <c r="AS2" s="68"/>
      <c r="AT2" s="68"/>
      <c r="AU2" s="69" t="s">
        <v>153</v>
      </c>
      <c r="AV2" s="69"/>
      <c r="AW2" s="68" t="s">
        <v>160</v>
      </c>
      <c r="AX2" s="68"/>
      <c r="AY2" s="68"/>
      <c r="AZ2" s="69" t="s">
        <v>170</v>
      </c>
      <c r="BA2" s="69"/>
      <c r="BB2" s="68" t="s">
        <v>177</v>
      </c>
      <c r="BC2" s="68"/>
      <c r="BE2" s="67" t="s">
        <v>229</v>
      </c>
      <c r="BF2" s="66" t="s">
        <v>232</v>
      </c>
      <c r="BG2" s="67" t="s">
        <v>232</v>
      </c>
      <c r="BI2" s="68" t="s">
        <v>237</v>
      </c>
      <c r="BJ2" s="68"/>
      <c r="BK2" s="69" t="s">
        <v>242</v>
      </c>
      <c r="BL2" s="69"/>
      <c r="BM2" s="69"/>
      <c r="BO2" s="68" t="s">
        <v>249</v>
      </c>
      <c r="BP2" s="68"/>
      <c r="BQ2" s="69" t="s">
        <v>254</v>
      </c>
      <c r="BR2" s="69"/>
      <c r="BS2" s="69"/>
      <c r="BU2" t="s">
        <v>549</v>
      </c>
    </row>
    <row r="3" spans="1:73" ht="15" thickBot="1" x14ac:dyDescent="0.35">
      <c r="A3" s="66"/>
      <c r="B3" s="67"/>
      <c r="C3" s="66"/>
      <c r="D3" s="67"/>
      <c r="E3" s="66"/>
      <c r="F3" s="67"/>
      <c r="G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67"/>
      <c r="R3" s="66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66"/>
      <c r="AH3" s="12" t="s">
        <v>118</v>
      </c>
      <c r="AI3" s="12" t="s">
        <v>121</v>
      </c>
      <c r="AJ3" s="12" t="s">
        <v>124</v>
      </c>
      <c r="AK3" s="12" t="s">
        <v>127</v>
      </c>
      <c r="AL3" s="67"/>
      <c r="AM3" s="66"/>
      <c r="AN3" s="67"/>
      <c r="AO3" s="66"/>
      <c r="AP3" s="67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7"/>
      <c r="BF3" s="66"/>
      <c r="BG3" s="67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09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1.3665375</v>
      </c>
      <c r="J5" s="18">
        <f t="shared" ref="J5:J29" si="1">IF(ISBLANK(S5),"·",S5/D5)</f>
        <v>5.8388883567966003E-2</v>
      </c>
      <c r="K5" s="18">
        <f t="shared" ref="K5:K29" si="2">IF(N5="","·",N5/D5)</f>
        <v>4.7467065123008856E-2</v>
      </c>
      <c r="L5" s="18">
        <f t="shared" ref="L5:L29" si="3">IF(T5="","·",T5/D5)</f>
        <v>2.747150425480889E-2</v>
      </c>
      <c r="M5" s="18">
        <f t="shared" ref="M5:M29" si="4">IF(ISBLANK(V5),"·",V5/D5)</f>
        <v>1.0902911476814069E-2</v>
      </c>
      <c r="N5" s="15">
        <f t="shared" ref="N5:N29" si="5">IF(OR(ISBLANK(T5),ISBLANK(U5)),"",T5+U5)</f>
        <v>1184984</v>
      </c>
      <c r="O5" s="18">
        <f t="shared" ref="O5:O29" si="6">IF(ISBLANK(S5),"·",S5/P5)</f>
        <v>6.3163830893883652E-2</v>
      </c>
      <c r="P5" s="19">
        <v>23077131</v>
      </c>
      <c r="Q5" s="19">
        <v>721160.34375</v>
      </c>
      <c r="R5" s="19">
        <v>15865.875</v>
      </c>
      <c r="S5" s="20">
        <v>1457640</v>
      </c>
      <c r="T5" s="20">
        <v>685808</v>
      </c>
      <c r="U5" s="20">
        <v>499176</v>
      </c>
      <c r="V5" s="20">
        <v>272184</v>
      </c>
      <c r="W5" s="21">
        <v>66.697140625000003</v>
      </c>
      <c r="X5" s="21">
        <v>68.584103124999999</v>
      </c>
      <c r="Y5" s="21">
        <v>31.336321874999999</v>
      </c>
      <c r="Z5" s="21">
        <v>43.356965625000001</v>
      </c>
      <c r="AA5" s="21">
        <v>42.911453125000001</v>
      </c>
      <c r="AB5" s="22">
        <v>4246.01</v>
      </c>
      <c r="AC5" s="22">
        <v>2906.12</v>
      </c>
      <c r="AD5" s="22">
        <v>4.806</v>
      </c>
      <c r="AE5" s="22">
        <v>15.414</v>
      </c>
      <c r="AG5" s="17">
        <f t="shared" ref="AG5:AG29" si="7">IF(OR(ISBLANK(AQ5),ISBLANK(G5)),"·",AQ5*G5/F5/1000000)</f>
        <v>1.3665449999999999</v>
      </c>
      <c r="AH5" s="18">
        <f t="shared" ref="AH5:AH29" si="8">IF(ISBLANK(AQ5),"·",AQ5/D5)</f>
        <v>5.8389204025053175E-2</v>
      </c>
      <c r="AI5" s="18">
        <f t="shared" ref="AI5:AI29" si="9">IF(AL5="","·",AL5/D5)</f>
        <v>4.7467065123008856E-2</v>
      </c>
      <c r="AJ5" s="18">
        <f t="shared" ref="AJ5:AJ29" si="10">IF(AR5="","·",AR5/D5)</f>
        <v>2.747150425480889E-2</v>
      </c>
      <c r="AK5" s="18">
        <f t="shared" ref="AK5:AK29" si="11">IF(ISBLANK(AT5),"·",AT5/D5)</f>
        <v>1.0902911476814069E-2</v>
      </c>
      <c r="AL5" s="15">
        <f t="shared" ref="AL5:AL29" si="12">IF(OR(ISBLANK(AR5),ISBLANK(AS5)),"",AR5+AS5)</f>
        <v>1184984</v>
      </c>
      <c r="AM5" s="18">
        <f t="shared" ref="AM5:AM29" si="13">IF(ISBLANK(AQ5),"·",AQ5/AN5)</f>
        <v>6.316417755742687E-2</v>
      </c>
      <c r="AN5" s="19">
        <v>23077131</v>
      </c>
      <c r="AO5" s="19">
        <v>721160.34375</v>
      </c>
      <c r="AP5" s="19">
        <v>15865.875</v>
      </c>
      <c r="AQ5" s="20">
        <v>1457648</v>
      </c>
      <c r="AR5" s="20">
        <v>685808</v>
      </c>
      <c r="AS5" s="20">
        <v>499176</v>
      </c>
      <c r="AT5" s="20">
        <v>272184</v>
      </c>
      <c r="AU5" s="21">
        <v>66.697140625000003</v>
      </c>
      <c r="AV5" s="21">
        <v>68.584103124999999</v>
      </c>
      <c r="AW5" s="21">
        <v>31.336321874999999</v>
      </c>
      <c r="AX5" s="21">
        <v>43.356965625000001</v>
      </c>
      <c r="AY5" s="21">
        <v>42.911453125000001</v>
      </c>
      <c r="AZ5" s="22">
        <v>3328.91</v>
      </c>
      <c r="BA5" s="22">
        <v>2848.58</v>
      </c>
      <c r="BB5" s="22">
        <v>4.6950000000000003</v>
      </c>
      <c r="BC5" s="22">
        <v>15.308</v>
      </c>
      <c r="BE5" s="23">
        <f t="shared" ref="BE5:BE29" si="14">(AP5/AO5) - (R5/Q5)</f>
        <v>0</v>
      </c>
      <c r="BF5" s="23">
        <f t="shared" ref="BF5:BF29" si="15">(AL5/AQ5) - (N5/S5)</f>
        <v>-4.4616914666173457E-6</v>
      </c>
      <c r="BG5" s="23">
        <f t="array" ref="BG5">AVERAGE(AL5:AL9/AQ5:AQ9) - AVERAGE(N5:N9/S5:S9)</f>
        <v>-2.1803405924059049E-6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0</v>
      </c>
      <c r="BL5" s="24">
        <f>IF( OR(ISBLANK(V5:V9),ISBLANK(AT5:AT9), ISBLANK(Z5:Z9),ISBLANK(AX5:AX9)), "·", bdRateExtend( V5:V9,Z5:Z9, AT5:AT9,AX5:AX9))</f>
        <v>0</v>
      </c>
      <c r="BM5" s="24">
        <f>IF( OR(ISBLANK(V5:V9),ISBLANK(AT5:AT9), ISBLANK(AA5:AA9),ISBLANK(AY5:AY9)), "·", bdRateExtend( V5:V9,AA5:AA9, AT5:AT9,AY5:AY9))</f>
        <v>0</v>
      </c>
      <c r="BO5" s="24">
        <f>IF( OR(ISBLANK(S5:S9),ISBLANK(AQ5:AQ9), ISBLANK(W5:W9),ISBLANK(AU5:AU9)), "·", bdRateExtend( S5:S9,W5:W9, AQ5:AQ9,AU5:AU9))</f>
        <v>3.4419276651043162E-6</v>
      </c>
      <c r="BP5" s="24">
        <f>IF( OR(ISBLANK(S5:S9),ISBLANK(AQ5:AQ9), ISBLANK(X5:X9),ISBLANK(AV5:AV9)), "·", bdRateExtend( S5:S9,X5:X9, AQ5:AQ9,AV5:AV9))</f>
        <v>3.3791536473426476E-6</v>
      </c>
      <c r="BQ5" s="24">
        <f>IF( OR(ISBLANK(S5:S9),ISBLANK(AQ5:AQ9), ISBLANK(Y5:Y9),ISBLANK(AW5:AW9)), "·", bdRateExtend( S5:S9,Y5:Y9, AQ5:AQ9,AW5:AW9))</f>
        <v>2.9209875100910665E-6</v>
      </c>
      <c r="BR5" s="24">
        <f>IF( OR(ISBLANK(S5:S9),ISBLANK(AQ5:AQ9), ISBLANK(Z5:Z9),ISBLANK(AX5:AX9)), "·", bdRateExtend( S5:S9,Z5:Z9, AQ5:AQ9,AX5:AX9))</f>
        <v>2.9592995549609924E-6</v>
      </c>
      <c r="BS5" s="24">
        <f>IF( OR(ISBLANK(S5:S9),ISBLANK(AQ5:AQ9), ISBLANK(AA5:AA9),ISBLANK(AY5:AY9)), "·", bdRateExtend( S5:S9,AA5:AA9, AQ5:AQ9,AY5:AY9))</f>
        <v>2.9383963240370292E-6</v>
      </c>
      <c r="BU5">
        <f>AQ5-S5</f>
        <v>8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1.7868075000000001</v>
      </c>
      <c r="J6" s="28">
        <f t="shared" si="1"/>
        <v>7.6346016904672145E-2</v>
      </c>
      <c r="K6" s="28">
        <f t="shared" si="2"/>
        <v>5.7033350089233277E-2</v>
      </c>
      <c r="L6" s="28">
        <f t="shared" si="3"/>
        <v>3.7037789221033311E-2</v>
      </c>
      <c r="M6" s="28">
        <f t="shared" si="4"/>
        <v>1.929375984729579E-2</v>
      </c>
      <c r="N6" s="25">
        <f t="shared" si="5"/>
        <v>1423800</v>
      </c>
      <c r="O6" s="28">
        <f t="shared" si="6"/>
        <v>7.7184801163469166E-2</v>
      </c>
      <c r="P6" s="29">
        <v>24693048</v>
      </c>
      <c r="Q6" s="29">
        <v>771657.75</v>
      </c>
      <c r="R6" s="29">
        <v>19943.125</v>
      </c>
      <c r="S6" s="30">
        <v>1905928</v>
      </c>
      <c r="T6" s="30">
        <v>924624</v>
      </c>
      <c r="U6" s="30">
        <v>499176</v>
      </c>
      <c r="V6" s="30">
        <v>481656</v>
      </c>
      <c r="W6" s="31">
        <v>68.437731249999999</v>
      </c>
      <c r="X6" s="31">
        <v>70.609693750000005</v>
      </c>
      <c r="Y6" s="31">
        <v>33.412203124999998</v>
      </c>
      <c r="Z6" s="31">
        <v>44.839784375000001</v>
      </c>
      <c r="AA6" s="31">
        <v>44.466918749999998</v>
      </c>
      <c r="AB6" s="32">
        <v>3984.72</v>
      </c>
      <c r="AC6" s="32">
        <v>3206.51</v>
      </c>
      <c r="AD6" s="32">
        <v>4.7670000000000003</v>
      </c>
      <c r="AE6" s="32">
        <v>16.009</v>
      </c>
      <c r="AG6" s="27">
        <f t="shared" si="7"/>
        <v>1.786815</v>
      </c>
      <c r="AH6" s="28">
        <f t="shared" si="8"/>
        <v>7.6346337361759317E-2</v>
      </c>
      <c r="AI6" s="28">
        <f t="shared" si="9"/>
        <v>5.7033350089233277E-2</v>
      </c>
      <c r="AJ6" s="28">
        <f t="shared" si="10"/>
        <v>3.7037789221033311E-2</v>
      </c>
      <c r="AK6" s="28">
        <f t="shared" si="11"/>
        <v>1.929375984729579E-2</v>
      </c>
      <c r="AL6" s="25">
        <f t="shared" si="12"/>
        <v>1423800</v>
      </c>
      <c r="AM6" s="28">
        <f t="shared" si="13"/>
        <v>7.718512514129483E-2</v>
      </c>
      <c r="AN6" s="29">
        <v>24693048</v>
      </c>
      <c r="AO6" s="29">
        <v>771657.75</v>
      </c>
      <c r="AP6" s="29">
        <v>19943.125</v>
      </c>
      <c r="AQ6" s="30">
        <v>1905936</v>
      </c>
      <c r="AR6" s="30">
        <v>924624</v>
      </c>
      <c r="AS6" s="30">
        <v>499176</v>
      </c>
      <c r="AT6" s="30">
        <v>481656</v>
      </c>
      <c r="AU6" s="31">
        <v>68.437731249999999</v>
      </c>
      <c r="AV6" s="31">
        <v>70.609693750000005</v>
      </c>
      <c r="AW6" s="31">
        <v>33.412203124999998</v>
      </c>
      <c r="AX6" s="31">
        <v>44.839784375000001</v>
      </c>
      <c r="AY6" s="31">
        <v>44.466918749999998</v>
      </c>
      <c r="AZ6" s="32">
        <v>3267.65</v>
      </c>
      <c r="BA6" s="32">
        <v>3071.31</v>
      </c>
      <c r="BB6" s="32">
        <v>4.8360000000000003</v>
      </c>
      <c r="BC6" s="32">
        <v>16.411000000000001</v>
      </c>
      <c r="BE6" s="33">
        <f t="shared" si="14"/>
        <v>0</v>
      </c>
      <c r="BF6" s="33">
        <f t="shared" si="15"/>
        <v>-3.1356253873404683E-6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8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2.4900224999999998</v>
      </c>
      <c r="J7" s="18">
        <f t="shared" si="1"/>
        <v>0.10639271431198605</v>
      </c>
      <c r="K7" s="18">
        <f t="shared" si="2"/>
        <v>6.9324161210584323E-2</v>
      </c>
      <c r="L7" s="18">
        <f t="shared" si="3"/>
        <v>4.9328600342384364E-2</v>
      </c>
      <c r="M7" s="18">
        <f t="shared" si="4"/>
        <v>3.7049646133258632E-2</v>
      </c>
      <c r="N7" s="15">
        <f t="shared" si="5"/>
        <v>1730632</v>
      </c>
      <c r="O7" s="18">
        <f t="shared" si="6"/>
        <v>0.1067705204272149</v>
      </c>
      <c r="P7" s="19">
        <v>24876005</v>
      </c>
      <c r="Q7" s="19">
        <v>777375.15625</v>
      </c>
      <c r="R7" s="19">
        <v>21136.9375</v>
      </c>
      <c r="S7" s="20">
        <v>2656024</v>
      </c>
      <c r="T7" s="20">
        <v>1231456</v>
      </c>
      <c r="U7" s="20">
        <v>499176</v>
      </c>
      <c r="V7" s="20">
        <v>924920</v>
      </c>
      <c r="W7" s="21">
        <v>69.746521874999999</v>
      </c>
      <c r="X7" s="21">
        <v>72.330109375000006</v>
      </c>
      <c r="Y7" s="21">
        <v>35.850993750000001</v>
      </c>
      <c r="Z7" s="21">
        <v>46.146181249999998</v>
      </c>
      <c r="AA7" s="21">
        <v>45.917096874999999</v>
      </c>
      <c r="AB7" s="22">
        <v>4091.72</v>
      </c>
      <c r="AC7" s="22">
        <v>3371.11</v>
      </c>
      <c r="AD7" s="22">
        <v>4.82</v>
      </c>
      <c r="AE7" s="22">
        <v>16.725999999999999</v>
      </c>
      <c r="AG7" s="17">
        <f t="shared" si="7"/>
        <v>2.49003</v>
      </c>
      <c r="AH7" s="18">
        <f t="shared" si="8"/>
        <v>0.10639303476907322</v>
      </c>
      <c r="AI7" s="18">
        <f t="shared" si="9"/>
        <v>6.9324161210584323E-2</v>
      </c>
      <c r="AJ7" s="18">
        <f t="shared" si="10"/>
        <v>4.9328600342384364E-2</v>
      </c>
      <c r="AK7" s="18">
        <f t="shared" si="11"/>
        <v>3.7049646133258632E-2</v>
      </c>
      <c r="AL7" s="15">
        <f t="shared" si="12"/>
        <v>1730632</v>
      </c>
      <c r="AM7" s="18">
        <f t="shared" si="13"/>
        <v>0.10677084202226202</v>
      </c>
      <c r="AN7" s="19">
        <v>24876005</v>
      </c>
      <c r="AO7" s="19">
        <v>777375.15625</v>
      </c>
      <c r="AP7" s="19">
        <v>21136.9375</v>
      </c>
      <c r="AQ7" s="20">
        <v>2656032</v>
      </c>
      <c r="AR7" s="20">
        <v>1231456</v>
      </c>
      <c r="AS7" s="20">
        <v>499176</v>
      </c>
      <c r="AT7" s="20">
        <v>924920</v>
      </c>
      <c r="AU7" s="21">
        <v>69.746521874999999</v>
      </c>
      <c r="AV7" s="21">
        <v>72.330109375000006</v>
      </c>
      <c r="AW7" s="21">
        <v>35.850993750000001</v>
      </c>
      <c r="AX7" s="21">
        <v>46.146181249999998</v>
      </c>
      <c r="AY7" s="21">
        <v>45.917096874999999</v>
      </c>
      <c r="AZ7" s="22">
        <v>3191.68</v>
      </c>
      <c r="BA7" s="22">
        <v>3273.78</v>
      </c>
      <c r="BB7" s="22">
        <v>4.984</v>
      </c>
      <c r="BC7" s="22">
        <v>15.794</v>
      </c>
      <c r="BE7" s="23">
        <f t="shared" si="14"/>
        <v>0</v>
      </c>
      <c r="BF7" s="23">
        <f t="shared" si="15"/>
        <v>-1.9625892629937525E-6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8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4.1190600000000002</v>
      </c>
      <c r="J8" s="28">
        <f t="shared" si="1"/>
        <v>0.17599759593093203</v>
      </c>
      <c r="K8" s="28">
        <f t="shared" si="2"/>
        <v>9.5772445986056678E-2</v>
      </c>
      <c r="L8" s="28">
        <f t="shared" si="3"/>
        <v>7.5776885117856713E-2</v>
      </c>
      <c r="M8" s="28">
        <f t="shared" si="4"/>
        <v>8.0206242976732289E-2</v>
      </c>
      <c r="N8" s="25">
        <f t="shared" si="5"/>
        <v>2390896</v>
      </c>
      <c r="O8" s="28">
        <f t="shared" si="6"/>
        <v>0.16871227059001973</v>
      </c>
      <c r="P8" s="29">
        <v>26042350</v>
      </c>
      <c r="Q8" s="29">
        <v>813823.4375</v>
      </c>
      <c r="R8" s="29">
        <v>24959.15625</v>
      </c>
      <c r="S8" s="30">
        <v>4393664</v>
      </c>
      <c r="T8" s="30">
        <v>1891720</v>
      </c>
      <c r="U8" s="30">
        <v>499176</v>
      </c>
      <c r="V8" s="30">
        <v>2002296</v>
      </c>
      <c r="W8" s="31">
        <v>70.765909375000007</v>
      </c>
      <c r="X8" s="31">
        <v>73.579650000000001</v>
      </c>
      <c r="Y8" s="31">
        <v>38.416184375</v>
      </c>
      <c r="Z8" s="31">
        <v>47.510184375000001</v>
      </c>
      <c r="AA8" s="31">
        <v>47.331428125000002</v>
      </c>
      <c r="AB8" s="32">
        <v>4317.76</v>
      </c>
      <c r="AC8" s="32">
        <v>3671.01</v>
      </c>
      <c r="AD8" s="32">
        <v>5.0049999999999999</v>
      </c>
      <c r="AE8" s="32">
        <v>16.582000000000001</v>
      </c>
      <c r="AG8" s="27">
        <f t="shared" si="7"/>
        <v>4.1190674999999999</v>
      </c>
      <c r="AH8" s="28">
        <f t="shared" si="8"/>
        <v>0.1759979163880192</v>
      </c>
      <c r="AI8" s="28">
        <f t="shared" si="9"/>
        <v>9.5772445986056678E-2</v>
      </c>
      <c r="AJ8" s="28">
        <f t="shared" si="10"/>
        <v>7.5776885117856713E-2</v>
      </c>
      <c r="AK8" s="28">
        <f t="shared" si="11"/>
        <v>8.0206242976732289E-2</v>
      </c>
      <c r="AL8" s="25">
        <f t="shared" si="12"/>
        <v>2390896</v>
      </c>
      <c r="AM8" s="28">
        <f t="shared" si="13"/>
        <v>0.168712577781959</v>
      </c>
      <c r="AN8" s="29">
        <v>26042350</v>
      </c>
      <c r="AO8" s="29">
        <v>813823.4375</v>
      </c>
      <c r="AP8" s="29">
        <v>24959.15625</v>
      </c>
      <c r="AQ8" s="30">
        <v>4393672</v>
      </c>
      <c r="AR8" s="30">
        <v>1891720</v>
      </c>
      <c r="AS8" s="30">
        <v>499176</v>
      </c>
      <c r="AT8" s="30">
        <v>2002296</v>
      </c>
      <c r="AU8" s="31">
        <v>70.765909375000007</v>
      </c>
      <c r="AV8" s="31">
        <v>73.579650000000001</v>
      </c>
      <c r="AW8" s="31">
        <v>38.416184375</v>
      </c>
      <c r="AX8" s="31">
        <v>47.510184375000001</v>
      </c>
      <c r="AY8" s="31">
        <v>47.331428125000002</v>
      </c>
      <c r="AZ8" s="32">
        <v>3176.26</v>
      </c>
      <c r="BA8" s="32">
        <v>3538.32</v>
      </c>
      <c r="BB8" s="32">
        <v>4.9329999999999998</v>
      </c>
      <c r="BC8" s="32">
        <v>16.084</v>
      </c>
      <c r="BE8" s="33">
        <f t="shared" si="14"/>
        <v>0</v>
      </c>
      <c r="BF8" s="33">
        <f t="shared" si="15"/>
        <v>-9.9082327131849723E-7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8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8.4549824999999998</v>
      </c>
      <c r="J9" s="38">
        <f t="shared" si="1"/>
        <v>0.3612612085374094</v>
      </c>
      <c r="K9" s="38">
        <f t="shared" si="2"/>
        <v>0.14293796099003775</v>
      </c>
      <c r="L9" s="38">
        <f t="shared" si="3"/>
        <v>0.12294240012183778</v>
      </c>
      <c r="M9" s="38">
        <f t="shared" si="4"/>
        <v>0.2183043405792286</v>
      </c>
      <c r="N9" s="35">
        <f t="shared" si="5"/>
        <v>3568352</v>
      </c>
      <c r="O9" s="38">
        <f t="shared" si="6"/>
        <v>0.34309870664353131</v>
      </c>
      <c r="P9" s="39">
        <v>26285870</v>
      </c>
      <c r="Q9" s="39">
        <v>821433.4375</v>
      </c>
      <c r="R9" s="39">
        <v>26542.1875</v>
      </c>
      <c r="S9" s="40">
        <v>9018648</v>
      </c>
      <c r="T9" s="40">
        <v>3069176</v>
      </c>
      <c r="U9" s="40">
        <v>499176</v>
      </c>
      <c r="V9" s="40">
        <v>5449824</v>
      </c>
      <c r="W9" s="41">
        <v>71.578540625000002</v>
      </c>
      <c r="X9" s="41">
        <v>74.672959375000005</v>
      </c>
      <c r="Y9" s="41">
        <v>41.076818750000001</v>
      </c>
      <c r="Z9" s="41">
        <v>49.243762500000003</v>
      </c>
      <c r="AA9" s="41">
        <v>49.251246875</v>
      </c>
      <c r="AB9" s="42">
        <v>4290.71</v>
      </c>
      <c r="AC9" s="42">
        <v>4028.9</v>
      </c>
      <c r="AD9" s="42">
        <v>4.95</v>
      </c>
      <c r="AE9" s="42">
        <v>17.943999999999999</v>
      </c>
      <c r="AG9" s="37">
        <f t="shared" si="7"/>
        <v>8.4549900000000004</v>
      </c>
      <c r="AH9" s="38">
        <f t="shared" si="8"/>
        <v>0.36126152899449659</v>
      </c>
      <c r="AI9" s="38">
        <f t="shared" si="9"/>
        <v>0.14293796099003775</v>
      </c>
      <c r="AJ9" s="38">
        <f t="shared" si="10"/>
        <v>0.12294240012183778</v>
      </c>
      <c r="AK9" s="38">
        <f t="shared" si="11"/>
        <v>0.2183043405792286</v>
      </c>
      <c r="AL9" s="35">
        <f t="shared" si="12"/>
        <v>3568352</v>
      </c>
      <c r="AM9" s="38">
        <f t="shared" si="13"/>
        <v>0.34309901098955448</v>
      </c>
      <c r="AN9" s="39">
        <v>26285870</v>
      </c>
      <c r="AO9" s="39">
        <v>821433.4375</v>
      </c>
      <c r="AP9" s="39">
        <v>26542.1875</v>
      </c>
      <c r="AQ9" s="40">
        <v>9018656</v>
      </c>
      <c r="AR9" s="40">
        <v>3069176</v>
      </c>
      <c r="AS9" s="40">
        <v>499176</v>
      </c>
      <c r="AT9" s="40">
        <v>5449824</v>
      </c>
      <c r="AU9" s="41">
        <v>71.578540625000002</v>
      </c>
      <c r="AV9" s="41">
        <v>74.672959375000005</v>
      </c>
      <c r="AW9" s="41">
        <v>41.076818750000001</v>
      </c>
      <c r="AX9" s="41">
        <v>49.243762500000003</v>
      </c>
      <c r="AY9" s="41">
        <v>49.251246875</v>
      </c>
      <c r="AZ9" s="42">
        <v>2995.36</v>
      </c>
      <c r="BA9" s="42">
        <v>3889.98</v>
      </c>
      <c r="BB9" s="42">
        <v>4.9909999999999997</v>
      </c>
      <c r="BC9" s="42">
        <v>17.157</v>
      </c>
      <c r="BE9" s="43">
        <f t="shared" si="14"/>
        <v>0</v>
      </c>
      <c r="BF9" s="43">
        <f t="shared" si="15"/>
        <v>-3.5097357325986067E-7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8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2.1041625000000002</v>
      </c>
      <c r="J10" s="28">
        <f t="shared" si="1"/>
        <v>9.9071326596773868E-2</v>
      </c>
      <c r="K10" s="28">
        <f t="shared" si="2"/>
        <v>7.1505234500308087E-2</v>
      </c>
      <c r="L10" s="28">
        <f t="shared" si="3"/>
        <v>3.8061709601444532E-2</v>
      </c>
      <c r="M10" s="28">
        <f t="shared" si="4"/>
        <v>2.7545257649497421E-2</v>
      </c>
      <c r="N10" s="25">
        <f t="shared" si="5"/>
        <v>1619936</v>
      </c>
      <c r="O10" s="28">
        <f t="shared" si="6"/>
        <v>0.10691072337267121</v>
      </c>
      <c r="P10" s="29">
        <v>20993591</v>
      </c>
      <c r="Q10" s="29">
        <v>656049.71875</v>
      </c>
      <c r="R10" s="29">
        <v>19815.4375</v>
      </c>
      <c r="S10" s="30">
        <v>2244440</v>
      </c>
      <c r="T10" s="30">
        <v>862280</v>
      </c>
      <c r="U10" s="30">
        <v>757656</v>
      </c>
      <c r="V10" s="30">
        <v>624032</v>
      </c>
      <c r="W10" s="31">
        <v>65.961984375</v>
      </c>
      <c r="X10" s="31">
        <v>67.906637500000002</v>
      </c>
      <c r="Y10" s="31">
        <v>30.780918750000001</v>
      </c>
      <c r="Z10" s="31">
        <v>38.347728125000003</v>
      </c>
      <c r="AA10" s="31">
        <v>29.883928125000001</v>
      </c>
      <c r="AB10" s="32">
        <v>3801.97</v>
      </c>
      <c r="AC10" s="32">
        <v>3499.99</v>
      </c>
      <c r="AD10" s="32">
        <v>4.5430000000000001</v>
      </c>
      <c r="AE10" s="32">
        <v>16.11</v>
      </c>
      <c r="AG10" s="27">
        <f t="shared" si="7"/>
        <v>2.1041699999999999</v>
      </c>
      <c r="AH10" s="28">
        <f t="shared" si="8"/>
        <v>9.9071679722993675E-2</v>
      </c>
      <c r="AI10" s="28">
        <f t="shared" si="9"/>
        <v>7.1505234500308087E-2</v>
      </c>
      <c r="AJ10" s="28">
        <f t="shared" si="10"/>
        <v>3.8061709601444532E-2</v>
      </c>
      <c r="AK10" s="28">
        <f t="shared" si="11"/>
        <v>2.7545257649497421E-2</v>
      </c>
      <c r="AL10" s="25">
        <f t="shared" si="12"/>
        <v>1619936</v>
      </c>
      <c r="AM10" s="28">
        <f t="shared" si="13"/>
        <v>0.1069111044413507</v>
      </c>
      <c r="AN10" s="29">
        <v>20993591</v>
      </c>
      <c r="AO10" s="29">
        <v>656049.71875</v>
      </c>
      <c r="AP10" s="29">
        <v>19815.4375</v>
      </c>
      <c r="AQ10" s="30">
        <v>2244448</v>
      </c>
      <c r="AR10" s="30">
        <v>862280</v>
      </c>
      <c r="AS10" s="30">
        <v>757656</v>
      </c>
      <c r="AT10" s="30">
        <v>624032</v>
      </c>
      <c r="AU10" s="31">
        <v>65.961984375</v>
      </c>
      <c r="AV10" s="31">
        <v>67.906637500000002</v>
      </c>
      <c r="AW10" s="31">
        <v>30.780918750000001</v>
      </c>
      <c r="AX10" s="31">
        <v>38.347728125000003</v>
      </c>
      <c r="AY10" s="31">
        <v>29.883928125000001</v>
      </c>
      <c r="AZ10" s="32">
        <v>2992.85</v>
      </c>
      <c r="BA10" s="32">
        <v>3324.86</v>
      </c>
      <c r="BB10" s="32">
        <v>4.4560000000000004</v>
      </c>
      <c r="BC10" s="32">
        <v>16.012</v>
      </c>
      <c r="BE10" s="33">
        <f t="shared" si="14"/>
        <v>0</v>
      </c>
      <c r="BF10" s="33">
        <f t="shared" si="15"/>
        <v>-2.5725883338045819E-6</v>
      </c>
      <c r="BG10" s="33">
        <f t="array" ref="BG10">AVERAGE(AL10:AL14/AQ10:AQ14) - AVERAGE(N10:N14/S10:S14)</f>
        <v>-1.182944749489323E-6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0</v>
      </c>
      <c r="BL10" s="34">
        <f>IF( OR(ISBLANK(V10:V14),ISBLANK(AT10:AT14), ISBLANK(Z10:Z14),ISBLANK(AX10:AX14)), "·", bdRateExtend( V10:V14,Z10:Z14, AT10:AT14,AX10:AX14))</f>
        <v>0</v>
      </c>
      <c r="BM10" s="34">
        <f>IF( OR(ISBLANK(V10:V14),ISBLANK(AT10:AT14), ISBLANK(AA10:AA14),ISBLANK(AY10:AY14)), "·", bdRateExtend( V10:V14,AA10:AA14, AT10:AT14,AY10:AY14))</f>
        <v>0</v>
      </c>
      <c r="BO10" s="34">
        <f>IF( OR(ISBLANK(S10:S14),ISBLANK(AQ10:AQ14), ISBLANK(W10:W14),ISBLANK(AU10:AU14)), "·", bdRateExtend( S10:S14,W10:W14, AQ10:AQ14,AU10:AU14))</f>
        <v>2.1164093122472138E-6</v>
      </c>
      <c r="BP10" s="34">
        <f>IF( OR(ISBLANK(S10:S14),ISBLANK(AQ10:AQ14), ISBLANK(X10:X14),ISBLANK(AV10:AV14)), "·", bdRateExtend( S10:S14,X10:X14, AQ10:AQ14,AV10:AV14))</f>
        <v>2.0635615196606949E-6</v>
      </c>
      <c r="BQ10" s="34">
        <f>IF( OR(ISBLANK(S10:S14),ISBLANK(AQ10:AQ14), ISBLANK(Y10:Y14),ISBLANK(AW10:AW14)), "·", bdRateExtend( S10:S14,Y10:Y14, AQ10:AQ14,AW10:AW14))</f>
        <v>1.75751677988778E-6</v>
      </c>
      <c r="BR10" s="34">
        <f>IF( OR(ISBLANK(S10:S14),ISBLANK(AQ10:AQ14), ISBLANK(Z10:Z14),ISBLANK(AX10:AX14)), "·", bdRateExtend( S10:S14,Z10:Z14, AQ10:AQ14,AX10:AX14))</f>
        <v>1.7985710139001299E-6</v>
      </c>
      <c r="BS10" s="34">
        <f>IF( OR(ISBLANK(S10:S14),ISBLANK(AQ10:AQ14), ISBLANK(AA10:AA14),ISBLANK(AY10:AY14)), "·", bdRateExtend( S10:S14,AA10:AA14, AQ10:AQ14,AY10:AY14))</f>
        <v>1.8500915821562103E-6</v>
      </c>
      <c r="BU10" s="4">
        <f t="shared" si="16"/>
        <v>8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2.9042625000000002</v>
      </c>
      <c r="J11" s="18">
        <f t="shared" si="1"/>
        <v>0.1367428317253363</v>
      </c>
      <c r="K11" s="18">
        <f t="shared" si="2"/>
        <v>8.6959097257537907E-2</v>
      </c>
      <c r="L11" s="18">
        <f t="shared" si="3"/>
        <v>5.3515572358674365E-2</v>
      </c>
      <c r="M11" s="18">
        <f t="shared" si="4"/>
        <v>4.9762900020830031E-2</v>
      </c>
      <c r="N11" s="15">
        <f t="shared" si="5"/>
        <v>1970040</v>
      </c>
      <c r="O11" s="18">
        <f t="shared" si="6"/>
        <v>0.13786759960986142</v>
      </c>
      <c r="P11" s="19">
        <v>22469964</v>
      </c>
      <c r="Q11" s="19">
        <v>702186.375</v>
      </c>
      <c r="R11" s="19">
        <v>25184.25</v>
      </c>
      <c r="S11" s="20">
        <v>3097880</v>
      </c>
      <c r="T11" s="20">
        <v>1212384</v>
      </c>
      <c r="U11" s="20">
        <v>757656</v>
      </c>
      <c r="V11" s="20">
        <v>1127368</v>
      </c>
      <c r="W11" s="21">
        <v>67.681240625000001</v>
      </c>
      <c r="X11" s="21">
        <v>69.835137500000002</v>
      </c>
      <c r="Y11" s="21">
        <v>32.694362499999997</v>
      </c>
      <c r="Z11" s="21">
        <v>39.520256250000003</v>
      </c>
      <c r="AA11" s="21">
        <v>32.160274999999999</v>
      </c>
      <c r="AB11" s="22">
        <v>4010.2</v>
      </c>
      <c r="AC11" s="22">
        <v>3770.22</v>
      </c>
      <c r="AD11" s="22">
        <v>4.782</v>
      </c>
      <c r="AE11" s="22">
        <v>16.841999999999999</v>
      </c>
      <c r="AG11" s="17">
        <f t="shared" si="7"/>
        <v>2.9042699999999999</v>
      </c>
      <c r="AH11" s="18">
        <f t="shared" si="8"/>
        <v>0.13674318485155612</v>
      </c>
      <c r="AI11" s="18">
        <f t="shared" si="9"/>
        <v>8.6959097257537907E-2</v>
      </c>
      <c r="AJ11" s="18">
        <f t="shared" si="10"/>
        <v>5.3515572358674365E-2</v>
      </c>
      <c r="AK11" s="18">
        <f t="shared" si="11"/>
        <v>4.9762900020830031E-2</v>
      </c>
      <c r="AL11" s="15">
        <f t="shared" si="12"/>
        <v>1970040</v>
      </c>
      <c r="AM11" s="18">
        <f t="shared" si="13"/>
        <v>0.1378679556406944</v>
      </c>
      <c r="AN11" s="19">
        <v>22469964</v>
      </c>
      <c r="AO11" s="19">
        <v>702186.375</v>
      </c>
      <c r="AP11" s="19">
        <v>25184.25</v>
      </c>
      <c r="AQ11" s="20">
        <v>3097888</v>
      </c>
      <c r="AR11" s="20">
        <v>1212384</v>
      </c>
      <c r="AS11" s="20">
        <v>757656</v>
      </c>
      <c r="AT11" s="20">
        <v>1127368</v>
      </c>
      <c r="AU11" s="21">
        <v>67.681240625000001</v>
      </c>
      <c r="AV11" s="21">
        <v>69.835137500000002</v>
      </c>
      <c r="AW11" s="21">
        <v>32.694362499999997</v>
      </c>
      <c r="AX11" s="21">
        <v>39.520256250000003</v>
      </c>
      <c r="AY11" s="21">
        <v>32.160274999999999</v>
      </c>
      <c r="AZ11" s="22">
        <v>3066.3</v>
      </c>
      <c r="BA11" s="22">
        <v>3585.97</v>
      </c>
      <c r="BB11" s="22">
        <v>4.5739999999999998</v>
      </c>
      <c r="BC11" s="22">
        <v>16.289000000000001</v>
      </c>
      <c r="BE11" s="23">
        <f t="shared" si="14"/>
        <v>0</v>
      </c>
      <c r="BF11" s="23">
        <f t="shared" si="15"/>
        <v>-1.642232822951506E-6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8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4.1676525</v>
      </c>
      <c r="J12" s="28">
        <f t="shared" si="1"/>
        <v>0.19622764970355716</v>
      </c>
      <c r="K12" s="28">
        <f t="shared" si="2"/>
        <v>0.10953198460599213</v>
      </c>
      <c r="L12" s="28">
        <f t="shared" si="3"/>
        <v>7.6088459707128589E-2</v>
      </c>
      <c r="M12" s="28">
        <f t="shared" si="4"/>
        <v>8.6674830650596654E-2</v>
      </c>
      <c r="N12" s="25">
        <f t="shared" si="5"/>
        <v>2481424</v>
      </c>
      <c r="O12" s="28">
        <f t="shared" si="6"/>
        <v>0.19492934194154007</v>
      </c>
      <c r="P12" s="29">
        <v>22805679</v>
      </c>
      <c r="Q12" s="29">
        <v>712677.46875</v>
      </c>
      <c r="R12" s="29">
        <v>26777.15625</v>
      </c>
      <c r="S12" s="30">
        <v>4445496</v>
      </c>
      <c r="T12" s="30">
        <v>1723768</v>
      </c>
      <c r="U12" s="30">
        <v>757656</v>
      </c>
      <c r="V12" s="30">
        <v>1963600</v>
      </c>
      <c r="W12" s="31">
        <v>69.028450000000007</v>
      </c>
      <c r="X12" s="31">
        <v>71.533574999999999</v>
      </c>
      <c r="Y12" s="31">
        <v>34.763062499999997</v>
      </c>
      <c r="Z12" s="31">
        <v>40.446318750000003</v>
      </c>
      <c r="AA12" s="31">
        <v>34.07218125</v>
      </c>
      <c r="AB12" s="32">
        <v>3592.09</v>
      </c>
      <c r="AC12" s="32">
        <v>4003.48</v>
      </c>
      <c r="AD12" s="32">
        <v>4.7670000000000003</v>
      </c>
      <c r="AE12" s="32">
        <v>16.908000000000001</v>
      </c>
      <c r="AG12" s="27">
        <f t="shared" si="7"/>
        <v>4.1676599999999997</v>
      </c>
      <c r="AH12" s="28">
        <f t="shared" si="8"/>
        <v>0.19622800282977695</v>
      </c>
      <c r="AI12" s="28">
        <f t="shared" si="9"/>
        <v>0.10953198460599213</v>
      </c>
      <c r="AJ12" s="28">
        <f t="shared" si="10"/>
        <v>7.6088459707128589E-2</v>
      </c>
      <c r="AK12" s="28">
        <f t="shared" si="11"/>
        <v>8.6674830650596654E-2</v>
      </c>
      <c r="AL12" s="25">
        <f t="shared" si="12"/>
        <v>2481424</v>
      </c>
      <c r="AM12" s="28">
        <f t="shared" si="13"/>
        <v>0.19492969273135871</v>
      </c>
      <c r="AN12" s="29">
        <v>22805679</v>
      </c>
      <c r="AO12" s="29">
        <v>712677.46875</v>
      </c>
      <c r="AP12" s="29">
        <v>26777.15625</v>
      </c>
      <c r="AQ12" s="30">
        <v>4445504</v>
      </c>
      <c r="AR12" s="30">
        <v>1723768</v>
      </c>
      <c r="AS12" s="30">
        <v>757656</v>
      </c>
      <c r="AT12" s="30">
        <v>1963600</v>
      </c>
      <c r="AU12" s="31">
        <v>69.028450000000007</v>
      </c>
      <c r="AV12" s="31">
        <v>71.533574999999999</v>
      </c>
      <c r="AW12" s="31">
        <v>34.763062499999997</v>
      </c>
      <c r="AX12" s="31">
        <v>40.446318750000003</v>
      </c>
      <c r="AY12" s="31">
        <v>34.07218125</v>
      </c>
      <c r="AZ12" s="32">
        <v>2794.5</v>
      </c>
      <c r="BA12" s="32">
        <v>3827.08</v>
      </c>
      <c r="BB12" s="32">
        <v>4.7670000000000003</v>
      </c>
      <c r="BC12" s="32">
        <v>17.143999999999998</v>
      </c>
      <c r="BE12" s="33">
        <f t="shared" si="14"/>
        <v>0</v>
      </c>
      <c r="BF12" s="33">
        <f t="shared" si="15"/>
        <v>-1.0044995261138112E-6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8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6.8598074999999996</v>
      </c>
      <c r="J13" s="18">
        <f t="shared" si="1"/>
        <v>0.32298371880665055</v>
      </c>
      <c r="K13" s="18">
        <f t="shared" si="2"/>
        <v>0.15014856240770991</v>
      </c>
      <c r="L13" s="18">
        <f t="shared" si="3"/>
        <v>0.11670503750884637</v>
      </c>
      <c r="M13" s="18">
        <f t="shared" si="4"/>
        <v>0.17281432195197227</v>
      </c>
      <c r="N13" s="15">
        <f t="shared" si="5"/>
        <v>3401584</v>
      </c>
      <c r="O13" s="18">
        <f t="shared" si="6"/>
        <v>0.30741504725168528</v>
      </c>
      <c r="P13" s="19">
        <v>23802114</v>
      </c>
      <c r="Q13" s="19">
        <v>743816.0625</v>
      </c>
      <c r="R13" s="19">
        <v>30639.71875</v>
      </c>
      <c r="S13" s="20">
        <v>7317128</v>
      </c>
      <c r="T13" s="20">
        <v>2643928</v>
      </c>
      <c r="U13" s="20">
        <v>757656</v>
      </c>
      <c r="V13" s="20">
        <v>3915072</v>
      </c>
      <c r="W13" s="21">
        <v>70.005984374999997</v>
      </c>
      <c r="X13" s="21">
        <v>72.755981250000005</v>
      </c>
      <c r="Y13" s="21">
        <v>37.030693749999998</v>
      </c>
      <c r="Z13" s="21">
        <v>41.526387499999998</v>
      </c>
      <c r="AA13" s="21">
        <v>36.097665624999998</v>
      </c>
      <c r="AB13" s="22">
        <v>3595.43</v>
      </c>
      <c r="AC13" s="22">
        <v>4301.82</v>
      </c>
      <c r="AD13" s="22">
        <v>4.6989999999999998</v>
      </c>
      <c r="AE13" s="22">
        <v>17.670000000000002</v>
      </c>
      <c r="AG13" s="17">
        <f t="shared" si="7"/>
        <v>6.8598150000000002</v>
      </c>
      <c r="AH13" s="18">
        <f t="shared" si="8"/>
        <v>0.32298407193287038</v>
      </c>
      <c r="AI13" s="18">
        <f t="shared" si="9"/>
        <v>0.15014856240770991</v>
      </c>
      <c r="AJ13" s="18">
        <f t="shared" si="10"/>
        <v>0.11670503750884637</v>
      </c>
      <c r="AK13" s="18">
        <f t="shared" si="11"/>
        <v>0.17281432195197227</v>
      </c>
      <c r="AL13" s="15">
        <f t="shared" si="12"/>
        <v>3401584</v>
      </c>
      <c r="AM13" s="18">
        <f t="shared" si="13"/>
        <v>0.3074153833562851</v>
      </c>
      <c r="AN13" s="19">
        <v>23802114</v>
      </c>
      <c r="AO13" s="19">
        <v>743816.0625</v>
      </c>
      <c r="AP13" s="19">
        <v>30639.71875</v>
      </c>
      <c r="AQ13" s="20">
        <v>7317136</v>
      </c>
      <c r="AR13" s="20">
        <v>2643928</v>
      </c>
      <c r="AS13" s="20">
        <v>757656</v>
      </c>
      <c r="AT13" s="20">
        <v>3915072</v>
      </c>
      <c r="AU13" s="21">
        <v>70.005984374999997</v>
      </c>
      <c r="AV13" s="21">
        <v>72.755981250000005</v>
      </c>
      <c r="AW13" s="21">
        <v>37.030693749999998</v>
      </c>
      <c r="AX13" s="21">
        <v>41.526387499999998</v>
      </c>
      <c r="AY13" s="21">
        <v>36.097665624999998</v>
      </c>
      <c r="AZ13" s="22">
        <v>3053.51</v>
      </c>
      <c r="BA13" s="22">
        <v>4107.28</v>
      </c>
      <c r="BB13" s="22">
        <v>4.9039999999999999</v>
      </c>
      <c r="BC13" s="22">
        <v>17.184999999999999</v>
      </c>
      <c r="BE13" s="23">
        <f t="shared" si="14"/>
        <v>0</v>
      </c>
      <c r="BF13" s="23">
        <f t="shared" si="15"/>
        <v>-5.0826406738924135E-7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8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13.7423325</v>
      </c>
      <c r="J14" s="48">
        <f t="shared" si="1"/>
        <v>0.64703705693308378</v>
      </c>
      <c r="K14" s="48">
        <f t="shared" si="2"/>
        <v>0.22186708514477887</v>
      </c>
      <c r="L14" s="48">
        <f t="shared" si="3"/>
        <v>0.18842356024591533</v>
      </c>
      <c r="M14" s="48">
        <f t="shared" si="4"/>
        <v>0.42514913734133652</v>
      </c>
      <c r="N14" s="45">
        <f t="shared" si="5"/>
        <v>5026352</v>
      </c>
      <c r="O14" s="48">
        <f t="shared" si="6"/>
        <v>0.61120469613738826</v>
      </c>
      <c r="P14" s="49">
        <v>23982944</v>
      </c>
      <c r="Q14" s="49">
        <v>749467</v>
      </c>
      <c r="R14" s="49">
        <v>32391.4375</v>
      </c>
      <c r="S14" s="50">
        <v>14658488</v>
      </c>
      <c r="T14" s="50">
        <v>4268696</v>
      </c>
      <c r="U14" s="50">
        <v>757656</v>
      </c>
      <c r="V14" s="50">
        <v>9631664</v>
      </c>
      <c r="W14" s="51">
        <v>70.859481250000002</v>
      </c>
      <c r="X14" s="51">
        <v>73.880081250000003</v>
      </c>
      <c r="Y14" s="51">
        <v>39.721912500000002</v>
      </c>
      <c r="Z14" s="51">
        <v>42.956209375</v>
      </c>
      <c r="AA14" s="51">
        <v>38.524393750000002</v>
      </c>
      <c r="AB14" s="52">
        <v>3721.93</v>
      </c>
      <c r="AC14" s="52">
        <v>4725.58</v>
      </c>
      <c r="AD14" s="52">
        <v>4.8319999999999999</v>
      </c>
      <c r="AE14" s="52">
        <v>18.535</v>
      </c>
      <c r="AG14" s="47">
        <f t="shared" si="7"/>
        <v>13.74234</v>
      </c>
      <c r="AH14" s="48">
        <f t="shared" si="8"/>
        <v>0.6470374100593036</v>
      </c>
      <c r="AI14" s="48">
        <f t="shared" si="9"/>
        <v>0.22186708514477887</v>
      </c>
      <c r="AJ14" s="48">
        <f t="shared" si="10"/>
        <v>0.18842356024591533</v>
      </c>
      <c r="AK14" s="48">
        <f t="shared" si="11"/>
        <v>0.42514913734133652</v>
      </c>
      <c r="AL14" s="45">
        <f t="shared" si="12"/>
        <v>5026352</v>
      </c>
      <c r="AM14" s="48">
        <f t="shared" si="13"/>
        <v>0.61120502970777901</v>
      </c>
      <c r="AN14" s="49">
        <v>23982944</v>
      </c>
      <c r="AO14" s="49">
        <v>749467</v>
      </c>
      <c r="AP14" s="49">
        <v>32391.4375</v>
      </c>
      <c r="AQ14" s="50">
        <v>14658496</v>
      </c>
      <c r="AR14" s="50">
        <v>4268696</v>
      </c>
      <c r="AS14" s="50">
        <v>757656</v>
      </c>
      <c r="AT14" s="50">
        <v>9631664</v>
      </c>
      <c r="AU14" s="51">
        <v>70.859481250000002</v>
      </c>
      <c r="AV14" s="51">
        <v>73.880081250000003</v>
      </c>
      <c r="AW14" s="51">
        <v>39.721912500000002</v>
      </c>
      <c r="AX14" s="51">
        <v>42.956209375</v>
      </c>
      <c r="AY14" s="51">
        <v>38.524393750000002</v>
      </c>
      <c r="AZ14" s="52">
        <v>2862.24</v>
      </c>
      <c r="BA14" s="52">
        <v>4509.03</v>
      </c>
      <c r="BB14" s="52">
        <v>4.8929999999999998</v>
      </c>
      <c r="BC14" s="52">
        <v>18.704999999999998</v>
      </c>
      <c r="BE14" s="53">
        <f t="shared" si="14"/>
        <v>0</v>
      </c>
      <c r="BF14" s="53">
        <f t="shared" si="15"/>
        <v>-1.8713899707645254E-7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8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2.1970049999999999</v>
      </c>
      <c r="J15" s="18">
        <f t="shared" si="1"/>
        <v>6.903179766015495E-2</v>
      </c>
      <c r="K15" s="18">
        <f t="shared" si="2"/>
        <v>5.4727684494138902E-2</v>
      </c>
      <c r="L15" s="18">
        <f t="shared" si="3"/>
        <v>2.8180509806285066E-2</v>
      </c>
      <c r="M15" s="18">
        <f t="shared" si="4"/>
        <v>1.4290209433223169E-2</v>
      </c>
      <c r="N15" s="15">
        <f t="shared" si="5"/>
        <v>1857880</v>
      </c>
      <c r="O15" s="18">
        <f t="shared" si="6"/>
        <v>7.1497912745510248E-2</v>
      </c>
      <c r="P15" s="19">
        <v>32776789</v>
      </c>
      <c r="Q15" s="19">
        <v>1024274.65625</v>
      </c>
      <c r="R15" s="19">
        <v>34476.84375</v>
      </c>
      <c r="S15" s="20">
        <v>2343472</v>
      </c>
      <c r="T15" s="20">
        <v>956664</v>
      </c>
      <c r="U15" s="20">
        <v>901216</v>
      </c>
      <c r="V15" s="20">
        <v>485120</v>
      </c>
      <c r="W15" s="21">
        <v>66.346265625000001</v>
      </c>
      <c r="X15" s="21">
        <v>67.982121875000004</v>
      </c>
      <c r="Y15" s="21">
        <v>28.651700000000002</v>
      </c>
      <c r="Z15" s="21">
        <v>42.734606249999999</v>
      </c>
      <c r="AA15" s="21">
        <v>42.747812500000002</v>
      </c>
      <c r="AB15" s="22">
        <v>4982.13</v>
      </c>
      <c r="AC15" s="22">
        <v>3502.3</v>
      </c>
      <c r="AD15" s="22">
        <v>6.6020000000000003</v>
      </c>
      <c r="AE15" s="22">
        <v>18.486999999999998</v>
      </c>
      <c r="AG15" s="17">
        <f t="shared" si="7"/>
        <v>2.1970125</v>
      </c>
      <c r="AH15" s="18">
        <f t="shared" si="8"/>
        <v>6.9032033316642968E-2</v>
      </c>
      <c r="AI15" s="18">
        <f t="shared" si="9"/>
        <v>5.4727684494138902E-2</v>
      </c>
      <c r="AJ15" s="18">
        <f t="shared" si="10"/>
        <v>2.8180509806285066E-2</v>
      </c>
      <c r="AK15" s="18">
        <f t="shared" si="11"/>
        <v>1.4290209433223169E-2</v>
      </c>
      <c r="AL15" s="15">
        <f t="shared" si="12"/>
        <v>1857880</v>
      </c>
      <c r="AM15" s="18">
        <f t="shared" si="13"/>
        <v>7.1498156820669651E-2</v>
      </c>
      <c r="AN15" s="19">
        <v>32776789</v>
      </c>
      <c r="AO15" s="19">
        <v>1024274.65625</v>
      </c>
      <c r="AP15" s="19">
        <v>34476.84375</v>
      </c>
      <c r="AQ15" s="20">
        <v>2343480</v>
      </c>
      <c r="AR15" s="20">
        <v>956664</v>
      </c>
      <c r="AS15" s="20">
        <v>901216</v>
      </c>
      <c r="AT15" s="20">
        <v>485120</v>
      </c>
      <c r="AU15" s="21">
        <v>66.346265625000001</v>
      </c>
      <c r="AV15" s="21">
        <v>67.982121875000004</v>
      </c>
      <c r="AW15" s="21">
        <v>28.651700000000002</v>
      </c>
      <c r="AX15" s="21">
        <v>42.734606249999999</v>
      </c>
      <c r="AY15" s="21">
        <v>42.747812500000002</v>
      </c>
      <c r="AZ15" s="22">
        <v>3951.51</v>
      </c>
      <c r="BA15" s="22">
        <v>3428.44</v>
      </c>
      <c r="BB15" s="22">
        <v>6.6029999999999998</v>
      </c>
      <c r="BC15" s="22">
        <v>19.234999999999999</v>
      </c>
      <c r="BE15" s="23">
        <f t="shared" si="14"/>
        <v>0</v>
      </c>
      <c r="BF15" s="23">
        <f t="shared" si="15"/>
        <v>-2.7063666072635328E-6</v>
      </c>
      <c r="BG15" s="23">
        <f t="array" ref="BG15">AVERAGE(AL15:AL19/AQ15:AQ19) - AVERAGE(N15:N19/S15:S19)</f>
        <v>-1.2146512304855861E-6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0</v>
      </c>
      <c r="BL15" s="24">
        <f>IF( OR(ISBLANK(V15:V19),ISBLANK(AT15:AT19), ISBLANK(Z15:Z19),ISBLANK(AX15:AX19)), "·", bdRateExtend( V15:V19,Z15:Z19, AT15:AT19,AX15:AX19))</f>
        <v>0</v>
      </c>
      <c r="BM15" s="24">
        <f>IF( OR(ISBLANK(V15:V19),ISBLANK(AT15:AT19), ISBLANK(AA15:AA19),ISBLANK(AY15:AY19)), "·", bdRateExtend( V15:V19,AA15:AA19, AT15:AT19,AY15:AY19))</f>
        <v>0</v>
      </c>
      <c r="BO15" s="24">
        <f>IF( OR(ISBLANK(S15:S19),ISBLANK(AQ15:AQ19), ISBLANK(W15:W19),ISBLANK(AU15:AU19)), "·", bdRateExtend( S15:S19,W15:W19, AQ15:AQ19,AU15:AU19))</f>
        <v>2.0371071531855023E-6</v>
      </c>
      <c r="BP15" s="24">
        <f>IF( OR(ISBLANK(S15:S19),ISBLANK(AQ15:AQ19), ISBLANK(X15:X19),ISBLANK(AV15:AV19)), "·", bdRateExtend( S15:S19,X15:X19, AQ15:AQ19,AV15:AV19))</f>
        <v>2.0343494593344502E-6</v>
      </c>
      <c r="BQ15" s="24">
        <f>IF( OR(ISBLANK(S15:S19),ISBLANK(AQ15:AQ19), ISBLANK(Y15:Y19),ISBLANK(AW15:AW19)), "·", bdRateExtend( S15:S19,Y15:Y19, AQ15:AQ19,AW15:AW19))</f>
        <v>1.7827592557750904E-6</v>
      </c>
      <c r="BR15" s="24">
        <f>IF( OR(ISBLANK(S15:S19),ISBLANK(AQ15:AQ19), ISBLANK(Z15:Z19),ISBLANK(AX15:AX19)), "·", bdRateExtend( S15:S19,Z15:Z19, AQ15:AQ19,AX15:AX19))</f>
        <v>1.5777748587630924E-6</v>
      </c>
      <c r="BS15" s="24">
        <f>IF( OR(ISBLANK(S15:S19),ISBLANK(AQ15:AQ19), ISBLANK(AA15:AA19),ISBLANK(AY15:AY19)), "·", bdRateExtend( S15:S19,AA15:AA19, AQ15:AQ19,AY15:AY19))</f>
        <v>1.6522509556082809E-6</v>
      </c>
      <c r="BU15" s="4">
        <f t="shared" si="16"/>
        <v>8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2.9151150000000001</v>
      </c>
      <c r="J16" s="28">
        <f t="shared" si="1"/>
        <v>9.1595435074605019E-2</v>
      </c>
      <c r="K16" s="28">
        <f t="shared" si="2"/>
        <v>6.3980265183067681E-2</v>
      </c>
      <c r="L16" s="28">
        <f t="shared" si="3"/>
        <v>3.7433090495213844E-2</v>
      </c>
      <c r="M16" s="28">
        <f t="shared" si="4"/>
        <v>2.7601266158744454E-2</v>
      </c>
      <c r="N16" s="25">
        <f t="shared" si="5"/>
        <v>2171984</v>
      </c>
      <c r="O16" s="28">
        <f t="shared" si="6"/>
        <v>9.051247582006279E-2</v>
      </c>
      <c r="P16" s="29">
        <v>34353894</v>
      </c>
      <c r="Q16" s="29">
        <v>1073559.1875</v>
      </c>
      <c r="R16" s="29">
        <v>40795</v>
      </c>
      <c r="S16" s="30">
        <v>3109456</v>
      </c>
      <c r="T16" s="30">
        <v>1270768</v>
      </c>
      <c r="U16" s="30">
        <v>901216</v>
      </c>
      <c r="V16" s="30">
        <v>937000</v>
      </c>
      <c r="W16" s="31">
        <v>68.030228124999994</v>
      </c>
      <c r="X16" s="31">
        <v>70.151956249999998</v>
      </c>
      <c r="Y16" s="31">
        <v>31.046575000000001</v>
      </c>
      <c r="Z16" s="31">
        <v>43.784453124999999</v>
      </c>
      <c r="AA16" s="31">
        <v>44.093853125000003</v>
      </c>
      <c r="AB16" s="32">
        <v>5431.91</v>
      </c>
      <c r="AC16" s="32">
        <v>3705.49</v>
      </c>
      <c r="AD16" s="32">
        <v>7.0250000000000004</v>
      </c>
      <c r="AE16" s="32">
        <v>19.501999999999999</v>
      </c>
      <c r="AG16" s="27">
        <f t="shared" si="7"/>
        <v>2.9151224999999998</v>
      </c>
      <c r="AH16" s="28">
        <f t="shared" si="8"/>
        <v>9.1595670731093023E-2</v>
      </c>
      <c r="AI16" s="28">
        <f t="shared" si="9"/>
        <v>6.3980265183067681E-2</v>
      </c>
      <c r="AJ16" s="28">
        <f t="shared" si="10"/>
        <v>3.7433090495213844E-2</v>
      </c>
      <c r="AK16" s="28">
        <f t="shared" si="11"/>
        <v>2.7601266158744454E-2</v>
      </c>
      <c r="AL16" s="25">
        <f t="shared" si="12"/>
        <v>2171984</v>
      </c>
      <c r="AM16" s="28">
        <f t="shared" si="13"/>
        <v>9.0512708690316149E-2</v>
      </c>
      <c r="AN16" s="29">
        <v>34353894</v>
      </c>
      <c r="AO16" s="29">
        <v>1073559.1875</v>
      </c>
      <c r="AP16" s="29">
        <v>40795</v>
      </c>
      <c r="AQ16" s="30">
        <v>3109464</v>
      </c>
      <c r="AR16" s="30">
        <v>1270768</v>
      </c>
      <c r="AS16" s="30">
        <v>901216</v>
      </c>
      <c r="AT16" s="30">
        <v>937000</v>
      </c>
      <c r="AU16" s="31">
        <v>68.030228124999994</v>
      </c>
      <c r="AV16" s="31">
        <v>70.151956249999998</v>
      </c>
      <c r="AW16" s="31">
        <v>31.046575000000001</v>
      </c>
      <c r="AX16" s="31">
        <v>43.784453124999999</v>
      </c>
      <c r="AY16" s="31">
        <v>44.093853125000003</v>
      </c>
      <c r="AZ16" s="32">
        <v>4292.6099999999997</v>
      </c>
      <c r="BA16" s="32">
        <v>3669.16</v>
      </c>
      <c r="BB16" s="32">
        <v>6.9630000000000001</v>
      </c>
      <c r="BC16" s="32">
        <v>19.484999999999999</v>
      </c>
      <c r="BE16" s="33">
        <f t="shared" si="14"/>
        <v>0</v>
      </c>
      <c r="BF16" s="33">
        <f t="shared" si="15"/>
        <v>-1.7971182717513301E-6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8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4.2557475</v>
      </c>
      <c r="J17" s="18">
        <f t="shared" si="1"/>
        <v>0.13371926796375533</v>
      </c>
      <c r="K17" s="18">
        <f t="shared" si="2"/>
        <v>7.6386165338123757E-2</v>
      </c>
      <c r="L17" s="18">
        <f t="shared" si="3"/>
        <v>4.9838990650269921E-2</v>
      </c>
      <c r="M17" s="18">
        <f t="shared" si="4"/>
        <v>5.7319198892838687E-2</v>
      </c>
      <c r="N17" s="15">
        <f t="shared" si="5"/>
        <v>2593136</v>
      </c>
      <c r="O17" s="18">
        <f t="shared" si="6"/>
        <v>0.13242777436345407</v>
      </c>
      <c r="P17" s="19">
        <v>34278791</v>
      </c>
      <c r="Q17" s="19">
        <v>1071212.21875</v>
      </c>
      <c r="R17" s="19">
        <v>41638.15625</v>
      </c>
      <c r="S17" s="20">
        <v>4539464</v>
      </c>
      <c r="T17" s="20">
        <v>1691920</v>
      </c>
      <c r="U17" s="20">
        <v>901216</v>
      </c>
      <c r="V17" s="20">
        <v>1945856</v>
      </c>
      <c r="W17" s="21">
        <v>69.417018749999997</v>
      </c>
      <c r="X17" s="21">
        <v>71.995306249999999</v>
      </c>
      <c r="Y17" s="21">
        <v>33.567862499999997</v>
      </c>
      <c r="Z17" s="21">
        <v>44.754265625000002</v>
      </c>
      <c r="AA17" s="21">
        <v>45.117028124999997</v>
      </c>
      <c r="AB17" s="22">
        <v>5371.81</v>
      </c>
      <c r="AC17" s="22">
        <v>3941.86</v>
      </c>
      <c r="AD17" s="22">
        <v>7.1589999999999998</v>
      </c>
      <c r="AE17" s="22">
        <v>19.577999999999999</v>
      </c>
      <c r="AG17" s="17">
        <f t="shared" si="7"/>
        <v>4.2557549999999997</v>
      </c>
      <c r="AH17" s="18">
        <f t="shared" si="8"/>
        <v>0.13371950362024335</v>
      </c>
      <c r="AI17" s="18">
        <f t="shared" si="9"/>
        <v>7.6386165338123757E-2</v>
      </c>
      <c r="AJ17" s="18">
        <f t="shared" si="10"/>
        <v>4.9838990650269921E-2</v>
      </c>
      <c r="AK17" s="18">
        <f t="shared" si="11"/>
        <v>5.7319198892838687E-2</v>
      </c>
      <c r="AL17" s="15">
        <f t="shared" si="12"/>
        <v>2593136</v>
      </c>
      <c r="AM17" s="18">
        <f t="shared" si="13"/>
        <v>0.13242800774391372</v>
      </c>
      <c r="AN17" s="19">
        <v>34278791</v>
      </c>
      <c r="AO17" s="19">
        <v>1071212.21875</v>
      </c>
      <c r="AP17" s="19">
        <v>41638.15625</v>
      </c>
      <c r="AQ17" s="20">
        <v>4539472</v>
      </c>
      <c r="AR17" s="20">
        <v>1691920</v>
      </c>
      <c r="AS17" s="20">
        <v>901216</v>
      </c>
      <c r="AT17" s="20">
        <v>1945856</v>
      </c>
      <c r="AU17" s="21">
        <v>69.417018749999997</v>
      </c>
      <c r="AV17" s="21">
        <v>71.995306249999999</v>
      </c>
      <c r="AW17" s="21">
        <v>33.567862499999997</v>
      </c>
      <c r="AX17" s="21">
        <v>44.754265625000002</v>
      </c>
      <c r="AY17" s="21">
        <v>45.117028124999997</v>
      </c>
      <c r="AZ17" s="22">
        <v>4286.3599999999997</v>
      </c>
      <c r="BA17" s="22">
        <v>3905.89</v>
      </c>
      <c r="BB17" s="22">
        <v>6.83</v>
      </c>
      <c r="BC17" s="22">
        <v>19.635999999999999</v>
      </c>
      <c r="BE17" s="23">
        <f t="shared" si="14"/>
        <v>0</v>
      </c>
      <c r="BF17" s="23">
        <f t="shared" si="15"/>
        <v>-1.0067122735435419E-6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8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7.6114949999999997</v>
      </c>
      <c r="J18" s="28">
        <f t="shared" si="1"/>
        <v>0.23915975736572337</v>
      </c>
      <c r="K18" s="28">
        <f t="shared" si="2"/>
        <v>0.10603151587390941</v>
      </c>
      <c r="L18" s="28">
        <f t="shared" si="3"/>
        <v>7.9484341186055574E-2</v>
      </c>
      <c r="M18" s="28">
        <f t="shared" si="4"/>
        <v>0.1331143377590211</v>
      </c>
      <c r="N18" s="25">
        <f t="shared" si="5"/>
        <v>3599528</v>
      </c>
      <c r="O18" s="28">
        <f t="shared" si="6"/>
        <v>0.22736191470730149</v>
      </c>
      <c r="P18" s="29">
        <v>35709270</v>
      </c>
      <c r="Q18" s="29">
        <v>1115914.6875</v>
      </c>
      <c r="R18" s="29">
        <v>47065.3125</v>
      </c>
      <c r="S18" s="30">
        <v>8118928</v>
      </c>
      <c r="T18" s="30">
        <v>2698312</v>
      </c>
      <c r="U18" s="30">
        <v>901216</v>
      </c>
      <c r="V18" s="30">
        <v>4518928</v>
      </c>
      <c r="W18" s="31">
        <v>70.436640624999995</v>
      </c>
      <c r="X18" s="31">
        <v>73.306431250000003</v>
      </c>
      <c r="Y18" s="31">
        <v>36.109034375</v>
      </c>
      <c r="Z18" s="31">
        <v>45.990868749999997</v>
      </c>
      <c r="AA18" s="31">
        <v>46.386809374999999</v>
      </c>
      <c r="AB18" s="32">
        <v>5504.72</v>
      </c>
      <c r="AC18" s="32">
        <v>4295.6499999999996</v>
      </c>
      <c r="AD18" s="32">
        <v>6.859</v>
      </c>
      <c r="AE18" s="32">
        <v>19.891999999999999</v>
      </c>
      <c r="AG18" s="27">
        <f t="shared" si="7"/>
        <v>7.6115025000000003</v>
      </c>
      <c r="AH18" s="28">
        <f t="shared" si="8"/>
        <v>0.23915999302221139</v>
      </c>
      <c r="AI18" s="28">
        <f t="shared" si="9"/>
        <v>0.10603151587390941</v>
      </c>
      <c r="AJ18" s="28">
        <f t="shared" si="10"/>
        <v>7.9484341186055574E-2</v>
      </c>
      <c r="AK18" s="28">
        <f t="shared" si="11"/>
        <v>0.1331143377590211</v>
      </c>
      <c r="AL18" s="25">
        <f t="shared" si="12"/>
        <v>3599528</v>
      </c>
      <c r="AM18" s="28">
        <f t="shared" si="13"/>
        <v>0.22736213873876449</v>
      </c>
      <c r="AN18" s="29">
        <v>35709270</v>
      </c>
      <c r="AO18" s="29">
        <v>1115914.6875</v>
      </c>
      <c r="AP18" s="29">
        <v>47065.3125</v>
      </c>
      <c r="AQ18" s="30">
        <v>8118936</v>
      </c>
      <c r="AR18" s="30">
        <v>2698312</v>
      </c>
      <c r="AS18" s="30">
        <v>901216</v>
      </c>
      <c r="AT18" s="30">
        <v>4518928</v>
      </c>
      <c r="AU18" s="31">
        <v>70.436640624999995</v>
      </c>
      <c r="AV18" s="31">
        <v>73.306431250000003</v>
      </c>
      <c r="AW18" s="31">
        <v>36.109034375</v>
      </c>
      <c r="AX18" s="31">
        <v>45.990868749999997</v>
      </c>
      <c r="AY18" s="31">
        <v>46.386809374999999</v>
      </c>
      <c r="AZ18" s="32">
        <v>4156.21</v>
      </c>
      <c r="BA18" s="32">
        <v>4272.63</v>
      </c>
      <c r="BB18" s="32">
        <v>6.923</v>
      </c>
      <c r="BC18" s="32">
        <v>19.863</v>
      </c>
      <c r="BE18" s="33">
        <f t="shared" si="14"/>
        <v>0</v>
      </c>
      <c r="BF18" s="33">
        <f t="shared" si="15"/>
        <v>-4.3685542694404944E-7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8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17.1970125</v>
      </c>
      <c r="J19" s="38">
        <f t="shared" si="1"/>
        <v>0.54034500934643093</v>
      </c>
      <c r="K19" s="38">
        <f t="shared" si="2"/>
        <v>0.15636326424061847</v>
      </c>
      <c r="L19" s="38">
        <f t="shared" si="3"/>
        <v>0.12981608955276464</v>
      </c>
      <c r="M19" s="38">
        <f t="shared" si="4"/>
        <v>0.38396784137301954</v>
      </c>
      <c r="N19" s="35">
        <f t="shared" si="5"/>
        <v>5308176</v>
      </c>
      <c r="O19" s="38">
        <f t="shared" si="6"/>
        <v>0.51121133795441276</v>
      </c>
      <c r="P19" s="39">
        <v>35882381</v>
      </c>
      <c r="Q19" s="39">
        <v>1121324.40625</v>
      </c>
      <c r="R19" s="39">
        <v>49290.5</v>
      </c>
      <c r="S19" s="40">
        <v>18343480</v>
      </c>
      <c r="T19" s="40">
        <v>4406960</v>
      </c>
      <c r="U19" s="40">
        <v>901216</v>
      </c>
      <c r="V19" s="40">
        <v>13034832</v>
      </c>
      <c r="W19" s="41">
        <v>71.307787500000003</v>
      </c>
      <c r="X19" s="41">
        <v>74.445509375</v>
      </c>
      <c r="Y19" s="41">
        <v>38.652468749999997</v>
      </c>
      <c r="Z19" s="41">
        <v>47.897134375</v>
      </c>
      <c r="AA19" s="41">
        <v>48.353803124999999</v>
      </c>
      <c r="AB19" s="42">
        <v>5164.9799999999996</v>
      </c>
      <c r="AC19" s="42">
        <v>4878.71</v>
      </c>
      <c r="AD19" s="42">
        <v>7.1559999999999997</v>
      </c>
      <c r="AE19" s="42">
        <v>21.532</v>
      </c>
      <c r="AG19" s="37">
        <f t="shared" si="7"/>
        <v>17.197019999999998</v>
      </c>
      <c r="AH19" s="38">
        <f t="shared" si="8"/>
        <v>0.54034524500291892</v>
      </c>
      <c r="AI19" s="38">
        <f t="shared" si="9"/>
        <v>0.15636326424061847</v>
      </c>
      <c r="AJ19" s="38">
        <f t="shared" si="10"/>
        <v>0.12981608955276464</v>
      </c>
      <c r="AK19" s="38">
        <f t="shared" si="11"/>
        <v>0.38396784137301954</v>
      </c>
      <c r="AL19" s="35">
        <f t="shared" si="12"/>
        <v>5308176</v>
      </c>
      <c r="AM19" s="38">
        <f t="shared" si="13"/>
        <v>0.51121156090505815</v>
      </c>
      <c r="AN19" s="39">
        <v>35882381</v>
      </c>
      <c r="AO19" s="39">
        <v>1121324.40625</v>
      </c>
      <c r="AP19" s="39">
        <v>49290.5</v>
      </c>
      <c r="AQ19" s="40">
        <v>18343488</v>
      </c>
      <c r="AR19" s="40">
        <v>4406960</v>
      </c>
      <c r="AS19" s="40">
        <v>901216</v>
      </c>
      <c r="AT19" s="40">
        <v>13034832</v>
      </c>
      <c r="AU19" s="41">
        <v>71.307787500000003</v>
      </c>
      <c r="AV19" s="41">
        <v>74.445509375</v>
      </c>
      <c r="AW19" s="41">
        <v>38.652468749999997</v>
      </c>
      <c r="AX19" s="41">
        <v>47.897134375</v>
      </c>
      <c r="AY19" s="41">
        <v>48.353803124999999</v>
      </c>
      <c r="AZ19" s="42">
        <v>4281.5200000000004</v>
      </c>
      <c r="BA19" s="42">
        <v>4854.8599999999997</v>
      </c>
      <c r="BB19" s="42">
        <v>6.8609999999999998</v>
      </c>
      <c r="BC19" s="42">
        <v>21.742999999999999</v>
      </c>
      <c r="BE19" s="43">
        <f t="shared" si="14"/>
        <v>0</v>
      </c>
      <c r="BF19" s="43">
        <f t="shared" si="15"/>
        <v>-1.2620357303649854E-7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8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2.4330500000000002</v>
      </c>
      <c r="J20" s="28">
        <f t="shared" si="1"/>
        <v>4.8344280003351794E-2</v>
      </c>
      <c r="K20" s="28">
        <f t="shared" si="2"/>
        <v>3.6082610415768969E-2</v>
      </c>
      <c r="L20" s="28">
        <f t="shared" si="3"/>
        <v>1.9892924612669567E-2</v>
      </c>
      <c r="M20" s="28">
        <f t="shared" si="4"/>
        <v>1.2247015590952063E-2</v>
      </c>
      <c r="N20" s="25">
        <f t="shared" si="5"/>
        <v>1162208</v>
      </c>
      <c r="O20" s="28">
        <f t="shared" si="6"/>
        <v>5.0538777763836161E-2</v>
      </c>
      <c r="P20" s="29">
        <v>30811034</v>
      </c>
      <c r="Q20" s="29">
        <v>962844.8125</v>
      </c>
      <c r="R20" s="29">
        <v>28036.625</v>
      </c>
      <c r="S20" s="30">
        <v>1557152</v>
      </c>
      <c r="T20" s="30">
        <v>640744</v>
      </c>
      <c r="U20" s="30">
        <v>521464</v>
      </c>
      <c r="V20" s="30">
        <v>394472</v>
      </c>
      <c r="W20" s="31">
        <v>67.068512499999997</v>
      </c>
      <c r="X20" s="31">
        <v>68.784443749999994</v>
      </c>
      <c r="Y20" s="31">
        <v>29.861671874999999</v>
      </c>
      <c r="Z20" s="31">
        <v>39.039371875000001</v>
      </c>
      <c r="AA20" s="31">
        <v>37.703818750000003</v>
      </c>
      <c r="AB20" s="32">
        <v>5420.12</v>
      </c>
      <c r="AC20" s="32">
        <v>2622.78</v>
      </c>
      <c r="AD20" s="32">
        <v>5.4539999999999997</v>
      </c>
      <c r="AE20" s="32">
        <v>14.712999999999999</v>
      </c>
      <c r="AG20" s="27">
        <f t="shared" si="7"/>
        <v>2.4330625000000001</v>
      </c>
      <c r="AH20" s="28">
        <f t="shared" si="8"/>
        <v>4.8344528376176039E-2</v>
      </c>
      <c r="AI20" s="28">
        <f t="shared" si="9"/>
        <v>3.6082610415768969E-2</v>
      </c>
      <c r="AJ20" s="28">
        <f t="shared" si="10"/>
        <v>1.9892924612669567E-2</v>
      </c>
      <c r="AK20" s="28">
        <f t="shared" si="11"/>
        <v>1.2247015590952063E-2</v>
      </c>
      <c r="AL20" s="25">
        <f t="shared" si="12"/>
        <v>1162208</v>
      </c>
      <c r="AM20" s="28">
        <f t="shared" si="13"/>
        <v>5.0539037411078125E-2</v>
      </c>
      <c r="AN20" s="29">
        <v>30811034</v>
      </c>
      <c r="AO20" s="29">
        <v>962844.8125</v>
      </c>
      <c r="AP20" s="29">
        <v>28036.625</v>
      </c>
      <c r="AQ20" s="30">
        <v>1557160</v>
      </c>
      <c r="AR20" s="30">
        <v>640744</v>
      </c>
      <c r="AS20" s="30">
        <v>521464</v>
      </c>
      <c r="AT20" s="30">
        <v>394472</v>
      </c>
      <c r="AU20" s="31">
        <v>67.068512499999997</v>
      </c>
      <c r="AV20" s="31">
        <v>68.784443749999994</v>
      </c>
      <c r="AW20" s="31">
        <v>29.861671874999999</v>
      </c>
      <c r="AX20" s="31">
        <v>39.039371875000001</v>
      </c>
      <c r="AY20" s="31">
        <v>37.703818750000003</v>
      </c>
      <c r="AZ20" s="32">
        <v>5190.76</v>
      </c>
      <c r="BA20" s="32">
        <v>2700.84</v>
      </c>
      <c r="BB20" s="32">
        <v>5.4950000000000001</v>
      </c>
      <c r="BC20" s="32">
        <v>14.81</v>
      </c>
      <c r="BE20" s="33">
        <f t="shared" si="14"/>
        <v>0</v>
      </c>
      <c r="BF20" s="33">
        <f t="shared" si="15"/>
        <v>-3.8345075792367567E-6</v>
      </c>
      <c r="BG20" s="33">
        <f t="array" ref="BG20">AVERAGE(AL20:AL24/AQ20:AQ24) - AVERAGE(N20:N24/S20:S24)</f>
        <v>-1.566778942752034E-6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0</v>
      </c>
      <c r="BL20" s="34">
        <f>IF( OR(ISBLANK(V20:V24),ISBLANK(AT20:AT24), ISBLANK(Z20:Z24),ISBLANK(AX20:AX24)), "·", bdRateExtend( V20:V24,Z20:Z24, AT20:AT24,AX20:AX24))</f>
        <v>0</v>
      </c>
      <c r="BM20" s="34">
        <f>IF( OR(ISBLANK(V20:V24),ISBLANK(AT20:AT24), ISBLANK(AA20:AA24),ISBLANK(AY20:AY24)), "·", bdRateExtend( V20:V24,AA20:AA24, AT20:AT24,AY20:AY24))</f>
        <v>0</v>
      </c>
      <c r="BO20" s="34">
        <f>IF( OR(ISBLANK(S20:S24),ISBLANK(AQ20:AQ24), ISBLANK(W20:W24),ISBLANK(AU20:AU24)), "·", bdRateExtend( S20:S24,W20:W24, AQ20:AQ24,AU20:AU24))</f>
        <v>2.959810241787153E-6</v>
      </c>
      <c r="BP20" s="34">
        <f>IF( OR(ISBLANK(S20:S24),ISBLANK(AQ20:AQ24), ISBLANK(X20:X24),ISBLANK(AV20:AV24)), "·", bdRateExtend( S20:S24,X20:X24, AQ20:AQ24,AV20:AV24))</f>
        <v>2.9281095559330339E-6</v>
      </c>
      <c r="BQ20" s="34">
        <f>IF( OR(ISBLANK(S20:S24),ISBLANK(AQ20:AQ24), ISBLANK(Y20:Y24),ISBLANK(AW20:AW24)), "·", bdRateExtend( S20:S24,Y20:Y24, AQ20:AQ24,AW20:AW24))</f>
        <v>2.4261226112543E-6</v>
      </c>
      <c r="BR20" s="34">
        <f>IF( OR(ISBLANK(S20:S24),ISBLANK(AQ20:AQ24), ISBLANK(Z20:Z24),ISBLANK(AX20:AX24)), "·", bdRateExtend( S20:S24,Z20:Z24, AQ20:AQ24,AX20:AX24))</f>
        <v>2.5507799137347575E-6</v>
      </c>
      <c r="BS20" s="34">
        <f>IF( OR(ISBLANK(S20:S24),ISBLANK(AQ20:AQ24), ISBLANK(AA20:AA24),ISBLANK(AY20:AY24)), "·", bdRateExtend( S20:S24,AA20:AA24, AQ20:AQ24,AY20:AY24))</f>
        <v>2.6557040173624813E-6</v>
      </c>
      <c r="BU20" s="4">
        <f t="shared" si="16"/>
        <v>8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3.3669750000000001</v>
      </c>
      <c r="J21" s="18">
        <f t="shared" si="1"/>
        <v>6.6901207194379642E-2</v>
      </c>
      <c r="K21" s="18">
        <f t="shared" si="2"/>
        <v>4.2489139044478076E-2</v>
      </c>
      <c r="L21" s="18">
        <f t="shared" si="3"/>
        <v>2.6299453241378678E-2</v>
      </c>
      <c r="M21" s="18">
        <f t="shared" si="4"/>
        <v>2.4397414153270808E-2</v>
      </c>
      <c r="N21" s="15">
        <f t="shared" si="5"/>
        <v>1368560</v>
      </c>
      <c r="O21" s="18">
        <f t="shared" si="6"/>
        <v>6.7660447331918963E-2</v>
      </c>
      <c r="P21" s="19">
        <v>31848208</v>
      </c>
      <c r="Q21" s="19">
        <v>995256.5</v>
      </c>
      <c r="R21" s="19">
        <v>32402.28125</v>
      </c>
      <c r="S21" s="20">
        <v>2154864</v>
      </c>
      <c r="T21" s="20">
        <v>847096</v>
      </c>
      <c r="U21" s="20">
        <v>521464</v>
      </c>
      <c r="V21" s="20">
        <v>785832</v>
      </c>
      <c r="W21" s="21">
        <v>68.705831250000003</v>
      </c>
      <c r="X21" s="21">
        <v>70.895943750000001</v>
      </c>
      <c r="Y21" s="21">
        <v>31.418203125000002</v>
      </c>
      <c r="Z21" s="21">
        <v>40.323431249999999</v>
      </c>
      <c r="AA21" s="21">
        <v>39.086153125000003</v>
      </c>
      <c r="AB21" s="22">
        <v>4970.5</v>
      </c>
      <c r="AC21" s="22">
        <v>2829.92</v>
      </c>
      <c r="AD21" s="22">
        <v>5.4790000000000001</v>
      </c>
      <c r="AE21" s="22">
        <v>15.045</v>
      </c>
      <c r="AG21" s="17">
        <f t="shared" si="7"/>
        <v>3.3669875</v>
      </c>
      <c r="AH21" s="18">
        <f t="shared" si="8"/>
        <v>6.6901455567203894E-2</v>
      </c>
      <c r="AI21" s="18">
        <f t="shared" si="9"/>
        <v>4.2489139044478076E-2</v>
      </c>
      <c r="AJ21" s="18">
        <f t="shared" si="10"/>
        <v>2.6299453241378678E-2</v>
      </c>
      <c r="AK21" s="18">
        <f t="shared" si="11"/>
        <v>2.4397414153270808E-2</v>
      </c>
      <c r="AL21" s="15">
        <f t="shared" si="12"/>
        <v>1368560</v>
      </c>
      <c r="AM21" s="18">
        <f t="shared" si="13"/>
        <v>6.7660698523445972E-2</v>
      </c>
      <c r="AN21" s="19">
        <v>31848208</v>
      </c>
      <c r="AO21" s="19">
        <v>995256.5</v>
      </c>
      <c r="AP21" s="19">
        <v>32402.28125</v>
      </c>
      <c r="AQ21" s="20">
        <v>2154872</v>
      </c>
      <c r="AR21" s="20">
        <v>847096</v>
      </c>
      <c r="AS21" s="20">
        <v>521464</v>
      </c>
      <c r="AT21" s="20">
        <v>785832</v>
      </c>
      <c r="AU21" s="21">
        <v>68.705831250000003</v>
      </c>
      <c r="AV21" s="21">
        <v>70.895943750000001</v>
      </c>
      <c r="AW21" s="21">
        <v>31.418203125000002</v>
      </c>
      <c r="AX21" s="21">
        <v>40.323431249999999</v>
      </c>
      <c r="AY21" s="21">
        <v>39.086153125000003</v>
      </c>
      <c r="AZ21" s="22">
        <v>5212.3100000000004</v>
      </c>
      <c r="BA21" s="22">
        <v>2833.14</v>
      </c>
      <c r="BB21" s="22">
        <v>5.694</v>
      </c>
      <c r="BC21" s="22">
        <v>15.039</v>
      </c>
      <c r="BE21" s="23">
        <f t="shared" si="14"/>
        <v>0</v>
      </c>
      <c r="BF21" s="23">
        <f t="shared" si="15"/>
        <v>-2.3578299805926406E-6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8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5.5168999999999997</v>
      </c>
      <c r="J22" s="28">
        <f t="shared" si="1"/>
        <v>0.10961984272846489</v>
      </c>
      <c r="K22" s="28">
        <f t="shared" si="2"/>
        <v>5.0538653905602124E-2</v>
      </c>
      <c r="L22" s="28">
        <f t="shared" si="3"/>
        <v>3.4348968102502722E-2</v>
      </c>
      <c r="M22" s="28">
        <f t="shared" si="4"/>
        <v>5.906653482623201E-2</v>
      </c>
      <c r="N22" s="25">
        <f t="shared" si="5"/>
        <v>1627832</v>
      </c>
      <c r="O22" s="28">
        <f t="shared" si="6"/>
        <v>0.10815885593028754</v>
      </c>
      <c r="P22" s="29">
        <v>32644724</v>
      </c>
      <c r="Q22" s="29">
        <v>1020147.625</v>
      </c>
      <c r="R22" s="29">
        <v>34408.53125</v>
      </c>
      <c r="S22" s="30">
        <v>3530816</v>
      </c>
      <c r="T22" s="30">
        <v>1106368</v>
      </c>
      <c r="U22" s="30">
        <v>521464</v>
      </c>
      <c r="V22" s="30">
        <v>1902512</v>
      </c>
      <c r="W22" s="31">
        <v>69.971634374999994</v>
      </c>
      <c r="X22" s="31">
        <v>72.581712499999995</v>
      </c>
      <c r="Y22" s="31">
        <v>33.451215625000003</v>
      </c>
      <c r="Z22" s="31">
        <v>41.544906249999997</v>
      </c>
      <c r="AA22" s="31">
        <v>40.409721875000002</v>
      </c>
      <c r="AB22" s="32">
        <v>5280.69</v>
      </c>
      <c r="AC22" s="32">
        <v>2953.23</v>
      </c>
      <c r="AD22" s="32">
        <v>5.6760000000000002</v>
      </c>
      <c r="AE22" s="32">
        <v>15.278</v>
      </c>
      <c r="AG22" s="27">
        <f t="shared" si="7"/>
        <v>5.5169125000000001</v>
      </c>
      <c r="AH22" s="28">
        <f t="shared" si="8"/>
        <v>0.10962009110128913</v>
      </c>
      <c r="AI22" s="28">
        <f t="shared" si="9"/>
        <v>5.0538653905602124E-2</v>
      </c>
      <c r="AJ22" s="28">
        <f t="shared" si="10"/>
        <v>3.4348968102502722E-2</v>
      </c>
      <c r="AK22" s="28">
        <f t="shared" si="11"/>
        <v>5.906653482623201E-2</v>
      </c>
      <c r="AL22" s="25">
        <f t="shared" si="12"/>
        <v>1627832</v>
      </c>
      <c r="AM22" s="28">
        <f t="shared" si="13"/>
        <v>0.10815910099285875</v>
      </c>
      <c r="AN22" s="29">
        <v>32644724</v>
      </c>
      <c r="AO22" s="29">
        <v>1020147.625</v>
      </c>
      <c r="AP22" s="29">
        <v>34408.53125</v>
      </c>
      <c r="AQ22" s="30">
        <v>3530824</v>
      </c>
      <c r="AR22" s="30">
        <v>1106368</v>
      </c>
      <c r="AS22" s="30">
        <v>521464</v>
      </c>
      <c r="AT22" s="30">
        <v>1902512</v>
      </c>
      <c r="AU22" s="31">
        <v>69.971634374999994</v>
      </c>
      <c r="AV22" s="31">
        <v>72.581712499999995</v>
      </c>
      <c r="AW22" s="31">
        <v>33.451215625000003</v>
      </c>
      <c r="AX22" s="31">
        <v>41.544906249999997</v>
      </c>
      <c r="AY22" s="31">
        <v>40.409721875000002</v>
      </c>
      <c r="AZ22" s="32">
        <v>5035.87</v>
      </c>
      <c r="BA22" s="32">
        <v>3061.46</v>
      </c>
      <c r="BB22" s="32">
        <v>5.84</v>
      </c>
      <c r="BC22" s="32">
        <v>15.263</v>
      </c>
      <c r="BE22" s="33">
        <f t="shared" si="14"/>
        <v>0</v>
      </c>
      <c r="BF22" s="33">
        <f t="shared" si="15"/>
        <v>-1.0445961304283991E-6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8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10.180350000000001</v>
      </c>
      <c r="J23" s="18">
        <f t="shared" si="1"/>
        <v>0.20228178250842457</v>
      </c>
      <c r="K23" s="18">
        <f t="shared" si="2"/>
        <v>7.1333420243124085E-2</v>
      </c>
      <c r="L23" s="18">
        <f t="shared" si="3"/>
        <v>5.5143734440024683E-2</v>
      </c>
      <c r="M23" s="18">
        <f t="shared" si="4"/>
        <v>0.13093370826866974</v>
      </c>
      <c r="N23" s="15">
        <f t="shared" si="5"/>
        <v>2297624</v>
      </c>
      <c r="O23" s="18">
        <f t="shared" si="6"/>
        <v>0.19766271990897732</v>
      </c>
      <c r="P23" s="19">
        <v>32962331</v>
      </c>
      <c r="Q23" s="19">
        <v>1030072.84375</v>
      </c>
      <c r="R23" s="19">
        <v>36672.65625</v>
      </c>
      <c r="S23" s="20">
        <v>6515424</v>
      </c>
      <c r="T23" s="20">
        <v>1776160</v>
      </c>
      <c r="U23" s="20">
        <v>521464</v>
      </c>
      <c r="V23" s="20">
        <v>4217328</v>
      </c>
      <c r="W23" s="21">
        <v>70.896387500000003</v>
      </c>
      <c r="X23" s="21">
        <v>73.817259375000006</v>
      </c>
      <c r="Y23" s="21">
        <v>35.412228124999999</v>
      </c>
      <c r="Z23" s="21">
        <v>42.618421875000003</v>
      </c>
      <c r="AA23" s="21">
        <v>41.45553125</v>
      </c>
      <c r="AB23" s="22">
        <v>5256.01</v>
      </c>
      <c r="AC23" s="22">
        <v>3232.45</v>
      </c>
      <c r="AD23" s="22">
        <v>5.7290000000000001</v>
      </c>
      <c r="AE23" s="22">
        <v>15.925000000000001</v>
      </c>
      <c r="AG23" s="17">
        <f t="shared" si="7"/>
        <v>10.180362499999999</v>
      </c>
      <c r="AH23" s="18">
        <f t="shared" si="8"/>
        <v>0.20228203088124883</v>
      </c>
      <c r="AI23" s="18">
        <f t="shared" si="9"/>
        <v>7.1333420243124085E-2</v>
      </c>
      <c r="AJ23" s="18">
        <f t="shared" si="10"/>
        <v>5.5143734440024683E-2</v>
      </c>
      <c r="AK23" s="18">
        <f t="shared" si="11"/>
        <v>0.13093370826866974</v>
      </c>
      <c r="AL23" s="15">
        <f t="shared" si="12"/>
        <v>2297624</v>
      </c>
      <c r="AM23" s="18">
        <f t="shared" si="13"/>
        <v>0.19766296261025956</v>
      </c>
      <c r="AN23" s="19">
        <v>32962331</v>
      </c>
      <c r="AO23" s="19">
        <v>1030072.84375</v>
      </c>
      <c r="AP23" s="19">
        <v>36672.65625</v>
      </c>
      <c r="AQ23" s="20">
        <v>6515432</v>
      </c>
      <c r="AR23" s="20">
        <v>1776160</v>
      </c>
      <c r="AS23" s="20">
        <v>521464</v>
      </c>
      <c r="AT23" s="20">
        <v>4217328</v>
      </c>
      <c r="AU23" s="21">
        <v>70.896387500000003</v>
      </c>
      <c r="AV23" s="21">
        <v>73.817259375000006</v>
      </c>
      <c r="AW23" s="21">
        <v>35.412228124999999</v>
      </c>
      <c r="AX23" s="21">
        <v>42.618421875000003</v>
      </c>
      <c r="AY23" s="21">
        <v>41.45553125</v>
      </c>
      <c r="AZ23" s="22">
        <v>5166.8999999999996</v>
      </c>
      <c r="BA23" s="22">
        <v>3227.58</v>
      </c>
      <c r="BB23" s="22">
        <v>5.6559999999999997</v>
      </c>
      <c r="BC23" s="22">
        <v>16.087</v>
      </c>
      <c r="BE23" s="23">
        <f t="shared" si="14"/>
        <v>0</v>
      </c>
      <c r="BF23" s="23">
        <f t="shared" si="15"/>
        <v>-4.3299516433448204E-7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8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20.0088875</v>
      </c>
      <c r="J24" s="48">
        <f t="shared" si="1"/>
        <v>0.39757311187832789</v>
      </c>
      <c r="K24" s="48">
        <f t="shared" si="2"/>
        <v>0.10434788116093059</v>
      </c>
      <c r="L24" s="48">
        <f t="shared" si="3"/>
        <v>8.815819535783119E-2</v>
      </c>
      <c r="M24" s="48">
        <f t="shared" si="4"/>
        <v>0.2932105767207665</v>
      </c>
      <c r="N24" s="45">
        <f t="shared" si="5"/>
        <v>3361008</v>
      </c>
      <c r="O24" s="48">
        <f t="shared" si="6"/>
        <v>0.38443318095226775</v>
      </c>
      <c r="P24" s="49">
        <v>33310569</v>
      </c>
      <c r="Q24" s="49">
        <v>1040955.28125</v>
      </c>
      <c r="R24" s="49">
        <v>37580.75</v>
      </c>
      <c r="S24" s="50">
        <v>12805688</v>
      </c>
      <c r="T24" s="50">
        <v>2839544</v>
      </c>
      <c r="U24" s="50">
        <v>521464</v>
      </c>
      <c r="V24" s="50">
        <v>9444208</v>
      </c>
      <c r="W24" s="51">
        <v>71.579103125000003</v>
      </c>
      <c r="X24" s="51">
        <v>74.756918749999997</v>
      </c>
      <c r="Y24" s="51">
        <v>37.215793750000003</v>
      </c>
      <c r="Z24" s="51">
        <v>43.842628124999997</v>
      </c>
      <c r="AA24" s="51">
        <v>42.542721874999998</v>
      </c>
      <c r="AB24" s="52">
        <v>5133.6000000000004</v>
      </c>
      <c r="AC24" s="52">
        <v>3573.59</v>
      </c>
      <c r="AD24" s="52">
        <v>5.7350000000000003</v>
      </c>
      <c r="AE24" s="52">
        <v>16.582999999999998</v>
      </c>
      <c r="AG24" s="47">
        <f t="shared" si="7"/>
        <v>20.008900000000001</v>
      </c>
      <c r="AH24" s="48">
        <f t="shared" si="8"/>
        <v>0.39757336025115214</v>
      </c>
      <c r="AI24" s="48">
        <f t="shared" si="9"/>
        <v>0.10434788116093059</v>
      </c>
      <c r="AJ24" s="48">
        <f t="shared" si="10"/>
        <v>8.815819535783119E-2</v>
      </c>
      <c r="AK24" s="48">
        <f t="shared" si="11"/>
        <v>0.2932105767207665</v>
      </c>
      <c r="AL24" s="45">
        <f t="shared" si="12"/>
        <v>3361008</v>
      </c>
      <c r="AM24" s="48">
        <f t="shared" si="13"/>
        <v>0.38443342111628293</v>
      </c>
      <c r="AN24" s="49">
        <v>33310569</v>
      </c>
      <c r="AO24" s="49">
        <v>1040955.28125</v>
      </c>
      <c r="AP24" s="49">
        <v>37580.75</v>
      </c>
      <c r="AQ24" s="50">
        <v>12805696</v>
      </c>
      <c r="AR24" s="50">
        <v>2839544</v>
      </c>
      <c r="AS24" s="50">
        <v>521464</v>
      </c>
      <c r="AT24" s="50">
        <v>9444208</v>
      </c>
      <c r="AU24" s="51">
        <v>71.579103125000003</v>
      </c>
      <c r="AV24" s="51">
        <v>74.756918749999997</v>
      </c>
      <c r="AW24" s="51">
        <v>37.215793750000003</v>
      </c>
      <c r="AX24" s="51">
        <v>43.842628124999997</v>
      </c>
      <c r="AY24" s="51">
        <v>42.542721874999998</v>
      </c>
      <c r="AZ24" s="52">
        <v>5067.5600000000004</v>
      </c>
      <c r="BA24" s="52">
        <v>3668.28</v>
      </c>
      <c r="BB24" s="52">
        <v>5.6619999999999999</v>
      </c>
      <c r="BC24" s="52">
        <v>16.655999999999999</v>
      </c>
      <c r="BE24" s="53">
        <f t="shared" si="14"/>
        <v>0</v>
      </c>
      <c r="BF24" s="53">
        <f t="shared" si="15"/>
        <v>-1.6396585916789164E-7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8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2.32863</v>
      </c>
      <c r="J25" s="18">
        <f t="shared" si="1"/>
        <v>9.8128633198390297E-2</v>
      </c>
      <c r="K25" s="18">
        <f t="shared" si="2"/>
        <v>6.188206195159307E-2</v>
      </c>
      <c r="L25" s="18">
        <f t="shared" si="3"/>
        <v>3.5299683854653416E-2</v>
      </c>
      <c r="M25" s="18">
        <f t="shared" si="4"/>
        <v>3.6227924265443259E-2</v>
      </c>
      <c r="N25" s="15">
        <f t="shared" si="5"/>
        <v>1566384</v>
      </c>
      <c r="O25" s="18">
        <f t="shared" si="6"/>
        <v>0.10530626794517212</v>
      </c>
      <c r="P25" s="19">
        <v>23587124</v>
      </c>
      <c r="Q25" s="19">
        <v>737097.625</v>
      </c>
      <c r="R25" s="19">
        <v>19103.28125</v>
      </c>
      <c r="S25" s="20">
        <v>2483872</v>
      </c>
      <c r="T25" s="20">
        <v>893520</v>
      </c>
      <c r="U25" s="20">
        <v>672864</v>
      </c>
      <c r="V25" s="20">
        <v>917016</v>
      </c>
      <c r="W25" s="21">
        <v>66.302324999999996</v>
      </c>
      <c r="X25" s="21">
        <v>68.108406250000002</v>
      </c>
      <c r="Y25" s="21">
        <v>25.817106249999998</v>
      </c>
      <c r="Z25" s="21">
        <v>32.337265625000001</v>
      </c>
      <c r="AA25" s="21">
        <v>31.505771875000001</v>
      </c>
      <c r="AB25" s="22">
        <v>4150.13</v>
      </c>
      <c r="AC25" s="22">
        <v>3812.89</v>
      </c>
      <c r="AD25" s="22">
        <v>4.8369999999999997</v>
      </c>
      <c r="AE25" s="22">
        <v>18.672999999999998</v>
      </c>
      <c r="AG25" s="17">
        <f t="shared" si="7"/>
        <v>2.3286375000000001</v>
      </c>
      <c r="AH25" s="18">
        <f t="shared" si="8"/>
        <v>9.812894924892171E-2</v>
      </c>
      <c r="AI25" s="18">
        <f t="shared" si="9"/>
        <v>6.188206195159307E-2</v>
      </c>
      <c r="AJ25" s="18">
        <f t="shared" si="10"/>
        <v>3.5299683854653416E-2</v>
      </c>
      <c r="AK25" s="18">
        <f t="shared" si="11"/>
        <v>3.6227924265443259E-2</v>
      </c>
      <c r="AL25" s="15">
        <f t="shared" si="12"/>
        <v>1566384</v>
      </c>
      <c r="AM25" s="18">
        <f t="shared" si="13"/>
        <v>0.10530660711327078</v>
      </c>
      <c r="AN25" s="19">
        <v>23587124</v>
      </c>
      <c r="AO25" s="19">
        <v>737097.625</v>
      </c>
      <c r="AP25" s="19">
        <v>19103.28125</v>
      </c>
      <c r="AQ25" s="20">
        <v>2483880</v>
      </c>
      <c r="AR25" s="20">
        <v>893520</v>
      </c>
      <c r="AS25" s="20">
        <v>672864</v>
      </c>
      <c r="AT25" s="20">
        <v>917016</v>
      </c>
      <c r="AU25" s="21">
        <v>66.302324999999996</v>
      </c>
      <c r="AV25" s="21">
        <v>68.108406250000002</v>
      </c>
      <c r="AW25" s="21">
        <v>25.817106249999998</v>
      </c>
      <c r="AX25" s="21">
        <v>32.337265625000001</v>
      </c>
      <c r="AY25" s="21">
        <v>31.505771875000001</v>
      </c>
      <c r="AZ25" s="22">
        <v>3932.49</v>
      </c>
      <c r="BA25" s="22">
        <v>3920.1</v>
      </c>
      <c r="BB25" s="22">
        <v>5.0810000000000004</v>
      </c>
      <c r="BC25" s="22">
        <v>18.510999999999999</v>
      </c>
      <c r="BE25" s="23">
        <f t="shared" si="14"/>
        <v>0</v>
      </c>
      <c r="BF25" s="23">
        <f t="shared" si="15"/>
        <v>-2.031086422160655E-6</v>
      </c>
      <c r="BG25" s="23">
        <f t="array" ref="BG25">AVERAGE(AL25:AL29/AQ25:AQ29) - AVERAGE(N25:N29/S25:S29)</f>
        <v>-7.4219749568449345E-7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0</v>
      </c>
      <c r="BL25" s="24">
        <f>IF( OR(ISBLANK(V25:V29),ISBLANK(AT25:AT29), ISBLANK(Z25:Z29),ISBLANK(AX25:AX29)), "·", bdRateExtend( V25:V29,Z25:Z29, AT25:AT29,AX25:AX29))</f>
        <v>0</v>
      </c>
      <c r="BM25" s="24">
        <f>IF( OR(ISBLANK(V25:V29),ISBLANK(AT25:AT29), ISBLANK(AA25:AA29),ISBLANK(AY25:AY29)), "·", bdRateExtend( V25:V29,AA25:AA29, AT25:AT29,AY25:AY29))</f>
        <v>0</v>
      </c>
      <c r="BO25" s="24">
        <f>IF( OR(ISBLANK(S25:S29),ISBLANK(AQ25:AQ29), ISBLANK(W25:W29),ISBLANK(AU25:AU29)), "·", bdRateExtend( S25:S29,W25:W29, AQ25:AQ29,AU25:AU29))</f>
        <v>1.6282806665213201E-6</v>
      </c>
      <c r="BP25" s="24">
        <f>IF( OR(ISBLANK(S25:S29),ISBLANK(AQ25:AQ29), ISBLANK(X25:X29),ISBLANK(AV25:AV29)), "·", bdRateExtend( S25:S29,X25:X29, AQ25:AQ29,AV25:AV29))</f>
        <v>1.5849499550579793E-6</v>
      </c>
      <c r="BQ25" s="24">
        <f>IF( OR(ISBLANK(S25:S29),ISBLANK(AQ25:AQ29), ISBLANK(Y25:Y29),ISBLANK(AW25:AW29)), "·", bdRateExtend( S25:S29,Y25:Y29, AQ25:AQ29,AW25:AW29))</f>
        <v>1.294502919080287E-6</v>
      </c>
      <c r="BR25" s="24">
        <f>IF( OR(ISBLANK(S25:S29),ISBLANK(AQ25:AQ29), ISBLANK(Z25:Z29),ISBLANK(AX25:AX29)), "·", bdRateExtend( S25:S29,Z25:Z29, AQ25:AQ29,AX25:AX29))</f>
        <v>1.2287224169238442E-6</v>
      </c>
      <c r="BS25" s="24">
        <f>IF( OR(ISBLANK(S25:S29),ISBLANK(AQ25:AQ29), ISBLANK(AA25:AA29),ISBLANK(AY25:AY29)), "·", bdRateExtend( S25:S29,AA25:AA29, AQ25:AQ29,AY25:AY29))</f>
        <v>1.2846271719713087E-6</v>
      </c>
      <c r="BU25" s="4">
        <f t="shared" si="16"/>
        <v>8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3.5969324999999999</v>
      </c>
      <c r="J26" s="28">
        <f t="shared" si="1"/>
        <v>0.15157499041576764</v>
      </c>
      <c r="K26" s="28">
        <f t="shared" si="2"/>
        <v>7.5654912009951794E-2</v>
      </c>
      <c r="L26" s="28">
        <f t="shared" si="3"/>
        <v>4.9072533913012147E-2</v>
      </c>
      <c r="M26" s="28">
        <f t="shared" si="4"/>
        <v>7.5901431424461874E-2</v>
      </c>
      <c r="N26" s="25">
        <f t="shared" si="5"/>
        <v>1915008</v>
      </c>
      <c r="O26" s="28">
        <f t="shared" si="6"/>
        <v>0.15250992408346942</v>
      </c>
      <c r="P26" s="29">
        <v>25157235</v>
      </c>
      <c r="Q26" s="29">
        <v>786163.59375</v>
      </c>
      <c r="R26" s="29">
        <v>23660.5</v>
      </c>
      <c r="S26" s="30">
        <v>3836728</v>
      </c>
      <c r="T26" s="30">
        <v>1242144</v>
      </c>
      <c r="U26" s="30">
        <v>672864</v>
      </c>
      <c r="V26" s="30">
        <v>1921248</v>
      </c>
      <c r="W26" s="31">
        <v>68.050475000000006</v>
      </c>
      <c r="X26" s="31">
        <v>70.140353125000004</v>
      </c>
      <c r="Y26" s="31">
        <v>27.873328125</v>
      </c>
      <c r="Z26" s="31">
        <v>33.63060625</v>
      </c>
      <c r="AA26" s="31">
        <v>32.988174999999998</v>
      </c>
      <c r="AB26" s="32">
        <v>4489.45</v>
      </c>
      <c r="AC26" s="32">
        <v>4084.77</v>
      </c>
      <c r="AD26" s="32">
        <v>4.9589999999999996</v>
      </c>
      <c r="AE26" s="32">
        <v>18.835000000000001</v>
      </c>
      <c r="AG26" s="27">
        <f t="shared" si="7"/>
        <v>3.59694</v>
      </c>
      <c r="AH26" s="28">
        <f t="shared" si="8"/>
        <v>0.15157530646629905</v>
      </c>
      <c r="AI26" s="28">
        <f t="shared" si="9"/>
        <v>7.5654912009951794E-2</v>
      </c>
      <c r="AJ26" s="28">
        <f t="shared" si="10"/>
        <v>4.9072533913012147E-2</v>
      </c>
      <c r="AK26" s="28">
        <f t="shared" si="11"/>
        <v>7.5901431424461874E-2</v>
      </c>
      <c r="AL26" s="25">
        <f t="shared" si="12"/>
        <v>1915008</v>
      </c>
      <c r="AM26" s="28">
        <f t="shared" si="13"/>
        <v>0.15251024208344041</v>
      </c>
      <c r="AN26" s="29">
        <v>25157235</v>
      </c>
      <c r="AO26" s="29">
        <v>786163.59375</v>
      </c>
      <c r="AP26" s="29">
        <v>23660.5</v>
      </c>
      <c r="AQ26" s="30">
        <v>3836736</v>
      </c>
      <c r="AR26" s="30">
        <v>1242144</v>
      </c>
      <c r="AS26" s="30">
        <v>672864</v>
      </c>
      <c r="AT26" s="30">
        <v>1921248</v>
      </c>
      <c r="AU26" s="31">
        <v>68.050475000000006</v>
      </c>
      <c r="AV26" s="31">
        <v>70.140353125000004</v>
      </c>
      <c r="AW26" s="31">
        <v>27.873328125</v>
      </c>
      <c r="AX26" s="31">
        <v>33.63060625</v>
      </c>
      <c r="AY26" s="31">
        <v>32.988174999999998</v>
      </c>
      <c r="AZ26" s="32">
        <v>3311.81</v>
      </c>
      <c r="BA26" s="32">
        <v>4006.37</v>
      </c>
      <c r="BB26" s="32">
        <v>5.0490000000000004</v>
      </c>
      <c r="BC26" s="32">
        <v>19.63</v>
      </c>
      <c r="BE26" s="33">
        <f t="shared" si="14"/>
        <v>0</v>
      </c>
      <c r="BF26" s="33">
        <f t="shared" si="15"/>
        <v>-1.0407289870451031E-6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8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6.1634025000000001</v>
      </c>
      <c r="J27" s="18">
        <f t="shared" si="1"/>
        <v>0.25972621806664936</v>
      </c>
      <c r="K27" s="18">
        <f t="shared" si="2"/>
        <v>9.5606866008164856E-2</v>
      </c>
      <c r="L27" s="18">
        <f t="shared" si="3"/>
        <v>6.9024487911225202E-2</v>
      </c>
      <c r="M27" s="18">
        <f t="shared" si="4"/>
        <v>0.16410070507713057</v>
      </c>
      <c r="N27" s="15">
        <f t="shared" si="5"/>
        <v>2420040</v>
      </c>
      <c r="O27" s="18">
        <f t="shared" si="6"/>
        <v>0.25975777394054594</v>
      </c>
      <c r="P27" s="19">
        <v>25309333</v>
      </c>
      <c r="Q27" s="19">
        <v>790916.65625</v>
      </c>
      <c r="R27" s="19">
        <v>24590.8125</v>
      </c>
      <c r="S27" s="20">
        <v>6574296</v>
      </c>
      <c r="T27" s="20">
        <v>1747176</v>
      </c>
      <c r="U27" s="20">
        <v>672864</v>
      </c>
      <c r="V27" s="20">
        <v>4153784</v>
      </c>
      <c r="W27" s="21">
        <v>69.417628124999993</v>
      </c>
      <c r="X27" s="21">
        <v>71.956634374999993</v>
      </c>
      <c r="Y27" s="21">
        <v>30.219646874999999</v>
      </c>
      <c r="Z27" s="21">
        <v>34.888071875000001</v>
      </c>
      <c r="AA27" s="21">
        <v>34.375062499999999</v>
      </c>
      <c r="AB27" s="22">
        <v>4292.71</v>
      </c>
      <c r="AC27" s="22">
        <v>4337.3</v>
      </c>
      <c r="AD27" s="22">
        <v>5.2549999999999999</v>
      </c>
      <c r="AE27" s="22">
        <v>19.398</v>
      </c>
      <c r="AG27" s="17">
        <f t="shared" si="7"/>
        <v>6.1634099999999998</v>
      </c>
      <c r="AH27" s="18">
        <f t="shared" si="8"/>
        <v>0.25972653411718077</v>
      </c>
      <c r="AI27" s="18">
        <f t="shared" si="9"/>
        <v>9.5606866008164856E-2</v>
      </c>
      <c r="AJ27" s="18">
        <f t="shared" si="10"/>
        <v>6.9024487911225202E-2</v>
      </c>
      <c r="AK27" s="18">
        <f t="shared" si="11"/>
        <v>0.16410070507713057</v>
      </c>
      <c r="AL27" s="15">
        <f t="shared" si="12"/>
        <v>2420040</v>
      </c>
      <c r="AM27" s="18">
        <f t="shared" si="13"/>
        <v>0.25975809002947647</v>
      </c>
      <c r="AN27" s="19">
        <v>25309333</v>
      </c>
      <c r="AO27" s="19">
        <v>790916.65625</v>
      </c>
      <c r="AP27" s="19">
        <v>24590.8125</v>
      </c>
      <c r="AQ27" s="20">
        <v>6574304</v>
      </c>
      <c r="AR27" s="20">
        <v>1747176</v>
      </c>
      <c r="AS27" s="20">
        <v>672864</v>
      </c>
      <c r="AT27" s="20">
        <v>4153784</v>
      </c>
      <c r="AU27" s="21">
        <v>69.417628124999993</v>
      </c>
      <c r="AV27" s="21">
        <v>71.956634374999993</v>
      </c>
      <c r="AW27" s="21">
        <v>30.219646874999999</v>
      </c>
      <c r="AX27" s="21">
        <v>34.888071875000001</v>
      </c>
      <c r="AY27" s="21">
        <v>34.375062499999999</v>
      </c>
      <c r="AZ27" s="22">
        <v>3297.62</v>
      </c>
      <c r="BA27" s="22">
        <v>4279.18</v>
      </c>
      <c r="BB27" s="22">
        <v>5.125</v>
      </c>
      <c r="BC27" s="22">
        <v>19.355</v>
      </c>
      <c r="BE27" s="23">
        <f t="shared" si="14"/>
        <v>0</v>
      </c>
      <c r="BF27" s="23">
        <f t="shared" si="15"/>
        <v>-4.4793345016502784E-7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8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12.3744525</v>
      </c>
      <c r="J28" s="28">
        <f t="shared" si="1"/>
        <v>0.52146030515943009</v>
      </c>
      <c r="K28" s="28">
        <f t="shared" si="2"/>
        <v>0.12987022017028171</v>
      </c>
      <c r="L28" s="28">
        <f t="shared" si="3"/>
        <v>0.10328784207334206</v>
      </c>
      <c r="M28" s="28">
        <f t="shared" si="4"/>
        <v>0.39157143800779443</v>
      </c>
      <c r="N28" s="25">
        <f t="shared" si="5"/>
        <v>3287328</v>
      </c>
      <c r="O28" s="28">
        <f t="shared" si="6"/>
        <v>0.50133573904107553</v>
      </c>
      <c r="P28" s="29">
        <v>26328496</v>
      </c>
      <c r="Q28" s="29">
        <v>822765.5</v>
      </c>
      <c r="R28" s="29">
        <v>28125.34375</v>
      </c>
      <c r="S28" s="30">
        <v>13199416</v>
      </c>
      <c r="T28" s="30">
        <v>2614464</v>
      </c>
      <c r="U28" s="30">
        <v>672864</v>
      </c>
      <c r="V28" s="30">
        <v>9911616</v>
      </c>
      <c r="W28" s="31">
        <v>70.424096875000004</v>
      </c>
      <c r="X28" s="31">
        <v>73.220693749999995</v>
      </c>
      <c r="Y28" s="31">
        <v>32.775624999999998</v>
      </c>
      <c r="Z28" s="31">
        <v>36.4147125</v>
      </c>
      <c r="AA28" s="31">
        <v>35.915243750000002</v>
      </c>
      <c r="AB28" s="32">
        <v>4190.82</v>
      </c>
      <c r="AC28" s="32">
        <v>4756.84</v>
      </c>
      <c r="AD28" s="32">
        <v>5.0350000000000001</v>
      </c>
      <c r="AE28" s="32">
        <v>20.216000000000001</v>
      </c>
      <c r="AG28" s="27">
        <f t="shared" si="7"/>
        <v>12.374459999999999</v>
      </c>
      <c r="AH28" s="28">
        <f t="shared" si="8"/>
        <v>0.52146062120996151</v>
      </c>
      <c r="AI28" s="28">
        <f t="shared" si="9"/>
        <v>0.12987022017028171</v>
      </c>
      <c r="AJ28" s="28">
        <f t="shared" si="10"/>
        <v>0.10328784207334206</v>
      </c>
      <c r="AK28" s="28">
        <f t="shared" si="11"/>
        <v>0.39157143800779443</v>
      </c>
      <c r="AL28" s="25">
        <f t="shared" si="12"/>
        <v>3287328</v>
      </c>
      <c r="AM28" s="28">
        <f t="shared" si="13"/>
        <v>0.50133604289436051</v>
      </c>
      <c r="AN28" s="29">
        <v>26328496</v>
      </c>
      <c r="AO28" s="29">
        <v>822765.5</v>
      </c>
      <c r="AP28" s="29">
        <v>28125.34375</v>
      </c>
      <c r="AQ28" s="30">
        <v>13199424</v>
      </c>
      <c r="AR28" s="30">
        <v>2614464</v>
      </c>
      <c r="AS28" s="30">
        <v>672864</v>
      </c>
      <c r="AT28" s="30">
        <v>9911616</v>
      </c>
      <c r="AU28" s="31">
        <v>70.424096875000004</v>
      </c>
      <c r="AV28" s="31">
        <v>73.220693749999995</v>
      </c>
      <c r="AW28" s="31">
        <v>32.775624999999998</v>
      </c>
      <c r="AX28" s="31">
        <v>36.4147125</v>
      </c>
      <c r="AY28" s="31">
        <v>35.915243750000002</v>
      </c>
      <c r="AZ28" s="32">
        <v>3315.88</v>
      </c>
      <c r="BA28" s="32">
        <v>4667.26</v>
      </c>
      <c r="BB28" s="32">
        <v>5.258</v>
      </c>
      <c r="BC28" s="32">
        <v>20.440999999999999</v>
      </c>
      <c r="BE28" s="33">
        <f t="shared" si="14"/>
        <v>0</v>
      </c>
      <c r="BF28" s="33">
        <f t="shared" si="15"/>
        <v>-1.5094659802650234E-7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8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28.815915</v>
      </c>
      <c r="J29" s="38">
        <f t="shared" si="1"/>
        <v>1.2143046998926377</v>
      </c>
      <c r="K29" s="38">
        <f t="shared" si="2"/>
        <v>0.18798274743359067</v>
      </c>
      <c r="L29" s="38">
        <f t="shared" si="3"/>
        <v>0.16140036933665103</v>
      </c>
      <c r="M29" s="38">
        <f t="shared" si="4"/>
        <v>1.0263033054776931</v>
      </c>
      <c r="N29" s="35">
        <f t="shared" si="5"/>
        <v>4758296</v>
      </c>
      <c r="O29" s="38">
        <f t="shared" si="6"/>
        <v>1.1597409410567252</v>
      </c>
      <c r="P29" s="39">
        <v>26503312</v>
      </c>
      <c r="Q29" s="39">
        <v>828228.5</v>
      </c>
      <c r="R29" s="39">
        <v>29829.40625</v>
      </c>
      <c r="S29" s="40">
        <v>30736976</v>
      </c>
      <c r="T29" s="40">
        <v>4085432</v>
      </c>
      <c r="U29" s="40">
        <v>672864</v>
      </c>
      <c r="V29" s="40">
        <v>25978208</v>
      </c>
      <c r="W29" s="41">
        <v>71.324937500000004</v>
      </c>
      <c r="X29" s="41">
        <v>74.412821875000006</v>
      </c>
      <c r="Y29" s="41">
        <v>35.531715624999997</v>
      </c>
      <c r="Z29" s="41">
        <v>38.532499999999999</v>
      </c>
      <c r="AA29" s="41">
        <v>37.996524999999998</v>
      </c>
      <c r="AB29" s="42">
        <v>4235.21</v>
      </c>
      <c r="AC29" s="42">
        <v>5341.28</v>
      </c>
      <c r="AD29" s="42">
        <v>5.2720000000000002</v>
      </c>
      <c r="AE29" s="42">
        <v>22.082999999999998</v>
      </c>
      <c r="AG29" s="37">
        <f t="shared" si="7"/>
        <v>28.815922499999999</v>
      </c>
      <c r="AH29" s="38">
        <f t="shared" si="8"/>
        <v>1.214305015943169</v>
      </c>
      <c r="AI29" s="38">
        <f t="shared" si="9"/>
        <v>0.18798274743359067</v>
      </c>
      <c r="AJ29" s="38">
        <f t="shared" si="10"/>
        <v>0.16140036933665103</v>
      </c>
      <c r="AK29" s="38">
        <f t="shared" si="11"/>
        <v>1.0263033054776931</v>
      </c>
      <c r="AL29" s="35">
        <f t="shared" si="12"/>
        <v>4758296</v>
      </c>
      <c r="AM29" s="38">
        <f t="shared" si="13"/>
        <v>1.1597412429057923</v>
      </c>
      <c r="AN29" s="39">
        <v>26503312</v>
      </c>
      <c r="AO29" s="39">
        <v>828228.5</v>
      </c>
      <c r="AP29" s="39">
        <v>29829.40625</v>
      </c>
      <c r="AQ29" s="40">
        <v>30736984</v>
      </c>
      <c r="AR29" s="40">
        <v>4085432</v>
      </c>
      <c r="AS29" s="40">
        <v>672864</v>
      </c>
      <c r="AT29" s="40">
        <v>25978208</v>
      </c>
      <c r="AU29" s="41">
        <v>71.324937500000004</v>
      </c>
      <c r="AV29" s="41">
        <v>74.412821875000006</v>
      </c>
      <c r="AW29" s="41">
        <v>35.531715624999997</v>
      </c>
      <c r="AX29" s="41">
        <v>38.532499999999999</v>
      </c>
      <c r="AY29" s="41">
        <v>37.996524999999998</v>
      </c>
      <c r="AZ29" s="42">
        <v>3147.63</v>
      </c>
      <c r="BA29" s="42">
        <v>5252.48</v>
      </c>
      <c r="BB29" s="42">
        <v>5.1280000000000001</v>
      </c>
      <c r="BC29" s="42">
        <v>22.827999999999999</v>
      </c>
      <c r="BE29" s="43">
        <f t="shared" si="14"/>
        <v>0</v>
      </c>
      <c r="BF29" s="43">
        <f t="shared" si="15"/>
        <v>-4.0292021108445653E-8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8</v>
      </c>
    </row>
    <row r="30" spans="1:73" x14ac:dyDescent="0.3">
      <c r="B30" s="55" t="s">
        <v>288</v>
      </c>
      <c r="J30" s="56">
        <f>AVERAGE(J5:J24)</f>
        <v>0.20395102473709931</v>
      </c>
      <c r="K30" s="56">
        <f>AVERAGE(K5:K24)</f>
        <v>9.0741377360750497E-2</v>
      </c>
      <c r="L30" s="56">
        <f>AVERAGE(L5:L24)</f>
        <v>6.6697390796246314E-2</v>
      </c>
      <c r="M30" s="56">
        <f>AVERAGE(M5:M24)</f>
        <v>0.11319257259021502</v>
      </c>
      <c r="AH30" s="56">
        <f>AVERAGE(AH5:AH24)</f>
        <v>0.20395131414025411</v>
      </c>
      <c r="AI30" s="56">
        <f>AVERAGE(AI5:AI24)</f>
        <v>9.0741377360750497E-2</v>
      </c>
      <c r="AJ30" s="56">
        <f>AVERAGE(AJ5:AJ24)</f>
        <v>6.6697390796246314E-2</v>
      </c>
      <c r="AK30" s="56">
        <f>AVERAGE(AK5:AK24)</f>
        <v>0.11319257259021502</v>
      </c>
      <c r="BG30" s="8">
        <f>AVERAGE(BG5:BG24)</f>
        <v>-1.536178878783212E-6</v>
      </c>
      <c r="BI30" s="5">
        <f>AVERAGE(BI5:BI24)</f>
        <v>0</v>
      </c>
      <c r="BJ30" s="5">
        <f>AVERAGE(BJ5:BJ24)</f>
        <v>0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2.6388135930810463E-6</v>
      </c>
      <c r="BP30" s="5">
        <f>AVERAGE(BP5:BP24)</f>
        <v>2.6012935455677066E-6</v>
      </c>
      <c r="BQ30" s="5">
        <f>AVERAGE(BQ5:BQ24)</f>
        <v>2.2218465392520592E-6</v>
      </c>
      <c r="BR30" s="5">
        <f>AVERAGE(BR5:BR24)</f>
        <v>2.2216063353397431E-6</v>
      </c>
      <c r="BS30" s="5">
        <f>AVERAGE(BS5:BS24)</f>
        <v>2.2741107197910004E-6</v>
      </c>
    </row>
    <row r="31" spans="1:73" x14ac:dyDescent="0.3">
      <c r="B31" s="55" t="s">
        <v>289</v>
      </c>
      <c r="J31" s="56">
        <f>AVERAGE(J25:J29)</f>
        <v>0.449038969346575</v>
      </c>
      <c r="K31" s="56">
        <f>AVERAGE(K25:K29)</f>
        <v>0.1101993615147164</v>
      </c>
      <c r="L31" s="56">
        <f>AVERAGE(L25:L29)</f>
        <v>8.3616983417776763E-2</v>
      </c>
      <c r="M31" s="56">
        <f>AVERAGE(M25:M29)</f>
        <v>0.33882096085050467</v>
      </c>
      <c r="AH31" s="56">
        <f>AVERAGE(AH25:AH29)</f>
        <v>0.44903928539710647</v>
      </c>
      <c r="AI31" s="56">
        <f>AVERAGE(AI25:AI29)</f>
        <v>0.1101993615147164</v>
      </c>
      <c r="AJ31" s="56">
        <f>AVERAGE(AJ25:AJ29)</f>
        <v>8.3616983417776763E-2</v>
      </c>
      <c r="AK31" s="56">
        <f>AVERAGE(AK25:AK29)</f>
        <v>0.33882096085050467</v>
      </c>
      <c r="BG31" s="8">
        <f>AVERAGE(BG25:BG29)</f>
        <v>-7.4219749568449345E-7</v>
      </c>
      <c r="BI31" s="5">
        <f>AVERAGE(BI25:BI29)</f>
        <v>0</v>
      </c>
      <c r="BJ31" s="5">
        <f>AVERAGE(BJ25:BJ29)</f>
        <v>0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1.6282806665213201E-6</v>
      </c>
      <c r="BP31" s="5">
        <f>AVERAGE(BP25:BP29)</f>
        <v>1.5849499550579793E-6</v>
      </c>
      <c r="BQ31" s="5">
        <f>AVERAGE(BQ25:BQ29)</f>
        <v>1.294502919080287E-6</v>
      </c>
      <c r="BR31" s="5">
        <f>AVERAGE(BR25:BR29)</f>
        <v>1.2287224169238442E-6</v>
      </c>
      <c r="BS31" s="5">
        <f>AVERAGE(BS25:BS29)</f>
        <v>1.2846271719713087E-6</v>
      </c>
    </row>
    <row r="32" spans="1:73" collapsed="1" x14ac:dyDescent="0.3">
      <c r="B32" s="55" t="s">
        <v>290</v>
      </c>
      <c r="J32" s="56">
        <f>AVERAGE(J5:J29)</f>
        <v>0.25296861365899448</v>
      </c>
      <c r="K32" s="56">
        <f>AVERAGE(K5:K29)</f>
        <v>9.4632974191543692E-2</v>
      </c>
      <c r="L32" s="56">
        <f>AVERAGE(L5:L29)</f>
        <v>7.0081309320552398E-2</v>
      </c>
      <c r="M32" s="56">
        <f>AVERAGE(M5:M29)</f>
        <v>0.15831825024227292</v>
      </c>
      <c r="AH32" s="56">
        <f>AVERAGE(AH5:AH29)</f>
        <v>0.25296890839162456</v>
      </c>
      <c r="AI32" s="56">
        <f>AVERAGE(AI5:AI29)</f>
        <v>9.4632974191543692E-2</v>
      </c>
      <c r="AJ32" s="56">
        <f>AVERAGE(AJ5:AJ29)</f>
        <v>7.0081309320552398E-2</v>
      </c>
      <c r="AK32" s="56">
        <f>AVERAGE(AK5:AK29)</f>
        <v>0.15831825024227292</v>
      </c>
      <c r="BG32" s="8">
        <f>AVERAGE(BG5:BG29)</f>
        <v>-1.3773826021634684E-6</v>
      </c>
      <c r="BI32" s="5">
        <f>AVERAGE(BI5:BI29)</f>
        <v>0</v>
      </c>
      <c r="BJ32" s="5">
        <f>AVERAGE(BJ5:BJ29)</f>
        <v>0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2.4367070077691013E-6</v>
      </c>
      <c r="BP32" s="5">
        <f>AVERAGE(BP5:BP29)</f>
        <v>2.3980248274657611E-6</v>
      </c>
      <c r="BQ32" s="5">
        <f>AVERAGE(BQ5:BQ29)</f>
        <v>2.0363778152177046E-6</v>
      </c>
      <c r="BR32" s="5">
        <f>AVERAGE(BR5:BR29)</f>
        <v>2.0230295516565633E-6</v>
      </c>
      <c r="BS32" s="5">
        <f>AVERAGE(BS5:BS29)</f>
        <v>2.0762140102270619E-6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113527.33</v>
      </c>
      <c r="AC33" s="57">
        <f>SUM(AC5:AC24,AC25:AC29)</f>
        <v>95353.799999999988</v>
      </c>
      <c r="AD33" s="57">
        <f>SUM(AD5:AD24,AD25:AD29)</f>
        <v>136.203</v>
      </c>
      <c r="AE33" s="57">
        <f>SUM(AE5:AE24,AE25:AE29)</f>
        <v>444.48000000000013</v>
      </c>
      <c r="AZ33" s="57">
        <f>SUM(AZ5:AZ24,AZ25:AZ29)</f>
        <v>94376.3</v>
      </c>
      <c r="BA33" s="57">
        <f>SUM(BA5:BA24,BA25:BA29)</f>
        <v>93723.859999999986</v>
      </c>
      <c r="BB33" s="57">
        <f>SUM(BB5:BB24,BB25:BB29)</f>
        <v>136.20100000000002</v>
      </c>
      <c r="BC33" s="57">
        <f>SUM(BC5:BC24,BC25:BC29)</f>
        <v>444.67099999999999</v>
      </c>
    </row>
    <row r="34" spans="1:55" hidden="1" outlineLevel="2" x14ac:dyDescent="0.3">
      <c r="B34" s="55" t="s">
        <v>293</v>
      </c>
      <c r="AZ34" s="8">
        <f>AZ33/AB33</f>
        <v>0.8313090777348503</v>
      </c>
      <c r="BA34" s="8">
        <f>BA33/AC33</f>
        <v>0.98290639701826243</v>
      </c>
      <c r="BB34" s="8">
        <f>BB33/AD33</f>
        <v>0.99998531603562346</v>
      </c>
      <c r="BC34" s="8">
        <f>BC33/AE33</f>
        <v>1.00042971562275</v>
      </c>
    </row>
    <row r="35" spans="1:55" hidden="1" outlineLevel="2" x14ac:dyDescent="0.3">
      <c r="B35" s="55" t="s">
        <v>294</v>
      </c>
      <c r="AB35" s="57">
        <f>GEOMEAN(AB5:AB24,AB25:AB29)</f>
        <v>4498.1066500004645</v>
      </c>
      <c r="AC35" s="57">
        <f>GEOMEAN(AC5:AC24,AC25:AC29)</f>
        <v>3755.3909147257446</v>
      </c>
      <c r="AD35" s="57">
        <f>GEOMEAN(AD5:AD24,AD25:AD29)</f>
        <v>5.3906901628091148</v>
      </c>
      <c r="AE35" s="57">
        <f>GEOMEAN(AE5:AE24,AE25:AE29)</f>
        <v>17.67031550309251</v>
      </c>
      <c r="AZ35" s="57">
        <f>GEOMEAN(AZ5:AZ24,AZ25:AZ29)</f>
        <v>3693.23736062123</v>
      </c>
      <c r="BA35" s="57">
        <f>GEOMEAN(BA5:BA24,BA25:BA29)</f>
        <v>3695.1345340280473</v>
      </c>
      <c r="BB35" s="57">
        <f>GEOMEAN(BB5:BB24,BB25:BB29)</f>
        <v>5.3966693416708598</v>
      </c>
      <c r="BC35" s="57">
        <f>GEOMEAN(BC5:BC24,BC25:BC29)</f>
        <v>17.659928376865786</v>
      </c>
    </row>
    <row r="36" spans="1:55" outlineLevel="2" collapsed="1" x14ac:dyDescent="0.3">
      <c r="B36" s="55" t="s">
        <v>295</v>
      </c>
      <c r="AZ36" s="8">
        <f>AZ35/AB35</f>
        <v>0.82106487195470312</v>
      </c>
      <c r="BA36" s="8">
        <f>BA35/AC35</f>
        <v>0.98395469817498404</v>
      </c>
      <c r="BB36" s="8">
        <f>BB35/AD35</f>
        <v>1.0011091675984267</v>
      </c>
      <c r="BC36" s="8">
        <f>BC35/AE35</f>
        <v>0.9994121708678656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Indranil Sinharoy</cp:lastModifiedBy>
  <dcterms:created xsi:type="dcterms:W3CDTF">2018-08-31T19:13:00Z</dcterms:created>
  <dcterms:modified xsi:type="dcterms:W3CDTF">2019-01-27T15:48:27Z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