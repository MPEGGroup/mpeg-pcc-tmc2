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E4830~1.FAR\AppData\Local\Temp\scp25071\SMI_SCRATCH2\users\esmaeil\tmc2v14.0_integration_gbs\gbs_disabled\spreadsheets\"/>
    </mc:Choice>
  </mc:AlternateContent>
  <bookViews>
    <workbookView xWindow="57480" yWindow="-120" windowWidth="29040" windowHeight="17640" firstSheet="1" activeTab="2"/>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AZ45" i="7" s="1"/>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M37" i="7"/>
  <c r="L37" i="7"/>
  <c r="J37" i="7"/>
  <c r="I37" i="7"/>
  <c r="BF36" i="7"/>
  <c r="AL36" i="7"/>
  <c r="AI36" i="7" s="1"/>
  <c r="AK36" i="7"/>
  <c r="AJ36" i="7"/>
  <c r="AH36" i="7"/>
  <c r="AG36" i="7"/>
  <c r="N36" i="7"/>
  <c r="M36" i="7"/>
  <c r="L36" i="7"/>
  <c r="J36" i="7"/>
  <c r="I36" i="7"/>
  <c r="BF35" i="7"/>
  <c r="AL35" i="7"/>
  <c r="BH35" i="7" s="1" a="1"/>
  <c r="AK35" i="7"/>
  <c r="AJ35" i="7"/>
  <c r="AH35" i="7"/>
  <c r="AG35" i="7"/>
  <c r="N35" i="7"/>
  <c r="M35" i="7"/>
  <c r="L35" i="7"/>
  <c r="K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H30" i="7" a="1"/>
  <c r="BF30" i="7"/>
  <c r="AL30" i="7"/>
  <c r="AK30" i="7"/>
  <c r="AJ30" i="7"/>
  <c r="AH30" i="7"/>
  <c r="AG30" i="7"/>
  <c r="N30" i="7"/>
  <c r="M30" i="7"/>
  <c r="L30" i="7"/>
  <c r="J30" i="7"/>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H25" i="7" a="1"/>
  <c r="BF25" i="7"/>
  <c r="AL25" i="7"/>
  <c r="AI25" i="7" s="1"/>
  <c r="AK25" i="7"/>
  <c r="AJ25" i="7"/>
  <c r="AH25" i="7"/>
  <c r="AG25" i="7"/>
  <c r="N25" i="7"/>
  <c r="M25" i="7"/>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I19" i="7" s="1"/>
  <c r="AK19" i="7"/>
  <c r="AJ19" i="7"/>
  <c r="AH19" i="7"/>
  <c r="AG19" i="7"/>
  <c r="N19" i="7"/>
  <c r="BG19" i="7" s="1"/>
  <c r="M19" i="7"/>
  <c r="L19" i="7"/>
  <c r="J19" i="7"/>
  <c r="I19" i="7"/>
  <c r="BF18" i="7"/>
  <c r="AL18" i="7"/>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BH15" i="7" s="1" a="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H10" i="7" a="1"/>
  <c r="BF10" i="7"/>
  <c r="AL10" i="7"/>
  <c r="AK10" i="7"/>
  <c r="AJ10" i="7"/>
  <c r="AH10" i="7"/>
  <c r="AG10" i="7"/>
  <c r="N10" i="7"/>
  <c r="M10" i="7"/>
  <c r="L10" i="7"/>
  <c r="J10" i="7"/>
  <c r="I10" i="7"/>
  <c r="BG9" i="7"/>
  <c r="BF9" i="7"/>
  <c r="AL9" i="7"/>
  <c r="AI9" i="7" s="1"/>
  <c r="AK9" i="7"/>
  <c r="AJ9" i="7"/>
  <c r="AH9" i="7"/>
  <c r="AG9" i="7"/>
  <c r="N9" i="7"/>
  <c r="K9" i="7" s="1"/>
  <c r="M9" i="7"/>
  <c r="L9" i="7"/>
  <c r="J9" i="7"/>
  <c r="I9" i="7"/>
  <c r="BF8" i="7"/>
  <c r="AL8" i="7"/>
  <c r="AI8" i="7" s="1"/>
  <c r="AK8" i="7"/>
  <c r="AJ8" i="7"/>
  <c r="AH8" i="7"/>
  <c r="AG8" i="7"/>
  <c r="N8" i="7"/>
  <c r="K8" i="7" s="1"/>
  <c r="M8" i="7"/>
  <c r="L8" i="7"/>
  <c r="J8" i="7"/>
  <c r="I8" i="7"/>
  <c r="BF7" i="7"/>
  <c r="AL7" i="7"/>
  <c r="AK7" i="7"/>
  <c r="AJ7" i="7"/>
  <c r="AH7" i="7"/>
  <c r="AG7" i="7"/>
  <c r="N7" i="7"/>
  <c r="K7" i="7" s="1"/>
  <c r="M7" i="7"/>
  <c r="L7" i="7"/>
  <c r="J7" i="7"/>
  <c r="I7" i="7"/>
  <c r="BF6" i="7"/>
  <c r="AL6" i="7"/>
  <c r="AK6" i="7"/>
  <c r="AJ6" i="7"/>
  <c r="AH6" i="7"/>
  <c r="AG6" i="7"/>
  <c r="N6" i="7"/>
  <c r="K6" i="7" s="1"/>
  <c r="M6" i="7"/>
  <c r="L6" i="7"/>
  <c r="J6" i="7"/>
  <c r="I6" i="7"/>
  <c r="BH5" i="7" a="1"/>
  <c r="BF5" i="7"/>
  <c r="AL5" i="7"/>
  <c r="AI5" i="7" s="1"/>
  <c r="AK5" i="7"/>
  <c r="AJ5" i="7"/>
  <c r="AH5" i="7"/>
  <c r="AG5" i="7"/>
  <c r="N5" i="7"/>
  <c r="K5" i="7" s="1"/>
  <c r="M5" i="7"/>
  <c r="L5" i="7"/>
  <c r="J5" i="7"/>
  <c r="I5" i="7"/>
  <c r="AG1" i="7"/>
  <c r="I1" i="7"/>
  <c r="AZ18" i="6"/>
  <c r="AY18" i="6"/>
  <c r="AX18" i="6"/>
  <c r="AW18" i="6"/>
  <c r="AC18" i="6"/>
  <c r="AB18" i="6"/>
  <c r="AA18" i="6"/>
  <c r="AX19" i="6" s="1"/>
  <c r="Z18" i="6"/>
  <c r="AZ16" i="6"/>
  <c r="AY16" i="6"/>
  <c r="AX16" i="6"/>
  <c r="AW16" i="6"/>
  <c r="AC16" i="6"/>
  <c r="AB16" i="6"/>
  <c r="AA16" i="6"/>
  <c r="AX17" i="6" s="1"/>
  <c r="Z16" i="6"/>
  <c r="M15" i="6"/>
  <c r="AI14" i="6"/>
  <c r="AI13" i="6"/>
  <c r="AI12" i="6"/>
  <c r="AK11" i="6"/>
  <c r="BG11" i="6" s="1" a="1"/>
  <c r="AJ11" i="6"/>
  <c r="AI11" i="6"/>
  <c r="AG11" i="6"/>
  <c r="BB11" i="6" s="1"/>
  <c r="AF11" i="6"/>
  <c r="AE11" i="6"/>
  <c r="N11" i="6"/>
  <c r="K11" i="6" s="1"/>
  <c r="M11" i="6"/>
  <c r="BE11" i="6" s="1"/>
  <c r="L11" i="6"/>
  <c r="BD11" i="6" s="1"/>
  <c r="J11" i="6"/>
  <c r="I11" i="6"/>
  <c r="H11" i="6"/>
  <c r="AK10" i="6"/>
  <c r="AJ10" i="6"/>
  <c r="BE10" i="6" s="1"/>
  <c r="AI10" i="6"/>
  <c r="AG10" i="6"/>
  <c r="AF10" i="6"/>
  <c r="AE10" i="6"/>
  <c r="N10" i="6"/>
  <c r="K10" i="6" s="1"/>
  <c r="K14" i="6" s="1"/>
  <c r="M10" i="6"/>
  <c r="L10" i="6"/>
  <c r="L14" i="6" s="1"/>
  <c r="J10" i="6"/>
  <c r="J14" i="6" s="1"/>
  <c r="I10" i="6"/>
  <c r="H10" i="6"/>
  <c r="AK9" i="6"/>
  <c r="BG9" i="6" s="1" a="1"/>
  <c r="BG9" i="6" s="1"/>
  <c r="BG13" i="6" s="1"/>
  <c r="AJ9" i="6"/>
  <c r="AJ13" i="6" s="1"/>
  <c r="AI9" i="6"/>
  <c r="AG9" i="6"/>
  <c r="AF9" i="6"/>
  <c r="AE9" i="6"/>
  <c r="N9" i="6"/>
  <c r="K9" i="6" s="1"/>
  <c r="K13" i="6" s="1"/>
  <c r="M9" i="6"/>
  <c r="M13" i="6" s="1"/>
  <c r="L9" i="6"/>
  <c r="L13" i="6" s="1"/>
  <c r="J9" i="6"/>
  <c r="J13" i="6" s="1"/>
  <c r="I9" i="6"/>
  <c r="H9" i="6"/>
  <c r="AK8" i="6"/>
  <c r="AH8" i="6" s="1"/>
  <c r="BC8" i="6" s="1"/>
  <c r="AJ8" i="6"/>
  <c r="AI8" i="6"/>
  <c r="BD8" i="6" s="1"/>
  <c r="AG8" i="6"/>
  <c r="AF8" i="6"/>
  <c r="AE8" i="6"/>
  <c r="N8" i="6"/>
  <c r="K8" i="6" s="1"/>
  <c r="M8" i="6"/>
  <c r="BE8" i="6" s="1"/>
  <c r="L8" i="6"/>
  <c r="J8" i="6"/>
  <c r="I8" i="6"/>
  <c r="H8" i="6"/>
  <c r="AK7" i="6"/>
  <c r="BG7" i="6" s="1" a="1"/>
  <c r="BG7" i="6" s="1"/>
  <c r="AJ7" i="6"/>
  <c r="BE7" i="6" s="1"/>
  <c r="AI7" i="6"/>
  <c r="AG7" i="6"/>
  <c r="AF7" i="6"/>
  <c r="AE7" i="6"/>
  <c r="N7" i="6"/>
  <c r="K7" i="6" s="1"/>
  <c r="M7" i="6"/>
  <c r="L7" i="6"/>
  <c r="J7" i="6"/>
  <c r="I7" i="6"/>
  <c r="H7" i="6"/>
  <c r="BD6" i="6"/>
  <c r="AK6" i="6"/>
  <c r="AH6" i="6" s="1"/>
  <c r="BC6" i="6" s="1"/>
  <c r="AJ6" i="6"/>
  <c r="BE6" i="6" s="1"/>
  <c r="AI6" i="6"/>
  <c r="AG6" i="6"/>
  <c r="AF6" i="6"/>
  <c r="AE6" i="6"/>
  <c r="N6" i="6"/>
  <c r="K6" i="6" s="1"/>
  <c r="M6" i="6"/>
  <c r="L6" i="6"/>
  <c r="J6" i="6"/>
  <c r="I6" i="6"/>
  <c r="H6" i="6"/>
  <c r="AK5" i="6"/>
  <c r="BG5" i="6" s="1" a="1"/>
  <c r="BG5" i="6" s="1"/>
  <c r="AJ5" i="6"/>
  <c r="BE5" i="6" s="1"/>
  <c r="AI5" i="6"/>
  <c r="AG5" i="6"/>
  <c r="AF5" i="6"/>
  <c r="AE5" i="6"/>
  <c r="N5" i="6"/>
  <c r="K5" i="6" s="1"/>
  <c r="M5" i="6"/>
  <c r="M12" i="6" s="1"/>
  <c r="L5" i="6"/>
  <c r="BD5" i="6" s="1"/>
  <c r="J5" i="6"/>
  <c r="I5" i="6"/>
  <c r="H5" i="6"/>
  <c r="AE1" i="6"/>
  <c r="H1" i="6"/>
  <c r="AZ18" i="5"/>
  <c r="AY18" i="5"/>
  <c r="AX18" i="5"/>
  <c r="AW18" i="5"/>
  <c r="AC18" i="5"/>
  <c r="AB18" i="5"/>
  <c r="AA18" i="5"/>
  <c r="Z18" i="5"/>
  <c r="AZ16" i="5"/>
  <c r="AY16" i="5"/>
  <c r="AX16" i="5"/>
  <c r="AX17" i="5" s="1"/>
  <c r="AW16" i="5"/>
  <c r="AC16" i="5"/>
  <c r="AZ17" i="5" s="1"/>
  <c r="AB16" i="5"/>
  <c r="AA16" i="5"/>
  <c r="Z16" i="5"/>
  <c r="AI13" i="5"/>
  <c r="AK11" i="5"/>
  <c r="AH11" i="5" s="1"/>
  <c r="AJ11" i="5"/>
  <c r="BE11" i="5" s="1"/>
  <c r="AI11" i="5"/>
  <c r="AG11" i="5"/>
  <c r="BB11" i="5" s="1"/>
  <c r="AF11" i="5"/>
  <c r="AE11" i="5"/>
  <c r="N11" i="5"/>
  <c r="K11" i="5" s="1"/>
  <c r="M11" i="5"/>
  <c r="L11" i="5"/>
  <c r="BD11" i="5" s="1"/>
  <c r="J11" i="5"/>
  <c r="I11" i="5"/>
  <c r="H11" i="5"/>
  <c r="AK10" i="5"/>
  <c r="AH10" i="5" s="1"/>
  <c r="AJ10" i="5"/>
  <c r="BE10" i="5" s="1"/>
  <c r="AI10" i="5"/>
  <c r="AI14" i="5" s="1"/>
  <c r="AG10" i="5"/>
  <c r="BB10" i="5" s="1"/>
  <c r="AF10" i="5"/>
  <c r="AE10" i="5"/>
  <c r="N10" i="5"/>
  <c r="K10" i="5" s="1"/>
  <c r="M10" i="5"/>
  <c r="M14" i="5" s="1"/>
  <c r="L10" i="5"/>
  <c r="J10" i="5"/>
  <c r="J14" i="5" s="1"/>
  <c r="I10" i="5"/>
  <c r="H10" i="5"/>
  <c r="AK9" i="5"/>
  <c r="AH9" i="5" s="1"/>
  <c r="AJ9" i="5"/>
  <c r="AI9" i="5"/>
  <c r="AG9" i="5"/>
  <c r="AF9" i="5"/>
  <c r="AE9" i="5"/>
  <c r="N9" i="5"/>
  <c r="K9" i="5" s="1"/>
  <c r="K13" i="5" s="1"/>
  <c r="M9" i="5"/>
  <c r="M13" i="5" s="1"/>
  <c r="L9" i="5"/>
  <c r="J9" i="5"/>
  <c r="J13" i="5" s="1"/>
  <c r="I9" i="5"/>
  <c r="H9" i="5"/>
  <c r="BD8" i="5"/>
  <c r="AK8" i="5"/>
  <c r="AH8" i="5" s="1"/>
  <c r="BC8" i="5" s="1"/>
  <c r="AJ8" i="5"/>
  <c r="BE8" i="5" s="1"/>
  <c r="AI8" i="5"/>
  <c r="AG8" i="5"/>
  <c r="BB8" i="5" s="1"/>
  <c r="AF8" i="5"/>
  <c r="AE8" i="5"/>
  <c r="N8" i="5"/>
  <c r="K8" i="5" s="1"/>
  <c r="M8" i="5"/>
  <c r="L8" i="5"/>
  <c r="J8" i="5"/>
  <c r="I8" i="5"/>
  <c r="H8" i="5"/>
  <c r="BD7" i="5"/>
  <c r="AK7" i="5"/>
  <c r="AH7" i="5" s="1"/>
  <c r="BC7" i="5" s="1"/>
  <c r="AJ7" i="5"/>
  <c r="BE7" i="5" s="1"/>
  <c r="AI7" i="5"/>
  <c r="AG7" i="5"/>
  <c r="AF7" i="5"/>
  <c r="AE7" i="5"/>
  <c r="N7" i="5"/>
  <c r="K7" i="5" s="1"/>
  <c r="M7" i="5"/>
  <c r="L7" i="5"/>
  <c r="J7" i="5"/>
  <c r="I7" i="5"/>
  <c r="H7" i="5"/>
  <c r="BD6" i="5"/>
  <c r="AK6" i="5"/>
  <c r="AH6" i="5" s="1"/>
  <c r="BC6" i="5" s="1"/>
  <c r="AJ6" i="5"/>
  <c r="BE6" i="5" s="1"/>
  <c r="AI6" i="5"/>
  <c r="AG6" i="5"/>
  <c r="AF6" i="5"/>
  <c r="AE6" i="5"/>
  <c r="N6" i="5"/>
  <c r="K6" i="5" s="1"/>
  <c r="M6" i="5"/>
  <c r="L6" i="5"/>
  <c r="J6" i="5"/>
  <c r="I6" i="5"/>
  <c r="H6" i="5"/>
  <c r="BD5" i="5"/>
  <c r="AK5" i="5"/>
  <c r="AH5" i="5" s="1"/>
  <c r="AJ5" i="5"/>
  <c r="AI5" i="5"/>
  <c r="AI15" i="5" s="1"/>
  <c r="AG5" i="5"/>
  <c r="AF5" i="5"/>
  <c r="AE5" i="5"/>
  <c r="N5" i="5"/>
  <c r="K5" i="5" s="1"/>
  <c r="M5" i="5"/>
  <c r="M12" i="5" s="1"/>
  <c r="L5" i="5"/>
  <c r="J5" i="5"/>
  <c r="J12" i="5" s="1"/>
  <c r="I5" i="5"/>
  <c r="H5" i="5"/>
  <c r="AE1" i="5"/>
  <c r="H1" i="5"/>
  <c r="BC46" i="3"/>
  <c r="BB46" i="3"/>
  <c r="BA46" i="3"/>
  <c r="AZ46" i="3"/>
  <c r="AE46" i="3"/>
  <c r="AD46" i="3"/>
  <c r="AC46" i="3"/>
  <c r="AB46" i="3"/>
  <c r="BC44" i="3"/>
  <c r="BB44" i="3"/>
  <c r="BA44" i="3"/>
  <c r="AZ44" i="3"/>
  <c r="AE44" i="3"/>
  <c r="AD44" i="3"/>
  <c r="AC44" i="3"/>
  <c r="AB44" i="3"/>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K37" i="3"/>
  <c r="AJ37" i="3"/>
  <c r="AH37" i="3"/>
  <c r="AG37" i="3"/>
  <c r="N37" i="3"/>
  <c r="K37" i="3" s="1"/>
  <c r="M37" i="3"/>
  <c r="L37" i="3"/>
  <c r="J37" i="3"/>
  <c r="I37" i="3"/>
  <c r="BF36" i="3"/>
  <c r="AL36" i="3"/>
  <c r="BG36" i="3" s="1"/>
  <c r="AK36" i="3"/>
  <c r="AJ36" i="3"/>
  <c r="AH36" i="3"/>
  <c r="AG36" i="3"/>
  <c r="N36" i="3"/>
  <c r="M36" i="3"/>
  <c r="L36" i="3"/>
  <c r="K36" i="3"/>
  <c r="J36" i="3"/>
  <c r="I36" i="3"/>
  <c r="BF35" i="3"/>
  <c r="AL35" i="3"/>
  <c r="AK35" i="3"/>
  <c r="AJ35" i="3"/>
  <c r="AI35" i="3"/>
  <c r="AH35" i="3"/>
  <c r="AG35" i="3"/>
  <c r="N35" i="3"/>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K32" i="3"/>
  <c r="J32" i="3"/>
  <c r="I32" i="3"/>
  <c r="BF31" i="3"/>
  <c r="AL31" i="3"/>
  <c r="AK31" i="3"/>
  <c r="AJ31" i="3"/>
  <c r="AH31" i="3"/>
  <c r="AG31" i="3"/>
  <c r="N31" i="3"/>
  <c r="K31" i="3" s="1"/>
  <c r="M31" i="3"/>
  <c r="L31" i="3"/>
  <c r="J31" i="3"/>
  <c r="I31" i="3"/>
  <c r="BF30" i="3"/>
  <c r="AL30" i="3"/>
  <c r="AK30" i="3"/>
  <c r="AJ30" i="3"/>
  <c r="AH30" i="3"/>
  <c r="AG30" i="3"/>
  <c r="N30" i="3"/>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BG27" i="3" s="1"/>
  <c r="AK27" i="3"/>
  <c r="AJ27" i="3"/>
  <c r="AH27" i="3"/>
  <c r="AG27" i="3"/>
  <c r="N27" i="3"/>
  <c r="K27" i="3" s="1"/>
  <c r="M27" i="3"/>
  <c r="L27" i="3"/>
  <c r="J27" i="3"/>
  <c r="I27" i="3"/>
  <c r="BF26" i="3"/>
  <c r="AL26" i="3"/>
  <c r="AK26" i="3"/>
  <c r="AJ26" i="3"/>
  <c r="AH26" i="3"/>
  <c r="AG26" i="3"/>
  <c r="N26" i="3"/>
  <c r="K26" i="3" s="1"/>
  <c r="M26" i="3"/>
  <c r="L26" i="3"/>
  <c r="J26" i="3"/>
  <c r="I26" i="3"/>
  <c r="BF25" i="3"/>
  <c r="AL25" i="3"/>
  <c r="BH25" i="3" s="1" a="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K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F20" i="3"/>
  <c r="AL20" i="3"/>
  <c r="AI20" i="3" s="1"/>
  <c r="AK20" i="3"/>
  <c r="AJ20" i="3"/>
  <c r="AH20" i="3"/>
  <c r="AG20" i="3"/>
  <c r="N20" i="3"/>
  <c r="M20" i="3"/>
  <c r="L20" i="3"/>
  <c r="J20" i="3"/>
  <c r="I20" i="3"/>
  <c r="BF19" i="3"/>
  <c r="AL19" i="3"/>
  <c r="AI19" i="3" s="1"/>
  <c r="AK19" i="3"/>
  <c r="AJ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BH15" i="3" s="1" a="1"/>
  <c r="AK15" i="3"/>
  <c r="AJ15" i="3"/>
  <c r="AI15" i="3"/>
  <c r="AH15" i="3"/>
  <c r="AG15" i="3"/>
  <c r="N15" i="3"/>
  <c r="K15" i="3" s="1"/>
  <c r="M15" i="3"/>
  <c r="L15" i="3"/>
  <c r="J15" i="3"/>
  <c r="I15" i="3"/>
  <c r="BF14" i="3"/>
  <c r="AL14" i="3"/>
  <c r="AK14" i="3"/>
  <c r="AJ14" i="3"/>
  <c r="AH14" i="3"/>
  <c r="AG14" i="3"/>
  <c r="N14" i="3"/>
  <c r="K14" i="3" s="1"/>
  <c r="M14" i="3"/>
  <c r="L14" i="3"/>
  <c r="J14" i="3"/>
  <c r="I14" i="3"/>
  <c r="BF13" i="3"/>
  <c r="AL13" i="3"/>
  <c r="AK13" i="3"/>
  <c r="AJ13" i="3"/>
  <c r="AI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H10" i="3"/>
  <c r="AG10" i="3"/>
  <c r="N10" i="3"/>
  <c r="K10" i="3" s="1"/>
  <c r="M10" i="3"/>
  <c r="L10" i="3"/>
  <c r="J10" i="3"/>
  <c r="I10" i="3"/>
  <c r="BF9" i="3"/>
  <c r="AL9" i="3"/>
  <c r="AI9" i="3" s="1"/>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K6" i="3"/>
  <c r="AJ6" i="3"/>
  <c r="AH6" i="3"/>
  <c r="AG6" i="3"/>
  <c r="N6" i="3"/>
  <c r="K6" i="3" s="1"/>
  <c r="M6" i="3"/>
  <c r="L6" i="3"/>
  <c r="J6" i="3"/>
  <c r="I6" i="3"/>
  <c r="BF5" i="3"/>
  <c r="AL5" i="3"/>
  <c r="AK5" i="3"/>
  <c r="AJ5" i="3"/>
  <c r="AH5" i="3"/>
  <c r="AG5" i="3"/>
  <c r="N5" i="3"/>
  <c r="M5" i="3"/>
  <c r="L5" i="3"/>
  <c r="J5" i="3"/>
  <c r="I5" i="3"/>
  <c r="AG1" i="3"/>
  <c r="I1" i="3"/>
  <c r="B1" i="2"/>
  <c r="B2" i="2" s="1"/>
  <c r="BT35" i="7"/>
  <c r="BS35" i="7"/>
  <c r="BR35" i="7"/>
  <c r="BQ5" i="7"/>
  <c r="BK10" i="7"/>
  <c r="BM5" i="7"/>
  <c r="BT30" i="7"/>
  <c r="BQ25" i="7"/>
  <c r="BP30" i="7"/>
  <c r="BN30" i="7"/>
  <c r="BJ35" i="7"/>
  <c r="BN20" i="7"/>
  <c r="BP5" i="7"/>
  <c r="BM35" i="7"/>
  <c r="BS25" i="7"/>
  <c r="BT15" i="7"/>
  <c r="BN25" i="7"/>
  <c r="BM30" i="7"/>
  <c r="BQ35" i="7"/>
  <c r="BL20" i="7"/>
  <c r="BK30" i="7"/>
  <c r="BM25" i="7"/>
  <c r="BP10" i="7"/>
  <c r="BT5" i="7"/>
  <c r="BN10" i="7"/>
  <c r="BS20" i="7"/>
  <c r="BR20" i="7"/>
  <c r="BL25" i="7"/>
  <c r="BL30" i="7"/>
  <c r="BP35" i="7"/>
  <c r="BM10" i="7"/>
  <c r="BS30" i="7"/>
  <c r="BS15" i="7"/>
  <c r="BQ10" i="7"/>
  <c r="BR15" i="7"/>
  <c r="BQ15" i="7"/>
  <c r="BN35" i="7"/>
  <c r="BL5" i="7"/>
  <c r="BR25" i="7"/>
  <c r="BQ30" i="7"/>
  <c r="BN5" i="7"/>
  <c r="BL10" i="7"/>
  <c r="BT10" i="7"/>
  <c r="BS10" i="7"/>
  <c r="BQ20" i="7"/>
  <c r="BP20" i="7"/>
  <c r="BM20" i="7"/>
  <c r="BL35" i="7"/>
  <c r="BP25" i="7"/>
  <c r="BM15" i="7"/>
  <c r="BR30" i="7"/>
  <c r="BS5" i="7"/>
  <c r="BR5" i="7"/>
  <c r="BP15" i="7"/>
  <c r="BN15" i="7"/>
  <c r="BL15" i="7"/>
  <c r="BT25" i="7"/>
  <c r="BT20" i="7"/>
  <c r="BR10" i="7"/>
  <c r="BL30" i="3"/>
  <c r="BR15" i="3"/>
  <c r="BQ15" i="3"/>
  <c r="BP10" i="3"/>
  <c r="BQ25" i="3"/>
  <c r="BS30" i="3"/>
  <c r="BL25" i="3"/>
  <c r="BS5" i="3"/>
  <c r="BQ30" i="3"/>
  <c r="BP30" i="3"/>
  <c r="BS15" i="3"/>
  <c r="BS10" i="3"/>
  <c r="BR10" i="3"/>
  <c r="BM5" i="3"/>
  <c r="BQ20" i="3"/>
  <c r="BP25" i="3"/>
  <c r="BT35" i="3"/>
  <c r="BQ10" i="3"/>
  <c r="BL20" i="3"/>
  <c r="BR30" i="3"/>
  <c r="BL35" i="3"/>
  <c r="BM10" i="3"/>
  <c r="BK35" i="3"/>
  <c r="BM20" i="3"/>
  <c r="BP35" i="3"/>
  <c r="BT10" i="3"/>
  <c r="BQ5" i="3"/>
  <c r="BP5" i="3"/>
  <c r="BS25" i="3"/>
  <c r="BM15" i="3"/>
  <c r="BJ25" i="3"/>
  <c r="BN30" i="3"/>
  <c r="BN5" i="3"/>
  <c r="BJ15" i="3"/>
  <c r="BM30" i="3"/>
  <c r="BR5" i="3"/>
  <c r="BN10" i="3"/>
  <c r="BP20" i="3"/>
  <c r="BN25" i="3"/>
  <c r="BQ35" i="3"/>
  <c r="BR20" i="3"/>
  <c r="BT30" i="3"/>
  <c r="BT15" i="3"/>
  <c r="BS20" i="3"/>
  <c r="BJ35" i="3"/>
  <c r="BR25" i="3"/>
  <c r="BL5" i="3"/>
  <c r="BL15" i="3"/>
  <c r="BS35" i="3"/>
  <c r="BP15" i="3"/>
  <c r="BN20" i="3"/>
  <c r="BM35" i="3"/>
  <c r="BL10" i="3"/>
  <c r="BN35" i="3"/>
  <c r="BT25" i="3"/>
  <c r="BN15" i="3"/>
  <c r="BT5" i="3"/>
  <c r="BK15" i="3"/>
  <c r="BM25" i="3"/>
  <c r="BR35" i="3"/>
  <c r="BK20" i="3"/>
  <c r="BT20" i="3"/>
  <c r="BK30" i="3"/>
  <c r="BA45" i="7" l="1"/>
  <c r="BB45" i="7"/>
  <c r="AH42" i="7"/>
  <c r="AJ41" i="7"/>
  <c r="BG5" i="7"/>
  <c r="BG32" i="3"/>
  <c r="AZ47" i="3"/>
  <c r="AI27" i="3"/>
  <c r="BE27" i="3" s="1"/>
  <c r="AI25" i="3"/>
  <c r="BG35" i="3"/>
  <c r="AJ41" i="3"/>
  <c r="AH42" i="3"/>
  <c r="BH35" i="7"/>
  <c r="K19" i="7"/>
  <c r="BG17" i="7"/>
  <c r="BE8" i="7"/>
  <c r="BG6" i="7"/>
  <c r="K35" i="3"/>
  <c r="BE12" i="3"/>
  <c r="L42" i="3"/>
  <c r="BH5" i="7"/>
  <c r="BE23" i="7"/>
  <c r="BE21" i="7"/>
  <c r="AZ47" i="7"/>
  <c r="BG18" i="7"/>
  <c r="BG22" i="7"/>
  <c r="BG34" i="7"/>
  <c r="BB47" i="7"/>
  <c r="C48" i="1" s="1"/>
  <c r="BG7" i="7"/>
  <c r="BH20" i="7"/>
  <c r="J42" i="7"/>
  <c r="BE11" i="3"/>
  <c r="M42" i="3"/>
  <c r="BB45" i="3"/>
  <c r="K5" i="3"/>
  <c r="BG5" i="3"/>
  <c r="BG7" i="3"/>
  <c r="BG9" i="3"/>
  <c r="BG13" i="3"/>
  <c r="BG11" i="3"/>
  <c r="J41" i="3"/>
  <c r="BG37" i="3"/>
  <c r="BE8" i="3"/>
  <c r="BG14" i="3"/>
  <c r="M41" i="3"/>
  <c r="BG10" i="3"/>
  <c r="BG30" i="3"/>
  <c r="C47" i="1"/>
  <c r="AK41" i="7"/>
  <c r="BH30" i="7"/>
  <c r="BG21" i="7"/>
  <c r="BG13" i="7"/>
  <c r="BG23" i="7"/>
  <c r="BG31" i="7"/>
  <c r="BE17" i="7"/>
  <c r="BE9" i="7"/>
  <c r="AJ43" i="7"/>
  <c r="BE31" i="7"/>
  <c r="AI7" i="7"/>
  <c r="BE7" i="7" s="1"/>
  <c r="AI15" i="7"/>
  <c r="BE15" i="7" s="1"/>
  <c r="AI17" i="7"/>
  <c r="BG29" i="7"/>
  <c r="BG36" i="7"/>
  <c r="BG37" i="7"/>
  <c r="BG38" i="7"/>
  <c r="BG25" i="7"/>
  <c r="BG33" i="7"/>
  <c r="AJ42" i="7"/>
  <c r="BA47" i="7"/>
  <c r="BE5" i="7"/>
  <c r="AK42" i="7"/>
  <c r="L43" i="7"/>
  <c r="BE11" i="7"/>
  <c r="L42" i="7"/>
  <c r="BG10" i="7"/>
  <c r="BE24" i="7"/>
  <c r="M42" i="7"/>
  <c r="BE27" i="7"/>
  <c r="BC47" i="7"/>
  <c r="BH10" i="7"/>
  <c r="BH40" i="7" s="1"/>
  <c r="BE12" i="7"/>
  <c r="J41" i="7"/>
  <c r="BG26" i="7"/>
  <c r="BC45" i="7"/>
  <c r="BG11" i="7"/>
  <c r="BG14" i="7"/>
  <c r="K25" i="7"/>
  <c r="BE25" i="7" s="1"/>
  <c r="BE28" i="7"/>
  <c r="BH15" i="7"/>
  <c r="BE16" i="7"/>
  <c r="BE19" i="7"/>
  <c r="L41" i="7"/>
  <c r="BH25" i="7"/>
  <c r="BH41" i="7" s="1"/>
  <c r="K13" i="7"/>
  <c r="BE13" i="7" s="1"/>
  <c r="M41" i="7"/>
  <c r="BG27" i="7"/>
  <c r="BG30" i="7"/>
  <c r="BE38" i="7"/>
  <c r="BG39" i="7"/>
  <c r="BG15" i="7"/>
  <c r="K29" i="7"/>
  <c r="BE29" i="7" s="1"/>
  <c r="BE32" i="7"/>
  <c r="BD7" i="6"/>
  <c r="AI15" i="6"/>
  <c r="AH11" i="6"/>
  <c r="J15" i="6"/>
  <c r="BD9" i="6"/>
  <c r="BC11" i="6"/>
  <c r="AW19" i="6"/>
  <c r="AY19" i="6"/>
  <c r="BG11" i="6"/>
  <c r="AW17" i="6"/>
  <c r="AZ19" i="6"/>
  <c r="AY17" i="6"/>
  <c r="BB6" i="6"/>
  <c r="BB7" i="6"/>
  <c r="BB8" i="6"/>
  <c r="BD10" i="5"/>
  <c r="AI12" i="5"/>
  <c r="BD9" i="5"/>
  <c r="AG14" i="5"/>
  <c r="BB14" i="5" s="1"/>
  <c r="AW19" i="5"/>
  <c r="AW17" i="5"/>
  <c r="AZ19" i="5"/>
  <c r="C23" i="1"/>
  <c r="J15" i="5"/>
  <c r="M15" i="5"/>
  <c r="AX19" i="5"/>
  <c r="BB5" i="5"/>
  <c r="BB6" i="5"/>
  <c r="BE5" i="5"/>
  <c r="BB7" i="5"/>
  <c r="AY17" i="5"/>
  <c r="AI5" i="3"/>
  <c r="BE5" i="3" s="1"/>
  <c r="AH41" i="3"/>
  <c r="AK43" i="3"/>
  <c r="AK42" i="3"/>
  <c r="AI36" i="3"/>
  <c r="AJ42" i="3"/>
  <c r="BG25" i="3"/>
  <c r="BC47" i="3"/>
  <c r="AZ45" i="3"/>
  <c r="BH10" i="3"/>
  <c r="BG23" i="3"/>
  <c r="BC45" i="3"/>
  <c r="AH43" i="3"/>
  <c r="BG29" i="3"/>
  <c r="C13" i="1"/>
  <c r="BE13" i="3"/>
  <c r="BE39" i="3"/>
  <c r="BE15" i="3"/>
  <c r="L41" i="3"/>
  <c r="BE38" i="3"/>
  <c r="BE17" i="3"/>
  <c r="BE19" i="3"/>
  <c r="J42" i="3"/>
  <c r="BH15" i="3"/>
  <c r="BE16" i="3"/>
  <c r="BE21" i="3"/>
  <c r="BG39" i="3"/>
  <c r="BG18" i="3"/>
  <c r="BE23" i="3"/>
  <c r="BG15" i="3"/>
  <c r="BA47" i="3"/>
  <c r="L43" i="3"/>
  <c r="BG17" i="3"/>
  <c r="BG22" i="3"/>
  <c r="BB47" i="3"/>
  <c r="BG19" i="3"/>
  <c r="BE24" i="3"/>
  <c r="BE29" i="3"/>
  <c r="BE7" i="3"/>
  <c r="BE9" i="3"/>
  <c r="BG21" i="3"/>
  <c r="BH25" i="3"/>
  <c r="BH41" i="3" s="1"/>
  <c r="BG26" i="3"/>
  <c r="BG6" i="3"/>
  <c r="BE28" i="3"/>
  <c r="BG31" i="3"/>
  <c r="BG34" i="3"/>
  <c r="BA45" i="3"/>
  <c r="BQ42" i="7"/>
  <c r="BL41" i="3"/>
  <c r="E10" i="1" s="1"/>
  <c r="BQ41" i="7"/>
  <c r="BR42" i="7"/>
  <c r="J45" i="1" s="1"/>
  <c r="BN42" i="3"/>
  <c r="G11" i="1" s="1"/>
  <c r="BP41" i="7"/>
  <c r="BM41" i="3"/>
  <c r="F10" i="1" s="1"/>
  <c r="BR41" i="7"/>
  <c r="BS42" i="7"/>
  <c r="BN41" i="3"/>
  <c r="G10" i="1" s="1"/>
  <c r="BK42" i="3"/>
  <c r="D11" i="1" s="1"/>
  <c r="BT42" i="7"/>
  <c r="BJ41" i="3"/>
  <c r="C10" i="1" s="1"/>
  <c r="BM40" i="3"/>
  <c r="F9" i="1" s="1"/>
  <c r="BM43" i="7"/>
  <c r="F46" i="1" s="1"/>
  <c r="BN43" i="3"/>
  <c r="G12" i="1" s="1"/>
  <c r="BL42" i="7"/>
  <c r="E45" i="1" s="1"/>
  <c r="BL41" i="7"/>
  <c r="E44" i="1" s="1"/>
  <c r="BM42" i="7"/>
  <c r="F45" i="1" s="1"/>
  <c r="BL42" i="3"/>
  <c r="E11" i="1" s="1"/>
  <c r="BM41" i="7"/>
  <c r="F44" i="1" s="1"/>
  <c r="BN42" i="7"/>
  <c r="G45" i="1" s="1"/>
  <c r="BN43" i="7"/>
  <c r="G46" i="1" s="1"/>
  <c r="BM42" i="3"/>
  <c r="F11" i="1" s="1"/>
  <c r="BN41" i="7"/>
  <c r="G44" i="1" s="1"/>
  <c r="BP42" i="7"/>
  <c r="BQ40" i="3"/>
  <c r="I9" i="1" s="1"/>
  <c r="BR40" i="3"/>
  <c r="J9" i="1" s="1"/>
  <c r="BP41" i="3"/>
  <c r="BC9" i="5"/>
  <c r="AH13" i="5"/>
  <c r="BC13" i="5" s="1"/>
  <c r="AH14" i="5"/>
  <c r="BC10" i="5"/>
  <c r="BC11" i="5"/>
  <c r="K15" i="5"/>
  <c r="K12" i="5"/>
  <c r="K15" i="6"/>
  <c r="K12" i="6"/>
  <c r="BE33" i="3"/>
  <c r="AH15" i="5"/>
  <c r="AH12" i="5"/>
  <c r="BC5" i="5"/>
  <c r="K14" i="5"/>
  <c r="AJ12" i="6"/>
  <c r="BE12" i="6" s="1"/>
  <c r="E21" i="1"/>
  <c r="BH30" i="3" a="1"/>
  <c r="BH30" i="3" s="1"/>
  <c r="AI34" i="3"/>
  <c r="BE34" i="3" s="1"/>
  <c r="BG38" i="3"/>
  <c r="BN40" i="3"/>
  <c r="G9" i="1" s="1"/>
  <c r="L15" i="5"/>
  <c r="BD15" i="5" s="1"/>
  <c r="L12" i="5"/>
  <c r="BD12" i="5" s="1"/>
  <c r="BF5" i="5"/>
  <c r="BF7" i="5"/>
  <c r="BF9" i="5"/>
  <c r="BF11" i="5"/>
  <c r="L13" i="5"/>
  <c r="AJ14" i="5"/>
  <c r="BE14" i="5" s="1"/>
  <c r="AJ43" i="3"/>
  <c r="AJ40" i="3"/>
  <c r="BG33" i="3"/>
  <c r="BE35" i="3"/>
  <c r="BE36" i="3"/>
  <c r="BT40" i="3"/>
  <c r="BR41" i="3"/>
  <c r="BP42" i="3"/>
  <c r="BM43" i="3"/>
  <c r="F12" i="1" s="1"/>
  <c r="BG6" i="5" a="1"/>
  <c r="BG6" i="5" s="1"/>
  <c r="BG8" i="5" a="1"/>
  <c r="BG8" i="5" s="1"/>
  <c r="BG10" i="5" a="1"/>
  <c r="BG10" i="5" s="1"/>
  <c r="BD13" i="5"/>
  <c r="BF9" i="6"/>
  <c r="BP43" i="3"/>
  <c r="BP40" i="3"/>
  <c r="AK41" i="3"/>
  <c r="AI30" i="3"/>
  <c r="L40" i="3"/>
  <c r="BS41" i="3"/>
  <c r="BQ42" i="3"/>
  <c r="AH10" i="6"/>
  <c r="BG10" i="6" a="1"/>
  <c r="BG10" i="6" s="1"/>
  <c r="BG14" i="6" s="1"/>
  <c r="BF10" i="6"/>
  <c r="BD13" i="6"/>
  <c r="M43" i="7"/>
  <c r="M40" i="7"/>
  <c r="BB10" i="6"/>
  <c r="AG14" i="6"/>
  <c r="BB14" i="6" s="1"/>
  <c r="AI6" i="3"/>
  <c r="BE6" i="3" s="1"/>
  <c r="BG8" i="3"/>
  <c r="AI10" i="3"/>
  <c r="BE10" i="3" s="1"/>
  <c r="BG12" i="3"/>
  <c r="AI14" i="3"/>
  <c r="BE14" i="3" s="1"/>
  <c r="BG16" i="3"/>
  <c r="AI18" i="3"/>
  <c r="BE18" i="3" s="1"/>
  <c r="K20" i="3"/>
  <c r="K40" i="3" s="1"/>
  <c r="BG20" i="3"/>
  <c r="AI22" i="3"/>
  <c r="BE22" i="3" s="1"/>
  <c r="BG24" i="3"/>
  <c r="BQ41" i="3"/>
  <c r="AI26" i="3"/>
  <c r="BE26" i="3" s="1"/>
  <c r="BG28" i="3"/>
  <c r="AI37" i="3"/>
  <c r="BE37" i="3" s="1"/>
  <c r="AH40" i="3"/>
  <c r="BS42" i="3"/>
  <c r="BQ43" i="3"/>
  <c r="BB9" i="5"/>
  <c r="AG13" i="5"/>
  <c r="BB13" i="5" s="1"/>
  <c r="AG12" i="5"/>
  <c r="BB12" i="5" s="1"/>
  <c r="L12" i="6"/>
  <c r="BD12" i="6" s="1"/>
  <c r="L15" i="6"/>
  <c r="BD15" i="6" s="1"/>
  <c r="BF5" i="6"/>
  <c r="BF7" i="6"/>
  <c r="BD10" i="6"/>
  <c r="BE13" i="6"/>
  <c r="BL43" i="7"/>
  <c r="E46" i="1" s="1"/>
  <c r="BL40" i="7"/>
  <c r="E43" i="1" s="1"/>
  <c r="BE25" i="3"/>
  <c r="AI31" i="3"/>
  <c r="BE31" i="3" s="1"/>
  <c r="BT42" i="3"/>
  <c r="BR43" i="3"/>
  <c r="BF6" i="5"/>
  <c r="BF8" i="5"/>
  <c r="BF10" i="5"/>
  <c r="AY19" i="5"/>
  <c r="BH20" i="3" a="1"/>
  <c r="BH20" i="3" s="1"/>
  <c r="BR42" i="3"/>
  <c r="AK40" i="3"/>
  <c r="BT43" i="3"/>
  <c r="AJ12" i="5"/>
  <c r="BE12" i="5" s="1"/>
  <c r="AG15" i="5"/>
  <c r="BB15" i="5" s="1"/>
  <c r="AH43" i="7"/>
  <c r="AH40" i="7"/>
  <c r="AG15" i="6"/>
  <c r="BB15" i="6" s="1"/>
  <c r="AJ15" i="6"/>
  <c r="BE15" i="6" s="1"/>
  <c r="K41" i="3"/>
  <c r="BT41" i="3"/>
  <c r="BE32" i="3"/>
  <c r="AJ13" i="5"/>
  <c r="BE13" i="5" s="1"/>
  <c r="BE9" i="5"/>
  <c r="BG6" i="6" a="1"/>
  <c r="BG6" i="6" s="1"/>
  <c r="BG8" i="6" a="1"/>
  <c r="BG8" i="6" s="1"/>
  <c r="BH35" i="3" a="1"/>
  <c r="BH35" i="3" s="1"/>
  <c r="BG5" i="5" a="1"/>
  <c r="BG5" i="5" s="1"/>
  <c r="BG7" i="5" a="1"/>
  <c r="BG7" i="5" s="1"/>
  <c r="BG9" i="5" a="1"/>
  <c r="BG9" i="5" s="1"/>
  <c r="BG13" i="5" s="1"/>
  <c r="BG11" i="5" a="1"/>
  <c r="BG11" i="5" s="1"/>
  <c r="L14" i="5"/>
  <c r="BD14" i="5" s="1"/>
  <c r="AJ15" i="5"/>
  <c r="BE15" i="5" s="1"/>
  <c r="BB9" i="6"/>
  <c r="AG13" i="6"/>
  <c r="BB13" i="6" s="1"/>
  <c r="BD14" i="6"/>
  <c r="BL43" i="3"/>
  <c r="E12" i="1" s="1"/>
  <c r="BL40" i="3"/>
  <c r="E9" i="1" s="1"/>
  <c r="J43" i="3"/>
  <c r="J40" i="3"/>
  <c r="BH5" i="3" a="1"/>
  <c r="BH5" i="3" s="1"/>
  <c r="K30" i="3"/>
  <c r="K42" i="3" s="1"/>
  <c r="AG12" i="6"/>
  <c r="BB5" i="6"/>
  <c r="AH9" i="6"/>
  <c r="AK43" i="7"/>
  <c r="J43" i="7"/>
  <c r="J40" i="7"/>
  <c r="BS43" i="3"/>
  <c r="BS40" i="3"/>
  <c r="M43" i="3"/>
  <c r="M40" i="3"/>
  <c r="AH5" i="6"/>
  <c r="BF6" i="6"/>
  <c r="AH7" i="6"/>
  <c r="BC7" i="6" s="1"/>
  <c r="BF8" i="6"/>
  <c r="AZ17" i="6"/>
  <c r="BS43" i="7"/>
  <c r="BS40" i="7"/>
  <c r="AH41" i="7"/>
  <c r="M14" i="6"/>
  <c r="AI6" i="7"/>
  <c r="BE6" i="7" s="1"/>
  <c r="BG8" i="7"/>
  <c r="AI10" i="7"/>
  <c r="BG12" i="7"/>
  <c r="AI14" i="7"/>
  <c r="BE14" i="7" s="1"/>
  <c r="BG16" i="7"/>
  <c r="AI18" i="7"/>
  <c r="BE18" i="7" s="1"/>
  <c r="K20" i="7"/>
  <c r="BE20" i="7" s="1"/>
  <c r="BG20" i="7"/>
  <c r="AI22" i="7"/>
  <c r="BE22" i="7" s="1"/>
  <c r="BG24" i="7"/>
  <c r="AI26" i="7"/>
  <c r="BE26" i="7" s="1"/>
  <c r="BG28" i="7"/>
  <c r="AI30" i="7"/>
  <c r="BG32" i="7"/>
  <c r="AI34" i="7"/>
  <c r="BE34" i="7" s="1"/>
  <c r="K36" i="7"/>
  <c r="BE36" i="7" s="1"/>
  <c r="L40" i="7"/>
  <c r="BN40" i="7"/>
  <c r="G43" i="1" s="1"/>
  <c r="BS41" i="7"/>
  <c r="BP40" i="7"/>
  <c r="BT41" i="7"/>
  <c r="BP43" i="7"/>
  <c r="BQ40" i="7"/>
  <c r="BQ43" i="7"/>
  <c r="K33" i="7"/>
  <c r="BE33" i="7" s="1"/>
  <c r="AI35" i="7"/>
  <c r="BE35" i="7" s="1"/>
  <c r="K37" i="7"/>
  <c r="BE37" i="7" s="1"/>
  <c r="AI39" i="7"/>
  <c r="BE39" i="7" s="1"/>
  <c r="BR40" i="7"/>
  <c r="BR43" i="7"/>
  <c r="BF11" i="6"/>
  <c r="AJ14" i="6"/>
  <c r="AJ40" i="7"/>
  <c r="AK40" i="7"/>
  <c r="BT40" i="7"/>
  <c r="BT43" i="7"/>
  <c r="K10" i="7"/>
  <c r="K30" i="7"/>
  <c r="J12" i="6"/>
  <c r="BE9" i="6"/>
  <c r="BG35" i="7"/>
  <c r="BM40" i="7"/>
  <c r="F43" i="1" s="1"/>
  <c r="BK20" i="7"/>
  <c r="BJ15" i="7"/>
  <c r="BK5" i="7"/>
  <c r="BK25" i="7"/>
  <c r="BJ25" i="7"/>
  <c r="BK15" i="7"/>
  <c r="BJ5" i="7"/>
  <c r="BK35" i="7"/>
  <c r="BJ20" i="7"/>
  <c r="BJ30" i="7"/>
  <c r="BJ10" i="7"/>
  <c r="BK5" i="3"/>
  <c r="BJ30" i="3"/>
  <c r="BJ10" i="3"/>
  <c r="BJ20" i="3"/>
  <c r="BK10" i="3"/>
  <c r="BK25" i="3"/>
  <c r="BJ5" i="3"/>
  <c r="BJ41" i="7" l="1"/>
  <c r="C44" i="1" s="1"/>
  <c r="BK41" i="7"/>
  <c r="D44" i="1" s="1"/>
  <c r="BK40" i="7"/>
  <c r="D43" i="1" s="1"/>
  <c r="BH42" i="7"/>
  <c r="K41" i="7"/>
  <c r="K43" i="7"/>
  <c r="BH43" i="7"/>
  <c r="K45" i="1"/>
  <c r="K42" i="7"/>
  <c r="C36" i="1"/>
  <c r="C35" i="1"/>
  <c r="BG15" i="6"/>
  <c r="BC14" i="5"/>
  <c r="BC12" i="5"/>
  <c r="BC15" i="5"/>
  <c r="C14" i="1"/>
  <c r="K43" i="3"/>
  <c r="BE20" i="3"/>
  <c r="BJ43" i="7"/>
  <c r="C46" i="1" s="1"/>
  <c r="BJ40" i="7"/>
  <c r="C43" i="1" s="1"/>
  <c r="BK40" i="3"/>
  <c r="D9" i="1" s="1"/>
  <c r="BK43" i="3"/>
  <c r="D12" i="1" s="1"/>
  <c r="BJ42" i="7"/>
  <c r="C45" i="1" s="1"/>
  <c r="BK41" i="3"/>
  <c r="D10" i="1" s="1"/>
  <c r="BJ40" i="3"/>
  <c r="C9" i="1" s="1"/>
  <c r="BJ43" i="3"/>
  <c r="C12" i="1" s="1"/>
  <c r="BK42" i="7"/>
  <c r="D45" i="1" s="1"/>
  <c r="BK43" i="7"/>
  <c r="D46" i="1" s="1"/>
  <c r="BJ42" i="3"/>
  <c r="C11" i="1" s="1"/>
  <c r="I44" i="1"/>
  <c r="J44" i="1"/>
  <c r="H45" i="1"/>
  <c r="L45" i="1"/>
  <c r="H44" i="1"/>
  <c r="I45" i="1"/>
  <c r="H10" i="1"/>
  <c r="H46" i="1"/>
  <c r="J11" i="1"/>
  <c r="I10" i="1"/>
  <c r="AI42" i="3"/>
  <c r="BE42" i="3" s="1"/>
  <c r="BE30" i="3"/>
  <c r="C22" i="1"/>
  <c r="C21" i="1"/>
  <c r="L12" i="1"/>
  <c r="K10" i="1"/>
  <c r="K40" i="7"/>
  <c r="K46" i="1"/>
  <c r="D34" i="1"/>
  <c r="E19" i="1"/>
  <c r="H9" i="1"/>
  <c r="AI41" i="7"/>
  <c r="BE41" i="7" s="1"/>
  <c r="BH42" i="3"/>
  <c r="BH43" i="3"/>
  <c r="BH40" i="3"/>
  <c r="L46" i="1"/>
  <c r="J10" i="1"/>
  <c r="L11" i="1"/>
  <c r="L44" i="1"/>
  <c r="H43" i="1"/>
  <c r="E33" i="1"/>
  <c r="E20" i="1"/>
  <c r="D21" i="1"/>
  <c r="C24" i="1"/>
  <c r="I12" i="1"/>
  <c r="L9" i="1"/>
  <c r="AI41" i="3"/>
  <c r="BE41" i="3" s="1"/>
  <c r="AI40" i="3"/>
  <c r="BE40" i="3" s="1"/>
  <c r="BG12" i="5"/>
  <c r="BG15" i="5"/>
  <c r="C20" i="1"/>
  <c r="BC9" i="6"/>
  <c r="AH13" i="6"/>
  <c r="BC13" i="6" s="1"/>
  <c r="E32" i="1"/>
  <c r="K11" i="1"/>
  <c r="C19" i="1"/>
  <c r="K43" i="1"/>
  <c r="L10" i="1"/>
  <c r="K44" i="1"/>
  <c r="E34" i="1"/>
  <c r="H11" i="1"/>
  <c r="L43" i="1"/>
  <c r="BE14" i="6"/>
  <c r="I46" i="1"/>
  <c r="BE10" i="7"/>
  <c r="AH15" i="6"/>
  <c r="BC15" i="6" s="1"/>
  <c r="AH12" i="6"/>
  <c r="BC12" i="6" s="1"/>
  <c r="BC5" i="6"/>
  <c r="BB12" i="6"/>
  <c r="D22" i="1"/>
  <c r="D20" i="1"/>
  <c r="E22" i="1"/>
  <c r="D32" i="1"/>
  <c r="BC10" i="6"/>
  <c r="AH14" i="6"/>
  <c r="BC14" i="6" s="1"/>
  <c r="D31" i="1"/>
  <c r="BG12" i="6"/>
  <c r="J46" i="1"/>
  <c r="BG14" i="5"/>
  <c r="J43" i="1"/>
  <c r="K9" i="1"/>
  <c r="AI40" i="7"/>
  <c r="K12" i="1"/>
  <c r="AI43" i="7"/>
  <c r="H12" i="1"/>
  <c r="I43" i="1"/>
  <c r="AI42" i="7"/>
  <c r="BE42" i="7" s="1"/>
  <c r="BE30" i="7"/>
  <c r="D19" i="1"/>
  <c r="J12" i="1"/>
  <c r="I11" i="1"/>
  <c r="AI43" i="3"/>
  <c r="BE43" i="7" l="1"/>
  <c r="BE43" i="3"/>
  <c r="BE40" i="7"/>
  <c r="C31" i="1"/>
  <c r="C34" i="1"/>
  <c r="C32" i="1"/>
  <c r="C33" i="1"/>
  <c r="D33" i="1"/>
  <c r="E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<sst xmlns="http://schemas.openxmlformats.org/spreadsheetml/2006/main" count="1459" uniqueCount="575">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</sst>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6">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0" fillId="0" borderId="0" xfId="0"/>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ALL_master+r130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66.319749999999999</c:v>
                </c:pt>
                <c:pt idx="1">
                  <c:v>67.857106250000001</c:v>
                </c:pt>
                <c:pt idx="2">
                  <c:v>69.135781249999994</c:v>
                </c:pt>
                <c:pt idx="3">
                  <c:v>69.983175000000003</c:v>
                </c:pt>
                <c:pt idx="4">
                  <c:v>72.049068750000004</c:v>
                </c:pt>
              </c:numCache>
            </c:numRef>
          </c:yVal>
          <c:smooth val="1"/>
          <c:extLst>
            <c:ext xmlns:c16="http://schemas.microsoft.com/office/drawing/2014/chart" uri="{C3380CC4-5D6E-409C-BE32-E72D297353CC}">
              <c16:uniqueId val="{00000000-621F-4830-A67C-2514D80169CB}"/>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Graphs!graph_a_y_range_B</c:f>
              <c:numCache>
                <c:formatCode>0.00</c:formatCode>
                <c:ptCount val="5"/>
                <c:pt idx="0">
                  <c:v>66.319749999999999</c:v>
                </c:pt>
                <c:pt idx="1">
                  <c:v>67.857106250000001</c:v>
                </c:pt>
                <c:pt idx="2">
                  <c:v>69.135781249999994</c:v>
                </c:pt>
                <c:pt idx="3">
                  <c:v>69.983175000000003</c:v>
                </c:pt>
                <c:pt idx="4">
                  <c:v>72.049068750000004</c:v>
                </c:pt>
              </c:numCache>
            </c:numRef>
          </c:yVal>
          <c:smooth val="1"/>
          <c:extLst>
            <c:ext xmlns:c16="http://schemas.microsoft.com/office/drawing/2014/chart" uri="{C3380CC4-5D6E-409C-BE32-E72D297353CC}">
              <c16:uniqueId val="{00000001-621F-4830-A67C-2514D80169C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ALL_master+r130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67.862046875000004</c:v>
                </c:pt>
                <c:pt idx="1">
                  <c:v>69.591706250000001</c:v>
                </c:pt>
                <c:pt idx="2">
                  <c:v>71.143009375000005</c:v>
                </c:pt>
                <c:pt idx="3">
                  <c:v>72.145768750000002</c:v>
                </c:pt>
                <c:pt idx="4">
                  <c:v>75.365546875000007</c:v>
                </c:pt>
              </c:numCache>
            </c:numRef>
          </c:yVal>
          <c:smooth val="1"/>
          <c:extLst>
            <c:ext xmlns:c16="http://schemas.microsoft.com/office/drawing/2014/chart" uri="{C3380CC4-5D6E-409C-BE32-E72D297353CC}">
              <c16:uniqueId val="{00000000-A447-4C22-A339-0EBD44A5E631}"/>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Graphs!graph_b_y_range_B</c:f>
              <c:numCache>
                <c:formatCode>0.00</c:formatCode>
                <c:ptCount val="5"/>
                <c:pt idx="0">
                  <c:v>67.862046875000004</c:v>
                </c:pt>
                <c:pt idx="1">
                  <c:v>69.591706250000001</c:v>
                </c:pt>
                <c:pt idx="2">
                  <c:v>71.143009375000005</c:v>
                </c:pt>
                <c:pt idx="3">
                  <c:v>72.145768750000002</c:v>
                </c:pt>
                <c:pt idx="4">
                  <c:v>75.365546875000007</c:v>
                </c:pt>
              </c:numCache>
            </c:numRef>
          </c:yVal>
          <c:smooth val="1"/>
          <c:extLst>
            <c:ext xmlns:c16="http://schemas.microsoft.com/office/drawing/2014/chart" uri="{C3380CC4-5D6E-409C-BE32-E72D297353CC}">
              <c16:uniqueId val="{00000001-A447-4C22-A339-0EBD44A5E63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ALL_master+r130</c:v>
                </c:pt>
              </c:strCache>
            </c:strRef>
          </c:tx>
          <c:spPr>
            <a:ln>
              <a:prstDash val="solid"/>
            </a:ln>
          </c:spPr>
          <c:marker>
            <c:symbol val="none"/>
          </c:marker>
          <c:xVal>
            <c:numRef>
              <c:f>Graphs!graph_c_x_range_A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Graphs!graph_c_y_range_A</c:f>
              <c:numCache>
                <c:formatCode>0.00</c:formatCode>
                <c:ptCount val="5"/>
                <c:pt idx="0">
                  <c:v>32.082587500000002</c:v>
                </c:pt>
                <c:pt idx="1">
                  <c:v>34.3171125</c:v>
                </c:pt>
                <c:pt idx="2">
                  <c:v>36.857534375</c:v>
                </c:pt>
                <c:pt idx="3">
                  <c:v>39.507840625</c:v>
                </c:pt>
                <c:pt idx="4">
                  <c:v>42.193762499999998</c:v>
                </c:pt>
              </c:numCache>
            </c:numRef>
          </c:yVal>
          <c:smooth val="1"/>
          <c:extLst>
            <c:ext xmlns:c16="http://schemas.microsoft.com/office/drawing/2014/chart" uri="{C3380CC4-5D6E-409C-BE32-E72D297353CC}">
              <c16:uniqueId val="{00000000-1B1D-4DEF-99A4-DE5EB705E720}"/>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Graphs!graph_c_y_range_B</c:f>
              <c:numCache>
                <c:formatCode>0.00</c:formatCode>
                <c:ptCount val="5"/>
                <c:pt idx="0">
                  <c:v>32.082587500000002</c:v>
                </c:pt>
                <c:pt idx="1">
                  <c:v>34.3171125</c:v>
                </c:pt>
                <c:pt idx="2">
                  <c:v>36.857534375</c:v>
                </c:pt>
                <c:pt idx="3">
                  <c:v>39.507840625</c:v>
                </c:pt>
                <c:pt idx="4">
                  <c:v>42.193762499999998</c:v>
                </c:pt>
              </c:numCache>
            </c:numRef>
          </c:yVal>
          <c:smooth val="1"/>
          <c:extLst>
            <c:ext xmlns:c16="http://schemas.microsoft.com/office/drawing/2014/chart" uri="{C3380CC4-5D6E-409C-BE32-E72D297353CC}">
              <c16:uniqueId val="{00000001-1B1D-4DEF-99A4-DE5EB705E72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ALL_master+r130</c:v>
                </c:pt>
              </c:strCache>
            </c:strRef>
          </c:tx>
          <c:spPr>
            <a:ln>
              <a:prstDash val="solid"/>
            </a:ln>
          </c:spPr>
          <c:marker>
            <c:symbol val="none"/>
          </c:marker>
          <c:xVal>
            <c:numRef>
              <c:f>Graphs!graph_d_x_range_A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Graphs!graph_d_y_range_A</c:f>
              <c:numCache>
                <c:formatCode>0.00</c:formatCode>
                <c:ptCount val="5"/>
                <c:pt idx="0">
                  <c:v>44.119087499999999</c:v>
                </c:pt>
                <c:pt idx="1">
                  <c:v>45.440356250000001</c:v>
                </c:pt>
                <c:pt idx="2">
                  <c:v>46.547699999999999</c:v>
                </c:pt>
                <c:pt idx="3">
                  <c:v>47.880112500000003</c:v>
                </c:pt>
                <c:pt idx="4">
                  <c:v>49.417203125</c:v>
                </c:pt>
              </c:numCache>
            </c:numRef>
          </c:yVal>
          <c:smooth val="1"/>
          <c:extLst>
            <c:ext xmlns:c16="http://schemas.microsoft.com/office/drawing/2014/chart" uri="{C3380CC4-5D6E-409C-BE32-E72D297353CC}">
              <c16:uniqueId val="{00000000-1D01-495D-BD11-42472F7589A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Graphs!graph_d_y_range_B</c:f>
              <c:numCache>
                <c:formatCode>0.00</c:formatCode>
                <c:ptCount val="5"/>
                <c:pt idx="0">
                  <c:v>44.119087499999999</c:v>
                </c:pt>
                <c:pt idx="1">
                  <c:v>45.440356250000001</c:v>
                </c:pt>
                <c:pt idx="2">
                  <c:v>46.547699999999999</c:v>
                </c:pt>
                <c:pt idx="3">
                  <c:v>47.880112500000003</c:v>
                </c:pt>
                <c:pt idx="4">
                  <c:v>49.417203125</c:v>
                </c:pt>
              </c:numCache>
            </c:numRef>
          </c:yVal>
          <c:smooth val="1"/>
          <c:extLst>
            <c:ext xmlns:c16="http://schemas.microsoft.com/office/drawing/2014/chart" uri="{C3380CC4-5D6E-409C-BE32-E72D297353CC}">
              <c16:uniqueId val="{00000001-1D01-495D-BD11-42472F7589A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ALL_master+r130</c:v>
                </c:pt>
              </c:strCache>
            </c:strRef>
          </c:tx>
          <c:spPr>
            <a:ln>
              <a:prstDash val="solid"/>
            </a:ln>
          </c:spPr>
          <c:marker>
            <c:symbol val="none"/>
          </c:marker>
          <c:xVal>
            <c:numRef>
              <c:f>Graphs!graph_e_x_range_A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Graphs!graph_e_y_range_A</c:f>
              <c:numCache>
                <c:formatCode>0.00</c:formatCode>
                <c:ptCount val="5"/>
                <c:pt idx="0">
                  <c:v>43.797281249999997</c:v>
                </c:pt>
                <c:pt idx="1">
                  <c:v>45.145074999999999</c:v>
                </c:pt>
                <c:pt idx="2">
                  <c:v>46.388743750000003</c:v>
                </c:pt>
                <c:pt idx="3">
                  <c:v>47.908843750000003</c:v>
                </c:pt>
                <c:pt idx="4">
                  <c:v>49.562796874999997</c:v>
                </c:pt>
              </c:numCache>
            </c:numRef>
          </c:yVal>
          <c:smooth val="1"/>
          <c:extLst>
            <c:ext xmlns:c16="http://schemas.microsoft.com/office/drawing/2014/chart" uri="{C3380CC4-5D6E-409C-BE32-E72D297353CC}">
              <c16:uniqueId val="{00000000-1804-40D5-995B-A4F7B738616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Graphs!graph_e_y_range_B</c:f>
              <c:numCache>
                <c:formatCode>0.00</c:formatCode>
                <c:ptCount val="5"/>
                <c:pt idx="0">
                  <c:v>43.797281249999997</c:v>
                </c:pt>
                <c:pt idx="1">
                  <c:v>45.145074999999999</c:v>
                </c:pt>
                <c:pt idx="2">
                  <c:v>46.388743750000003</c:v>
                </c:pt>
                <c:pt idx="3">
                  <c:v>47.908843750000003</c:v>
                </c:pt>
                <c:pt idx="4">
                  <c:v>49.562796874999997</c:v>
                </c:pt>
              </c:numCache>
            </c:numRef>
          </c:yVal>
          <c:smooth val="1"/>
          <c:extLst>
            <c:ext xmlns:c16="http://schemas.microsoft.com/office/drawing/2014/chart" uri="{C3380CC4-5D6E-409C-BE32-E72D297353CC}">
              <c16:uniqueId val="{00000001-1804-40D5-995B-A4F7B738616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ALL_master+r130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925-4CBC-81C0-E792F0ED8A1A}"/>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925-4CBC-81C0-E792F0ED8A1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2" sqref="C2:E2"/>
    </sheetView>
  </sheetViews>
  <sheetFormatPr defaultRowHeight="14.4" x14ac:dyDescent="0.3"/>
  <cols>
    <col min="2" max="2" width="16.6640625" style="53" customWidth="1"/>
    <col min="3" max="12" width="24.6640625" style="53" customWidth="1"/>
  </cols>
  <sheetData>
    <row r="1" spans="2:12" x14ac:dyDescent="0.3">
      <c r="B1" t="s">
        <v>0</v>
      </c>
      <c r="C1" s="60" t="s">
        <v>574</v>
      </c>
      <c r="D1" s="61"/>
      <c r="E1" s="61"/>
    </row>
    <row r="2" spans="2:12" x14ac:dyDescent="0.3">
      <c r="B2" t="s">
        <v>1</v>
      </c>
      <c r="C2" s="62"/>
      <c r="D2" s="61"/>
      <c r="E2" s="61"/>
    </row>
    <row r="4" spans="2:12" s="1" customFormat="1" x14ac:dyDescent="0.3">
      <c r="B4" s="1" t="s">
        <v>2</v>
      </c>
    </row>
    <row r="6" spans="2:12" x14ac:dyDescent="0.3">
      <c r="B6" s="63"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4"/>
      <c r="C8" s="2" t="s">
        <v>9</v>
      </c>
      <c r="D8" s="2" t="s">
        <v>10</v>
      </c>
      <c r="E8" s="3" t="s">
        <v>11</v>
      </c>
      <c r="F8" s="3" t="s">
        <v>12</v>
      </c>
      <c r="G8" s="3" t="s">
        <v>13</v>
      </c>
      <c r="H8" s="2" t="s">
        <v>9</v>
      </c>
      <c r="I8" s="2" t="s">
        <v>10</v>
      </c>
      <c r="J8" s="3" t="s">
        <v>11</v>
      </c>
      <c r="K8" s="3" t="s">
        <v>12</v>
      </c>
      <c r="L8" s="3" t="s">
        <v>13</v>
      </c>
    </row>
    <row r="9" spans="2:12" x14ac:dyDescent="0.3">
      <c r="B9" t="s">
        <v>14</v>
      </c>
      <c r="C9" s="52">
        <f>'C2 lossyG,lossyA,intra'!$BJ$40:$BJ$40</f>
        <v>0</v>
      </c>
      <c r="D9" s="52">
        <f>'C2 lossyG,lossyA,intra'!$BK$40:$BK$40</f>
        <v>0</v>
      </c>
      <c r="E9" s="52">
        <f>'C2 lossyG,lossyA,intra'!$BL$40:$BL$40</f>
        <v>0</v>
      </c>
      <c r="F9" s="52">
        <f>'C2 lossyG,lossyA,intra'!$BM$40:$BM$40</f>
        <v>0</v>
      </c>
      <c r="G9" s="52">
        <f>'C2 lossyG,lossyA,intra'!$BN$40:$BN$40</f>
        <v>0</v>
      </c>
      <c r="H9" s="52">
        <f>'C2 lossyG,lossyA,intra'!$BP$40:$BP$40</f>
        <v>0</v>
      </c>
      <c r="I9" s="52">
        <f>'C2 lossyG,lossyA,intra'!$BQ$40:$BQ$40</f>
        <v>0</v>
      </c>
      <c r="J9" s="52">
        <f>'C2 lossyG,lossyA,intra'!$BR$40:$BR$40</f>
        <v>0</v>
      </c>
      <c r="K9" s="52">
        <f>'C2 lossyG,lossyA,intra'!$BS$40:$BS$40</f>
        <v>0</v>
      </c>
      <c r="L9" s="52">
        <f>'C2 lossyG,lossyA,intra'!$BT$40:$BT$40</f>
        <v>0</v>
      </c>
    </row>
    <row r="10" spans="2:12" x14ac:dyDescent="0.3">
      <c r="B10" t="s">
        <v>15</v>
      </c>
      <c r="C10" s="52">
        <f>'C2 lossyG,lossyA,intra'!$BJ$41:$BJ$41</f>
        <v>0</v>
      </c>
      <c r="D10" s="52">
        <f>'C2 lossyG,lossyA,intra'!$BK$41:$BK$41</f>
        <v>0</v>
      </c>
      <c r="E10" s="52">
        <f>'C2 lossyG,lossyA,intra'!$BL$41:$BL$41</f>
        <v>0</v>
      </c>
      <c r="F10" s="52">
        <f>'C2 lossyG,lossyA,intra'!$BM$41:$BM$41</f>
        <v>0</v>
      </c>
      <c r="G10" s="52">
        <f>'C2 lossyG,lossyA,intra'!$BN$41:$BN$41</f>
        <v>0</v>
      </c>
      <c r="H10" s="52">
        <f>'C2 lossyG,lossyA,intra'!$BP$41:$BP$41</f>
        <v>0</v>
      </c>
      <c r="I10" s="52">
        <f>'C2 lossyG,lossyA,intra'!$BQ$41:$BQ$41</f>
        <v>0</v>
      </c>
      <c r="J10" s="52">
        <f>'C2 lossyG,lossyA,intra'!$BR$41:$BR$41</f>
        <v>0</v>
      </c>
      <c r="K10" s="52">
        <f>'C2 lossyG,lossyA,intra'!$BS$41:$BS$41</f>
        <v>0</v>
      </c>
      <c r="L10" s="52">
        <f>'C2 lossyG,lossyA,intra'!$BT$41:$BT$41</f>
        <v>0</v>
      </c>
    </row>
    <row r="11" spans="2:12" x14ac:dyDescent="0.3">
      <c r="B11" t="s">
        <v>16</v>
      </c>
      <c r="C11" s="52">
        <f>'C2 lossyG,lossyA,intra'!$BJ$42:$BJ$42</f>
        <v>0</v>
      </c>
      <c r="D11" s="52">
        <f>'C2 lossyG,lossyA,intra'!$BK$42:$BK$42</f>
        <v>0</v>
      </c>
      <c r="E11" s="52">
        <f>'C2 lossyG,lossyA,intra'!$BL$42:$BL$42</f>
        <v>0</v>
      </c>
      <c r="F11" s="52">
        <f>'C2 lossyG,lossyA,intra'!$BM$42:$BM$42</f>
        <v>0</v>
      </c>
      <c r="G11" s="52">
        <f>'C2 lossyG,lossyA,intra'!$BN$42:$BN$42</f>
        <v>0</v>
      </c>
      <c r="H11" s="52">
        <f>'C2 lossyG,lossyA,intra'!$BP$42:$BP$42</f>
        <v>0</v>
      </c>
      <c r="I11" s="52">
        <f>'C2 lossyG,lossyA,intra'!$BQ$42:$BQ$42</f>
        <v>0</v>
      </c>
      <c r="J11" s="52">
        <f>'C2 lossyG,lossyA,intra'!$BR$42:$BR$42</f>
        <v>0</v>
      </c>
      <c r="K11" s="52">
        <f>'C2 lossyG,lossyA,intra'!$BS$42:$BS$42</f>
        <v>0</v>
      </c>
      <c r="L11" s="52">
        <f>'C2 lossyG,lossyA,intra'!$BT$42:$BT$42</f>
        <v>0</v>
      </c>
    </row>
    <row r="12" spans="2:12" x14ac:dyDescent="0.3">
      <c r="B12" s="4" t="s">
        <v>17</v>
      </c>
      <c r="C12" s="5">
        <f>'C2 lossyG,lossyA,intra'!$BJ$43:$BJ$43</f>
        <v>0</v>
      </c>
      <c r="D12" s="5">
        <f>'C2 lossyG,lossyA,intra'!$BK$43:$BK$43</f>
        <v>0</v>
      </c>
      <c r="E12" s="5">
        <f>'C2 lossyG,lossyA,intra'!$BL$43:$BL$43</f>
        <v>0</v>
      </c>
      <c r="F12" s="5">
        <f>'C2 lossyG,lossyA,intra'!$BM$43:$BM$43</f>
        <v>0</v>
      </c>
      <c r="G12" s="5">
        <f>'C2 lossyG,lossyA,intra'!$BN$43:$BN$43</f>
        <v>0</v>
      </c>
      <c r="H12" s="5">
        <f>'C2 lossyG,lossyA,intra'!$BP$43:$BP$43</f>
        <v>0</v>
      </c>
      <c r="I12" s="5">
        <f>'C2 lossyG,lossyA,intra'!$BQ$43:$BQ$43</f>
        <v>0</v>
      </c>
      <c r="J12" s="5">
        <f>'C2 lossyG,lossyA,intra'!$BR$43:$BR$43</f>
        <v>0</v>
      </c>
      <c r="K12" s="5">
        <f>'C2 lossyG,lossyA,intra'!$BS$43:$BS$43</f>
        <v>0</v>
      </c>
      <c r="L12" s="5">
        <f>'C2 lossyG,lossyA,intra'!$BT$43:$BT$43</f>
        <v>0</v>
      </c>
    </row>
    <row r="13" spans="2:12" x14ac:dyDescent="0.3">
      <c r="B13" t="s">
        <v>18</v>
      </c>
      <c r="C13" s="69">
        <f>'C2 lossyG,lossyA,intra'!AZ47</f>
        <v>1.0107594674216764</v>
      </c>
      <c r="D13" s="61"/>
      <c r="E13" s="61"/>
      <c r="F13" s="61"/>
      <c r="G13" s="61"/>
      <c r="H13" s="61"/>
      <c r="I13" s="61"/>
      <c r="J13" s="61"/>
      <c r="K13" s="61"/>
      <c r="L13" s="61"/>
    </row>
    <row r="14" spans="2:12" x14ac:dyDescent="0.3">
      <c r="B14" s="6" t="s">
        <v>19</v>
      </c>
      <c r="C14" s="70">
        <f>'C2 lossyG,lossyA,intra'!BB47</f>
        <v>1.0145003348646371</v>
      </c>
      <c r="D14" s="64"/>
      <c r="E14" s="64"/>
      <c r="F14" s="64"/>
      <c r="G14" s="64"/>
      <c r="H14" s="64"/>
      <c r="I14" s="64"/>
      <c r="J14" s="64"/>
      <c r="K14" s="64"/>
      <c r="L14" s="64"/>
    </row>
    <row r="16" spans="2:12" x14ac:dyDescent="0.3">
      <c r="B16" s="63" t="s">
        <v>20</v>
      </c>
      <c r="C16" s="65" t="s">
        <v>21</v>
      </c>
      <c r="D16" s="66"/>
      <c r="E16" s="66"/>
    </row>
    <row r="17" spans="2:5" x14ac:dyDescent="0.3">
      <c r="B17" s="61"/>
      <c r="C17" s="67" t="s">
        <v>22</v>
      </c>
      <c r="D17" s="61"/>
      <c r="E17" s="61"/>
    </row>
    <row r="18" spans="2:5" x14ac:dyDescent="0.3">
      <c r="B18" s="64"/>
      <c r="C18" s="2" t="s">
        <v>23</v>
      </c>
      <c r="D18" s="2" t="s">
        <v>24</v>
      </c>
      <c r="E18" s="2" t="s">
        <v>25</v>
      </c>
    </row>
    <row r="19" spans="2:5" x14ac:dyDescent="0.3">
      <c r="B19" t="s">
        <v>14</v>
      </c>
      <c r="C19" s="52" t="e">
        <f>'CW losslG,losslA,intra'!BC12</f>
        <v>#DIV/0!</v>
      </c>
      <c r="D19" s="52" t="e">
        <f>'CW losslG,losslA,intra'!BE12</f>
        <v>#DIV/0!</v>
      </c>
      <c r="E19" s="52" t="e">
        <f>'CW losslG,losslA,intra'!BB12</f>
        <v>#DIV/0!</v>
      </c>
    </row>
    <row r="20" spans="2:5" x14ac:dyDescent="0.3">
      <c r="B20" t="s">
        <v>15</v>
      </c>
      <c r="C20" s="52" t="e">
        <f>'CW losslG,losslA,intra'!BC13</f>
        <v>#DIV/0!</v>
      </c>
      <c r="D20" s="52" t="e">
        <f>'CW losslG,losslA,intra'!BE13</f>
        <v>#DIV/0!</v>
      </c>
      <c r="E20" s="52" t="e">
        <f>'CW losslG,losslA,intra'!BB13</f>
        <v>#DIV/0!</v>
      </c>
    </row>
    <row r="21" spans="2:5" x14ac:dyDescent="0.3">
      <c r="B21" t="s">
        <v>16</v>
      </c>
      <c r="C21" s="52" t="e">
        <f>'CW losslG,losslA,intra'!BC14</f>
        <v>#DIV/0!</v>
      </c>
      <c r="D21" s="52" t="e">
        <f>'CW losslG,losslA,intra'!BE14</f>
        <v>#DIV/0!</v>
      </c>
      <c r="E21" s="52"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69" t="e">
        <f>'CW losslG,losslA,intra'!AW19</f>
        <v>#NUM!</v>
      </c>
      <c r="D23" s="61"/>
      <c r="E23" s="61"/>
    </row>
    <row r="24" spans="2:5" x14ac:dyDescent="0.3">
      <c r="B24" s="6" t="s">
        <v>19</v>
      </c>
      <c r="C24" s="70" t="e">
        <f>'CW losslG,losslA,intra'!AY19</f>
        <v>#NUM!</v>
      </c>
      <c r="D24" s="64"/>
      <c r="E24" s="64"/>
    </row>
    <row r="26" spans="2:5" s="1" customFormat="1" x14ac:dyDescent="0.3">
      <c r="B26" s="1" t="s">
        <v>26</v>
      </c>
    </row>
    <row r="28" spans="2:5" x14ac:dyDescent="0.3">
      <c r="B28" s="63" t="s">
        <v>27</v>
      </c>
      <c r="C28" s="65" t="s">
        <v>28</v>
      </c>
      <c r="D28" s="66"/>
      <c r="E28" s="66"/>
    </row>
    <row r="29" spans="2:5" x14ac:dyDescent="0.3">
      <c r="B29" s="61"/>
      <c r="C29" s="67" t="s">
        <v>22</v>
      </c>
      <c r="D29" s="61"/>
      <c r="E29" s="61"/>
    </row>
    <row r="30" spans="2:5" x14ac:dyDescent="0.3">
      <c r="B30" s="64"/>
      <c r="C30" s="2" t="s">
        <v>23</v>
      </c>
      <c r="D30" s="2" t="s">
        <v>24</v>
      </c>
      <c r="E30" s="2" t="s">
        <v>25</v>
      </c>
    </row>
    <row r="31" spans="2:5" x14ac:dyDescent="0.3">
      <c r="B31" t="s">
        <v>14</v>
      </c>
      <c r="C31" s="52" t="e">
        <f>'CW losslG,losslA,interLD'!BC12</f>
        <v>#DIV/0!</v>
      </c>
      <c r="D31" s="52" t="e">
        <f>'CW losslG,losslA,interLD'!BE12</f>
        <v>#DIV/0!</v>
      </c>
      <c r="E31" s="52" t="e">
        <f>'CW losslG,losslA,interLD'!BB12</f>
        <v>#DIV/0!</v>
      </c>
    </row>
    <row r="32" spans="2:5" x14ac:dyDescent="0.3">
      <c r="B32" t="s">
        <v>15</v>
      </c>
      <c r="C32" s="52" t="e">
        <f>'CW losslG,losslA,interLD'!BC13</f>
        <v>#DIV/0!</v>
      </c>
      <c r="D32" s="52" t="e">
        <f>'CW losslG,losslA,interLD'!BE13</f>
        <v>#DIV/0!</v>
      </c>
      <c r="E32" s="52" t="e">
        <f>'CW losslG,losslA,interLD'!BB13</f>
        <v>#DIV/0!</v>
      </c>
    </row>
    <row r="33" spans="2:12" x14ac:dyDescent="0.3">
      <c r="B33" t="s">
        <v>16</v>
      </c>
      <c r="C33" s="52" t="e">
        <f>'CW losslG,losslA,interLD'!BC14</f>
        <v>#DIV/0!</v>
      </c>
      <c r="D33" s="52" t="e">
        <f>'CW losslG,losslA,interLD'!BE14</f>
        <v>#DIV/0!</v>
      </c>
      <c r="E33" s="52"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69" t="e">
        <f>'CW losslG,losslA,interLD'!AW19</f>
        <v>#NUM!</v>
      </c>
      <c r="D35" s="61"/>
      <c r="E35" s="61"/>
    </row>
    <row r="36" spans="2:12" x14ac:dyDescent="0.3">
      <c r="B36" s="6" t="s">
        <v>19</v>
      </c>
      <c r="C36" s="70" t="e">
        <f>'CW losslG,losslA,interLD'!AY19</f>
        <v>#NUM!</v>
      </c>
      <c r="D36" s="64"/>
      <c r="E36" s="64"/>
    </row>
    <row r="38" spans="2:12" s="1" customFormat="1" x14ac:dyDescent="0.3">
      <c r="B38" s="1" t="s">
        <v>29</v>
      </c>
    </row>
    <row r="40" spans="2:12" x14ac:dyDescent="0.3">
      <c r="B40" s="63"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4"/>
      <c r="C42" s="2" t="s">
        <v>9</v>
      </c>
      <c r="D42" s="2" t="s">
        <v>10</v>
      </c>
      <c r="E42" s="3" t="s">
        <v>11</v>
      </c>
      <c r="F42" s="3" t="s">
        <v>12</v>
      </c>
      <c r="G42" s="3" t="s">
        <v>13</v>
      </c>
      <c r="H42" s="2" t="s">
        <v>9</v>
      </c>
      <c r="I42" s="2" t="s">
        <v>10</v>
      </c>
      <c r="J42" s="3" t="s">
        <v>11</v>
      </c>
      <c r="K42" s="3" t="s">
        <v>12</v>
      </c>
      <c r="L42" s="3" t="s">
        <v>13</v>
      </c>
    </row>
    <row r="43" spans="2:12" x14ac:dyDescent="0.3">
      <c r="B43" t="s">
        <v>14</v>
      </c>
      <c r="C43" s="52">
        <f>'C2 lossyG,lossyA,interRA'!$BJ$40:$BJ$40</f>
        <v>0</v>
      </c>
      <c r="D43" s="52">
        <f>'C2 lossyG,lossyA,interRA'!$BK$40:$BK$40</f>
        <v>0</v>
      </c>
      <c r="E43" s="52">
        <f>'C2 lossyG,lossyA,interRA'!$BL$40:$BL$40</f>
        <v>0</v>
      </c>
      <c r="F43" s="52">
        <f>'C2 lossyG,lossyA,interRA'!$BM$40:$BM$40</f>
        <v>0</v>
      </c>
      <c r="G43" s="52">
        <f>'C2 lossyG,lossyA,interRA'!$BN$40:$BN$40</f>
        <v>0</v>
      </c>
      <c r="H43" s="52">
        <f>'C2 lossyG,lossyA,interRA'!$BP$40:$BP$40</f>
        <v>0</v>
      </c>
      <c r="I43" s="52">
        <f>'C2 lossyG,lossyA,interRA'!$BQ$40:$BQ$40</f>
        <v>0</v>
      </c>
      <c r="J43" s="52">
        <f>'C2 lossyG,lossyA,interRA'!$BR$40:$BR$40</f>
        <v>0</v>
      </c>
      <c r="K43" s="52">
        <f>'C2 lossyG,lossyA,interRA'!$BS$40:$BS$40</f>
        <v>0</v>
      </c>
      <c r="L43" s="52">
        <f>'C2 lossyG,lossyA,interRA'!$BT$40:$BT$40</f>
        <v>0</v>
      </c>
    </row>
    <row r="44" spans="2:12" x14ac:dyDescent="0.3">
      <c r="B44" t="s">
        <v>15</v>
      </c>
      <c r="C44" s="52">
        <f>'C2 lossyG,lossyA,interRA'!$BJ$41:$BJ$41</f>
        <v>0</v>
      </c>
      <c r="D44" s="52">
        <f>'C2 lossyG,lossyA,interRA'!$BK$41:$BK$41</f>
        <v>0</v>
      </c>
      <c r="E44" s="52">
        <f>'C2 lossyG,lossyA,interRA'!$BL$41:$BL$41</f>
        <v>0</v>
      </c>
      <c r="F44" s="52">
        <f>'C2 lossyG,lossyA,interRA'!$BM$41:$BM$41</f>
        <v>0</v>
      </c>
      <c r="G44" s="52">
        <f>'C2 lossyG,lossyA,interRA'!$BN$41:$BN$41</f>
        <v>0</v>
      </c>
      <c r="H44" s="52">
        <f>'C2 lossyG,lossyA,interRA'!$BP$41:$BP$41</f>
        <v>0</v>
      </c>
      <c r="I44" s="52">
        <f>'C2 lossyG,lossyA,interRA'!$BQ$41:$BQ$41</f>
        <v>0</v>
      </c>
      <c r="J44" s="52">
        <f>'C2 lossyG,lossyA,interRA'!$BR$41:$BR$41</f>
        <v>0</v>
      </c>
      <c r="K44" s="52">
        <f>'C2 lossyG,lossyA,interRA'!$BS$41:$BS$41</f>
        <v>0</v>
      </c>
      <c r="L44" s="52">
        <f>'C2 lossyG,lossyA,interRA'!$BT$41:$BT$41</f>
        <v>0</v>
      </c>
    </row>
    <row r="45" spans="2:12" x14ac:dyDescent="0.3">
      <c r="B45" t="s">
        <v>16</v>
      </c>
      <c r="C45" s="52">
        <f>'C2 lossyG,lossyA,interRA'!$BJ$42:$BJ$42</f>
        <v>0</v>
      </c>
      <c r="D45" s="52">
        <f>'C2 lossyG,lossyA,interRA'!$BK$42:$BK$42</f>
        <v>0</v>
      </c>
      <c r="E45" s="52">
        <f>'C2 lossyG,lossyA,interRA'!$BL$42:$BL$42</f>
        <v>0</v>
      </c>
      <c r="F45" s="52">
        <f>'C2 lossyG,lossyA,interRA'!$BM$42:$BM$42</f>
        <v>0</v>
      </c>
      <c r="G45" s="52">
        <f>'C2 lossyG,lossyA,interRA'!$BN$42:$BN$42</f>
        <v>0</v>
      </c>
      <c r="H45" s="52">
        <f>'C2 lossyG,lossyA,interRA'!$BP$42:$BP$42</f>
        <v>0</v>
      </c>
      <c r="I45" s="52">
        <f>'C2 lossyG,lossyA,interRA'!$BQ$42:$BQ$42</f>
        <v>0</v>
      </c>
      <c r="J45" s="52">
        <f>'C2 lossyG,lossyA,interRA'!$BR$42:$BR$42</f>
        <v>0</v>
      </c>
      <c r="K45" s="52">
        <f>'C2 lossyG,lossyA,interRA'!$BS$42:$BS$42</f>
        <v>0</v>
      </c>
      <c r="L45" s="52">
        <f>'C2 lossyG,lossyA,interRA'!$BT$42:$BT$42</f>
        <v>0</v>
      </c>
    </row>
    <row r="46" spans="2:12" x14ac:dyDescent="0.3">
      <c r="B46" s="4" t="s">
        <v>17</v>
      </c>
      <c r="C46" s="5">
        <f>'C2 lossyG,lossyA,interRA'!$BJ$43:$BJ$43</f>
        <v>0</v>
      </c>
      <c r="D46" s="5">
        <f>'C2 lossyG,lossyA,interRA'!$BK$43:$BK$43</f>
        <v>0</v>
      </c>
      <c r="E46" s="5">
        <f>'C2 lossyG,lossyA,interRA'!$BL$43:$BL$43</f>
        <v>0</v>
      </c>
      <c r="F46" s="5">
        <f>'C2 lossyG,lossyA,interRA'!$BM$43:$BM$43</f>
        <v>0</v>
      </c>
      <c r="G46" s="5">
        <f>'C2 lossyG,lossyA,interRA'!$BN$43:$BN$43</f>
        <v>0</v>
      </c>
      <c r="H46" s="5">
        <f>'C2 lossyG,lossyA,interRA'!$BP$43:$BP$43</f>
        <v>0</v>
      </c>
      <c r="I46" s="5">
        <f>'C2 lossyG,lossyA,interRA'!$BQ$43:$BQ$43</f>
        <v>0</v>
      </c>
      <c r="J46" s="5">
        <f>'C2 lossyG,lossyA,interRA'!$BR$43:$BR$43</f>
        <v>0</v>
      </c>
      <c r="K46" s="5">
        <f>'C2 lossyG,lossyA,interRA'!$BS$43:$BS$43</f>
        <v>0</v>
      </c>
      <c r="L46" s="5">
        <f>'C2 lossyG,lossyA,interRA'!$BT$43:$BT$43</f>
        <v>0</v>
      </c>
    </row>
    <row r="47" spans="2:12" x14ac:dyDescent="0.3">
      <c r="B47" t="s">
        <v>18</v>
      </c>
      <c r="C47" s="69">
        <f>'C2 lossyG,lossyA,interRA'!AZ47</f>
        <v>1.0032505447271944</v>
      </c>
      <c r="D47" s="61"/>
      <c r="E47" s="61"/>
      <c r="F47" s="61"/>
      <c r="G47" s="61"/>
      <c r="H47" s="61"/>
      <c r="I47" s="61"/>
      <c r="J47" s="61"/>
      <c r="K47" s="61"/>
      <c r="L47" s="61"/>
    </row>
    <row r="48" spans="2:12" x14ac:dyDescent="0.3">
      <c r="B48" s="6" t="s">
        <v>19</v>
      </c>
      <c r="C48" s="70">
        <f>'C2 lossyG,lossyA,interRA'!BB47</f>
        <v>1.0205129803862443</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tabSelected="1" zoomScale="55" zoomScaleNormal="55" workbookViewId="0">
      <pane xSplit="2" ySplit="4" topLeftCell="AM5" activePane="bottomRight" state="frozen"/>
      <selection pane="topRight" activeCell="C1" sqref="C1"/>
      <selection pane="bottomLeft" activeCell="A5" sqref="A5"/>
      <selection pane="bottomRight" activeCell="AN5" sqref="AN5:BD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5" t="s">
        <v>136</v>
      </c>
      <c r="B1" s="61"/>
      <c r="C1" s="61"/>
      <c r="D1" s="61"/>
      <c r="E1" s="61"/>
      <c r="F1" s="61"/>
      <c r="G1" s="61"/>
      <c r="I1" s="60" t="str">
        <f>Summary!$C$1</f>
        <v>ALL_master+r130</v>
      </c>
      <c r="J1" s="61"/>
      <c r="K1" s="61"/>
      <c r="L1" s="61"/>
      <c r="M1" s="61"/>
      <c r="N1" s="61"/>
      <c r="O1" s="61"/>
      <c r="P1" s="61"/>
      <c r="Q1" s="61"/>
      <c r="R1" s="61"/>
      <c r="S1" s="61"/>
      <c r="T1" s="61"/>
      <c r="U1" s="61"/>
      <c r="V1" s="61"/>
      <c r="W1" s="61"/>
      <c r="X1" s="61"/>
      <c r="Y1" s="61"/>
      <c r="Z1" s="61"/>
      <c r="AA1" s="61"/>
      <c r="AB1" s="61"/>
      <c r="AC1" s="61"/>
      <c r="AD1" s="61"/>
      <c r="AE1" s="61"/>
      <c r="AG1" s="62">
        <f>Summary!$C$2</f>
        <v>0</v>
      </c>
      <c r="AH1" s="61"/>
      <c r="AI1" s="61"/>
      <c r="AJ1" s="61"/>
      <c r="AK1" s="61"/>
      <c r="AL1" s="61"/>
      <c r="AM1" s="61"/>
      <c r="AN1" s="61"/>
      <c r="AO1" s="61"/>
      <c r="AP1" s="61"/>
      <c r="AQ1" s="61"/>
      <c r="AR1" s="61"/>
      <c r="AS1" s="61"/>
      <c r="AT1" s="61"/>
      <c r="AU1" s="61"/>
      <c r="AV1" s="61"/>
      <c r="AW1" s="61"/>
      <c r="AX1" s="61"/>
      <c r="AY1" s="61"/>
      <c r="AZ1" s="61"/>
      <c r="BA1" s="61"/>
      <c r="BB1" s="61"/>
      <c r="BC1" s="61"/>
    </row>
    <row r="2" spans="1:72" ht="30" customHeight="1" x14ac:dyDescent="0.3">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row>
    <row r="3" spans="1:72" x14ac:dyDescent="0.3">
      <c r="A3" s="64"/>
      <c r="B3" s="64"/>
      <c r="C3" s="64"/>
      <c r="D3" s="64"/>
      <c r="E3" s="64"/>
      <c r="F3" s="64"/>
      <c r="G3" s="64"/>
      <c r="I3" s="64"/>
      <c r="J3" s="56" t="s">
        <v>25</v>
      </c>
      <c r="K3" s="56" t="s">
        <v>23</v>
      </c>
      <c r="L3" s="56" t="s">
        <v>157</v>
      </c>
      <c r="M3" s="56" t="s">
        <v>158</v>
      </c>
      <c r="N3" s="64"/>
      <c r="O3" s="64"/>
      <c r="P3" s="64"/>
      <c r="Q3" s="64"/>
      <c r="R3" s="64"/>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4"/>
      <c r="AH3" s="57" t="s">
        <v>25</v>
      </c>
      <c r="AI3" s="57" t="s">
        <v>23</v>
      </c>
      <c r="AJ3" s="57" t="s">
        <v>157</v>
      </c>
      <c r="AK3" s="57" t="s">
        <v>158</v>
      </c>
      <c r="AL3" s="64"/>
      <c r="AM3" s="64"/>
      <c r="AN3" s="64"/>
      <c r="AO3" s="64"/>
      <c r="AP3" s="64"/>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4"/>
      <c r="BF3" s="64"/>
      <c r="BG3" s="64"/>
      <c r="BH3" s="64"/>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2.1715575</v>
      </c>
      <c r="J5" s="12">
        <f t="shared" ref="J5:J39" si="1">IF(ISBLANK(S5),"·",S5/D5)</f>
        <v>9.7264879399327122E-3</v>
      </c>
      <c r="K5" s="12">
        <f t="shared" ref="K5:K39" si="2">IF(N5="","·",N5/D5)</f>
        <v>6.1708598388963195E-3</v>
      </c>
      <c r="L5" s="12">
        <f t="shared" ref="L5:L39" si="3">IF(T5="","·",T5/D5)</f>
        <v>3.5270742356116581E-3</v>
      </c>
      <c r="M5" s="12">
        <f t="shared" ref="M5:M39" si="4">IF(ISBLANK(V5),"·",V5/D5)</f>
        <v>3.5556281010363914E-3</v>
      </c>
      <c r="N5" s="54">
        <f t="shared" ref="N5:N39" si="5">IF(OR(ISBLANK(T5),ISBLANK(U5)),"",T5+U5)</f>
        <v>1469568</v>
      </c>
      <c r="O5" s="12">
        <v>16</v>
      </c>
      <c r="P5" s="13">
        <v>37882688</v>
      </c>
      <c r="Q5" s="13">
        <v>1183834</v>
      </c>
      <c r="R5" s="13">
        <v>510522.9375</v>
      </c>
      <c r="S5" s="14">
        <v>2316328</v>
      </c>
      <c r="T5" s="14">
        <v>839960</v>
      </c>
      <c r="U5" s="14">
        <v>629608</v>
      </c>
      <c r="V5" s="14">
        <v>846760</v>
      </c>
      <c r="W5" s="15">
        <v>66.319749999999999</v>
      </c>
      <c r="X5" s="15">
        <v>67.862046875000004</v>
      </c>
      <c r="Y5" s="15">
        <v>32.082587500000002</v>
      </c>
      <c r="Z5" s="15">
        <v>44.119087499999999</v>
      </c>
      <c r="AA5" s="15">
        <v>43.797281249999997</v>
      </c>
      <c r="AB5" s="16">
        <v>2147.79</v>
      </c>
      <c r="AC5" s="16">
        <v>0</v>
      </c>
      <c r="AD5" s="16">
        <v>65.846999999999994</v>
      </c>
      <c r="AE5" s="16">
        <v>0</v>
      </c>
      <c r="AF5" s="58">
        <v>0</v>
      </c>
      <c r="AG5" s="11">
        <f t="shared" ref="AG5:AG39" si="6">IF(OR(ISBLANK(AQ5),ISBLANK(G5)),"·",AQ5*G5/F5/1000000)</f>
        <v>2.1715575</v>
      </c>
      <c r="AH5" s="12">
        <f t="shared" ref="AH5:AH39" si="7">IF(ISBLANK(AQ5),"·",AQ5/D5)</f>
        <v>9.7264879399327122E-3</v>
      </c>
      <c r="AI5" s="12">
        <f t="shared" ref="AI5:AI39" si="8">IF(AL5="","·",AL5/D5)</f>
        <v>6.1708598388963195E-3</v>
      </c>
      <c r="AJ5" s="12">
        <f t="shared" ref="AJ5:AJ39" si="9">IF(AR5="","·",AR5/D5)</f>
        <v>3.5270742356116581E-3</v>
      </c>
      <c r="AK5" s="12">
        <f t="shared" ref="AK5:AK39" si="10">IF(ISBLANK(AT5),"·",AT5/D5)</f>
        <v>3.5556281010363914E-3</v>
      </c>
      <c r="AL5" s="54">
        <f t="shared" ref="AL5:AL39" si="11">IF(OR(ISBLANK(AR5),ISBLANK(AS5)),"",AR5+AS5)</f>
        <v>1469568</v>
      </c>
      <c r="AM5" s="12">
        <v>-12</v>
      </c>
      <c r="AN5" s="13">
        <v>37882688</v>
      </c>
      <c r="AO5" s="13">
        <v>1183834</v>
      </c>
      <c r="AP5" s="13">
        <v>510522.9375</v>
      </c>
      <c r="AQ5" s="14">
        <v>2316328</v>
      </c>
      <c r="AR5" s="14">
        <v>839960</v>
      </c>
      <c r="AS5" s="14">
        <v>629608</v>
      </c>
      <c r="AT5" s="14">
        <v>846760</v>
      </c>
      <c r="AU5" s="15">
        <v>66.319749999999999</v>
      </c>
      <c r="AV5" s="15">
        <v>67.862046875000004</v>
      </c>
      <c r="AW5" s="15">
        <v>32.082587500000002</v>
      </c>
      <c r="AX5" s="15">
        <v>44.119087499999999</v>
      </c>
      <c r="AY5" s="15">
        <v>43.797281249999997</v>
      </c>
      <c r="AZ5" s="16">
        <v>2165.11</v>
      </c>
      <c r="BA5" s="16">
        <v>0</v>
      </c>
      <c r="BB5" s="16">
        <v>66.468000000000004</v>
      </c>
      <c r="BC5" s="16">
        <v>0</v>
      </c>
      <c r="BD5" s="59">
        <v>0</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0</v>
      </c>
      <c r="BM5" s="51">
        <f>IF( OR(ISBLANK(V5:V9),ISBLANK(AT5:AT9), ISBLANK(Z5:Z9),ISBLANK(AX5:AX9)), "·", bdRateExtend( V5:V9,Z5:Z9, AT5:AT9,AX5:AX9))</f>
        <v>0</v>
      </c>
      <c r="BN5" s="51">
        <f>IF( OR(ISBLANK(V5:V9),ISBLANK(AT5:AT9), ISBLANK(AA5:AA9),ISBLANK(AY5:AY9)), "·", bdRateExtend( V5:V9,AA5:AA9, AT5:AT9,AY5:AY9))</f>
        <v>0</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0</v>
      </c>
      <c r="BS5" s="51">
        <f>IF( OR(ISBLANK(S5:S9),ISBLANK(AQ5:AQ9), ISBLANK(Z5:Z9),ISBLANK(AX5:AX9)), "·", bdRateExtend( S5:S9,Z5:Z9, AQ5:AQ9,AX5:AX9))</f>
        <v>0</v>
      </c>
      <c r="BT5" s="51">
        <f>IF( OR(ISBLANK(S5:S9),ISBLANK(AQ5:AQ9), ISBLANK(AA5:AA9),ISBLANK(AY5:AY9)), "·", bdRateExtend( S5:S9,AA5:AA9, AQ5:AQ9,AY5:AY9))</f>
        <v>0</v>
      </c>
    </row>
    <row r="6" spans="1:72" outlineLevel="1" x14ac:dyDescent="0.3">
      <c r="A6" s="18"/>
      <c r="B6" s="18" t="s">
        <v>49</v>
      </c>
      <c r="C6" s="19" t="s">
        <v>231</v>
      </c>
      <c r="D6" s="18">
        <v>238146391</v>
      </c>
      <c r="E6" s="19">
        <v>10</v>
      </c>
      <c r="F6" s="19">
        <v>32</v>
      </c>
      <c r="G6" s="19">
        <v>30</v>
      </c>
      <c r="I6" s="20">
        <f t="shared" si="0"/>
        <v>3.3770175</v>
      </c>
      <c r="J6" s="21">
        <f t="shared" si="1"/>
        <v>1.5125788742269875E-2</v>
      </c>
      <c r="K6" s="21">
        <f t="shared" si="2"/>
        <v>7.520046776606411E-3</v>
      </c>
      <c r="L6" s="21">
        <f t="shared" si="3"/>
        <v>4.8762611733217491E-3</v>
      </c>
      <c r="M6" s="21">
        <f t="shared" si="4"/>
        <v>7.6057419656634642E-3</v>
      </c>
      <c r="N6" s="18">
        <f t="shared" si="5"/>
        <v>1790872</v>
      </c>
      <c r="O6" s="21">
        <v>16</v>
      </c>
      <c r="P6" s="22">
        <v>37882688</v>
      </c>
      <c r="Q6" s="22">
        <v>1183834</v>
      </c>
      <c r="R6" s="22">
        <v>439313.28125</v>
      </c>
      <c r="S6" s="23">
        <v>3602152</v>
      </c>
      <c r="T6" s="23">
        <v>1161264</v>
      </c>
      <c r="U6" s="23">
        <v>629608</v>
      </c>
      <c r="V6" s="23">
        <v>1811280</v>
      </c>
      <c r="W6" s="24">
        <v>67.857106250000001</v>
      </c>
      <c r="X6" s="24">
        <v>69.591706250000001</v>
      </c>
      <c r="Y6" s="24">
        <v>34.3171125</v>
      </c>
      <c r="Z6" s="24">
        <v>45.440356250000001</v>
      </c>
      <c r="AA6" s="24">
        <v>45.145074999999999</v>
      </c>
      <c r="AB6" s="25">
        <v>2242.96</v>
      </c>
      <c r="AC6" s="25">
        <v>0</v>
      </c>
      <c r="AD6" s="25">
        <v>70.244</v>
      </c>
      <c r="AE6" s="25">
        <v>0</v>
      </c>
      <c r="AF6" s="58">
        <v>0</v>
      </c>
      <c r="AG6" s="20">
        <f t="shared" si="6"/>
        <v>3.3770175</v>
      </c>
      <c r="AH6" s="21">
        <f t="shared" si="7"/>
        <v>1.5125788742269875E-2</v>
      </c>
      <c r="AI6" s="21">
        <f t="shared" si="8"/>
        <v>7.520046776606411E-3</v>
      </c>
      <c r="AJ6" s="21">
        <f t="shared" si="9"/>
        <v>4.8762611733217491E-3</v>
      </c>
      <c r="AK6" s="21">
        <f t="shared" si="10"/>
        <v>7.6057419656634642E-3</v>
      </c>
      <c r="AL6" s="18">
        <f t="shared" si="11"/>
        <v>1790872</v>
      </c>
      <c r="AM6" s="21">
        <v>-12</v>
      </c>
      <c r="AN6" s="22">
        <v>37882688</v>
      </c>
      <c r="AO6" s="22">
        <v>1183834</v>
      </c>
      <c r="AP6" s="22">
        <v>439313.28125</v>
      </c>
      <c r="AQ6" s="23">
        <v>3602152</v>
      </c>
      <c r="AR6" s="23">
        <v>1161264</v>
      </c>
      <c r="AS6" s="23">
        <v>629608</v>
      </c>
      <c r="AT6" s="23">
        <v>1811280</v>
      </c>
      <c r="AU6" s="24">
        <v>67.857106250000001</v>
      </c>
      <c r="AV6" s="24">
        <v>69.591706250000001</v>
      </c>
      <c r="AW6" s="24">
        <v>34.3171125</v>
      </c>
      <c r="AX6" s="24">
        <v>45.440356250000001</v>
      </c>
      <c r="AY6" s="24">
        <v>45.145074999999999</v>
      </c>
      <c r="AZ6" s="25">
        <v>2254.02</v>
      </c>
      <c r="BA6" s="25">
        <v>0</v>
      </c>
      <c r="BB6" s="25">
        <v>68.492999999999995</v>
      </c>
      <c r="BC6" s="25">
        <v>0</v>
      </c>
      <c r="BD6" s="59">
        <v>0</v>
      </c>
      <c r="BE6" s="50">
        <f t="shared" si="12"/>
        <v>1</v>
      </c>
      <c r="BF6" s="26">
        <f t="shared" si="13"/>
        <v>0</v>
      </c>
      <c r="BG6" s="26">
        <f t="shared" si="14"/>
        <v>0</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5.5422599999999997</v>
      </c>
      <c r="J7" s="12">
        <f t="shared" si="1"/>
        <v>2.4823991559040675E-2</v>
      </c>
      <c r="K7" s="12">
        <f t="shared" si="2"/>
        <v>9.4645650120307716E-3</v>
      </c>
      <c r="L7" s="12">
        <f t="shared" si="3"/>
        <v>6.8207794087461106E-3</v>
      </c>
      <c r="M7" s="12">
        <f t="shared" si="4"/>
        <v>1.5359426547009902E-2</v>
      </c>
      <c r="N7" s="54">
        <f t="shared" si="5"/>
        <v>2253952</v>
      </c>
      <c r="O7" s="12">
        <v>16</v>
      </c>
      <c r="P7" s="13">
        <v>37882688</v>
      </c>
      <c r="Q7" s="13">
        <v>1183834</v>
      </c>
      <c r="R7" s="13">
        <v>420609.9375</v>
      </c>
      <c r="S7" s="14">
        <v>5911744</v>
      </c>
      <c r="T7" s="14">
        <v>1624344</v>
      </c>
      <c r="U7" s="14">
        <v>629608</v>
      </c>
      <c r="V7" s="14">
        <v>3657792</v>
      </c>
      <c r="W7" s="15">
        <v>69.135781249999994</v>
      </c>
      <c r="X7" s="15">
        <v>71.143009375000005</v>
      </c>
      <c r="Y7" s="15">
        <v>36.857534375</v>
      </c>
      <c r="Z7" s="15">
        <v>46.547699999999999</v>
      </c>
      <c r="AA7" s="15">
        <v>46.388743750000003</v>
      </c>
      <c r="AB7" s="16">
        <v>2310.2800000000002</v>
      </c>
      <c r="AC7" s="16">
        <v>0</v>
      </c>
      <c r="AD7" s="16">
        <v>70.739000000000004</v>
      </c>
      <c r="AE7" s="16">
        <v>0</v>
      </c>
      <c r="AF7" s="58">
        <v>0</v>
      </c>
      <c r="AG7" s="11">
        <f t="shared" si="6"/>
        <v>5.5422599999999997</v>
      </c>
      <c r="AH7" s="12">
        <f t="shared" si="7"/>
        <v>2.4823991559040675E-2</v>
      </c>
      <c r="AI7" s="12">
        <f t="shared" si="8"/>
        <v>9.4645650120307716E-3</v>
      </c>
      <c r="AJ7" s="12">
        <f t="shared" si="9"/>
        <v>6.8207794087461106E-3</v>
      </c>
      <c r="AK7" s="12">
        <f t="shared" si="10"/>
        <v>1.5359426547009902E-2</v>
      </c>
      <c r="AL7" s="54">
        <f t="shared" si="11"/>
        <v>2253952</v>
      </c>
      <c r="AM7" s="12">
        <v>-12</v>
      </c>
      <c r="AN7" s="13">
        <v>37882688</v>
      </c>
      <c r="AO7" s="13">
        <v>1183834</v>
      </c>
      <c r="AP7" s="13">
        <v>420609.9375</v>
      </c>
      <c r="AQ7" s="14">
        <v>5911744</v>
      </c>
      <c r="AR7" s="14">
        <v>1624344</v>
      </c>
      <c r="AS7" s="14">
        <v>629608</v>
      </c>
      <c r="AT7" s="14">
        <v>3657792</v>
      </c>
      <c r="AU7" s="15">
        <v>69.135781249999994</v>
      </c>
      <c r="AV7" s="15">
        <v>71.143009375000005</v>
      </c>
      <c r="AW7" s="15">
        <v>36.857534375</v>
      </c>
      <c r="AX7" s="15">
        <v>46.547699999999999</v>
      </c>
      <c r="AY7" s="15">
        <v>46.388743750000003</v>
      </c>
      <c r="AZ7" s="16">
        <v>2267.98</v>
      </c>
      <c r="BA7" s="16">
        <v>0</v>
      </c>
      <c r="BB7" s="16">
        <v>69.456999999999994</v>
      </c>
      <c r="BC7" s="16">
        <v>0</v>
      </c>
      <c r="BD7" s="59">
        <v>0</v>
      </c>
      <c r="BE7" s="51">
        <f t="shared" si="12"/>
        <v>1</v>
      </c>
      <c r="BF7" s="17">
        <f t="shared" si="13"/>
        <v>0</v>
      </c>
      <c r="BG7" s="17">
        <f t="shared" si="14"/>
        <v>0</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9.4057049999999993</v>
      </c>
      <c r="J8" s="21">
        <f t="shared" si="1"/>
        <v>4.2128507418783434E-2</v>
      </c>
      <c r="K8" s="21">
        <f t="shared" si="2"/>
        <v>1.2729279613563406E-2</v>
      </c>
      <c r="L8" s="21">
        <f t="shared" si="3"/>
        <v>1.0085494010278745E-2</v>
      </c>
      <c r="M8" s="21">
        <f t="shared" si="4"/>
        <v>2.9399227805220026E-2</v>
      </c>
      <c r="N8" s="18">
        <f t="shared" si="5"/>
        <v>3031432</v>
      </c>
      <c r="O8" s="21">
        <v>16</v>
      </c>
      <c r="P8" s="22">
        <v>37882688</v>
      </c>
      <c r="Q8" s="22">
        <v>1183834</v>
      </c>
      <c r="R8" s="22">
        <v>391154.59375</v>
      </c>
      <c r="S8" s="23">
        <v>10032752</v>
      </c>
      <c r="T8" s="23">
        <v>2401824</v>
      </c>
      <c r="U8" s="23">
        <v>629608</v>
      </c>
      <c r="V8" s="23">
        <v>7001320</v>
      </c>
      <c r="W8" s="24">
        <v>69.983175000000003</v>
      </c>
      <c r="X8" s="24">
        <v>72.145768750000002</v>
      </c>
      <c r="Y8" s="24">
        <v>39.507840625</v>
      </c>
      <c r="Z8" s="24">
        <v>47.880112500000003</v>
      </c>
      <c r="AA8" s="24">
        <v>47.908843750000003</v>
      </c>
      <c r="AB8" s="25">
        <v>2424.3000000000002</v>
      </c>
      <c r="AC8" s="25">
        <v>0</v>
      </c>
      <c r="AD8" s="25">
        <v>71.433999999999997</v>
      </c>
      <c r="AE8" s="25">
        <v>0</v>
      </c>
      <c r="AF8" s="58">
        <v>0</v>
      </c>
      <c r="AG8" s="20">
        <f t="shared" si="6"/>
        <v>9.4057049999999993</v>
      </c>
      <c r="AH8" s="21">
        <f t="shared" si="7"/>
        <v>4.2128507418783434E-2</v>
      </c>
      <c r="AI8" s="21">
        <f t="shared" si="8"/>
        <v>1.2729279613563406E-2</v>
      </c>
      <c r="AJ8" s="21">
        <f t="shared" si="9"/>
        <v>1.0085494010278745E-2</v>
      </c>
      <c r="AK8" s="21">
        <f t="shared" si="10"/>
        <v>2.9399227805220026E-2</v>
      </c>
      <c r="AL8" s="18">
        <f t="shared" si="11"/>
        <v>3031432</v>
      </c>
      <c r="AM8" s="21">
        <v>-12</v>
      </c>
      <c r="AN8" s="22">
        <v>37882688</v>
      </c>
      <c r="AO8" s="22">
        <v>1183834</v>
      </c>
      <c r="AP8" s="22">
        <v>391154.59375</v>
      </c>
      <c r="AQ8" s="23">
        <v>10032752</v>
      </c>
      <c r="AR8" s="23">
        <v>2401824</v>
      </c>
      <c r="AS8" s="23">
        <v>629608</v>
      </c>
      <c r="AT8" s="23">
        <v>7001320</v>
      </c>
      <c r="AU8" s="24">
        <v>69.983175000000003</v>
      </c>
      <c r="AV8" s="24">
        <v>72.145768750000002</v>
      </c>
      <c r="AW8" s="24">
        <v>39.507840625</v>
      </c>
      <c r="AX8" s="24">
        <v>47.880112500000003</v>
      </c>
      <c r="AY8" s="24">
        <v>47.908843750000003</v>
      </c>
      <c r="AZ8" s="25">
        <v>2438.33</v>
      </c>
      <c r="BA8" s="25">
        <v>0</v>
      </c>
      <c r="BB8" s="25">
        <v>71.141999999999996</v>
      </c>
      <c r="BC8" s="25">
        <v>0</v>
      </c>
      <c r="BD8" s="59">
        <v>0</v>
      </c>
      <c r="BE8" s="50">
        <f t="shared" si="12"/>
        <v>1</v>
      </c>
      <c r="BF8" s="26">
        <f t="shared" si="13"/>
        <v>0</v>
      </c>
      <c r="BG8" s="26">
        <f t="shared" si="14"/>
        <v>0</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16.806899999999999</v>
      </c>
      <c r="J9" s="30">
        <f t="shared" si="1"/>
        <v>7.5278738950110738E-2</v>
      </c>
      <c r="K9" s="30">
        <f t="shared" si="2"/>
        <v>2.0657949000789183E-2</v>
      </c>
      <c r="L9" s="30">
        <f t="shared" si="3"/>
        <v>1.5548050022727408E-2</v>
      </c>
      <c r="M9" s="30">
        <f t="shared" si="4"/>
        <v>5.4620789949321548E-2</v>
      </c>
      <c r="N9" s="27">
        <f t="shared" si="5"/>
        <v>4919616</v>
      </c>
      <c r="O9" s="30">
        <v>16</v>
      </c>
      <c r="P9" s="31">
        <v>36276640</v>
      </c>
      <c r="Q9" s="31">
        <v>1133645</v>
      </c>
      <c r="R9" s="31">
        <v>364351.90625</v>
      </c>
      <c r="S9" s="32">
        <v>17927360</v>
      </c>
      <c r="T9" s="32">
        <v>3702712</v>
      </c>
      <c r="U9" s="32">
        <v>1216904</v>
      </c>
      <c r="V9" s="32">
        <v>13007744</v>
      </c>
      <c r="W9" s="33">
        <v>72.049068750000004</v>
      </c>
      <c r="X9" s="33">
        <v>75.365546875000007</v>
      </c>
      <c r="Y9" s="33">
        <v>42.193762499999998</v>
      </c>
      <c r="Z9" s="33">
        <v>49.417203125</v>
      </c>
      <c r="AA9" s="33">
        <v>49.562796874999997</v>
      </c>
      <c r="AB9" s="34">
        <v>2496.89</v>
      </c>
      <c r="AC9" s="34">
        <v>0</v>
      </c>
      <c r="AD9" s="34">
        <v>71.89</v>
      </c>
      <c r="AE9" s="34">
        <v>0</v>
      </c>
      <c r="AF9" s="58">
        <v>0</v>
      </c>
      <c r="AG9" s="29">
        <f t="shared" si="6"/>
        <v>16.806899999999999</v>
      </c>
      <c r="AH9" s="30">
        <f t="shared" si="7"/>
        <v>7.5278738950110738E-2</v>
      </c>
      <c r="AI9" s="30">
        <f t="shared" si="8"/>
        <v>2.0657949000789183E-2</v>
      </c>
      <c r="AJ9" s="30">
        <f t="shared" si="9"/>
        <v>1.5548050022727408E-2</v>
      </c>
      <c r="AK9" s="30">
        <f t="shared" si="10"/>
        <v>5.4620789949321548E-2</v>
      </c>
      <c r="AL9" s="27">
        <f t="shared" si="11"/>
        <v>4919616</v>
      </c>
      <c r="AM9" s="30">
        <v>-12</v>
      </c>
      <c r="AN9" s="31">
        <v>36276640</v>
      </c>
      <c r="AO9" s="31">
        <v>1133645</v>
      </c>
      <c r="AP9" s="31">
        <v>364351.90625</v>
      </c>
      <c r="AQ9" s="32">
        <v>17927360</v>
      </c>
      <c r="AR9" s="32">
        <v>3702712</v>
      </c>
      <c r="AS9" s="32">
        <v>1216904</v>
      </c>
      <c r="AT9" s="32">
        <v>13007744</v>
      </c>
      <c r="AU9" s="33">
        <v>72.049068750000004</v>
      </c>
      <c r="AV9" s="33">
        <v>75.365546875000007</v>
      </c>
      <c r="AW9" s="33">
        <v>42.193762499999998</v>
      </c>
      <c r="AX9" s="33">
        <v>49.417203125</v>
      </c>
      <c r="AY9" s="33">
        <v>49.562796874999997</v>
      </c>
      <c r="AZ9" s="34">
        <v>2521.4699999999998</v>
      </c>
      <c r="BA9" s="34">
        <v>0</v>
      </c>
      <c r="BB9" s="34">
        <v>70.698999999999998</v>
      </c>
      <c r="BC9" s="34">
        <v>0</v>
      </c>
      <c r="BD9" s="59">
        <v>0</v>
      </c>
      <c r="BE9" s="35">
        <f t="shared" si="12"/>
        <v>1</v>
      </c>
      <c r="BF9" s="36">
        <f t="shared" si="13"/>
        <v>0</v>
      </c>
      <c r="BG9" s="36">
        <f t="shared" si="14"/>
        <v>0</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3.1719824999999999</v>
      </c>
      <c r="J10" s="21">
        <f t="shared" si="1"/>
        <v>1.5511776702610194E-2</v>
      </c>
      <c r="K10" s="21">
        <f t="shared" si="2"/>
        <v>8.0385018163430418E-3</v>
      </c>
      <c r="L10" s="21">
        <f t="shared" si="3"/>
        <v>4.2751636266586089E-3</v>
      </c>
      <c r="M10" s="21">
        <f t="shared" si="4"/>
        <v>7.4732748862671519E-3</v>
      </c>
      <c r="N10" s="18">
        <f t="shared" si="5"/>
        <v>1753368</v>
      </c>
      <c r="O10" s="21">
        <v>16</v>
      </c>
      <c r="P10" s="22">
        <v>33275520</v>
      </c>
      <c r="Q10" s="22">
        <v>1039860</v>
      </c>
      <c r="R10" s="22">
        <v>402968.71875</v>
      </c>
      <c r="S10" s="23">
        <v>3383448</v>
      </c>
      <c r="T10" s="23">
        <v>932504</v>
      </c>
      <c r="U10" s="23">
        <v>820864</v>
      </c>
      <c r="V10" s="23">
        <v>1630080</v>
      </c>
      <c r="W10" s="24">
        <v>65.663659374999995</v>
      </c>
      <c r="X10" s="24">
        <v>67.076425</v>
      </c>
      <c r="Y10" s="24">
        <v>32.352856250000002</v>
      </c>
      <c r="Z10" s="24">
        <v>39.163262500000002</v>
      </c>
      <c r="AA10" s="24">
        <v>32.049700000000001</v>
      </c>
      <c r="AB10" s="25">
        <v>2217.59</v>
      </c>
      <c r="AC10" s="25">
        <v>0</v>
      </c>
      <c r="AD10" s="25">
        <v>61.045999999999999</v>
      </c>
      <c r="AE10" s="25">
        <v>0</v>
      </c>
      <c r="AF10" s="58">
        <v>0</v>
      </c>
      <c r="AG10" s="20">
        <f t="shared" si="6"/>
        <v>3.1719824999999999</v>
      </c>
      <c r="AH10" s="21">
        <f t="shared" si="7"/>
        <v>1.5511776702610194E-2</v>
      </c>
      <c r="AI10" s="21">
        <f t="shared" si="8"/>
        <v>8.0385018163430418E-3</v>
      </c>
      <c r="AJ10" s="21">
        <f t="shared" si="9"/>
        <v>4.2751636266586089E-3</v>
      </c>
      <c r="AK10" s="21">
        <f t="shared" si="10"/>
        <v>7.4732748862671519E-3</v>
      </c>
      <c r="AL10" s="18">
        <f t="shared" si="11"/>
        <v>1753368</v>
      </c>
      <c r="AM10" s="21">
        <v>-12</v>
      </c>
      <c r="AN10" s="22">
        <v>33275520</v>
      </c>
      <c r="AO10" s="22">
        <v>1039860</v>
      </c>
      <c r="AP10" s="22">
        <v>402968.71875</v>
      </c>
      <c r="AQ10" s="23">
        <v>3383448</v>
      </c>
      <c r="AR10" s="23">
        <v>932504</v>
      </c>
      <c r="AS10" s="23">
        <v>820864</v>
      </c>
      <c r="AT10" s="23">
        <v>1630080</v>
      </c>
      <c r="AU10" s="24">
        <v>65.663659374999995</v>
      </c>
      <c r="AV10" s="24">
        <v>67.076425</v>
      </c>
      <c r="AW10" s="24">
        <v>32.352856250000002</v>
      </c>
      <c r="AX10" s="24">
        <v>39.163262500000002</v>
      </c>
      <c r="AY10" s="24">
        <v>32.049700000000001</v>
      </c>
      <c r="AZ10" s="25">
        <v>2277.02</v>
      </c>
      <c r="BA10" s="25">
        <v>0</v>
      </c>
      <c r="BB10" s="25">
        <v>61.204000000000001</v>
      </c>
      <c r="BC10" s="25">
        <v>0</v>
      </c>
      <c r="BD10" s="59">
        <v>0</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0</v>
      </c>
      <c r="BM10" s="50">
        <f>IF( OR(ISBLANK(V10:V14),ISBLANK(AT10:AT14), ISBLANK(Z10:Z14),ISBLANK(AX10:AX14)), "·", bdRateExtend( V10:V14,Z10:Z14, AT10:AT14,AX10:AX14))</f>
        <v>0</v>
      </c>
      <c r="BN10" s="50">
        <f>IF( OR(ISBLANK(V10:V14),ISBLANK(AT10:AT14), ISBLANK(AA10:AA14),ISBLANK(AY10:AY14)), "·", bdRateExtend( V10:V14,AA10:AA14, AT10:AT14,AY10:AY14))</f>
        <v>0</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0</v>
      </c>
      <c r="BS10" s="50">
        <f>IF( OR(ISBLANK(S10:S14),ISBLANK(AQ10:AQ14), ISBLANK(Z10:Z14),ISBLANK(AX10:AX14)), "·", bdRateExtend( S10:S14,Z10:Z14, AQ10:AQ14,AX10:AX14))</f>
        <v>0</v>
      </c>
      <c r="BT10" s="50">
        <f>IF( OR(ISBLANK(S10:S14),ISBLANK(AQ10:AQ14), ISBLANK(AA10:AA14),ISBLANK(AY10:AY14)), "·", bdRateExtend( S10:S14,AA10:AA14, AQ10:AQ14,AY10:AY14))</f>
        <v>0</v>
      </c>
    </row>
    <row r="11" spans="1:72" outlineLevel="1" x14ac:dyDescent="0.3">
      <c r="A11" s="54"/>
      <c r="B11" s="54" t="s">
        <v>57</v>
      </c>
      <c r="C11" s="10" t="s">
        <v>231</v>
      </c>
      <c r="D11" s="54">
        <v>218121242</v>
      </c>
      <c r="E11" s="10">
        <v>10</v>
      </c>
      <c r="F11" s="10">
        <v>32</v>
      </c>
      <c r="G11" s="10">
        <v>30</v>
      </c>
      <c r="I11" s="11">
        <f t="shared" si="0"/>
        <v>4.5852525000000002</v>
      </c>
      <c r="J11" s="12">
        <f t="shared" si="1"/>
        <v>2.2423015544721682E-2</v>
      </c>
      <c r="K11" s="12">
        <f t="shared" si="2"/>
        <v>9.7878041607703664E-3</v>
      </c>
      <c r="L11" s="12">
        <f t="shared" si="3"/>
        <v>6.0244659710859336E-3</v>
      </c>
      <c r="M11" s="12">
        <f t="shared" si="4"/>
        <v>1.2635211383951316E-2</v>
      </c>
      <c r="N11" s="54">
        <f t="shared" si="5"/>
        <v>2134928</v>
      </c>
      <c r="O11" s="12">
        <v>16</v>
      </c>
      <c r="P11" s="13">
        <v>33275520</v>
      </c>
      <c r="Q11" s="13">
        <v>1039860</v>
      </c>
      <c r="R11" s="13">
        <v>359002.90625</v>
      </c>
      <c r="S11" s="14">
        <v>4890936</v>
      </c>
      <c r="T11" s="14">
        <v>1314064</v>
      </c>
      <c r="U11" s="14">
        <v>820864</v>
      </c>
      <c r="V11" s="14">
        <v>2756008</v>
      </c>
      <c r="W11" s="15">
        <v>67.035537500000004</v>
      </c>
      <c r="X11" s="15">
        <v>68.731103125000004</v>
      </c>
      <c r="Y11" s="15">
        <v>34.223971874999997</v>
      </c>
      <c r="Z11" s="15">
        <v>40.030650000000001</v>
      </c>
      <c r="AA11" s="15">
        <v>33.82645625</v>
      </c>
      <c r="AB11" s="16">
        <v>2268</v>
      </c>
      <c r="AC11" s="16">
        <v>0</v>
      </c>
      <c r="AD11" s="16">
        <v>64.057000000000002</v>
      </c>
      <c r="AE11" s="16">
        <v>0</v>
      </c>
      <c r="AF11" s="58">
        <v>0</v>
      </c>
      <c r="AG11" s="11">
        <f t="shared" si="6"/>
        <v>4.5852525000000002</v>
      </c>
      <c r="AH11" s="12">
        <f t="shared" si="7"/>
        <v>2.2423015544721682E-2</v>
      </c>
      <c r="AI11" s="12">
        <f t="shared" si="8"/>
        <v>9.7878041607703664E-3</v>
      </c>
      <c r="AJ11" s="12">
        <f t="shared" si="9"/>
        <v>6.0244659710859336E-3</v>
      </c>
      <c r="AK11" s="12">
        <f t="shared" si="10"/>
        <v>1.2635211383951316E-2</v>
      </c>
      <c r="AL11" s="54">
        <f t="shared" si="11"/>
        <v>2134928</v>
      </c>
      <c r="AM11" s="12">
        <v>-12</v>
      </c>
      <c r="AN11" s="13">
        <v>33275520</v>
      </c>
      <c r="AO11" s="13">
        <v>1039860</v>
      </c>
      <c r="AP11" s="13">
        <v>359002.90625</v>
      </c>
      <c r="AQ11" s="14">
        <v>4890936</v>
      </c>
      <c r="AR11" s="14">
        <v>1314064</v>
      </c>
      <c r="AS11" s="14">
        <v>820864</v>
      </c>
      <c r="AT11" s="14">
        <v>2756008</v>
      </c>
      <c r="AU11" s="15">
        <v>67.035537500000004</v>
      </c>
      <c r="AV11" s="15">
        <v>68.731103125000004</v>
      </c>
      <c r="AW11" s="15">
        <v>34.223971874999997</v>
      </c>
      <c r="AX11" s="15">
        <v>40.030650000000001</v>
      </c>
      <c r="AY11" s="15">
        <v>33.82645625</v>
      </c>
      <c r="AZ11" s="16">
        <v>2301.65</v>
      </c>
      <c r="BA11" s="16">
        <v>0</v>
      </c>
      <c r="BB11" s="16">
        <v>67.876000000000005</v>
      </c>
      <c r="BC11" s="16">
        <v>0</v>
      </c>
      <c r="BD11" s="59">
        <v>0</v>
      </c>
      <c r="BE11" s="51">
        <f t="shared" si="12"/>
        <v>1</v>
      </c>
      <c r="BF11" s="17">
        <f t="shared" si="13"/>
        <v>0</v>
      </c>
      <c r="BG11" s="17">
        <f t="shared" si="14"/>
        <v>0</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7.0910399999999996</v>
      </c>
      <c r="J12" s="21">
        <f t="shared" si="1"/>
        <v>3.4676934399630828E-2</v>
      </c>
      <c r="K12" s="21">
        <f t="shared" si="2"/>
        <v>1.2486780173386322E-2</v>
      </c>
      <c r="L12" s="21">
        <f t="shared" si="3"/>
        <v>8.7234419837018892E-3</v>
      </c>
      <c r="M12" s="21">
        <f t="shared" si="4"/>
        <v>2.2190154226244502E-2</v>
      </c>
      <c r="N12" s="18">
        <f t="shared" si="5"/>
        <v>2723632</v>
      </c>
      <c r="O12" s="21">
        <v>16</v>
      </c>
      <c r="P12" s="22">
        <v>33275520</v>
      </c>
      <c r="Q12" s="22">
        <v>1039860</v>
      </c>
      <c r="R12" s="22">
        <v>348804.125</v>
      </c>
      <c r="S12" s="23">
        <v>7563776</v>
      </c>
      <c r="T12" s="23">
        <v>1902768</v>
      </c>
      <c r="U12" s="23">
        <v>820864</v>
      </c>
      <c r="V12" s="23">
        <v>4840144</v>
      </c>
      <c r="W12" s="24">
        <v>68.257228124999997</v>
      </c>
      <c r="X12" s="24">
        <v>70.220287499999998</v>
      </c>
      <c r="Y12" s="24">
        <v>36.318518750000003</v>
      </c>
      <c r="Z12" s="24">
        <v>40.924328125000002</v>
      </c>
      <c r="AA12" s="24">
        <v>35.610362500000001</v>
      </c>
      <c r="AB12" s="25">
        <v>2275.35</v>
      </c>
      <c r="AC12" s="25">
        <v>0</v>
      </c>
      <c r="AD12" s="25">
        <v>64.771000000000001</v>
      </c>
      <c r="AE12" s="25">
        <v>0</v>
      </c>
      <c r="AF12" s="58">
        <v>0</v>
      </c>
      <c r="AG12" s="20">
        <f t="shared" si="6"/>
        <v>7.0910399999999996</v>
      </c>
      <c r="AH12" s="21">
        <f t="shared" si="7"/>
        <v>3.4676934399630828E-2</v>
      </c>
      <c r="AI12" s="21">
        <f t="shared" si="8"/>
        <v>1.2486780173386322E-2</v>
      </c>
      <c r="AJ12" s="21">
        <f t="shared" si="9"/>
        <v>8.7234419837018892E-3</v>
      </c>
      <c r="AK12" s="21">
        <f t="shared" si="10"/>
        <v>2.2190154226244502E-2</v>
      </c>
      <c r="AL12" s="18">
        <f t="shared" si="11"/>
        <v>2723632</v>
      </c>
      <c r="AM12" s="21">
        <v>-12</v>
      </c>
      <c r="AN12" s="22">
        <v>33275520</v>
      </c>
      <c r="AO12" s="22">
        <v>1039860</v>
      </c>
      <c r="AP12" s="22">
        <v>348804.125</v>
      </c>
      <c r="AQ12" s="23">
        <v>7563776</v>
      </c>
      <c r="AR12" s="23">
        <v>1902768</v>
      </c>
      <c r="AS12" s="23">
        <v>820864</v>
      </c>
      <c r="AT12" s="23">
        <v>4840144</v>
      </c>
      <c r="AU12" s="24">
        <v>68.257228124999997</v>
      </c>
      <c r="AV12" s="24">
        <v>70.220287499999998</v>
      </c>
      <c r="AW12" s="24">
        <v>36.318518750000003</v>
      </c>
      <c r="AX12" s="24">
        <v>40.924328125000002</v>
      </c>
      <c r="AY12" s="24">
        <v>35.610362500000001</v>
      </c>
      <c r="AZ12" s="25">
        <v>2329.16</v>
      </c>
      <c r="BA12" s="25">
        <v>0</v>
      </c>
      <c r="BB12" s="25">
        <v>68.381</v>
      </c>
      <c r="BC12" s="25">
        <v>0</v>
      </c>
      <c r="BD12" s="59">
        <v>0</v>
      </c>
      <c r="BE12" s="50">
        <f t="shared" si="12"/>
        <v>1</v>
      </c>
      <c r="BF12" s="26">
        <f t="shared" si="13"/>
        <v>0</v>
      </c>
      <c r="BG12" s="26">
        <f t="shared" si="14"/>
        <v>0</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11.985300000000001</v>
      </c>
      <c r="J13" s="12">
        <f t="shared" si="1"/>
        <v>5.8611072827102276E-2</v>
      </c>
      <c r="K13" s="12">
        <f t="shared" si="2"/>
        <v>1.7163005151052641E-2</v>
      </c>
      <c r="L13" s="12">
        <f t="shared" si="3"/>
        <v>1.339966696136821E-2</v>
      </c>
      <c r="M13" s="12">
        <f t="shared" si="4"/>
        <v>4.1448067676049638E-2</v>
      </c>
      <c r="N13" s="54">
        <f t="shared" si="5"/>
        <v>3743616</v>
      </c>
      <c r="O13" s="12">
        <v>16</v>
      </c>
      <c r="P13" s="13">
        <v>33275520</v>
      </c>
      <c r="Q13" s="13">
        <v>1039860</v>
      </c>
      <c r="R13" s="13">
        <v>326679.46875</v>
      </c>
      <c r="S13" s="14">
        <v>12784320</v>
      </c>
      <c r="T13" s="14">
        <v>2922752</v>
      </c>
      <c r="U13" s="14">
        <v>820864</v>
      </c>
      <c r="V13" s="14">
        <v>9040704</v>
      </c>
      <c r="W13" s="15">
        <v>69.089931250000006</v>
      </c>
      <c r="X13" s="15">
        <v>71.207653124999993</v>
      </c>
      <c r="Y13" s="15">
        <v>38.671903125</v>
      </c>
      <c r="Z13" s="15">
        <v>42.107975000000003</v>
      </c>
      <c r="AA13" s="15">
        <v>37.681224999999998</v>
      </c>
      <c r="AB13" s="16">
        <v>2489.31</v>
      </c>
      <c r="AC13" s="16">
        <v>0</v>
      </c>
      <c r="AD13" s="16">
        <v>66.873999999999995</v>
      </c>
      <c r="AE13" s="16">
        <v>0</v>
      </c>
      <c r="AF13" s="58">
        <v>0</v>
      </c>
      <c r="AG13" s="11">
        <f t="shared" si="6"/>
        <v>11.985300000000001</v>
      </c>
      <c r="AH13" s="12">
        <f t="shared" si="7"/>
        <v>5.8611072827102276E-2</v>
      </c>
      <c r="AI13" s="12">
        <f t="shared" si="8"/>
        <v>1.7163005151052641E-2</v>
      </c>
      <c r="AJ13" s="12">
        <f t="shared" si="9"/>
        <v>1.339966696136821E-2</v>
      </c>
      <c r="AK13" s="12">
        <f t="shared" si="10"/>
        <v>4.1448067676049638E-2</v>
      </c>
      <c r="AL13" s="54">
        <f t="shared" si="11"/>
        <v>3743616</v>
      </c>
      <c r="AM13" s="12">
        <v>-12</v>
      </c>
      <c r="AN13" s="13">
        <v>33275520</v>
      </c>
      <c r="AO13" s="13">
        <v>1039860</v>
      </c>
      <c r="AP13" s="13">
        <v>326679.46875</v>
      </c>
      <c r="AQ13" s="14">
        <v>12784320</v>
      </c>
      <c r="AR13" s="14">
        <v>2922752</v>
      </c>
      <c r="AS13" s="14">
        <v>820864</v>
      </c>
      <c r="AT13" s="14">
        <v>9040704</v>
      </c>
      <c r="AU13" s="15">
        <v>69.089931250000006</v>
      </c>
      <c r="AV13" s="15">
        <v>71.207653124999993</v>
      </c>
      <c r="AW13" s="15">
        <v>38.671903125</v>
      </c>
      <c r="AX13" s="15">
        <v>42.107975000000003</v>
      </c>
      <c r="AY13" s="15">
        <v>37.681224999999998</v>
      </c>
      <c r="AZ13" s="16">
        <v>2406.71</v>
      </c>
      <c r="BA13" s="16">
        <v>0</v>
      </c>
      <c r="BB13" s="16">
        <v>66.664000000000001</v>
      </c>
      <c r="BC13" s="16">
        <v>0</v>
      </c>
      <c r="BD13" s="59">
        <v>0</v>
      </c>
      <c r="BE13" s="51">
        <f t="shared" si="12"/>
        <v>1</v>
      </c>
      <c r="BF13" s="17">
        <f t="shared" si="13"/>
        <v>0</v>
      </c>
      <c r="BG13" s="17">
        <f t="shared" si="14"/>
        <v>0</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21.5616825</v>
      </c>
      <c r="J14" s="40">
        <f t="shared" si="1"/>
        <v>0.10544194498947516</v>
      </c>
      <c r="K14" s="40">
        <f t="shared" si="2"/>
        <v>2.8263913883270479E-2</v>
      </c>
      <c r="L14" s="40">
        <f t="shared" si="3"/>
        <v>2.1175159088815385E-2</v>
      </c>
      <c r="M14" s="40">
        <f t="shared" si="4"/>
        <v>7.7178031106204692E-2</v>
      </c>
      <c r="N14" s="37">
        <f t="shared" si="5"/>
        <v>6164960</v>
      </c>
      <c r="O14" s="40">
        <v>16</v>
      </c>
      <c r="P14" s="41">
        <v>31405520</v>
      </c>
      <c r="Q14" s="41">
        <v>981422.5</v>
      </c>
      <c r="R14" s="41">
        <v>298364.78125</v>
      </c>
      <c r="S14" s="42">
        <v>22999128</v>
      </c>
      <c r="T14" s="42">
        <v>4618752</v>
      </c>
      <c r="U14" s="42">
        <v>1546208</v>
      </c>
      <c r="V14" s="42">
        <v>16834168</v>
      </c>
      <c r="W14" s="43">
        <v>71.140312499999993</v>
      </c>
      <c r="X14" s="43">
        <v>74.8136875</v>
      </c>
      <c r="Y14" s="43">
        <v>41.055978125000003</v>
      </c>
      <c r="Z14" s="43">
        <v>43.431465625000001</v>
      </c>
      <c r="AA14" s="43">
        <v>39.527096874999998</v>
      </c>
      <c r="AB14" s="44">
        <v>2531.75</v>
      </c>
      <c r="AC14" s="44">
        <v>0</v>
      </c>
      <c r="AD14" s="44">
        <v>65.721999999999994</v>
      </c>
      <c r="AE14" s="44">
        <v>0</v>
      </c>
      <c r="AF14" s="58">
        <v>0</v>
      </c>
      <c r="AG14" s="39">
        <f t="shared" si="6"/>
        <v>21.5616825</v>
      </c>
      <c r="AH14" s="40">
        <f t="shared" si="7"/>
        <v>0.10544194498947516</v>
      </c>
      <c r="AI14" s="40">
        <f t="shared" si="8"/>
        <v>2.8263913883270479E-2</v>
      </c>
      <c r="AJ14" s="40">
        <f t="shared" si="9"/>
        <v>2.1175159088815385E-2</v>
      </c>
      <c r="AK14" s="40">
        <f t="shared" si="10"/>
        <v>7.7178031106204692E-2</v>
      </c>
      <c r="AL14" s="37">
        <f t="shared" si="11"/>
        <v>6164960</v>
      </c>
      <c r="AM14" s="40">
        <v>-12</v>
      </c>
      <c r="AN14" s="41">
        <v>31405520</v>
      </c>
      <c r="AO14" s="41">
        <v>981422.5</v>
      </c>
      <c r="AP14" s="41">
        <v>298364.78125</v>
      </c>
      <c r="AQ14" s="42">
        <v>22999128</v>
      </c>
      <c r="AR14" s="42">
        <v>4618752</v>
      </c>
      <c r="AS14" s="42">
        <v>1546208</v>
      </c>
      <c r="AT14" s="42">
        <v>16834168</v>
      </c>
      <c r="AU14" s="43">
        <v>71.140312499999993</v>
      </c>
      <c r="AV14" s="43">
        <v>74.8136875</v>
      </c>
      <c r="AW14" s="43">
        <v>41.055978125000003</v>
      </c>
      <c r="AX14" s="43">
        <v>43.431465625000001</v>
      </c>
      <c r="AY14" s="43">
        <v>39.527096874999998</v>
      </c>
      <c r="AZ14" s="44">
        <v>2585.0100000000002</v>
      </c>
      <c r="BA14" s="44">
        <v>0</v>
      </c>
      <c r="BB14" s="44">
        <v>68.201999999999998</v>
      </c>
      <c r="BC14" s="44">
        <v>0</v>
      </c>
      <c r="BD14" s="59">
        <v>0</v>
      </c>
      <c r="BE14" s="45">
        <f t="shared" si="12"/>
        <v>1</v>
      </c>
      <c r="BF14" s="46">
        <f t="shared" si="13"/>
        <v>0</v>
      </c>
      <c r="BG14" s="46">
        <f t="shared" si="14"/>
        <v>0</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4.3898025000000001</v>
      </c>
      <c r="J15" s="12">
        <f t="shared" si="1"/>
        <v>1.4515205978179638E-2</v>
      </c>
      <c r="K15" s="12">
        <f t="shared" si="2"/>
        <v>8.2286073209577697E-3</v>
      </c>
      <c r="L15" s="12">
        <f t="shared" si="3"/>
        <v>4.3908902932624288E-3</v>
      </c>
      <c r="M15" s="12">
        <f t="shared" si="4"/>
        <v>6.2865986572218681E-3</v>
      </c>
      <c r="N15" s="54">
        <f t="shared" si="5"/>
        <v>2654464</v>
      </c>
      <c r="O15" s="12">
        <v>16</v>
      </c>
      <c r="P15" s="13">
        <v>49229856</v>
      </c>
      <c r="Q15" s="13">
        <v>1538433</v>
      </c>
      <c r="R15" s="13">
        <v>585687.5</v>
      </c>
      <c r="S15" s="14">
        <v>4682456</v>
      </c>
      <c r="T15" s="14">
        <v>1416456</v>
      </c>
      <c r="U15" s="14">
        <v>1238008</v>
      </c>
      <c r="V15" s="14">
        <v>2027992</v>
      </c>
      <c r="W15" s="15">
        <v>65.56833125</v>
      </c>
      <c r="X15" s="15">
        <v>66.917349999999999</v>
      </c>
      <c r="Y15" s="15">
        <v>29.376531249999999</v>
      </c>
      <c r="Z15" s="15">
        <v>43.131071875000004</v>
      </c>
      <c r="AA15" s="15">
        <v>43.317262499999998</v>
      </c>
      <c r="AB15" s="16">
        <v>2608.5700000000002</v>
      </c>
      <c r="AC15" s="16">
        <v>0</v>
      </c>
      <c r="AD15" s="16">
        <v>84.143000000000001</v>
      </c>
      <c r="AE15" s="16">
        <v>0</v>
      </c>
      <c r="AF15" s="58">
        <v>0</v>
      </c>
      <c r="AG15" s="11">
        <f t="shared" si="6"/>
        <v>4.3898025000000001</v>
      </c>
      <c r="AH15" s="12">
        <f t="shared" si="7"/>
        <v>1.4515205978179638E-2</v>
      </c>
      <c r="AI15" s="12">
        <f t="shared" si="8"/>
        <v>8.2286073209577697E-3</v>
      </c>
      <c r="AJ15" s="12">
        <f t="shared" si="9"/>
        <v>4.3908902932624288E-3</v>
      </c>
      <c r="AK15" s="12">
        <f t="shared" si="10"/>
        <v>6.2865986572218681E-3</v>
      </c>
      <c r="AL15" s="54">
        <f t="shared" si="11"/>
        <v>2654464</v>
      </c>
      <c r="AM15" s="12">
        <v>-12</v>
      </c>
      <c r="AN15" s="13">
        <v>49229856</v>
      </c>
      <c r="AO15" s="13">
        <v>1538433</v>
      </c>
      <c r="AP15" s="13">
        <v>585687.5</v>
      </c>
      <c r="AQ15" s="14">
        <v>4682456</v>
      </c>
      <c r="AR15" s="14">
        <v>1416456</v>
      </c>
      <c r="AS15" s="14">
        <v>1238008</v>
      </c>
      <c r="AT15" s="14">
        <v>2027992</v>
      </c>
      <c r="AU15" s="15">
        <v>65.56833125</v>
      </c>
      <c r="AV15" s="15">
        <v>66.917349999999999</v>
      </c>
      <c r="AW15" s="15">
        <v>29.376531249999999</v>
      </c>
      <c r="AX15" s="15">
        <v>43.131071875000004</v>
      </c>
      <c r="AY15" s="15">
        <v>43.317262499999998</v>
      </c>
      <c r="AZ15" s="16">
        <v>2634.38</v>
      </c>
      <c r="BA15" s="16">
        <v>0</v>
      </c>
      <c r="BB15" s="16">
        <v>87.924000000000007</v>
      </c>
      <c r="BC15" s="16">
        <v>0</v>
      </c>
      <c r="BD15" s="59">
        <v>0</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0</v>
      </c>
      <c r="BM15" s="51">
        <f>IF( OR(ISBLANK(V15:V19),ISBLANK(AT15:AT19), ISBLANK(Z15:Z19),ISBLANK(AX15:AX19)), "·", bdRateExtend( V15:V19,Z15:Z19, AT15:AT19,AX15:AX19))</f>
        <v>0</v>
      </c>
      <c r="BN15" s="51">
        <f>IF( OR(ISBLANK(V15:V19),ISBLANK(AT15:AT19), ISBLANK(AA15:AA19),ISBLANK(AY15:AY19)), "·", bdRateExtend( V15:V19,AA15:AA19, AT15:AT19,AY15:AY19))</f>
        <v>0</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0</v>
      </c>
      <c r="BS15" s="51">
        <f>IF( OR(ISBLANK(S15:S19),ISBLANK(AQ15:AQ19), ISBLANK(Z15:Z19),ISBLANK(AX15:AX19)), "·", bdRateExtend( S15:S19,Z15:Z19, AQ15:AQ19,AX15:AX19))</f>
        <v>0</v>
      </c>
      <c r="BT15" s="51">
        <f>IF( OR(ISBLANK(S15:S19),ISBLANK(AQ15:AQ19), ISBLANK(AA15:AA19),ISBLANK(AY15:AY19)), "·", bdRateExtend( S15:S19,AA15:AA19, AQ15:AQ19,AY15:AY19))</f>
        <v>0</v>
      </c>
    </row>
    <row r="16" spans="1:72" outlineLevel="1" x14ac:dyDescent="0.3">
      <c r="A16" s="18"/>
      <c r="B16" s="18" t="s">
        <v>62</v>
      </c>
      <c r="C16" s="19" t="s">
        <v>231</v>
      </c>
      <c r="D16" s="18">
        <v>322589704</v>
      </c>
      <c r="E16" s="19">
        <v>10</v>
      </c>
      <c r="F16" s="19">
        <v>32</v>
      </c>
      <c r="G16" s="19">
        <v>30</v>
      </c>
      <c r="I16" s="20">
        <f t="shared" si="0"/>
        <v>6.9721574999999998</v>
      </c>
      <c r="J16" s="21">
        <f t="shared" si="1"/>
        <v>2.3053953389659331E-2</v>
      </c>
      <c r="K16" s="21">
        <f t="shared" si="2"/>
        <v>1.0042750775455623E-2</v>
      </c>
      <c r="L16" s="21">
        <f t="shared" si="3"/>
        <v>6.2050337477602821E-3</v>
      </c>
      <c r="M16" s="21">
        <f t="shared" si="4"/>
        <v>1.3011202614203706E-2</v>
      </c>
      <c r="N16" s="18">
        <f t="shared" si="5"/>
        <v>3239688</v>
      </c>
      <c r="O16" s="21">
        <v>16</v>
      </c>
      <c r="P16" s="22">
        <v>49229856</v>
      </c>
      <c r="Q16" s="22">
        <v>1538433</v>
      </c>
      <c r="R16" s="22">
        <v>518337.15625</v>
      </c>
      <c r="S16" s="23">
        <v>7436968</v>
      </c>
      <c r="T16" s="23">
        <v>2001680</v>
      </c>
      <c r="U16" s="23">
        <v>1238008</v>
      </c>
      <c r="V16" s="23">
        <v>4197280</v>
      </c>
      <c r="W16" s="24">
        <v>67.104037500000004</v>
      </c>
      <c r="X16" s="24">
        <v>68.780528125000004</v>
      </c>
      <c r="Y16" s="24">
        <v>31.768056250000001</v>
      </c>
      <c r="Z16" s="24">
        <v>43.989249999999998</v>
      </c>
      <c r="AA16" s="24">
        <v>44.264440624999999</v>
      </c>
      <c r="AB16" s="25">
        <v>2695.97</v>
      </c>
      <c r="AC16" s="25">
        <v>0</v>
      </c>
      <c r="AD16" s="25">
        <v>89.424000000000007</v>
      </c>
      <c r="AE16" s="25">
        <v>0</v>
      </c>
      <c r="AF16" s="58">
        <v>0</v>
      </c>
      <c r="AG16" s="20">
        <f t="shared" si="6"/>
        <v>6.9721574999999998</v>
      </c>
      <c r="AH16" s="21">
        <f t="shared" si="7"/>
        <v>2.3053953389659331E-2</v>
      </c>
      <c r="AI16" s="21">
        <f t="shared" si="8"/>
        <v>1.0042750775455623E-2</v>
      </c>
      <c r="AJ16" s="21">
        <f t="shared" si="9"/>
        <v>6.2050337477602821E-3</v>
      </c>
      <c r="AK16" s="21">
        <f t="shared" si="10"/>
        <v>1.3011202614203706E-2</v>
      </c>
      <c r="AL16" s="18">
        <f t="shared" si="11"/>
        <v>3239688</v>
      </c>
      <c r="AM16" s="21">
        <v>-12</v>
      </c>
      <c r="AN16" s="22">
        <v>49229856</v>
      </c>
      <c r="AO16" s="22">
        <v>1538433</v>
      </c>
      <c r="AP16" s="22">
        <v>518337.15625</v>
      </c>
      <c r="AQ16" s="23">
        <v>7436968</v>
      </c>
      <c r="AR16" s="23">
        <v>2001680</v>
      </c>
      <c r="AS16" s="23">
        <v>1238008</v>
      </c>
      <c r="AT16" s="23">
        <v>4197280</v>
      </c>
      <c r="AU16" s="24">
        <v>67.104037500000004</v>
      </c>
      <c r="AV16" s="24">
        <v>68.780528125000004</v>
      </c>
      <c r="AW16" s="24">
        <v>31.768056250000001</v>
      </c>
      <c r="AX16" s="24">
        <v>43.989249999999998</v>
      </c>
      <c r="AY16" s="24">
        <v>44.264440624999999</v>
      </c>
      <c r="AZ16" s="25">
        <v>2787.52</v>
      </c>
      <c r="BA16" s="25">
        <v>0</v>
      </c>
      <c r="BB16" s="25">
        <v>97.766000000000005</v>
      </c>
      <c r="BC16" s="25">
        <v>0</v>
      </c>
      <c r="BD16" s="59">
        <v>0</v>
      </c>
      <c r="BE16" s="50">
        <f t="shared" si="12"/>
        <v>1</v>
      </c>
      <c r="BF16" s="26">
        <f t="shared" si="13"/>
        <v>0</v>
      </c>
      <c r="BG16" s="26">
        <f t="shared" si="14"/>
        <v>0</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11.633625</v>
      </c>
      <c r="J17" s="12">
        <f t="shared" si="1"/>
        <v>3.8467439741970193E-2</v>
      </c>
      <c r="K17" s="12">
        <f t="shared" si="2"/>
        <v>1.2780693087464441E-2</v>
      </c>
      <c r="L17" s="12">
        <f t="shared" si="3"/>
        <v>8.9429760597690994E-3</v>
      </c>
      <c r="M17" s="12">
        <f t="shared" si="4"/>
        <v>2.5686746654505748E-2</v>
      </c>
      <c r="N17" s="54">
        <f t="shared" si="5"/>
        <v>4122920</v>
      </c>
      <c r="O17" s="12">
        <v>16</v>
      </c>
      <c r="P17" s="13">
        <v>49229856</v>
      </c>
      <c r="Q17" s="13">
        <v>1538433</v>
      </c>
      <c r="R17" s="13">
        <v>508855.0625</v>
      </c>
      <c r="S17" s="14">
        <v>12409200</v>
      </c>
      <c r="T17" s="14">
        <v>2884912</v>
      </c>
      <c r="U17" s="14">
        <v>1238008</v>
      </c>
      <c r="V17" s="14">
        <v>8286280</v>
      </c>
      <c r="W17" s="15">
        <v>68.457956249999995</v>
      </c>
      <c r="X17" s="15">
        <v>70.426640625000005</v>
      </c>
      <c r="Y17" s="15">
        <v>34.321278124999999</v>
      </c>
      <c r="Z17" s="15">
        <v>44.824112499999998</v>
      </c>
      <c r="AA17" s="15">
        <v>45.216625000000001</v>
      </c>
      <c r="AB17" s="16">
        <v>2853.77</v>
      </c>
      <c r="AC17" s="16">
        <v>0</v>
      </c>
      <c r="AD17" s="16">
        <v>90.143000000000001</v>
      </c>
      <c r="AE17" s="16">
        <v>0</v>
      </c>
      <c r="AF17" s="58">
        <v>0</v>
      </c>
      <c r="AG17" s="11">
        <f t="shared" si="6"/>
        <v>11.633625</v>
      </c>
      <c r="AH17" s="12">
        <f t="shared" si="7"/>
        <v>3.8467439741970193E-2</v>
      </c>
      <c r="AI17" s="12">
        <f t="shared" si="8"/>
        <v>1.2780693087464441E-2</v>
      </c>
      <c r="AJ17" s="12">
        <f t="shared" si="9"/>
        <v>8.9429760597690994E-3</v>
      </c>
      <c r="AK17" s="12">
        <f t="shared" si="10"/>
        <v>2.5686746654505748E-2</v>
      </c>
      <c r="AL17" s="54">
        <f t="shared" si="11"/>
        <v>4122920</v>
      </c>
      <c r="AM17" s="12">
        <v>-12</v>
      </c>
      <c r="AN17" s="13">
        <v>49229856</v>
      </c>
      <c r="AO17" s="13">
        <v>1538433</v>
      </c>
      <c r="AP17" s="13">
        <v>508855.0625</v>
      </c>
      <c r="AQ17" s="14">
        <v>12409200</v>
      </c>
      <c r="AR17" s="14">
        <v>2884912</v>
      </c>
      <c r="AS17" s="14">
        <v>1238008</v>
      </c>
      <c r="AT17" s="14">
        <v>8286280</v>
      </c>
      <c r="AU17" s="15">
        <v>68.457956249999995</v>
      </c>
      <c r="AV17" s="15">
        <v>70.426640625000005</v>
      </c>
      <c r="AW17" s="15">
        <v>34.321278124999999</v>
      </c>
      <c r="AX17" s="15">
        <v>44.824112499999998</v>
      </c>
      <c r="AY17" s="15">
        <v>45.216625000000001</v>
      </c>
      <c r="AZ17" s="16">
        <v>2819.63</v>
      </c>
      <c r="BA17" s="16">
        <v>0</v>
      </c>
      <c r="BB17" s="16">
        <v>93.081999999999994</v>
      </c>
      <c r="BC17" s="16">
        <v>0</v>
      </c>
      <c r="BD17" s="59">
        <v>0</v>
      </c>
      <c r="BE17" s="51">
        <f t="shared" si="12"/>
        <v>1</v>
      </c>
      <c r="BF17" s="17">
        <f t="shared" si="13"/>
        <v>0</v>
      </c>
      <c r="BG17" s="17">
        <f t="shared" si="14"/>
        <v>0</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20.131162499999999</v>
      </c>
      <c r="J18" s="21">
        <f t="shared" si="1"/>
        <v>6.6565174690138285E-2</v>
      </c>
      <c r="K18" s="21">
        <f t="shared" si="2"/>
        <v>1.7279881939443423E-2</v>
      </c>
      <c r="L18" s="21">
        <f t="shared" si="3"/>
        <v>1.3442164911748083E-2</v>
      </c>
      <c r="M18" s="21">
        <f t="shared" si="4"/>
        <v>4.9285292750694855E-2</v>
      </c>
      <c r="N18" s="18">
        <f t="shared" si="5"/>
        <v>5574312</v>
      </c>
      <c r="O18" s="21">
        <v>16</v>
      </c>
      <c r="P18" s="22">
        <v>49229856</v>
      </c>
      <c r="Q18" s="22">
        <v>1538433</v>
      </c>
      <c r="R18" s="22">
        <v>472045.8125</v>
      </c>
      <c r="S18" s="23">
        <v>21473240</v>
      </c>
      <c r="T18" s="23">
        <v>4336304</v>
      </c>
      <c r="U18" s="23">
        <v>1238008</v>
      </c>
      <c r="V18" s="23">
        <v>15898928</v>
      </c>
      <c r="W18" s="24">
        <v>69.350909375000001</v>
      </c>
      <c r="X18" s="24">
        <v>71.46506875</v>
      </c>
      <c r="Y18" s="24">
        <v>37.034628124999998</v>
      </c>
      <c r="Z18" s="24">
        <v>46.129209375000002</v>
      </c>
      <c r="AA18" s="24">
        <v>46.647946875000002</v>
      </c>
      <c r="AB18" s="25">
        <v>2946.7</v>
      </c>
      <c r="AC18" s="25">
        <v>0</v>
      </c>
      <c r="AD18" s="25">
        <v>93.616</v>
      </c>
      <c r="AE18" s="25">
        <v>0</v>
      </c>
      <c r="AF18" s="58">
        <v>0</v>
      </c>
      <c r="AG18" s="20">
        <f t="shared" si="6"/>
        <v>20.131162499999999</v>
      </c>
      <c r="AH18" s="21">
        <f t="shared" si="7"/>
        <v>6.6565174690138285E-2</v>
      </c>
      <c r="AI18" s="21">
        <f t="shared" si="8"/>
        <v>1.7279881939443423E-2</v>
      </c>
      <c r="AJ18" s="21">
        <f t="shared" si="9"/>
        <v>1.3442164911748083E-2</v>
      </c>
      <c r="AK18" s="21">
        <f t="shared" si="10"/>
        <v>4.9285292750694855E-2</v>
      </c>
      <c r="AL18" s="18">
        <f t="shared" si="11"/>
        <v>5574312</v>
      </c>
      <c r="AM18" s="21">
        <v>-12</v>
      </c>
      <c r="AN18" s="22">
        <v>49229856</v>
      </c>
      <c r="AO18" s="22">
        <v>1538433</v>
      </c>
      <c r="AP18" s="22">
        <v>472045.8125</v>
      </c>
      <c r="AQ18" s="23">
        <v>21473240</v>
      </c>
      <c r="AR18" s="23">
        <v>4336304</v>
      </c>
      <c r="AS18" s="23">
        <v>1238008</v>
      </c>
      <c r="AT18" s="23">
        <v>15898928</v>
      </c>
      <c r="AU18" s="24">
        <v>69.350909375000001</v>
      </c>
      <c r="AV18" s="24">
        <v>71.46506875</v>
      </c>
      <c r="AW18" s="24">
        <v>37.034628124999998</v>
      </c>
      <c r="AX18" s="24">
        <v>46.129209375000002</v>
      </c>
      <c r="AY18" s="24">
        <v>46.647946875000002</v>
      </c>
      <c r="AZ18" s="25">
        <v>3073.2</v>
      </c>
      <c r="BA18" s="25">
        <v>0</v>
      </c>
      <c r="BB18" s="25">
        <v>92.635000000000005</v>
      </c>
      <c r="BC18" s="25">
        <v>0</v>
      </c>
      <c r="BD18" s="59">
        <v>0</v>
      </c>
      <c r="BE18" s="50">
        <f t="shared" si="12"/>
        <v>1</v>
      </c>
      <c r="BF18" s="26">
        <f t="shared" si="13"/>
        <v>0</v>
      </c>
      <c r="BG18" s="26">
        <f t="shared" si="14"/>
        <v>0</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35.736937500000003</v>
      </c>
      <c r="J19" s="30">
        <f t="shared" si="1"/>
        <v>0.11816682159204932</v>
      </c>
      <c r="K19" s="30">
        <f t="shared" si="2"/>
        <v>2.7760340423016106E-2</v>
      </c>
      <c r="L19" s="30">
        <f t="shared" si="3"/>
        <v>2.064958651005179E-2</v>
      </c>
      <c r="M19" s="30">
        <f t="shared" si="4"/>
        <v>9.0406481169033215E-2</v>
      </c>
      <c r="N19" s="27">
        <f t="shared" si="5"/>
        <v>8955200</v>
      </c>
      <c r="O19" s="30">
        <v>16</v>
      </c>
      <c r="P19" s="31">
        <v>46470040</v>
      </c>
      <c r="Q19" s="31">
        <v>1452188.75</v>
      </c>
      <c r="R19" s="31">
        <v>430516.78125</v>
      </c>
      <c r="S19" s="32">
        <v>38119400</v>
      </c>
      <c r="T19" s="32">
        <v>6661344</v>
      </c>
      <c r="U19" s="32">
        <v>2293856</v>
      </c>
      <c r="V19" s="32">
        <v>29164200</v>
      </c>
      <c r="W19" s="33">
        <v>71.345403125000004</v>
      </c>
      <c r="X19" s="33">
        <v>75.149940624999999</v>
      </c>
      <c r="Y19" s="33">
        <v>39.685934375000002</v>
      </c>
      <c r="Z19" s="33">
        <v>47.867106249999999</v>
      </c>
      <c r="AA19" s="33">
        <v>48.469115625000001</v>
      </c>
      <c r="AB19" s="34">
        <v>3185.79</v>
      </c>
      <c r="AC19" s="34">
        <v>0</v>
      </c>
      <c r="AD19" s="34">
        <v>90.677000000000007</v>
      </c>
      <c r="AE19" s="34">
        <v>0</v>
      </c>
      <c r="AF19" s="58">
        <v>0</v>
      </c>
      <c r="AG19" s="29">
        <f t="shared" si="6"/>
        <v>35.736937500000003</v>
      </c>
      <c r="AH19" s="30">
        <f t="shared" si="7"/>
        <v>0.11816682159204932</v>
      </c>
      <c r="AI19" s="30">
        <f t="shared" si="8"/>
        <v>2.7760340423016106E-2</v>
      </c>
      <c r="AJ19" s="30">
        <f t="shared" si="9"/>
        <v>2.064958651005179E-2</v>
      </c>
      <c r="AK19" s="30">
        <f t="shared" si="10"/>
        <v>9.0406481169033215E-2</v>
      </c>
      <c r="AL19" s="27">
        <f t="shared" si="11"/>
        <v>8955200</v>
      </c>
      <c r="AM19" s="30">
        <v>-12</v>
      </c>
      <c r="AN19" s="31">
        <v>46470040</v>
      </c>
      <c r="AO19" s="31">
        <v>1452188.75</v>
      </c>
      <c r="AP19" s="31">
        <v>430516.78125</v>
      </c>
      <c r="AQ19" s="32">
        <v>38119400</v>
      </c>
      <c r="AR19" s="32">
        <v>6661344</v>
      </c>
      <c r="AS19" s="32">
        <v>2293856</v>
      </c>
      <c r="AT19" s="32">
        <v>29164200</v>
      </c>
      <c r="AU19" s="33">
        <v>71.345403125000004</v>
      </c>
      <c r="AV19" s="33">
        <v>75.149940624999999</v>
      </c>
      <c r="AW19" s="33">
        <v>39.685934375000002</v>
      </c>
      <c r="AX19" s="33">
        <v>47.867106249999999</v>
      </c>
      <c r="AY19" s="33">
        <v>48.469115625000001</v>
      </c>
      <c r="AZ19" s="34">
        <v>3270.51</v>
      </c>
      <c r="BA19" s="34">
        <v>0</v>
      </c>
      <c r="BB19" s="34">
        <v>94.62</v>
      </c>
      <c r="BC19" s="34">
        <v>0</v>
      </c>
      <c r="BD19" s="59">
        <v>0</v>
      </c>
      <c r="BE19" s="35">
        <f t="shared" si="12"/>
        <v>1</v>
      </c>
      <c r="BF19" s="36">
        <f t="shared" si="13"/>
        <v>0</v>
      </c>
      <c r="BG19" s="36">
        <f t="shared" si="14"/>
        <v>0</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5.0908875</v>
      </c>
      <c r="J20" s="21">
        <f t="shared" si="1"/>
        <v>1.3001318488380886E-2</v>
      </c>
      <c r="K20" s="21">
        <f t="shared" si="2"/>
        <v>7.5827058196228075E-3</v>
      </c>
      <c r="L20" s="21">
        <f t="shared" si="3"/>
        <v>3.7914646403660202E-3</v>
      </c>
      <c r="M20" s="21">
        <f t="shared" si="4"/>
        <v>5.418612668758079E-3</v>
      </c>
      <c r="N20" s="18">
        <f t="shared" si="5"/>
        <v>1900248</v>
      </c>
      <c r="O20" s="21">
        <v>16</v>
      </c>
      <c r="P20" s="22">
        <v>40685984</v>
      </c>
      <c r="Q20" s="22">
        <v>1271437</v>
      </c>
      <c r="R20" s="22">
        <v>340596.46875</v>
      </c>
      <c r="S20" s="23">
        <v>3258168</v>
      </c>
      <c r="T20" s="23">
        <v>950152</v>
      </c>
      <c r="U20" s="23">
        <v>950096</v>
      </c>
      <c r="V20" s="23">
        <v>1357920</v>
      </c>
      <c r="W20" s="24">
        <v>66.443431250000003</v>
      </c>
      <c r="X20" s="24">
        <v>67.960268749999997</v>
      </c>
      <c r="Y20" s="24">
        <v>30.722740625</v>
      </c>
      <c r="Z20" s="24">
        <v>39.511896874999998</v>
      </c>
      <c r="AA20" s="24">
        <v>38.274156249999997</v>
      </c>
      <c r="AB20" s="25">
        <v>2711.52</v>
      </c>
      <c r="AC20" s="25">
        <v>0</v>
      </c>
      <c r="AD20" s="25">
        <v>72.498000000000005</v>
      </c>
      <c r="AE20" s="25">
        <v>0</v>
      </c>
      <c r="AF20" s="58">
        <v>0</v>
      </c>
      <c r="AG20" s="20">
        <f t="shared" si="6"/>
        <v>5.0908875</v>
      </c>
      <c r="AH20" s="21">
        <f t="shared" si="7"/>
        <v>1.3001318488380886E-2</v>
      </c>
      <c r="AI20" s="21">
        <f t="shared" si="8"/>
        <v>7.5827058196228075E-3</v>
      </c>
      <c r="AJ20" s="21">
        <f t="shared" si="9"/>
        <v>3.7914646403660202E-3</v>
      </c>
      <c r="AK20" s="21">
        <f t="shared" si="10"/>
        <v>5.418612668758079E-3</v>
      </c>
      <c r="AL20" s="18">
        <f t="shared" si="11"/>
        <v>1900248</v>
      </c>
      <c r="AM20" s="21">
        <v>-12</v>
      </c>
      <c r="AN20" s="22">
        <v>40685984</v>
      </c>
      <c r="AO20" s="22">
        <v>1271437</v>
      </c>
      <c r="AP20" s="22">
        <v>340596.46875</v>
      </c>
      <c r="AQ20" s="23">
        <v>3258168</v>
      </c>
      <c r="AR20" s="23">
        <v>950152</v>
      </c>
      <c r="AS20" s="23">
        <v>950096</v>
      </c>
      <c r="AT20" s="23">
        <v>1357920</v>
      </c>
      <c r="AU20" s="24">
        <v>66.443431250000003</v>
      </c>
      <c r="AV20" s="24">
        <v>67.960268749999997</v>
      </c>
      <c r="AW20" s="24">
        <v>30.722740625</v>
      </c>
      <c r="AX20" s="24">
        <v>39.511896874999998</v>
      </c>
      <c r="AY20" s="24">
        <v>38.274156249999997</v>
      </c>
      <c r="AZ20" s="25">
        <v>2783.74</v>
      </c>
      <c r="BA20" s="25">
        <v>0</v>
      </c>
      <c r="BB20" s="25">
        <v>75.233999999999995</v>
      </c>
      <c r="BC20" s="25">
        <v>0</v>
      </c>
      <c r="BD20" s="59">
        <v>0</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0</v>
      </c>
      <c r="BM20" s="50">
        <f>IF( OR(ISBLANK(V20:V24),ISBLANK(AT20:AT24), ISBLANK(Z20:Z24),ISBLANK(AX20:AX24)), "·", bdRateExtend( V20:V24,Z20:Z24, AT20:AT24,AX20:AX24))</f>
        <v>0</v>
      </c>
      <c r="BN20" s="50">
        <f>IF( OR(ISBLANK(V20:V24),ISBLANK(AT20:AT24), ISBLANK(AA20:AA24),ISBLANK(AY20:AY24)), "·", bdRateExtend( V20:V24,AA20:AA24, AT20:AT24,AY20:AY24))</f>
        <v>0</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0</v>
      </c>
      <c r="BS20" s="50">
        <f>IF( OR(ISBLANK(S20:S24),ISBLANK(AQ20:AQ24), ISBLANK(Z20:Z24),ISBLANK(AX20:AX24)), "·", bdRateExtend( S20:S24,Z20:Z24, AQ20:AQ24,AX20:AX24))</f>
        <v>0</v>
      </c>
      <c r="BT20" s="50">
        <f>IF( OR(ISBLANK(S20:S24),ISBLANK(AQ20:AQ24), ISBLANK(AA20:AA24),ISBLANK(AY20:AY24)), "·", bdRateExtend( S20:S24,AA20:AA24, AQ20:AQ24,AY20:AY24))</f>
        <v>0</v>
      </c>
    </row>
    <row r="21" spans="1:72" outlineLevel="1" x14ac:dyDescent="0.3">
      <c r="A21" s="54"/>
      <c r="B21" s="54" t="s">
        <v>68</v>
      </c>
      <c r="C21" s="10" t="s">
        <v>231</v>
      </c>
      <c r="D21" s="54">
        <v>250602891</v>
      </c>
      <c r="E21" s="10">
        <v>10</v>
      </c>
      <c r="F21" s="10">
        <v>32</v>
      </c>
      <c r="G21" s="10">
        <v>50</v>
      </c>
      <c r="I21" s="11">
        <f t="shared" si="0"/>
        <v>7.567475</v>
      </c>
      <c r="J21" s="12">
        <f t="shared" si="1"/>
        <v>1.9326129801112309E-2</v>
      </c>
      <c r="K21" s="12">
        <f t="shared" si="2"/>
        <v>9.0183796004172992E-3</v>
      </c>
      <c r="L21" s="12">
        <f t="shared" si="3"/>
        <v>5.2271384211605128E-3</v>
      </c>
      <c r="M21" s="12">
        <f t="shared" si="4"/>
        <v>1.0307750200695012E-2</v>
      </c>
      <c r="N21" s="54">
        <f t="shared" si="5"/>
        <v>2260032</v>
      </c>
      <c r="O21" s="12">
        <v>16</v>
      </c>
      <c r="P21" s="13">
        <v>40685984</v>
      </c>
      <c r="Q21" s="13">
        <v>1271437</v>
      </c>
      <c r="R21" s="13">
        <v>304180.3125</v>
      </c>
      <c r="S21" s="14">
        <v>4843184</v>
      </c>
      <c r="T21" s="14">
        <v>1309936</v>
      </c>
      <c r="U21" s="14">
        <v>950096</v>
      </c>
      <c r="V21" s="14">
        <v>2583152</v>
      </c>
      <c r="W21" s="15">
        <v>67.911165624999995</v>
      </c>
      <c r="X21" s="15">
        <v>69.766625000000005</v>
      </c>
      <c r="Y21" s="15">
        <v>32.561021875000002</v>
      </c>
      <c r="Z21" s="15">
        <v>40.697315625000002</v>
      </c>
      <c r="AA21" s="15">
        <v>39.632271875000001</v>
      </c>
      <c r="AB21" s="16">
        <v>2794.74</v>
      </c>
      <c r="AC21" s="16">
        <v>0</v>
      </c>
      <c r="AD21" s="16">
        <v>73.998999999999995</v>
      </c>
      <c r="AE21" s="16">
        <v>0</v>
      </c>
      <c r="AF21" s="58">
        <v>0</v>
      </c>
      <c r="AG21" s="11">
        <f t="shared" si="6"/>
        <v>7.567475</v>
      </c>
      <c r="AH21" s="12">
        <f t="shared" si="7"/>
        <v>1.9326129801112309E-2</v>
      </c>
      <c r="AI21" s="12">
        <f t="shared" si="8"/>
        <v>9.0183796004172992E-3</v>
      </c>
      <c r="AJ21" s="12">
        <f t="shared" si="9"/>
        <v>5.2271384211605128E-3</v>
      </c>
      <c r="AK21" s="12">
        <f t="shared" si="10"/>
        <v>1.0307750200695012E-2</v>
      </c>
      <c r="AL21" s="54">
        <f t="shared" si="11"/>
        <v>2260032</v>
      </c>
      <c r="AM21" s="12">
        <v>-12</v>
      </c>
      <c r="AN21" s="13">
        <v>40685984</v>
      </c>
      <c r="AO21" s="13">
        <v>1271437</v>
      </c>
      <c r="AP21" s="13">
        <v>304180.3125</v>
      </c>
      <c r="AQ21" s="14">
        <v>4843184</v>
      </c>
      <c r="AR21" s="14">
        <v>1309936</v>
      </c>
      <c r="AS21" s="14">
        <v>950096</v>
      </c>
      <c r="AT21" s="14">
        <v>2583152</v>
      </c>
      <c r="AU21" s="15">
        <v>67.911165624999995</v>
      </c>
      <c r="AV21" s="15">
        <v>69.766625000000005</v>
      </c>
      <c r="AW21" s="15">
        <v>32.561021875000002</v>
      </c>
      <c r="AX21" s="15">
        <v>40.697315625000002</v>
      </c>
      <c r="AY21" s="15">
        <v>39.632271875000001</v>
      </c>
      <c r="AZ21" s="16">
        <v>2888.15</v>
      </c>
      <c r="BA21" s="16">
        <v>0</v>
      </c>
      <c r="BB21" s="16">
        <v>75.715999999999994</v>
      </c>
      <c r="BC21" s="16">
        <v>0</v>
      </c>
      <c r="BD21" s="59">
        <v>0</v>
      </c>
      <c r="BE21" s="51">
        <f t="shared" si="12"/>
        <v>1</v>
      </c>
      <c r="BF21" s="17">
        <f t="shared" si="13"/>
        <v>0</v>
      </c>
      <c r="BG21" s="17">
        <f t="shared" si="14"/>
        <v>0</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12.424725</v>
      </c>
      <c r="J22" s="21">
        <f t="shared" si="1"/>
        <v>3.1730775204823952E-2</v>
      </c>
      <c r="K22" s="21">
        <f t="shared" si="2"/>
        <v>1.1264706439479981E-2</v>
      </c>
      <c r="L22" s="21">
        <f t="shared" si="3"/>
        <v>7.4734652602231949E-3</v>
      </c>
      <c r="M22" s="21">
        <f t="shared" si="4"/>
        <v>2.0466068765343973E-2</v>
      </c>
      <c r="N22" s="18">
        <f t="shared" si="5"/>
        <v>2822968</v>
      </c>
      <c r="O22" s="21">
        <v>16</v>
      </c>
      <c r="P22" s="22">
        <v>40685984</v>
      </c>
      <c r="Q22" s="22">
        <v>1271437</v>
      </c>
      <c r="R22" s="22">
        <v>265569.40625</v>
      </c>
      <c r="S22" s="23">
        <v>7951824</v>
      </c>
      <c r="T22" s="23">
        <v>1872872</v>
      </c>
      <c r="U22" s="23">
        <v>950096</v>
      </c>
      <c r="V22" s="23">
        <v>5128856</v>
      </c>
      <c r="W22" s="24">
        <v>69.115356250000005</v>
      </c>
      <c r="X22" s="24">
        <v>71.277799999999999</v>
      </c>
      <c r="Y22" s="24">
        <v>34.390265624999998</v>
      </c>
      <c r="Z22" s="24">
        <v>41.737987500000003</v>
      </c>
      <c r="AA22" s="24">
        <v>40.709474999999998</v>
      </c>
      <c r="AB22" s="25">
        <v>2861.55</v>
      </c>
      <c r="AC22" s="25">
        <v>0</v>
      </c>
      <c r="AD22" s="25">
        <v>76.254999999999995</v>
      </c>
      <c r="AE22" s="25">
        <v>0</v>
      </c>
      <c r="AF22" s="58">
        <v>0</v>
      </c>
      <c r="AG22" s="20">
        <f t="shared" si="6"/>
        <v>12.424725</v>
      </c>
      <c r="AH22" s="21">
        <f t="shared" si="7"/>
        <v>3.1730775204823952E-2</v>
      </c>
      <c r="AI22" s="21">
        <f t="shared" si="8"/>
        <v>1.1264706439479981E-2</v>
      </c>
      <c r="AJ22" s="21">
        <f t="shared" si="9"/>
        <v>7.4734652602231949E-3</v>
      </c>
      <c r="AK22" s="21">
        <f t="shared" si="10"/>
        <v>2.0466068765343973E-2</v>
      </c>
      <c r="AL22" s="18">
        <f t="shared" si="11"/>
        <v>2822968</v>
      </c>
      <c r="AM22" s="21">
        <v>-12</v>
      </c>
      <c r="AN22" s="22">
        <v>40685984</v>
      </c>
      <c r="AO22" s="22">
        <v>1271437</v>
      </c>
      <c r="AP22" s="22">
        <v>265569.40625</v>
      </c>
      <c r="AQ22" s="23">
        <v>7951824</v>
      </c>
      <c r="AR22" s="23">
        <v>1872872</v>
      </c>
      <c r="AS22" s="23">
        <v>950096</v>
      </c>
      <c r="AT22" s="23">
        <v>5128856</v>
      </c>
      <c r="AU22" s="24">
        <v>69.115356250000005</v>
      </c>
      <c r="AV22" s="24">
        <v>71.277799999999999</v>
      </c>
      <c r="AW22" s="24">
        <v>34.390265624999998</v>
      </c>
      <c r="AX22" s="24">
        <v>41.737987500000003</v>
      </c>
      <c r="AY22" s="24">
        <v>40.709474999999998</v>
      </c>
      <c r="AZ22" s="25">
        <v>2891.56</v>
      </c>
      <c r="BA22" s="25">
        <v>0</v>
      </c>
      <c r="BB22" s="25">
        <v>76.183999999999997</v>
      </c>
      <c r="BC22" s="25">
        <v>0</v>
      </c>
      <c r="BD22" s="59">
        <v>0</v>
      </c>
      <c r="BE22" s="50">
        <f t="shared" si="12"/>
        <v>1</v>
      </c>
      <c r="BF22" s="26">
        <f t="shared" si="13"/>
        <v>0</v>
      </c>
      <c r="BG22" s="26">
        <f t="shared" si="14"/>
        <v>0</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22.335525000000001</v>
      </c>
      <c r="J23" s="12">
        <f t="shared" si="1"/>
        <v>5.7041385049304956E-2</v>
      </c>
      <c r="K23" s="12">
        <f t="shared" si="2"/>
        <v>1.5193120816790577E-2</v>
      </c>
      <c r="L23" s="12">
        <f t="shared" si="3"/>
        <v>1.140187963753379E-2</v>
      </c>
      <c r="M23" s="12">
        <f t="shared" si="4"/>
        <v>4.1848264232514379E-2</v>
      </c>
      <c r="N23" s="54">
        <f t="shared" si="5"/>
        <v>3807440</v>
      </c>
      <c r="O23" s="12">
        <v>16</v>
      </c>
      <c r="P23" s="13">
        <v>40685984</v>
      </c>
      <c r="Q23" s="13">
        <v>1271437</v>
      </c>
      <c r="R23" s="13">
        <v>266877.1875</v>
      </c>
      <c r="S23" s="14">
        <v>14294736</v>
      </c>
      <c r="T23" s="14">
        <v>2857344</v>
      </c>
      <c r="U23" s="14">
        <v>950096</v>
      </c>
      <c r="V23" s="14">
        <v>10487296</v>
      </c>
      <c r="W23" s="15">
        <v>70.003062499999999</v>
      </c>
      <c r="X23" s="15">
        <v>72.386859375</v>
      </c>
      <c r="Y23" s="15">
        <v>36.085459374999999</v>
      </c>
      <c r="Z23" s="15">
        <v>42.927556250000002</v>
      </c>
      <c r="AA23" s="15">
        <v>41.798271874999998</v>
      </c>
      <c r="AB23" s="16">
        <v>3022.76</v>
      </c>
      <c r="AC23" s="16">
        <v>0</v>
      </c>
      <c r="AD23" s="16">
        <v>75.533000000000001</v>
      </c>
      <c r="AE23" s="16">
        <v>0</v>
      </c>
      <c r="AF23" s="58">
        <v>0</v>
      </c>
      <c r="AG23" s="11">
        <f t="shared" si="6"/>
        <v>22.335525000000001</v>
      </c>
      <c r="AH23" s="12">
        <f t="shared" si="7"/>
        <v>5.7041385049304956E-2</v>
      </c>
      <c r="AI23" s="12">
        <f t="shared" si="8"/>
        <v>1.5193120816790577E-2</v>
      </c>
      <c r="AJ23" s="12">
        <f t="shared" si="9"/>
        <v>1.140187963753379E-2</v>
      </c>
      <c r="AK23" s="12">
        <f t="shared" si="10"/>
        <v>4.1848264232514379E-2</v>
      </c>
      <c r="AL23" s="54">
        <f t="shared" si="11"/>
        <v>3807440</v>
      </c>
      <c r="AM23" s="12">
        <v>-12</v>
      </c>
      <c r="AN23" s="13">
        <v>40685984</v>
      </c>
      <c r="AO23" s="13">
        <v>1271437</v>
      </c>
      <c r="AP23" s="13">
        <v>266877.1875</v>
      </c>
      <c r="AQ23" s="14">
        <v>14294736</v>
      </c>
      <c r="AR23" s="14">
        <v>2857344</v>
      </c>
      <c r="AS23" s="14">
        <v>950096</v>
      </c>
      <c r="AT23" s="14">
        <v>10487296</v>
      </c>
      <c r="AU23" s="15">
        <v>70.003062499999999</v>
      </c>
      <c r="AV23" s="15">
        <v>72.386859375</v>
      </c>
      <c r="AW23" s="15">
        <v>36.085459374999999</v>
      </c>
      <c r="AX23" s="15">
        <v>42.927556250000002</v>
      </c>
      <c r="AY23" s="15">
        <v>41.798271874999998</v>
      </c>
      <c r="AZ23" s="16">
        <v>2995.03</v>
      </c>
      <c r="BA23" s="16">
        <v>0</v>
      </c>
      <c r="BB23" s="16">
        <v>78.498000000000005</v>
      </c>
      <c r="BC23" s="16">
        <v>0</v>
      </c>
      <c r="BD23" s="59">
        <v>0</v>
      </c>
      <c r="BE23" s="51">
        <f t="shared" si="12"/>
        <v>1</v>
      </c>
      <c r="BF23" s="17">
        <f t="shared" si="13"/>
        <v>0</v>
      </c>
      <c r="BG23" s="17">
        <f t="shared" si="14"/>
        <v>0</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39.292999999999999</v>
      </c>
      <c r="J24" s="40">
        <f t="shared" si="1"/>
        <v>0.10034808417274005</v>
      </c>
      <c r="K24" s="40">
        <f t="shared" si="2"/>
        <v>2.5280378748703262E-2</v>
      </c>
      <c r="L24" s="40">
        <f t="shared" si="3"/>
        <v>1.7958835119743291E-2</v>
      </c>
      <c r="M24" s="40">
        <f t="shared" si="4"/>
        <v>7.506770542403679E-2</v>
      </c>
      <c r="N24" s="37">
        <f t="shared" si="5"/>
        <v>6335336</v>
      </c>
      <c r="O24" s="40">
        <v>16</v>
      </c>
      <c r="P24" s="41">
        <v>38287000</v>
      </c>
      <c r="Q24" s="41">
        <v>1196468.75</v>
      </c>
      <c r="R24" s="41">
        <v>225251.90625</v>
      </c>
      <c r="S24" s="42">
        <v>25147520</v>
      </c>
      <c r="T24" s="42">
        <v>4500536</v>
      </c>
      <c r="U24" s="42">
        <v>1834800</v>
      </c>
      <c r="V24" s="42">
        <v>18812184</v>
      </c>
      <c r="W24" s="43">
        <v>72.085549999999998</v>
      </c>
      <c r="X24" s="43">
        <v>75.98850625</v>
      </c>
      <c r="Y24" s="43">
        <v>37.424437500000003</v>
      </c>
      <c r="Z24" s="43">
        <v>43.961909374999998</v>
      </c>
      <c r="AA24" s="43">
        <v>42.636009375</v>
      </c>
      <c r="AB24" s="44">
        <v>3204.26</v>
      </c>
      <c r="AC24" s="44">
        <v>0</v>
      </c>
      <c r="AD24" s="44">
        <v>76.119</v>
      </c>
      <c r="AE24" s="44">
        <v>0</v>
      </c>
      <c r="AF24" s="58">
        <v>0</v>
      </c>
      <c r="AG24" s="39">
        <f t="shared" si="6"/>
        <v>39.292999999999999</v>
      </c>
      <c r="AH24" s="40">
        <f t="shared" si="7"/>
        <v>0.10034808417274005</v>
      </c>
      <c r="AI24" s="40">
        <f t="shared" si="8"/>
        <v>2.5280378748703262E-2</v>
      </c>
      <c r="AJ24" s="40">
        <f t="shared" si="9"/>
        <v>1.7958835119743291E-2</v>
      </c>
      <c r="AK24" s="40">
        <f t="shared" si="10"/>
        <v>7.506770542403679E-2</v>
      </c>
      <c r="AL24" s="37">
        <f t="shared" si="11"/>
        <v>6335336</v>
      </c>
      <c r="AM24" s="40">
        <v>-12</v>
      </c>
      <c r="AN24" s="41">
        <v>38287000</v>
      </c>
      <c r="AO24" s="41">
        <v>1196468.75</v>
      </c>
      <c r="AP24" s="41">
        <v>225251.90625</v>
      </c>
      <c r="AQ24" s="42">
        <v>25147520</v>
      </c>
      <c r="AR24" s="42">
        <v>4500536</v>
      </c>
      <c r="AS24" s="42">
        <v>1834800</v>
      </c>
      <c r="AT24" s="42">
        <v>18812184</v>
      </c>
      <c r="AU24" s="43">
        <v>72.085549999999998</v>
      </c>
      <c r="AV24" s="43">
        <v>75.98850625</v>
      </c>
      <c r="AW24" s="43">
        <v>37.424437500000003</v>
      </c>
      <c r="AX24" s="43">
        <v>43.961909374999998</v>
      </c>
      <c r="AY24" s="43">
        <v>42.636009375</v>
      </c>
      <c r="AZ24" s="44">
        <v>3154.49</v>
      </c>
      <c r="BA24" s="44">
        <v>0</v>
      </c>
      <c r="BB24" s="44">
        <v>74.759</v>
      </c>
      <c r="BC24" s="44">
        <v>0</v>
      </c>
      <c r="BD24" s="59">
        <v>0</v>
      </c>
      <c r="BE24" s="45">
        <f t="shared" si="12"/>
        <v>1</v>
      </c>
      <c r="BF24" s="46">
        <f t="shared" si="13"/>
        <v>0</v>
      </c>
      <c r="BG24" s="46">
        <f t="shared" si="14"/>
        <v>0</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4.3321350000000001</v>
      </c>
      <c r="J25" s="12">
        <f t="shared" si="1"/>
        <v>1.8462021682914415E-2</v>
      </c>
      <c r="K25" s="12">
        <f t="shared" si="2"/>
        <v>6.4492646508824553E-3</v>
      </c>
      <c r="L25" s="12">
        <f t="shared" si="3"/>
        <v>3.6966041877806209E-3</v>
      </c>
      <c r="M25" s="12">
        <f t="shared" si="4"/>
        <v>1.2012757032031959E-2</v>
      </c>
      <c r="N25" s="54">
        <f t="shared" si="5"/>
        <v>1614216</v>
      </c>
      <c r="O25" s="12">
        <v>16</v>
      </c>
      <c r="P25" s="13">
        <v>35965984</v>
      </c>
      <c r="Q25" s="13">
        <v>1123937</v>
      </c>
      <c r="R25" s="13">
        <v>406781.5</v>
      </c>
      <c r="S25" s="14">
        <v>4620944</v>
      </c>
      <c r="T25" s="14">
        <v>925240</v>
      </c>
      <c r="U25" s="14">
        <v>688976</v>
      </c>
      <c r="V25" s="14">
        <v>3006728</v>
      </c>
      <c r="W25" s="15">
        <v>66.00690625</v>
      </c>
      <c r="X25" s="15">
        <v>67.411503124999996</v>
      </c>
      <c r="Y25" s="15">
        <v>27.282903125000001</v>
      </c>
      <c r="Z25" s="15">
        <v>33.155328124999997</v>
      </c>
      <c r="AA25" s="15">
        <v>32.570596875</v>
      </c>
      <c r="AB25" s="16">
        <v>1956.69</v>
      </c>
      <c r="AC25" s="16">
        <v>0</v>
      </c>
      <c r="AD25" s="16">
        <v>71.316000000000003</v>
      </c>
      <c r="AE25" s="16">
        <v>0</v>
      </c>
      <c r="AF25" s="58">
        <v>0</v>
      </c>
      <c r="AG25" s="11">
        <f t="shared" si="6"/>
        <v>4.3321350000000001</v>
      </c>
      <c r="AH25" s="12">
        <f t="shared" si="7"/>
        <v>1.8462021682914415E-2</v>
      </c>
      <c r="AI25" s="12">
        <f t="shared" si="8"/>
        <v>6.4492646508824553E-3</v>
      </c>
      <c r="AJ25" s="12">
        <f t="shared" si="9"/>
        <v>3.6966041877806209E-3</v>
      </c>
      <c r="AK25" s="12">
        <f t="shared" si="10"/>
        <v>1.2012757032031959E-2</v>
      </c>
      <c r="AL25" s="54">
        <f t="shared" si="11"/>
        <v>1614216</v>
      </c>
      <c r="AM25" s="12">
        <v>-12</v>
      </c>
      <c r="AN25" s="13">
        <v>35965984</v>
      </c>
      <c r="AO25" s="13">
        <v>1123937</v>
      </c>
      <c r="AP25" s="13">
        <v>406781.5</v>
      </c>
      <c r="AQ25" s="14">
        <v>4620944</v>
      </c>
      <c r="AR25" s="14">
        <v>925240</v>
      </c>
      <c r="AS25" s="14">
        <v>688976</v>
      </c>
      <c r="AT25" s="14">
        <v>3006728</v>
      </c>
      <c r="AU25" s="15">
        <v>66.00690625</v>
      </c>
      <c r="AV25" s="15">
        <v>67.411503124999996</v>
      </c>
      <c r="AW25" s="15">
        <v>27.282903125000001</v>
      </c>
      <c r="AX25" s="15">
        <v>33.155328124999997</v>
      </c>
      <c r="AY25" s="15">
        <v>32.570596875</v>
      </c>
      <c r="AZ25" s="16">
        <v>1960.67</v>
      </c>
      <c r="BA25" s="16">
        <v>0</v>
      </c>
      <c r="BB25" s="16">
        <v>72.358000000000004</v>
      </c>
      <c r="BC25" s="16">
        <v>0</v>
      </c>
      <c r="BD25" s="59">
        <v>0</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0</v>
      </c>
      <c r="BM25" s="51">
        <f>IF( OR(ISBLANK(V25:V29),ISBLANK(AT25:AT29), ISBLANK(Z25:Z29),ISBLANK(AX25:AX29)), "·", bdRateExtend( V25:V29,Z25:Z29, AT25:AT29,AX25:AX29))</f>
        <v>0</v>
      </c>
      <c r="BN25" s="51">
        <f>IF( OR(ISBLANK(V25:V29),ISBLANK(AT25:AT29), ISBLANK(AA25:AA29),ISBLANK(AY25:AY29)), "·", bdRateExtend( V25:V29,AA25:AA29, AT25:AT29,AY25:AY29))</f>
        <v>0</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0</v>
      </c>
      <c r="BS25" s="51">
        <f>IF( OR(ISBLANK(S25:S29),ISBLANK(AQ25:AQ29), ISBLANK(Z25:Z29),ISBLANK(AX25:AX29)), "·", bdRateExtend( S25:S29,Z25:Z29, AQ25:AQ29,AX25:AX29))</f>
        <v>0</v>
      </c>
      <c r="BT25" s="51">
        <f>IF( OR(ISBLANK(S25:S29),ISBLANK(AQ25:AQ29), ISBLANK(AA25:AA29),ISBLANK(AY25:AY29)), "·", bdRateExtend( S25:S29,AA25:AA29, AQ25:AQ29,AY25:AY29))</f>
        <v>0</v>
      </c>
    </row>
    <row r="26" spans="1:72" outlineLevel="1" x14ac:dyDescent="0.3">
      <c r="A26" s="18"/>
      <c r="B26" s="18" t="s">
        <v>71</v>
      </c>
      <c r="C26" s="19" t="s">
        <v>231</v>
      </c>
      <c r="D26" s="18">
        <v>250294582</v>
      </c>
      <c r="E26" s="19">
        <v>10</v>
      </c>
      <c r="F26" s="19">
        <v>32</v>
      </c>
      <c r="G26" s="19">
        <v>30</v>
      </c>
      <c r="I26" s="20">
        <f t="shared" si="0"/>
        <v>7.4315249999999997</v>
      </c>
      <c r="J26" s="21">
        <f t="shared" si="1"/>
        <v>3.167052173746214E-2</v>
      </c>
      <c r="K26" s="21">
        <f t="shared" si="2"/>
        <v>7.9824660367598371E-3</v>
      </c>
      <c r="L26" s="21">
        <f t="shared" si="3"/>
        <v>5.2298055736580027E-3</v>
      </c>
      <c r="M26" s="21">
        <f t="shared" si="4"/>
        <v>2.3688055700702301E-2</v>
      </c>
      <c r="N26" s="18">
        <f t="shared" si="5"/>
        <v>1997968</v>
      </c>
      <c r="O26" s="21">
        <v>16</v>
      </c>
      <c r="P26" s="22">
        <v>35965984</v>
      </c>
      <c r="Q26" s="22">
        <v>1123937</v>
      </c>
      <c r="R26" s="22">
        <v>363345.53125</v>
      </c>
      <c r="S26" s="23">
        <v>7926960</v>
      </c>
      <c r="T26" s="23">
        <v>1308992</v>
      </c>
      <c r="U26" s="23">
        <v>688976</v>
      </c>
      <c r="V26" s="23">
        <v>5928992</v>
      </c>
      <c r="W26" s="24">
        <v>67.453931249999997</v>
      </c>
      <c r="X26" s="24">
        <v>69.160274999999999</v>
      </c>
      <c r="Y26" s="24">
        <v>29.65118125</v>
      </c>
      <c r="Z26" s="24">
        <v>34.333340624999998</v>
      </c>
      <c r="AA26" s="24">
        <v>33.879081249999999</v>
      </c>
      <c r="AB26" s="25">
        <v>2048</v>
      </c>
      <c r="AC26" s="25">
        <v>0</v>
      </c>
      <c r="AD26" s="25">
        <v>73.33</v>
      </c>
      <c r="AE26" s="25">
        <v>0</v>
      </c>
      <c r="AF26" s="58">
        <v>0</v>
      </c>
      <c r="AG26" s="20">
        <f t="shared" si="6"/>
        <v>7.4315249999999997</v>
      </c>
      <c r="AH26" s="21">
        <f t="shared" si="7"/>
        <v>3.167052173746214E-2</v>
      </c>
      <c r="AI26" s="21">
        <f t="shared" si="8"/>
        <v>7.9824660367598371E-3</v>
      </c>
      <c r="AJ26" s="21">
        <f t="shared" si="9"/>
        <v>5.2298055736580027E-3</v>
      </c>
      <c r="AK26" s="21">
        <f t="shared" si="10"/>
        <v>2.3688055700702301E-2</v>
      </c>
      <c r="AL26" s="18">
        <f t="shared" si="11"/>
        <v>1997968</v>
      </c>
      <c r="AM26" s="21">
        <v>-12</v>
      </c>
      <c r="AN26" s="22">
        <v>35965984</v>
      </c>
      <c r="AO26" s="22">
        <v>1123937</v>
      </c>
      <c r="AP26" s="22">
        <v>363345.53125</v>
      </c>
      <c r="AQ26" s="23">
        <v>7926960</v>
      </c>
      <c r="AR26" s="23">
        <v>1308992</v>
      </c>
      <c r="AS26" s="23">
        <v>688976</v>
      </c>
      <c r="AT26" s="23">
        <v>5928992</v>
      </c>
      <c r="AU26" s="24">
        <v>67.453931249999997</v>
      </c>
      <c r="AV26" s="24">
        <v>69.160274999999999</v>
      </c>
      <c r="AW26" s="24">
        <v>29.65118125</v>
      </c>
      <c r="AX26" s="24">
        <v>34.333340624999998</v>
      </c>
      <c r="AY26" s="24">
        <v>33.879081249999999</v>
      </c>
      <c r="AZ26" s="25">
        <v>2071.08</v>
      </c>
      <c r="BA26" s="25">
        <v>0</v>
      </c>
      <c r="BB26" s="25">
        <v>70.44</v>
      </c>
      <c r="BC26" s="25">
        <v>0</v>
      </c>
      <c r="BD26" s="59">
        <v>0</v>
      </c>
      <c r="BE26" s="50">
        <f t="shared" si="12"/>
        <v>1</v>
      </c>
      <c r="BF26" s="26">
        <f t="shared" si="13"/>
        <v>0</v>
      </c>
      <c r="BG26" s="26">
        <f t="shared" si="14"/>
        <v>0</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13.121174999999999</v>
      </c>
      <c r="J27" s="12">
        <f t="shared" si="1"/>
        <v>5.5917790501753648E-2</v>
      </c>
      <c r="K27" s="12">
        <f t="shared" si="2"/>
        <v>1.0287941430550023E-2</v>
      </c>
      <c r="L27" s="12">
        <f t="shared" si="3"/>
        <v>7.5352809674481885E-3</v>
      </c>
      <c r="M27" s="12">
        <f t="shared" si="4"/>
        <v>4.5629849071203626E-2</v>
      </c>
      <c r="N27" s="54">
        <f t="shared" si="5"/>
        <v>2575016</v>
      </c>
      <c r="O27" s="12">
        <v>16</v>
      </c>
      <c r="P27" s="13">
        <v>35965984</v>
      </c>
      <c r="Q27" s="13">
        <v>1123937</v>
      </c>
      <c r="R27" s="13">
        <v>355772.28125</v>
      </c>
      <c r="S27" s="14">
        <v>13995920</v>
      </c>
      <c r="T27" s="14">
        <v>1886040</v>
      </c>
      <c r="U27" s="14">
        <v>688976</v>
      </c>
      <c r="V27" s="14">
        <v>11420904</v>
      </c>
      <c r="W27" s="15">
        <v>68.724056250000004</v>
      </c>
      <c r="X27" s="15">
        <v>70.701321875000005</v>
      </c>
      <c r="Y27" s="15">
        <v>32.165621874999999</v>
      </c>
      <c r="Z27" s="15">
        <v>35.579974999999997</v>
      </c>
      <c r="AA27" s="15">
        <v>35.186093749999998</v>
      </c>
      <c r="AB27" s="16">
        <v>2144.7399999999998</v>
      </c>
      <c r="AC27" s="16">
        <v>0</v>
      </c>
      <c r="AD27" s="16">
        <v>72.091999999999999</v>
      </c>
      <c r="AE27" s="16">
        <v>0</v>
      </c>
      <c r="AF27" s="58">
        <v>0</v>
      </c>
      <c r="AG27" s="11">
        <f t="shared" si="6"/>
        <v>13.121174999999999</v>
      </c>
      <c r="AH27" s="12">
        <f t="shared" si="7"/>
        <v>5.5917790501753648E-2</v>
      </c>
      <c r="AI27" s="12">
        <f t="shared" si="8"/>
        <v>1.0287941430550023E-2</v>
      </c>
      <c r="AJ27" s="12">
        <f t="shared" si="9"/>
        <v>7.5352809674481885E-3</v>
      </c>
      <c r="AK27" s="12">
        <f t="shared" si="10"/>
        <v>4.5629849071203626E-2</v>
      </c>
      <c r="AL27" s="54">
        <f t="shared" si="11"/>
        <v>2575016</v>
      </c>
      <c r="AM27" s="12">
        <v>-12</v>
      </c>
      <c r="AN27" s="13">
        <v>35965984</v>
      </c>
      <c r="AO27" s="13">
        <v>1123937</v>
      </c>
      <c r="AP27" s="13">
        <v>355772.28125</v>
      </c>
      <c r="AQ27" s="14">
        <v>13995920</v>
      </c>
      <c r="AR27" s="14">
        <v>1886040</v>
      </c>
      <c r="AS27" s="14">
        <v>688976</v>
      </c>
      <c r="AT27" s="14">
        <v>11420904</v>
      </c>
      <c r="AU27" s="15">
        <v>68.724056250000004</v>
      </c>
      <c r="AV27" s="15">
        <v>70.701321875000005</v>
      </c>
      <c r="AW27" s="15">
        <v>32.165621874999999</v>
      </c>
      <c r="AX27" s="15">
        <v>35.579974999999997</v>
      </c>
      <c r="AY27" s="15">
        <v>35.186093749999998</v>
      </c>
      <c r="AZ27" s="16">
        <v>2200.04</v>
      </c>
      <c r="BA27" s="16">
        <v>0</v>
      </c>
      <c r="BB27" s="16">
        <v>73.778000000000006</v>
      </c>
      <c r="BC27" s="16">
        <v>0</v>
      </c>
      <c r="BD27" s="59">
        <v>0</v>
      </c>
      <c r="BE27" s="51">
        <f t="shared" si="12"/>
        <v>1</v>
      </c>
      <c r="BF27" s="17">
        <f t="shared" si="13"/>
        <v>0</v>
      </c>
      <c r="BG27" s="17">
        <f t="shared" si="14"/>
        <v>0</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24.476610000000001</v>
      </c>
      <c r="J28" s="21">
        <f t="shared" si="1"/>
        <v>0.10431062387119511</v>
      </c>
      <c r="K28" s="21">
        <f t="shared" si="2"/>
        <v>1.4138252501206759E-2</v>
      </c>
      <c r="L28" s="21">
        <f t="shared" si="3"/>
        <v>1.1385592038104924E-2</v>
      </c>
      <c r="M28" s="21">
        <f t="shared" si="4"/>
        <v>9.0172371369988347E-2</v>
      </c>
      <c r="N28" s="18">
        <f t="shared" si="5"/>
        <v>3538728</v>
      </c>
      <c r="O28" s="21">
        <v>16</v>
      </c>
      <c r="P28" s="22">
        <v>35965984</v>
      </c>
      <c r="Q28" s="22">
        <v>1123937</v>
      </c>
      <c r="R28" s="22">
        <v>337268.28125</v>
      </c>
      <c r="S28" s="23">
        <v>26108384</v>
      </c>
      <c r="T28" s="23">
        <v>2849752</v>
      </c>
      <c r="U28" s="23">
        <v>688976</v>
      </c>
      <c r="V28" s="23">
        <v>22569656</v>
      </c>
      <c r="W28" s="24">
        <v>69.623440625000001</v>
      </c>
      <c r="X28" s="24">
        <v>71.757112500000005</v>
      </c>
      <c r="Y28" s="24">
        <v>34.892218749999998</v>
      </c>
      <c r="Z28" s="24">
        <v>37.370818749999998</v>
      </c>
      <c r="AA28" s="24">
        <v>36.931337499999998</v>
      </c>
      <c r="AB28" s="25">
        <v>2324.16</v>
      </c>
      <c r="AC28" s="25">
        <v>0</v>
      </c>
      <c r="AD28" s="25">
        <v>73.616</v>
      </c>
      <c r="AE28" s="25">
        <v>0</v>
      </c>
      <c r="AF28" s="58">
        <v>0</v>
      </c>
      <c r="AG28" s="20">
        <f t="shared" si="6"/>
        <v>24.476610000000001</v>
      </c>
      <c r="AH28" s="21">
        <f t="shared" si="7"/>
        <v>0.10431062387119511</v>
      </c>
      <c r="AI28" s="21">
        <f t="shared" si="8"/>
        <v>1.4138252501206759E-2</v>
      </c>
      <c r="AJ28" s="21">
        <f t="shared" si="9"/>
        <v>1.1385592038104924E-2</v>
      </c>
      <c r="AK28" s="21">
        <f t="shared" si="10"/>
        <v>9.0172371369988347E-2</v>
      </c>
      <c r="AL28" s="18">
        <f t="shared" si="11"/>
        <v>3538728</v>
      </c>
      <c r="AM28" s="21">
        <v>-12</v>
      </c>
      <c r="AN28" s="22">
        <v>35965984</v>
      </c>
      <c r="AO28" s="22">
        <v>1123937</v>
      </c>
      <c r="AP28" s="22">
        <v>337268.28125</v>
      </c>
      <c r="AQ28" s="23">
        <v>26108384</v>
      </c>
      <c r="AR28" s="23">
        <v>2849752</v>
      </c>
      <c r="AS28" s="23">
        <v>688976</v>
      </c>
      <c r="AT28" s="23">
        <v>22569656</v>
      </c>
      <c r="AU28" s="24">
        <v>69.623440625000001</v>
      </c>
      <c r="AV28" s="24">
        <v>71.757112500000005</v>
      </c>
      <c r="AW28" s="24">
        <v>34.892218749999998</v>
      </c>
      <c r="AX28" s="24">
        <v>37.370818749999998</v>
      </c>
      <c r="AY28" s="24">
        <v>36.931337499999998</v>
      </c>
      <c r="AZ28" s="25">
        <v>2380.54</v>
      </c>
      <c r="BA28" s="25">
        <v>0</v>
      </c>
      <c r="BB28" s="25">
        <v>73.991</v>
      </c>
      <c r="BC28" s="25">
        <v>0</v>
      </c>
      <c r="BD28" s="59">
        <v>0</v>
      </c>
      <c r="BE28" s="50">
        <f t="shared" si="12"/>
        <v>1</v>
      </c>
      <c r="BF28" s="26">
        <f t="shared" si="13"/>
        <v>0</v>
      </c>
      <c r="BG28" s="26">
        <f t="shared" si="14"/>
        <v>0</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44.310052499999998</v>
      </c>
      <c r="J29" s="30">
        <f t="shared" si="1"/>
        <v>0.18883371594515777</v>
      </c>
      <c r="K29" s="30">
        <f t="shared" si="2"/>
        <v>2.2856012120949547E-2</v>
      </c>
      <c r="L29" s="30">
        <f t="shared" si="3"/>
        <v>1.7621859669339546E-2</v>
      </c>
      <c r="M29" s="30">
        <f t="shared" si="4"/>
        <v>0.16597770382420823</v>
      </c>
      <c r="N29" s="27">
        <f t="shared" si="5"/>
        <v>5720736</v>
      </c>
      <c r="O29" s="30">
        <v>16</v>
      </c>
      <c r="P29" s="31">
        <v>34517616</v>
      </c>
      <c r="Q29" s="31">
        <v>1078675.5</v>
      </c>
      <c r="R29" s="31">
        <v>316986.6875</v>
      </c>
      <c r="S29" s="32">
        <v>47264056</v>
      </c>
      <c r="T29" s="32">
        <v>4410656</v>
      </c>
      <c r="U29" s="32">
        <v>1310080</v>
      </c>
      <c r="V29" s="32">
        <v>41543320</v>
      </c>
      <c r="W29" s="33">
        <v>71.322306249999997</v>
      </c>
      <c r="X29" s="33">
        <v>75.056931250000005</v>
      </c>
      <c r="Y29" s="33">
        <v>37.444031250000002</v>
      </c>
      <c r="Z29" s="33">
        <v>39.412381250000003</v>
      </c>
      <c r="AA29" s="33">
        <v>38.773575000000001</v>
      </c>
      <c r="AB29" s="34">
        <v>2562.02</v>
      </c>
      <c r="AC29" s="34">
        <v>0</v>
      </c>
      <c r="AD29" s="34">
        <v>75.483000000000004</v>
      </c>
      <c r="AE29" s="34">
        <v>0</v>
      </c>
      <c r="AF29" s="58">
        <v>0</v>
      </c>
      <c r="AG29" s="29">
        <f t="shared" si="6"/>
        <v>44.310052499999998</v>
      </c>
      <c r="AH29" s="30">
        <f t="shared" si="7"/>
        <v>0.18883371594515777</v>
      </c>
      <c r="AI29" s="30">
        <f t="shared" si="8"/>
        <v>2.2856012120949547E-2</v>
      </c>
      <c r="AJ29" s="30">
        <f t="shared" si="9"/>
        <v>1.7621859669339546E-2</v>
      </c>
      <c r="AK29" s="30">
        <f t="shared" si="10"/>
        <v>0.16597770382420823</v>
      </c>
      <c r="AL29" s="27">
        <f t="shared" si="11"/>
        <v>5720736</v>
      </c>
      <c r="AM29" s="30">
        <v>-12</v>
      </c>
      <c r="AN29" s="31">
        <v>34517616</v>
      </c>
      <c r="AO29" s="31">
        <v>1078675.5</v>
      </c>
      <c r="AP29" s="31">
        <v>316986.6875</v>
      </c>
      <c r="AQ29" s="32">
        <v>47264056</v>
      </c>
      <c r="AR29" s="32">
        <v>4410656</v>
      </c>
      <c r="AS29" s="32">
        <v>1310080</v>
      </c>
      <c r="AT29" s="32">
        <v>41543320</v>
      </c>
      <c r="AU29" s="33">
        <v>71.322306249999997</v>
      </c>
      <c r="AV29" s="33">
        <v>75.056931250000005</v>
      </c>
      <c r="AW29" s="33">
        <v>37.444031250000002</v>
      </c>
      <c r="AX29" s="33">
        <v>39.412381250000003</v>
      </c>
      <c r="AY29" s="33">
        <v>38.773575000000001</v>
      </c>
      <c r="AZ29" s="34">
        <v>2611.9899999999998</v>
      </c>
      <c r="BA29" s="34">
        <v>0</v>
      </c>
      <c r="BB29" s="34">
        <v>72.915000000000006</v>
      </c>
      <c r="BC29" s="34">
        <v>0</v>
      </c>
      <c r="BD29" s="59">
        <v>0</v>
      </c>
      <c r="BE29" s="35">
        <f t="shared" si="12"/>
        <v>1</v>
      </c>
      <c r="BF29" s="36">
        <f t="shared" si="13"/>
        <v>0</v>
      </c>
      <c r="BG29" s="36">
        <f t="shared" si="14"/>
        <v>0</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5.7060899999999997</v>
      </c>
      <c r="J30" s="21">
        <f t="shared" si="1"/>
        <v>1.621238835636344E-2</v>
      </c>
      <c r="K30" s="21">
        <f t="shared" si="2"/>
        <v>9.8547093359250861E-3</v>
      </c>
      <c r="L30" s="21">
        <f t="shared" si="3"/>
        <v>6.1517883453449237E-3</v>
      </c>
      <c r="M30" s="21">
        <f t="shared" si="4"/>
        <v>6.3576790204383548E-3</v>
      </c>
      <c r="N30" s="18">
        <f t="shared" si="5"/>
        <v>3699680</v>
      </c>
      <c r="O30" s="21">
        <v>16</v>
      </c>
      <c r="P30" s="22">
        <v>132024544</v>
      </c>
      <c r="Q30" s="22">
        <v>4125767</v>
      </c>
      <c r="R30" s="22">
        <v>1509546</v>
      </c>
      <c r="S30" s="23">
        <v>6086496</v>
      </c>
      <c r="T30" s="23">
        <v>2309520</v>
      </c>
      <c r="U30" s="23">
        <v>1390160</v>
      </c>
      <c r="V30" s="23">
        <v>2386816</v>
      </c>
      <c r="W30" s="24">
        <v>73.421859374999997</v>
      </c>
      <c r="X30" s="24">
        <v>75.127806250000006</v>
      </c>
      <c r="Y30" s="24">
        <v>34.699784375</v>
      </c>
      <c r="Z30" s="24">
        <v>42.112987500000003</v>
      </c>
      <c r="AA30" s="24">
        <v>43.7976375</v>
      </c>
      <c r="AB30" s="25">
        <v>5821.76</v>
      </c>
      <c r="AC30" s="25">
        <v>0</v>
      </c>
      <c r="AD30" s="25">
        <v>242.67500000000001</v>
      </c>
      <c r="AE30" s="25">
        <v>0</v>
      </c>
      <c r="AF30" s="58">
        <v>0</v>
      </c>
      <c r="AG30" s="20">
        <f t="shared" si="6"/>
        <v>5.7060899999999997</v>
      </c>
      <c r="AH30" s="21">
        <f t="shared" si="7"/>
        <v>1.621238835636344E-2</v>
      </c>
      <c r="AI30" s="21">
        <f t="shared" si="8"/>
        <v>9.8547093359250861E-3</v>
      </c>
      <c r="AJ30" s="21">
        <f t="shared" si="9"/>
        <v>6.1517883453449237E-3</v>
      </c>
      <c r="AK30" s="21">
        <f t="shared" si="10"/>
        <v>6.3576790204383548E-3</v>
      </c>
      <c r="AL30" s="18">
        <f t="shared" si="11"/>
        <v>3699680</v>
      </c>
      <c r="AM30" s="21">
        <v>-12</v>
      </c>
      <c r="AN30" s="22">
        <v>132024544</v>
      </c>
      <c r="AO30" s="22">
        <v>4125767</v>
      </c>
      <c r="AP30" s="22">
        <v>1509546</v>
      </c>
      <c r="AQ30" s="23">
        <v>6086496</v>
      </c>
      <c r="AR30" s="23">
        <v>2309520</v>
      </c>
      <c r="AS30" s="23">
        <v>1390160</v>
      </c>
      <c r="AT30" s="23">
        <v>2386816</v>
      </c>
      <c r="AU30" s="24">
        <v>73.421859374999997</v>
      </c>
      <c r="AV30" s="24">
        <v>75.127806250000006</v>
      </c>
      <c r="AW30" s="24">
        <v>34.699784375</v>
      </c>
      <c r="AX30" s="24">
        <v>42.112987500000003</v>
      </c>
      <c r="AY30" s="24">
        <v>43.7976375</v>
      </c>
      <c r="AZ30" s="25">
        <v>5903.5</v>
      </c>
      <c r="BA30" s="25">
        <v>0</v>
      </c>
      <c r="BB30" s="25">
        <v>262.93099999999998</v>
      </c>
      <c r="BC30" s="25">
        <v>0</v>
      </c>
      <c r="BD30" s="59">
        <v>0</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0</v>
      </c>
      <c r="BM30" s="50">
        <f>IF( OR(ISBLANK(V30:V34),ISBLANK(AT30:AT34), ISBLANK(Z30:Z34),ISBLANK(AX30:AX34)), "·", bdRateExtend( V30:V34,Z30:Z34, AT30:AT34,AX30:AX34))</f>
        <v>0</v>
      </c>
      <c r="BN30" s="50">
        <f>IF( OR(ISBLANK(V30:V34),ISBLANK(AT30:AT34), ISBLANK(AA30:AA34),ISBLANK(AY30:AY34)), "·", bdRateExtend( V30:V34,AA30:AA34, AT30:AT34,AY30:AY34))</f>
        <v>0</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0</v>
      </c>
      <c r="BS30" s="50">
        <f>IF( OR(ISBLANK(S30:S34),ISBLANK(AQ30:AQ34), ISBLANK(Z30:Z34),ISBLANK(AX30:AX34)), "·", bdRateExtend( S30:S34,Z30:Z34, AQ30:AQ34,AX30:AX34))</f>
        <v>0</v>
      </c>
      <c r="BT30" s="50">
        <f>IF( OR(ISBLANK(S30:S34),ISBLANK(AQ30:AQ34), ISBLANK(AA30:AA34),ISBLANK(AY30:AY34)), "·", bdRateExtend( S30:S34,AA30:AA34, AQ30:AQ34,AY30:AY34))</f>
        <v>0</v>
      </c>
    </row>
    <row r="31" spans="1:72" outlineLevel="1" x14ac:dyDescent="0.3">
      <c r="A31" s="54"/>
      <c r="B31" s="54" t="s">
        <v>75</v>
      </c>
      <c r="C31" s="10" t="s">
        <v>231</v>
      </c>
      <c r="D31" s="54">
        <v>375422539</v>
      </c>
      <c r="E31" s="10">
        <v>11</v>
      </c>
      <c r="F31" s="10">
        <v>32</v>
      </c>
      <c r="G31" s="10">
        <v>30</v>
      </c>
      <c r="I31" s="11">
        <f t="shared" si="0"/>
        <v>8.1541650000000008</v>
      </c>
      <c r="J31" s="12">
        <f t="shared" si="1"/>
        <v>2.3167964350696589E-2</v>
      </c>
      <c r="K31" s="12">
        <f t="shared" si="2"/>
        <v>1.2125494681607276E-2</v>
      </c>
      <c r="L31" s="12">
        <f t="shared" si="3"/>
        <v>8.4225736910271114E-3</v>
      </c>
      <c r="M31" s="12">
        <f t="shared" si="4"/>
        <v>1.1042469669089314E-2</v>
      </c>
      <c r="N31" s="54">
        <f t="shared" si="5"/>
        <v>4552184</v>
      </c>
      <c r="O31" s="12">
        <v>16</v>
      </c>
      <c r="P31" s="13">
        <v>132024544</v>
      </c>
      <c r="Q31" s="13">
        <v>4125767</v>
      </c>
      <c r="R31" s="13">
        <v>1341965.59375</v>
      </c>
      <c r="S31" s="14">
        <v>8697776</v>
      </c>
      <c r="T31" s="14">
        <v>3162024</v>
      </c>
      <c r="U31" s="14">
        <v>1390160</v>
      </c>
      <c r="V31" s="14">
        <v>4145592</v>
      </c>
      <c r="W31" s="15">
        <v>74.972721875000005</v>
      </c>
      <c r="X31" s="15">
        <v>76.923543749999993</v>
      </c>
      <c r="Y31" s="15">
        <v>36.624253125000003</v>
      </c>
      <c r="Z31" s="15">
        <v>42.657350000000001</v>
      </c>
      <c r="AA31" s="15">
        <v>45.010993749999997</v>
      </c>
      <c r="AB31" s="16">
        <v>5924.33</v>
      </c>
      <c r="AC31" s="16">
        <v>0</v>
      </c>
      <c r="AD31" s="16">
        <v>242.03399999999999</v>
      </c>
      <c r="AE31" s="16">
        <v>0</v>
      </c>
      <c r="AF31" s="58">
        <v>0</v>
      </c>
      <c r="AG31" s="11">
        <f t="shared" si="6"/>
        <v>8.1541650000000008</v>
      </c>
      <c r="AH31" s="12">
        <f t="shared" si="7"/>
        <v>2.3167964350696589E-2</v>
      </c>
      <c r="AI31" s="12">
        <f t="shared" si="8"/>
        <v>1.2125494681607276E-2</v>
      </c>
      <c r="AJ31" s="12">
        <f t="shared" si="9"/>
        <v>8.4225736910271114E-3</v>
      </c>
      <c r="AK31" s="12">
        <f t="shared" si="10"/>
        <v>1.1042469669089314E-2</v>
      </c>
      <c r="AL31" s="54">
        <f t="shared" si="11"/>
        <v>4552184</v>
      </c>
      <c r="AM31" s="12">
        <v>-12</v>
      </c>
      <c r="AN31" s="13">
        <v>132024544</v>
      </c>
      <c r="AO31" s="13">
        <v>4125767</v>
      </c>
      <c r="AP31" s="13">
        <v>1341965.59375</v>
      </c>
      <c r="AQ31" s="14">
        <v>8697776</v>
      </c>
      <c r="AR31" s="14">
        <v>3162024</v>
      </c>
      <c r="AS31" s="14">
        <v>1390160</v>
      </c>
      <c r="AT31" s="14">
        <v>4145592</v>
      </c>
      <c r="AU31" s="15">
        <v>74.972721875000005</v>
      </c>
      <c r="AV31" s="15">
        <v>76.923543749999993</v>
      </c>
      <c r="AW31" s="15">
        <v>36.624253125000003</v>
      </c>
      <c r="AX31" s="15">
        <v>42.657350000000001</v>
      </c>
      <c r="AY31" s="15">
        <v>45.010993749999997</v>
      </c>
      <c r="AZ31" s="16">
        <v>6015.53</v>
      </c>
      <c r="BA31" s="16">
        <v>0</v>
      </c>
      <c r="BB31" s="16">
        <v>244.821</v>
      </c>
      <c r="BC31" s="16">
        <v>0</v>
      </c>
      <c r="BD31" s="59">
        <v>0</v>
      </c>
      <c r="BE31" s="51">
        <f t="shared" si="12"/>
        <v>1</v>
      </c>
      <c r="BF31" s="17">
        <f t="shared" si="13"/>
        <v>0</v>
      </c>
      <c r="BG31" s="17">
        <f t="shared" si="14"/>
        <v>0</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12.6403125</v>
      </c>
      <c r="J32" s="21">
        <f t="shared" si="1"/>
        <v>3.5914199600040532E-2</v>
      </c>
      <c r="K32" s="21">
        <f t="shared" si="2"/>
        <v>1.5403401232657477E-2</v>
      </c>
      <c r="L32" s="21">
        <f t="shared" si="3"/>
        <v>1.1700480242077314E-2</v>
      </c>
      <c r="M32" s="21">
        <f t="shared" si="4"/>
        <v>2.0510798367383051E-2</v>
      </c>
      <c r="N32" s="18">
        <f t="shared" si="5"/>
        <v>5782784</v>
      </c>
      <c r="O32" s="21">
        <v>16</v>
      </c>
      <c r="P32" s="22">
        <v>132024544</v>
      </c>
      <c r="Q32" s="22">
        <v>4125767</v>
      </c>
      <c r="R32" s="22">
        <v>1290195.1875</v>
      </c>
      <c r="S32" s="23">
        <v>13483000</v>
      </c>
      <c r="T32" s="23">
        <v>4392624</v>
      </c>
      <c r="U32" s="23">
        <v>1390160</v>
      </c>
      <c r="V32" s="23">
        <v>7700216</v>
      </c>
      <c r="W32" s="24">
        <v>76.201656249999999</v>
      </c>
      <c r="X32" s="24">
        <v>78.450253125000003</v>
      </c>
      <c r="Y32" s="24">
        <v>38.383621875000003</v>
      </c>
      <c r="Z32" s="24">
        <v>43.198428125</v>
      </c>
      <c r="AA32" s="24">
        <v>46.219306250000002</v>
      </c>
      <c r="AB32" s="25">
        <v>6027.02</v>
      </c>
      <c r="AC32" s="25">
        <v>0</v>
      </c>
      <c r="AD32" s="25">
        <v>253.87299999999999</v>
      </c>
      <c r="AE32" s="25">
        <v>0</v>
      </c>
      <c r="AF32" s="58">
        <v>0</v>
      </c>
      <c r="AG32" s="20">
        <f t="shared" si="6"/>
        <v>12.6403125</v>
      </c>
      <c r="AH32" s="21">
        <f t="shared" si="7"/>
        <v>3.5914199600040532E-2</v>
      </c>
      <c r="AI32" s="21">
        <f t="shared" si="8"/>
        <v>1.5403401232657477E-2</v>
      </c>
      <c r="AJ32" s="21">
        <f t="shared" si="9"/>
        <v>1.1700480242077314E-2</v>
      </c>
      <c r="AK32" s="21">
        <f t="shared" si="10"/>
        <v>2.0510798367383051E-2</v>
      </c>
      <c r="AL32" s="18">
        <f t="shared" si="11"/>
        <v>5782784</v>
      </c>
      <c r="AM32" s="21">
        <v>-12</v>
      </c>
      <c r="AN32" s="22">
        <v>132024544</v>
      </c>
      <c r="AO32" s="22">
        <v>4125767</v>
      </c>
      <c r="AP32" s="22">
        <v>1290195.1875</v>
      </c>
      <c r="AQ32" s="23">
        <v>13483000</v>
      </c>
      <c r="AR32" s="23">
        <v>4392624</v>
      </c>
      <c r="AS32" s="23">
        <v>1390160</v>
      </c>
      <c r="AT32" s="23">
        <v>7700216</v>
      </c>
      <c r="AU32" s="24">
        <v>76.201656249999999</v>
      </c>
      <c r="AV32" s="24">
        <v>78.450253125000003</v>
      </c>
      <c r="AW32" s="24">
        <v>38.383621875000003</v>
      </c>
      <c r="AX32" s="24">
        <v>43.198428125</v>
      </c>
      <c r="AY32" s="24">
        <v>46.219306250000002</v>
      </c>
      <c r="AZ32" s="25">
        <v>6165.13</v>
      </c>
      <c r="BA32" s="25">
        <v>0</v>
      </c>
      <c r="BB32" s="25">
        <v>251.511</v>
      </c>
      <c r="BC32" s="25">
        <v>0</v>
      </c>
      <c r="BD32" s="59">
        <v>0</v>
      </c>
      <c r="BE32" s="50">
        <f t="shared" si="12"/>
        <v>1</v>
      </c>
      <c r="BF32" s="26">
        <f t="shared" si="13"/>
        <v>0</v>
      </c>
      <c r="BG32" s="26">
        <f t="shared" si="14"/>
        <v>0</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21.194504999999999</v>
      </c>
      <c r="J33" s="12">
        <f t="shared" si="1"/>
        <v>6.0218739290983272E-2</v>
      </c>
      <c r="K33" s="12">
        <f t="shared" si="2"/>
        <v>2.0888079924258358E-2</v>
      </c>
      <c r="L33" s="12">
        <f t="shared" si="3"/>
        <v>1.7185158933678193E-2</v>
      </c>
      <c r="M33" s="12">
        <f t="shared" si="4"/>
        <v>3.9330659366724918E-2</v>
      </c>
      <c r="N33" s="54">
        <f t="shared" si="5"/>
        <v>7841856</v>
      </c>
      <c r="O33" s="12">
        <v>16</v>
      </c>
      <c r="P33" s="13">
        <v>132024544</v>
      </c>
      <c r="Q33" s="13">
        <v>4125767</v>
      </c>
      <c r="R33" s="13">
        <v>1221978.09375</v>
      </c>
      <c r="S33" s="14">
        <v>22607472</v>
      </c>
      <c r="T33" s="14">
        <v>6451696</v>
      </c>
      <c r="U33" s="14">
        <v>1390160</v>
      </c>
      <c r="V33" s="14">
        <v>14765616</v>
      </c>
      <c r="W33" s="15">
        <v>77.052718749999997</v>
      </c>
      <c r="X33" s="15">
        <v>79.470375000000004</v>
      </c>
      <c r="Y33" s="15">
        <v>39.998603125000002</v>
      </c>
      <c r="Z33" s="15">
        <v>43.903906249999999</v>
      </c>
      <c r="AA33" s="15">
        <v>47.816990625000003</v>
      </c>
      <c r="AB33" s="16">
        <v>6320.96</v>
      </c>
      <c r="AC33" s="16">
        <v>0</v>
      </c>
      <c r="AD33" s="16">
        <v>248.887</v>
      </c>
      <c r="AE33" s="16">
        <v>0</v>
      </c>
      <c r="AF33" s="58">
        <v>0</v>
      </c>
      <c r="AG33" s="11">
        <f t="shared" si="6"/>
        <v>21.194504999999999</v>
      </c>
      <c r="AH33" s="12">
        <f t="shared" si="7"/>
        <v>6.0218739290983272E-2</v>
      </c>
      <c r="AI33" s="12">
        <f t="shared" si="8"/>
        <v>2.0888079924258358E-2</v>
      </c>
      <c r="AJ33" s="12">
        <f t="shared" si="9"/>
        <v>1.7185158933678193E-2</v>
      </c>
      <c r="AK33" s="12">
        <f t="shared" si="10"/>
        <v>3.9330659366724918E-2</v>
      </c>
      <c r="AL33" s="54">
        <f t="shared" si="11"/>
        <v>7841856</v>
      </c>
      <c r="AM33" s="12">
        <v>-12</v>
      </c>
      <c r="AN33" s="13">
        <v>132024544</v>
      </c>
      <c r="AO33" s="13">
        <v>4125767</v>
      </c>
      <c r="AP33" s="13">
        <v>1221978.09375</v>
      </c>
      <c r="AQ33" s="14">
        <v>22607472</v>
      </c>
      <c r="AR33" s="14">
        <v>6451696</v>
      </c>
      <c r="AS33" s="14">
        <v>1390160</v>
      </c>
      <c r="AT33" s="14">
        <v>14765616</v>
      </c>
      <c r="AU33" s="15">
        <v>77.052718749999997</v>
      </c>
      <c r="AV33" s="15">
        <v>79.470375000000004</v>
      </c>
      <c r="AW33" s="15">
        <v>39.998603125000002</v>
      </c>
      <c r="AX33" s="15">
        <v>43.903906249999999</v>
      </c>
      <c r="AY33" s="15">
        <v>47.816990625000003</v>
      </c>
      <c r="AZ33" s="16">
        <v>6285.85</v>
      </c>
      <c r="BA33" s="16">
        <v>0</v>
      </c>
      <c r="BB33" s="16">
        <v>257.19200000000001</v>
      </c>
      <c r="BC33" s="16">
        <v>0</v>
      </c>
      <c r="BD33" s="59">
        <v>0</v>
      </c>
      <c r="BE33" s="51">
        <f t="shared" si="12"/>
        <v>1</v>
      </c>
      <c r="BF33" s="17">
        <f t="shared" si="13"/>
        <v>0</v>
      </c>
      <c r="BG33" s="17">
        <f t="shared" si="14"/>
        <v>0</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39.902625</v>
      </c>
      <c r="J34" s="40">
        <f t="shared" si="1"/>
        <v>0.11337305456772269</v>
      </c>
      <c r="K34" s="40">
        <f t="shared" si="2"/>
        <v>3.3539467378648782E-2</v>
      </c>
      <c r="L34" s="40">
        <f t="shared" si="3"/>
        <v>2.6117238528398531E-2</v>
      </c>
      <c r="M34" s="40">
        <f t="shared" si="4"/>
        <v>7.9833587189073907E-2</v>
      </c>
      <c r="N34" s="37">
        <f t="shared" si="5"/>
        <v>12591472</v>
      </c>
      <c r="O34" s="40">
        <v>16</v>
      </c>
      <c r="P34" s="41">
        <v>128666208</v>
      </c>
      <c r="Q34" s="41">
        <v>4020819</v>
      </c>
      <c r="R34" s="41">
        <v>1162561.03125</v>
      </c>
      <c r="S34" s="42">
        <v>42562800</v>
      </c>
      <c r="T34" s="42">
        <v>9805000</v>
      </c>
      <c r="U34" s="42">
        <v>2786472</v>
      </c>
      <c r="V34" s="42">
        <v>29971328</v>
      </c>
      <c r="W34" s="43">
        <v>78.547437500000001</v>
      </c>
      <c r="X34" s="43">
        <v>81.962928125000005</v>
      </c>
      <c r="Y34" s="43">
        <v>41.527671875000003</v>
      </c>
      <c r="Z34" s="43">
        <v>44.693290625000003</v>
      </c>
      <c r="AA34" s="43">
        <v>49.221803125000001</v>
      </c>
      <c r="AB34" s="44">
        <v>6701.95</v>
      </c>
      <c r="AC34" s="44">
        <v>0</v>
      </c>
      <c r="AD34" s="44">
        <v>255.13900000000001</v>
      </c>
      <c r="AE34" s="44">
        <v>0</v>
      </c>
      <c r="AF34" s="58">
        <v>0</v>
      </c>
      <c r="AG34" s="39">
        <f t="shared" si="6"/>
        <v>39.902625</v>
      </c>
      <c r="AH34" s="40">
        <f t="shared" si="7"/>
        <v>0.11337305456772269</v>
      </c>
      <c r="AI34" s="40">
        <f t="shared" si="8"/>
        <v>3.3539467378648782E-2</v>
      </c>
      <c r="AJ34" s="40">
        <f t="shared" si="9"/>
        <v>2.6117238528398531E-2</v>
      </c>
      <c r="AK34" s="40">
        <f t="shared" si="10"/>
        <v>7.9833587189073907E-2</v>
      </c>
      <c r="AL34" s="37">
        <f t="shared" si="11"/>
        <v>12591472</v>
      </c>
      <c r="AM34" s="40">
        <v>-12</v>
      </c>
      <c r="AN34" s="41">
        <v>128666208</v>
      </c>
      <c r="AO34" s="41">
        <v>4020819</v>
      </c>
      <c r="AP34" s="41">
        <v>1162561.03125</v>
      </c>
      <c r="AQ34" s="42">
        <v>42562800</v>
      </c>
      <c r="AR34" s="42">
        <v>9805000</v>
      </c>
      <c r="AS34" s="42">
        <v>2786472</v>
      </c>
      <c r="AT34" s="42">
        <v>29971328</v>
      </c>
      <c r="AU34" s="43">
        <v>78.547437500000001</v>
      </c>
      <c r="AV34" s="43">
        <v>81.962928125000005</v>
      </c>
      <c r="AW34" s="43">
        <v>41.527671875000003</v>
      </c>
      <c r="AX34" s="43">
        <v>44.693290625000003</v>
      </c>
      <c r="AY34" s="43">
        <v>49.221803125000001</v>
      </c>
      <c r="AZ34" s="44">
        <v>6830.77</v>
      </c>
      <c r="BA34" s="44">
        <v>0</v>
      </c>
      <c r="BB34" s="44">
        <v>251.73</v>
      </c>
      <c r="BC34" s="44">
        <v>0</v>
      </c>
      <c r="BD34" s="59">
        <v>0</v>
      </c>
      <c r="BE34" s="45">
        <f t="shared" si="12"/>
        <v>1</v>
      </c>
      <c r="BF34" s="46">
        <f t="shared" si="13"/>
        <v>0</v>
      </c>
      <c r="BG34" s="46">
        <f t="shared" si="14"/>
        <v>0</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6.0596100000000002</v>
      </c>
      <c r="J35" s="12">
        <f t="shared" si="1"/>
        <v>1.9399053495159344E-2</v>
      </c>
      <c r="K35" s="12">
        <f t="shared" si="2"/>
        <v>1.1406441192598872E-2</v>
      </c>
      <c r="L35" s="12">
        <f t="shared" si="3"/>
        <v>6.982235929167877E-3</v>
      </c>
      <c r="M35" s="12">
        <f t="shared" si="4"/>
        <v>7.9926123025604711E-3</v>
      </c>
      <c r="N35" s="54">
        <f t="shared" si="5"/>
        <v>3800520</v>
      </c>
      <c r="O35" s="12">
        <v>16</v>
      </c>
      <c r="P35" s="13">
        <v>117619072</v>
      </c>
      <c r="Q35" s="13">
        <v>3675596</v>
      </c>
      <c r="R35" s="13">
        <v>1350463.09375</v>
      </c>
      <c r="S35" s="14">
        <v>6463584</v>
      </c>
      <c r="T35" s="14">
        <v>2326416</v>
      </c>
      <c r="U35" s="14">
        <v>1474104</v>
      </c>
      <c r="V35" s="14">
        <v>2663064</v>
      </c>
      <c r="W35" s="15">
        <v>73.170074999999997</v>
      </c>
      <c r="X35" s="15">
        <v>74.868518750000007</v>
      </c>
      <c r="Y35" s="15">
        <v>33.978225000000002</v>
      </c>
      <c r="Z35" s="15">
        <v>42.551740625000001</v>
      </c>
      <c r="AA35" s="15">
        <v>43.964778125000002</v>
      </c>
      <c r="AB35" s="16">
        <v>5480.42</v>
      </c>
      <c r="AC35" s="16">
        <v>0</v>
      </c>
      <c r="AD35" s="16">
        <v>207.64400000000001</v>
      </c>
      <c r="AE35" s="16">
        <v>0</v>
      </c>
      <c r="AF35" s="58">
        <v>0</v>
      </c>
      <c r="AG35" s="11">
        <f t="shared" si="6"/>
        <v>6.0596100000000002</v>
      </c>
      <c r="AH35" s="12">
        <f t="shared" si="7"/>
        <v>1.9399053495159344E-2</v>
      </c>
      <c r="AI35" s="12">
        <f t="shared" si="8"/>
        <v>1.1406441192598872E-2</v>
      </c>
      <c r="AJ35" s="12">
        <f t="shared" si="9"/>
        <v>6.982235929167877E-3</v>
      </c>
      <c r="AK35" s="12">
        <f t="shared" si="10"/>
        <v>7.9926123025604711E-3</v>
      </c>
      <c r="AL35" s="54">
        <f t="shared" si="11"/>
        <v>3800520</v>
      </c>
      <c r="AM35" s="12">
        <v>-12</v>
      </c>
      <c r="AN35" s="13">
        <v>117619072</v>
      </c>
      <c r="AO35" s="13">
        <v>3675596</v>
      </c>
      <c r="AP35" s="13">
        <v>1350463.09375</v>
      </c>
      <c r="AQ35" s="14">
        <v>6463584</v>
      </c>
      <c r="AR35" s="14">
        <v>2326416</v>
      </c>
      <c r="AS35" s="14">
        <v>1474104</v>
      </c>
      <c r="AT35" s="14">
        <v>2663064</v>
      </c>
      <c r="AU35" s="15">
        <v>73.170074999999997</v>
      </c>
      <c r="AV35" s="15">
        <v>74.868518750000007</v>
      </c>
      <c r="AW35" s="15">
        <v>33.978225000000002</v>
      </c>
      <c r="AX35" s="15">
        <v>42.551740625000001</v>
      </c>
      <c r="AY35" s="15">
        <v>43.964778125000002</v>
      </c>
      <c r="AZ35" s="16">
        <v>5407.41</v>
      </c>
      <c r="BA35" s="16">
        <v>0</v>
      </c>
      <c r="BB35" s="16">
        <v>209.61199999999999</v>
      </c>
      <c r="BC35" s="16">
        <v>0</v>
      </c>
      <c r="BD35" s="59">
        <v>0</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0</v>
      </c>
      <c r="BM35" s="51">
        <f>IF( OR(ISBLANK(V35:V39),ISBLANK(AT35:AT39), ISBLANK(Z35:Z39),ISBLANK(AX35:AX39)), "·", bdRateExtend( V35:V39,Z35:Z39, AT35:AT39,AX35:AX39))</f>
        <v>0</v>
      </c>
      <c r="BN35" s="51">
        <f>IF( OR(ISBLANK(V35:V39),ISBLANK(AT35:AT39), ISBLANK(AA35:AA39),ISBLANK(AY35:AY39)), "·", bdRateExtend( V35:V39,AA35:AA39, AT35:AT39,AY35:AY39))</f>
        <v>0</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0</v>
      </c>
      <c r="BS35" s="51">
        <f>IF( OR(ISBLANK(S35:S39),ISBLANK(AQ35:AQ39), ISBLANK(Z35:Z39),ISBLANK(AX35:AX39)), "·", bdRateExtend( S35:S39,Z35:Z39, AQ35:AQ39,AX35:AX39))</f>
        <v>0</v>
      </c>
      <c r="BT35" s="51">
        <f>IF( OR(ISBLANK(S35:S39),ISBLANK(AQ35:AQ39), ISBLANK(AA35:AA39),ISBLANK(AY35:AY39)), "·", bdRateExtend( S35:S39,AA35:AA39, AQ35:AQ39,AY35:AY39))</f>
        <v>0</v>
      </c>
    </row>
    <row r="36" spans="1:72" outlineLevel="1" x14ac:dyDescent="0.3">
      <c r="A36" s="18"/>
      <c r="B36" s="18" t="s">
        <v>80</v>
      </c>
      <c r="C36" s="19" t="s">
        <v>231</v>
      </c>
      <c r="D36" s="18">
        <v>333190689</v>
      </c>
      <c r="E36" s="19">
        <v>11</v>
      </c>
      <c r="F36" s="19">
        <v>32</v>
      </c>
      <c r="G36" s="19">
        <v>30</v>
      </c>
      <c r="I36" s="20">
        <f t="shared" si="0"/>
        <v>8.6808224999999997</v>
      </c>
      <c r="J36" s="21">
        <f t="shared" si="1"/>
        <v>2.7790524482513377E-2</v>
      </c>
      <c r="K36" s="21">
        <f t="shared" si="2"/>
        <v>1.3988506143399464E-2</v>
      </c>
      <c r="L36" s="21">
        <f t="shared" si="3"/>
        <v>9.5643008799684674E-3</v>
      </c>
      <c r="M36" s="21">
        <f t="shared" si="4"/>
        <v>1.3802018339113912E-2</v>
      </c>
      <c r="N36" s="18">
        <f t="shared" si="5"/>
        <v>4660840</v>
      </c>
      <c r="O36" s="21">
        <v>16</v>
      </c>
      <c r="P36" s="22">
        <v>117619072</v>
      </c>
      <c r="Q36" s="22">
        <v>3675596</v>
      </c>
      <c r="R36" s="22">
        <v>1200351.3125</v>
      </c>
      <c r="S36" s="23">
        <v>9259544</v>
      </c>
      <c r="T36" s="23">
        <v>3186736</v>
      </c>
      <c r="U36" s="23">
        <v>1474104</v>
      </c>
      <c r="V36" s="23">
        <v>4598704</v>
      </c>
      <c r="W36" s="24">
        <v>74.763106250000007</v>
      </c>
      <c r="X36" s="24">
        <v>76.695484375000007</v>
      </c>
      <c r="Y36" s="24">
        <v>36.081150000000001</v>
      </c>
      <c r="Z36" s="24">
        <v>43.18721875</v>
      </c>
      <c r="AA36" s="24">
        <v>45.314862499999997</v>
      </c>
      <c r="AB36" s="25">
        <v>5655.73</v>
      </c>
      <c r="AC36" s="25">
        <v>0</v>
      </c>
      <c r="AD36" s="25">
        <v>217.66499999999999</v>
      </c>
      <c r="AE36" s="25">
        <v>0</v>
      </c>
      <c r="AF36" s="58">
        <v>0</v>
      </c>
      <c r="AG36" s="20">
        <f t="shared" si="6"/>
        <v>8.6808224999999997</v>
      </c>
      <c r="AH36" s="21">
        <f t="shared" si="7"/>
        <v>2.7790524482513377E-2</v>
      </c>
      <c r="AI36" s="21">
        <f t="shared" si="8"/>
        <v>1.3988506143399464E-2</v>
      </c>
      <c r="AJ36" s="21">
        <f t="shared" si="9"/>
        <v>9.5643008799684674E-3</v>
      </c>
      <c r="AK36" s="21">
        <f t="shared" si="10"/>
        <v>1.3802018339113912E-2</v>
      </c>
      <c r="AL36" s="18">
        <f t="shared" si="11"/>
        <v>4660840</v>
      </c>
      <c r="AM36" s="21">
        <v>-12</v>
      </c>
      <c r="AN36" s="22">
        <v>117619072</v>
      </c>
      <c r="AO36" s="22">
        <v>3675596</v>
      </c>
      <c r="AP36" s="22">
        <v>1200351.3125</v>
      </c>
      <c r="AQ36" s="23">
        <v>9259544</v>
      </c>
      <c r="AR36" s="23">
        <v>3186736</v>
      </c>
      <c r="AS36" s="23">
        <v>1474104</v>
      </c>
      <c r="AT36" s="23">
        <v>4598704</v>
      </c>
      <c r="AU36" s="24">
        <v>74.763106250000007</v>
      </c>
      <c r="AV36" s="24">
        <v>76.695484375000007</v>
      </c>
      <c r="AW36" s="24">
        <v>36.081150000000001</v>
      </c>
      <c r="AX36" s="24">
        <v>43.18721875</v>
      </c>
      <c r="AY36" s="24">
        <v>45.314862499999997</v>
      </c>
      <c r="AZ36" s="25">
        <v>5647.15</v>
      </c>
      <c r="BA36" s="25">
        <v>0</v>
      </c>
      <c r="BB36" s="25">
        <v>222.68199999999999</v>
      </c>
      <c r="BC36" s="25">
        <v>0</v>
      </c>
      <c r="BD36" s="59">
        <v>0</v>
      </c>
      <c r="BE36" s="50">
        <f t="shared" si="12"/>
        <v>1</v>
      </c>
      <c r="BF36" s="26">
        <f t="shared" si="13"/>
        <v>0</v>
      </c>
      <c r="BG36" s="26">
        <f t="shared" si="14"/>
        <v>0</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13.2614175</v>
      </c>
      <c r="J37" s="12">
        <f t="shared" si="1"/>
        <v>4.2454703768747874E-2</v>
      </c>
      <c r="K37" s="12">
        <f t="shared" si="2"/>
        <v>1.7697805474990329E-2</v>
      </c>
      <c r="L37" s="12">
        <f t="shared" si="3"/>
        <v>1.3273600211559333E-2</v>
      </c>
      <c r="M37" s="12">
        <f t="shared" si="4"/>
        <v>2.4756898293757542E-2</v>
      </c>
      <c r="N37" s="54">
        <f t="shared" si="5"/>
        <v>5896744</v>
      </c>
      <c r="O37" s="12">
        <v>16</v>
      </c>
      <c r="P37" s="13">
        <v>117619072</v>
      </c>
      <c r="Q37" s="13">
        <v>3675596</v>
      </c>
      <c r="R37" s="13">
        <v>1147170.5625</v>
      </c>
      <c r="S37" s="14">
        <v>14145512</v>
      </c>
      <c r="T37" s="14">
        <v>4422640</v>
      </c>
      <c r="U37" s="14">
        <v>1474104</v>
      </c>
      <c r="V37" s="14">
        <v>8248768</v>
      </c>
      <c r="W37" s="15">
        <v>76.00068125</v>
      </c>
      <c r="X37" s="15">
        <v>78.228321875000006</v>
      </c>
      <c r="Y37" s="15">
        <v>37.927656249999998</v>
      </c>
      <c r="Z37" s="15">
        <v>43.758221874999997</v>
      </c>
      <c r="AA37" s="15">
        <v>46.517428125000002</v>
      </c>
      <c r="AB37" s="16">
        <v>5730.98</v>
      </c>
      <c r="AC37" s="16">
        <v>0</v>
      </c>
      <c r="AD37" s="16">
        <v>220.875</v>
      </c>
      <c r="AE37" s="16">
        <v>0</v>
      </c>
      <c r="AF37" s="58">
        <v>0</v>
      </c>
      <c r="AG37" s="11">
        <f t="shared" si="6"/>
        <v>13.2614175</v>
      </c>
      <c r="AH37" s="12">
        <f t="shared" si="7"/>
        <v>4.2454703768747874E-2</v>
      </c>
      <c r="AI37" s="12">
        <f t="shared" si="8"/>
        <v>1.7697805474990329E-2</v>
      </c>
      <c r="AJ37" s="12">
        <f t="shared" si="9"/>
        <v>1.3273600211559333E-2</v>
      </c>
      <c r="AK37" s="12">
        <f t="shared" si="10"/>
        <v>2.4756898293757542E-2</v>
      </c>
      <c r="AL37" s="54">
        <f t="shared" si="11"/>
        <v>5896744</v>
      </c>
      <c r="AM37" s="12">
        <v>-12</v>
      </c>
      <c r="AN37" s="13">
        <v>117619072</v>
      </c>
      <c r="AO37" s="13">
        <v>3675596</v>
      </c>
      <c r="AP37" s="13">
        <v>1147170.5625</v>
      </c>
      <c r="AQ37" s="14">
        <v>14145512</v>
      </c>
      <c r="AR37" s="14">
        <v>4422640</v>
      </c>
      <c r="AS37" s="14">
        <v>1474104</v>
      </c>
      <c r="AT37" s="14">
        <v>8248768</v>
      </c>
      <c r="AU37" s="15">
        <v>76.00068125</v>
      </c>
      <c r="AV37" s="15">
        <v>78.228321875000006</v>
      </c>
      <c r="AW37" s="15">
        <v>37.927656249999998</v>
      </c>
      <c r="AX37" s="15">
        <v>43.758221874999997</v>
      </c>
      <c r="AY37" s="15">
        <v>46.517428125000002</v>
      </c>
      <c r="AZ37" s="16">
        <v>5769.72</v>
      </c>
      <c r="BA37" s="16">
        <v>0</v>
      </c>
      <c r="BB37" s="16">
        <v>225.48500000000001</v>
      </c>
      <c r="BC37" s="16">
        <v>0</v>
      </c>
      <c r="BD37" s="59">
        <v>0</v>
      </c>
      <c r="BE37" s="51">
        <f t="shared" si="12"/>
        <v>1</v>
      </c>
      <c r="BF37" s="17">
        <f t="shared" si="13"/>
        <v>0</v>
      </c>
      <c r="BG37" s="17">
        <f t="shared" si="14"/>
        <v>0</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22.357927499999999</v>
      </c>
      <c r="J38" s="21">
        <f t="shared" si="1"/>
        <v>7.1575997731437205E-2</v>
      </c>
      <c r="K38" s="21">
        <f t="shared" si="2"/>
        <v>2.3929120060134694E-2</v>
      </c>
      <c r="L38" s="21">
        <f t="shared" si="3"/>
        <v>1.9504914796703698E-2</v>
      </c>
      <c r="M38" s="21">
        <f t="shared" si="4"/>
        <v>4.7646877671302511E-2</v>
      </c>
      <c r="N38" s="18">
        <f t="shared" si="5"/>
        <v>7972960</v>
      </c>
      <c r="O38" s="21">
        <v>16</v>
      </c>
      <c r="P38" s="22">
        <v>117619072</v>
      </c>
      <c r="Q38" s="22">
        <v>3675596</v>
      </c>
      <c r="R38" s="22">
        <v>1085724.90625</v>
      </c>
      <c r="S38" s="23">
        <v>23848456</v>
      </c>
      <c r="T38" s="23">
        <v>6498856</v>
      </c>
      <c r="U38" s="23">
        <v>1474104</v>
      </c>
      <c r="V38" s="23">
        <v>15875496</v>
      </c>
      <c r="W38" s="24">
        <v>76.869740625000006</v>
      </c>
      <c r="X38" s="24">
        <v>79.267384375000006</v>
      </c>
      <c r="Y38" s="24">
        <v>39.702237500000003</v>
      </c>
      <c r="Z38" s="24">
        <v>44.545900000000003</v>
      </c>
      <c r="AA38" s="24">
        <v>47.794103124999999</v>
      </c>
      <c r="AB38" s="25">
        <v>5926.97</v>
      </c>
      <c r="AC38" s="25">
        <v>0</v>
      </c>
      <c r="AD38" s="25">
        <v>228.51300000000001</v>
      </c>
      <c r="AE38" s="25">
        <v>0</v>
      </c>
      <c r="AF38" s="58">
        <v>0</v>
      </c>
      <c r="AG38" s="20">
        <f t="shared" si="6"/>
        <v>22.357927499999999</v>
      </c>
      <c r="AH38" s="21">
        <f t="shared" si="7"/>
        <v>7.1575997731437205E-2</v>
      </c>
      <c r="AI38" s="21">
        <f t="shared" si="8"/>
        <v>2.3929120060134694E-2</v>
      </c>
      <c r="AJ38" s="21">
        <f t="shared" si="9"/>
        <v>1.9504914796703698E-2</v>
      </c>
      <c r="AK38" s="21">
        <f t="shared" si="10"/>
        <v>4.7646877671302511E-2</v>
      </c>
      <c r="AL38" s="18">
        <f t="shared" si="11"/>
        <v>7972960</v>
      </c>
      <c r="AM38" s="21">
        <v>-12</v>
      </c>
      <c r="AN38" s="22">
        <v>117619072</v>
      </c>
      <c r="AO38" s="22">
        <v>3675596</v>
      </c>
      <c r="AP38" s="22">
        <v>1085724.90625</v>
      </c>
      <c r="AQ38" s="23">
        <v>23848456</v>
      </c>
      <c r="AR38" s="23">
        <v>6498856</v>
      </c>
      <c r="AS38" s="23">
        <v>1474104</v>
      </c>
      <c r="AT38" s="23">
        <v>15875496</v>
      </c>
      <c r="AU38" s="24">
        <v>76.869740625000006</v>
      </c>
      <c r="AV38" s="24">
        <v>79.267384375000006</v>
      </c>
      <c r="AW38" s="24">
        <v>39.702237500000003</v>
      </c>
      <c r="AX38" s="24">
        <v>44.545900000000003</v>
      </c>
      <c r="AY38" s="24">
        <v>47.794103124999999</v>
      </c>
      <c r="AZ38" s="25">
        <v>6045.52</v>
      </c>
      <c r="BA38" s="25">
        <v>0</v>
      </c>
      <c r="BB38" s="25">
        <v>225.24700000000001</v>
      </c>
      <c r="BC38" s="25">
        <v>0</v>
      </c>
      <c r="BD38" s="59">
        <v>0</v>
      </c>
      <c r="BE38" s="50">
        <f t="shared" si="12"/>
        <v>1</v>
      </c>
      <c r="BF38" s="26">
        <f t="shared" si="13"/>
        <v>0</v>
      </c>
      <c r="BG38" s="26">
        <f t="shared" si="14"/>
        <v>0</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41.276647500000003</v>
      </c>
      <c r="J39" s="30">
        <f t="shared" si="1"/>
        <v>0.13214181984539189</v>
      </c>
      <c r="K39" s="30">
        <f t="shared" si="2"/>
        <v>3.8444843817349292E-2</v>
      </c>
      <c r="L39" s="30">
        <f t="shared" si="3"/>
        <v>2.9609230766949792E-2</v>
      </c>
      <c r="M39" s="30">
        <f t="shared" si="4"/>
        <v>9.3696976028042611E-2</v>
      </c>
      <c r="N39" s="27">
        <f t="shared" si="5"/>
        <v>12809464</v>
      </c>
      <c r="O39" s="30">
        <v>16</v>
      </c>
      <c r="P39" s="31">
        <v>114250072</v>
      </c>
      <c r="Q39" s="31">
        <v>3570314.75</v>
      </c>
      <c r="R39" s="31">
        <v>1023397.6875</v>
      </c>
      <c r="S39" s="32">
        <v>44028424</v>
      </c>
      <c r="T39" s="32">
        <v>9865520</v>
      </c>
      <c r="U39" s="32">
        <v>2943944</v>
      </c>
      <c r="V39" s="32">
        <v>31218960</v>
      </c>
      <c r="W39" s="33">
        <v>78.337428125000002</v>
      </c>
      <c r="X39" s="33">
        <v>81.847878124999994</v>
      </c>
      <c r="Y39" s="33">
        <v>41.338256250000001</v>
      </c>
      <c r="Z39" s="33">
        <v>45.540721875000003</v>
      </c>
      <c r="AA39" s="33">
        <v>49.126856250000003</v>
      </c>
      <c r="AB39" s="34">
        <v>6313.3</v>
      </c>
      <c r="AC39" s="34">
        <v>0</v>
      </c>
      <c r="AD39" s="34">
        <v>223.02</v>
      </c>
      <c r="AE39" s="34">
        <v>0</v>
      </c>
      <c r="AF39" s="58">
        <v>0</v>
      </c>
      <c r="AG39" s="29">
        <f t="shared" si="6"/>
        <v>41.276647500000003</v>
      </c>
      <c r="AH39" s="30">
        <f t="shared" si="7"/>
        <v>0.13214181984539189</v>
      </c>
      <c r="AI39" s="30">
        <f t="shared" si="8"/>
        <v>3.8444843817349292E-2</v>
      </c>
      <c r="AJ39" s="30">
        <f t="shared" si="9"/>
        <v>2.9609230766949792E-2</v>
      </c>
      <c r="AK39" s="30">
        <f t="shared" si="10"/>
        <v>9.3696976028042611E-2</v>
      </c>
      <c r="AL39" s="27">
        <f t="shared" si="11"/>
        <v>12809464</v>
      </c>
      <c r="AM39" s="30">
        <v>-12</v>
      </c>
      <c r="AN39" s="31">
        <v>114250072</v>
      </c>
      <c r="AO39" s="31">
        <v>3570314.75</v>
      </c>
      <c r="AP39" s="31">
        <v>1023397.6875</v>
      </c>
      <c r="AQ39" s="32">
        <v>44028424</v>
      </c>
      <c r="AR39" s="32">
        <v>9865520</v>
      </c>
      <c r="AS39" s="32">
        <v>2943944</v>
      </c>
      <c r="AT39" s="32">
        <v>31218960</v>
      </c>
      <c r="AU39" s="33">
        <v>78.337428125000002</v>
      </c>
      <c r="AV39" s="33">
        <v>81.847878124999994</v>
      </c>
      <c r="AW39" s="33">
        <v>41.338256250000001</v>
      </c>
      <c r="AX39" s="33">
        <v>45.540721875000003</v>
      </c>
      <c r="AY39" s="33">
        <v>49.126856250000003</v>
      </c>
      <c r="AZ39" s="34">
        <v>6375.24</v>
      </c>
      <c r="BA39" s="34">
        <v>0</v>
      </c>
      <c r="BB39" s="34">
        <v>228.75700000000001</v>
      </c>
      <c r="BC39" s="34">
        <v>0</v>
      </c>
      <c r="BD39" s="59">
        <v>0</v>
      </c>
      <c r="BE39" s="35">
        <f t="shared" si="12"/>
        <v>1</v>
      </c>
      <c r="BF39" s="36">
        <f t="shared" si="13"/>
        <v>0</v>
      </c>
      <c r="BG39" s="36">
        <f t="shared" si="14"/>
        <v>0</v>
      </c>
      <c r="BH39" s="36"/>
      <c r="BJ39" s="35"/>
      <c r="BK39" s="35"/>
      <c r="BL39" s="35"/>
      <c r="BM39" s="35"/>
      <c r="BN39" s="35"/>
      <c r="BP39" s="35"/>
      <c r="BQ39" s="35"/>
      <c r="BR39" s="35"/>
      <c r="BS39" s="35"/>
      <c r="BT39" s="35"/>
    </row>
    <row r="40" spans="1:72" x14ac:dyDescent="0.3">
      <c r="B40" s="47" t="s">
        <v>14</v>
      </c>
      <c r="J40" s="48">
        <f>AVERAGE(J5:J24)</f>
        <v>4.4298227359101827E-2</v>
      </c>
      <c r="K40" s="48">
        <f>AVERAGE(K5:K24)</f>
        <v>1.3835713519903012E-2</v>
      </c>
      <c r="L40" s="48">
        <f>AVERAGE(L5:L24)</f>
        <v>9.6969495541967075E-3</v>
      </c>
      <c r="M40" s="48">
        <f>AVERAGE(M5:M24)</f>
        <v>3.0462513839198811E-2</v>
      </c>
      <c r="AH40" s="48">
        <f>AVERAGE(AH5:AH24)</f>
        <v>4.4298227359101827E-2</v>
      </c>
      <c r="AI40" s="48">
        <f>AVERAGE(AI5:AI24)</f>
        <v>1.3835713519903012E-2</v>
      </c>
      <c r="AJ40" s="48">
        <f>AVERAGE(AJ5:AJ24)</f>
        <v>9.6969495541967075E-3</v>
      </c>
      <c r="AK40" s="48">
        <f>AVERAGE(AK5:AK24)</f>
        <v>3.0462513839198811E-2</v>
      </c>
      <c r="BE40" s="52">
        <f t="shared" si="12"/>
        <v>1</v>
      </c>
      <c r="BH40" s="55">
        <f>AVERAGE(BH5:BH24)</f>
        <v>0</v>
      </c>
      <c r="BJ40" s="52">
        <f>AVERAGE(BJ5:BJ24)</f>
        <v>0</v>
      </c>
      <c r="BK40" s="52">
        <f>AVERAGE(BK5:BK24)</f>
        <v>0</v>
      </c>
      <c r="BL40" s="52">
        <f>AVERAGE(BL5:BL24)</f>
        <v>0</v>
      </c>
      <c r="BM40" s="52">
        <f>AVERAGE(BM5:BM24)</f>
        <v>0</v>
      </c>
      <c r="BN40" s="52">
        <f>AVERAGE(BN5:BN24)</f>
        <v>0</v>
      </c>
      <c r="BP40" s="52">
        <f>AVERAGE(BP5:BP24)</f>
        <v>0</v>
      </c>
      <c r="BQ40" s="52">
        <f>AVERAGE(BQ5:BQ24)</f>
        <v>0</v>
      </c>
      <c r="BR40" s="52">
        <f>AVERAGE(BR5:BR24)</f>
        <v>0</v>
      </c>
      <c r="BS40" s="52">
        <f>AVERAGE(BS5:BS24)</f>
        <v>0</v>
      </c>
      <c r="BT40" s="52">
        <f>AVERAGE(BT5:BT24)</f>
        <v>0</v>
      </c>
    </row>
    <row r="41" spans="1:72" x14ac:dyDescent="0.3">
      <c r="B41" s="47" t="s">
        <v>15</v>
      </c>
      <c r="J41" s="48">
        <f>AVERAGE(J25:J29)</f>
        <v>7.9838934747696613E-2</v>
      </c>
      <c r="K41" s="48">
        <f>AVERAGE(K25:K29)</f>
        <v>1.2342787348069725E-2</v>
      </c>
      <c r="L41" s="48">
        <f>AVERAGE(L25:L29)</f>
        <v>9.0938284872662568E-3</v>
      </c>
      <c r="M41" s="48">
        <f>AVERAGE(M25:M29)</f>
        <v>6.7496147399626893E-2</v>
      </c>
      <c r="AH41" s="48">
        <f>AVERAGE(AH25:AH29)</f>
        <v>7.9838934747696613E-2</v>
      </c>
      <c r="AI41" s="48">
        <f>AVERAGE(AI25:AI29)</f>
        <v>1.2342787348069725E-2</v>
      </c>
      <c r="AJ41" s="48">
        <f>AVERAGE(AJ25:AJ29)</f>
        <v>9.0938284872662568E-3</v>
      </c>
      <c r="AK41" s="48">
        <f>AVERAGE(AK25:AK29)</f>
        <v>6.7496147399626893E-2</v>
      </c>
      <c r="BE41" s="52">
        <f t="shared" si="12"/>
        <v>1</v>
      </c>
      <c r="BH41" s="55">
        <f>AVERAGE(BH25:BH29)</f>
        <v>0</v>
      </c>
      <c r="BJ41" s="52">
        <f>AVERAGE(BJ25:BJ29)</f>
        <v>0</v>
      </c>
      <c r="BK41" s="52">
        <f>AVERAGE(BK25:BK29)</f>
        <v>0</v>
      </c>
      <c r="BL41" s="52">
        <f>AVERAGE(BL25:BL29)</f>
        <v>0</v>
      </c>
      <c r="BM41" s="52">
        <f>AVERAGE(BM25:BM29)</f>
        <v>0</v>
      </c>
      <c r="BN41" s="52">
        <f>AVERAGE(BN25:BN29)</f>
        <v>0</v>
      </c>
      <c r="BP41" s="52">
        <f>AVERAGE(BP25:BP29)</f>
        <v>0</v>
      </c>
      <c r="BQ41" s="52">
        <f>AVERAGE(BQ25:BQ29)</f>
        <v>0</v>
      </c>
      <c r="BR41" s="52">
        <f>AVERAGE(BR25:BR29)</f>
        <v>0</v>
      </c>
      <c r="BS41" s="52">
        <f>AVERAGE(BS25:BS29)</f>
        <v>0</v>
      </c>
      <c r="BT41" s="52">
        <f>AVERAGE(BT25:BT29)</f>
        <v>0</v>
      </c>
    </row>
    <row r="42" spans="1:72" x14ac:dyDescent="0.3">
      <c r="B42" s="47" t="s">
        <v>16</v>
      </c>
      <c r="J42" s="48">
        <f>AVERAGE(J30:J39)</f>
        <v>5.4224844548905624E-2</v>
      </c>
      <c r="K42" s="48">
        <f>AVERAGE(K30:K39)</f>
        <v>1.9727786924156963E-2</v>
      </c>
      <c r="L42" s="48">
        <f>AVERAGE(L30:L39)</f>
        <v>1.4851152232487525E-2</v>
      </c>
      <c r="M42" s="48">
        <f>AVERAGE(M30:M39)</f>
        <v>3.4497057624748653E-2</v>
      </c>
      <c r="AH42" s="48">
        <f>AVERAGE(AH30:AH39)</f>
        <v>5.4224844548905624E-2</v>
      </c>
      <c r="AI42" s="48">
        <f>AVERAGE(AI30:AI39)</f>
        <v>1.9727786924156963E-2</v>
      </c>
      <c r="AJ42" s="48">
        <f>AVERAGE(AJ30:AJ39)</f>
        <v>1.4851152232487525E-2</v>
      </c>
      <c r="AK42" s="48">
        <f>AVERAGE(AK30:AK39)</f>
        <v>3.4497057624748653E-2</v>
      </c>
      <c r="BE42" s="52">
        <f t="shared" si="12"/>
        <v>1</v>
      </c>
      <c r="BH42" s="55">
        <f>AVERAGE(BH30:BH39)</f>
        <v>0</v>
      </c>
      <c r="BJ42" s="52">
        <f>AVERAGE(BJ30:BJ39)</f>
        <v>0</v>
      </c>
      <c r="BK42" s="52">
        <f>AVERAGE(BK30:BK39)</f>
        <v>0</v>
      </c>
      <c r="BL42" s="52">
        <f>AVERAGE(BL30:BL39)</f>
        <v>0</v>
      </c>
      <c r="BM42" s="52">
        <f>AVERAGE(BM30:BM39)</f>
        <v>0</v>
      </c>
      <c r="BN42" s="52">
        <f>AVERAGE(BN30:BN39)</f>
        <v>0</v>
      </c>
      <c r="BP42" s="52">
        <f>AVERAGE(BP30:BP39)</f>
        <v>0</v>
      </c>
      <c r="BQ42" s="52">
        <f>AVERAGE(BQ30:BQ39)</f>
        <v>0</v>
      </c>
      <c r="BR42" s="52">
        <f>AVERAGE(BR30:BR39)</f>
        <v>0</v>
      </c>
      <c r="BS42" s="52">
        <f>AVERAGE(BS30:BS39)</f>
        <v>0</v>
      </c>
      <c r="BT42" s="52">
        <f>AVERAGE(BT30:BT39)</f>
        <v>0</v>
      </c>
    </row>
    <row r="43" spans="1:72" collapsed="1" x14ac:dyDescent="0.3">
      <c r="B43" s="47" t="s">
        <v>17</v>
      </c>
      <c r="J43" s="48">
        <f>AVERAGE(J5:J39)</f>
        <v>5.2211647611702161E-2</v>
      </c>
      <c r="K43" s="48">
        <f>AVERAGE(K5:K39)</f>
        <v>1.5305887896570813E-2</v>
      </c>
      <c r="L43" s="48">
        <f>AVERAGE(L5:L39)</f>
        <v>1.1083418738432587E-2</v>
      </c>
      <c r="M43" s="48">
        <f>AVERAGE(M5:M39)</f>
        <v>3.6905759715131353E-2</v>
      </c>
      <c r="AH43" s="48">
        <f>AVERAGE(AH5:AH39)</f>
        <v>5.2211647611702161E-2</v>
      </c>
      <c r="AI43" s="48">
        <f>AVERAGE(AI5:AI39)</f>
        <v>1.5305887896570813E-2</v>
      </c>
      <c r="AJ43" s="48">
        <f>AVERAGE(AJ5:AJ39)</f>
        <v>1.1083418738432587E-2</v>
      </c>
      <c r="AK43" s="48">
        <f>AVERAGE(AK5:AK39)</f>
        <v>3.6905759715131353E-2</v>
      </c>
      <c r="BE43" s="52">
        <f t="shared" si="12"/>
        <v>1</v>
      </c>
      <c r="BH43" s="55">
        <f>AVERAGE(BH5:BH39)</f>
        <v>0</v>
      </c>
      <c r="BJ43" s="52">
        <f>AVERAGE(BJ5:BJ39)</f>
        <v>0</v>
      </c>
      <c r="BK43" s="52">
        <f>AVERAGE(BK5:BK39)</f>
        <v>0</v>
      </c>
      <c r="BL43" s="52">
        <f>AVERAGE(BL5:BL39)</f>
        <v>0</v>
      </c>
      <c r="BM43" s="52">
        <f>AVERAGE(BM5:BM39)</f>
        <v>0</v>
      </c>
      <c r="BN43" s="52">
        <f>AVERAGE(BN5:BN39)</f>
        <v>0</v>
      </c>
      <c r="BP43" s="52">
        <f>AVERAGE(BP5:BP39)</f>
        <v>0</v>
      </c>
      <c r="BQ43" s="52">
        <f>AVERAGE(BQ5:BQ39)</f>
        <v>0</v>
      </c>
      <c r="BR43" s="52">
        <f>AVERAGE(BR5:BR39)</f>
        <v>0</v>
      </c>
      <c r="BS43" s="52">
        <f>AVERAGE(BS5:BS39)</f>
        <v>0</v>
      </c>
      <c r="BT43" s="52">
        <f>AVERAGE(BT5:BT39)</f>
        <v>0</v>
      </c>
    </row>
    <row r="44" spans="1:72" hidden="1" outlineLevel="2" x14ac:dyDescent="0.3">
      <c r="A44" s="47" t="s">
        <v>237</v>
      </c>
      <c r="B44" s="47" t="s">
        <v>238</v>
      </c>
      <c r="AB44" s="49">
        <f>SUM(AB5:AB24,AB25:AB29,AB30:AB39)</f>
        <v>123228.88</v>
      </c>
      <c r="AC44" s="49">
        <f>SUM(AC5:AC24,AC25:AC29,AC30:AC39)</f>
        <v>0</v>
      </c>
      <c r="AD44" s="49">
        <f>SUM(AD5:AD24,AD25:AD29,AD30:AD39)</f>
        <v>4201.1930000000002</v>
      </c>
      <c r="AE44" s="49">
        <f>SUM(AE5:AE24,AE25:AE29,AE30:AE39)</f>
        <v>0</v>
      </c>
      <c r="AZ44" s="49">
        <f>SUM(AZ5:AZ24,AZ25:AZ29,AZ30:AZ39)</f>
        <v>124514.81000000001</v>
      </c>
      <c r="BA44" s="49">
        <f>SUM(BA5:BA24,BA25:BA29,BA30:BA39)</f>
        <v>0</v>
      </c>
      <c r="BB44" s="49">
        <f>SUM(BB5:BB24,BB25:BB29,BB30:BB39)</f>
        <v>4268.4539999999988</v>
      </c>
      <c r="BC44" s="49">
        <f>SUM(BC5:BC24,BC25:BC29,BC30:BC39)</f>
        <v>0</v>
      </c>
    </row>
    <row r="45" spans="1:72" hidden="1" outlineLevel="2" x14ac:dyDescent="0.3">
      <c r="B45" s="47" t="s">
        <v>239</v>
      </c>
      <c r="AZ45" s="55">
        <f>AZ44/AB44</f>
        <v>1.010435297310176</v>
      </c>
      <c r="BA45" s="55" t="e">
        <f>BA44/AC44</f>
        <v>#DIV/0!</v>
      </c>
      <c r="BB45" s="55">
        <f>BB44/AD44</f>
        <v>1.016009976213899</v>
      </c>
      <c r="BC45" s="55" t="e">
        <f>BC44/AE44</f>
        <v>#DIV/0!</v>
      </c>
    </row>
    <row r="46" spans="1:72" hidden="1" outlineLevel="2" x14ac:dyDescent="0.3">
      <c r="B46" s="47" t="s">
        <v>240</v>
      </c>
      <c r="AB46" s="49">
        <f>GEOMEAN(AB5:AB24,AB25:AB29,AB30:AB39)</f>
        <v>3216.9156854063858</v>
      </c>
      <c r="AC46" s="49" t="e">
        <f>GEOMEAN(AC5:AC24,AC25:AC29,AC30:AC39)</f>
        <v>#NUM!</v>
      </c>
      <c r="AD46" s="49">
        <f>GEOMEAN(AD5:AD24,AD25:AD29,AD30:AD39)</f>
        <v>102.71803621649386</v>
      </c>
      <c r="AE46" s="49" t="e">
        <f>GEOMEAN(AE5:AE24,AE25:AE29,AE30:AE39)</f>
        <v>#NUM!</v>
      </c>
      <c r="AZ46" s="49">
        <f>GEOMEAN(AZ5:AZ24,AZ25:AZ29,AZ30:AZ39)</f>
        <v>3251.5279849217959</v>
      </c>
      <c r="BA46" s="49" t="e">
        <f>GEOMEAN(BA5:BA24,BA25:BA29,BA30:BA39)</f>
        <v>#NUM!</v>
      </c>
      <c r="BB46" s="49">
        <f>GEOMEAN(BB5:BB24,BB25:BB29,BB30:BB39)</f>
        <v>104.20748213827095</v>
      </c>
      <c r="BC46" s="49" t="e">
        <f>GEOMEAN(BC5:BC24,BC25:BC29,BC30:BC39)</f>
        <v>#NUM!</v>
      </c>
    </row>
    <row r="47" spans="1:72" outlineLevel="2" collapsed="1" x14ac:dyDescent="0.3">
      <c r="B47" s="47" t="s">
        <v>241</v>
      </c>
      <c r="AZ47" s="55">
        <f>AZ46/AB46</f>
        <v>1.0107594674216764</v>
      </c>
      <c r="BA47" s="55" t="e">
        <f>BA46/AC46</f>
        <v>#NUM!</v>
      </c>
      <c r="BB47" s="55">
        <f>BB46/AD46</f>
        <v>1.0145003348646371</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33" sqref="AR33"/>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5" t="s">
        <v>564</v>
      </c>
      <c r="B1" s="61"/>
      <c r="C1" s="61"/>
      <c r="D1" s="61"/>
      <c r="E1" s="61"/>
      <c r="F1" s="61"/>
      <c r="H1" s="60" t="str">
        <f>Summary!$C$1</f>
        <v>ALL_master+r130</v>
      </c>
      <c r="I1" s="61"/>
      <c r="J1" s="61"/>
      <c r="K1" s="61"/>
      <c r="L1" s="61"/>
      <c r="M1" s="61"/>
      <c r="N1" s="61"/>
      <c r="O1" s="61"/>
      <c r="P1" s="61"/>
      <c r="Q1" s="61"/>
      <c r="R1" s="61"/>
      <c r="S1" s="61"/>
      <c r="T1" s="61"/>
      <c r="U1" s="61"/>
      <c r="V1" s="61"/>
      <c r="W1" s="61"/>
      <c r="X1" s="61"/>
      <c r="Y1" s="61"/>
      <c r="Z1" s="61"/>
      <c r="AA1" s="61"/>
      <c r="AB1" s="61"/>
      <c r="AC1" s="61"/>
      <c r="AE1" s="62">
        <f>Summary!$C$2</f>
        <v>0</v>
      </c>
      <c r="AF1" s="61"/>
      <c r="AG1" s="61"/>
      <c r="AH1" s="61"/>
      <c r="AI1" s="61"/>
      <c r="AJ1" s="61"/>
      <c r="AK1" s="61"/>
      <c r="AL1" s="61"/>
      <c r="AM1" s="61"/>
      <c r="AN1" s="61"/>
      <c r="AO1" s="61"/>
      <c r="AP1" s="61"/>
      <c r="AQ1" s="61"/>
      <c r="AR1" s="61"/>
      <c r="AS1" s="61"/>
      <c r="AT1" s="61"/>
      <c r="AU1" s="61"/>
      <c r="AV1" s="61"/>
      <c r="AW1" s="61"/>
      <c r="AX1" s="61"/>
      <c r="AY1" s="61"/>
      <c r="AZ1" s="61"/>
    </row>
    <row r="2" spans="1:59" ht="30" customHeight="1" x14ac:dyDescent="0.3">
      <c r="A2" s="71" t="s">
        <v>137</v>
      </c>
      <c r="B2" s="72" t="s">
        <v>138</v>
      </c>
      <c r="C2" s="71" t="s">
        <v>140</v>
      </c>
      <c r="D2" s="72" t="s">
        <v>141</v>
      </c>
      <c r="E2" s="71" t="s">
        <v>142</v>
      </c>
      <c r="F2" s="72" t="s">
        <v>143</v>
      </c>
      <c r="H2" s="71" t="s">
        <v>565</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565</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row>
    <row r="3" spans="1:59" ht="28.95" customHeight="1" x14ac:dyDescent="0.3">
      <c r="A3" s="64"/>
      <c r="B3" s="64"/>
      <c r="C3" s="64"/>
      <c r="D3" s="64"/>
      <c r="E3" s="64"/>
      <c r="F3" s="64"/>
      <c r="H3" s="64"/>
      <c r="I3" s="64"/>
      <c r="J3" s="56" t="s">
        <v>25</v>
      </c>
      <c r="K3" s="56" t="s">
        <v>23</v>
      </c>
      <c r="L3" s="56" t="s">
        <v>157</v>
      </c>
      <c r="M3" s="56" t="s">
        <v>158</v>
      </c>
      <c r="N3" s="64"/>
      <c r="O3" s="64"/>
      <c r="P3" s="64"/>
      <c r="Q3" s="57" t="s">
        <v>25</v>
      </c>
      <c r="R3" s="57" t="s">
        <v>157</v>
      </c>
      <c r="S3" s="57" t="s">
        <v>159</v>
      </c>
      <c r="T3" s="57" t="s">
        <v>24</v>
      </c>
      <c r="U3" s="56" t="s">
        <v>9</v>
      </c>
      <c r="V3" s="56" t="s">
        <v>10</v>
      </c>
      <c r="W3" s="57" t="s">
        <v>11</v>
      </c>
      <c r="X3" s="57" t="s">
        <v>12</v>
      </c>
      <c r="Y3" s="57" t="s">
        <v>13</v>
      </c>
      <c r="Z3" s="56" t="s">
        <v>160</v>
      </c>
      <c r="AA3" s="56" t="s">
        <v>161</v>
      </c>
      <c r="AB3" s="57" t="s">
        <v>160</v>
      </c>
      <c r="AC3" s="57" t="s">
        <v>161</v>
      </c>
      <c r="AE3" s="64"/>
      <c r="AF3" s="64"/>
      <c r="AG3" s="56" t="s">
        <v>25</v>
      </c>
      <c r="AH3" s="56" t="s">
        <v>23</v>
      </c>
      <c r="AI3" s="56" t="s">
        <v>157</v>
      </c>
      <c r="AJ3" s="56" t="s">
        <v>158</v>
      </c>
      <c r="AK3" s="64"/>
      <c r="AL3" s="64"/>
      <c r="AM3" s="64"/>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4"/>
      <c r="BG3" s="64"/>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1.7207732563990052E-2</v>
      </c>
      <c r="I5" s="11">
        <f t="shared" ref="I5:I11" si="1">IF(OR(ISBLANK(Q5),ISBLANK(F5)),"·",Q5*F5/E5/1000000)</f>
        <v>207.45919499999999</v>
      </c>
      <c r="J5" s="12">
        <f t="shared" ref="J5:J11" si="2">IF(ISBLANK(Q5),"·",Q5/C5)</f>
        <v>0.92921755845546283</v>
      </c>
      <c r="K5" s="12">
        <f t="shared" ref="K5:K11" si="3">IF(N5="","·",N5/C5)</f>
        <v>0.14055415183680026</v>
      </c>
      <c r="L5" s="12">
        <f t="shared" ref="L5:L11" si="4">IF(R5="","·",R5/C5)</f>
        <v>0.13165414713339074</v>
      </c>
      <c r="M5" s="12">
        <f t="shared" ref="M5:M11" si="5">IF(ISBLANK(T5),"·",T5/C5)</f>
        <v>0.78866340661866252</v>
      </c>
      <c r="N5" s="54">
        <f t="shared" ref="N5:N11" si="6">IF(OR(ISBLANK(R5),ISBLANK(S5)),"",R5+S5)</f>
        <v>33472464</v>
      </c>
      <c r="O5" s="12">
        <v>16</v>
      </c>
      <c r="P5" s="13">
        <v>24964341</v>
      </c>
      <c r="Q5" s="14">
        <v>221289808</v>
      </c>
      <c r="R5" s="14">
        <v>31352960</v>
      </c>
      <c r="S5" s="14">
        <v>2119504</v>
      </c>
      <c r="T5" s="14">
        <v>187817344</v>
      </c>
      <c r="U5" s="15" t="s">
        <v>571</v>
      </c>
      <c r="V5" s="15" t="s">
        <v>571</v>
      </c>
      <c r="W5" s="15" t="s">
        <v>571</v>
      </c>
      <c r="X5" s="15" t="s">
        <v>571</v>
      </c>
      <c r="Y5" s="15" t="s">
        <v>571</v>
      </c>
      <c r="Z5" s="16">
        <v>6499.63</v>
      </c>
      <c r="AA5" s="16">
        <v>0</v>
      </c>
      <c r="AB5" s="16">
        <v>37.9</v>
      </c>
      <c r="AC5" s="16">
        <v>0</v>
      </c>
      <c r="AE5" s="17">
        <f t="shared" ref="AE5:AE11" si="7">IF(ISBLANK(Q5),"·",Q5/(C5*(D5*3+IF(AND(ISNUMBER(T5),T5&gt;0),24,0))))</f>
        <v>1.7207732563990052E-2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2.4581077303379335E-2</v>
      </c>
      <c r="I6" s="20">
        <f t="shared" si="1"/>
        <v>271.43378999999999</v>
      </c>
      <c r="J6" s="21">
        <f t="shared" si="2"/>
        <v>1.327378174382484</v>
      </c>
      <c r="K6" s="21">
        <f t="shared" si="3"/>
        <v>0.17157224879546579</v>
      </c>
      <c r="L6" s="21">
        <f t="shared" si="4"/>
        <v>0.15634416752495844</v>
      </c>
      <c r="M6" s="21">
        <f t="shared" si="5"/>
        <v>1.1558059255870183</v>
      </c>
      <c r="N6" s="18">
        <f t="shared" si="6"/>
        <v>37423552</v>
      </c>
      <c r="O6" s="21">
        <v>16</v>
      </c>
      <c r="P6" s="22">
        <v>22654789</v>
      </c>
      <c r="Q6" s="23">
        <v>289529376</v>
      </c>
      <c r="R6" s="23">
        <v>34101984</v>
      </c>
      <c r="S6" s="23">
        <v>3321568</v>
      </c>
      <c r="T6" s="23">
        <v>252105824</v>
      </c>
      <c r="U6" s="24" t="s">
        <v>571</v>
      </c>
      <c r="V6" s="24" t="s">
        <v>571</v>
      </c>
      <c r="W6" s="24" t="s">
        <v>571</v>
      </c>
      <c r="X6" s="24" t="s">
        <v>571</v>
      </c>
      <c r="Y6" s="24" t="s">
        <v>571</v>
      </c>
      <c r="Z6" s="25">
        <v>6339.73</v>
      </c>
      <c r="AA6" s="25">
        <v>0</v>
      </c>
      <c r="AB6" s="25">
        <v>34.255000000000003</v>
      </c>
      <c r="AC6" s="25">
        <v>0</v>
      </c>
      <c r="AE6" s="26">
        <f t="shared" si="7"/>
        <v>2.4581077303379335E-2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1.941891739612004E-2</v>
      </c>
      <c r="I7" s="11">
        <f t="shared" si="1"/>
        <v>317.13235500000002</v>
      </c>
      <c r="J7" s="12">
        <f t="shared" si="2"/>
        <v>1.0486215393904823</v>
      </c>
      <c r="K7" s="12">
        <f t="shared" si="3"/>
        <v>0.16732509230982773</v>
      </c>
      <c r="L7" s="12">
        <f t="shared" si="4"/>
        <v>0.15458328453037051</v>
      </c>
      <c r="M7" s="12">
        <f t="shared" si="5"/>
        <v>0.88129644708065447</v>
      </c>
      <c r="N7" s="54">
        <f t="shared" si="6"/>
        <v>53977352</v>
      </c>
      <c r="O7" s="12">
        <v>16</v>
      </c>
      <c r="P7" s="13">
        <v>33947718</v>
      </c>
      <c r="Q7" s="14">
        <v>338274512</v>
      </c>
      <c r="R7" s="14">
        <v>49866976</v>
      </c>
      <c r="S7" s="14">
        <v>4110376</v>
      </c>
      <c r="T7" s="14">
        <v>284297160</v>
      </c>
      <c r="U7" s="15" t="s">
        <v>571</v>
      </c>
      <c r="V7" s="15" t="s">
        <v>571</v>
      </c>
      <c r="W7" s="15" t="s">
        <v>571</v>
      </c>
      <c r="X7" s="15" t="s">
        <v>571</v>
      </c>
      <c r="Y7" s="15" t="s">
        <v>571</v>
      </c>
      <c r="Z7" s="16">
        <v>8959.91</v>
      </c>
      <c r="AA7" s="16">
        <v>0</v>
      </c>
      <c r="AB7" s="16">
        <v>42.347000000000001</v>
      </c>
      <c r="AC7" s="16">
        <v>0</v>
      </c>
      <c r="AE7" s="17">
        <f t="shared" si="7"/>
        <v>1.941891739612004E-2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1.9324278266207234E-2</v>
      </c>
      <c r="I8" s="39">
        <f t="shared" si="1"/>
        <v>408.60449999999997</v>
      </c>
      <c r="J8" s="40">
        <f t="shared" si="2"/>
        <v>1.0435110263751906</v>
      </c>
      <c r="K8" s="40">
        <f t="shared" si="3"/>
        <v>0.15718797114754754</v>
      </c>
      <c r="L8" s="40">
        <f t="shared" si="4"/>
        <v>0.13711273586225309</v>
      </c>
      <c r="M8" s="40">
        <f t="shared" si="5"/>
        <v>0.88632305522764299</v>
      </c>
      <c r="N8" s="37">
        <f t="shared" si="6"/>
        <v>39391760</v>
      </c>
      <c r="O8" s="40">
        <v>16</v>
      </c>
      <c r="P8" s="41">
        <v>32209643</v>
      </c>
      <c r="Q8" s="42">
        <v>261506880</v>
      </c>
      <c r="R8" s="42">
        <v>34360848</v>
      </c>
      <c r="S8" s="42">
        <v>5030912</v>
      </c>
      <c r="T8" s="42">
        <v>222115120</v>
      </c>
      <c r="U8" s="43" t="s">
        <v>571</v>
      </c>
      <c r="V8" s="43" t="s">
        <v>571</v>
      </c>
      <c r="W8" s="43" t="s">
        <v>571</v>
      </c>
      <c r="X8" s="43" t="s">
        <v>571</v>
      </c>
      <c r="Y8" s="43" t="s">
        <v>571</v>
      </c>
      <c r="Z8" s="44">
        <v>6906.82</v>
      </c>
      <c r="AA8" s="44">
        <v>0</v>
      </c>
      <c r="AB8" s="44">
        <v>36.148000000000003</v>
      </c>
      <c r="AC8" s="44">
        <v>0</v>
      </c>
      <c r="AE8" s="46">
        <f t="shared" si="7"/>
        <v>1.9324278266207234E-2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2.7983096659605206E-2</v>
      </c>
      <c r="I9" s="29">
        <f t="shared" si="1"/>
        <v>354.57838500000003</v>
      </c>
      <c r="J9" s="30">
        <f t="shared" si="2"/>
        <v>1.5110872196186811</v>
      </c>
      <c r="K9" s="30">
        <f t="shared" si="3"/>
        <v>0.14715559444271151</v>
      </c>
      <c r="L9" s="30">
        <f t="shared" si="4"/>
        <v>0.13754164283108614</v>
      </c>
      <c r="M9" s="30">
        <f t="shared" si="5"/>
        <v>1.3639316251759697</v>
      </c>
      <c r="N9" s="27">
        <f t="shared" si="6"/>
        <v>36832248</v>
      </c>
      <c r="O9" s="30">
        <v>16</v>
      </c>
      <c r="P9" s="31">
        <v>25312408</v>
      </c>
      <c r="Q9" s="32">
        <v>378216944</v>
      </c>
      <c r="R9" s="32">
        <v>34425928</v>
      </c>
      <c r="S9" s="32">
        <v>2406320</v>
      </c>
      <c r="T9" s="32">
        <v>341384696</v>
      </c>
      <c r="U9" s="33" t="s">
        <v>571</v>
      </c>
      <c r="V9" s="33" t="s">
        <v>571</v>
      </c>
      <c r="W9" s="33" t="s">
        <v>571</v>
      </c>
      <c r="X9" s="33" t="s">
        <v>571</v>
      </c>
      <c r="Y9" s="33" t="s">
        <v>571</v>
      </c>
      <c r="Z9" s="34">
        <v>6184.71</v>
      </c>
      <c r="AA9" s="34">
        <v>0</v>
      </c>
      <c r="AB9" s="34">
        <v>36.450000000000003</v>
      </c>
      <c r="AC9" s="34">
        <v>0</v>
      </c>
      <c r="AE9" s="36">
        <f t="shared" si="7"/>
        <v>2.7983096659605206E-2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4.2388455942934118E-2</v>
      </c>
      <c r="I10" s="20">
        <f t="shared" si="1"/>
        <v>850.382025</v>
      </c>
      <c r="J10" s="21">
        <f t="shared" si="2"/>
        <v>2.4161419887472446</v>
      </c>
      <c r="K10" s="21">
        <f t="shared" si="3"/>
        <v>0.2667514855840874</v>
      </c>
      <c r="L10" s="21">
        <f t="shared" si="4"/>
        <v>0.25448560508510121</v>
      </c>
      <c r="M10" s="21">
        <f t="shared" si="5"/>
        <v>2.1493905031631573</v>
      </c>
      <c r="N10" s="18">
        <f t="shared" si="6"/>
        <v>100144520</v>
      </c>
      <c r="O10" s="21">
        <v>16</v>
      </c>
      <c r="P10" s="22">
        <v>92854683</v>
      </c>
      <c r="Q10" s="23">
        <v>907074160</v>
      </c>
      <c r="R10" s="23">
        <v>95539632</v>
      </c>
      <c r="S10" s="23">
        <v>4604888</v>
      </c>
      <c r="T10" s="23">
        <v>806929640</v>
      </c>
      <c r="U10" s="24" t="s">
        <v>571</v>
      </c>
      <c r="V10" s="24" t="s">
        <v>571</v>
      </c>
      <c r="W10" s="24" t="s">
        <v>571</v>
      </c>
      <c r="X10" s="24" t="s">
        <v>571</v>
      </c>
      <c r="Y10" s="24" t="s">
        <v>571</v>
      </c>
      <c r="Z10" s="25">
        <v>19624.3</v>
      </c>
      <c r="AA10" s="25">
        <v>0</v>
      </c>
      <c r="AB10" s="25">
        <v>112.256</v>
      </c>
      <c r="AC10" s="25">
        <v>0</v>
      </c>
      <c r="AE10" s="26">
        <f t="shared" si="7"/>
        <v>4.2388455942934118E-2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4.3560122919344399E-2</v>
      </c>
      <c r="I11" s="29">
        <f t="shared" si="1"/>
        <v>775.58264999999994</v>
      </c>
      <c r="J11" s="30">
        <f t="shared" si="2"/>
        <v>2.482927006402631</v>
      </c>
      <c r="K11" s="30">
        <f t="shared" si="3"/>
        <v>0.28579571741874216</v>
      </c>
      <c r="L11" s="30">
        <f t="shared" si="4"/>
        <v>0.27160379622733094</v>
      </c>
      <c r="M11" s="30">
        <f t="shared" si="5"/>
        <v>2.1971312889838885</v>
      </c>
      <c r="N11" s="27">
        <f t="shared" si="6"/>
        <v>95224472</v>
      </c>
      <c r="O11" s="30">
        <v>16</v>
      </c>
      <c r="P11" s="31">
        <v>83104648</v>
      </c>
      <c r="Q11" s="32">
        <v>827288160</v>
      </c>
      <c r="R11" s="32">
        <v>90495856</v>
      </c>
      <c r="S11" s="32">
        <v>4728616</v>
      </c>
      <c r="T11" s="32">
        <v>732063688</v>
      </c>
      <c r="U11" s="33" t="s">
        <v>571</v>
      </c>
      <c r="V11" s="33" t="s">
        <v>571</v>
      </c>
      <c r="W11" s="33" t="s">
        <v>571</v>
      </c>
      <c r="X11" s="33" t="s">
        <v>571</v>
      </c>
      <c r="Y11" s="33" t="s">
        <v>571</v>
      </c>
      <c r="Z11" s="34">
        <v>18088.5</v>
      </c>
      <c r="AA11" s="34">
        <v>0</v>
      </c>
      <c r="AB11" s="34">
        <v>102.85899999999999</v>
      </c>
      <c r="AC11" s="34">
        <v>0</v>
      </c>
      <c r="AE11" s="36">
        <f t="shared" si="7"/>
        <v>4.3560122919344399E-2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1.0871820746509049</v>
      </c>
      <c r="K12" s="48">
        <f>AVERAGE(K5:K8)</f>
        <v>0.15915986602241033</v>
      </c>
      <c r="L12" s="48">
        <f>AVERAGE(L5:L8)</f>
        <v>0.1449235837627432</v>
      </c>
      <c r="M12" s="48">
        <f>AVERAGE(M5:M8)</f>
        <v>0.9280222086284946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1.5110872196186811</v>
      </c>
      <c r="K13" s="48">
        <f>AVERAGE(K9:K9)</f>
        <v>0.14715559444271151</v>
      </c>
      <c r="L13" s="48">
        <f>AVERAGE(L9:L9)</f>
        <v>0.13754164283108614</v>
      </c>
      <c r="M13" s="48">
        <f>AVERAGE(M9:M9)</f>
        <v>1.3639316251759697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2.4495344975749376</v>
      </c>
      <c r="K14" s="48">
        <f>AVERAGE(K10:K11)</f>
        <v>0.27627360150141478</v>
      </c>
      <c r="L14" s="48">
        <f>AVERAGE(L10:L11)</f>
        <v>0.2630447006562161</v>
      </c>
      <c r="M14" s="48">
        <f>AVERAGE(M10:M11)</f>
        <v>2.1732608960735229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1.5369835019103111</v>
      </c>
      <c r="K15" s="48">
        <f>AVERAGE(K5:K11)</f>
        <v>0.19090603736216893</v>
      </c>
      <c r="L15" s="48">
        <f>AVERAGE(L5:L11)</f>
        <v>0.17761791131349874</v>
      </c>
      <c r="M15" s="48">
        <f>AVERAGE(M5:M11)</f>
        <v>1.3460774645481419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72603.600000000006</v>
      </c>
      <c r="AA16" s="49">
        <f>SUM(AA5:AA8,AA9:AA9,AA10:AA11)</f>
        <v>0</v>
      </c>
      <c r="AB16" s="49">
        <f>SUM(AB5:AB8,AB9:AB9,AB10:AB11)</f>
        <v>402.21499999999997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t="e">
        <f>AX16/AA16</f>
        <v>#DIV/0!</v>
      </c>
      <c r="AY17" s="55">
        <f>AY16/AB16</f>
        <v>0</v>
      </c>
      <c r="AZ17" s="55" t="e">
        <f>AZ16/AC16</f>
        <v>#DIV/0!</v>
      </c>
    </row>
    <row r="18" spans="2:52" hidden="1" outlineLevel="2" x14ac:dyDescent="0.3">
      <c r="B18" s="47" t="s">
        <v>240</v>
      </c>
      <c r="Z18" s="49">
        <f>GEOMEAN(Z5:Z8,Z9:Z9,Z10:Z11)</f>
        <v>9204.6690603319621</v>
      </c>
      <c r="AA18" s="49" t="e">
        <f>GEOMEAN(AA5:AA8,AA9:AA9,AA10:AA11)</f>
        <v>#NUM!</v>
      </c>
      <c r="AB18" s="49">
        <f>GEOMEAN(AB5:AB8,AB9:AB9,AB10:AB11)</f>
        <v>50.489699440669447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22" sqref="AR22"/>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5" t="s">
        <v>572</v>
      </c>
      <c r="B1" s="61"/>
      <c r="C1" s="61"/>
      <c r="D1" s="61"/>
      <c r="E1" s="61"/>
      <c r="F1" s="61"/>
      <c r="H1" s="60" t="str">
        <f>Summary!$C$1</f>
        <v>ALL_master+r130</v>
      </c>
      <c r="I1" s="61"/>
      <c r="J1" s="61"/>
      <c r="K1" s="61"/>
      <c r="L1" s="61"/>
      <c r="M1" s="61"/>
      <c r="N1" s="61"/>
      <c r="O1" s="61"/>
      <c r="P1" s="61"/>
      <c r="Q1" s="61"/>
      <c r="R1" s="61"/>
      <c r="S1" s="61"/>
      <c r="T1" s="61"/>
      <c r="U1" s="61"/>
      <c r="V1" s="61"/>
      <c r="W1" s="61"/>
      <c r="X1" s="61"/>
      <c r="Y1" s="61"/>
      <c r="Z1" s="61"/>
      <c r="AA1" s="61"/>
      <c r="AB1" s="61"/>
      <c r="AC1" s="61"/>
      <c r="AE1" s="62">
        <f>Summary!$C$2</f>
        <v>0</v>
      </c>
      <c r="AF1" s="61"/>
      <c r="AG1" s="61"/>
      <c r="AH1" s="61"/>
      <c r="AI1" s="61"/>
      <c r="AJ1" s="61"/>
      <c r="AK1" s="61"/>
      <c r="AL1" s="61"/>
      <c r="AM1" s="61"/>
      <c r="AN1" s="61"/>
      <c r="AO1" s="61"/>
      <c r="AP1" s="61"/>
      <c r="AQ1" s="61"/>
      <c r="AR1" s="61"/>
      <c r="AS1" s="61"/>
      <c r="AT1" s="61"/>
      <c r="AU1" s="61"/>
      <c r="AV1" s="61"/>
      <c r="AW1" s="61"/>
      <c r="AX1" s="61"/>
      <c r="AY1" s="61"/>
      <c r="AZ1" s="61"/>
    </row>
    <row r="2" spans="1:59" ht="30" customHeight="1" x14ac:dyDescent="0.3">
      <c r="A2" s="71" t="s">
        <v>137</v>
      </c>
      <c r="B2" s="72" t="s">
        <v>138</v>
      </c>
      <c r="C2" s="71" t="s">
        <v>140</v>
      </c>
      <c r="D2" s="72" t="s">
        <v>141</v>
      </c>
      <c r="E2" s="71" t="s">
        <v>142</v>
      </c>
      <c r="F2" s="72" t="s">
        <v>143</v>
      </c>
      <c r="H2" s="71" t="s">
        <v>565</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565</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row>
    <row r="3" spans="1:59" ht="28.95" customHeight="1" x14ac:dyDescent="0.3">
      <c r="A3" s="64"/>
      <c r="B3" s="64"/>
      <c r="C3" s="64"/>
      <c r="D3" s="64"/>
      <c r="E3" s="64"/>
      <c r="F3" s="64"/>
      <c r="H3" s="64"/>
      <c r="I3" s="64"/>
      <c r="J3" s="56" t="s">
        <v>25</v>
      </c>
      <c r="K3" s="56" t="s">
        <v>23</v>
      </c>
      <c r="L3" s="56" t="s">
        <v>157</v>
      </c>
      <c r="M3" s="56" t="s">
        <v>158</v>
      </c>
      <c r="N3" s="64"/>
      <c r="O3" s="64"/>
      <c r="P3" s="64"/>
      <c r="Q3" s="57" t="s">
        <v>25</v>
      </c>
      <c r="R3" s="57" t="s">
        <v>157</v>
      </c>
      <c r="S3" s="57" t="s">
        <v>159</v>
      </c>
      <c r="T3" s="57" t="s">
        <v>24</v>
      </c>
      <c r="U3" s="56" t="s">
        <v>9</v>
      </c>
      <c r="V3" s="56" t="s">
        <v>10</v>
      </c>
      <c r="W3" s="57" t="s">
        <v>11</v>
      </c>
      <c r="X3" s="57" t="s">
        <v>12</v>
      </c>
      <c r="Y3" s="57" t="s">
        <v>13</v>
      </c>
      <c r="Z3" s="56" t="s">
        <v>160</v>
      </c>
      <c r="AA3" s="56" t="s">
        <v>161</v>
      </c>
      <c r="AB3" s="57" t="s">
        <v>160</v>
      </c>
      <c r="AC3" s="57" t="s">
        <v>161</v>
      </c>
      <c r="AE3" s="64"/>
      <c r="AF3" s="64"/>
      <c r="AG3" s="56" t="s">
        <v>25</v>
      </c>
      <c r="AH3" s="56" t="s">
        <v>23</v>
      </c>
      <c r="AI3" s="56" t="s">
        <v>157</v>
      </c>
      <c r="AJ3" s="56" t="s">
        <v>158</v>
      </c>
      <c r="AK3" s="64"/>
      <c r="AL3" s="64"/>
      <c r="AM3" s="64"/>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4"/>
      <c r="BG3" s="64"/>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1.7040407534689685E-2</v>
      </c>
      <c r="I5" s="11">
        <f t="shared" ref="I5:I11" si="1">IF(OR(ISBLANK(Q5),ISBLANK(F5)),"·",Q5*F5/E5/1000000)</f>
        <v>205.44189750000001</v>
      </c>
      <c r="J5" s="12">
        <f t="shared" ref="J5:J11" si="2">IF(ISBLANK(Q5),"·",Q5/C5)</f>
        <v>0.92018200687324292</v>
      </c>
      <c r="K5" s="12">
        <f t="shared" ref="K5:K11" si="3">IF(N5="","·",N5/C5)</f>
        <v>0.13655815594534876</v>
      </c>
      <c r="L5" s="12">
        <f t="shared" ref="L5:L11" si="4">IF(R5="","·",R5/C5)</f>
        <v>0.1276869066640611</v>
      </c>
      <c r="M5" s="12">
        <f t="shared" ref="M5:M11" si="5">IF(ISBLANK(T5),"·",T5/C5)</f>
        <v>0.78362385092789422</v>
      </c>
      <c r="N5" s="54">
        <f t="shared" ref="N5:N11" si="6">IF(OR(ISBLANK(R5),ISBLANK(S5)),"",R5+S5)</f>
        <v>32520832</v>
      </c>
      <c r="O5" s="12">
        <v>16</v>
      </c>
      <c r="P5" s="13">
        <v>24964341</v>
      </c>
      <c r="Q5" s="14">
        <v>219138024</v>
      </c>
      <c r="R5" s="14">
        <v>30408176</v>
      </c>
      <c r="S5" s="14">
        <v>2112656</v>
      </c>
      <c r="T5" s="14">
        <v>186617192</v>
      </c>
      <c r="U5" s="15" t="s">
        <v>571</v>
      </c>
      <c r="V5" s="15" t="s">
        <v>571</v>
      </c>
      <c r="W5" s="15" t="s">
        <v>571</v>
      </c>
      <c r="X5" s="15" t="s">
        <v>571</v>
      </c>
      <c r="Y5" s="15" t="s">
        <v>571</v>
      </c>
      <c r="Z5" s="16">
        <v>7751.52</v>
      </c>
      <c r="AA5" s="16">
        <v>0</v>
      </c>
      <c r="AB5" s="16">
        <v>30.765000000000001</v>
      </c>
      <c r="AC5" s="16">
        <v>0</v>
      </c>
      <c r="AE5" s="17">
        <f t="shared" ref="AE5:AE11" si="7">IF(ISBLANK(Q5),"·",Q5/(C5*(D5*3+IF(AND(ISNUMBER(T5),T5&gt;0),24,0))))</f>
        <v>1.7040407534689685E-2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2.4455930458739669E-2</v>
      </c>
      <c r="I6" s="20">
        <f t="shared" si="1"/>
        <v>270.05187000000001</v>
      </c>
      <c r="J6" s="21">
        <f t="shared" si="2"/>
        <v>1.320620244771942</v>
      </c>
      <c r="K6" s="21">
        <f t="shared" si="3"/>
        <v>0.17090117247727757</v>
      </c>
      <c r="L6" s="21">
        <f t="shared" si="4"/>
        <v>0.15521837162471319</v>
      </c>
      <c r="M6" s="21">
        <f t="shared" si="5"/>
        <v>1.1497190722946644</v>
      </c>
      <c r="N6" s="18">
        <f t="shared" si="6"/>
        <v>37277176</v>
      </c>
      <c r="O6" s="21">
        <v>16</v>
      </c>
      <c r="P6" s="22">
        <v>22654789</v>
      </c>
      <c r="Q6" s="23">
        <v>288055328</v>
      </c>
      <c r="R6" s="23">
        <v>33856424</v>
      </c>
      <c r="S6" s="23">
        <v>3420752</v>
      </c>
      <c r="T6" s="23">
        <v>250778152</v>
      </c>
      <c r="U6" s="24" t="s">
        <v>571</v>
      </c>
      <c r="V6" s="24" t="s">
        <v>571</v>
      </c>
      <c r="W6" s="24" t="s">
        <v>571</v>
      </c>
      <c r="X6" s="24" t="s">
        <v>571</v>
      </c>
      <c r="Y6" s="24" t="s">
        <v>571</v>
      </c>
      <c r="Z6" s="25">
        <v>9325.2099999999991</v>
      </c>
      <c r="AA6" s="25">
        <v>0</v>
      </c>
      <c r="AB6" s="25">
        <v>31.277000000000001</v>
      </c>
      <c r="AC6" s="25">
        <v>0</v>
      </c>
      <c r="AE6" s="26">
        <f t="shared" si="7"/>
        <v>2.4455930458739669E-2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1.8793212597042121E-2</v>
      </c>
      <c r="I7" s="11">
        <f t="shared" si="1"/>
        <v>306.913905</v>
      </c>
      <c r="J7" s="12">
        <f t="shared" si="2"/>
        <v>1.0148334802402745</v>
      </c>
      <c r="K7" s="12">
        <f t="shared" si="3"/>
        <v>0.14885295905166274</v>
      </c>
      <c r="L7" s="12">
        <f t="shared" si="4"/>
        <v>0.13703614049628812</v>
      </c>
      <c r="M7" s="12">
        <f t="shared" si="5"/>
        <v>0.8659805211886118</v>
      </c>
      <c r="N7" s="54">
        <f t="shared" si="6"/>
        <v>48018432</v>
      </c>
      <c r="O7" s="12">
        <v>16</v>
      </c>
      <c r="P7" s="13">
        <v>33947718</v>
      </c>
      <c r="Q7" s="14">
        <v>327374832</v>
      </c>
      <c r="R7" s="14">
        <v>44206448</v>
      </c>
      <c r="S7" s="14">
        <v>3811984</v>
      </c>
      <c r="T7" s="14">
        <v>279356400</v>
      </c>
      <c r="U7" s="15" t="s">
        <v>571</v>
      </c>
      <c r="V7" s="15" t="s">
        <v>571</v>
      </c>
      <c r="W7" s="15" t="s">
        <v>571</v>
      </c>
      <c r="X7" s="15" t="s">
        <v>571</v>
      </c>
      <c r="Y7" s="15" t="s">
        <v>571</v>
      </c>
      <c r="Z7" s="16">
        <v>10464.9</v>
      </c>
      <c r="AA7" s="16">
        <v>0</v>
      </c>
      <c r="AB7" s="16">
        <v>38.308</v>
      </c>
      <c r="AC7" s="16">
        <v>0</v>
      </c>
      <c r="AE7" s="17">
        <f t="shared" si="7"/>
        <v>1.8793212597042121E-2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1.7297777450767864E-2</v>
      </c>
      <c r="I8" s="39">
        <f t="shared" si="1"/>
        <v>365.75491249999999</v>
      </c>
      <c r="J8" s="40">
        <f t="shared" si="2"/>
        <v>0.93407998234146472</v>
      </c>
      <c r="K8" s="40">
        <f t="shared" si="3"/>
        <v>0.10944888899944893</v>
      </c>
      <c r="L8" s="40">
        <f t="shared" si="4"/>
        <v>9.6235825148561438E-2</v>
      </c>
      <c r="M8" s="40">
        <f t="shared" si="5"/>
        <v>0.82463109334201579</v>
      </c>
      <c r="N8" s="37">
        <f t="shared" si="6"/>
        <v>27428208</v>
      </c>
      <c r="O8" s="40">
        <v>16</v>
      </c>
      <c r="P8" s="41">
        <v>32209643</v>
      </c>
      <c r="Q8" s="42">
        <v>234083144</v>
      </c>
      <c r="R8" s="42">
        <v>24116976</v>
      </c>
      <c r="S8" s="42">
        <v>3311232</v>
      </c>
      <c r="T8" s="42">
        <v>206654936</v>
      </c>
      <c r="U8" s="43" t="s">
        <v>571</v>
      </c>
      <c r="V8" s="43" t="s">
        <v>571</v>
      </c>
      <c r="W8" s="43" t="s">
        <v>571</v>
      </c>
      <c r="X8" s="43" t="s">
        <v>571</v>
      </c>
      <c r="Y8" s="43" t="s">
        <v>571</v>
      </c>
      <c r="Z8" s="44">
        <v>8231.6200000000008</v>
      </c>
      <c r="AA8" s="44">
        <v>0</v>
      </c>
      <c r="AB8" s="44">
        <v>33.965000000000003</v>
      </c>
      <c r="AC8" s="44">
        <v>0</v>
      </c>
      <c r="AE8" s="46">
        <f t="shared" si="7"/>
        <v>1.7297777450767864E-2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2.7810621965440707E-2</v>
      </c>
      <c r="I9" s="29">
        <f t="shared" si="1"/>
        <v>352.39292999999998</v>
      </c>
      <c r="J9" s="30">
        <f t="shared" si="2"/>
        <v>1.5017735861337982</v>
      </c>
      <c r="K9" s="30">
        <f t="shared" si="3"/>
        <v>0.14676907389070051</v>
      </c>
      <c r="L9" s="30">
        <f t="shared" si="4"/>
        <v>0.13694154993734542</v>
      </c>
      <c r="M9" s="30">
        <f t="shared" si="5"/>
        <v>1.3550045122430976</v>
      </c>
      <c r="N9" s="27">
        <f t="shared" si="6"/>
        <v>36735504</v>
      </c>
      <c r="O9" s="30">
        <v>16</v>
      </c>
      <c r="P9" s="31">
        <v>25312408</v>
      </c>
      <c r="Q9" s="32">
        <v>375885792</v>
      </c>
      <c r="R9" s="32">
        <v>34275728</v>
      </c>
      <c r="S9" s="32">
        <v>2459776</v>
      </c>
      <c r="T9" s="32">
        <v>339150288</v>
      </c>
      <c r="U9" s="33" t="s">
        <v>571</v>
      </c>
      <c r="V9" s="33" t="s">
        <v>571</v>
      </c>
      <c r="W9" s="33" t="s">
        <v>571</v>
      </c>
      <c r="X9" s="33" t="s">
        <v>571</v>
      </c>
      <c r="Y9" s="33" t="s">
        <v>571</v>
      </c>
      <c r="Z9" s="34">
        <v>10188.9</v>
      </c>
      <c r="AA9" s="34">
        <v>0</v>
      </c>
      <c r="AB9" s="34">
        <v>37.798000000000002</v>
      </c>
      <c r="AC9" s="34">
        <v>0</v>
      </c>
      <c r="AE9" s="36">
        <f t="shared" si="7"/>
        <v>2.7810621965440707E-2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4.2346619761079209E-2</v>
      </c>
      <c r="I10" s="20">
        <f t="shared" si="1"/>
        <v>849.54272249999997</v>
      </c>
      <c r="J10" s="21">
        <f t="shared" si="2"/>
        <v>2.4137573263815151</v>
      </c>
      <c r="K10" s="21">
        <f t="shared" si="3"/>
        <v>0.26493022039894093</v>
      </c>
      <c r="L10" s="21">
        <f t="shared" si="4"/>
        <v>0.2524243969273246</v>
      </c>
      <c r="M10" s="21">
        <f t="shared" si="5"/>
        <v>2.1488271059825741</v>
      </c>
      <c r="N10" s="18">
        <f t="shared" si="6"/>
        <v>99460776</v>
      </c>
      <c r="O10" s="21">
        <v>16</v>
      </c>
      <c r="P10" s="22">
        <v>92854683</v>
      </c>
      <c r="Q10" s="23">
        <v>906178904</v>
      </c>
      <c r="R10" s="23">
        <v>94765808</v>
      </c>
      <c r="S10" s="23">
        <v>4694968</v>
      </c>
      <c r="T10" s="23">
        <v>806718128</v>
      </c>
      <c r="U10" s="24" t="s">
        <v>571</v>
      </c>
      <c r="V10" s="24" t="s">
        <v>571</v>
      </c>
      <c r="W10" s="24" t="s">
        <v>571</v>
      </c>
      <c r="X10" s="24" t="s">
        <v>571</v>
      </c>
      <c r="Y10" s="24" t="s">
        <v>571</v>
      </c>
      <c r="Z10" s="25">
        <v>32177.599999999999</v>
      </c>
      <c r="AA10" s="25">
        <v>0</v>
      </c>
      <c r="AB10" s="25">
        <v>109.444</v>
      </c>
      <c r="AC10" s="25">
        <v>0</v>
      </c>
      <c r="AE10" s="26">
        <f t="shared" si="7"/>
        <v>4.2346619761079209E-2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4.3553205011574954E-2</v>
      </c>
      <c r="I11" s="29">
        <f t="shared" si="1"/>
        <v>775.45947750000005</v>
      </c>
      <c r="J11" s="30">
        <f t="shared" si="2"/>
        <v>2.4825326856597725</v>
      </c>
      <c r="K11" s="30">
        <f t="shared" si="3"/>
        <v>0.28580645001157279</v>
      </c>
      <c r="L11" s="30">
        <f t="shared" si="4"/>
        <v>0.27120241646368454</v>
      </c>
      <c r="M11" s="30">
        <f t="shared" si="5"/>
        <v>2.1967262356481996</v>
      </c>
      <c r="N11" s="27">
        <f t="shared" si="6"/>
        <v>95228048</v>
      </c>
      <c r="O11" s="30">
        <v>16</v>
      </c>
      <c r="P11" s="31">
        <v>83104648</v>
      </c>
      <c r="Q11" s="32">
        <v>827156776</v>
      </c>
      <c r="R11" s="32">
        <v>90362120</v>
      </c>
      <c r="S11" s="32">
        <v>4865928</v>
      </c>
      <c r="T11" s="32">
        <v>731928728</v>
      </c>
      <c r="U11" s="33" t="s">
        <v>571</v>
      </c>
      <c r="V11" s="33" t="s">
        <v>571</v>
      </c>
      <c r="W11" s="33" t="s">
        <v>571</v>
      </c>
      <c r="X11" s="33" t="s">
        <v>571</v>
      </c>
      <c r="Y11" s="33" t="s">
        <v>571</v>
      </c>
      <c r="Z11" s="34">
        <v>33600.199999999997</v>
      </c>
      <c r="AA11" s="34">
        <v>0</v>
      </c>
      <c r="AB11" s="34">
        <v>98.334000000000003</v>
      </c>
      <c r="AC11" s="34">
        <v>0</v>
      </c>
      <c r="AE11" s="36">
        <f t="shared" si="7"/>
        <v>4.3553205011574954E-2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1.0474289285567311</v>
      </c>
      <c r="K12" s="48">
        <f>AVERAGE(K5:K8)</f>
        <v>0.14144029411843451</v>
      </c>
      <c r="L12" s="48">
        <f>AVERAGE(L5:L8)</f>
        <v>0.12904431098340596</v>
      </c>
      <c r="M12" s="48">
        <f>AVERAGE(M5:M8)</f>
        <v>0.90598863443829658</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1.5017735861337982</v>
      </c>
      <c r="K13" s="48">
        <f>AVERAGE(K9:K9)</f>
        <v>0.14676907389070051</v>
      </c>
      <c r="L13" s="48">
        <f>AVERAGE(L9:L9)</f>
        <v>0.13694154993734542</v>
      </c>
      <c r="M13" s="48">
        <f>AVERAGE(M9:M9)</f>
        <v>1.3550045122430976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2.4481450060206438</v>
      </c>
      <c r="K14" s="48">
        <f>AVERAGE(K10:K11)</f>
        <v>0.27536833520525683</v>
      </c>
      <c r="L14" s="48">
        <f>AVERAGE(L10:L11)</f>
        <v>0.26181340669550457</v>
      </c>
      <c r="M14" s="48">
        <f>AVERAGE(M10:M11)</f>
        <v>2.1727766708153871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1.5125399017717156</v>
      </c>
      <c r="K15" s="48">
        <f>AVERAGE(K5:K11)</f>
        <v>0.18046670296785031</v>
      </c>
      <c r="L15" s="48">
        <f>AVERAGE(L5:L11)</f>
        <v>0.16810651532313978</v>
      </c>
      <c r="M15" s="48">
        <f>AVERAGE(M5:M11)</f>
        <v>1.3320731988038654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111739.95</v>
      </c>
      <c r="AA16" s="49">
        <f>SUM(AA5:AA8,AA9:AA9,AA10:AA11)</f>
        <v>0</v>
      </c>
      <c r="AB16" s="49">
        <f>SUM(AB5:AB8,AB9:AB9,AB10:AB11)</f>
        <v>379.89100000000002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t="e">
        <f>AX16/AA16</f>
        <v>#DIV/0!</v>
      </c>
      <c r="AY17" s="55">
        <f>AY16/AB16</f>
        <v>0</v>
      </c>
      <c r="AZ17" s="55" t="e">
        <f>AZ16/AC16</f>
        <v>#DIV/0!</v>
      </c>
    </row>
    <row r="18" spans="2:52" hidden="1" outlineLevel="2" x14ac:dyDescent="0.3">
      <c r="B18" s="47" t="s">
        <v>240</v>
      </c>
      <c r="Z18" s="49">
        <f>GEOMEAN(Z5:Z8,Z9:Z9,Z10:Z11)</f>
        <v>13166.48395651138</v>
      </c>
      <c r="AA18" s="49" t="e">
        <f>GEOMEAN(AA5:AA8,AA9:AA9,AA10:AA11)</f>
        <v>#NUM!</v>
      </c>
      <c r="AB18" s="49">
        <f>GEOMEAN(AB5:AB8,AB9:AB9,AB10:AB11)</f>
        <v>47.035302510428551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zoomScale="55" zoomScaleNormal="55" workbookViewId="0">
      <pane xSplit="2" ySplit="4" topLeftCell="AM5" activePane="bottomRight" state="frozen"/>
      <selection pane="topRight" activeCell="C1" sqref="C1"/>
      <selection pane="bottomLeft" activeCell="A5" sqref="A5"/>
      <selection pane="bottomRight" activeCell="AN5" sqref="AN5:BC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5" t="s">
        <v>573</v>
      </c>
      <c r="B1" s="61"/>
      <c r="C1" s="61"/>
      <c r="D1" s="61"/>
      <c r="E1" s="61"/>
      <c r="F1" s="61"/>
      <c r="G1" s="61"/>
      <c r="I1" s="60" t="str">
        <f>Summary!$C$1</f>
        <v>ALL_master+r130</v>
      </c>
      <c r="J1" s="61"/>
      <c r="K1" s="61"/>
      <c r="L1" s="61"/>
      <c r="M1" s="61"/>
      <c r="N1" s="61"/>
      <c r="O1" s="61"/>
      <c r="P1" s="61"/>
      <c r="Q1" s="61"/>
      <c r="R1" s="61"/>
      <c r="S1" s="61"/>
      <c r="T1" s="61"/>
      <c r="U1" s="61"/>
      <c r="V1" s="61"/>
      <c r="W1" s="61"/>
      <c r="X1" s="61"/>
      <c r="Y1" s="61"/>
      <c r="Z1" s="61"/>
      <c r="AA1" s="61"/>
      <c r="AB1" s="61"/>
      <c r="AC1" s="61"/>
      <c r="AD1" s="61"/>
      <c r="AE1" s="61"/>
      <c r="AG1" s="62">
        <f>Summary!$C$2</f>
        <v>0</v>
      </c>
      <c r="AH1" s="61"/>
      <c r="AI1" s="61"/>
      <c r="AJ1" s="61"/>
      <c r="AK1" s="61"/>
      <c r="AL1" s="61"/>
      <c r="AM1" s="61"/>
      <c r="AN1" s="61"/>
      <c r="AO1" s="61"/>
      <c r="AP1" s="61"/>
      <c r="AQ1" s="61"/>
      <c r="AR1" s="61"/>
      <c r="AS1" s="61"/>
      <c r="AT1" s="61"/>
      <c r="AU1" s="61"/>
      <c r="AV1" s="61"/>
      <c r="AW1" s="61"/>
      <c r="AX1" s="61"/>
      <c r="AY1" s="61"/>
      <c r="AZ1" s="61"/>
      <c r="BA1" s="61"/>
      <c r="BB1" s="61"/>
      <c r="BC1" s="61"/>
    </row>
    <row r="2" spans="1:72" ht="30" customHeight="1" x14ac:dyDescent="0.3">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row>
    <row r="3" spans="1:72" x14ac:dyDescent="0.3">
      <c r="A3" s="64"/>
      <c r="B3" s="64"/>
      <c r="C3" s="64"/>
      <c r="D3" s="64"/>
      <c r="E3" s="64"/>
      <c r="F3" s="64"/>
      <c r="G3" s="64"/>
      <c r="I3" s="64"/>
      <c r="J3" s="56" t="s">
        <v>25</v>
      </c>
      <c r="K3" s="56" t="s">
        <v>23</v>
      </c>
      <c r="L3" s="56" t="s">
        <v>157</v>
      </c>
      <c r="M3" s="56" t="s">
        <v>158</v>
      </c>
      <c r="N3" s="64"/>
      <c r="O3" s="64"/>
      <c r="P3" s="64"/>
      <c r="Q3" s="64"/>
      <c r="R3" s="64"/>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4"/>
      <c r="AH3" s="57" t="s">
        <v>25</v>
      </c>
      <c r="AI3" s="57" t="s">
        <v>23</v>
      </c>
      <c r="AJ3" s="57" t="s">
        <v>157</v>
      </c>
      <c r="AK3" s="57" t="s">
        <v>158</v>
      </c>
      <c r="AL3" s="64"/>
      <c r="AM3" s="64"/>
      <c r="AN3" s="64"/>
      <c r="AO3" s="64"/>
      <c r="AP3" s="64"/>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4"/>
      <c r="BF3" s="64"/>
      <c r="BG3" s="64"/>
      <c r="BH3" s="64"/>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1.0493325</v>
      </c>
      <c r="J5" s="12">
        <f t="shared" ref="J5:J39" si="1">IF(ISBLANK(S5),"·",S5/D5)</f>
        <v>4.6999998416940112E-3</v>
      </c>
      <c r="K5" s="12">
        <f t="shared" ref="K5:K39" si="2">IF(N5="","·",N5/D5)</f>
        <v>4.1055083635510563E-3</v>
      </c>
      <c r="L5" s="12">
        <f t="shared" ref="L5:L39" si="3">IF(T5="","·",T5/D5)</f>
        <v>2.6158700007341282E-3</v>
      </c>
      <c r="M5" s="12">
        <f t="shared" ref="M5:M39" si="4">IF(ISBLANK(V5),"·",V5/D5)</f>
        <v>5.9449147814295453E-4</v>
      </c>
      <c r="N5" s="54">
        <f t="shared" ref="N5:N39" si="5">IF(OR(ISBLANK(T5),ISBLANK(U5)),"",T5+U5)</f>
        <v>977712</v>
      </c>
      <c r="O5" s="12">
        <v>16</v>
      </c>
      <c r="P5" s="13">
        <v>37882688</v>
      </c>
      <c r="Q5" s="13">
        <v>1183834</v>
      </c>
      <c r="R5" s="13">
        <v>452664.09375</v>
      </c>
      <c r="S5" s="14">
        <v>1119288</v>
      </c>
      <c r="T5" s="14">
        <v>622960</v>
      </c>
      <c r="U5" s="14">
        <v>354752</v>
      </c>
      <c r="V5" s="14">
        <v>141576</v>
      </c>
      <c r="W5" s="15">
        <v>66.486056250000004</v>
      </c>
      <c r="X5" s="15">
        <v>67.917574999999999</v>
      </c>
      <c r="Y5" s="15">
        <v>31.727884374999999</v>
      </c>
      <c r="Z5" s="15">
        <v>44.618315625000001</v>
      </c>
      <c r="AA5" s="15">
        <v>44.121162499999997</v>
      </c>
      <c r="AB5" s="16">
        <v>4457.04</v>
      </c>
      <c r="AC5" s="16">
        <v>0</v>
      </c>
      <c r="AD5" s="16">
        <v>64.918999999999997</v>
      </c>
      <c r="AE5" s="16">
        <v>0</v>
      </c>
      <c r="AG5" s="11">
        <f t="shared" ref="AG5:AG39" si="6">IF(OR(ISBLANK(AQ5),ISBLANK(G5)),"·",AQ5*G5/F5/1000000)</f>
        <v>1.0493325</v>
      </c>
      <c r="AH5" s="12">
        <f t="shared" ref="AH5:AH39" si="7">IF(ISBLANK(AQ5),"·",AQ5/D5)</f>
        <v>4.6999998416940112E-3</v>
      </c>
      <c r="AI5" s="12">
        <f t="shared" ref="AI5:AI39" si="8">IF(AL5="","·",AL5/D5)</f>
        <v>4.1055083635510563E-3</v>
      </c>
      <c r="AJ5" s="12">
        <f t="shared" ref="AJ5:AJ39" si="9">IF(AR5="","·",AR5/D5)</f>
        <v>2.6158700007341282E-3</v>
      </c>
      <c r="AK5" s="12">
        <f t="shared" ref="AK5:AK39" si="10">IF(ISBLANK(AT5),"·",AT5/D5)</f>
        <v>5.9449147814295453E-4</v>
      </c>
      <c r="AL5" s="54">
        <f t="shared" ref="AL5:AL39" si="11">IF(OR(ISBLANK(AR5),ISBLANK(AS5)),"",AR5+AS5)</f>
        <v>977712</v>
      </c>
      <c r="AM5" s="12">
        <v>-12</v>
      </c>
      <c r="AN5" s="13">
        <v>37882688</v>
      </c>
      <c r="AO5" s="13">
        <v>1183834</v>
      </c>
      <c r="AP5" s="13">
        <v>452664.09375</v>
      </c>
      <c r="AQ5" s="14">
        <v>1119288</v>
      </c>
      <c r="AR5" s="14">
        <v>622960</v>
      </c>
      <c r="AS5" s="14">
        <v>354752</v>
      </c>
      <c r="AT5" s="14">
        <v>141576</v>
      </c>
      <c r="AU5" s="15">
        <v>66.486056250000004</v>
      </c>
      <c r="AV5" s="15">
        <v>67.917574999999999</v>
      </c>
      <c r="AW5" s="15">
        <v>31.727884374999999</v>
      </c>
      <c r="AX5" s="15">
        <v>44.618315625000001</v>
      </c>
      <c r="AY5" s="15">
        <v>44.121162499999997</v>
      </c>
      <c r="AZ5" s="16">
        <v>4396.37</v>
      </c>
      <c r="BA5" s="16">
        <v>0</v>
      </c>
      <c r="BB5" s="16">
        <v>65.504999999999995</v>
      </c>
      <c r="BC5" s="16">
        <v>0</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0</v>
      </c>
      <c r="BM5" s="51">
        <f>IF( OR(ISBLANK(V5:V9),ISBLANK(AT5:AT9), ISBLANK(Z5:Z9),ISBLANK(AX5:AX9)), "·", bdRateExtend( V5:V9,Z5:Z9, AT5:AT9,AX5:AX9))</f>
        <v>0</v>
      </c>
      <c r="BN5" s="51">
        <f>IF( OR(ISBLANK(V5:V9),ISBLANK(AT5:AT9), ISBLANK(AA5:AA9),ISBLANK(AY5:AY9)), "·", bdRateExtend( V5:V9,AA5:AA9, AT5:AT9,AY5:AY9))</f>
        <v>0</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0</v>
      </c>
      <c r="BS5" s="51">
        <f>IF( OR(ISBLANK(S5:S9),ISBLANK(AQ5:AQ9), ISBLANK(Z5:Z9),ISBLANK(AX5:AX9)), "·", bdRateExtend( S5:S9,Z5:Z9, AQ5:AQ9,AX5:AX9))</f>
        <v>0</v>
      </c>
      <c r="BT5" s="51">
        <f>IF( OR(ISBLANK(S5:S9),ISBLANK(AQ5:AQ9), ISBLANK(AA5:AA9),ISBLANK(AY5:AY9)), "·", bdRateExtend( S5:S9,AA5:AA9, AQ5:AQ9,AY5:AY9))</f>
        <v>0</v>
      </c>
    </row>
    <row r="6" spans="1:72" outlineLevel="1" x14ac:dyDescent="0.3">
      <c r="A6" s="18"/>
      <c r="B6" s="18" t="s">
        <v>49</v>
      </c>
      <c r="C6" s="19" t="s">
        <v>231</v>
      </c>
      <c r="D6" s="18">
        <v>238146391</v>
      </c>
      <c r="E6" s="19">
        <v>10</v>
      </c>
      <c r="F6" s="19">
        <v>32</v>
      </c>
      <c r="G6" s="19">
        <v>30</v>
      </c>
      <c r="I6" s="20">
        <f t="shared" si="0"/>
        <v>1.3570724999999999</v>
      </c>
      <c r="J6" s="21">
        <f t="shared" si="1"/>
        <v>6.0783789077030357E-3</v>
      </c>
      <c r="K6" s="21">
        <f t="shared" si="2"/>
        <v>4.9940038772202091E-3</v>
      </c>
      <c r="L6" s="21">
        <f t="shared" si="3"/>
        <v>3.5043655144032814E-3</v>
      </c>
      <c r="M6" s="21">
        <f t="shared" si="4"/>
        <v>1.084375030482826E-3</v>
      </c>
      <c r="N6" s="18">
        <f t="shared" si="5"/>
        <v>1189304</v>
      </c>
      <c r="O6" s="21">
        <v>16</v>
      </c>
      <c r="P6" s="22">
        <v>37882688</v>
      </c>
      <c r="Q6" s="22">
        <v>1183834</v>
      </c>
      <c r="R6" s="22">
        <v>422632.15625</v>
      </c>
      <c r="S6" s="23">
        <v>1447544</v>
      </c>
      <c r="T6" s="23">
        <v>834552</v>
      </c>
      <c r="U6" s="23">
        <v>354752</v>
      </c>
      <c r="V6" s="23">
        <v>258240</v>
      </c>
      <c r="W6" s="24">
        <v>67.964849999999998</v>
      </c>
      <c r="X6" s="24">
        <v>69.709143749999996</v>
      </c>
      <c r="Y6" s="24">
        <v>33.838262499999999</v>
      </c>
      <c r="Z6" s="24">
        <v>45.461978125000002</v>
      </c>
      <c r="AA6" s="24">
        <v>45.169328125</v>
      </c>
      <c r="AB6" s="25">
        <v>4675.59</v>
      </c>
      <c r="AC6" s="25">
        <v>0</v>
      </c>
      <c r="AD6" s="25">
        <v>66.304000000000002</v>
      </c>
      <c r="AE6" s="25">
        <v>0</v>
      </c>
      <c r="AG6" s="20">
        <f t="shared" si="6"/>
        <v>1.3570724999999999</v>
      </c>
      <c r="AH6" s="21">
        <f t="shared" si="7"/>
        <v>6.0783789077030357E-3</v>
      </c>
      <c r="AI6" s="21">
        <f t="shared" si="8"/>
        <v>4.9940038772202091E-3</v>
      </c>
      <c r="AJ6" s="21">
        <f t="shared" si="9"/>
        <v>3.5043655144032814E-3</v>
      </c>
      <c r="AK6" s="21">
        <f t="shared" si="10"/>
        <v>1.084375030482826E-3</v>
      </c>
      <c r="AL6" s="18">
        <f t="shared" si="11"/>
        <v>1189304</v>
      </c>
      <c r="AM6" s="21">
        <v>-12</v>
      </c>
      <c r="AN6" s="22">
        <v>37882688</v>
      </c>
      <c r="AO6" s="22">
        <v>1183834</v>
      </c>
      <c r="AP6" s="22">
        <v>422632.15625</v>
      </c>
      <c r="AQ6" s="23">
        <v>1447544</v>
      </c>
      <c r="AR6" s="23">
        <v>834552</v>
      </c>
      <c r="AS6" s="23">
        <v>354752</v>
      </c>
      <c r="AT6" s="23">
        <v>258240</v>
      </c>
      <c r="AU6" s="24">
        <v>67.964849999999998</v>
      </c>
      <c r="AV6" s="24">
        <v>69.709143749999996</v>
      </c>
      <c r="AW6" s="24">
        <v>33.838262499999999</v>
      </c>
      <c r="AX6" s="24">
        <v>45.461978125000002</v>
      </c>
      <c r="AY6" s="24">
        <v>45.169328125</v>
      </c>
      <c r="AZ6" s="25">
        <v>4722.5200000000004</v>
      </c>
      <c r="BA6" s="25">
        <v>0</v>
      </c>
      <c r="BB6" s="25">
        <v>67.5</v>
      </c>
      <c r="BC6" s="25">
        <v>0</v>
      </c>
      <c r="BE6" s="50">
        <f t="shared" si="12"/>
        <v>1</v>
      </c>
      <c r="BF6" s="26">
        <f t="shared" si="13"/>
        <v>0</v>
      </c>
      <c r="BG6" s="26">
        <f t="shared" si="14"/>
        <v>0</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1.851645</v>
      </c>
      <c r="J7" s="12">
        <f t="shared" si="1"/>
        <v>8.2935877873538712E-3</v>
      </c>
      <c r="K7" s="12">
        <f t="shared" si="2"/>
        <v>6.1129122884755367E-3</v>
      </c>
      <c r="L7" s="12">
        <f t="shared" si="3"/>
        <v>4.6232739256586086E-3</v>
      </c>
      <c r="M7" s="12">
        <f t="shared" si="4"/>
        <v>2.1806754988783349E-3</v>
      </c>
      <c r="N7" s="54">
        <f t="shared" si="5"/>
        <v>1455768</v>
      </c>
      <c r="O7" s="12">
        <v>16</v>
      </c>
      <c r="P7" s="13">
        <v>37882688</v>
      </c>
      <c r="Q7" s="13">
        <v>1183834</v>
      </c>
      <c r="R7" s="13">
        <v>417436.5625</v>
      </c>
      <c r="S7" s="14">
        <v>1975088</v>
      </c>
      <c r="T7" s="14">
        <v>1101016</v>
      </c>
      <c r="U7" s="14">
        <v>354752</v>
      </c>
      <c r="V7" s="14">
        <v>519320</v>
      </c>
      <c r="W7" s="15">
        <v>69.239725000000007</v>
      </c>
      <c r="X7" s="15">
        <v>71.251065624999995</v>
      </c>
      <c r="Y7" s="15">
        <v>36.189696875000003</v>
      </c>
      <c r="Z7" s="15">
        <v>46.801071874999998</v>
      </c>
      <c r="AA7" s="15">
        <v>46.433131250000002</v>
      </c>
      <c r="AB7" s="16">
        <v>4874.37</v>
      </c>
      <c r="AC7" s="16">
        <v>0</v>
      </c>
      <c r="AD7" s="16">
        <v>68.400000000000006</v>
      </c>
      <c r="AE7" s="16">
        <v>0</v>
      </c>
      <c r="AG7" s="11">
        <f t="shared" si="6"/>
        <v>1.851645</v>
      </c>
      <c r="AH7" s="12">
        <f t="shared" si="7"/>
        <v>8.2935877873538712E-3</v>
      </c>
      <c r="AI7" s="12">
        <f t="shared" si="8"/>
        <v>6.1129122884755367E-3</v>
      </c>
      <c r="AJ7" s="12">
        <f t="shared" si="9"/>
        <v>4.6232739256586086E-3</v>
      </c>
      <c r="AK7" s="12">
        <f t="shared" si="10"/>
        <v>2.1806754988783349E-3</v>
      </c>
      <c r="AL7" s="54">
        <f t="shared" si="11"/>
        <v>1455768</v>
      </c>
      <c r="AM7" s="12">
        <v>-12</v>
      </c>
      <c r="AN7" s="13">
        <v>37882688</v>
      </c>
      <c r="AO7" s="13">
        <v>1183834</v>
      </c>
      <c r="AP7" s="13">
        <v>417436.5625</v>
      </c>
      <c r="AQ7" s="14">
        <v>1975088</v>
      </c>
      <c r="AR7" s="14">
        <v>1101016</v>
      </c>
      <c r="AS7" s="14">
        <v>354752</v>
      </c>
      <c r="AT7" s="14">
        <v>519320</v>
      </c>
      <c r="AU7" s="15">
        <v>69.239725000000007</v>
      </c>
      <c r="AV7" s="15">
        <v>71.251065624999995</v>
      </c>
      <c r="AW7" s="15">
        <v>36.189696875000003</v>
      </c>
      <c r="AX7" s="15">
        <v>46.801071874999998</v>
      </c>
      <c r="AY7" s="15">
        <v>46.433131250000002</v>
      </c>
      <c r="AZ7" s="16">
        <v>4898.17</v>
      </c>
      <c r="BA7" s="16">
        <v>0</v>
      </c>
      <c r="BB7" s="16">
        <v>67.581999999999994</v>
      </c>
      <c r="BC7" s="16">
        <v>0</v>
      </c>
      <c r="BE7" s="51">
        <f t="shared" si="12"/>
        <v>1</v>
      </c>
      <c r="BF7" s="17">
        <f t="shared" si="13"/>
        <v>0</v>
      </c>
      <c r="BG7" s="17">
        <f t="shared" si="14"/>
        <v>0</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3.0701849999999999</v>
      </c>
      <c r="J8" s="21">
        <f t="shared" si="1"/>
        <v>1.3751474402986019E-2</v>
      </c>
      <c r="K8" s="21">
        <f t="shared" si="2"/>
        <v>8.8772287966354269E-3</v>
      </c>
      <c r="L8" s="21">
        <f t="shared" si="3"/>
        <v>7.3875904338184997E-3</v>
      </c>
      <c r="M8" s="21">
        <f t="shared" si="4"/>
        <v>4.8742456063505914E-3</v>
      </c>
      <c r="N8" s="18">
        <f t="shared" si="5"/>
        <v>2114080</v>
      </c>
      <c r="O8" s="21">
        <v>16</v>
      </c>
      <c r="P8" s="22">
        <v>37882688</v>
      </c>
      <c r="Q8" s="22">
        <v>1183834</v>
      </c>
      <c r="R8" s="22">
        <v>388490.3125</v>
      </c>
      <c r="S8" s="23">
        <v>3274864</v>
      </c>
      <c r="T8" s="23">
        <v>1759328</v>
      </c>
      <c r="U8" s="23">
        <v>354752</v>
      </c>
      <c r="V8" s="23">
        <v>1160784</v>
      </c>
      <c r="W8" s="24">
        <v>70.040637500000003</v>
      </c>
      <c r="X8" s="24">
        <v>72.193087500000004</v>
      </c>
      <c r="Y8" s="24">
        <v>38.678156250000001</v>
      </c>
      <c r="Z8" s="24">
        <v>48.113093749999997</v>
      </c>
      <c r="AA8" s="24">
        <v>48.120862500000001</v>
      </c>
      <c r="AB8" s="25">
        <v>5240.32</v>
      </c>
      <c r="AC8" s="25">
        <v>0</v>
      </c>
      <c r="AD8" s="25">
        <v>69.641000000000005</v>
      </c>
      <c r="AE8" s="25">
        <v>0</v>
      </c>
      <c r="AG8" s="20">
        <f t="shared" si="6"/>
        <v>3.0701849999999999</v>
      </c>
      <c r="AH8" s="21">
        <f t="shared" si="7"/>
        <v>1.3751474402986019E-2</v>
      </c>
      <c r="AI8" s="21">
        <f t="shared" si="8"/>
        <v>8.8772287966354269E-3</v>
      </c>
      <c r="AJ8" s="21">
        <f t="shared" si="9"/>
        <v>7.3875904338184997E-3</v>
      </c>
      <c r="AK8" s="21">
        <f t="shared" si="10"/>
        <v>4.8742456063505914E-3</v>
      </c>
      <c r="AL8" s="18">
        <f t="shared" si="11"/>
        <v>2114080</v>
      </c>
      <c r="AM8" s="21">
        <v>-12</v>
      </c>
      <c r="AN8" s="22">
        <v>37882688</v>
      </c>
      <c r="AO8" s="22">
        <v>1183834</v>
      </c>
      <c r="AP8" s="22">
        <v>388490.3125</v>
      </c>
      <c r="AQ8" s="23">
        <v>3274864</v>
      </c>
      <c r="AR8" s="23">
        <v>1759328</v>
      </c>
      <c r="AS8" s="23">
        <v>354752</v>
      </c>
      <c r="AT8" s="23">
        <v>1160784</v>
      </c>
      <c r="AU8" s="24">
        <v>70.040637500000003</v>
      </c>
      <c r="AV8" s="24">
        <v>72.193087500000004</v>
      </c>
      <c r="AW8" s="24">
        <v>38.678156250000001</v>
      </c>
      <c r="AX8" s="24">
        <v>48.113093749999997</v>
      </c>
      <c r="AY8" s="24">
        <v>48.120862500000001</v>
      </c>
      <c r="AZ8" s="25">
        <v>5201.09</v>
      </c>
      <c r="BA8" s="25">
        <v>0</v>
      </c>
      <c r="BB8" s="25">
        <v>69.581999999999994</v>
      </c>
      <c r="BC8" s="25">
        <v>0</v>
      </c>
      <c r="BE8" s="50">
        <f t="shared" si="12"/>
        <v>1</v>
      </c>
      <c r="BF8" s="26">
        <f t="shared" si="13"/>
        <v>0</v>
      </c>
      <c r="BG8" s="26">
        <f t="shared" si="14"/>
        <v>0</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6.2799899999999997</v>
      </c>
      <c r="J9" s="30">
        <f t="shared" si="1"/>
        <v>2.8128312051556557E-2</v>
      </c>
      <c r="K9" s="30">
        <f t="shared" si="2"/>
        <v>1.554899062064728E-2</v>
      </c>
      <c r="L9" s="30">
        <f t="shared" si="3"/>
        <v>1.2144698006361978E-2</v>
      </c>
      <c r="M9" s="30">
        <f t="shared" si="4"/>
        <v>1.2579321430909276E-2</v>
      </c>
      <c r="N9" s="27">
        <f t="shared" si="5"/>
        <v>3702936</v>
      </c>
      <c r="O9" s="30">
        <v>16</v>
      </c>
      <c r="P9" s="31">
        <v>36276640</v>
      </c>
      <c r="Q9" s="31">
        <v>1133645</v>
      </c>
      <c r="R9" s="31">
        <v>362548.65625</v>
      </c>
      <c r="S9" s="32">
        <v>6698656</v>
      </c>
      <c r="T9" s="32">
        <v>2892216</v>
      </c>
      <c r="U9" s="32">
        <v>810720</v>
      </c>
      <c r="V9" s="32">
        <v>2995720</v>
      </c>
      <c r="W9" s="33">
        <v>72.052743750000005</v>
      </c>
      <c r="X9" s="33">
        <v>75.291812500000006</v>
      </c>
      <c r="Y9" s="33">
        <v>41.209303124999998</v>
      </c>
      <c r="Z9" s="33">
        <v>49.610434374999997</v>
      </c>
      <c r="AA9" s="33">
        <v>49.766831250000003</v>
      </c>
      <c r="AB9" s="34">
        <v>5677.37</v>
      </c>
      <c r="AC9" s="34">
        <v>0</v>
      </c>
      <c r="AD9" s="34">
        <v>69.094999999999999</v>
      </c>
      <c r="AE9" s="34">
        <v>0</v>
      </c>
      <c r="AG9" s="29">
        <f t="shared" si="6"/>
        <v>6.2799899999999997</v>
      </c>
      <c r="AH9" s="30">
        <f t="shared" si="7"/>
        <v>2.8128312051556557E-2</v>
      </c>
      <c r="AI9" s="30">
        <f t="shared" si="8"/>
        <v>1.554899062064728E-2</v>
      </c>
      <c r="AJ9" s="30">
        <f t="shared" si="9"/>
        <v>1.2144698006361978E-2</v>
      </c>
      <c r="AK9" s="30">
        <f t="shared" si="10"/>
        <v>1.2579321430909276E-2</v>
      </c>
      <c r="AL9" s="27">
        <f t="shared" si="11"/>
        <v>3702936</v>
      </c>
      <c r="AM9" s="30">
        <v>-12</v>
      </c>
      <c r="AN9" s="31">
        <v>36276640</v>
      </c>
      <c r="AO9" s="31">
        <v>1133645</v>
      </c>
      <c r="AP9" s="31">
        <v>362548.65625</v>
      </c>
      <c r="AQ9" s="32">
        <v>6698656</v>
      </c>
      <c r="AR9" s="32">
        <v>2892216</v>
      </c>
      <c r="AS9" s="32">
        <v>810720</v>
      </c>
      <c r="AT9" s="32">
        <v>2995720</v>
      </c>
      <c r="AU9" s="33">
        <v>72.052743750000005</v>
      </c>
      <c r="AV9" s="33">
        <v>75.291812500000006</v>
      </c>
      <c r="AW9" s="33">
        <v>41.209303124999998</v>
      </c>
      <c r="AX9" s="33">
        <v>49.610434374999997</v>
      </c>
      <c r="AY9" s="33">
        <v>49.766831250000003</v>
      </c>
      <c r="AZ9" s="34">
        <v>5615.14</v>
      </c>
      <c r="BA9" s="34">
        <v>0</v>
      </c>
      <c r="BB9" s="34">
        <v>69.289000000000001</v>
      </c>
      <c r="BC9" s="34">
        <v>0</v>
      </c>
      <c r="BE9" s="35">
        <f t="shared" si="12"/>
        <v>1</v>
      </c>
      <c r="BF9" s="36">
        <f t="shared" si="13"/>
        <v>0</v>
      </c>
      <c r="BG9" s="36">
        <f t="shared" si="14"/>
        <v>0</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1.9540200000000001</v>
      </c>
      <c r="J10" s="21">
        <f t="shared" si="1"/>
        <v>9.5556397024366847E-3</v>
      </c>
      <c r="K10" s="21">
        <f t="shared" si="2"/>
        <v>7.1496383648869928E-3</v>
      </c>
      <c r="L10" s="21">
        <f t="shared" si="3"/>
        <v>4.1387990996310207E-3</v>
      </c>
      <c r="M10" s="21">
        <f t="shared" si="4"/>
        <v>2.4060013375496918E-3</v>
      </c>
      <c r="N10" s="18">
        <f t="shared" si="5"/>
        <v>1559488</v>
      </c>
      <c r="O10" s="21">
        <v>16</v>
      </c>
      <c r="P10" s="22">
        <v>33275520</v>
      </c>
      <c r="Q10" s="22">
        <v>1039860</v>
      </c>
      <c r="R10" s="22">
        <v>389647.71875</v>
      </c>
      <c r="S10" s="23">
        <v>2084288</v>
      </c>
      <c r="T10" s="23">
        <v>902760</v>
      </c>
      <c r="U10" s="23">
        <v>656728</v>
      </c>
      <c r="V10" s="23">
        <v>524800</v>
      </c>
      <c r="W10" s="24">
        <v>65.654512499999996</v>
      </c>
      <c r="X10" s="24">
        <v>67.048071875000005</v>
      </c>
      <c r="Y10" s="24">
        <v>30.996034375000001</v>
      </c>
      <c r="Z10" s="24">
        <v>38.710440624999997</v>
      </c>
      <c r="AA10" s="24">
        <v>30.106943749999999</v>
      </c>
      <c r="AB10" s="25">
        <v>5231.62</v>
      </c>
      <c r="AC10" s="25">
        <v>0</v>
      </c>
      <c r="AD10" s="25">
        <v>60.213000000000001</v>
      </c>
      <c r="AE10" s="25">
        <v>0</v>
      </c>
      <c r="AG10" s="20">
        <f t="shared" si="6"/>
        <v>1.9540200000000001</v>
      </c>
      <c r="AH10" s="21">
        <f t="shared" si="7"/>
        <v>9.5556397024366847E-3</v>
      </c>
      <c r="AI10" s="21">
        <f t="shared" si="8"/>
        <v>7.1496383648869928E-3</v>
      </c>
      <c r="AJ10" s="21">
        <f t="shared" si="9"/>
        <v>4.1387990996310207E-3</v>
      </c>
      <c r="AK10" s="21">
        <f t="shared" si="10"/>
        <v>2.4060013375496918E-3</v>
      </c>
      <c r="AL10" s="18">
        <f t="shared" si="11"/>
        <v>1559488</v>
      </c>
      <c r="AM10" s="21">
        <v>-12</v>
      </c>
      <c r="AN10" s="22">
        <v>33275520</v>
      </c>
      <c r="AO10" s="22">
        <v>1039860</v>
      </c>
      <c r="AP10" s="22">
        <v>389647.71875</v>
      </c>
      <c r="AQ10" s="23">
        <v>2084288</v>
      </c>
      <c r="AR10" s="23">
        <v>902760</v>
      </c>
      <c r="AS10" s="23">
        <v>656728</v>
      </c>
      <c r="AT10" s="23">
        <v>524800</v>
      </c>
      <c r="AU10" s="24">
        <v>65.654512499999996</v>
      </c>
      <c r="AV10" s="24">
        <v>67.048071875000005</v>
      </c>
      <c r="AW10" s="24">
        <v>30.996034375000001</v>
      </c>
      <c r="AX10" s="24">
        <v>38.710440624999997</v>
      </c>
      <c r="AY10" s="24">
        <v>30.106943749999999</v>
      </c>
      <c r="AZ10" s="25">
        <v>5222.07</v>
      </c>
      <c r="BA10" s="25">
        <v>0</v>
      </c>
      <c r="BB10" s="25">
        <v>62.738999999999997</v>
      </c>
      <c r="BC10" s="25">
        <v>0</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0</v>
      </c>
      <c r="BM10" s="50">
        <f>IF( OR(ISBLANK(V10:V14),ISBLANK(AT10:AT14), ISBLANK(Z10:Z14),ISBLANK(AX10:AX14)), "·", bdRateExtend( V10:V14,Z10:Z14, AT10:AT14,AX10:AX14))</f>
        <v>0</v>
      </c>
      <c r="BN10" s="50">
        <f>IF( OR(ISBLANK(V10:V14),ISBLANK(AT10:AT14), ISBLANK(AA10:AA14),ISBLANK(AY10:AY14)), "·", bdRateExtend( V10:V14,AA10:AA14, AT10:AT14,AY10:AY14))</f>
        <v>0</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0</v>
      </c>
      <c r="BS10" s="50">
        <f>IF( OR(ISBLANK(S10:S14),ISBLANK(AQ10:AQ14), ISBLANK(Z10:Z14),ISBLANK(AX10:AX14)), "·", bdRateExtend( S10:S14,Z10:Z14, AQ10:AQ14,AX10:AX14))</f>
        <v>0</v>
      </c>
      <c r="BT10" s="50">
        <f>IF( OR(ISBLANK(S10:S14),ISBLANK(AQ10:AQ14), ISBLANK(AA10:AA14),ISBLANK(AY10:AY14)), "·", bdRateExtend( S10:S14,AA10:AA14, AQ10:AQ14,AY10:AY14))</f>
        <v>0</v>
      </c>
    </row>
    <row r="11" spans="1:72" outlineLevel="1" x14ac:dyDescent="0.3">
      <c r="A11" s="54"/>
      <c r="B11" s="54" t="s">
        <v>57</v>
      </c>
      <c r="C11" s="10" t="s">
        <v>231</v>
      </c>
      <c r="D11" s="54">
        <v>218121242</v>
      </c>
      <c r="E11" s="10">
        <v>10</v>
      </c>
      <c r="F11" s="10">
        <v>32</v>
      </c>
      <c r="G11" s="10">
        <v>30</v>
      </c>
      <c r="I11" s="11">
        <f t="shared" si="0"/>
        <v>2.6736374999999999</v>
      </c>
      <c r="J11" s="12">
        <f t="shared" si="1"/>
        <v>1.3074746750250029E-2</v>
      </c>
      <c r="K11" s="12">
        <f t="shared" si="2"/>
        <v>8.8020771493681482E-3</v>
      </c>
      <c r="L11" s="12">
        <f t="shared" si="3"/>
        <v>5.7912378841121761E-3</v>
      </c>
      <c r="M11" s="12">
        <f t="shared" si="4"/>
        <v>4.2726696008818805E-3</v>
      </c>
      <c r="N11" s="54">
        <f t="shared" si="5"/>
        <v>1919920</v>
      </c>
      <c r="O11" s="12">
        <v>16</v>
      </c>
      <c r="P11" s="13">
        <v>33275520</v>
      </c>
      <c r="Q11" s="13">
        <v>1039860</v>
      </c>
      <c r="R11" s="13">
        <v>355984.65625</v>
      </c>
      <c r="S11" s="14">
        <v>2851880</v>
      </c>
      <c r="T11" s="14">
        <v>1263192</v>
      </c>
      <c r="U11" s="14">
        <v>656728</v>
      </c>
      <c r="V11" s="14">
        <v>931960</v>
      </c>
      <c r="W11" s="15">
        <v>67.054850000000002</v>
      </c>
      <c r="X11" s="15">
        <v>68.750818749999993</v>
      </c>
      <c r="Y11" s="15">
        <v>32.837315625000002</v>
      </c>
      <c r="Z11" s="15">
        <v>39.672103125</v>
      </c>
      <c r="AA11" s="15">
        <v>32.240868749999997</v>
      </c>
      <c r="AB11" s="16">
        <v>5523.07</v>
      </c>
      <c r="AC11" s="16">
        <v>0</v>
      </c>
      <c r="AD11" s="16">
        <v>64.183999999999997</v>
      </c>
      <c r="AE11" s="16">
        <v>0</v>
      </c>
      <c r="AG11" s="11">
        <f t="shared" si="6"/>
        <v>2.6736374999999999</v>
      </c>
      <c r="AH11" s="12">
        <f t="shared" si="7"/>
        <v>1.3074746750250029E-2</v>
      </c>
      <c r="AI11" s="12">
        <f t="shared" si="8"/>
        <v>8.8020771493681482E-3</v>
      </c>
      <c r="AJ11" s="12">
        <f t="shared" si="9"/>
        <v>5.7912378841121761E-3</v>
      </c>
      <c r="AK11" s="12">
        <f t="shared" si="10"/>
        <v>4.2726696008818805E-3</v>
      </c>
      <c r="AL11" s="54">
        <f t="shared" si="11"/>
        <v>1919920</v>
      </c>
      <c r="AM11" s="12">
        <v>-12</v>
      </c>
      <c r="AN11" s="13">
        <v>33275520</v>
      </c>
      <c r="AO11" s="13">
        <v>1039860</v>
      </c>
      <c r="AP11" s="13">
        <v>355984.65625</v>
      </c>
      <c r="AQ11" s="14">
        <v>2851880</v>
      </c>
      <c r="AR11" s="14">
        <v>1263192</v>
      </c>
      <c r="AS11" s="14">
        <v>656728</v>
      </c>
      <c r="AT11" s="14">
        <v>931960</v>
      </c>
      <c r="AU11" s="15">
        <v>67.054850000000002</v>
      </c>
      <c r="AV11" s="15">
        <v>68.750818749999993</v>
      </c>
      <c r="AW11" s="15">
        <v>32.837315625000002</v>
      </c>
      <c r="AX11" s="15">
        <v>39.672103125</v>
      </c>
      <c r="AY11" s="15">
        <v>32.240868749999997</v>
      </c>
      <c r="AZ11" s="16">
        <v>5542.78</v>
      </c>
      <c r="BA11" s="16">
        <v>0</v>
      </c>
      <c r="BB11" s="16">
        <v>63.286999999999999</v>
      </c>
      <c r="BC11" s="16">
        <v>0</v>
      </c>
      <c r="BE11" s="51">
        <f t="shared" si="12"/>
        <v>1</v>
      </c>
      <c r="BF11" s="17">
        <f t="shared" si="13"/>
        <v>0</v>
      </c>
      <c r="BG11" s="17">
        <f t="shared" si="14"/>
        <v>0</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3.8187600000000002</v>
      </c>
      <c r="J12" s="21">
        <f t="shared" si="1"/>
        <v>1.8674678186547278E-2</v>
      </c>
      <c r="K12" s="21">
        <f t="shared" si="2"/>
        <v>1.1291665027287897E-2</v>
      </c>
      <c r="L12" s="21">
        <f t="shared" si="3"/>
        <v>8.2808257620319257E-3</v>
      </c>
      <c r="M12" s="21">
        <f t="shared" si="4"/>
        <v>7.3830131592593808E-3</v>
      </c>
      <c r="N12" s="18">
        <f t="shared" si="5"/>
        <v>2462952</v>
      </c>
      <c r="O12" s="21">
        <v>16</v>
      </c>
      <c r="P12" s="22">
        <v>33275520</v>
      </c>
      <c r="Q12" s="22">
        <v>1039860</v>
      </c>
      <c r="R12" s="22">
        <v>347869.28125</v>
      </c>
      <c r="S12" s="23">
        <v>4073344</v>
      </c>
      <c r="T12" s="23">
        <v>1806224</v>
      </c>
      <c r="U12" s="23">
        <v>656728</v>
      </c>
      <c r="V12" s="23">
        <v>1610392</v>
      </c>
      <c r="W12" s="24">
        <v>68.28623125</v>
      </c>
      <c r="X12" s="24">
        <v>70.254759375000006</v>
      </c>
      <c r="Y12" s="24">
        <v>34.857121874999997</v>
      </c>
      <c r="Z12" s="24">
        <v>40.615321874999999</v>
      </c>
      <c r="AA12" s="24">
        <v>34.138071875000001</v>
      </c>
      <c r="AB12" s="25">
        <v>5742.21</v>
      </c>
      <c r="AC12" s="25">
        <v>0</v>
      </c>
      <c r="AD12" s="25">
        <v>64.494</v>
      </c>
      <c r="AE12" s="25">
        <v>0</v>
      </c>
      <c r="AG12" s="20">
        <f t="shared" si="6"/>
        <v>3.8187600000000002</v>
      </c>
      <c r="AH12" s="21">
        <f t="shared" si="7"/>
        <v>1.8674678186547278E-2</v>
      </c>
      <c r="AI12" s="21">
        <f t="shared" si="8"/>
        <v>1.1291665027287897E-2</v>
      </c>
      <c r="AJ12" s="21">
        <f t="shared" si="9"/>
        <v>8.2808257620319257E-3</v>
      </c>
      <c r="AK12" s="21">
        <f t="shared" si="10"/>
        <v>7.3830131592593808E-3</v>
      </c>
      <c r="AL12" s="18">
        <f t="shared" si="11"/>
        <v>2462952</v>
      </c>
      <c r="AM12" s="21">
        <v>-12</v>
      </c>
      <c r="AN12" s="22">
        <v>33275520</v>
      </c>
      <c r="AO12" s="22">
        <v>1039860</v>
      </c>
      <c r="AP12" s="22">
        <v>347869.28125</v>
      </c>
      <c r="AQ12" s="23">
        <v>4073344</v>
      </c>
      <c r="AR12" s="23">
        <v>1806224</v>
      </c>
      <c r="AS12" s="23">
        <v>656728</v>
      </c>
      <c r="AT12" s="23">
        <v>1610392</v>
      </c>
      <c r="AU12" s="24">
        <v>68.28623125</v>
      </c>
      <c r="AV12" s="24">
        <v>70.254759375000006</v>
      </c>
      <c r="AW12" s="24">
        <v>34.857121874999997</v>
      </c>
      <c r="AX12" s="24">
        <v>40.615321874999999</v>
      </c>
      <c r="AY12" s="24">
        <v>34.138071875000001</v>
      </c>
      <c r="AZ12" s="25">
        <v>5771.67</v>
      </c>
      <c r="BA12" s="25">
        <v>0</v>
      </c>
      <c r="BB12" s="25">
        <v>63.186</v>
      </c>
      <c r="BC12" s="25">
        <v>0</v>
      </c>
      <c r="BE12" s="50">
        <f t="shared" si="12"/>
        <v>1</v>
      </c>
      <c r="BF12" s="26">
        <f t="shared" si="13"/>
        <v>0</v>
      </c>
      <c r="BG12" s="26">
        <f t="shared" si="14"/>
        <v>0</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6.2066175000000001</v>
      </c>
      <c r="J13" s="12">
        <f t="shared" si="1"/>
        <v>3.035189025743765E-2</v>
      </c>
      <c r="K13" s="12">
        <f t="shared" si="2"/>
        <v>1.5894389598240046E-2</v>
      </c>
      <c r="L13" s="12">
        <f t="shared" si="3"/>
        <v>1.2883550332984075E-2</v>
      </c>
      <c r="M13" s="12">
        <f t="shared" si="4"/>
        <v>1.4457500659197604E-2</v>
      </c>
      <c r="N13" s="54">
        <f t="shared" si="5"/>
        <v>3466904</v>
      </c>
      <c r="O13" s="12">
        <v>16</v>
      </c>
      <c r="P13" s="13">
        <v>33275520</v>
      </c>
      <c r="Q13" s="13">
        <v>1039860</v>
      </c>
      <c r="R13" s="13">
        <v>325056.59375</v>
      </c>
      <c r="S13" s="14">
        <v>6620392</v>
      </c>
      <c r="T13" s="14">
        <v>2810176</v>
      </c>
      <c r="U13" s="14">
        <v>656728</v>
      </c>
      <c r="V13" s="14">
        <v>3153488</v>
      </c>
      <c r="W13" s="15">
        <v>69.082806250000004</v>
      </c>
      <c r="X13" s="15">
        <v>71.193509375000005</v>
      </c>
      <c r="Y13" s="15">
        <v>37.057437499999999</v>
      </c>
      <c r="Z13" s="15">
        <v>41.696553125000001</v>
      </c>
      <c r="AA13" s="15">
        <v>36.088562500000002</v>
      </c>
      <c r="AB13" s="16">
        <v>6177.28</v>
      </c>
      <c r="AC13" s="16">
        <v>0</v>
      </c>
      <c r="AD13" s="16">
        <v>65.358999999999995</v>
      </c>
      <c r="AE13" s="16">
        <v>0</v>
      </c>
      <c r="AG13" s="11">
        <f t="shared" si="6"/>
        <v>6.2066175000000001</v>
      </c>
      <c r="AH13" s="12">
        <f t="shared" si="7"/>
        <v>3.035189025743765E-2</v>
      </c>
      <c r="AI13" s="12">
        <f t="shared" si="8"/>
        <v>1.5894389598240046E-2</v>
      </c>
      <c r="AJ13" s="12">
        <f t="shared" si="9"/>
        <v>1.2883550332984075E-2</v>
      </c>
      <c r="AK13" s="12">
        <f t="shared" si="10"/>
        <v>1.4457500659197604E-2</v>
      </c>
      <c r="AL13" s="54">
        <f t="shared" si="11"/>
        <v>3466904</v>
      </c>
      <c r="AM13" s="12">
        <v>-12</v>
      </c>
      <c r="AN13" s="13">
        <v>33275520</v>
      </c>
      <c r="AO13" s="13">
        <v>1039860</v>
      </c>
      <c r="AP13" s="13">
        <v>325056.59375</v>
      </c>
      <c r="AQ13" s="14">
        <v>6620392</v>
      </c>
      <c r="AR13" s="14">
        <v>2810176</v>
      </c>
      <c r="AS13" s="14">
        <v>656728</v>
      </c>
      <c r="AT13" s="14">
        <v>3153488</v>
      </c>
      <c r="AU13" s="15">
        <v>69.082806250000004</v>
      </c>
      <c r="AV13" s="15">
        <v>71.193509375000005</v>
      </c>
      <c r="AW13" s="15">
        <v>37.057437499999999</v>
      </c>
      <c r="AX13" s="15">
        <v>41.696553125000001</v>
      </c>
      <c r="AY13" s="15">
        <v>36.088562500000002</v>
      </c>
      <c r="AZ13" s="16">
        <v>6113.48</v>
      </c>
      <c r="BA13" s="16">
        <v>0</v>
      </c>
      <c r="BB13" s="16">
        <v>65.061000000000007</v>
      </c>
      <c r="BC13" s="16">
        <v>0</v>
      </c>
      <c r="BE13" s="51">
        <f t="shared" si="12"/>
        <v>1</v>
      </c>
      <c r="BF13" s="17">
        <f t="shared" si="13"/>
        <v>0</v>
      </c>
      <c r="BG13" s="17">
        <f t="shared" si="14"/>
        <v>0</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12.255839999999999</v>
      </c>
      <c r="J14" s="40">
        <f t="shared" si="1"/>
        <v>5.9934080147957348E-2</v>
      </c>
      <c r="K14" s="40">
        <f t="shared" si="2"/>
        <v>2.6839678457359968E-2</v>
      </c>
      <c r="L14" s="40">
        <f t="shared" si="3"/>
        <v>2.0876499502052167E-2</v>
      </c>
      <c r="M14" s="40">
        <f t="shared" si="4"/>
        <v>3.309440169059738E-2</v>
      </c>
      <c r="N14" s="37">
        <f t="shared" si="5"/>
        <v>5854304</v>
      </c>
      <c r="O14" s="40">
        <v>16</v>
      </c>
      <c r="P14" s="41">
        <v>31405520</v>
      </c>
      <c r="Q14" s="41">
        <v>981422.5</v>
      </c>
      <c r="R14" s="41">
        <v>297372.90625</v>
      </c>
      <c r="S14" s="42">
        <v>13072896</v>
      </c>
      <c r="T14" s="42">
        <v>4553608</v>
      </c>
      <c r="U14" s="42">
        <v>1300696</v>
      </c>
      <c r="V14" s="42">
        <v>7218592</v>
      </c>
      <c r="W14" s="43">
        <v>71.131646875000001</v>
      </c>
      <c r="X14" s="43">
        <v>74.768484375</v>
      </c>
      <c r="Y14" s="43">
        <v>39.551081250000003</v>
      </c>
      <c r="Z14" s="43">
        <v>42.969218750000003</v>
      </c>
      <c r="AA14" s="43">
        <v>38.275675</v>
      </c>
      <c r="AB14" s="44">
        <v>6711.58</v>
      </c>
      <c r="AC14" s="44">
        <v>0</v>
      </c>
      <c r="AD14" s="44">
        <v>63.345999999999997</v>
      </c>
      <c r="AE14" s="44">
        <v>0</v>
      </c>
      <c r="AG14" s="39">
        <f t="shared" si="6"/>
        <v>12.255839999999999</v>
      </c>
      <c r="AH14" s="40">
        <f t="shared" si="7"/>
        <v>5.9934080147957348E-2</v>
      </c>
      <c r="AI14" s="40">
        <f t="shared" si="8"/>
        <v>2.6839678457359968E-2</v>
      </c>
      <c r="AJ14" s="40">
        <f t="shared" si="9"/>
        <v>2.0876499502052167E-2</v>
      </c>
      <c r="AK14" s="40">
        <f t="shared" si="10"/>
        <v>3.309440169059738E-2</v>
      </c>
      <c r="AL14" s="37">
        <f t="shared" si="11"/>
        <v>5854304</v>
      </c>
      <c r="AM14" s="40">
        <v>-12</v>
      </c>
      <c r="AN14" s="41">
        <v>31405520</v>
      </c>
      <c r="AO14" s="41">
        <v>981422.5</v>
      </c>
      <c r="AP14" s="41">
        <v>297372.90625</v>
      </c>
      <c r="AQ14" s="42">
        <v>13072896</v>
      </c>
      <c r="AR14" s="42">
        <v>4553608</v>
      </c>
      <c r="AS14" s="42">
        <v>1300696</v>
      </c>
      <c r="AT14" s="42">
        <v>7218592</v>
      </c>
      <c r="AU14" s="43">
        <v>71.131646875000001</v>
      </c>
      <c r="AV14" s="43">
        <v>74.768484375</v>
      </c>
      <c r="AW14" s="43">
        <v>39.551081250000003</v>
      </c>
      <c r="AX14" s="43">
        <v>42.969218750000003</v>
      </c>
      <c r="AY14" s="43">
        <v>38.275675</v>
      </c>
      <c r="AZ14" s="44">
        <v>6671.89</v>
      </c>
      <c r="BA14" s="44">
        <v>0</v>
      </c>
      <c r="BB14" s="44">
        <v>64.504999999999995</v>
      </c>
      <c r="BC14" s="44">
        <v>0</v>
      </c>
      <c r="BE14" s="45">
        <f t="shared" si="12"/>
        <v>1</v>
      </c>
      <c r="BF14" s="46">
        <f t="shared" si="13"/>
        <v>0</v>
      </c>
      <c r="BG14" s="46">
        <f t="shared" si="14"/>
        <v>0</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1.59762</v>
      </c>
      <c r="J15" s="12">
        <f t="shared" si="1"/>
        <v>5.2826484505531521E-3</v>
      </c>
      <c r="K15" s="12">
        <f t="shared" si="2"/>
        <v>4.4651146088655084E-3</v>
      </c>
      <c r="L15" s="12">
        <f t="shared" si="3"/>
        <v>2.3801875586209036E-3</v>
      </c>
      <c r="M15" s="12">
        <f t="shared" si="4"/>
        <v>8.1753384168764423E-4</v>
      </c>
      <c r="N15" s="54">
        <f t="shared" si="5"/>
        <v>1440400</v>
      </c>
      <c r="O15" s="12">
        <v>16</v>
      </c>
      <c r="P15" s="13">
        <v>49229856</v>
      </c>
      <c r="Q15" s="13">
        <v>1538433</v>
      </c>
      <c r="R15" s="13">
        <v>539197.78125</v>
      </c>
      <c r="S15" s="14">
        <v>1704128</v>
      </c>
      <c r="T15" s="14">
        <v>767824</v>
      </c>
      <c r="U15" s="14">
        <v>672576</v>
      </c>
      <c r="V15" s="14">
        <v>263728</v>
      </c>
      <c r="W15" s="15">
        <v>65.661768749999993</v>
      </c>
      <c r="X15" s="15">
        <v>67.013690624999995</v>
      </c>
      <c r="Y15" s="15">
        <v>29.22629375</v>
      </c>
      <c r="Z15" s="15">
        <v>43.559271875</v>
      </c>
      <c r="AA15" s="15">
        <v>43.801453125000002</v>
      </c>
      <c r="AB15" s="16">
        <v>4945.4399999999996</v>
      </c>
      <c r="AC15" s="16">
        <v>0</v>
      </c>
      <c r="AD15" s="16">
        <v>84.986000000000004</v>
      </c>
      <c r="AE15" s="16">
        <v>0</v>
      </c>
      <c r="AG15" s="11">
        <f t="shared" si="6"/>
        <v>1.59762</v>
      </c>
      <c r="AH15" s="12">
        <f t="shared" si="7"/>
        <v>5.2826484505531521E-3</v>
      </c>
      <c r="AI15" s="12">
        <f t="shared" si="8"/>
        <v>4.4651146088655084E-3</v>
      </c>
      <c r="AJ15" s="12">
        <f t="shared" si="9"/>
        <v>2.3801875586209036E-3</v>
      </c>
      <c r="AK15" s="12">
        <f t="shared" si="10"/>
        <v>8.1753384168764423E-4</v>
      </c>
      <c r="AL15" s="54">
        <f t="shared" si="11"/>
        <v>1440400</v>
      </c>
      <c r="AM15" s="12">
        <v>-12</v>
      </c>
      <c r="AN15" s="13">
        <v>49229856</v>
      </c>
      <c r="AO15" s="13">
        <v>1538433</v>
      </c>
      <c r="AP15" s="13">
        <v>539197.78125</v>
      </c>
      <c r="AQ15" s="14">
        <v>1704128</v>
      </c>
      <c r="AR15" s="14">
        <v>767824</v>
      </c>
      <c r="AS15" s="14">
        <v>672576</v>
      </c>
      <c r="AT15" s="14">
        <v>263728</v>
      </c>
      <c r="AU15" s="15">
        <v>65.661768749999993</v>
      </c>
      <c r="AV15" s="15">
        <v>67.013690624999995</v>
      </c>
      <c r="AW15" s="15">
        <v>29.22629375</v>
      </c>
      <c r="AX15" s="15">
        <v>43.559271875</v>
      </c>
      <c r="AY15" s="15">
        <v>43.801453125000002</v>
      </c>
      <c r="AZ15" s="16">
        <v>5054.43</v>
      </c>
      <c r="BA15" s="16">
        <v>0</v>
      </c>
      <c r="BB15" s="16">
        <v>85.835999999999999</v>
      </c>
      <c r="BC15" s="16">
        <v>0</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0</v>
      </c>
      <c r="BM15" s="51">
        <f>IF( OR(ISBLANK(V15:V19),ISBLANK(AT15:AT19), ISBLANK(Z15:Z19),ISBLANK(AX15:AX19)), "·", bdRateExtend( V15:V19,Z15:Z19, AT15:AT19,AX15:AX19))</f>
        <v>0</v>
      </c>
      <c r="BN15" s="51">
        <f>IF( OR(ISBLANK(V15:V19),ISBLANK(AT15:AT19), ISBLANK(AA15:AA19),ISBLANK(AY15:AY19)), "·", bdRateExtend( V15:V19,AA15:AA19, AT15:AT19,AY15:AY19))</f>
        <v>0</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0</v>
      </c>
      <c r="BS15" s="51">
        <f>IF( OR(ISBLANK(S15:S19),ISBLANK(AQ15:AQ19), ISBLANK(Z15:Z19),ISBLANK(AX15:AX19)), "·", bdRateExtend( S15:S19,Z15:Z19, AQ15:AQ19,AX15:AX19))</f>
        <v>0</v>
      </c>
      <c r="BT15" s="51">
        <f>IF( OR(ISBLANK(S15:S19),ISBLANK(AQ15:AQ19), ISBLANK(AA15:AA19),ISBLANK(AY15:AY19)), "·", bdRateExtend( S15:S19,AA15:AA19, AQ15:AQ19,AY15:AY19))</f>
        <v>0</v>
      </c>
    </row>
    <row r="16" spans="1:72" outlineLevel="1" x14ac:dyDescent="0.3">
      <c r="A16" s="18"/>
      <c r="B16" s="18" t="s">
        <v>62</v>
      </c>
      <c r="C16" s="19" t="s">
        <v>231</v>
      </c>
      <c r="D16" s="18">
        <v>322589704</v>
      </c>
      <c r="E16" s="19">
        <v>10</v>
      </c>
      <c r="F16" s="19">
        <v>32</v>
      </c>
      <c r="G16" s="19">
        <v>30</v>
      </c>
      <c r="I16" s="20">
        <f t="shared" si="0"/>
        <v>2.0996549999999998</v>
      </c>
      <c r="J16" s="21">
        <f t="shared" si="1"/>
        <v>6.9426642333259344E-3</v>
      </c>
      <c r="K16" s="21">
        <f t="shared" si="2"/>
        <v>5.399775561342776E-3</v>
      </c>
      <c r="L16" s="21">
        <f t="shared" si="3"/>
        <v>3.314848511098172E-3</v>
      </c>
      <c r="M16" s="21">
        <f t="shared" si="4"/>
        <v>1.542888671983158E-3</v>
      </c>
      <c r="N16" s="18">
        <f t="shared" si="5"/>
        <v>1741912</v>
      </c>
      <c r="O16" s="21">
        <v>16</v>
      </c>
      <c r="P16" s="22">
        <v>49229856</v>
      </c>
      <c r="Q16" s="22">
        <v>1538433</v>
      </c>
      <c r="R16" s="22">
        <v>499274.6875</v>
      </c>
      <c r="S16" s="23">
        <v>2239632</v>
      </c>
      <c r="T16" s="23">
        <v>1069336</v>
      </c>
      <c r="U16" s="23">
        <v>672576</v>
      </c>
      <c r="V16" s="23">
        <v>497720</v>
      </c>
      <c r="W16" s="24">
        <v>67.260043749999994</v>
      </c>
      <c r="X16" s="24">
        <v>68.955284375000005</v>
      </c>
      <c r="Y16" s="24">
        <v>31.581153125</v>
      </c>
      <c r="Z16" s="24">
        <v>44.041565624999997</v>
      </c>
      <c r="AA16" s="24">
        <v>44.329553124999997</v>
      </c>
      <c r="AB16" s="25">
        <v>5173.59</v>
      </c>
      <c r="AC16" s="25">
        <v>0</v>
      </c>
      <c r="AD16" s="25">
        <v>88.358000000000004</v>
      </c>
      <c r="AE16" s="25">
        <v>0</v>
      </c>
      <c r="AG16" s="20">
        <f t="shared" si="6"/>
        <v>2.0996549999999998</v>
      </c>
      <c r="AH16" s="21">
        <f t="shared" si="7"/>
        <v>6.9426642333259344E-3</v>
      </c>
      <c r="AI16" s="21">
        <f t="shared" si="8"/>
        <v>5.399775561342776E-3</v>
      </c>
      <c r="AJ16" s="21">
        <f t="shared" si="9"/>
        <v>3.314848511098172E-3</v>
      </c>
      <c r="AK16" s="21">
        <f t="shared" si="10"/>
        <v>1.542888671983158E-3</v>
      </c>
      <c r="AL16" s="18">
        <f t="shared" si="11"/>
        <v>1741912</v>
      </c>
      <c r="AM16" s="21">
        <v>-12</v>
      </c>
      <c r="AN16" s="22">
        <v>49229856</v>
      </c>
      <c r="AO16" s="22">
        <v>1538433</v>
      </c>
      <c r="AP16" s="22">
        <v>499274.6875</v>
      </c>
      <c r="AQ16" s="23">
        <v>2239632</v>
      </c>
      <c r="AR16" s="23">
        <v>1069336</v>
      </c>
      <c r="AS16" s="23">
        <v>672576</v>
      </c>
      <c r="AT16" s="23">
        <v>497720</v>
      </c>
      <c r="AU16" s="24">
        <v>67.260043749999994</v>
      </c>
      <c r="AV16" s="24">
        <v>68.955284375000005</v>
      </c>
      <c r="AW16" s="24">
        <v>31.581153125</v>
      </c>
      <c r="AX16" s="24">
        <v>44.041565624999997</v>
      </c>
      <c r="AY16" s="24">
        <v>44.329553124999997</v>
      </c>
      <c r="AZ16" s="25">
        <v>5332.39</v>
      </c>
      <c r="BA16" s="25">
        <v>0</v>
      </c>
      <c r="BB16" s="25">
        <v>90.230999999999995</v>
      </c>
      <c r="BC16" s="25">
        <v>0</v>
      </c>
      <c r="BE16" s="50">
        <f t="shared" si="12"/>
        <v>1</v>
      </c>
      <c r="BF16" s="26">
        <f t="shared" si="13"/>
        <v>0</v>
      </c>
      <c r="BG16" s="26">
        <f t="shared" si="14"/>
        <v>0</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2.9364300000000001</v>
      </c>
      <c r="J17" s="12">
        <f t="shared" si="1"/>
        <v>9.709522533304411E-3</v>
      </c>
      <c r="K17" s="12">
        <f t="shared" si="2"/>
        <v>6.5382371906079189E-3</v>
      </c>
      <c r="L17" s="12">
        <f t="shared" si="3"/>
        <v>4.4533101403633141E-3</v>
      </c>
      <c r="M17" s="12">
        <f t="shared" si="4"/>
        <v>3.1712853426964921E-3</v>
      </c>
      <c r="N17" s="54">
        <f t="shared" si="5"/>
        <v>2109168</v>
      </c>
      <c r="O17" s="12">
        <v>16</v>
      </c>
      <c r="P17" s="13">
        <v>49229856</v>
      </c>
      <c r="Q17" s="13">
        <v>1538433</v>
      </c>
      <c r="R17" s="13">
        <v>501963.59375</v>
      </c>
      <c r="S17" s="14">
        <v>3132192</v>
      </c>
      <c r="T17" s="14">
        <v>1436592</v>
      </c>
      <c r="U17" s="14">
        <v>672576</v>
      </c>
      <c r="V17" s="14">
        <v>1023024</v>
      </c>
      <c r="W17" s="15">
        <v>68.613828124999998</v>
      </c>
      <c r="X17" s="15">
        <v>70.602999999999994</v>
      </c>
      <c r="Y17" s="15">
        <v>33.933412500000003</v>
      </c>
      <c r="Z17" s="15">
        <v>45.193006250000003</v>
      </c>
      <c r="AA17" s="15">
        <v>45.584415624999998</v>
      </c>
      <c r="AB17" s="16">
        <v>5338.15</v>
      </c>
      <c r="AC17" s="16">
        <v>0</v>
      </c>
      <c r="AD17" s="16">
        <v>88.305000000000007</v>
      </c>
      <c r="AE17" s="16">
        <v>0</v>
      </c>
      <c r="AG17" s="11">
        <f t="shared" si="6"/>
        <v>2.9364300000000001</v>
      </c>
      <c r="AH17" s="12">
        <f t="shared" si="7"/>
        <v>9.709522533304411E-3</v>
      </c>
      <c r="AI17" s="12">
        <f t="shared" si="8"/>
        <v>6.5382371906079189E-3</v>
      </c>
      <c r="AJ17" s="12">
        <f t="shared" si="9"/>
        <v>4.4533101403633141E-3</v>
      </c>
      <c r="AK17" s="12">
        <f t="shared" si="10"/>
        <v>3.1712853426964921E-3</v>
      </c>
      <c r="AL17" s="54">
        <f t="shared" si="11"/>
        <v>2109168</v>
      </c>
      <c r="AM17" s="12">
        <v>-12</v>
      </c>
      <c r="AN17" s="13">
        <v>49229856</v>
      </c>
      <c r="AO17" s="13">
        <v>1538433</v>
      </c>
      <c r="AP17" s="13">
        <v>501963.59375</v>
      </c>
      <c r="AQ17" s="14">
        <v>3132192</v>
      </c>
      <c r="AR17" s="14">
        <v>1436592</v>
      </c>
      <c r="AS17" s="14">
        <v>672576</v>
      </c>
      <c r="AT17" s="14">
        <v>1023024</v>
      </c>
      <c r="AU17" s="15">
        <v>68.613828124999998</v>
      </c>
      <c r="AV17" s="15">
        <v>70.602999999999994</v>
      </c>
      <c r="AW17" s="15">
        <v>33.933412500000003</v>
      </c>
      <c r="AX17" s="15">
        <v>45.193006250000003</v>
      </c>
      <c r="AY17" s="15">
        <v>45.584415624999998</v>
      </c>
      <c r="AZ17" s="16">
        <v>5492.98</v>
      </c>
      <c r="BA17" s="16">
        <v>0</v>
      </c>
      <c r="BB17" s="16">
        <v>92.01</v>
      </c>
      <c r="BC17" s="16">
        <v>0</v>
      </c>
      <c r="BE17" s="51">
        <f t="shared" si="12"/>
        <v>1</v>
      </c>
      <c r="BF17" s="17">
        <f t="shared" si="13"/>
        <v>0</v>
      </c>
      <c r="BG17" s="17">
        <f t="shared" si="14"/>
        <v>0</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5.2196474999999998</v>
      </c>
      <c r="J18" s="21">
        <f t="shared" si="1"/>
        <v>1.7259149721653856E-2</v>
      </c>
      <c r="K18" s="21">
        <f t="shared" si="2"/>
        <v>9.8228553506469005E-3</v>
      </c>
      <c r="L18" s="21">
        <f t="shared" si="3"/>
        <v>7.7379283004022966E-3</v>
      </c>
      <c r="M18" s="21">
        <f t="shared" si="4"/>
        <v>7.4362943710069556E-3</v>
      </c>
      <c r="N18" s="18">
        <f t="shared" si="5"/>
        <v>3168752</v>
      </c>
      <c r="O18" s="21">
        <v>16</v>
      </c>
      <c r="P18" s="22">
        <v>49229856</v>
      </c>
      <c r="Q18" s="22">
        <v>1538433</v>
      </c>
      <c r="R18" s="22">
        <v>469679.6875</v>
      </c>
      <c r="S18" s="23">
        <v>5567624</v>
      </c>
      <c r="T18" s="23">
        <v>2496176</v>
      </c>
      <c r="U18" s="23">
        <v>672576</v>
      </c>
      <c r="V18" s="23">
        <v>2398872</v>
      </c>
      <c r="W18" s="24">
        <v>69.479606250000003</v>
      </c>
      <c r="X18" s="24">
        <v>71.596353124999993</v>
      </c>
      <c r="Y18" s="24">
        <v>36.314203124999999</v>
      </c>
      <c r="Z18" s="24">
        <v>46.455821874999998</v>
      </c>
      <c r="AA18" s="24">
        <v>47.029856250000002</v>
      </c>
      <c r="AB18" s="25">
        <v>5821.93</v>
      </c>
      <c r="AC18" s="25">
        <v>0</v>
      </c>
      <c r="AD18" s="25">
        <v>90.171999999999997</v>
      </c>
      <c r="AE18" s="25">
        <v>0</v>
      </c>
      <c r="AG18" s="20">
        <f t="shared" si="6"/>
        <v>5.2196474999999998</v>
      </c>
      <c r="AH18" s="21">
        <f t="shared" si="7"/>
        <v>1.7259149721653856E-2</v>
      </c>
      <c r="AI18" s="21">
        <f t="shared" si="8"/>
        <v>9.8228553506469005E-3</v>
      </c>
      <c r="AJ18" s="21">
        <f t="shared" si="9"/>
        <v>7.7379283004022966E-3</v>
      </c>
      <c r="AK18" s="21">
        <f t="shared" si="10"/>
        <v>7.4362943710069556E-3</v>
      </c>
      <c r="AL18" s="18">
        <f t="shared" si="11"/>
        <v>3168752</v>
      </c>
      <c r="AM18" s="21">
        <v>-12</v>
      </c>
      <c r="AN18" s="22">
        <v>49229856</v>
      </c>
      <c r="AO18" s="22">
        <v>1538433</v>
      </c>
      <c r="AP18" s="22">
        <v>469679.6875</v>
      </c>
      <c r="AQ18" s="23">
        <v>5567624</v>
      </c>
      <c r="AR18" s="23">
        <v>2496176</v>
      </c>
      <c r="AS18" s="23">
        <v>672576</v>
      </c>
      <c r="AT18" s="23">
        <v>2398872</v>
      </c>
      <c r="AU18" s="24">
        <v>69.479606250000003</v>
      </c>
      <c r="AV18" s="24">
        <v>71.596353124999993</v>
      </c>
      <c r="AW18" s="24">
        <v>36.314203124999999</v>
      </c>
      <c r="AX18" s="24">
        <v>46.455821874999998</v>
      </c>
      <c r="AY18" s="24">
        <v>47.029856250000002</v>
      </c>
      <c r="AZ18" s="25">
        <v>5762.4</v>
      </c>
      <c r="BA18" s="25">
        <v>0</v>
      </c>
      <c r="BB18" s="25">
        <v>92.983000000000004</v>
      </c>
      <c r="BC18" s="25">
        <v>0</v>
      </c>
      <c r="BE18" s="50">
        <f t="shared" si="12"/>
        <v>1</v>
      </c>
      <c r="BF18" s="26">
        <f t="shared" si="13"/>
        <v>0</v>
      </c>
      <c r="BG18" s="26">
        <f t="shared" si="14"/>
        <v>0</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11.326544999999999</v>
      </c>
      <c r="J19" s="30">
        <f t="shared" si="1"/>
        <v>3.7452057056352919E-2</v>
      </c>
      <c r="K19" s="30">
        <f t="shared" si="2"/>
        <v>1.7294042341785342E-2</v>
      </c>
      <c r="L19" s="30">
        <f t="shared" si="3"/>
        <v>1.2755422597120458E-2</v>
      </c>
      <c r="M19" s="30">
        <f t="shared" si="4"/>
        <v>2.0158014714567581E-2</v>
      </c>
      <c r="N19" s="27">
        <f t="shared" si="5"/>
        <v>5578880</v>
      </c>
      <c r="O19" s="30">
        <v>16</v>
      </c>
      <c r="P19" s="31">
        <v>46470040</v>
      </c>
      <c r="Q19" s="31">
        <v>1452188.75</v>
      </c>
      <c r="R19" s="31">
        <v>432743.4375</v>
      </c>
      <c r="S19" s="32">
        <v>12081648</v>
      </c>
      <c r="T19" s="32">
        <v>4114768</v>
      </c>
      <c r="U19" s="32">
        <v>1464112</v>
      </c>
      <c r="V19" s="32">
        <v>6502768</v>
      </c>
      <c r="W19" s="33">
        <v>71.3740375</v>
      </c>
      <c r="X19" s="33">
        <v>75.237762500000002</v>
      </c>
      <c r="Y19" s="33">
        <v>38.840684375000002</v>
      </c>
      <c r="Z19" s="33">
        <v>48.184996875000003</v>
      </c>
      <c r="AA19" s="33">
        <v>48.802165625000001</v>
      </c>
      <c r="AB19" s="34">
        <v>6395.16</v>
      </c>
      <c r="AC19" s="34">
        <v>0</v>
      </c>
      <c r="AD19" s="34">
        <v>86.34</v>
      </c>
      <c r="AE19" s="34">
        <v>0</v>
      </c>
      <c r="AG19" s="29">
        <f t="shared" si="6"/>
        <v>11.326544999999999</v>
      </c>
      <c r="AH19" s="30">
        <f t="shared" si="7"/>
        <v>3.7452057056352919E-2</v>
      </c>
      <c r="AI19" s="30">
        <f t="shared" si="8"/>
        <v>1.7294042341785342E-2</v>
      </c>
      <c r="AJ19" s="30">
        <f t="shared" si="9"/>
        <v>1.2755422597120458E-2</v>
      </c>
      <c r="AK19" s="30">
        <f t="shared" si="10"/>
        <v>2.0158014714567581E-2</v>
      </c>
      <c r="AL19" s="27">
        <f t="shared" si="11"/>
        <v>5578880</v>
      </c>
      <c r="AM19" s="30">
        <v>-12</v>
      </c>
      <c r="AN19" s="31">
        <v>46470040</v>
      </c>
      <c r="AO19" s="31">
        <v>1452188.75</v>
      </c>
      <c r="AP19" s="31">
        <v>432743.4375</v>
      </c>
      <c r="AQ19" s="32">
        <v>12081648</v>
      </c>
      <c r="AR19" s="32">
        <v>4114768</v>
      </c>
      <c r="AS19" s="32">
        <v>1464112</v>
      </c>
      <c r="AT19" s="32">
        <v>6502768</v>
      </c>
      <c r="AU19" s="33">
        <v>71.3740375</v>
      </c>
      <c r="AV19" s="33">
        <v>75.237762500000002</v>
      </c>
      <c r="AW19" s="33">
        <v>38.840684375000002</v>
      </c>
      <c r="AX19" s="33">
        <v>48.184996875000003</v>
      </c>
      <c r="AY19" s="33">
        <v>48.802165625000001</v>
      </c>
      <c r="AZ19" s="34">
        <v>6364.58</v>
      </c>
      <c r="BA19" s="34">
        <v>0</v>
      </c>
      <c r="BB19" s="34">
        <v>88.805999999999997</v>
      </c>
      <c r="BC19" s="34">
        <v>0</v>
      </c>
      <c r="BE19" s="35">
        <f t="shared" si="12"/>
        <v>1</v>
      </c>
      <c r="BF19" s="36">
        <f t="shared" si="13"/>
        <v>0</v>
      </c>
      <c r="BG19" s="36">
        <f t="shared" si="14"/>
        <v>0</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1.9686125000000001</v>
      </c>
      <c r="J20" s="21">
        <f t="shared" si="1"/>
        <v>5.0275238045837225E-3</v>
      </c>
      <c r="K20" s="21">
        <f t="shared" si="2"/>
        <v>3.9141128663196471E-3</v>
      </c>
      <c r="L20" s="21">
        <f t="shared" si="3"/>
        <v>2.3105878694751371E-3</v>
      </c>
      <c r="M20" s="21">
        <f t="shared" si="4"/>
        <v>1.113410938264076E-3</v>
      </c>
      <c r="N20" s="18">
        <f t="shared" si="5"/>
        <v>980888</v>
      </c>
      <c r="O20" s="21">
        <v>16</v>
      </c>
      <c r="P20" s="22">
        <v>40685984</v>
      </c>
      <c r="Q20" s="22">
        <v>1271437</v>
      </c>
      <c r="R20" s="22">
        <v>331836.375</v>
      </c>
      <c r="S20" s="23">
        <v>1259912</v>
      </c>
      <c r="T20" s="23">
        <v>579040</v>
      </c>
      <c r="U20" s="23">
        <v>401848</v>
      </c>
      <c r="V20" s="23">
        <v>279024</v>
      </c>
      <c r="W20" s="24">
        <v>66.570824999999999</v>
      </c>
      <c r="X20" s="24">
        <v>68.113046874999995</v>
      </c>
      <c r="Y20" s="24">
        <v>30.004628125</v>
      </c>
      <c r="Z20" s="24">
        <v>39.591078125000003</v>
      </c>
      <c r="AA20" s="24">
        <v>38.173312500000002</v>
      </c>
      <c r="AB20" s="25">
        <v>5026.9399999999996</v>
      </c>
      <c r="AC20" s="25">
        <v>0</v>
      </c>
      <c r="AD20" s="25">
        <v>71.799000000000007</v>
      </c>
      <c r="AE20" s="25">
        <v>0</v>
      </c>
      <c r="AG20" s="20">
        <f t="shared" si="6"/>
        <v>1.9686125000000001</v>
      </c>
      <c r="AH20" s="21">
        <f t="shared" si="7"/>
        <v>5.0275238045837225E-3</v>
      </c>
      <c r="AI20" s="21">
        <f t="shared" si="8"/>
        <v>3.9141128663196471E-3</v>
      </c>
      <c r="AJ20" s="21">
        <f t="shared" si="9"/>
        <v>2.3105878694751371E-3</v>
      </c>
      <c r="AK20" s="21">
        <f t="shared" si="10"/>
        <v>1.113410938264076E-3</v>
      </c>
      <c r="AL20" s="18">
        <f t="shared" si="11"/>
        <v>980888</v>
      </c>
      <c r="AM20" s="21">
        <v>-12</v>
      </c>
      <c r="AN20" s="22">
        <v>40685984</v>
      </c>
      <c r="AO20" s="22">
        <v>1271437</v>
      </c>
      <c r="AP20" s="22">
        <v>331836.375</v>
      </c>
      <c r="AQ20" s="23">
        <v>1259912</v>
      </c>
      <c r="AR20" s="23">
        <v>579040</v>
      </c>
      <c r="AS20" s="23">
        <v>401848</v>
      </c>
      <c r="AT20" s="23">
        <v>279024</v>
      </c>
      <c r="AU20" s="24">
        <v>66.570824999999999</v>
      </c>
      <c r="AV20" s="24">
        <v>68.113046874999995</v>
      </c>
      <c r="AW20" s="24">
        <v>30.004628125</v>
      </c>
      <c r="AX20" s="24">
        <v>39.591078125000003</v>
      </c>
      <c r="AY20" s="24">
        <v>38.173312500000002</v>
      </c>
      <c r="AZ20" s="25">
        <v>4952.3100000000004</v>
      </c>
      <c r="BA20" s="25">
        <v>0</v>
      </c>
      <c r="BB20" s="25">
        <v>71.683000000000007</v>
      </c>
      <c r="BC20" s="25">
        <v>0</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0</v>
      </c>
      <c r="BM20" s="50">
        <f>IF( OR(ISBLANK(V20:V24),ISBLANK(AT20:AT24), ISBLANK(Z20:Z24),ISBLANK(AX20:AX24)), "·", bdRateExtend( V20:V24,Z20:Z24, AT20:AT24,AX20:AX24))</f>
        <v>0</v>
      </c>
      <c r="BN20" s="50">
        <f>IF( OR(ISBLANK(V20:V24),ISBLANK(AT20:AT24), ISBLANK(AA20:AA24),ISBLANK(AY20:AY24)), "·", bdRateExtend( V20:V24,AA20:AA24, AT20:AT24,AY20:AY24))</f>
        <v>0</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0</v>
      </c>
      <c r="BS20" s="50">
        <f>IF( OR(ISBLANK(S20:S24),ISBLANK(AQ20:AQ24), ISBLANK(Z20:Z24),ISBLANK(AX20:AX24)), "·", bdRateExtend( S20:S24,Z20:Z24, AQ20:AQ24,AX20:AX24))</f>
        <v>0</v>
      </c>
      <c r="BT20" s="50">
        <f>IF( OR(ISBLANK(S20:S24),ISBLANK(AQ20:AQ24), ISBLANK(AA20:AA24),ISBLANK(AY20:AY24)), "·", bdRateExtend( S20:S24,AA20:AA24, AQ20:AQ24,AY20:AY24))</f>
        <v>0</v>
      </c>
    </row>
    <row r="21" spans="1:72" outlineLevel="1" x14ac:dyDescent="0.3">
      <c r="A21" s="54"/>
      <c r="B21" s="54" t="s">
        <v>68</v>
      </c>
      <c r="C21" s="10" t="s">
        <v>231</v>
      </c>
      <c r="D21" s="54">
        <v>250602891</v>
      </c>
      <c r="E21" s="10">
        <v>10</v>
      </c>
      <c r="F21" s="10">
        <v>32</v>
      </c>
      <c r="G21" s="10">
        <v>50</v>
      </c>
      <c r="I21" s="11">
        <f t="shared" si="0"/>
        <v>2.6483500000000002</v>
      </c>
      <c r="J21" s="12">
        <f t="shared" si="1"/>
        <v>6.7634654701569262E-3</v>
      </c>
      <c r="K21" s="12">
        <f t="shared" si="2"/>
        <v>4.664463348110378E-3</v>
      </c>
      <c r="L21" s="12">
        <f t="shared" si="3"/>
        <v>3.060938351265868E-3</v>
      </c>
      <c r="M21" s="12">
        <f t="shared" si="4"/>
        <v>2.0990021220465491E-3</v>
      </c>
      <c r="N21" s="54">
        <f t="shared" si="5"/>
        <v>1168928</v>
      </c>
      <c r="O21" s="12">
        <v>16</v>
      </c>
      <c r="P21" s="13">
        <v>40685984</v>
      </c>
      <c r="Q21" s="13">
        <v>1271437</v>
      </c>
      <c r="R21" s="13">
        <v>299976.53125</v>
      </c>
      <c r="S21" s="14">
        <v>1694944</v>
      </c>
      <c r="T21" s="14">
        <v>767080</v>
      </c>
      <c r="U21" s="14">
        <v>401848</v>
      </c>
      <c r="V21" s="14">
        <v>526016</v>
      </c>
      <c r="W21" s="15">
        <v>68.062224999999998</v>
      </c>
      <c r="X21" s="15">
        <v>69.942428125000006</v>
      </c>
      <c r="Y21" s="15">
        <v>31.573068750000001</v>
      </c>
      <c r="Z21" s="15">
        <v>40.652903125000002</v>
      </c>
      <c r="AA21" s="15">
        <v>39.345871875</v>
      </c>
      <c r="AB21" s="16">
        <v>5195.49</v>
      </c>
      <c r="AC21" s="16">
        <v>0</v>
      </c>
      <c r="AD21" s="16">
        <v>72.641999999999996</v>
      </c>
      <c r="AE21" s="16">
        <v>0</v>
      </c>
      <c r="AG21" s="11">
        <f t="shared" si="6"/>
        <v>2.6483500000000002</v>
      </c>
      <c r="AH21" s="12">
        <f t="shared" si="7"/>
        <v>6.7634654701569262E-3</v>
      </c>
      <c r="AI21" s="12">
        <f t="shared" si="8"/>
        <v>4.664463348110378E-3</v>
      </c>
      <c r="AJ21" s="12">
        <f t="shared" si="9"/>
        <v>3.060938351265868E-3</v>
      </c>
      <c r="AK21" s="12">
        <f t="shared" si="10"/>
        <v>2.0990021220465491E-3</v>
      </c>
      <c r="AL21" s="54">
        <f t="shared" si="11"/>
        <v>1168928</v>
      </c>
      <c r="AM21" s="12">
        <v>-12</v>
      </c>
      <c r="AN21" s="13">
        <v>40685984</v>
      </c>
      <c r="AO21" s="13">
        <v>1271437</v>
      </c>
      <c r="AP21" s="13">
        <v>299976.53125</v>
      </c>
      <c r="AQ21" s="14">
        <v>1694944</v>
      </c>
      <c r="AR21" s="14">
        <v>767080</v>
      </c>
      <c r="AS21" s="14">
        <v>401848</v>
      </c>
      <c r="AT21" s="14">
        <v>526016</v>
      </c>
      <c r="AU21" s="15">
        <v>68.062224999999998</v>
      </c>
      <c r="AV21" s="15">
        <v>69.942428125000006</v>
      </c>
      <c r="AW21" s="15">
        <v>31.573068750000001</v>
      </c>
      <c r="AX21" s="15">
        <v>40.652903125000002</v>
      </c>
      <c r="AY21" s="15">
        <v>39.345871875</v>
      </c>
      <c r="AZ21" s="16">
        <v>5164.51</v>
      </c>
      <c r="BA21" s="16">
        <v>0</v>
      </c>
      <c r="BB21" s="16">
        <v>72.948999999999998</v>
      </c>
      <c r="BC21" s="16">
        <v>0</v>
      </c>
      <c r="BE21" s="51">
        <f t="shared" si="12"/>
        <v>1</v>
      </c>
      <c r="BF21" s="17">
        <f t="shared" si="13"/>
        <v>0</v>
      </c>
      <c r="BG21" s="17">
        <f t="shared" si="14"/>
        <v>0</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4.0279625000000001</v>
      </c>
      <c r="J22" s="21">
        <f t="shared" si="1"/>
        <v>1.0286776779442661E-2</v>
      </c>
      <c r="K22" s="21">
        <f t="shared" si="2"/>
        <v>5.5207343956778215E-3</v>
      </c>
      <c r="L22" s="21">
        <f t="shared" si="3"/>
        <v>3.9172093988333124E-3</v>
      </c>
      <c r="M22" s="21">
        <f t="shared" si="4"/>
        <v>4.7660423837648383E-3</v>
      </c>
      <c r="N22" s="18">
        <f t="shared" si="5"/>
        <v>1383512</v>
      </c>
      <c r="O22" s="21">
        <v>16</v>
      </c>
      <c r="P22" s="22">
        <v>40685984</v>
      </c>
      <c r="Q22" s="22">
        <v>1271437</v>
      </c>
      <c r="R22" s="22">
        <v>269686.25</v>
      </c>
      <c r="S22" s="23">
        <v>2577896</v>
      </c>
      <c r="T22" s="23">
        <v>981664</v>
      </c>
      <c r="U22" s="23">
        <v>401848</v>
      </c>
      <c r="V22" s="23">
        <v>1194384</v>
      </c>
      <c r="W22" s="24">
        <v>69.296731249999993</v>
      </c>
      <c r="X22" s="24">
        <v>71.489506250000005</v>
      </c>
      <c r="Y22" s="24">
        <v>33.440903124999998</v>
      </c>
      <c r="Z22" s="24">
        <v>41.810971875</v>
      </c>
      <c r="AA22" s="24">
        <v>40.608506249999998</v>
      </c>
      <c r="AB22" s="25">
        <v>5366.72</v>
      </c>
      <c r="AC22" s="25">
        <v>0</v>
      </c>
      <c r="AD22" s="25">
        <v>75.372</v>
      </c>
      <c r="AE22" s="25">
        <v>0</v>
      </c>
      <c r="AG22" s="20">
        <f t="shared" si="6"/>
        <v>4.0279625000000001</v>
      </c>
      <c r="AH22" s="21">
        <f t="shared" si="7"/>
        <v>1.0286776779442661E-2</v>
      </c>
      <c r="AI22" s="21">
        <f t="shared" si="8"/>
        <v>5.5207343956778215E-3</v>
      </c>
      <c r="AJ22" s="21">
        <f t="shared" si="9"/>
        <v>3.9172093988333124E-3</v>
      </c>
      <c r="AK22" s="21">
        <f t="shared" si="10"/>
        <v>4.7660423837648383E-3</v>
      </c>
      <c r="AL22" s="18">
        <f t="shared" si="11"/>
        <v>1383512</v>
      </c>
      <c r="AM22" s="21">
        <v>-12</v>
      </c>
      <c r="AN22" s="22">
        <v>40685984</v>
      </c>
      <c r="AO22" s="22">
        <v>1271437</v>
      </c>
      <c r="AP22" s="22">
        <v>269686.25</v>
      </c>
      <c r="AQ22" s="23">
        <v>2577896</v>
      </c>
      <c r="AR22" s="23">
        <v>981664</v>
      </c>
      <c r="AS22" s="23">
        <v>401848</v>
      </c>
      <c r="AT22" s="23">
        <v>1194384</v>
      </c>
      <c r="AU22" s="24">
        <v>69.296731249999993</v>
      </c>
      <c r="AV22" s="24">
        <v>71.489506250000005</v>
      </c>
      <c r="AW22" s="24">
        <v>33.440903124999998</v>
      </c>
      <c r="AX22" s="24">
        <v>41.810971875</v>
      </c>
      <c r="AY22" s="24">
        <v>40.608506249999998</v>
      </c>
      <c r="AZ22" s="25">
        <v>5482.87</v>
      </c>
      <c r="BA22" s="25">
        <v>0</v>
      </c>
      <c r="BB22" s="25">
        <v>74.793000000000006</v>
      </c>
      <c r="BC22" s="25">
        <v>0</v>
      </c>
      <c r="BE22" s="50">
        <f t="shared" si="12"/>
        <v>1</v>
      </c>
      <c r="BF22" s="26">
        <f t="shared" si="13"/>
        <v>0</v>
      </c>
      <c r="BG22" s="26">
        <f t="shared" si="14"/>
        <v>0</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7.6379124999999997</v>
      </c>
      <c r="J23" s="12">
        <f t="shared" si="1"/>
        <v>1.9506015994045337E-2</v>
      </c>
      <c r="K23" s="12">
        <f t="shared" si="2"/>
        <v>8.2377341768176161E-3</v>
      </c>
      <c r="L23" s="12">
        <f t="shared" si="3"/>
        <v>6.634209179973107E-3</v>
      </c>
      <c r="M23" s="12">
        <f t="shared" si="4"/>
        <v>1.1268281817227719E-2</v>
      </c>
      <c r="N23" s="54">
        <f t="shared" si="5"/>
        <v>2064400</v>
      </c>
      <c r="O23" s="12">
        <v>16</v>
      </c>
      <c r="P23" s="13">
        <v>40685984</v>
      </c>
      <c r="Q23" s="13">
        <v>1271437</v>
      </c>
      <c r="R23" s="13">
        <v>266959.46875</v>
      </c>
      <c r="S23" s="14">
        <v>4888264</v>
      </c>
      <c r="T23" s="14">
        <v>1662552</v>
      </c>
      <c r="U23" s="14">
        <v>401848</v>
      </c>
      <c r="V23" s="14">
        <v>2823864</v>
      </c>
      <c r="W23" s="15">
        <v>70.135718749999995</v>
      </c>
      <c r="X23" s="15">
        <v>72.535062499999995</v>
      </c>
      <c r="Y23" s="15">
        <v>35.345446875</v>
      </c>
      <c r="Z23" s="15">
        <v>42.812734374999998</v>
      </c>
      <c r="AA23" s="15">
        <v>41.596353125</v>
      </c>
      <c r="AB23" s="16">
        <v>5670.16</v>
      </c>
      <c r="AC23" s="16">
        <v>0</v>
      </c>
      <c r="AD23" s="16">
        <v>75.376000000000005</v>
      </c>
      <c r="AE23" s="16">
        <v>0</v>
      </c>
      <c r="AG23" s="11">
        <f t="shared" si="6"/>
        <v>7.6379124999999997</v>
      </c>
      <c r="AH23" s="12">
        <f t="shared" si="7"/>
        <v>1.9506015994045337E-2</v>
      </c>
      <c r="AI23" s="12">
        <f t="shared" si="8"/>
        <v>8.2377341768176161E-3</v>
      </c>
      <c r="AJ23" s="12">
        <f t="shared" si="9"/>
        <v>6.634209179973107E-3</v>
      </c>
      <c r="AK23" s="12">
        <f t="shared" si="10"/>
        <v>1.1268281817227719E-2</v>
      </c>
      <c r="AL23" s="54">
        <f t="shared" si="11"/>
        <v>2064400</v>
      </c>
      <c r="AM23" s="12">
        <v>-12</v>
      </c>
      <c r="AN23" s="13">
        <v>40685984</v>
      </c>
      <c r="AO23" s="13">
        <v>1271437</v>
      </c>
      <c r="AP23" s="13">
        <v>266959.46875</v>
      </c>
      <c r="AQ23" s="14">
        <v>4888264</v>
      </c>
      <c r="AR23" s="14">
        <v>1662552</v>
      </c>
      <c r="AS23" s="14">
        <v>401848</v>
      </c>
      <c r="AT23" s="14">
        <v>2823864</v>
      </c>
      <c r="AU23" s="15">
        <v>70.135718749999995</v>
      </c>
      <c r="AV23" s="15">
        <v>72.535062499999995</v>
      </c>
      <c r="AW23" s="15">
        <v>35.345446875</v>
      </c>
      <c r="AX23" s="15">
        <v>42.812734374999998</v>
      </c>
      <c r="AY23" s="15">
        <v>41.596353125</v>
      </c>
      <c r="AZ23" s="16">
        <v>5636.97</v>
      </c>
      <c r="BA23" s="16">
        <v>0</v>
      </c>
      <c r="BB23" s="16">
        <v>74.596999999999994</v>
      </c>
      <c r="BC23" s="16">
        <v>0</v>
      </c>
      <c r="BE23" s="51">
        <f t="shared" si="12"/>
        <v>1</v>
      </c>
      <c r="BF23" s="17">
        <f t="shared" si="13"/>
        <v>0</v>
      </c>
      <c r="BG23" s="17">
        <f t="shared" si="14"/>
        <v>0</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15.946075</v>
      </c>
      <c r="J24" s="40">
        <f t="shared" si="1"/>
        <v>4.0723744084819838E-2</v>
      </c>
      <c r="K24" s="40">
        <f t="shared" si="2"/>
        <v>1.4317632113829045E-2</v>
      </c>
      <c r="L24" s="40">
        <f t="shared" si="3"/>
        <v>1.0746308589073699E-2</v>
      </c>
      <c r="M24" s="40">
        <f t="shared" si="4"/>
        <v>2.6406111970990791E-2</v>
      </c>
      <c r="N24" s="37">
        <f t="shared" si="5"/>
        <v>3588040</v>
      </c>
      <c r="O24" s="40">
        <v>16</v>
      </c>
      <c r="P24" s="41">
        <v>38287000</v>
      </c>
      <c r="Q24" s="41">
        <v>1196468.75</v>
      </c>
      <c r="R24" s="41">
        <v>227785.03125</v>
      </c>
      <c r="S24" s="42">
        <v>10205488</v>
      </c>
      <c r="T24" s="42">
        <v>2693056</v>
      </c>
      <c r="U24" s="42">
        <v>894984</v>
      </c>
      <c r="V24" s="42">
        <v>6617448</v>
      </c>
      <c r="W24" s="43">
        <v>72.148849999999996</v>
      </c>
      <c r="X24" s="43">
        <v>76.163981250000006</v>
      </c>
      <c r="Y24" s="43">
        <v>37.046253125</v>
      </c>
      <c r="Z24" s="43">
        <v>43.821228124999998</v>
      </c>
      <c r="AA24" s="43">
        <v>42.449181250000002</v>
      </c>
      <c r="AB24" s="44">
        <v>6083.47</v>
      </c>
      <c r="AC24" s="44">
        <v>0</v>
      </c>
      <c r="AD24" s="44">
        <v>73.497</v>
      </c>
      <c r="AE24" s="44">
        <v>0</v>
      </c>
      <c r="AG24" s="39">
        <f t="shared" si="6"/>
        <v>15.946075</v>
      </c>
      <c r="AH24" s="40">
        <f t="shared" si="7"/>
        <v>4.0723744084819838E-2</v>
      </c>
      <c r="AI24" s="40">
        <f t="shared" si="8"/>
        <v>1.4317632113829045E-2</v>
      </c>
      <c r="AJ24" s="40">
        <f t="shared" si="9"/>
        <v>1.0746308589073699E-2</v>
      </c>
      <c r="AK24" s="40">
        <f t="shared" si="10"/>
        <v>2.6406111970990791E-2</v>
      </c>
      <c r="AL24" s="37">
        <f t="shared" si="11"/>
        <v>3588040</v>
      </c>
      <c r="AM24" s="40">
        <v>-12</v>
      </c>
      <c r="AN24" s="41">
        <v>38287000</v>
      </c>
      <c r="AO24" s="41">
        <v>1196468.75</v>
      </c>
      <c r="AP24" s="41">
        <v>227785.03125</v>
      </c>
      <c r="AQ24" s="42">
        <v>10205488</v>
      </c>
      <c r="AR24" s="42">
        <v>2693056</v>
      </c>
      <c r="AS24" s="42">
        <v>894984</v>
      </c>
      <c r="AT24" s="42">
        <v>6617448</v>
      </c>
      <c r="AU24" s="43">
        <v>72.148849999999996</v>
      </c>
      <c r="AV24" s="43">
        <v>76.163981250000006</v>
      </c>
      <c r="AW24" s="43">
        <v>37.046253125</v>
      </c>
      <c r="AX24" s="43">
        <v>43.821228124999998</v>
      </c>
      <c r="AY24" s="43">
        <v>42.449181250000002</v>
      </c>
      <c r="AZ24" s="44">
        <v>6150.61</v>
      </c>
      <c r="BA24" s="44">
        <v>0</v>
      </c>
      <c r="BB24" s="44">
        <v>73.353999999999999</v>
      </c>
      <c r="BC24" s="44">
        <v>0</v>
      </c>
      <c r="BE24" s="45">
        <f t="shared" si="12"/>
        <v>1</v>
      </c>
      <c r="BF24" s="46">
        <f t="shared" si="13"/>
        <v>0</v>
      </c>
      <c r="BG24" s="46">
        <f t="shared" si="14"/>
        <v>0</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2.0414699999999999</v>
      </c>
      <c r="J25" s="12">
        <f t="shared" si="1"/>
        <v>8.7000205222180962E-3</v>
      </c>
      <c r="K25" s="12">
        <f t="shared" si="2"/>
        <v>5.6454438154797931E-3</v>
      </c>
      <c r="L25" s="12">
        <f t="shared" si="3"/>
        <v>3.5001956214937165E-3</v>
      </c>
      <c r="M25" s="12">
        <f t="shared" si="4"/>
        <v>3.0545767067383027E-3</v>
      </c>
      <c r="N25" s="54">
        <f t="shared" si="5"/>
        <v>1413024</v>
      </c>
      <c r="O25" s="12">
        <v>16</v>
      </c>
      <c r="P25" s="13">
        <v>35965984</v>
      </c>
      <c r="Q25" s="13">
        <v>1123937</v>
      </c>
      <c r="R25" s="13">
        <v>397679.90625</v>
      </c>
      <c r="S25" s="14">
        <v>2177568</v>
      </c>
      <c r="T25" s="14">
        <v>876080</v>
      </c>
      <c r="U25" s="14">
        <v>536944</v>
      </c>
      <c r="V25" s="14">
        <v>764544</v>
      </c>
      <c r="W25" s="15">
        <v>66.017865624999999</v>
      </c>
      <c r="X25" s="15">
        <v>67.422743749999995</v>
      </c>
      <c r="Y25" s="15">
        <v>25.886381249999999</v>
      </c>
      <c r="Z25" s="15">
        <v>32.48035625</v>
      </c>
      <c r="AA25" s="15">
        <v>31.657299999999999</v>
      </c>
      <c r="AB25" s="16">
        <v>5301.19</v>
      </c>
      <c r="AC25" s="16">
        <v>0</v>
      </c>
      <c r="AD25" s="16">
        <v>67.906000000000006</v>
      </c>
      <c r="AE25" s="16">
        <v>0</v>
      </c>
      <c r="AG25" s="11">
        <f t="shared" si="6"/>
        <v>2.0414699999999999</v>
      </c>
      <c r="AH25" s="12">
        <f t="shared" si="7"/>
        <v>8.7000205222180962E-3</v>
      </c>
      <c r="AI25" s="12">
        <f t="shared" si="8"/>
        <v>5.6454438154797931E-3</v>
      </c>
      <c r="AJ25" s="12">
        <f t="shared" si="9"/>
        <v>3.5001956214937165E-3</v>
      </c>
      <c r="AK25" s="12">
        <f t="shared" si="10"/>
        <v>3.0545767067383027E-3</v>
      </c>
      <c r="AL25" s="54">
        <f t="shared" si="11"/>
        <v>1413024</v>
      </c>
      <c r="AM25" s="12">
        <v>-12</v>
      </c>
      <c r="AN25" s="13">
        <v>35965984</v>
      </c>
      <c r="AO25" s="13">
        <v>1123937</v>
      </c>
      <c r="AP25" s="13">
        <v>397679.90625</v>
      </c>
      <c r="AQ25" s="14">
        <v>2177568</v>
      </c>
      <c r="AR25" s="14">
        <v>876080</v>
      </c>
      <c r="AS25" s="14">
        <v>536944</v>
      </c>
      <c r="AT25" s="14">
        <v>764544</v>
      </c>
      <c r="AU25" s="15">
        <v>66.017865624999999</v>
      </c>
      <c r="AV25" s="15">
        <v>67.422743749999995</v>
      </c>
      <c r="AW25" s="15">
        <v>25.886381249999999</v>
      </c>
      <c r="AX25" s="15">
        <v>32.48035625</v>
      </c>
      <c r="AY25" s="15">
        <v>31.657299999999999</v>
      </c>
      <c r="AZ25" s="16">
        <v>5357.71</v>
      </c>
      <c r="BA25" s="16">
        <v>0</v>
      </c>
      <c r="BB25" s="16">
        <v>76.253</v>
      </c>
      <c r="BC25" s="16">
        <v>0</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0</v>
      </c>
      <c r="BM25" s="51">
        <f>IF( OR(ISBLANK(V25:V29),ISBLANK(AT25:AT29), ISBLANK(Z25:Z29),ISBLANK(AX25:AX29)), "·", bdRateExtend( V25:V29,Z25:Z29, AT25:AT29,AX25:AX29))</f>
        <v>0</v>
      </c>
      <c r="BN25" s="51">
        <f>IF( OR(ISBLANK(V25:V29),ISBLANK(AT25:AT29), ISBLANK(AA25:AA29),ISBLANK(AY25:AY29)), "·", bdRateExtend( V25:V29,AA25:AA29, AT25:AT29,AY25:AY29))</f>
        <v>0</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0</v>
      </c>
      <c r="BS25" s="51">
        <f>IF( OR(ISBLANK(S25:S29),ISBLANK(AQ25:AQ29), ISBLANK(Z25:Z29),ISBLANK(AX25:AX29)), "·", bdRateExtend( S25:S29,Z25:Z29, AQ25:AQ29,AX25:AX29))</f>
        <v>0</v>
      </c>
      <c r="BT25" s="51">
        <f>IF( OR(ISBLANK(S25:S29),ISBLANK(AQ25:AQ29), ISBLANK(AA25:AA29),ISBLANK(AY25:AY29)), "·", bdRateExtend( S25:S29,AA25:AA29, AQ25:AQ29,AY25:AY29))</f>
        <v>0</v>
      </c>
    </row>
    <row r="26" spans="1:72" outlineLevel="1" x14ac:dyDescent="0.3">
      <c r="A26" s="18"/>
      <c r="B26" s="18" t="s">
        <v>71</v>
      </c>
      <c r="C26" s="19" t="s">
        <v>231</v>
      </c>
      <c r="D26" s="18">
        <v>250294582</v>
      </c>
      <c r="E26" s="19">
        <v>10</v>
      </c>
      <c r="F26" s="19">
        <v>32</v>
      </c>
      <c r="G26" s="19">
        <v>30</v>
      </c>
      <c r="I26" s="20">
        <f t="shared" si="0"/>
        <v>3.1549575000000001</v>
      </c>
      <c r="J26" s="21">
        <f t="shared" si="1"/>
        <v>1.3445309015917891E-2</v>
      </c>
      <c r="K26" s="21">
        <f t="shared" si="2"/>
        <v>7.1350166101477978E-3</v>
      </c>
      <c r="L26" s="21">
        <f t="shared" si="3"/>
        <v>4.9897684161617209E-3</v>
      </c>
      <c r="M26" s="21">
        <f t="shared" si="4"/>
        <v>6.3102924057700941E-3</v>
      </c>
      <c r="N26" s="18">
        <f t="shared" si="5"/>
        <v>1785856</v>
      </c>
      <c r="O26" s="21">
        <v>16</v>
      </c>
      <c r="P26" s="22">
        <v>35965984</v>
      </c>
      <c r="Q26" s="22">
        <v>1123937</v>
      </c>
      <c r="R26" s="22">
        <v>360739.9375</v>
      </c>
      <c r="S26" s="23">
        <v>3365288</v>
      </c>
      <c r="T26" s="23">
        <v>1248912</v>
      </c>
      <c r="U26" s="23">
        <v>536944</v>
      </c>
      <c r="V26" s="23">
        <v>1579432</v>
      </c>
      <c r="W26" s="24">
        <v>67.494734374999993</v>
      </c>
      <c r="X26" s="24">
        <v>69.202596874999998</v>
      </c>
      <c r="Y26" s="24">
        <v>27.894359375000001</v>
      </c>
      <c r="Z26" s="24">
        <v>33.679109375000003</v>
      </c>
      <c r="AA26" s="24">
        <v>33.011231250000002</v>
      </c>
      <c r="AB26" s="25">
        <v>5663.28</v>
      </c>
      <c r="AC26" s="25">
        <v>0</v>
      </c>
      <c r="AD26" s="25">
        <v>72.626999999999995</v>
      </c>
      <c r="AE26" s="25">
        <v>0</v>
      </c>
      <c r="AG26" s="20">
        <f t="shared" si="6"/>
        <v>3.1549575000000001</v>
      </c>
      <c r="AH26" s="21">
        <f t="shared" si="7"/>
        <v>1.3445309015917891E-2</v>
      </c>
      <c r="AI26" s="21">
        <f t="shared" si="8"/>
        <v>7.1350166101477978E-3</v>
      </c>
      <c r="AJ26" s="21">
        <f t="shared" si="9"/>
        <v>4.9897684161617209E-3</v>
      </c>
      <c r="AK26" s="21">
        <f t="shared" si="10"/>
        <v>6.3102924057700941E-3</v>
      </c>
      <c r="AL26" s="18">
        <f t="shared" si="11"/>
        <v>1785856</v>
      </c>
      <c r="AM26" s="21">
        <v>-12</v>
      </c>
      <c r="AN26" s="22">
        <v>35965984</v>
      </c>
      <c r="AO26" s="22">
        <v>1123937</v>
      </c>
      <c r="AP26" s="22">
        <v>360739.9375</v>
      </c>
      <c r="AQ26" s="23">
        <v>3365288</v>
      </c>
      <c r="AR26" s="23">
        <v>1248912</v>
      </c>
      <c r="AS26" s="23">
        <v>536944</v>
      </c>
      <c r="AT26" s="23">
        <v>1579432</v>
      </c>
      <c r="AU26" s="24">
        <v>67.494734374999993</v>
      </c>
      <c r="AV26" s="24">
        <v>69.202596874999998</v>
      </c>
      <c r="AW26" s="24">
        <v>27.894359375000001</v>
      </c>
      <c r="AX26" s="24">
        <v>33.679109375000003</v>
      </c>
      <c r="AY26" s="24">
        <v>33.011231250000002</v>
      </c>
      <c r="AZ26" s="25">
        <v>5606.09</v>
      </c>
      <c r="BA26" s="25">
        <v>0</v>
      </c>
      <c r="BB26" s="25">
        <v>69.02</v>
      </c>
      <c r="BC26" s="25">
        <v>0</v>
      </c>
      <c r="BE26" s="50">
        <f t="shared" si="12"/>
        <v>1</v>
      </c>
      <c r="BF26" s="26">
        <f t="shared" si="13"/>
        <v>0</v>
      </c>
      <c r="BG26" s="26">
        <f t="shared" si="14"/>
        <v>0</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5.3352300000000001</v>
      </c>
      <c r="J27" s="12">
        <f t="shared" si="1"/>
        <v>2.2736856525324228E-2</v>
      </c>
      <c r="K27" s="12">
        <f t="shared" si="2"/>
        <v>9.294903554883981E-3</v>
      </c>
      <c r="L27" s="12">
        <f t="shared" si="3"/>
        <v>7.149655360897904E-3</v>
      </c>
      <c r="M27" s="12">
        <f t="shared" si="4"/>
        <v>1.3441952970440247E-2</v>
      </c>
      <c r="N27" s="54">
        <f t="shared" si="5"/>
        <v>2326464</v>
      </c>
      <c r="O27" s="12">
        <v>16</v>
      </c>
      <c r="P27" s="13">
        <v>35965984</v>
      </c>
      <c r="Q27" s="13">
        <v>1123937</v>
      </c>
      <c r="R27" s="13">
        <v>355434.59375</v>
      </c>
      <c r="S27" s="14">
        <v>5690912</v>
      </c>
      <c r="T27" s="14">
        <v>1789520</v>
      </c>
      <c r="U27" s="14">
        <v>536944</v>
      </c>
      <c r="V27" s="14">
        <v>3364448</v>
      </c>
      <c r="W27" s="15">
        <v>68.754750000000001</v>
      </c>
      <c r="X27" s="15">
        <v>70.737503125000003</v>
      </c>
      <c r="Y27" s="15">
        <v>30.186846875000001</v>
      </c>
      <c r="Z27" s="15">
        <v>34.918843750000001</v>
      </c>
      <c r="AA27" s="15">
        <v>34.344093749999999</v>
      </c>
      <c r="AB27" s="16">
        <v>5983.79</v>
      </c>
      <c r="AC27" s="16">
        <v>0</v>
      </c>
      <c r="AD27" s="16">
        <v>71.188999999999993</v>
      </c>
      <c r="AE27" s="16">
        <v>0</v>
      </c>
      <c r="AG27" s="11">
        <f t="shared" si="6"/>
        <v>5.3352300000000001</v>
      </c>
      <c r="AH27" s="12">
        <f t="shared" si="7"/>
        <v>2.2736856525324228E-2</v>
      </c>
      <c r="AI27" s="12">
        <f t="shared" si="8"/>
        <v>9.294903554883981E-3</v>
      </c>
      <c r="AJ27" s="12">
        <f t="shared" si="9"/>
        <v>7.149655360897904E-3</v>
      </c>
      <c r="AK27" s="12">
        <f t="shared" si="10"/>
        <v>1.3441952970440247E-2</v>
      </c>
      <c r="AL27" s="54">
        <f t="shared" si="11"/>
        <v>2326464</v>
      </c>
      <c r="AM27" s="12">
        <v>-12</v>
      </c>
      <c r="AN27" s="13">
        <v>35965984</v>
      </c>
      <c r="AO27" s="13">
        <v>1123937</v>
      </c>
      <c r="AP27" s="13">
        <v>355434.59375</v>
      </c>
      <c r="AQ27" s="14">
        <v>5690912</v>
      </c>
      <c r="AR27" s="14">
        <v>1789520</v>
      </c>
      <c r="AS27" s="14">
        <v>536944</v>
      </c>
      <c r="AT27" s="14">
        <v>3364448</v>
      </c>
      <c r="AU27" s="15">
        <v>68.754750000000001</v>
      </c>
      <c r="AV27" s="15">
        <v>70.737503125000003</v>
      </c>
      <c r="AW27" s="15">
        <v>30.186846875000001</v>
      </c>
      <c r="AX27" s="15">
        <v>34.918843750000001</v>
      </c>
      <c r="AY27" s="15">
        <v>34.344093749999999</v>
      </c>
      <c r="AZ27" s="16">
        <v>6010.24</v>
      </c>
      <c r="BA27" s="16">
        <v>0</v>
      </c>
      <c r="BB27" s="16">
        <v>71.826999999999998</v>
      </c>
      <c r="BC27" s="16">
        <v>0</v>
      </c>
      <c r="BE27" s="51">
        <f t="shared" si="12"/>
        <v>1</v>
      </c>
      <c r="BF27" s="17">
        <f t="shared" si="13"/>
        <v>0</v>
      </c>
      <c r="BG27" s="17">
        <f t="shared" si="14"/>
        <v>0</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10.3149525</v>
      </c>
      <c r="J28" s="21">
        <f t="shared" si="1"/>
        <v>4.3958666272688234E-2</v>
      </c>
      <c r="K28" s="21">
        <f t="shared" si="2"/>
        <v>1.3195523345367499E-2</v>
      </c>
      <c r="L28" s="21">
        <f t="shared" si="3"/>
        <v>1.1050275151381423E-2</v>
      </c>
      <c r="M28" s="21">
        <f t="shared" si="4"/>
        <v>3.0763142927320734E-2</v>
      </c>
      <c r="N28" s="18">
        <f t="shared" si="5"/>
        <v>3302768</v>
      </c>
      <c r="O28" s="21">
        <v>16</v>
      </c>
      <c r="P28" s="22">
        <v>35965984</v>
      </c>
      <c r="Q28" s="22">
        <v>1123937</v>
      </c>
      <c r="R28" s="22">
        <v>336079.8125</v>
      </c>
      <c r="S28" s="23">
        <v>11002616</v>
      </c>
      <c r="T28" s="23">
        <v>2765824</v>
      </c>
      <c r="U28" s="23">
        <v>536944</v>
      </c>
      <c r="V28" s="23">
        <v>7699848</v>
      </c>
      <c r="W28" s="24">
        <v>69.642568749999995</v>
      </c>
      <c r="X28" s="24">
        <v>71.776631249999994</v>
      </c>
      <c r="Y28" s="24">
        <v>32.689515624999999</v>
      </c>
      <c r="Z28" s="24">
        <v>36.431209375000002</v>
      </c>
      <c r="AA28" s="24">
        <v>35.864037500000002</v>
      </c>
      <c r="AB28" s="25">
        <v>6425.25</v>
      </c>
      <c r="AC28" s="25">
        <v>0</v>
      </c>
      <c r="AD28" s="25">
        <v>72.259</v>
      </c>
      <c r="AE28" s="25">
        <v>0</v>
      </c>
      <c r="AG28" s="20">
        <f t="shared" si="6"/>
        <v>10.3149525</v>
      </c>
      <c r="AH28" s="21">
        <f t="shared" si="7"/>
        <v>4.3958666272688234E-2</v>
      </c>
      <c r="AI28" s="21">
        <f t="shared" si="8"/>
        <v>1.3195523345367499E-2</v>
      </c>
      <c r="AJ28" s="21">
        <f t="shared" si="9"/>
        <v>1.1050275151381423E-2</v>
      </c>
      <c r="AK28" s="21">
        <f t="shared" si="10"/>
        <v>3.0763142927320734E-2</v>
      </c>
      <c r="AL28" s="18">
        <f t="shared" si="11"/>
        <v>3302768</v>
      </c>
      <c r="AM28" s="21">
        <v>-12</v>
      </c>
      <c r="AN28" s="22">
        <v>35965984</v>
      </c>
      <c r="AO28" s="22">
        <v>1123937</v>
      </c>
      <c r="AP28" s="22">
        <v>336079.8125</v>
      </c>
      <c r="AQ28" s="23">
        <v>11002616</v>
      </c>
      <c r="AR28" s="23">
        <v>2765824</v>
      </c>
      <c r="AS28" s="23">
        <v>536944</v>
      </c>
      <c r="AT28" s="23">
        <v>7699848</v>
      </c>
      <c r="AU28" s="24">
        <v>69.642568749999995</v>
      </c>
      <c r="AV28" s="24">
        <v>71.776631249999994</v>
      </c>
      <c r="AW28" s="24">
        <v>32.689515624999999</v>
      </c>
      <c r="AX28" s="24">
        <v>36.431209375000002</v>
      </c>
      <c r="AY28" s="24">
        <v>35.864037500000002</v>
      </c>
      <c r="AZ28" s="25">
        <v>6478.6</v>
      </c>
      <c r="BA28" s="25">
        <v>0</v>
      </c>
      <c r="BB28" s="25">
        <v>71.230999999999995</v>
      </c>
      <c r="BC28" s="25">
        <v>0</v>
      </c>
      <c r="BE28" s="50">
        <f t="shared" si="12"/>
        <v>1</v>
      </c>
      <c r="BF28" s="26">
        <f t="shared" si="13"/>
        <v>0</v>
      </c>
      <c r="BG28" s="26">
        <f t="shared" si="14"/>
        <v>0</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23.954370000000001</v>
      </c>
      <c r="J29" s="30">
        <f t="shared" si="1"/>
        <v>0.10208502235977285</v>
      </c>
      <c r="K29" s="30">
        <f t="shared" si="2"/>
        <v>2.1608458148726528E-2</v>
      </c>
      <c r="L29" s="30">
        <f t="shared" si="3"/>
        <v>1.7256913695399129E-2</v>
      </c>
      <c r="M29" s="30">
        <f t="shared" si="4"/>
        <v>8.047656421104632E-2</v>
      </c>
      <c r="N29" s="27">
        <f t="shared" si="5"/>
        <v>5408480</v>
      </c>
      <c r="O29" s="30">
        <v>16</v>
      </c>
      <c r="P29" s="31">
        <v>34517616</v>
      </c>
      <c r="Q29" s="31">
        <v>1078675.5</v>
      </c>
      <c r="R29" s="31">
        <v>316593.625</v>
      </c>
      <c r="S29" s="32">
        <v>25551328</v>
      </c>
      <c r="T29" s="32">
        <v>4319312</v>
      </c>
      <c r="U29" s="32">
        <v>1089168</v>
      </c>
      <c r="V29" s="32">
        <v>20142848</v>
      </c>
      <c r="W29" s="33">
        <v>71.312581249999994</v>
      </c>
      <c r="X29" s="33">
        <v>75.027540625</v>
      </c>
      <c r="Y29" s="33">
        <v>35.803153125000001</v>
      </c>
      <c r="Z29" s="33">
        <v>38.369349999999997</v>
      </c>
      <c r="AA29" s="33">
        <v>37.765228125</v>
      </c>
      <c r="AB29" s="34">
        <v>7208.27</v>
      </c>
      <c r="AC29" s="34">
        <v>0</v>
      </c>
      <c r="AD29" s="34">
        <v>71.129000000000005</v>
      </c>
      <c r="AE29" s="34">
        <v>0</v>
      </c>
      <c r="AG29" s="29">
        <f t="shared" si="6"/>
        <v>23.954370000000001</v>
      </c>
      <c r="AH29" s="30">
        <f t="shared" si="7"/>
        <v>0.10208502235977285</v>
      </c>
      <c r="AI29" s="30">
        <f t="shared" si="8"/>
        <v>2.1608458148726528E-2</v>
      </c>
      <c r="AJ29" s="30">
        <f t="shared" si="9"/>
        <v>1.7256913695399129E-2</v>
      </c>
      <c r="AK29" s="30">
        <f t="shared" si="10"/>
        <v>8.047656421104632E-2</v>
      </c>
      <c r="AL29" s="27">
        <f t="shared" si="11"/>
        <v>5408480</v>
      </c>
      <c r="AM29" s="30">
        <v>-12</v>
      </c>
      <c r="AN29" s="31">
        <v>34517616</v>
      </c>
      <c r="AO29" s="31">
        <v>1078675.5</v>
      </c>
      <c r="AP29" s="31">
        <v>316593.625</v>
      </c>
      <c r="AQ29" s="32">
        <v>25551328</v>
      </c>
      <c r="AR29" s="32">
        <v>4319312</v>
      </c>
      <c r="AS29" s="32">
        <v>1089168</v>
      </c>
      <c r="AT29" s="32">
        <v>20142848</v>
      </c>
      <c r="AU29" s="33">
        <v>71.312581249999994</v>
      </c>
      <c r="AV29" s="33">
        <v>75.027540625</v>
      </c>
      <c r="AW29" s="33">
        <v>35.803153125000001</v>
      </c>
      <c r="AX29" s="33">
        <v>38.369349999999997</v>
      </c>
      <c r="AY29" s="33">
        <v>37.765228125</v>
      </c>
      <c r="AZ29" s="34">
        <v>7249.78</v>
      </c>
      <c r="BA29" s="34">
        <v>0</v>
      </c>
      <c r="BB29" s="34">
        <v>71.302000000000007</v>
      </c>
      <c r="BC29" s="34">
        <v>0</v>
      </c>
      <c r="BE29" s="35">
        <f t="shared" si="12"/>
        <v>1</v>
      </c>
      <c r="BF29" s="36">
        <f t="shared" si="13"/>
        <v>0</v>
      </c>
      <c r="BG29" s="36">
        <f t="shared" si="14"/>
        <v>0</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3.6294675000000001</v>
      </c>
      <c r="J30" s="21">
        <f t="shared" si="1"/>
        <v>1.0312199183118305E-2</v>
      </c>
      <c r="K30" s="21">
        <f t="shared" si="2"/>
        <v>8.1807981166522343E-3</v>
      </c>
      <c r="L30" s="21">
        <f t="shared" si="3"/>
        <v>5.1498666146946497E-3</v>
      </c>
      <c r="M30" s="21">
        <f t="shared" si="4"/>
        <v>2.1314010664660707E-3</v>
      </c>
      <c r="N30" s="18">
        <f t="shared" si="5"/>
        <v>3071256</v>
      </c>
      <c r="O30" s="21">
        <v>16</v>
      </c>
      <c r="P30" s="22">
        <v>132024544</v>
      </c>
      <c r="Q30" s="22">
        <v>4125767</v>
      </c>
      <c r="R30" s="22">
        <v>1447391.9375</v>
      </c>
      <c r="S30" s="23">
        <v>3871432</v>
      </c>
      <c r="T30" s="23">
        <v>1933376</v>
      </c>
      <c r="U30" s="23">
        <v>1137880</v>
      </c>
      <c r="V30" s="23">
        <v>800176</v>
      </c>
      <c r="W30" s="24">
        <v>73.501381249999994</v>
      </c>
      <c r="X30" s="24">
        <v>75.134518749999998</v>
      </c>
      <c r="Y30" s="24">
        <v>33.202296875000002</v>
      </c>
      <c r="Z30" s="24">
        <v>41.833268750000002</v>
      </c>
      <c r="AA30" s="24">
        <v>43.421468750000003</v>
      </c>
      <c r="AB30" s="25">
        <v>16832.599999999999</v>
      </c>
      <c r="AC30" s="25">
        <v>0</v>
      </c>
      <c r="AD30" s="25">
        <v>239.51900000000001</v>
      </c>
      <c r="AE30" s="25">
        <v>0</v>
      </c>
      <c r="AG30" s="20">
        <f t="shared" si="6"/>
        <v>3.6294675000000001</v>
      </c>
      <c r="AH30" s="21">
        <f t="shared" si="7"/>
        <v>1.0312199183118305E-2</v>
      </c>
      <c r="AI30" s="21">
        <f t="shared" si="8"/>
        <v>8.1807981166522343E-3</v>
      </c>
      <c r="AJ30" s="21">
        <f t="shared" si="9"/>
        <v>5.1498666146946497E-3</v>
      </c>
      <c r="AK30" s="21">
        <f t="shared" si="10"/>
        <v>2.1314010664660707E-3</v>
      </c>
      <c r="AL30" s="18">
        <f t="shared" si="11"/>
        <v>3071256</v>
      </c>
      <c r="AM30" s="21">
        <v>-12</v>
      </c>
      <c r="AN30" s="22">
        <v>132024544</v>
      </c>
      <c r="AO30" s="22">
        <v>4125767</v>
      </c>
      <c r="AP30" s="22">
        <v>1447391.9375</v>
      </c>
      <c r="AQ30" s="23">
        <v>3871432</v>
      </c>
      <c r="AR30" s="23">
        <v>1933376</v>
      </c>
      <c r="AS30" s="23">
        <v>1137880</v>
      </c>
      <c r="AT30" s="23">
        <v>800176</v>
      </c>
      <c r="AU30" s="24">
        <v>73.501381249999994</v>
      </c>
      <c r="AV30" s="24">
        <v>75.134518749999998</v>
      </c>
      <c r="AW30" s="24">
        <v>33.202296875000002</v>
      </c>
      <c r="AX30" s="24">
        <v>41.833268750000002</v>
      </c>
      <c r="AY30" s="24">
        <v>43.421468750000003</v>
      </c>
      <c r="AZ30" s="25">
        <v>16879.3</v>
      </c>
      <c r="BA30" s="25">
        <v>0</v>
      </c>
      <c r="BB30" s="25">
        <v>244.31899999999999</v>
      </c>
      <c r="BC30" s="25">
        <v>0</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0</v>
      </c>
      <c r="BM30" s="50">
        <f>IF( OR(ISBLANK(V30:V34),ISBLANK(AT30:AT34), ISBLANK(Z30:Z34),ISBLANK(AX30:AX34)), "·", bdRateExtend( V30:V34,Z30:Z34, AT30:AT34,AX30:AX34))</f>
        <v>0</v>
      </c>
      <c r="BN30" s="50">
        <f>IF( OR(ISBLANK(V30:V34),ISBLANK(AT30:AT34), ISBLANK(AA30:AA34),ISBLANK(AY30:AY34)), "·", bdRateExtend( V30:V34,AA30:AA34, AT30:AT34,AY30:AY34))</f>
        <v>0</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0</v>
      </c>
      <c r="BS30" s="50">
        <f>IF( OR(ISBLANK(S30:S34),ISBLANK(AQ30:AQ34), ISBLANK(Z30:Z34),ISBLANK(AX30:AX34)), "·", bdRateExtend( S30:S34,Z30:Z34, AQ30:AQ34,AX30:AX34))</f>
        <v>0</v>
      </c>
      <c r="BT30" s="50">
        <f>IF( OR(ISBLANK(S30:S34),ISBLANK(AQ30:AQ34), ISBLANK(AA30:AA34),ISBLANK(AY30:AY34)), "·", bdRateExtend( S30:S34,AA30:AA34, AQ30:AQ34,AY30:AY34))</f>
        <v>0</v>
      </c>
    </row>
    <row r="31" spans="1:72" outlineLevel="1" x14ac:dyDescent="0.3">
      <c r="A31" s="54"/>
      <c r="B31" s="54" t="s">
        <v>75</v>
      </c>
      <c r="C31" s="10" t="s">
        <v>231</v>
      </c>
      <c r="D31" s="54">
        <v>375422539</v>
      </c>
      <c r="E31" s="10">
        <v>11</v>
      </c>
      <c r="F31" s="10">
        <v>32</v>
      </c>
      <c r="G31" s="10">
        <v>30</v>
      </c>
      <c r="I31" s="11">
        <f t="shared" si="0"/>
        <v>4.8557775000000003</v>
      </c>
      <c r="J31" s="12">
        <f t="shared" si="1"/>
        <v>1.3796443905036825E-2</v>
      </c>
      <c r="K31" s="12">
        <f t="shared" si="2"/>
        <v>1.0106670766509307E-2</v>
      </c>
      <c r="L31" s="12">
        <f t="shared" si="3"/>
        <v>7.0757392645517218E-3</v>
      </c>
      <c r="M31" s="12">
        <f t="shared" si="4"/>
        <v>3.6897731385275192E-3</v>
      </c>
      <c r="N31" s="54">
        <f t="shared" si="5"/>
        <v>3794272</v>
      </c>
      <c r="O31" s="12">
        <v>16</v>
      </c>
      <c r="P31" s="13">
        <v>132024544</v>
      </c>
      <c r="Q31" s="13">
        <v>4125767</v>
      </c>
      <c r="R31" s="13">
        <v>1321097.6875</v>
      </c>
      <c r="S31" s="14">
        <v>5179496</v>
      </c>
      <c r="T31" s="14">
        <v>2656392</v>
      </c>
      <c r="U31" s="14">
        <v>1137880</v>
      </c>
      <c r="V31" s="14">
        <v>1385224</v>
      </c>
      <c r="W31" s="15">
        <v>74.984359374999997</v>
      </c>
      <c r="X31" s="15">
        <v>76.927012500000004</v>
      </c>
      <c r="Y31" s="15">
        <v>35.163740625000003</v>
      </c>
      <c r="Z31" s="15">
        <v>42.472521874999998</v>
      </c>
      <c r="AA31" s="15">
        <v>44.669403125000002</v>
      </c>
      <c r="AB31" s="16">
        <v>17740.5</v>
      </c>
      <c r="AC31" s="16">
        <v>0</v>
      </c>
      <c r="AD31" s="16">
        <v>260.70699999999999</v>
      </c>
      <c r="AE31" s="16">
        <v>0</v>
      </c>
      <c r="AG31" s="11">
        <f t="shared" si="6"/>
        <v>4.8557775000000003</v>
      </c>
      <c r="AH31" s="12">
        <f t="shared" si="7"/>
        <v>1.3796443905036825E-2</v>
      </c>
      <c r="AI31" s="12">
        <f t="shared" si="8"/>
        <v>1.0106670766509307E-2</v>
      </c>
      <c r="AJ31" s="12">
        <f t="shared" si="9"/>
        <v>7.0757392645517218E-3</v>
      </c>
      <c r="AK31" s="12">
        <f t="shared" si="10"/>
        <v>3.6897731385275192E-3</v>
      </c>
      <c r="AL31" s="54">
        <f t="shared" si="11"/>
        <v>3794272</v>
      </c>
      <c r="AM31" s="12">
        <v>-12</v>
      </c>
      <c r="AN31" s="13">
        <v>132024544</v>
      </c>
      <c r="AO31" s="13">
        <v>4125767</v>
      </c>
      <c r="AP31" s="13">
        <v>1321097.6875</v>
      </c>
      <c r="AQ31" s="14">
        <v>5179496</v>
      </c>
      <c r="AR31" s="14">
        <v>2656392</v>
      </c>
      <c r="AS31" s="14">
        <v>1137880</v>
      </c>
      <c r="AT31" s="14">
        <v>1385224</v>
      </c>
      <c r="AU31" s="15">
        <v>74.984359374999997</v>
      </c>
      <c r="AV31" s="15">
        <v>76.927012500000004</v>
      </c>
      <c r="AW31" s="15">
        <v>35.163740625000003</v>
      </c>
      <c r="AX31" s="15">
        <v>42.472521874999998</v>
      </c>
      <c r="AY31" s="15">
        <v>44.669403125000002</v>
      </c>
      <c r="AZ31" s="16">
        <v>17834.099999999999</v>
      </c>
      <c r="BA31" s="16">
        <v>0</v>
      </c>
      <c r="BB31" s="16">
        <v>245.255</v>
      </c>
      <c r="BC31" s="16">
        <v>0</v>
      </c>
      <c r="BE31" s="51">
        <f t="shared" si="12"/>
        <v>1</v>
      </c>
      <c r="BF31" s="17">
        <f t="shared" si="13"/>
        <v>0</v>
      </c>
      <c r="BG31" s="17">
        <f t="shared" si="14"/>
        <v>0</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7.0368824999999999</v>
      </c>
      <c r="J32" s="21">
        <f t="shared" si="1"/>
        <v>1.9993493251613217E-2</v>
      </c>
      <c r="K32" s="21">
        <f t="shared" si="2"/>
        <v>1.2977036522572769E-2</v>
      </c>
      <c r="L32" s="21">
        <f t="shared" si="3"/>
        <v>9.9461050206151851E-3</v>
      </c>
      <c r="M32" s="21">
        <f t="shared" si="4"/>
        <v>7.0164567290404477E-3</v>
      </c>
      <c r="N32" s="18">
        <f t="shared" si="5"/>
        <v>4871872</v>
      </c>
      <c r="O32" s="21">
        <v>16</v>
      </c>
      <c r="P32" s="22">
        <v>132024544</v>
      </c>
      <c r="Q32" s="22">
        <v>4125767</v>
      </c>
      <c r="R32" s="22">
        <v>1289497.3125</v>
      </c>
      <c r="S32" s="23">
        <v>7506008</v>
      </c>
      <c r="T32" s="23">
        <v>3733992</v>
      </c>
      <c r="U32" s="23">
        <v>1137880</v>
      </c>
      <c r="V32" s="23">
        <v>2634136</v>
      </c>
      <c r="W32" s="24">
        <v>76.204975000000005</v>
      </c>
      <c r="X32" s="24">
        <v>78.436993749999999</v>
      </c>
      <c r="Y32" s="24">
        <v>36.947159374999998</v>
      </c>
      <c r="Z32" s="24">
        <v>43.092928125</v>
      </c>
      <c r="AA32" s="24">
        <v>45.964390625</v>
      </c>
      <c r="AB32" s="25">
        <v>18573.3</v>
      </c>
      <c r="AC32" s="25">
        <v>0</v>
      </c>
      <c r="AD32" s="25">
        <v>239.98</v>
      </c>
      <c r="AE32" s="25">
        <v>0</v>
      </c>
      <c r="AG32" s="20">
        <f t="shared" si="6"/>
        <v>7.0368824999999999</v>
      </c>
      <c r="AH32" s="21">
        <f t="shared" si="7"/>
        <v>1.9993493251613217E-2</v>
      </c>
      <c r="AI32" s="21">
        <f t="shared" si="8"/>
        <v>1.2977036522572769E-2</v>
      </c>
      <c r="AJ32" s="21">
        <f t="shared" si="9"/>
        <v>9.9461050206151851E-3</v>
      </c>
      <c r="AK32" s="21">
        <f t="shared" si="10"/>
        <v>7.0164567290404477E-3</v>
      </c>
      <c r="AL32" s="18">
        <f t="shared" si="11"/>
        <v>4871872</v>
      </c>
      <c r="AM32" s="21">
        <v>-12</v>
      </c>
      <c r="AN32" s="22">
        <v>132024544</v>
      </c>
      <c r="AO32" s="22">
        <v>4125767</v>
      </c>
      <c r="AP32" s="22">
        <v>1289497.3125</v>
      </c>
      <c r="AQ32" s="23">
        <v>7506008</v>
      </c>
      <c r="AR32" s="23">
        <v>3733992</v>
      </c>
      <c r="AS32" s="23">
        <v>1137880</v>
      </c>
      <c r="AT32" s="23">
        <v>2634136</v>
      </c>
      <c r="AU32" s="24">
        <v>76.204975000000005</v>
      </c>
      <c r="AV32" s="24">
        <v>78.436993749999999</v>
      </c>
      <c r="AW32" s="24">
        <v>36.947159374999998</v>
      </c>
      <c r="AX32" s="24">
        <v>43.092928125</v>
      </c>
      <c r="AY32" s="24">
        <v>45.964390625</v>
      </c>
      <c r="AZ32" s="25">
        <v>18640.8</v>
      </c>
      <c r="BA32" s="25">
        <v>0</v>
      </c>
      <c r="BB32" s="25">
        <v>302.60899999999998</v>
      </c>
      <c r="BC32" s="25">
        <v>0</v>
      </c>
      <c r="BE32" s="50">
        <f t="shared" si="12"/>
        <v>1</v>
      </c>
      <c r="BF32" s="26">
        <f t="shared" si="13"/>
        <v>0</v>
      </c>
      <c r="BG32" s="26">
        <f t="shared" si="14"/>
        <v>0</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11.815844999999999</v>
      </c>
      <c r="J33" s="12">
        <f t="shared" si="1"/>
        <v>3.3571687074440672E-2</v>
      </c>
      <c r="K33" s="12">
        <f t="shared" si="2"/>
        <v>1.8223796627191848E-2</v>
      </c>
      <c r="L33" s="12">
        <f t="shared" si="3"/>
        <v>1.5192865125234264E-2</v>
      </c>
      <c r="M33" s="12">
        <f t="shared" si="4"/>
        <v>1.5347890447248826E-2</v>
      </c>
      <c r="N33" s="54">
        <f t="shared" si="5"/>
        <v>6841624</v>
      </c>
      <c r="O33" s="12">
        <v>16</v>
      </c>
      <c r="P33" s="13">
        <v>132024544</v>
      </c>
      <c r="Q33" s="13">
        <v>4125767</v>
      </c>
      <c r="R33" s="13">
        <v>1221602.625</v>
      </c>
      <c r="S33" s="14">
        <v>12603568</v>
      </c>
      <c r="T33" s="14">
        <v>5703744</v>
      </c>
      <c r="U33" s="14">
        <v>1137880</v>
      </c>
      <c r="V33" s="14">
        <v>5761944</v>
      </c>
      <c r="W33" s="15">
        <v>77.034581250000002</v>
      </c>
      <c r="X33" s="15">
        <v>79.437778124999994</v>
      </c>
      <c r="Y33" s="15">
        <v>38.702081249999999</v>
      </c>
      <c r="Z33" s="15">
        <v>43.673637499999998</v>
      </c>
      <c r="AA33" s="15">
        <v>47.342796874999998</v>
      </c>
      <c r="AB33" s="16">
        <v>19595</v>
      </c>
      <c r="AC33" s="16">
        <v>0</v>
      </c>
      <c r="AD33" s="16">
        <v>240.80799999999999</v>
      </c>
      <c r="AE33" s="16">
        <v>0</v>
      </c>
      <c r="AG33" s="11">
        <f t="shared" si="6"/>
        <v>11.815844999999999</v>
      </c>
      <c r="AH33" s="12">
        <f t="shared" si="7"/>
        <v>3.3571687074440672E-2</v>
      </c>
      <c r="AI33" s="12">
        <f t="shared" si="8"/>
        <v>1.8223796627191848E-2</v>
      </c>
      <c r="AJ33" s="12">
        <f t="shared" si="9"/>
        <v>1.5192865125234264E-2</v>
      </c>
      <c r="AK33" s="12">
        <f t="shared" si="10"/>
        <v>1.5347890447248826E-2</v>
      </c>
      <c r="AL33" s="54">
        <f t="shared" si="11"/>
        <v>6841624</v>
      </c>
      <c r="AM33" s="12">
        <v>-12</v>
      </c>
      <c r="AN33" s="13">
        <v>132024544</v>
      </c>
      <c r="AO33" s="13">
        <v>4125767</v>
      </c>
      <c r="AP33" s="13">
        <v>1221602.625</v>
      </c>
      <c r="AQ33" s="14">
        <v>12603568</v>
      </c>
      <c r="AR33" s="14">
        <v>5703744</v>
      </c>
      <c r="AS33" s="14">
        <v>1137880</v>
      </c>
      <c r="AT33" s="14">
        <v>5761944</v>
      </c>
      <c r="AU33" s="15">
        <v>77.034581250000002</v>
      </c>
      <c r="AV33" s="15">
        <v>79.437778124999994</v>
      </c>
      <c r="AW33" s="15">
        <v>38.702081249999999</v>
      </c>
      <c r="AX33" s="15">
        <v>43.673637499999998</v>
      </c>
      <c r="AY33" s="15">
        <v>47.342796874999998</v>
      </c>
      <c r="AZ33" s="16">
        <v>19369.900000000001</v>
      </c>
      <c r="BA33" s="16">
        <v>0</v>
      </c>
      <c r="BB33" s="16">
        <v>239.536</v>
      </c>
      <c r="BC33" s="16">
        <v>0</v>
      </c>
      <c r="BE33" s="51">
        <f t="shared" si="12"/>
        <v>1</v>
      </c>
      <c r="BF33" s="17">
        <f t="shared" si="13"/>
        <v>0</v>
      </c>
      <c r="BG33" s="17">
        <f t="shared" si="14"/>
        <v>0</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24.386332500000002</v>
      </c>
      <c r="J34" s="40">
        <f t="shared" si="1"/>
        <v>6.9287496880947791E-2</v>
      </c>
      <c r="K34" s="40">
        <f t="shared" si="2"/>
        <v>3.0624330735773964E-2</v>
      </c>
      <c r="L34" s="40">
        <f t="shared" si="3"/>
        <v>2.4322567377873923E-2</v>
      </c>
      <c r="M34" s="40">
        <f t="shared" si="4"/>
        <v>3.8663166145173823E-2</v>
      </c>
      <c r="N34" s="37">
        <f t="shared" si="5"/>
        <v>11497064</v>
      </c>
      <c r="O34" s="40">
        <v>16</v>
      </c>
      <c r="P34" s="41">
        <v>128666208</v>
      </c>
      <c r="Q34" s="41">
        <v>4020819</v>
      </c>
      <c r="R34" s="41">
        <v>1161121.65625</v>
      </c>
      <c r="S34" s="42">
        <v>26012088</v>
      </c>
      <c r="T34" s="42">
        <v>9131240</v>
      </c>
      <c r="U34" s="42">
        <v>2365824</v>
      </c>
      <c r="V34" s="42">
        <v>14515024</v>
      </c>
      <c r="W34" s="43">
        <v>78.499306250000004</v>
      </c>
      <c r="X34" s="43">
        <v>81.870568750000004</v>
      </c>
      <c r="Y34" s="43">
        <v>40.518906250000001</v>
      </c>
      <c r="Z34" s="43">
        <v>44.359384374999998</v>
      </c>
      <c r="AA34" s="43">
        <v>48.800203125000003</v>
      </c>
      <c r="AB34" s="44">
        <v>20828.8</v>
      </c>
      <c r="AC34" s="44">
        <v>0</v>
      </c>
      <c r="AD34" s="44">
        <v>273.42700000000002</v>
      </c>
      <c r="AE34" s="44">
        <v>0</v>
      </c>
      <c r="AG34" s="39">
        <f t="shared" si="6"/>
        <v>24.386332500000002</v>
      </c>
      <c r="AH34" s="40">
        <f t="shared" si="7"/>
        <v>6.9287496880947791E-2</v>
      </c>
      <c r="AI34" s="40">
        <f t="shared" si="8"/>
        <v>3.0624330735773964E-2</v>
      </c>
      <c r="AJ34" s="40">
        <f t="shared" si="9"/>
        <v>2.4322567377873923E-2</v>
      </c>
      <c r="AK34" s="40">
        <f t="shared" si="10"/>
        <v>3.8663166145173823E-2</v>
      </c>
      <c r="AL34" s="37">
        <f t="shared" si="11"/>
        <v>11497064</v>
      </c>
      <c r="AM34" s="40">
        <v>-12</v>
      </c>
      <c r="AN34" s="41">
        <v>128666208</v>
      </c>
      <c r="AO34" s="41">
        <v>4020819</v>
      </c>
      <c r="AP34" s="41">
        <v>1161121.65625</v>
      </c>
      <c r="AQ34" s="42">
        <v>26012088</v>
      </c>
      <c r="AR34" s="42">
        <v>9131240</v>
      </c>
      <c r="AS34" s="42">
        <v>2365824</v>
      </c>
      <c r="AT34" s="42">
        <v>14515024</v>
      </c>
      <c r="AU34" s="43">
        <v>78.499306250000004</v>
      </c>
      <c r="AV34" s="43">
        <v>81.870568750000004</v>
      </c>
      <c r="AW34" s="43">
        <v>40.518906250000001</v>
      </c>
      <c r="AX34" s="43">
        <v>44.359384374999998</v>
      </c>
      <c r="AY34" s="43">
        <v>48.800203125000003</v>
      </c>
      <c r="AZ34" s="44">
        <v>21052.799999999999</v>
      </c>
      <c r="BA34" s="44">
        <v>0</v>
      </c>
      <c r="BB34" s="44">
        <v>273.44</v>
      </c>
      <c r="BC34" s="44">
        <v>0</v>
      </c>
      <c r="BE34" s="45">
        <f t="shared" si="12"/>
        <v>1</v>
      </c>
      <c r="BF34" s="46">
        <f t="shared" si="13"/>
        <v>0</v>
      </c>
      <c r="BG34" s="46">
        <f t="shared" si="14"/>
        <v>0</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4.3215824999999999</v>
      </c>
      <c r="J35" s="12">
        <f t="shared" si="1"/>
        <v>1.3834984446399102E-2</v>
      </c>
      <c r="K35" s="12">
        <f t="shared" si="2"/>
        <v>1.0555252941056826E-2</v>
      </c>
      <c r="L35" s="12">
        <f t="shared" si="3"/>
        <v>6.7758676173570983E-3</v>
      </c>
      <c r="M35" s="12">
        <f t="shared" si="4"/>
        <v>3.2797315053422755E-3</v>
      </c>
      <c r="N35" s="54">
        <f t="shared" si="5"/>
        <v>3516912</v>
      </c>
      <c r="O35" s="12">
        <v>16</v>
      </c>
      <c r="P35" s="13">
        <v>117619072</v>
      </c>
      <c r="Q35" s="13">
        <v>3675596</v>
      </c>
      <c r="R35" s="13">
        <v>1347034.03125</v>
      </c>
      <c r="S35" s="14">
        <v>4609688</v>
      </c>
      <c r="T35" s="14">
        <v>2257656</v>
      </c>
      <c r="U35" s="14">
        <v>1259256</v>
      </c>
      <c r="V35" s="14">
        <v>1092776</v>
      </c>
      <c r="W35" s="15">
        <v>73.169274999999999</v>
      </c>
      <c r="X35" s="15">
        <v>74.857868749999994</v>
      </c>
      <c r="Y35" s="15">
        <v>31.78890625</v>
      </c>
      <c r="Z35" s="15">
        <v>42.181021874999999</v>
      </c>
      <c r="AA35" s="15">
        <v>43.160828125000002</v>
      </c>
      <c r="AB35" s="16">
        <v>15764.3</v>
      </c>
      <c r="AC35" s="16">
        <v>0</v>
      </c>
      <c r="AD35" s="16">
        <v>207.10300000000001</v>
      </c>
      <c r="AE35" s="16">
        <v>0</v>
      </c>
      <c r="AG35" s="11">
        <f t="shared" si="6"/>
        <v>4.3215824999999999</v>
      </c>
      <c r="AH35" s="12">
        <f t="shared" si="7"/>
        <v>1.3834984446399102E-2</v>
      </c>
      <c r="AI35" s="12">
        <f t="shared" si="8"/>
        <v>1.0555252941056826E-2</v>
      </c>
      <c r="AJ35" s="12">
        <f t="shared" si="9"/>
        <v>6.7758676173570983E-3</v>
      </c>
      <c r="AK35" s="12">
        <f t="shared" si="10"/>
        <v>3.2797315053422755E-3</v>
      </c>
      <c r="AL35" s="54">
        <f t="shared" si="11"/>
        <v>3516912</v>
      </c>
      <c r="AM35" s="12">
        <v>-12</v>
      </c>
      <c r="AN35" s="13">
        <v>117619072</v>
      </c>
      <c r="AO35" s="13">
        <v>3675596</v>
      </c>
      <c r="AP35" s="13">
        <v>1347034.03125</v>
      </c>
      <c r="AQ35" s="14">
        <v>4609688</v>
      </c>
      <c r="AR35" s="14">
        <v>2257656</v>
      </c>
      <c r="AS35" s="14">
        <v>1259256</v>
      </c>
      <c r="AT35" s="14">
        <v>1092776</v>
      </c>
      <c r="AU35" s="15">
        <v>73.169274999999999</v>
      </c>
      <c r="AV35" s="15">
        <v>74.857868749999994</v>
      </c>
      <c r="AW35" s="15">
        <v>31.78890625</v>
      </c>
      <c r="AX35" s="15">
        <v>42.181021874999999</v>
      </c>
      <c r="AY35" s="15">
        <v>43.160828125000002</v>
      </c>
      <c r="AZ35" s="16">
        <v>16108.6</v>
      </c>
      <c r="BA35" s="16">
        <v>0</v>
      </c>
      <c r="BB35" s="16">
        <v>247.631</v>
      </c>
      <c r="BC35" s="16">
        <v>0</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0</v>
      </c>
      <c r="BM35" s="51">
        <f>IF( OR(ISBLANK(V35:V39),ISBLANK(AT35:AT39), ISBLANK(Z35:Z39),ISBLANK(AX35:AX39)), "·", bdRateExtend( V35:V39,Z35:Z39, AT35:AT39,AX35:AX39))</f>
        <v>0</v>
      </c>
      <c r="BN35" s="51">
        <f>IF( OR(ISBLANK(V35:V39),ISBLANK(AT35:AT39), ISBLANK(AA35:AA39),ISBLANK(AY35:AY39)), "·", bdRateExtend( V35:V39,AA35:AA39, AT35:AT39,AY35:AY39))</f>
        <v>0</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0</v>
      </c>
      <c r="BS35" s="51">
        <f>IF( OR(ISBLANK(S35:S39),ISBLANK(AQ35:AQ39), ISBLANK(Z35:Z39),ISBLANK(AX35:AX39)), "·", bdRateExtend( S35:S39,Z35:Z39, AQ35:AQ39,AX35:AX39))</f>
        <v>0</v>
      </c>
      <c r="BT35" s="51">
        <f>IF( OR(ISBLANK(S35:S39),ISBLANK(AQ35:AQ39), ISBLANK(AA35:AA39),ISBLANK(AY35:AY39)), "·", bdRateExtend( S35:S39,AA35:AA39, AQ35:AQ39,AY35:AY39))</f>
        <v>0</v>
      </c>
    </row>
    <row r="36" spans="1:72" outlineLevel="1" x14ac:dyDescent="0.3">
      <c r="A36" s="18"/>
      <c r="B36" s="18" t="s">
        <v>80</v>
      </c>
      <c r="C36" s="19" t="s">
        <v>231</v>
      </c>
      <c r="D36" s="18">
        <v>333190689</v>
      </c>
      <c r="E36" s="19">
        <v>11</v>
      </c>
      <c r="F36" s="19">
        <v>32</v>
      </c>
      <c r="G36" s="19">
        <v>30</v>
      </c>
      <c r="I36" s="20">
        <f t="shared" si="0"/>
        <v>5.8309049999999996</v>
      </c>
      <c r="J36" s="21">
        <f t="shared" si="1"/>
        <v>1.8666884175745978E-2</v>
      </c>
      <c r="K36" s="21">
        <f t="shared" si="2"/>
        <v>1.3101566592696713E-2</v>
      </c>
      <c r="L36" s="21">
        <f t="shared" si="3"/>
        <v>9.322181268996985E-3</v>
      </c>
      <c r="M36" s="21">
        <f t="shared" si="4"/>
        <v>5.565317583049267E-3</v>
      </c>
      <c r="N36" s="18">
        <f t="shared" si="5"/>
        <v>4365320</v>
      </c>
      <c r="O36" s="21">
        <v>16</v>
      </c>
      <c r="P36" s="22">
        <v>117619072</v>
      </c>
      <c r="Q36" s="22">
        <v>3675596</v>
      </c>
      <c r="R36" s="22">
        <v>1194283.65625</v>
      </c>
      <c r="S36" s="23">
        <v>6219632</v>
      </c>
      <c r="T36" s="23">
        <v>3106064</v>
      </c>
      <c r="U36" s="23">
        <v>1259256</v>
      </c>
      <c r="V36" s="23">
        <v>1854312</v>
      </c>
      <c r="W36" s="24">
        <v>74.760746874999995</v>
      </c>
      <c r="X36" s="24">
        <v>76.686000000000007</v>
      </c>
      <c r="Y36" s="24">
        <v>34.042459375</v>
      </c>
      <c r="Z36" s="24">
        <v>42.932765625000002</v>
      </c>
      <c r="AA36" s="24">
        <v>44.791765624999996</v>
      </c>
      <c r="AB36" s="25">
        <v>16736.900000000001</v>
      </c>
      <c r="AC36" s="25">
        <v>0</v>
      </c>
      <c r="AD36" s="25">
        <v>214.303</v>
      </c>
      <c r="AE36" s="25">
        <v>0</v>
      </c>
      <c r="AG36" s="20">
        <f t="shared" si="6"/>
        <v>5.8309049999999996</v>
      </c>
      <c r="AH36" s="21">
        <f t="shared" si="7"/>
        <v>1.8666884175745978E-2</v>
      </c>
      <c r="AI36" s="21">
        <f t="shared" si="8"/>
        <v>1.3101566592696713E-2</v>
      </c>
      <c r="AJ36" s="21">
        <f t="shared" si="9"/>
        <v>9.322181268996985E-3</v>
      </c>
      <c r="AK36" s="21">
        <f t="shared" si="10"/>
        <v>5.565317583049267E-3</v>
      </c>
      <c r="AL36" s="18">
        <f t="shared" si="11"/>
        <v>4365320</v>
      </c>
      <c r="AM36" s="21">
        <v>-12</v>
      </c>
      <c r="AN36" s="22">
        <v>117619072</v>
      </c>
      <c r="AO36" s="22">
        <v>3675596</v>
      </c>
      <c r="AP36" s="22">
        <v>1194283.65625</v>
      </c>
      <c r="AQ36" s="23">
        <v>6219632</v>
      </c>
      <c r="AR36" s="23">
        <v>3106064</v>
      </c>
      <c r="AS36" s="23">
        <v>1259256</v>
      </c>
      <c r="AT36" s="23">
        <v>1854312</v>
      </c>
      <c r="AU36" s="24">
        <v>74.760746874999995</v>
      </c>
      <c r="AV36" s="24">
        <v>76.686000000000007</v>
      </c>
      <c r="AW36" s="24">
        <v>34.042459375</v>
      </c>
      <c r="AX36" s="24">
        <v>42.932765625000002</v>
      </c>
      <c r="AY36" s="24">
        <v>44.791765624999996</v>
      </c>
      <c r="AZ36" s="25">
        <v>16864.599999999999</v>
      </c>
      <c r="BA36" s="25">
        <v>0</v>
      </c>
      <c r="BB36" s="25">
        <v>217.11</v>
      </c>
      <c r="BC36" s="25">
        <v>0</v>
      </c>
      <c r="BE36" s="50">
        <f t="shared" si="12"/>
        <v>1</v>
      </c>
      <c r="BF36" s="26">
        <f t="shared" si="13"/>
        <v>0</v>
      </c>
      <c r="BG36" s="26">
        <f t="shared" si="14"/>
        <v>0</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8.3983124999999994</v>
      </c>
      <c r="J37" s="12">
        <f t="shared" si="1"/>
        <v>2.688610545176429E-2</v>
      </c>
      <c r="K37" s="12">
        <f t="shared" si="2"/>
        <v>1.6798548653320863E-2</v>
      </c>
      <c r="L37" s="12">
        <f t="shared" si="3"/>
        <v>1.3019163329621134E-2</v>
      </c>
      <c r="M37" s="12">
        <f t="shared" si="4"/>
        <v>1.0087556798443429E-2</v>
      </c>
      <c r="N37" s="54">
        <f t="shared" si="5"/>
        <v>5597120</v>
      </c>
      <c r="O37" s="12">
        <v>16</v>
      </c>
      <c r="P37" s="13">
        <v>117619072</v>
      </c>
      <c r="Q37" s="13">
        <v>3675596</v>
      </c>
      <c r="R37" s="13">
        <v>1147468</v>
      </c>
      <c r="S37" s="14">
        <v>8958200</v>
      </c>
      <c r="T37" s="14">
        <v>4337864</v>
      </c>
      <c r="U37" s="14">
        <v>1259256</v>
      </c>
      <c r="V37" s="14">
        <v>3361080</v>
      </c>
      <c r="W37" s="15">
        <v>76.005756250000005</v>
      </c>
      <c r="X37" s="15">
        <v>78.226518749999997</v>
      </c>
      <c r="Y37" s="15">
        <v>36.142471874999998</v>
      </c>
      <c r="Z37" s="15">
        <v>43.580631250000003</v>
      </c>
      <c r="AA37" s="15">
        <v>46.1820375</v>
      </c>
      <c r="AB37" s="16">
        <v>17438.7</v>
      </c>
      <c r="AC37" s="16">
        <v>0</v>
      </c>
      <c r="AD37" s="16">
        <v>219.19399999999999</v>
      </c>
      <c r="AE37" s="16">
        <v>0</v>
      </c>
      <c r="AG37" s="11">
        <f t="shared" si="6"/>
        <v>8.3983124999999994</v>
      </c>
      <c r="AH37" s="12">
        <f t="shared" si="7"/>
        <v>2.688610545176429E-2</v>
      </c>
      <c r="AI37" s="12">
        <f t="shared" si="8"/>
        <v>1.6798548653320863E-2</v>
      </c>
      <c r="AJ37" s="12">
        <f t="shared" si="9"/>
        <v>1.3019163329621134E-2</v>
      </c>
      <c r="AK37" s="12">
        <f t="shared" si="10"/>
        <v>1.0087556798443429E-2</v>
      </c>
      <c r="AL37" s="54">
        <f t="shared" si="11"/>
        <v>5597120</v>
      </c>
      <c r="AM37" s="12">
        <v>-12</v>
      </c>
      <c r="AN37" s="13">
        <v>117619072</v>
      </c>
      <c r="AO37" s="13">
        <v>3675596</v>
      </c>
      <c r="AP37" s="13">
        <v>1147468</v>
      </c>
      <c r="AQ37" s="14">
        <v>8958200</v>
      </c>
      <c r="AR37" s="14">
        <v>4337864</v>
      </c>
      <c r="AS37" s="14">
        <v>1259256</v>
      </c>
      <c r="AT37" s="14">
        <v>3361080</v>
      </c>
      <c r="AU37" s="15">
        <v>76.005756250000005</v>
      </c>
      <c r="AV37" s="15">
        <v>78.226518749999997</v>
      </c>
      <c r="AW37" s="15">
        <v>36.142471874999998</v>
      </c>
      <c r="AX37" s="15">
        <v>43.580631250000003</v>
      </c>
      <c r="AY37" s="15">
        <v>46.1820375</v>
      </c>
      <c r="AZ37" s="16">
        <v>17489.900000000001</v>
      </c>
      <c r="BA37" s="16">
        <v>0</v>
      </c>
      <c r="BB37" s="16">
        <v>242.91499999999999</v>
      </c>
      <c r="BC37" s="16">
        <v>0</v>
      </c>
      <c r="BE37" s="51">
        <f t="shared" si="12"/>
        <v>1</v>
      </c>
      <c r="BF37" s="17">
        <f t="shared" si="13"/>
        <v>0</v>
      </c>
      <c r="BG37" s="17">
        <f t="shared" si="14"/>
        <v>0</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13.734690000000001</v>
      </c>
      <c r="J38" s="21">
        <f t="shared" si="1"/>
        <v>4.3969824138753166E-2</v>
      </c>
      <c r="K38" s="21">
        <f t="shared" si="2"/>
        <v>2.3020235118274869E-2</v>
      </c>
      <c r="L38" s="21">
        <f t="shared" si="3"/>
        <v>1.9240849794575143E-2</v>
      </c>
      <c r="M38" s="21">
        <f t="shared" si="4"/>
        <v>2.0949589020478301E-2</v>
      </c>
      <c r="N38" s="18">
        <f t="shared" si="5"/>
        <v>7670128</v>
      </c>
      <c r="O38" s="21">
        <v>16</v>
      </c>
      <c r="P38" s="22">
        <v>117619072</v>
      </c>
      <c r="Q38" s="22">
        <v>3675596</v>
      </c>
      <c r="R38" s="22">
        <v>1083553.40625</v>
      </c>
      <c r="S38" s="23">
        <v>14650336</v>
      </c>
      <c r="T38" s="23">
        <v>6410872</v>
      </c>
      <c r="U38" s="23">
        <v>1259256</v>
      </c>
      <c r="V38" s="23">
        <v>6980208</v>
      </c>
      <c r="W38" s="24">
        <v>76.860799999999998</v>
      </c>
      <c r="X38" s="24">
        <v>79.251031249999997</v>
      </c>
      <c r="Y38" s="24">
        <v>38.093800000000002</v>
      </c>
      <c r="Z38" s="24">
        <v>44.204459374999999</v>
      </c>
      <c r="AA38" s="24">
        <v>47.251115624999997</v>
      </c>
      <c r="AB38" s="25">
        <v>18444</v>
      </c>
      <c r="AC38" s="25">
        <v>0</v>
      </c>
      <c r="AD38" s="25">
        <v>231.28399999999999</v>
      </c>
      <c r="AE38" s="25">
        <v>0</v>
      </c>
      <c r="AG38" s="20">
        <f t="shared" si="6"/>
        <v>13.734690000000001</v>
      </c>
      <c r="AH38" s="21">
        <f t="shared" si="7"/>
        <v>4.3969824138753166E-2</v>
      </c>
      <c r="AI38" s="21">
        <f t="shared" si="8"/>
        <v>2.3020235118274869E-2</v>
      </c>
      <c r="AJ38" s="21">
        <f t="shared" si="9"/>
        <v>1.9240849794575143E-2</v>
      </c>
      <c r="AK38" s="21">
        <f t="shared" si="10"/>
        <v>2.0949589020478301E-2</v>
      </c>
      <c r="AL38" s="18">
        <f t="shared" si="11"/>
        <v>7670128</v>
      </c>
      <c r="AM38" s="21">
        <v>-12</v>
      </c>
      <c r="AN38" s="22">
        <v>117619072</v>
      </c>
      <c r="AO38" s="22">
        <v>3675596</v>
      </c>
      <c r="AP38" s="22">
        <v>1083553.40625</v>
      </c>
      <c r="AQ38" s="23">
        <v>14650336</v>
      </c>
      <c r="AR38" s="23">
        <v>6410872</v>
      </c>
      <c r="AS38" s="23">
        <v>1259256</v>
      </c>
      <c r="AT38" s="23">
        <v>6980208</v>
      </c>
      <c r="AU38" s="24">
        <v>76.860799999999998</v>
      </c>
      <c r="AV38" s="24">
        <v>79.251031249999997</v>
      </c>
      <c r="AW38" s="24">
        <v>38.093800000000002</v>
      </c>
      <c r="AX38" s="24">
        <v>44.204459374999999</v>
      </c>
      <c r="AY38" s="24">
        <v>47.251115624999997</v>
      </c>
      <c r="AZ38" s="25">
        <v>18414.400000000001</v>
      </c>
      <c r="BA38" s="25">
        <v>0</v>
      </c>
      <c r="BB38" s="25">
        <v>235.535</v>
      </c>
      <c r="BC38" s="25">
        <v>0</v>
      </c>
      <c r="BE38" s="50">
        <f t="shared" si="12"/>
        <v>1</v>
      </c>
      <c r="BF38" s="26">
        <f t="shared" si="13"/>
        <v>0</v>
      </c>
      <c r="BG38" s="26">
        <f t="shared" si="14"/>
        <v>0</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27.5888925</v>
      </c>
      <c r="J39" s="30">
        <f t="shared" si="1"/>
        <v>8.8322252006267796E-2</v>
      </c>
      <c r="K39" s="30">
        <f t="shared" si="2"/>
        <v>3.742716832042086E-2</v>
      </c>
      <c r="L39" s="30">
        <f t="shared" si="3"/>
        <v>2.9699365338507405E-2</v>
      </c>
      <c r="M39" s="30">
        <f t="shared" si="4"/>
        <v>5.0895083685846935E-2</v>
      </c>
      <c r="N39" s="27">
        <f t="shared" si="5"/>
        <v>12470384</v>
      </c>
      <c r="O39" s="30">
        <v>16</v>
      </c>
      <c r="P39" s="31">
        <v>114250072</v>
      </c>
      <c r="Q39" s="31">
        <v>3570314.75</v>
      </c>
      <c r="R39" s="31">
        <v>1022615.5625</v>
      </c>
      <c r="S39" s="32">
        <v>29428152</v>
      </c>
      <c r="T39" s="32">
        <v>9895552</v>
      </c>
      <c r="U39" s="32">
        <v>2574832</v>
      </c>
      <c r="V39" s="32">
        <v>16957768</v>
      </c>
      <c r="W39" s="33">
        <v>78.333234375000004</v>
      </c>
      <c r="X39" s="33">
        <v>81.834003124999995</v>
      </c>
      <c r="Y39" s="33">
        <v>40.204587500000002</v>
      </c>
      <c r="Z39" s="33">
        <v>45.131065624999998</v>
      </c>
      <c r="AA39" s="33">
        <v>48.639074999999998</v>
      </c>
      <c r="AB39" s="34">
        <v>19646.8</v>
      </c>
      <c r="AC39" s="34">
        <v>0</v>
      </c>
      <c r="AD39" s="34">
        <v>212.03899999999999</v>
      </c>
      <c r="AE39" s="34">
        <v>0</v>
      </c>
      <c r="AG39" s="29">
        <f t="shared" si="6"/>
        <v>27.5888925</v>
      </c>
      <c r="AH39" s="30">
        <f t="shared" si="7"/>
        <v>8.8322252006267796E-2</v>
      </c>
      <c r="AI39" s="30">
        <f t="shared" si="8"/>
        <v>3.742716832042086E-2</v>
      </c>
      <c r="AJ39" s="30">
        <f t="shared" si="9"/>
        <v>2.9699365338507405E-2</v>
      </c>
      <c r="AK39" s="30">
        <f t="shared" si="10"/>
        <v>5.0895083685846935E-2</v>
      </c>
      <c r="AL39" s="27">
        <f t="shared" si="11"/>
        <v>12470384</v>
      </c>
      <c r="AM39" s="30">
        <v>-12</v>
      </c>
      <c r="AN39" s="31">
        <v>114250072</v>
      </c>
      <c r="AO39" s="31">
        <v>3570314.75</v>
      </c>
      <c r="AP39" s="31">
        <v>1022615.5625</v>
      </c>
      <c r="AQ39" s="32">
        <v>29428152</v>
      </c>
      <c r="AR39" s="32">
        <v>9895552</v>
      </c>
      <c r="AS39" s="32">
        <v>2574832</v>
      </c>
      <c r="AT39" s="32">
        <v>16957768</v>
      </c>
      <c r="AU39" s="33">
        <v>78.333234375000004</v>
      </c>
      <c r="AV39" s="33">
        <v>81.834003124999995</v>
      </c>
      <c r="AW39" s="33">
        <v>40.204587500000002</v>
      </c>
      <c r="AX39" s="33">
        <v>45.131065624999998</v>
      </c>
      <c r="AY39" s="33">
        <v>48.639074999999998</v>
      </c>
      <c r="AZ39" s="34">
        <v>19826.099999999999</v>
      </c>
      <c r="BA39" s="34">
        <v>0</v>
      </c>
      <c r="BB39" s="34">
        <v>212.096</v>
      </c>
      <c r="BC39" s="34">
        <v>0</v>
      </c>
      <c r="BE39" s="35">
        <f t="shared" si="12"/>
        <v>1</v>
      </c>
      <c r="BF39" s="36">
        <f t="shared" si="13"/>
        <v>0</v>
      </c>
      <c r="BG39" s="36">
        <f t="shared" si="14"/>
        <v>0</v>
      </c>
      <c r="BH39" s="36"/>
      <c r="BJ39" s="35"/>
      <c r="BK39" s="35"/>
      <c r="BL39" s="35"/>
      <c r="BM39" s="35"/>
      <c r="BN39" s="35"/>
      <c r="BP39" s="35"/>
      <c r="BQ39" s="35"/>
      <c r="BR39" s="35"/>
      <c r="BS39" s="35"/>
      <c r="BT39" s="35"/>
    </row>
    <row r="40" spans="1:72" x14ac:dyDescent="0.3">
      <c r="B40" s="47" t="s">
        <v>14</v>
      </c>
      <c r="J40" s="48">
        <f>AVERAGE(J5:J24)</f>
        <v>1.7574817808208059E-2</v>
      </c>
      <c r="K40" s="48">
        <f>AVERAGE(K5:K24)</f>
        <v>9.4895397248837762E-3</v>
      </c>
      <c r="L40" s="48">
        <f>AVERAGE(L5:L24)</f>
        <v>6.9778830479007058E-3</v>
      </c>
      <c r="M40" s="48">
        <f>AVERAGE(M5:M24)</f>
        <v>8.0852780833242863E-3</v>
      </c>
      <c r="AH40" s="48">
        <f>AVERAGE(AH5:AH24)</f>
        <v>1.7574817808208059E-2</v>
      </c>
      <c r="AI40" s="48">
        <f>AVERAGE(AI5:AI24)</f>
        <v>9.4895397248837762E-3</v>
      </c>
      <c r="AJ40" s="48">
        <f>AVERAGE(AJ5:AJ24)</f>
        <v>6.9778830479007058E-3</v>
      </c>
      <c r="AK40" s="48">
        <f>AVERAGE(AK5:AK24)</f>
        <v>8.0852780833242863E-3</v>
      </c>
      <c r="BE40" s="52">
        <f t="shared" si="12"/>
        <v>1</v>
      </c>
      <c r="BH40" s="55">
        <f>AVERAGE(BH5:BH24)</f>
        <v>0</v>
      </c>
      <c r="BJ40" s="52">
        <f>AVERAGE(BJ5:BJ24)</f>
        <v>0</v>
      </c>
      <c r="BK40" s="52">
        <f>AVERAGE(BK5:BK24)</f>
        <v>0</v>
      </c>
      <c r="BL40" s="52">
        <f>AVERAGE(BL5:BL24)</f>
        <v>0</v>
      </c>
      <c r="BM40" s="52">
        <f>AVERAGE(BM5:BM24)</f>
        <v>0</v>
      </c>
      <c r="BN40" s="52">
        <f>AVERAGE(BN5:BN24)</f>
        <v>0</v>
      </c>
      <c r="BP40" s="52">
        <f>AVERAGE(BP5:BP24)</f>
        <v>0</v>
      </c>
      <c r="BQ40" s="52">
        <f>AVERAGE(BQ5:BQ24)</f>
        <v>0</v>
      </c>
      <c r="BR40" s="52">
        <f>AVERAGE(BR5:BR24)</f>
        <v>0</v>
      </c>
      <c r="BS40" s="52">
        <f>AVERAGE(BS5:BS24)</f>
        <v>0</v>
      </c>
      <c r="BT40" s="52">
        <f>AVERAGE(BT5:BT24)</f>
        <v>0</v>
      </c>
    </row>
    <row r="41" spans="1:72" x14ac:dyDescent="0.3">
      <c r="B41" s="47" t="s">
        <v>15</v>
      </c>
      <c r="J41" s="48">
        <f>AVERAGE(J25:J29)</f>
        <v>3.818517493918426E-2</v>
      </c>
      <c r="K41" s="48">
        <f>AVERAGE(K25:K29)</f>
        <v>1.137586909492112E-2</v>
      </c>
      <c r="L41" s="48">
        <f>AVERAGE(L25:L29)</f>
        <v>8.7893616490667785E-3</v>
      </c>
      <c r="M41" s="48">
        <f>AVERAGE(M25:M29)</f>
        <v>2.6809305844263144E-2</v>
      </c>
      <c r="AH41" s="48">
        <f>AVERAGE(AH25:AH29)</f>
        <v>3.818517493918426E-2</v>
      </c>
      <c r="AI41" s="48">
        <f>AVERAGE(AI25:AI29)</f>
        <v>1.137586909492112E-2</v>
      </c>
      <c r="AJ41" s="48">
        <f>AVERAGE(AJ25:AJ29)</f>
        <v>8.7893616490667785E-3</v>
      </c>
      <c r="AK41" s="48">
        <f>AVERAGE(AK25:AK29)</f>
        <v>2.6809305844263144E-2</v>
      </c>
      <c r="BE41" s="52">
        <f t="shared" si="12"/>
        <v>1</v>
      </c>
      <c r="BH41" s="55">
        <f>AVERAGE(BH25:BH29)</f>
        <v>0</v>
      </c>
      <c r="BJ41" s="52">
        <f>AVERAGE(BJ25:BJ29)</f>
        <v>0</v>
      </c>
      <c r="BK41" s="52">
        <f>AVERAGE(BK25:BK29)</f>
        <v>0</v>
      </c>
      <c r="BL41" s="52">
        <f>AVERAGE(BL25:BL29)</f>
        <v>0</v>
      </c>
      <c r="BM41" s="52">
        <f>AVERAGE(BM25:BM29)</f>
        <v>0</v>
      </c>
      <c r="BN41" s="52">
        <f>AVERAGE(BN25:BN29)</f>
        <v>0</v>
      </c>
      <c r="BP41" s="52">
        <f>AVERAGE(BP25:BP29)</f>
        <v>0</v>
      </c>
      <c r="BQ41" s="52">
        <f>AVERAGE(BQ25:BQ29)</f>
        <v>0</v>
      </c>
      <c r="BR41" s="52">
        <f>AVERAGE(BR25:BR29)</f>
        <v>0</v>
      </c>
      <c r="BS41" s="52">
        <f>AVERAGE(BS25:BS29)</f>
        <v>0</v>
      </c>
      <c r="BT41" s="52">
        <f>AVERAGE(BT25:BT29)</f>
        <v>0</v>
      </c>
    </row>
    <row r="42" spans="1:72" x14ac:dyDescent="0.3">
      <c r="B42" s="47" t="s">
        <v>16</v>
      </c>
      <c r="J42" s="48">
        <f>AVERAGE(J30:J39)</f>
        <v>3.3864137051408713E-2</v>
      </c>
      <c r="K42" s="48">
        <f>AVERAGE(K30:K39)</f>
        <v>1.8101540439447027E-2</v>
      </c>
      <c r="L42" s="48">
        <f>AVERAGE(L30:L39)</f>
        <v>1.3974457075202751E-2</v>
      </c>
      <c r="M42" s="48">
        <f>AVERAGE(M30:M39)</f>
        <v>1.576259661196169E-2</v>
      </c>
      <c r="AH42" s="48">
        <f>AVERAGE(AH30:AH39)</f>
        <v>3.3864137051408713E-2</v>
      </c>
      <c r="AI42" s="48">
        <f>AVERAGE(AI30:AI39)</f>
        <v>1.8101540439447027E-2</v>
      </c>
      <c r="AJ42" s="48">
        <f>AVERAGE(AJ30:AJ39)</f>
        <v>1.3974457075202751E-2</v>
      </c>
      <c r="AK42" s="48">
        <f>AVERAGE(AK30:AK39)</f>
        <v>1.576259661196169E-2</v>
      </c>
      <c r="BE42" s="52">
        <f t="shared" si="12"/>
        <v>1</v>
      </c>
      <c r="BH42" s="55">
        <f>AVERAGE(BH30:BH39)</f>
        <v>0</v>
      </c>
      <c r="BJ42" s="52">
        <f>AVERAGE(BJ30:BJ39)</f>
        <v>0</v>
      </c>
      <c r="BK42" s="52">
        <f>AVERAGE(BK30:BK39)</f>
        <v>0</v>
      </c>
      <c r="BL42" s="52">
        <f>AVERAGE(BL30:BL39)</f>
        <v>0</v>
      </c>
      <c r="BM42" s="52">
        <f>AVERAGE(BM30:BM39)</f>
        <v>0</v>
      </c>
      <c r="BN42" s="52">
        <f>AVERAGE(BN30:BN39)</f>
        <v>0</v>
      </c>
      <c r="BP42" s="52">
        <f>AVERAGE(BP30:BP39)</f>
        <v>0</v>
      </c>
      <c r="BQ42" s="52">
        <f>AVERAGE(BQ30:BQ39)</f>
        <v>0</v>
      </c>
      <c r="BR42" s="52">
        <f>AVERAGE(BR30:BR39)</f>
        <v>0</v>
      </c>
      <c r="BS42" s="52">
        <f>AVERAGE(BS30:BS39)</f>
        <v>0</v>
      </c>
      <c r="BT42" s="52">
        <f>AVERAGE(BT30:BT39)</f>
        <v>0</v>
      </c>
    </row>
    <row r="43" spans="1:72" collapsed="1" x14ac:dyDescent="0.3">
      <c r="B43" s="47" t="s">
        <v>17</v>
      </c>
      <c r="J43" s="48">
        <f>AVERAGE(J5:J39)</f>
        <v>2.5173245753547707E-2</v>
      </c>
      <c r="K43" s="48">
        <f>AVERAGE(K5:K39)</f>
        <v>1.2219586981907183E-2</v>
      </c>
      <c r="L43" s="48">
        <f>AVERAGE(L5:L39)</f>
        <v>9.2356868558678713E-3</v>
      </c>
      <c r="M43" s="48">
        <f>AVERAGE(M5:M39)</f>
        <v>1.2953658771640524E-2</v>
      </c>
      <c r="AH43" s="48">
        <f>AVERAGE(AH5:AH39)</f>
        <v>2.5173245753547707E-2</v>
      </c>
      <c r="AI43" s="48">
        <f>AVERAGE(AI5:AI39)</f>
        <v>1.2219586981907183E-2</v>
      </c>
      <c r="AJ43" s="48">
        <f>AVERAGE(AJ5:AJ39)</f>
        <v>9.2356868558678713E-3</v>
      </c>
      <c r="AK43" s="48">
        <f>AVERAGE(AK5:AK39)</f>
        <v>1.2953658771640524E-2</v>
      </c>
      <c r="BE43" s="52">
        <f t="shared" si="12"/>
        <v>1</v>
      </c>
      <c r="BH43" s="55">
        <f>AVERAGE(BH5:BH39)</f>
        <v>0</v>
      </c>
      <c r="BJ43" s="52">
        <f>AVERAGE(BJ5:BJ39)</f>
        <v>0</v>
      </c>
      <c r="BK43" s="52">
        <f>AVERAGE(BK5:BK39)</f>
        <v>0</v>
      </c>
      <c r="BL43" s="52">
        <f>AVERAGE(BL5:BL39)</f>
        <v>0</v>
      </c>
      <c r="BM43" s="52">
        <f>AVERAGE(BM5:BM39)</f>
        <v>0</v>
      </c>
      <c r="BN43" s="52">
        <f>AVERAGE(BN5:BN39)</f>
        <v>0</v>
      </c>
      <c r="BP43" s="52">
        <f>AVERAGE(BP5:BP39)</f>
        <v>0</v>
      </c>
      <c r="BQ43" s="52">
        <f>AVERAGE(BQ5:BQ39)</f>
        <v>0</v>
      </c>
      <c r="BR43" s="52">
        <f>AVERAGE(BR5:BR39)</f>
        <v>0</v>
      </c>
      <c r="BS43" s="52">
        <f>AVERAGE(BS5:BS39)</f>
        <v>0</v>
      </c>
      <c r="BT43" s="52">
        <f>AVERAGE(BT5:BT39)</f>
        <v>0</v>
      </c>
    </row>
    <row r="44" spans="1:72" hidden="1" outlineLevel="2" x14ac:dyDescent="0.3">
      <c r="A44" s="47" t="s">
        <v>237</v>
      </c>
      <c r="B44" s="47" t="s">
        <v>238</v>
      </c>
      <c r="AB44" s="49">
        <f>SUM(AB5:AB24,AB25:AB29,AB30:AB39)</f>
        <v>321510.18</v>
      </c>
      <c r="AC44" s="49">
        <f>SUM(AC5:AC24,AC25:AC29,AC30:AC39)</f>
        <v>0</v>
      </c>
      <c r="AD44" s="49">
        <f>SUM(AD5:AD24,AD25:AD29,AD30:AD39)</f>
        <v>4156.2760000000007</v>
      </c>
      <c r="AE44" s="49">
        <f>SUM(AE5:AE24,AE25:AE29,AE30:AE39)</f>
        <v>0</v>
      </c>
      <c r="AZ44" s="49">
        <f>SUM(AZ5:AZ24,AZ25:AZ29,AZ30:AZ39)</f>
        <v>322732.14999999997</v>
      </c>
      <c r="BA44" s="49">
        <f>SUM(BA5:BA24,BA25:BA29,BA30:BA39)</f>
        <v>0</v>
      </c>
      <c r="BB44" s="49">
        <f>SUM(BB5:BB24,BB25:BB29,BB30:BB39)</f>
        <v>4295.5569999999998</v>
      </c>
      <c r="BC44" s="49">
        <f>SUM(BC5:BC24,BC25:BC29,BC30:BC39)</f>
        <v>0</v>
      </c>
    </row>
    <row r="45" spans="1:72" hidden="1" outlineLevel="2" x14ac:dyDescent="0.3">
      <c r="B45" s="47" t="s">
        <v>239</v>
      </c>
      <c r="AZ45" s="55">
        <f>AZ44/AB44</f>
        <v>1.0038007194671097</v>
      </c>
      <c r="BA45" s="55" t="e">
        <f>BA44/AC44</f>
        <v>#DIV/0!</v>
      </c>
      <c r="BB45" s="55">
        <f>BB44/AD44</f>
        <v>1.033511008412338</v>
      </c>
      <c r="BC45" s="55" t="e">
        <f>BC44/AE44</f>
        <v>#DIV/0!</v>
      </c>
    </row>
    <row r="46" spans="1:72" hidden="1" outlineLevel="2" x14ac:dyDescent="0.3">
      <c r="B46" s="47" t="s">
        <v>240</v>
      </c>
      <c r="AB46" s="49">
        <f>GEOMEAN(AB5:AB24,AB25:AB29,AB30:AB39)</f>
        <v>7790.8561517500202</v>
      </c>
      <c r="AC46" s="49" t="e">
        <f>GEOMEAN(AC5:AC24,AC25:AC29,AC30:AC39)</f>
        <v>#NUM!</v>
      </c>
      <c r="AD46" s="49">
        <f>GEOMEAN(AD5:AD24,AD25:AD29,AD30:AD39)</f>
        <v>100.95825284136174</v>
      </c>
      <c r="AE46" s="49" t="e">
        <f>GEOMEAN(AE5:AE24,AE25:AE29,AE30:AE39)</f>
        <v>#NUM!</v>
      </c>
      <c r="AZ46" s="49">
        <f>GEOMEAN(AZ5:AZ24,AZ25:AZ29,AZ30:AZ39)</f>
        <v>7816.1806781344212</v>
      </c>
      <c r="BA46" s="49" t="e">
        <f>GEOMEAN(BA5:BA24,BA25:BA29,BA30:BA39)</f>
        <v>#NUM!</v>
      </c>
      <c r="BB46" s="49">
        <f>GEOMEAN(BB5:BB24,BB25:BB29,BB30:BB39)</f>
        <v>103.02920750172608</v>
      </c>
      <c r="BC46" s="49" t="e">
        <f>GEOMEAN(BC5:BC24,BC25:BC29,BC30:BC39)</f>
        <v>#NUM!</v>
      </c>
    </row>
    <row r="47" spans="1:72" outlineLevel="2" collapsed="1" x14ac:dyDescent="0.3">
      <c r="B47" s="47" t="s">
        <v>241</v>
      </c>
      <c r="AZ47" s="55">
        <f>AZ46/AB46</f>
        <v>1.0032505447271944</v>
      </c>
      <c r="BA47" s="55" t="e">
        <f>BA46/AC46</f>
        <v>#NUM!</v>
      </c>
      <c r="BB47" s="55">
        <f>BB46/AD46</f>
        <v>1.0205129803862443</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e.faramarzi</cp:lastModifiedBy>
  <dcterms:created xsi:type="dcterms:W3CDTF">2019-04-23T13:57:55Z</dcterms:created>
  <dcterms:modified xsi:type="dcterms:W3CDTF">2021-05-22T22:26:10Z</dcterms:modified>
</cp:coreProperties>
</file>