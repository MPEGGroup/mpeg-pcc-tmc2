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1" defaultThemeVersion="124226"/>
  <mc:AlternateContent xmlns:mc="http://schemas.openxmlformats.org/markup-compatibility/2006">
    <mc:Choice Requires="x15">
      <x15ac:absPath xmlns:x15ac="http://schemas.microsoft.com/office/spreadsheetml/2010/11/ac" url="X:\pcc\gitint21\tm2v20_newcfg\test\"/>
    </mc:Choice>
  </mc:AlternateContent>
  <xr:revisionPtr revIDLastSave="0" documentId="13_ncr:1_{82CA24B8-D864-4704-81E4-EBAEE5A71F37}" xr6:coauthVersionLast="47" xr6:coauthVersionMax="47" xr10:uidLastSave="{00000000-0000-0000-0000-000000000000}"/>
  <bookViews>
    <workbookView xWindow="30150" yWindow="2115" windowWidth="24225" windowHeight="14760"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46" i="7" l="1"/>
  <c r="BB46" i="7"/>
  <c r="BA46" i="7"/>
  <c r="AZ46" i="7"/>
  <c r="AE46" i="7"/>
  <c r="AD46" i="7"/>
  <c r="AC46" i="7"/>
  <c r="BA47" i="7" s="1"/>
  <c r="AB46" i="7"/>
  <c r="BA45" i="7"/>
  <c r="BC44" i="7"/>
  <c r="BB44" i="7"/>
  <c r="BA44" i="7"/>
  <c r="AZ44" i="7"/>
  <c r="AE44" i="7"/>
  <c r="AD44" i="7"/>
  <c r="AC44" i="7"/>
  <c r="AB44" i="7"/>
  <c r="AZ45" i="7" s="1"/>
  <c r="AK41" i="7"/>
  <c r="BF39" i="7"/>
  <c r="AL39" i="7"/>
  <c r="BG39" i="7" s="1"/>
  <c r="AK39" i="7"/>
  <c r="AJ39" i="7"/>
  <c r="AI39" i="7"/>
  <c r="AH39" i="7"/>
  <c r="AG39" i="7"/>
  <c r="N39" i="7"/>
  <c r="K39" i="7" s="1"/>
  <c r="M39" i="7"/>
  <c r="L39" i="7"/>
  <c r="J39" i="7"/>
  <c r="I39" i="7"/>
  <c r="BF38" i="7"/>
  <c r="AL38" i="7"/>
  <c r="BG38" i="7" s="1"/>
  <c r="AK38" i="7"/>
  <c r="AJ38" i="7"/>
  <c r="AH38" i="7"/>
  <c r="AG38" i="7"/>
  <c r="N38" i="7"/>
  <c r="M38" i="7"/>
  <c r="L38" i="7"/>
  <c r="K38" i="7"/>
  <c r="J38" i="7"/>
  <c r="I38" i="7"/>
  <c r="BF37" i="7"/>
  <c r="AL37" i="7"/>
  <c r="AI37" i="7" s="1"/>
  <c r="AK37" i="7"/>
  <c r="AJ37" i="7"/>
  <c r="AH37" i="7"/>
  <c r="AG37" i="7"/>
  <c r="N37" i="7"/>
  <c r="M37" i="7"/>
  <c r="L37" i="7"/>
  <c r="K37" i="7"/>
  <c r="J37" i="7"/>
  <c r="I37" i="7"/>
  <c r="BF36" i="7"/>
  <c r="AL36" i="7"/>
  <c r="AI36" i="7" s="1"/>
  <c r="AK36" i="7"/>
  <c r="AJ36" i="7"/>
  <c r="AH36" i="7"/>
  <c r="AG36" i="7"/>
  <c r="N36" i="7"/>
  <c r="M36" i="7"/>
  <c r="L36" i="7"/>
  <c r="K36" i="7"/>
  <c r="J36" i="7"/>
  <c r="I36" i="7"/>
  <c r="BF35" i="7"/>
  <c r="AL35" i="7"/>
  <c r="AI35" i="7" s="1"/>
  <c r="AK35" i="7"/>
  <c r="AJ35" i="7"/>
  <c r="AH35" i="7"/>
  <c r="AG35" i="7"/>
  <c r="N35" i="7"/>
  <c r="K35" i="7" s="1"/>
  <c r="M35" i="7"/>
  <c r="L35" i="7"/>
  <c r="J35" i="7"/>
  <c r="I35" i="7"/>
  <c r="BF34" i="7"/>
  <c r="AL34" i="7"/>
  <c r="AI34" i="7" s="1"/>
  <c r="AK34" i="7"/>
  <c r="AJ34" i="7"/>
  <c r="AH34" i="7"/>
  <c r="AG34" i="7"/>
  <c r="N34" i="7"/>
  <c r="M34" i="7"/>
  <c r="L34" i="7"/>
  <c r="K34" i="7"/>
  <c r="J34" i="7"/>
  <c r="I34" i="7"/>
  <c r="BF33" i="7"/>
  <c r="AL33" i="7"/>
  <c r="AI33" i="7" s="1"/>
  <c r="AK33" i="7"/>
  <c r="AJ33" i="7"/>
  <c r="AH33" i="7"/>
  <c r="AG33" i="7"/>
  <c r="N33" i="7"/>
  <c r="M33" i="7"/>
  <c r="L33" i="7"/>
  <c r="K33" i="7"/>
  <c r="J33" i="7"/>
  <c r="I33" i="7"/>
  <c r="BF32" i="7"/>
  <c r="AL32" i="7"/>
  <c r="AI32" i="7" s="1"/>
  <c r="AK32" i="7"/>
  <c r="AJ32" i="7"/>
  <c r="AH32" i="7"/>
  <c r="AG32" i="7"/>
  <c r="N32" i="7"/>
  <c r="K32" i="7" s="1"/>
  <c r="M32" i="7"/>
  <c r="L32" i="7"/>
  <c r="J32" i="7"/>
  <c r="I32" i="7"/>
  <c r="BF31" i="7"/>
  <c r="AL31" i="7"/>
  <c r="AI31" i="7" s="1"/>
  <c r="AK31" i="7"/>
  <c r="AJ31" i="7"/>
  <c r="AH31" i="7"/>
  <c r="AG31" i="7"/>
  <c r="N31" i="7"/>
  <c r="K31" i="7" s="1"/>
  <c r="M31" i="7"/>
  <c r="L31" i="7"/>
  <c r="J31" i="7"/>
  <c r="I31" i="7"/>
  <c r="BF30" i="7"/>
  <c r="AL30" i="7"/>
  <c r="AI30" i="7" s="1"/>
  <c r="AK30" i="7"/>
  <c r="AJ30" i="7"/>
  <c r="AH30" i="7"/>
  <c r="AG30" i="7"/>
  <c r="N30" i="7"/>
  <c r="M30" i="7"/>
  <c r="M42" i="7" s="1"/>
  <c r="L30" i="7"/>
  <c r="K30" i="7"/>
  <c r="J30" i="7"/>
  <c r="I30" i="7"/>
  <c r="BF29" i="7"/>
  <c r="AL29" i="7"/>
  <c r="AI29" i="7" s="1"/>
  <c r="AK29" i="7"/>
  <c r="AJ29" i="7"/>
  <c r="AH29" i="7"/>
  <c r="AG29" i="7"/>
  <c r="N29" i="7"/>
  <c r="M29" i="7"/>
  <c r="L29" i="7"/>
  <c r="K29" i="7"/>
  <c r="J29" i="7"/>
  <c r="I29" i="7"/>
  <c r="BF28" i="7"/>
  <c r="AL28" i="7"/>
  <c r="AI28" i="7" s="1"/>
  <c r="AK28" i="7"/>
  <c r="AJ28" i="7"/>
  <c r="AH28" i="7"/>
  <c r="AG28" i="7"/>
  <c r="N28" i="7"/>
  <c r="K28" i="7" s="1"/>
  <c r="M28" i="7"/>
  <c r="L28" i="7"/>
  <c r="J28" i="7"/>
  <c r="I28" i="7"/>
  <c r="BF27" i="7"/>
  <c r="AL27" i="7"/>
  <c r="AI27" i="7" s="1"/>
  <c r="AK27" i="7"/>
  <c r="AJ27" i="7"/>
  <c r="AH27" i="7"/>
  <c r="AG27" i="7"/>
  <c r="N27" i="7"/>
  <c r="K27" i="7" s="1"/>
  <c r="M27" i="7"/>
  <c r="L27" i="7"/>
  <c r="J27" i="7"/>
  <c r="I27" i="7"/>
  <c r="BF26" i="7"/>
  <c r="AL26" i="7"/>
  <c r="AI26" i="7" s="1"/>
  <c r="AK26" i="7"/>
  <c r="AJ26" i="7"/>
  <c r="AH26" i="7"/>
  <c r="AG26" i="7"/>
  <c r="N26" i="7"/>
  <c r="K26" i="7" s="1"/>
  <c r="M26" i="7"/>
  <c r="L26" i="7"/>
  <c r="J26" i="7"/>
  <c r="I26" i="7"/>
  <c r="BF25" i="7"/>
  <c r="AL25" i="7"/>
  <c r="AK25" i="7"/>
  <c r="AJ25" i="7"/>
  <c r="AH25" i="7"/>
  <c r="AG25" i="7"/>
  <c r="N25" i="7"/>
  <c r="K25" i="7" s="1"/>
  <c r="M25" i="7"/>
  <c r="L25" i="7"/>
  <c r="J25" i="7"/>
  <c r="I25" i="7"/>
  <c r="BF24" i="7"/>
  <c r="AL24" i="7"/>
  <c r="AI24" i="7" s="1"/>
  <c r="BE24" i="7" s="1"/>
  <c r="AK24" i="7"/>
  <c r="AJ24" i="7"/>
  <c r="AH24" i="7"/>
  <c r="AG24" i="7"/>
  <c r="N24" i="7"/>
  <c r="M24" i="7"/>
  <c r="L24" i="7"/>
  <c r="K24" i="7"/>
  <c r="J24" i="7"/>
  <c r="I24" i="7"/>
  <c r="BF23" i="7"/>
  <c r="AL23" i="7"/>
  <c r="BG23" i="7" s="1"/>
  <c r="AK23" i="7"/>
  <c r="AJ23" i="7"/>
  <c r="AI23" i="7"/>
  <c r="BE23" i="7" s="1"/>
  <c r="AH23" i="7"/>
  <c r="AG23" i="7"/>
  <c r="N23" i="7"/>
  <c r="K23" i="7" s="1"/>
  <c r="M23" i="7"/>
  <c r="L23" i="7"/>
  <c r="J23" i="7"/>
  <c r="I23" i="7"/>
  <c r="BF22" i="7"/>
  <c r="AL22" i="7"/>
  <c r="BG22" i="7" s="1"/>
  <c r="AK22" i="7"/>
  <c r="AJ22" i="7"/>
  <c r="AI22" i="7"/>
  <c r="BE22" i="7" s="1"/>
  <c r="AH22" i="7"/>
  <c r="AG22" i="7"/>
  <c r="N22" i="7"/>
  <c r="M22" i="7"/>
  <c r="L22" i="7"/>
  <c r="K22" i="7"/>
  <c r="J22" i="7"/>
  <c r="I22" i="7"/>
  <c r="BF21" i="7"/>
  <c r="AL21" i="7"/>
  <c r="AI21" i="7" s="1"/>
  <c r="AK21" i="7"/>
  <c r="AJ21" i="7"/>
  <c r="AH21" i="7"/>
  <c r="AG21" i="7"/>
  <c r="N21" i="7"/>
  <c r="K21" i="7" s="1"/>
  <c r="M21" i="7"/>
  <c r="L21" i="7"/>
  <c r="J21" i="7"/>
  <c r="I21" i="7"/>
  <c r="BF20" i="7"/>
  <c r="AL20" i="7"/>
  <c r="AI20" i="7" s="1"/>
  <c r="AK20" i="7"/>
  <c r="AJ20" i="7"/>
  <c r="AH20" i="7"/>
  <c r="AG20" i="7"/>
  <c r="N20" i="7"/>
  <c r="M20" i="7"/>
  <c r="L20" i="7"/>
  <c r="K20" i="7"/>
  <c r="J20" i="7"/>
  <c r="I20" i="7"/>
  <c r="BF19" i="7"/>
  <c r="AL19" i="7"/>
  <c r="AK19" i="7"/>
  <c r="AJ19" i="7"/>
  <c r="AI19" i="7"/>
  <c r="AH19" i="7"/>
  <c r="AG19" i="7"/>
  <c r="N19" i="7"/>
  <c r="K19" i="7" s="1"/>
  <c r="M19" i="7"/>
  <c r="L19" i="7"/>
  <c r="J19" i="7"/>
  <c r="I19" i="7"/>
  <c r="BF18" i="7"/>
  <c r="AL18" i="7"/>
  <c r="BG18" i="7" s="1"/>
  <c r="AK18" i="7"/>
  <c r="AJ18" i="7"/>
  <c r="AH18" i="7"/>
  <c r="AG18" i="7"/>
  <c r="N18" i="7"/>
  <c r="M18" i="7"/>
  <c r="L18" i="7"/>
  <c r="K18" i="7"/>
  <c r="J18" i="7"/>
  <c r="I18" i="7"/>
  <c r="BF17" i="7"/>
  <c r="AL17" i="7"/>
  <c r="BG17" i="7" s="1"/>
  <c r="AK17" i="7"/>
  <c r="AJ17" i="7"/>
  <c r="AH17" i="7"/>
  <c r="AG17" i="7"/>
  <c r="N17" i="7"/>
  <c r="M17" i="7"/>
  <c r="L17" i="7"/>
  <c r="K17" i="7"/>
  <c r="J17" i="7"/>
  <c r="I17" i="7"/>
  <c r="BF16" i="7"/>
  <c r="AL16" i="7"/>
  <c r="AI16" i="7" s="1"/>
  <c r="AK16" i="7"/>
  <c r="AJ16" i="7"/>
  <c r="AH16" i="7"/>
  <c r="AG16" i="7"/>
  <c r="N16" i="7"/>
  <c r="K16" i="7" s="1"/>
  <c r="M16" i="7"/>
  <c r="L16" i="7"/>
  <c r="J16" i="7"/>
  <c r="I16" i="7"/>
  <c r="BF15" i="7"/>
  <c r="AL15" i="7"/>
  <c r="AI15" i="7" s="1"/>
  <c r="AK15" i="7"/>
  <c r="AJ15" i="7"/>
  <c r="AH15" i="7"/>
  <c r="AG15" i="7"/>
  <c r="N15" i="7"/>
  <c r="K15" i="7" s="1"/>
  <c r="M15" i="7"/>
  <c r="L15" i="7"/>
  <c r="J15" i="7"/>
  <c r="I15" i="7"/>
  <c r="BF14" i="7"/>
  <c r="AL14" i="7"/>
  <c r="AI14" i="7" s="1"/>
  <c r="AK14" i="7"/>
  <c r="AJ14" i="7"/>
  <c r="AH14" i="7"/>
  <c r="AG14" i="7"/>
  <c r="N14" i="7"/>
  <c r="M14" i="7"/>
  <c r="L14" i="7"/>
  <c r="K14" i="7"/>
  <c r="J14" i="7"/>
  <c r="I14" i="7"/>
  <c r="BF13" i="7"/>
  <c r="AL13" i="7"/>
  <c r="AI13" i="7" s="1"/>
  <c r="AK13" i="7"/>
  <c r="AJ13" i="7"/>
  <c r="AH13" i="7"/>
  <c r="AG13" i="7"/>
  <c r="N13" i="7"/>
  <c r="M13" i="7"/>
  <c r="L13" i="7"/>
  <c r="K13" i="7"/>
  <c r="J13" i="7"/>
  <c r="I13" i="7"/>
  <c r="BF12" i="7"/>
  <c r="AL12" i="7"/>
  <c r="AK12" i="7"/>
  <c r="AJ12" i="7"/>
  <c r="AI12" i="7"/>
  <c r="AH12" i="7"/>
  <c r="AG12" i="7"/>
  <c r="N12" i="7"/>
  <c r="BG12" i="7" s="1"/>
  <c r="M12" i="7"/>
  <c r="L12" i="7"/>
  <c r="K12" i="7"/>
  <c r="J12" i="7"/>
  <c r="I12" i="7"/>
  <c r="BF11" i="7"/>
  <c r="AL11" i="7"/>
  <c r="AI11" i="7" s="1"/>
  <c r="AK11" i="7"/>
  <c r="AJ11" i="7"/>
  <c r="AH11" i="7"/>
  <c r="AG11" i="7"/>
  <c r="N11" i="7"/>
  <c r="K11" i="7" s="1"/>
  <c r="M11" i="7"/>
  <c r="L11" i="7"/>
  <c r="J11" i="7"/>
  <c r="I11" i="7"/>
  <c r="BF10" i="7"/>
  <c r="AL10" i="7"/>
  <c r="AI10" i="7" s="1"/>
  <c r="AK10" i="7"/>
  <c r="AJ10" i="7"/>
  <c r="AH10" i="7"/>
  <c r="AG10" i="7"/>
  <c r="N10" i="7"/>
  <c r="M10" i="7"/>
  <c r="L10" i="7"/>
  <c r="K10" i="7"/>
  <c r="J10" i="7"/>
  <c r="I10" i="7"/>
  <c r="BF9" i="7"/>
  <c r="AL9" i="7"/>
  <c r="AI9" i="7" s="1"/>
  <c r="AK9" i="7"/>
  <c r="AJ9" i="7"/>
  <c r="AH9" i="7"/>
  <c r="AG9" i="7"/>
  <c r="N9" i="7"/>
  <c r="BG9" i="7" s="1"/>
  <c r="M9" i="7"/>
  <c r="L9" i="7"/>
  <c r="K9" i="7"/>
  <c r="J9" i="7"/>
  <c r="I9" i="7"/>
  <c r="BF8" i="7"/>
  <c r="AL8" i="7"/>
  <c r="AI8" i="7" s="1"/>
  <c r="AK8" i="7"/>
  <c r="AJ8" i="7"/>
  <c r="AH8" i="7"/>
  <c r="AG8" i="7"/>
  <c r="N8" i="7"/>
  <c r="K8" i="7" s="1"/>
  <c r="M8" i="7"/>
  <c r="L8" i="7"/>
  <c r="J8" i="7"/>
  <c r="I8" i="7"/>
  <c r="BF7" i="7"/>
  <c r="AL7" i="7"/>
  <c r="AI7" i="7" s="1"/>
  <c r="AK7" i="7"/>
  <c r="AJ7" i="7"/>
  <c r="AH7" i="7"/>
  <c r="AG7" i="7"/>
  <c r="N7" i="7"/>
  <c r="K7" i="7" s="1"/>
  <c r="M7" i="7"/>
  <c r="L7" i="7"/>
  <c r="J7" i="7"/>
  <c r="I7" i="7"/>
  <c r="BF6" i="7"/>
  <c r="AL6" i="7"/>
  <c r="AK6" i="7"/>
  <c r="AJ6" i="7"/>
  <c r="AH6" i="7"/>
  <c r="AG6" i="7"/>
  <c r="N6" i="7"/>
  <c r="K6" i="7" s="1"/>
  <c r="M6" i="7"/>
  <c r="L6" i="7"/>
  <c r="J6" i="7"/>
  <c r="I6" i="7"/>
  <c r="BF5" i="7"/>
  <c r="AL5" i="7"/>
  <c r="AK5" i="7"/>
  <c r="AJ5" i="7"/>
  <c r="AH5" i="7"/>
  <c r="AG5" i="7"/>
  <c r="N5" i="7"/>
  <c r="K5" i="7" s="1"/>
  <c r="M5" i="7"/>
  <c r="L5" i="7"/>
  <c r="J5" i="7"/>
  <c r="I5" i="7"/>
  <c r="AG1" i="7"/>
  <c r="I1" i="7"/>
  <c r="AZ18" i="6"/>
  <c r="AZ19" i="6" s="1"/>
  <c r="AY18" i="6"/>
  <c r="AY19" i="6" s="1"/>
  <c r="AX18" i="6"/>
  <c r="AW18" i="6"/>
  <c r="AC18" i="6"/>
  <c r="AB18" i="6"/>
  <c r="AA18" i="6"/>
  <c r="AX19" i="6" s="1"/>
  <c r="Z18" i="6"/>
  <c r="AZ16" i="6"/>
  <c r="AY16" i="6"/>
  <c r="AX16" i="6"/>
  <c r="AW16" i="6"/>
  <c r="AW17" i="6" s="1"/>
  <c r="AC16" i="6"/>
  <c r="AB16" i="6"/>
  <c r="AA16" i="6"/>
  <c r="AX17" i="6" s="1"/>
  <c r="Z16" i="6"/>
  <c r="AI14" i="6"/>
  <c r="AG14" i="6"/>
  <c r="AJ13" i="6"/>
  <c r="AI13" i="6"/>
  <c r="BB11" i="6"/>
  <c r="AL11" i="6"/>
  <c r="AK11" i="6"/>
  <c r="AJ11" i="6"/>
  <c r="AI11" i="6"/>
  <c r="AH11" i="6"/>
  <c r="AG11" i="6"/>
  <c r="AF11" i="6"/>
  <c r="AE11" i="6"/>
  <c r="O11" i="6"/>
  <c r="N11" i="6"/>
  <c r="K11" i="6" s="1"/>
  <c r="BC11" i="6" s="1"/>
  <c r="M11" i="6"/>
  <c r="M14" i="6" s="1"/>
  <c r="L11" i="6"/>
  <c r="L14" i="6" s="1"/>
  <c r="J11" i="6"/>
  <c r="I11" i="6"/>
  <c r="H11" i="6"/>
  <c r="AL10" i="6"/>
  <c r="AK10" i="6"/>
  <c r="AJ10" i="6"/>
  <c r="AJ14" i="6" s="1"/>
  <c r="AI10" i="6"/>
  <c r="AH10" i="6"/>
  <c r="BC10" i="6" s="1"/>
  <c r="AG10" i="6"/>
  <c r="AF10" i="6"/>
  <c r="AE10" i="6"/>
  <c r="O10" i="6"/>
  <c r="N10" i="6"/>
  <c r="M10" i="6"/>
  <c r="L10" i="6"/>
  <c r="BD10" i="6" s="1"/>
  <c r="K10" i="6"/>
  <c r="J10" i="6"/>
  <c r="J14" i="6" s="1"/>
  <c r="I10" i="6"/>
  <c r="H10" i="6"/>
  <c r="BG9" i="6" a="1"/>
  <c r="BG9" i="6" s="1"/>
  <c r="BG13" i="6" s="1"/>
  <c r="BB9" i="6"/>
  <c r="AL9" i="6"/>
  <c r="AK9" i="6"/>
  <c r="AJ9" i="6"/>
  <c r="AI9" i="6"/>
  <c r="AG9" i="6"/>
  <c r="AG13" i="6" s="1"/>
  <c r="BB13" i="6" s="1"/>
  <c r="AF9" i="6"/>
  <c r="AE9" i="6"/>
  <c r="O9" i="6"/>
  <c r="N9" i="6"/>
  <c r="M9" i="6"/>
  <c r="M13" i="6" s="1"/>
  <c r="L9" i="6"/>
  <c r="L13" i="6" s="1"/>
  <c r="K9" i="6"/>
  <c r="K13" i="6" s="1"/>
  <c r="J9" i="6"/>
  <c r="J13" i="6" s="1"/>
  <c r="I9" i="6"/>
  <c r="H9" i="6"/>
  <c r="AL8" i="6"/>
  <c r="AK8" i="6"/>
  <c r="AJ8" i="6"/>
  <c r="BE8" i="6" s="1"/>
  <c r="AI8" i="6"/>
  <c r="BD8" i="6" s="1"/>
  <c r="AG8" i="6"/>
  <c r="AF8" i="6"/>
  <c r="AE8" i="6"/>
  <c r="O8" i="6"/>
  <c r="N8" i="6"/>
  <c r="M8" i="6"/>
  <c r="L8" i="6"/>
  <c r="K8" i="6"/>
  <c r="J8" i="6"/>
  <c r="BB8" i="6" s="1"/>
  <c r="I8" i="6"/>
  <c r="H8" i="6"/>
  <c r="BF7" i="6"/>
  <c r="AL7" i="6"/>
  <c r="AK7" i="6"/>
  <c r="BG7" i="6" s="1" a="1"/>
  <c r="BG7" i="6" s="1"/>
  <c r="AJ7" i="6"/>
  <c r="AI7" i="6"/>
  <c r="BD7" i="6" s="1"/>
  <c r="AH7" i="6"/>
  <c r="BC7" i="6" s="1"/>
  <c r="AG7" i="6"/>
  <c r="AF7" i="6"/>
  <c r="AE7" i="6"/>
  <c r="O7" i="6"/>
  <c r="N7" i="6"/>
  <c r="M7" i="6"/>
  <c r="M15" i="6" s="1"/>
  <c r="L7" i="6"/>
  <c r="K7" i="6"/>
  <c r="J7" i="6"/>
  <c r="I7" i="6"/>
  <c r="H7" i="6"/>
  <c r="AL6" i="6"/>
  <c r="AK6" i="6"/>
  <c r="BF6" i="6" s="1"/>
  <c r="AJ6" i="6"/>
  <c r="BE6" i="6" s="1"/>
  <c r="AI6" i="6"/>
  <c r="BD6" i="6" s="1"/>
  <c r="AG6" i="6"/>
  <c r="BB6" i="6" s="1"/>
  <c r="AF6" i="6"/>
  <c r="AE6" i="6"/>
  <c r="O6" i="6"/>
  <c r="N6" i="6"/>
  <c r="K6" i="6" s="1"/>
  <c r="M6" i="6"/>
  <c r="L6" i="6"/>
  <c r="L15" i="6" s="1"/>
  <c r="J6" i="6"/>
  <c r="I6" i="6"/>
  <c r="H6" i="6"/>
  <c r="BD5" i="6"/>
  <c r="AL5" i="6"/>
  <c r="AK5" i="6"/>
  <c r="AJ5" i="6"/>
  <c r="AJ12" i="6" s="1"/>
  <c r="AI5" i="6"/>
  <c r="AH5" i="6"/>
  <c r="AG5" i="6"/>
  <c r="BB5" i="6" s="1"/>
  <c r="AF5" i="6"/>
  <c r="AE5" i="6"/>
  <c r="O5" i="6"/>
  <c r="N5" i="6"/>
  <c r="BF5" i="6" s="1"/>
  <c r="M5" i="6"/>
  <c r="L5" i="6"/>
  <c r="L12" i="6" s="1"/>
  <c r="J5" i="6"/>
  <c r="I5" i="6"/>
  <c r="H5" i="6"/>
  <c r="AE1" i="6"/>
  <c r="H1" i="6"/>
  <c r="AW19" i="5"/>
  <c r="AZ18" i="5"/>
  <c r="AY18" i="5"/>
  <c r="AX18" i="5"/>
  <c r="AW18" i="5"/>
  <c r="AC18" i="5"/>
  <c r="AZ19" i="5" s="1"/>
  <c r="AB18" i="5"/>
  <c r="AY19" i="5" s="1"/>
  <c r="AA18" i="5"/>
  <c r="Z18" i="5"/>
  <c r="AW17" i="5"/>
  <c r="AZ16" i="5"/>
  <c r="AZ17" i="5" s="1"/>
  <c r="AY16" i="5"/>
  <c r="AX16" i="5"/>
  <c r="AW16" i="5"/>
  <c r="AC16" i="5"/>
  <c r="AB16" i="5"/>
  <c r="AY17" i="5" s="1"/>
  <c r="AA16" i="5"/>
  <c r="Z16" i="5"/>
  <c r="AJ14" i="5"/>
  <c r="AH13" i="5"/>
  <c r="AG13" i="5"/>
  <c r="M13" i="5"/>
  <c r="BG11" i="5" a="1"/>
  <c r="BG11" i="5" s="1"/>
  <c r="BD11" i="5"/>
  <c r="AL11" i="5"/>
  <c r="AK11" i="5"/>
  <c r="BF11" i="5" s="1"/>
  <c r="AJ11" i="5"/>
  <c r="BE11" i="5" s="1"/>
  <c r="AI11" i="5"/>
  <c r="AH11" i="5"/>
  <c r="BC11" i="5" s="1"/>
  <c r="AG11" i="5"/>
  <c r="BB11" i="5" s="1"/>
  <c r="AF11" i="5"/>
  <c r="AE11" i="5"/>
  <c r="O11" i="5"/>
  <c r="N11" i="5"/>
  <c r="K11" i="5" s="1"/>
  <c r="K14" i="5" s="1"/>
  <c r="M11" i="5"/>
  <c r="L11" i="5"/>
  <c r="J11" i="5"/>
  <c r="I11" i="5"/>
  <c r="H11" i="5"/>
  <c r="BG10" i="5" a="1"/>
  <c r="BG10" i="5" s="1"/>
  <c r="BG14" i="5" s="1"/>
  <c r="AL10" i="5"/>
  <c r="AK10" i="5"/>
  <c r="AJ10" i="5"/>
  <c r="AI10" i="5"/>
  <c r="AI14" i="5" s="1"/>
  <c r="AG10" i="5"/>
  <c r="BB10" i="5" s="1"/>
  <c r="AF10" i="5"/>
  <c r="AE10" i="5"/>
  <c r="O10" i="5"/>
  <c r="N10" i="5"/>
  <c r="M10" i="5"/>
  <c r="BE10" i="5" s="1"/>
  <c r="L10" i="5"/>
  <c r="L14" i="5" s="1"/>
  <c r="BD14" i="5" s="1"/>
  <c r="K10" i="5"/>
  <c r="J10" i="5"/>
  <c r="J14" i="5" s="1"/>
  <c r="I10" i="5"/>
  <c r="H10" i="5"/>
  <c r="AL9" i="5"/>
  <c r="AK9" i="5"/>
  <c r="BG9" i="5" s="1" a="1"/>
  <c r="BG9" i="5" s="1"/>
  <c r="BG13" i="5" s="1"/>
  <c r="AJ9" i="5"/>
  <c r="AI9" i="5"/>
  <c r="AI13" i="5" s="1"/>
  <c r="BD13" i="5" s="1"/>
  <c r="AH9" i="5"/>
  <c r="AG9" i="5"/>
  <c r="AF9" i="5"/>
  <c r="AE9" i="5"/>
  <c r="O9" i="5"/>
  <c r="N9" i="5"/>
  <c r="BF9" i="5" s="1"/>
  <c r="M9" i="5"/>
  <c r="L9" i="5"/>
  <c r="L13" i="5" s="1"/>
  <c r="K9" i="5"/>
  <c r="K13" i="5" s="1"/>
  <c r="J9" i="5"/>
  <c r="I9" i="5"/>
  <c r="H9" i="5"/>
  <c r="BF8" i="5"/>
  <c r="AL8" i="5"/>
  <c r="AK8" i="5"/>
  <c r="BG8" i="5" s="1" a="1"/>
  <c r="BG8" i="5" s="1"/>
  <c r="AJ8" i="5"/>
  <c r="BE8" i="5" s="1"/>
  <c r="AI8" i="5"/>
  <c r="BD8" i="5" s="1"/>
  <c r="AH8" i="5"/>
  <c r="BC8" i="5" s="1"/>
  <c r="AG8" i="5"/>
  <c r="AF8" i="5"/>
  <c r="AE8" i="5"/>
  <c r="O8" i="5"/>
  <c r="N8" i="5"/>
  <c r="M8" i="5"/>
  <c r="L8" i="5"/>
  <c r="K8" i="5"/>
  <c r="J8" i="5"/>
  <c r="I8" i="5"/>
  <c r="H8" i="5"/>
  <c r="BG7" i="5" a="1"/>
  <c r="BG7" i="5"/>
  <c r="BE7" i="5"/>
  <c r="BD7" i="5"/>
  <c r="AL7" i="5"/>
  <c r="AK7" i="5"/>
  <c r="AJ7" i="5"/>
  <c r="AI7" i="5"/>
  <c r="AH7" i="5"/>
  <c r="AG7" i="5"/>
  <c r="BB7" i="5" s="1"/>
  <c r="AF7" i="5"/>
  <c r="AE7" i="5"/>
  <c r="O7" i="5"/>
  <c r="N7" i="5"/>
  <c r="K7" i="5" s="1"/>
  <c r="M7" i="5"/>
  <c r="L7" i="5"/>
  <c r="J7" i="5"/>
  <c r="I7" i="5"/>
  <c r="H7" i="5"/>
  <c r="BD6" i="5"/>
  <c r="AL6" i="5"/>
  <c r="AK6" i="5"/>
  <c r="AJ6" i="5"/>
  <c r="BE6" i="5" s="1"/>
  <c r="AI6" i="5"/>
  <c r="AH6" i="5"/>
  <c r="AG6" i="5"/>
  <c r="BB6" i="5" s="1"/>
  <c r="AF6" i="5"/>
  <c r="AE6" i="5"/>
  <c r="O6" i="5"/>
  <c r="N6" i="5"/>
  <c r="BG6" i="5" s="1" a="1"/>
  <c r="BG6" i="5" s="1"/>
  <c r="M6" i="5"/>
  <c r="M15" i="5" s="1"/>
  <c r="L6" i="5"/>
  <c r="K6" i="5"/>
  <c r="J6" i="5"/>
  <c r="I6" i="5"/>
  <c r="H6" i="5"/>
  <c r="BE5" i="5"/>
  <c r="AL5" i="5"/>
  <c r="AK5" i="5"/>
  <c r="BG5" i="5" s="1" a="1"/>
  <c r="BG5" i="5" s="1"/>
  <c r="AJ5" i="5"/>
  <c r="AJ15" i="5" s="1"/>
  <c r="AI5" i="5"/>
  <c r="AI15" i="5" s="1"/>
  <c r="AH5" i="5"/>
  <c r="BC5" i="5" s="1"/>
  <c r="AG5" i="5"/>
  <c r="AF5" i="5"/>
  <c r="AE5" i="5"/>
  <c r="O5" i="5"/>
  <c r="N5" i="5"/>
  <c r="M5" i="5"/>
  <c r="M12" i="5" s="1"/>
  <c r="L5" i="5"/>
  <c r="L12" i="5" s="1"/>
  <c r="K5" i="5"/>
  <c r="J5" i="5"/>
  <c r="I5" i="5"/>
  <c r="H5" i="5"/>
  <c r="AE1" i="5"/>
  <c r="H1" i="5"/>
  <c r="BC46" i="3"/>
  <c r="BB46" i="3"/>
  <c r="BA46" i="3"/>
  <c r="BA47" i="3" s="1"/>
  <c r="AZ46" i="3"/>
  <c r="AE46" i="3"/>
  <c r="AD46" i="3"/>
  <c r="AC46" i="3"/>
  <c r="AB46" i="3"/>
  <c r="BC44" i="3"/>
  <c r="BB44" i="3"/>
  <c r="BA44" i="3"/>
  <c r="AZ44" i="3"/>
  <c r="AE44" i="3"/>
  <c r="BC45" i="3" s="1"/>
  <c r="AD44" i="3"/>
  <c r="AC44" i="3"/>
  <c r="BA45" i="3" s="1"/>
  <c r="AB44" i="3"/>
  <c r="AJ41" i="3"/>
  <c r="BF39" i="3"/>
  <c r="AL39" i="3"/>
  <c r="AK39" i="3"/>
  <c r="AJ39" i="3"/>
  <c r="AI39" i="3"/>
  <c r="AH39" i="3"/>
  <c r="AG39" i="3"/>
  <c r="N39" i="3"/>
  <c r="BG39" i="3" s="1"/>
  <c r="M39" i="3"/>
  <c r="L39" i="3"/>
  <c r="J39" i="3"/>
  <c r="I39" i="3"/>
  <c r="BF38" i="3"/>
  <c r="AL38" i="3"/>
  <c r="AK38" i="3"/>
  <c r="AJ38" i="3"/>
  <c r="AI38" i="3"/>
  <c r="AH38" i="3"/>
  <c r="AG38" i="3"/>
  <c r="N38" i="3"/>
  <c r="K38" i="3" s="1"/>
  <c r="M38" i="3"/>
  <c r="L38" i="3"/>
  <c r="J38" i="3"/>
  <c r="I38" i="3"/>
  <c r="BF37" i="3"/>
  <c r="AL37" i="3"/>
  <c r="AK37" i="3"/>
  <c r="AJ37" i="3"/>
  <c r="AH37" i="3"/>
  <c r="AG37" i="3"/>
  <c r="N37" i="3"/>
  <c r="M37" i="3"/>
  <c r="L37" i="3"/>
  <c r="K37" i="3"/>
  <c r="J37" i="3"/>
  <c r="I37" i="3"/>
  <c r="BF36" i="3"/>
  <c r="AL36" i="3"/>
  <c r="AI36" i="3" s="1"/>
  <c r="AK36" i="3"/>
  <c r="AJ36" i="3"/>
  <c r="AH36" i="3"/>
  <c r="AG36" i="3"/>
  <c r="N36" i="3"/>
  <c r="BG36" i="3" s="1"/>
  <c r="M36" i="3"/>
  <c r="L36" i="3"/>
  <c r="K36" i="3"/>
  <c r="J36" i="3"/>
  <c r="I36" i="3"/>
  <c r="BF35" i="3"/>
  <c r="AL35" i="3"/>
  <c r="BH35" i="3" s="1" a="1"/>
  <c r="AK35" i="3"/>
  <c r="AJ35" i="3"/>
  <c r="AI35" i="3"/>
  <c r="AH35" i="3"/>
  <c r="AG35" i="3"/>
  <c r="N35" i="3"/>
  <c r="M35" i="3"/>
  <c r="L35" i="3"/>
  <c r="J35" i="3"/>
  <c r="I35" i="3"/>
  <c r="BF34" i="3"/>
  <c r="AL34" i="3"/>
  <c r="AK34" i="3"/>
  <c r="AJ34" i="3"/>
  <c r="AI34" i="3"/>
  <c r="AH34" i="3"/>
  <c r="AG34" i="3"/>
  <c r="N34" i="3"/>
  <c r="K34" i="3" s="1"/>
  <c r="M34" i="3"/>
  <c r="L34" i="3"/>
  <c r="J34" i="3"/>
  <c r="I34" i="3"/>
  <c r="BF33" i="3"/>
  <c r="AL33" i="3"/>
  <c r="AK33" i="3"/>
  <c r="AJ33" i="3"/>
  <c r="AH33" i="3"/>
  <c r="AG33" i="3"/>
  <c r="N33" i="3"/>
  <c r="M33" i="3"/>
  <c r="L33" i="3"/>
  <c r="K33" i="3"/>
  <c r="J33" i="3"/>
  <c r="I33" i="3"/>
  <c r="BF32" i="3"/>
  <c r="AL32" i="3"/>
  <c r="AI32" i="3" s="1"/>
  <c r="AK32" i="3"/>
  <c r="AJ32" i="3"/>
  <c r="AH32" i="3"/>
  <c r="AG32" i="3"/>
  <c r="N32" i="3"/>
  <c r="K32" i="3" s="1"/>
  <c r="M32" i="3"/>
  <c r="L32" i="3"/>
  <c r="L42" i="3" s="1"/>
  <c r="J32" i="3"/>
  <c r="I32" i="3"/>
  <c r="BF31" i="3"/>
  <c r="AL31" i="3"/>
  <c r="AK31" i="3"/>
  <c r="AJ31" i="3"/>
  <c r="AI31" i="3"/>
  <c r="AH31" i="3"/>
  <c r="AG31" i="3"/>
  <c r="N31" i="3"/>
  <c r="BG31" i="3" s="1"/>
  <c r="M31" i="3"/>
  <c r="L31" i="3"/>
  <c r="J31" i="3"/>
  <c r="I31" i="3"/>
  <c r="BF30" i="3"/>
  <c r="AL30" i="3"/>
  <c r="BH30" i="3" s="1" a="1"/>
  <c r="AK30" i="3"/>
  <c r="AJ30" i="3"/>
  <c r="AJ42" i="3" s="1"/>
  <c r="AI30" i="3"/>
  <c r="AH30" i="3"/>
  <c r="AG30" i="3"/>
  <c r="N30" i="3"/>
  <c r="M30" i="3"/>
  <c r="L30" i="3"/>
  <c r="J30" i="3"/>
  <c r="I30" i="3"/>
  <c r="BF29" i="3"/>
  <c r="AL29" i="3"/>
  <c r="AK29" i="3"/>
  <c r="AJ29" i="3"/>
  <c r="AH29" i="3"/>
  <c r="AG29" i="3"/>
  <c r="N29" i="3"/>
  <c r="K29" i="3" s="1"/>
  <c r="M29" i="3"/>
  <c r="L29" i="3"/>
  <c r="J29" i="3"/>
  <c r="I29" i="3"/>
  <c r="BF28" i="3"/>
  <c r="AL28" i="3"/>
  <c r="AI28" i="3" s="1"/>
  <c r="AK28" i="3"/>
  <c r="AJ28" i="3"/>
  <c r="AH28" i="3"/>
  <c r="AG28" i="3"/>
  <c r="N28" i="3"/>
  <c r="K28" i="3" s="1"/>
  <c r="M28" i="3"/>
  <c r="L28" i="3"/>
  <c r="J28" i="3"/>
  <c r="I28" i="3"/>
  <c r="BF27" i="3"/>
  <c r="AL27" i="3"/>
  <c r="AI27" i="3" s="1"/>
  <c r="AK27" i="3"/>
  <c r="AJ27" i="3"/>
  <c r="AH27" i="3"/>
  <c r="AG27" i="3"/>
  <c r="N27" i="3"/>
  <c r="M27" i="3"/>
  <c r="L27" i="3"/>
  <c r="J27" i="3"/>
  <c r="I27" i="3"/>
  <c r="BF26" i="3"/>
  <c r="AL26" i="3"/>
  <c r="AI26" i="3" s="1"/>
  <c r="AK26" i="3"/>
  <c r="AJ26" i="3"/>
  <c r="AH26" i="3"/>
  <c r="AG26" i="3"/>
  <c r="N26" i="3"/>
  <c r="K26" i="3" s="1"/>
  <c r="M26" i="3"/>
  <c r="L26" i="3"/>
  <c r="J26" i="3"/>
  <c r="I26" i="3"/>
  <c r="BF25" i="3"/>
  <c r="AL25" i="3"/>
  <c r="AK25" i="3"/>
  <c r="AJ25" i="3"/>
  <c r="AH25" i="3"/>
  <c r="AG25" i="3"/>
  <c r="N25" i="3"/>
  <c r="K25" i="3" s="1"/>
  <c r="M25" i="3"/>
  <c r="L25" i="3"/>
  <c r="J25" i="3"/>
  <c r="J41" i="3" s="1"/>
  <c r="I25" i="3"/>
  <c r="BF24" i="3"/>
  <c r="AL24" i="3"/>
  <c r="AI24" i="3" s="1"/>
  <c r="AK24" i="3"/>
  <c r="AJ24" i="3"/>
  <c r="AH24" i="3"/>
  <c r="AG24" i="3"/>
  <c r="N24" i="3"/>
  <c r="K24" i="3" s="1"/>
  <c r="M24" i="3"/>
  <c r="L24" i="3"/>
  <c r="J24" i="3"/>
  <c r="I24" i="3"/>
  <c r="BF23" i="3"/>
  <c r="AL23" i="3"/>
  <c r="AI23" i="3" s="1"/>
  <c r="AK23" i="3"/>
  <c r="AJ23" i="3"/>
  <c r="AH23" i="3"/>
  <c r="AG23" i="3"/>
  <c r="N23" i="3"/>
  <c r="M23" i="3"/>
  <c r="L23" i="3"/>
  <c r="J23" i="3"/>
  <c r="I23" i="3"/>
  <c r="BF22" i="3"/>
  <c r="AL22" i="3"/>
  <c r="AI22" i="3" s="1"/>
  <c r="BE22" i="3" s="1"/>
  <c r="AK22" i="3"/>
  <c r="AJ22" i="3"/>
  <c r="AH22" i="3"/>
  <c r="AG22" i="3"/>
  <c r="N22" i="3"/>
  <c r="K22" i="3" s="1"/>
  <c r="M22" i="3"/>
  <c r="L22" i="3"/>
  <c r="J22" i="3"/>
  <c r="I22" i="3"/>
  <c r="BF21" i="3"/>
  <c r="AL21" i="3"/>
  <c r="AK21" i="3"/>
  <c r="AJ21" i="3"/>
  <c r="AH21" i="3"/>
  <c r="AG21" i="3"/>
  <c r="N21" i="3"/>
  <c r="K21" i="3" s="1"/>
  <c r="M21" i="3"/>
  <c r="L21" i="3"/>
  <c r="J21" i="3"/>
  <c r="I21" i="3"/>
  <c r="BF20" i="3"/>
  <c r="AL20" i="3"/>
  <c r="AI20" i="3" s="1"/>
  <c r="AK20" i="3"/>
  <c r="AJ20" i="3"/>
  <c r="AH20" i="3"/>
  <c r="AG20" i="3"/>
  <c r="N20" i="3"/>
  <c r="K20" i="3" s="1"/>
  <c r="M20" i="3"/>
  <c r="L20" i="3"/>
  <c r="J20" i="3"/>
  <c r="I20" i="3"/>
  <c r="BF19" i="3"/>
  <c r="AL19" i="3"/>
  <c r="AI19" i="3" s="1"/>
  <c r="AK19" i="3"/>
  <c r="AJ19" i="3"/>
  <c r="AH19" i="3"/>
  <c r="AG19" i="3"/>
  <c r="N19" i="3"/>
  <c r="M19" i="3"/>
  <c r="L19" i="3"/>
  <c r="J19" i="3"/>
  <c r="I19" i="3"/>
  <c r="BF18" i="3"/>
  <c r="AL18" i="3"/>
  <c r="AI18" i="3" s="1"/>
  <c r="AK18" i="3"/>
  <c r="AJ18" i="3"/>
  <c r="AH18" i="3"/>
  <c r="AG18" i="3"/>
  <c r="N18" i="3"/>
  <c r="K18" i="3" s="1"/>
  <c r="M18" i="3"/>
  <c r="L18" i="3"/>
  <c r="J18" i="3"/>
  <c r="I18" i="3"/>
  <c r="BF17" i="3"/>
  <c r="AL17" i="3"/>
  <c r="AK17" i="3"/>
  <c r="AJ17" i="3"/>
  <c r="AH17" i="3"/>
  <c r="AG17" i="3"/>
  <c r="N17" i="3"/>
  <c r="K17" i="3" s="1"/>
  <c r="M17" i="3"/>
  <c r="L17" i="3"/>
  <c r="J17" i="3"/>
  <c r="I17" i="3"/>
  <c r="BF16" i="3"/>
  <c r="AL16" i="3"/>
  <c r="AI16" i="3" s="1"/>
  <c r="AK16" i="3"/>
  <c r="AJ16" i="3"/>
  <c r="AH16" i="3"/>
  <c r="AG16" i="3"/>
  <c r="N16" i="3"/>
  <c r="K16" i="3" s="1"/>
  <c r="M16" i="3"/>
  <c r="L16" i="3"/>
  <c r="J16" i="3"/>
  <c r="I16" i="3"/>
  <c r="BF15" i="3"/>
  <c r="AL15" i="3"/>
  <c r="AK15" i="3"/>
  <c r="AJ15" i="3"/>
  <c r="AI15" i="3"/>
  <c r="AH15" i="3"/>
  <c r="AG15" i="3"/>
  <c r="N15" i="3"/>
  <c r="M15" i="3"/>
  <c r="L15" i="3"/>
  <c r="J15" i="3"/>
  <c r="I15" i="3"/>
  <c r="BF14" i="3"/>
  <c r="AL14" i="3"/>
  <c r="BG14" i="3" s="1"/>
  <c r="AK14" i="3"/>
  <c r="AJ14" i="3"/>
  <c r="AI14" i="3"/>
  <c r="AH14" i="3"/>
  <c r="AG14" i="3"/>
  <c r="N14" i="3"/>
  <c r="K14" i="3" s="1"/>
  <c r="M14" i="3"/>
  <c r="L14" i="3"/>
  <c r="J14" i="3"/>
  <c r="I14" i="3"/>
  <c r="BF13" i="3"/>
  <c r="AL13" i="3"/>
  <c r="AK13" i="3"/>
  <c r="AJ13" i="3"/>
  <c r="AH13" i="3"/>
  <c r="AG13" i="3"/>
  <c r="N13" i="3"/>
  <c r="K13" i="3" s="1"/>
  <c r="M13" i="3"/>
  <c r="L13" i="3"/>
  <c r="J13" i="3"/>
  <c r="I13" i="3"/>
  <c r="BF12" i="3"/>
  <c r="AL12" i="3"/>
  <c r="AI12" i="3" s="1"/>
  <c r="AK12" i="3"/>
  <c r="AJ12" i="3"/>
  <c r="AH12" i="3"/>
  <c r="AG12" i="3"/>
  <c r="N12" i="3"/>
  <c r="K12" i="3" s="1"/>
  <c r="M12" i="3"/>
  <c r="L12" i="3"/>
  <c r="J12" i="3"/>
  <c r="I12" i="3"/>
  <c r="BF11" i="3"/>
  <c r="AL11" i="3"/>
  <c r="AK11" i="3"/>
  <c r="AJ11" i="3"/>
  <c r="AI11" i="3"/>
  <c r="AH11" i="3"/>
  <c r="AG11" i="3"/>
  <c r="N11" i="3"/>
  <c r="M11" i="3"/>
  <c r="L11" i="3"/>
  <c r="J11" i="3"/>
  <c r="I11" i="3"/>
  <c r="BF10" i="3"/>
  <c r="AL10" i="3"/>
  <c r="AK10" i="3"/>
  <c r="AJ10" i="3"/>
  <c r="AI10" i="3"/>
  <c r="AH10" i="3"/>
  <c r="AG10" i="3"/>
  <c r="N10" i="3"/>
  <c r="M10" i="3"/>
  <c r="L10" i="3"/>
  <c r="J10" i="3"/>
  <c r="I10" i="3"/>
  <c r="BF9" i="3"/>
  <c r="AL9" i="3"/>
  <c r="AK9" i="3"/>
  <c r="AJ9" i="3"/>
  <c r="AH9" i="3"/>
  <c r="AG9" i="3"/>
  <c r="N9" i="3"/>
  <c r="K9" i="3" s="1"/>
  <c r="M9" i="3"/>
  <c r="L9" i="3"/>
  <c r="J9" i="3"/>
  <c r="I9" i="3"/>
  <c r="BF8" i="3"/>
  <c r="AL8" i="3"/>
  <c r="AI8" i="3" s="1"/>
  <c r="AK8" i="3"/>
  <c r="AJ8" i="3"/>
  <c r="AH8" i="3"/>
  <c r="AG8" i="3"/>
  <c r="N8" i="3"/>
  <c r="K8" i="3" s="1"/>
  <c r="M8" i="3"/>
  <c r="L8" i="3"/>
  <c r="J8" i="3"/>
  <c r="I8" i="3"/>
  <c r="BF7" i="3"/>
  <c r="AL7" i="3"/>
  <c r="AK7" i="3"/>
  <c r="AJ7" i="3"/>
  <c r="AI7" i="3"/>
  <c r="AH7" i="3"/>
  <c r="AG7" i="3"/>
  <c r="N7" i="3"/>
  <c r="M7" i="3"/>
  <c r="L7" i="3"/>
  <c r="J7" i="3"/>
  <c r="I7" i="3"/>
  <c r="BF6" i="3"/>
  <c r="AL6" i="3"/>
  <c r="BG6" i="3" s="1"/>
  <c r="AK6" i="3"/>
  <c r="AJ6" i="3"/>
  <c r="AI6" i="3"/>
  <c r="AH6" i="3"/>
  <c r="AG6" i="3"/>
  <c r="N6" i="3"/>
  <c r="K6" i="3" s="1"/>
  <c r="M6" i="3"/>
  <c r="L6" i="3"/>
  <c r="J6" i="3"/>
  <c r="I6" i="3"/>
  <c r="BF5" i="3"/>
  <c r="AL5" i="3"/>
  <c r="AK5" i="3"/>
  <c r="AJ5" i="3"/>
  <c r="AH5" i="3"/>
  <c r="AG5" i="3"/>
  <c r="N5" i="3"/>
  <c r="K5" i="3" s="1"/>
  <c r="M5" i="3"/>
  <c r="L5" i="3"/>
  <c r="L40" i="3" s="1"/>
  <c r="J5" i="3"/>
  <c r="I5" i="3"/>
  <c r="AG1" i="3"/>
  <c r="I1" i="3"/>
  <c r="B1" i="2"/>
  <c r="B2" i="2" s="1"/>
  <c r="C36" i="1"/>
  <c r="C24" i="1"/>
  <c r="BK35" i="7"/>
  <c r="BS5" i="7"/>
  <c r="BQ35" i="3"/>
  <c r="BK35" i="3"/>
  <c r="BM30" i="3"/>
  <c r="BT20" i="3"/>
  <c r="BR15" i="3"/>
  <c r="BN10" i="3"/>
  <c r="BR30" i="3"/>
  <c r="BJ35" i="7"/>
  <c r="BT10" i="7"/>
  <c r="BR5" i="7"/>
  <c r="BP35" i="3"/>
  <c r="BL30" i="3"/>
  <c r="BS20" i="3"/>
  <c r="BQ15" i="3"/>
  <c r="BM10" i="3"/>
  <c r="BP25" i="7"/>
  <c r="BS10" i="7"/>
  <c r="BQ5" i="7"/>
  <c r="BN35" i="3"/>
  <c r="BR20" i="3"/>
  <c r="BP15" i="3"/>
  <c r="BL10" i="3"/>
  <c r="BK20" i="7"/>
  <c r="BT30" i="7"/>
  <c r="BT20" i="7"/>
  <c r="BT15" i="7"/>
  <c r="BR10" i="7"/>
  <c r="BJ10" i="7"/>
  <c r="BP5" i="7"/>
  <c r="BM35" i="3"/>
  <c r="BT25" i="3"/>
  <c r="BQ20" i="3"/>
  <c r="BJ20" i="3"/>
  <c r="BN15" i="3"/>
  <c r="BP5" i="3"/>
  <c r="BT35" i="7"/>
  <c r="BS30" i="7"/>
  <c r="BT25" i="7"/>
  <c r="BS20" i="7"/>
  <c r="BS15" i="7"/>
  <c r="BQ10" i="7"/>
  <c r="BN5" i="7"/>
  <c r="BL35" i="3"/>
  <c r="BS25" i="3"/>
  <c r="BP20" i="3"/>
  <c r="BM15" i="3"/>
  <c r="BT5" i="3"/>
  <c r="BS10" i="3"/>
  <c r="BS35" i="7"/>
  <c r="BR30" i="7"/>
  <c r="BK30" i="7"/>
  <c r="BS25" i="7"/>
  <c r="BR20" i="7"/>
  <c r="BR15" i="7"/>
  <c r="BP10" i="7"/>
  <c r="BM5" i="7"/>
  <c r="BR25" i="3"/>
  <c r="BJ25" i="3"/>
  <c r="BN20" i="3"/>
  <c r="BL15" i="3"/>
  <c r="BS5" i="3"/>
  <c r="BN15" i="7"/>
  <c r="BR35" i="7"/>
  <c r="BQ30" i="7"/>
  <c r="BR25" i="7"/>
  <c r="BK25" i="7"/>
  <c r="BQ20" i="7"/>
  <c r="BQ15" i="7"/>
  <c r="BN10" i="7"/>
  <c r="BL5" i="7"/>
  <c r="BT30" i="3"/>
  <c r="BQ25" i="3"/>
  <c r="BM20" i="3"/>
  <c r="BR5" i="3"/>
  <c r="BP35" i="7"/>
  <c r="BQ35" i="7"/>
  <c r="BP30" i="7"/>
  <c r="BQ25" i="7"/>
  <c r="BP20" i="7"/>
  <c r="BP15" i="7"/>
  <c r="BM10" i="7"/>
  <c r="BS30" i="3"/>
  <c r="BP25" i="3"/>
  <c r="BL20" i="3"/>
  <c r="BT10" i="3"/>
  <c r="BQ5" i="3"/>
  <c r="BN20" i="7"/>
  <c r="BN35" i="7"/>
  <c r="BM30" i="7"/>
  <c r="BN25" i="7"/>
  <c r="BM20" i="7"/>
  <c r="BM15" i="7"/>
  <c r="BT35" i="3"/>
  <c r="BQ30" i="3"/>
  <c r="BK30" i="3"/>
  <c r="BM25" i="3"/>
  <c r="BR10" i="3"/>
  <c r="BN5" i="3"/>
  <c r="BN30" i="7"/>
  <c r="BM35" i="7"/>
  <c r="BL30" i="7"/>
  <c r="BM25" i="7"/>
  <c r="BL20" i="7"/>
  <c r="BL15" i="7"/>
  <c r="BS35" i="3"/>
  <c r="BP30" i="3"/>
  <c r="BL25" i="3"/>
  <c r="BT15" i="3"/>
  <c r="BQ10" i="3"/>
  <c r="BK10" i="3"/>
  <c r="BM5" i="3"/>
  <c r="BN25" i="3"/>
  <c r="BL35" i="7"/>
  <c r="BL25" i="7"/>
  <c r="BJ20" i="7"/>
  <c r="BT5" i="7"/>
  <c r="BR35" i="3"/>
  <c r="BN30" i="3"/>
  <c r="BS15" i="3"/>
  <c r="BP10" i="3"/>
  <c r="BL5" i="3"/>
  <c r="BL10" i="7"/>
  <c r="AK41" i="3" l="1"/>
  <c r="AH40" i="3"/>
  <c r="BG27" i="3"/>
  <c r="AJ40" i="3"/>
  <c r="AJ43" i="3"/>
  <c r="BG23" i="3"/>
  <c r="AH41" i="3"/>
  <c r="BG8" i="3"/>
  <c r="BB47" i="3"/>
  <c r="M41" i="3"/>
  <c r="M42" i="3"/>
  <c r="BG12" i="3"/>
  <c r="BG18" i="3"/>
  <c r="BE20" i="3"/>
  <c r="BC47" i="3"/>
  <c r="BG16" i="3"/>
  <c r="BG22" i="3"/>
  <c r="BE24" i="3"/>
  <c r="BE34" i="3"/>
  <c r="AZ45" i="3"/>
  <c r="BG20" i="3"/>
  <c r="BG25" i="3"/>
  <c r="BG26" i="3"/>
  <c r="BE28" i="3"/>
  <c r="BE12" i="3"/>
  <c r="BG24" i="3"/>
  <c r="BG29" i="3"/>
  <c r="BH30" i="3"/>
  <c r="BH42" i="3" s="1"/>
  <c r="BE32" i="3"/>
  <c r="BB45" i="3"/>
  <c r="BG28" i="3"/>
  <c r="BG33" i="3"/>
  <c r="BG34" i="3"/>
  <c r="BH35" i="3"/>
  <c r="BE36" i="3"/>
  <c r="BG32" i="3"/>
  <c r="BG37" i="3"/>
  <c r="BG38" i="3"/>
  <c r="BE6" i="3"/>
  <c r="L41" i="3"/>
  <c r="BG20" i="7"/>
  <c r="AZ47" i="7"/>
  <c r="C47" i="1" s="1"/>
  <c r="AH40" i="7"/>
  <c r="BE29" i="7"/>
  <c r="BG37" i="7"/>
  <c r="AJ43" i="7"/>
  <c r="BE21" i="7"/>
  <c r="BE37" i="7"/>
  <c r="BG24" i="7"/>
  <c r="BG29" i="7"/>
  <c r="AH43" i="7"/>
  <c r="BG36" i="7"/>
  <c r="AJ41" i="7"/>
  <c r="AJ42" i="7"/>
  <c r="M40" i="7"/>
  <c r="BE26" i="7"/>
  <c r="BE27" i="7"/>
  <c r="L42" i="7"/>
  <c r="BE28" i="7"/>
  <c r="K42" i="7"/>
  <c r="J42" i="7"/>
  <c r="BE11" i="7"/>
  <c r="BG26" i="7"/>
  <c r="BG6" i="7"/>
  <c r="BG7" i="7"/>
  <c r="BE12" i="7"/>
  <c r="BE31" i="7"/>
  <c r="M43" i="7"/>
  <c r="BE9" i="7"/>
  <c r="BE14" i="7"/>
  <c r="J41" i="7"/>
  <c r="BE34" i="7"/>
  <c r="BE35" i="7"/>
  <c r="BB47" i="7"/>
  <c r="C48" i="1" s="1"/>
  <c r="BG8" i="7"/>
  <c r="BE10" i="7"/>
  <c r="BG11" i="7"/>
  <c r="BG28" i="7"/>
  <c r="BC47" i="7"/>
  <c r="BE13" i="7"/>
  <c r="L41" i="7"/>
  <c r="BG31" i="7"/>
  <c r="BE33" i="7"/>
  <c r="BB45" i="7"/>
  <c r="L43" i="7"/>
  <c r="BG14" i="7"/>
  <c r="BG34" i="7"/>
  <c r="BC45" i="7"/>
  <c r="BL43" i="3"/>
  <c r="E12" i="1" s="1"/>
  <c r="BL40" i="3"/>
  <c r="E9" i="1" s="1"/>
  <c r="BN42" i="3"/>
  <c r="G11" i="1" s="1"/>
  <c r="BL41" i="7"/>
  <c r="E44" i="1" s="1"/>
  <c r="BN41" i="3"/>
  <c r="G10" i="1" s="1"/>
  <c r="BM40" i="3"/>
  <c r="F9" i="1" s="1"/>
  <c r="BL41" i="3"/>
  <c r="E10" i="1" s="1"/>
  <c r="BM41" i="7"/>
  <c r="F44" i="1" s="1"/>
  <c r="BL42" i="7"/>
  <c r="E45" i="1" s="1"/>
  <c r="BN42" i="7"/>
  <c r="G45" i="1" s="1"/>
  <c r="BN43" i="3"/>
  <c r="G12" i="1" s="1"/>
  <c r="BN40" i="3"/>
  <c r="G9" i="1" s="1"/>
  <c r="BM41" i="3"/>
  <c r="F10" i="1" s="1"/>
  <c r="BK42" i="3"/>
  <c r="D11" i="1" s="1"/>
  <c r="BN41" i="7"/>
  <c r="G44" i="1" s="1"/>
  <c r="BM42" i="7"/>
  <c r="F45" i="1" s="1"/>
  <c r="BQ40" i="3"/>
  <c r="I9" i="1" s="1"/>
  <c r="BP42" i="7"/>
  <c r="BL43" i="7"/>
  <c r="E46" i="1" s="1"/>
  <c r="BK41" i="7"/>
  <c r="D44" i="1" s="1"/>
  <c r="BQ42" i="7"/>
  <c r="BJ41" i="3"/>
  <c r="C10" i="1" s="1"/>
  <c r="BM43" i="7"/>
  <c r="F46" i="1" s="1"/>
  <c r="BK42" i="7"/>
  <c r="D45" i="1" s="1"/>
  <c r="BR42" i="7"/>
  <c r="BN40" i="7"/>
  <c r="G43" i="1" s="1"/>
  <c r="BN43" i="7"/>
  <c r="G46" i="1" s="1"/>
  <c r="BS42" i="7"/>
  <c r="BP43" i="3"/>
  <c r="BP40" i="3"/>
  <c r="BT42" i="7"/>
  <c r="BP41" i="7"/>
  <c r="BL42" i="3"/>
  <c r="E11" i="1" s="1"/>
  <c r="BM42" i="3"/>
  <c r="F11" i="1" s="1"/>
  <c r="AI9" i="3"/>
  <c r="BE9" i="3" s="1"/>
  <c r="BG9" i="3"/>
  <c r="BH10" i="3" a="1"/>
  <c r="BH10" i="3" s="1"/>
  <c r="BG11" i="3"/>
  <c r="K11" i="3"/>
  <c r="BE11" i="3" s="1"/>
  <c r="BE23" i="3"/>
  <c r="BS41" i="3"/>
  <c r="AK42" i="3"/>
  <c r="K19" i="3"/>
  <c r="BG19" i="3"/>
  <c r="BE18" i="3"/>
  <c r="BE19" i="3"/>
  <c r="E32" i="1"/>
  <c r="K15" i="5"/>
  <c r="BC6" i="5"/>
  <c r="BG15" i="3"/>
  <c r="K15" i="3"/>
  <c r="BE15" i="3" s="1"/>
  <c r="BG7" i="3"/>
  <c r="K7" i="3"/>
  <c r="BE7" i="3" s="1"/>
  <c r="J13" i="5"/>
  <c r="BB13" i="5" s="1"/>
  <c r="BB9" i="5"/>
  <c r="J40" i="3"/>
  <c r="J43" i="3"/>
  <c r="BE14" i="3"/>
  <c r="BE16" i="3"/>
  <c r="BE38" i="3"/>
  <c r="BE15" i="5"/>
  <c r="BG5" i="3"/>
  <c r="AI5" i="3"/>
  <c r="BH5" i="3" a="1"/>
  <c r="BH5" i="3" s="1"/>
  <c r="AI21" i="3"/>
  <c r="BE21" i="3" s="1"/>
  <c r="BG21" i="3"/>
  <c r="AI17" i="3"/>
  <c r="BE17" i="3" s="1"/>
  <c r="BG17" i="3"/>
  <c r="AH42" i="3"/>
  <c r="J15" i="5"/>
  <c r="BG15" i="5"/>
  <c r="BG12" i="5"/>
  <c r="BP42" i="3"/>
  <c r="BB8" i="5"/>
  <c r="AG12" i="5"/>
  <c r="BQ43" i="3"/>
  <c r="BH15" i="3" a="1"/>
  <c r="BH15" i="3" s="1"/>
  <c r="BH20" i="3" a="1"/>
  <c r="BH20" i="3" s="1"/>
  <c r="M40" i="3"/>
  <c r="AI13" i="3"/>
  <c r="BE13" i="3" s="1"/>
  <c r="BG13" i="3"/>
  <c r="C14" i="1"/>
  <c r="AK43" i="3"/>
  <c r="AK40" i="3"/>
  <c r="BS43" i="3"/>
  <c r="BS40" i="3"/>
  <c r="BE8" i="3"/>
  <c r="BE26" i="3"/>
  <c r="BE30" i="7"/>
  <c r="BR42" i="3"/>
  <c r="AZ47" i="3"/>
  <c r="K12" i="5"/>
  <c r="AH12" i="5"/>
  <c r="BC12" i="5" s="1"/>
  <c r="L15" i="5"/>
  <c r="BD15" i="5" s="1"/>
  <c r="AX17" i="5"/>
  <c r="BE13" i="6"/>
  <c r="BE8" i="7"/>
  <c r="BH25" i="3" a="1"/>
  <c r="BH25" i="3" s="1"/>
  <c r="BH41" i="3" s="1"/>
  <c r="J42" i="3"/>
  <c r="BT40" i="3"/>
  <c r="BS42" i="3"/>
  <c r="BB5" i="5"/>
  <c r="BF6" i="5"/>
  <c r="BD9" i="5"/>
  <c r="AH8" i="6"/>
  <c r="BC8" i="6" s="1"/>
  <c r="BG8" i="6" a="1"/>
  <c r="BG8" i="6" s="1"/>
  <c r="BF8" i="6"/>
  <c r="BE14" i="6"/>
  <c r="BD11" i="6"/>
  <c r="BS43" i="7"/>
  <c r="BS40" i="7"/>
  <c r="BQ41" i="7"/>
  <c r="AI12" i="5"/>
  <c r="BD12" i="5" s="1"/>
  <c r="K10" i="3"/>
  <c r="BE10" i="3" s="1"/>
  <c r="BG10" i="3"/>
  <c r="K30" i="3"/>
  <c r="BE30" i="3" s="1"/>
  <c r="BG30" i="3"/>
  <c r="BT42" i="3"/>
  <c r="BC7" i="5"/>
  <c r="AJ12" i="5"/>
  <c r="BE12" i="5" s="1"/>
  <c r="AG15" i="5"/>
  <c r="BB15" i="5" s="1"/>
  <c r="BG10" i="6" a="1"/>
  <c r="BG10" i="6" s="1"/>
  <c r="BG14" i="6" s="1"/>
  <c r="BF10" i="6"/>
  <c r="BE11" i="6"/>
  <c r="AK43" i="7"/>
  <c r="AK40" i="7"/>
  <c r="BT43" i="7"/>
  <c r="BT40" i="7"/>
  <c r="AH41" i="7"/>
  <c r="BR41" i="7"/>
  <c r="K14" i="6"/>
  <c r="AG12" i="6"/>
  <c r="BB12" i="6" s="1"/>
  <c r="BB14" i="6"/>
  <c r="AI5" i="7"/>
  <c r="BH5" i="7" a="1"/>
  <c r="BH5" i="7" s="1"/>
  <c r="BG21" i="7"/>
  <c r="BE32" i="7"/>
  <c r="L40" i="7"/>
  <c r="BS41" i="7"/>
  <c r="BM43" i="3"/>
  <c r="F12" i="1" s="1"/>
  <c r="AH43" i="3"/>
  <c r="BP41" i="3"/>
  <c r="BF5" i="5"/>
  <c r="M14" i="5"/>
  <c r="BB7" i="6"/>
  <c r="BB10" i="6"/>
  <c r="AH14" i="6"/>
  <c r="BC14" i="6" s="1"/>
  <c r="BE16" i="7"/>
  <c r="BH20" i="7" a="1"/>
  <c r="BH20" i="7" s="1"/>
  <c r="BG27" i="7"/>
  <c r="BT41" i="7"/>
  <c r="BP43" i="7"/>
  <c r="AI29" i="3"/>
  <c r="BE29" i="3" s="1"/>
  <c r="BF7" i="5"/>
  <c r="AH10" i="5"/>
  <c r="BF10" i="5"/>
  <c r="AG14" i="5"/>
  <c r="BB14" i="5" s="1"/>
  <c r="AI15" i="6"/>
  <c r="BD15" i="6" s="1"/>
  <c r="BG6" i="6" a="1"/>
  <c r="BG6" i="6" s="1"/>
  <c r="BD9" i="6"/>
  <c r="AI12" i="6"/>
  <c r="BD12" i="6" s="1"/>
  <c r="BD14" i="6"/>
  <c r="AY17" i="6"/>
  <c r="BE15" i="7"/>
  <c r="AI25" i="7"/>
  <c r="BH25" i="7" a="1"/>
  <c r="BH25" i="7" s="1"/>
  <c r="BH41" i="7" s="1"/>
  <c r="AH42" i="7"/>
  <c r="BQ43" i="7"/>
  <c r="K23" i="3"/>
  <c r="K39" i="3"/>
  <c r="BE39" i="3" s="1"/>
  <c r="BE9" i="6"/>
  <c r="AZ17" i="6"/>
  <c r="J43" i="7"/>
  <c r="J40" i="7"/>
  <c r="BG5" i="7"/>
  <c r="BE36" i="7"/>
  <c r="BR43" i="7"/>
  <c r="AI25" i="3"/>
  <c r="K27" i="3"/>
  <c r="BE27" i="3" s="1"/>
  <c r="K31" i="3"/>
  <c r="BE31" i="3" s="1"/>
  <c r="AI33" i="3"/>
  <c r="BE33" i="3" s="1"/>
  <c r="K35" i="3"/>
  <c r="BE35" i="3" s="1"/>
  <c r="BG35" i="3"/>
  <c r="AI37" i="3"/>
  <c r="BE37" i="3" s="1"/>
  <c r="BQ41" i="3"/>
  <c r="L43" i="3"/>
  <c r="BR41" i="3"/>
  <c r="M43" i="3"/>
  <c r="BR43" i="3"/>
  <c r="BE5" i="6"/>
  <c r="AJ15" i="6"/>
  <c r="BE15" i="6" s="1"/>
  <c r="C23" i="1"/>
  <c r="BC9" i="5"/>
  <c r="BE14" i="5"/>
  <c r="J15" i="6"/>
  <c r="BE7" i="6"/>
  <c r="AH9" i="6"/>
  <c r="BF9" i="6"/>
  <c r="K43" i="7"/>
  <c r="K40" i="7"/>
  <c r="BH10" i="7" a="1"/>
  <c r="BH10" i="7" s="1"/>
  <c r="BG10" i="7"/>
  <c r="BT41" i="3"/>
  <c r="BT43" i="3"/>
  <c r="AH15" i="5"/>
  <c r="BC15" i="5" s="1"/>
  <c r="K5" i="6"/>
  <c r="BG13" i="7"/>
  <c r="BG15" i="7"/>
  <c r="BH15" i="7" a="1"/>
  <c r="BH15" i="7" s="1"/>
  <c r="AI17" i="7"/>
  <c r="BE17" i="7" s="1"/>
  <c r="AI18" i="7"/>
  <c r="BE18" i="7" s="1"/>
  <c r="BE19" i="7"/>
  <c r="BG25" i="7"/>
  <c r="AK42" i="7"/>
  <c r="BG32" i="7"/>
  <c r="BP40" i="7"/>
  <c r="BD5" i="5"/>
  <c r="BE9" i="5"/>
  <c r="AJ13" i="5"/>
  <c r="BE13" i="5" s="1"/>
  <c r="J12" i="5"/>
  <c r="BC13" i="5"/>
  <c r="BG11" i="6" a="1"/>
  <c r="BG11" i="6" s="1"/>
  <c r="AG15" i="6"/>
  <c r="BG16" i="7"/>
  <c r="BE20" i="7"/>
  <c r="K41" i="7"/>
  <c r="BH30" i="7" a="1"/>
  <c r="BH30" i="7" s="1"/>
  <c r="BG30" i="7"/>
  <c r="BQ40" i="7"/>
  <c r="AX19" i="5"/>
  <c r="M12" i="6"/>
  <c r="BE12" i="6" s="1"/>
  <c r="AH6" i="6"/>
  <c r="BC6" i="6" s="1"/>
  <c r="BG33" i="7"/>
  <c r="BH35" i="7" a="1"/>
  <c r="BH35" i="7" s="1"/>
  <c r="AI38" i="7"/>
  <c r="BE38" i="7" s="1"/>
  <c r="BE39" i="7"/>
  <c r="BR40" i="7"/>
  <c r="BR40" i="3"/>
  <c r="BQ42" i="3"/>
  <c r="BG5" i="6" a="1"/>
  <c r="BG5" i="6" s="1"/>
  <c r="BD13" i="6"/>
  <c r="AW19" i="6"/>
  <c r="AI6" i="7"/>
  <c r="BE6" i="7" s="1"/>
  <c r="BE7" i="7"/>
  <c r="BG19" i="7"/>
  <c r="M41" i="7"/>
  <c r="BD10" i="5"/>
  <c r="BE10" i="6"/>
  <c r="BF11" i="6"/>
  <c r="AJ40" i="7"/>
  <c r="J12" i="6"/>
  <c r="BG35" i="7"/>
  <c r="BL40" i="7"/>
  <c r="E43" i="1" s="1"/>
  <c r="BM40" i="7"/>
  <c r="F43" i="1" s="1"/>
  <c r="BJ5" i="7"/>
  <c r="BJ15" i="3"/>
  <c r="BK25" i="3"/>
  <c r="BJ35" i="3"/>
  <c r="BK15" i="3"/>
  <c r="BK15" i="7"/>
  <c r="BK20" i="3"/>
  <c r="BJ5" i="3"/>
  <c r="BJ30" i="7"/>
  <c r="BK5" i="3"/>
  <c r="BK10" i="7"/>
  <c r="BK5" i="7"/>
  <c r="BJ10" i="3"/>
  <c r="BJ30" i="3"/>
  <c r="BJ25" i="7"/>
  <c r="BJ15" i="7"/>
  <c r="K43" i="3" l="1"/>
  <c r="K41" i="3"/>
  <c r="K40" i="3"/>
  <c r="BH42" i="7"/>
  <c r="BJ41" i="7"/>
  <c r="C44" i="1" s="1"/>
  <c r="BJ42" i="3"/>
  <c r="C11" i="1" s="1"/>
  <c r="BJ42" i="7"/>
  <c r="C45" i="1" s="1"/>
  <c r="BK41" i="3"/>
  <c r="D10" i="1" s="1"/>
  <c r="H12" i="1"/>
  <c r="H44" i="1"/>
  <c r="K45" i="1"/>
  <c r="J45" i="1"/>
  <c r="L45" i="1"/>
  <c r="I45" i="1"/>
  <c r="H9" i="1"/>
  <c r="H45" i="1"/>
  <c r="D31" i="1"/>
  <c r="C20" i="1"/>
  <c r="C35" i="1"/>
  <c r="BG15" i="6"/>
  <c r="BG12" i="6"/>
  <c r="J46" i="1"/>
  <c r="BK43" i="7"/>
  <c r="D46" i="1" s="1"/>
  <c r="BK40" i="7"/>
  <c r="D43" i="1" s="1"/>
  <c r="C13" i="1"/>
  <c r="J11" i="1"/>
  <c r="E33" i="1"/>
  <c r="AH13" i="6"/>
  <c r="BC13" i="6" s="1"/>
  <c r="BC9" i="6"/>
  <c r="I10" i="1"/>
  <c r="L44" i="1"/>
  <c r="H10" i="1"/>
  <c r="E31" i="1"/>
  <c r="K43" i="1"/>
  <c r="L9" i="1"/>
  <c r="I12" i="1"/>
  <c r="J43" i="1"/>
  <c r="K12" i="6"/>
  <c r="K15" i="6"/>
  <c r="E22" i="1"/>
  <c r="K46" i="1"/>
  <c r="BJ40" i="3"/>
  <c r="C9" i="1" s="1"/>
  <c r="BJ43" i="3"/>
  <c r="C12" i="1" s="1"/>
  <c r="AI41" i="7"/>
  <c r="BE41" i="7" s="1"/>
  <c r="BE25" i="7"/>
  <c r="D20" i="1"/>
  <c r="C22" i="1"/>
  <c r="D19" i="1"/>
  <c r="AI42" i="7"/>
  <c r="BE42" i="7" s="1"/>
  <c r="BB12" i="5"/>
  <c r="I44" i="1"/>
  <c r="I43" i="1"/>
  <c r="H43" i="1"/>
  <c r="L12" i="1"/>
  <c r="D21" i="1"/>
  <c r="J44" i="1"/>
  <c r="BH43" i="3"/>
  <c r="BH40" i="3"/>
  <c r="AI42" i="3"/>
  <c r="L10" i="1"/>
  <c r="C33" i="1"/>
  <c r="D33" i="1"/>
  <c r="H11" i="1"/>
  <c r="I11" i="1"/>
  <c r="J10" i="1"/>
  <c r="AI40" i="7"/>
  <c r="BE40" i="7" s="1"/>
  <c r="BE5" i="7"/>
  <c r="AI43" i="7"/>
  <c r="BE43" i="7" s="1"/>
  <c r="J9" i="1"/>
  <c r="H46" i="1"/>
  <c r="K44" i="1"/>
  <c r="L11" i="1"/>
  <c r="D32" i="1"/>
  <c r="BK40" i="3"/>
  <c r="D9" i="1" s="1"/>
  <c r="BK43" i="3"/>
  <c r="D12" i="1" s="1"/>
  <c r="E20" i="1"/>
  <c r="AH12" i="6"/>
  <c r="BC12" i="6" s="1"/>
  <c r="L43" i="1"/>
  <c r="AI40" i="3"/>
  <c r="BE5" i="3"/>
  <c r="AI43" i="3"/>
  <c r="K10" i="1"/>
  <c r="D34" i="1"/>
  <c r="E21" i="1"/>
  <c r="L46" i="1"/>
  <c r="K42" i="3"/>
  <c r="K11" i="1"/>
  <c r="BJ43" i="7"/>
  <c r="C46" i="1" s="1"/>
  <c r="BJ40" i="7"/>
  <c r="C43" i="1" s="1"/>
  <c r="I46" i="1"/>
  <c r="C19" i="1"/>
  <c r="K9" i="1"/>
  <c r="D22" i="1"/>
  <c r="AH15" i="6"/>
  <c r="BC15" i="6" s="1"/>
  <c r="BB15" i="6"/>
  <c r="J12" i="1"/>
  <c r="BE25" i="3"/>
  <c r="AI41" i="3"/>
  <c r="BE41" i="3" s="1"/>
  <c r="BC10" i="5"/>
  <c r="AH14" i="5"/>
  <c r="BC14" i="5" s="1"/>
  <c r="BC5" i="6"/>
  <c r="BH43" i="7"/>
  <c r="BH40" i="7"/>
  <c r="K12" i="1"/>
  <c r="BE42" i="3" l="1"/>
  <c r="BE43" i="3"/>
  <c r="BE40" i="3"/>
  <c r="C32" i="1"/>
  <c r="E34" i="1"/>
  <c r="E19" i="1"/>
  <c r="C34" i="1"/>
  <c r="C31" i="1"/>
  <c r="C21" i="1"/>
</calcChain>
</file>

<file path=xl/sharedStrings.xml><?xml version="1.0" encoding="utf-8"?>
<sst xmlns="http://schemas.openxmlformats.org/spreadsheetml/2006/main" count="1389" uniqueCount="574">
  <si>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</si>
  <si>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</si>
  <si>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</si>
  <si>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</si>
  <si>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</si>
  <si>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</si>
  <si>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</si>
  <si>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</si>
  <si>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</si>
  <si>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</si>
  <si>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</si>
  <si>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</si>
  <si>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</si>
  <si>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</si>
  <si>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</si>
  <si>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</si>
  <si>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</si>
  <si>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</si>
  <si>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</si>
  <si>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</si>
  <si>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</si>
  <si>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</si>
  <si>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</si>
  <si>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</si>
  <si>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</si>
  <si>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</si>
  <si>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</si>
  <si>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</si>
  <si>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</si>
  <si>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</si>
  <si>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</si>
  <si>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</si>
  <si>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</si>
  <si>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</si>
  <si>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</si>
  <si>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</si>
  <si>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</si>
  <si>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</si>
  <si>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</si>
  <si>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</si>
  <si>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</si>
  <si>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</si>
  <si>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</si>
  <si>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</si>
  <si>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</si>
  <si>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</si>
  <si>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</si>
  <si>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</si>
  <si>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</si>
  <si>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</si>
  <si>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</si>
  <si>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</si>
  <si>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</si>
  <si>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</si>
  <si>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</si>
  <si>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</si>
  <si>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</si>
  <si>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</si>
  <si>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</si>
  <si>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</si>
  <si>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</si>
  <si>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</si>
  <si>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</si>
  <si>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</si>
  <si>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</si>
  <si>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</si>
  <si>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</si>
  <si>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</si>
  <si>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</si>
  <si>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</si>
  <si>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</si>
  <si>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</si>
  <si>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</si>
  <si>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</si>
  <si>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</si>
  <si>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</si>
  <si>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</si>
  <si>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</si>
  <si>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</si>
  <si>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</si>
  <si>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</si>
  <si>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</si>
  <si>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</si>
  <si>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</si>
  <si>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</si>
  <si>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</si>
  <si>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</si>
  <si>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</si>
  <si>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</si>
  <si>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</si>
  <si>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</si>
  <si>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</si>
  <si>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</si>
  <si>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</si>
  <si>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</si>
  <si>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</si>
  <si>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</si>
  <si>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</si>
  <si>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</si>
  <si>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</si>
  <si>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</si>
  <si>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</si>
  <si>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</si>
  <si>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</si>
  <si>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</si>
  <si>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</si>
  <si>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</si>
  <si>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</si>
  <si>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</si>
  <si>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</si>
  <si>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</si>
  <si>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</si>
  <si>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</si>
  <si>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</si>
  <si>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</si>
  <si>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</si>
  <si>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</si>
  <si>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</si>
  <si>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</si>
  <si>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</si>
  <si>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</si>
  <si>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</si>
  <si>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</si>
  <si>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</si>
  <si>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</si>
  <si>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</si>
  <si>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</si>
  <si>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</si>
  <si>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</si>
  <si>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</si>
  <si>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</si>
  <si>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</si>
  <si>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</si>
  <si>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</si>
  <si>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</si>
  <si>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</si>
  <si>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</si>
  <si>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</si>
  <si>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</si>
  <si>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</si>
  <si>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</si>
  <si>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</si>
  <si>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</si>
  <si>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</si>
  <si>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</si>
  <si>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</si>
  <si>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</si>
  <si>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</si>
  <si>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</si>
  <si>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</si>
  <si>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</si>
  <si>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</si>
  <si>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</si>
  <si>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</si>
  <si>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</si>
  <si>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</si>
  <si>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</si>
  <si>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</si>
  <si>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</si>
  <si>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</si>
  <si>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</si>
  <si>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</si>
  <si>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</si>
  <si>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</si>
  <si>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</si>
  <si>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</si>
  <si>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</si>
  <si>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</si>
  <si>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</si>
  <si>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</si>
  <si>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</si>
  <si>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</si>
  <si>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</si>
  <si>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</si>
  <si>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</si>
  <si>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</si>
  <si>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</si>
  <si>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</si>
  <si>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</si>
  <si>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</si>
  <si>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</si>
  <si>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</si>
  <si>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</si>
  <si>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</si>
  <si>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</si>
  <si>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</si>
  <si>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</si>
  <si>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</si>
  <si>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</si>
  <si>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</si>
  <si>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</si>
  <si>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</si>
  <si>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</si>
  <si>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</si>
  <si>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</si>
  <si>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</si>
  <si>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</si>
  <si>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</si>
  <si>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</si>
  <si>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</si>
  <si>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</si>
  <si>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</si>
  <si>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</si>
  <si>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</si>
  <si>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</si>
  <si>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</si>
  <si>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</si>
  <si>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</si>
  <si>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</si>
  <si>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</si>
  <si>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</si>
  <si>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</si>
  <si>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</si>
  <si>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</si>
  <si>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</si>
  <si>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</si>
  <si>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</si>
  <si>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</si>
  <si>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</si>
  <si>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</si>
  <si>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</si>
  <si>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</si>
  <si>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</si>
  <si>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</si>
  <si>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</si>
  <si>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</si>
  <si>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</si>
  <si>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</si>
  <si>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</si>
  <si>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</si>
  <si>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</si>
  <si>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</si>
  <si>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</si>
  <si>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</si>
  <si>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</si>
  <si>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</si>
  <si>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</si>
  <si>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</si>
  <si>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</si>
  <si>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</si>
  <si>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</si>
  <si>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</si>
  <si>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</si>
  <si>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</si>
  <si>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</si>
  <si>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</si>
  <si>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</si>
  <si>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</si>
  <si>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</si>
  <si>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</si>
  <si>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</si>
  <si>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</si>
  <si>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</si>
  <si>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</si>
  <si>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</si>
  <si>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</si>
  <si>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</si>
  <si>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</si>
  <si>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</si>
  <si>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</si>
  <si>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</si>
  <si>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</si>
  <si>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</si>
  <si>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</si>
  <si>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</si>
  <si>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</si>
  <si>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</si>
  <si>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</si>
  <si>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</si>
  <si>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</si>
  <si>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</si>
  <si>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</si>
  <si>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</si>
  <si>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</si>
  <si>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</si>
  <si>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</si>
  <si>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</si>
  <si>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</si>
  <si>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</si>
  <si>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</si>
  <si>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</si>
  <si>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</si>
  <si>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</si>
  <si>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</si>
  <si>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</si>
  <si>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</si>
  <si>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</si>
  <si>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</si>
  <si>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</si>
  <si>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</si>
  <si>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</si>
  <si>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</si>
  <si>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</si>
  <si>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</si>
  <si>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</si>
  <si>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</si>
  <si>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</si>
  <si>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</si>
  <si>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</si>
  <si>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</si>
  <si>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</si>
  <si>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</si>
  <si>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</si>
  <si>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</si>
  <si>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</si>
  <si>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</si>
  <si>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</si>
  <si>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</si>
  <si>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</si>
  <si>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</si>
  <si>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</si>
  <si>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</si>
  <si>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</si>
  <si>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</si>
  <si>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</si>
  <si>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</si>
  <si>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</si>
  <si>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</si>
  <si>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</si>
  <si>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</si>
  <si>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</si>
  <si>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</si>
  <si>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</si>
  <si>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</si>
  <si>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</si>
  <si>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</si>
  <si>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</si>
  <si>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</si>
  <si>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</si>
  <si>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</si>
  <si>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</si>
  <si>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</si>
  <si>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</si>
  <si>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</si>
  <si>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</si>
  <si>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</si>
  <si>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</si>
  <si>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</si>
  <si>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</si>
  <si>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</si>
  <si>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</si>
  <si>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</si>
  <si>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</si>
  <si>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</si>
  <si>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</si>
  <si>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</si>
  <si>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</si>
  <si>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</si>
  <si>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</si>
  <si>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</si>
  <si>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</si>
  <si>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</si>
  <si>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</si>
  <si>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</si>
  <si>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</si>
  <si>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</si>
  <si>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</si>
  <si>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</si>
  <si>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</si>
  <si>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</si>
  <si>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</si>
  <si>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</si>
  <si>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</si>
  <si>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</si>
  <si>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</si>
  <si>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</si>
  <si>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</si>
  <si>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</si>
  <si>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</si>
  <si>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</si>
  <si>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</si>
  <si>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</si>
  <si>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</si>
  <si>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</si>
  <si>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</si>
  <si>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</si>
  <si>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</si>
  <si>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</si>
  <si>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</si>
  <si>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</si>
  <si>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</si>
  <si>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</si>
  <si>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</si>
  <si>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</si>
  <si>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</si>
  <si>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</si>
  <si>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</si>
  <si>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</si>
  <si>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</si>
  <si>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</si>
  <si>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</si>
  <si>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</si>
  <si>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</si>
  <si>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</si>
  <si>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</si>
  <si>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</si>
  <si>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</si>
  <si>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</si>
  <si>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</si>
  <si>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</si>
  <si>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</si>
  <si>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</si>
  <si>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</si>
  <si>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</si>
  <si>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</si>
  <si>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</si>
  <si>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</si>
  <si>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</si>
  <si>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</si>
  <si>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</si>
  <si>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</si>
  <si>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</si>
  <si>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</si>
  <si>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</si>
  <si>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</si>
  <si>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</si>
  <si>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</si>
  <si>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</si>
  <si>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</si>
  <si>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</si>
  <si>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</si>
  <si>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</si>
  <si>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</si>
  <si>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</si>
  <si>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</si>
  <si>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</si>
  <si>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</si>
  <si>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</si>
  <si>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</si>
  <si>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</si>
  <si>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</si>
  <si>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</si>
  <si>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</si>
  <si>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</si>
  <si>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</si>
  <si>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</si>
  <si>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</si>
  <si>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</si>
  <si>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</si>
  <si>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</si>
  <si>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</si>
  <si>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</si>
  <si>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</si>
  <si>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</si>
  <si>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</si>
  <si>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</si>
  <si>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</si>
  <si>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</si>
  <si>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</si>
  <si>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</si>
  <si>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</si>
  <si>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</si>
  <si>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</si>
  <si>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</si>
  <si>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</si>
  <si>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</si>
  <si>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</si>
  <si>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</si>
  <si>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</si>
  <si>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</si>
  <si>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</si>
  <si>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</si>
  <si>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</si>
  <si>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</si>
  <si>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</si>
  <si>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</si>
  <si>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</si>
  <si>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</si>
  <si>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</si>
  <si>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</si>
  <si>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</si>
  <si>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</si>
  <si>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</si>
  <si>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</si>
  <si>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</si>
  <si>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</si>
  <si>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</si>
  <si>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</si>
  <si>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</si>
  <si>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</si>
  <si>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</si>
  <si>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</si>
  <si>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</si>
  <si>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</si>
  <si>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</si>
  <si>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</si>
  <si>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</si>
  <si>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</si>
  <si>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</si>
  <si>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</si>
  <si>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</si>
  <si>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</si>
  <si>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</si>
  <si>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</si>
  <si>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</si>
  <si>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</si>
  <si>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</si>
  <si>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</si>
  <si>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</si>
  <si>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</si>
  <si>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</si>
  <si>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</si>
  <si>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</si>
  <si>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</si>
  <si>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</si>
  <si>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</si>
  <si>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</si>
  <si>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</si>
  <si>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</si>
  <si>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</si>
  <si>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</si>
  <si>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</si>
  <si>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</si>
  <si>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</si>
  <si>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</si>
  <si>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</si>
  <si>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</si>
  <si>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</si>
  <si>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</si>
  <si>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</si>
  <si>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</si>
  <si>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</si>
  <si>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</si>
  <si>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</si>
  <si>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</si>
  <si>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</si>
  <si>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</si>
  <si>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</si>
  <si>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</si>
  <si>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</si>
  <si>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</si>
  <si>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</si>
  <si>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</si>
  <si>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</si>
  <si>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</si>
  <si>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</si>
  <si>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</si>
  <si>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</si>
  <si>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</si>
  <si>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</si>
  <si>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</si>
  <si>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</si>
  <si>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</si>
  <si>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</si>
  <si>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</si>
  <si>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</si>
  <si>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</si>
  <si>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</si>
  <si>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</si>
  <si>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</si>
  <si>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</si>
  <si>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</si>
  <si>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</si>
  <si>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</si>
  <si>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</si>
  <si>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</si>
  <si>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</si>
  <si>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</si>
  <si>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</si>
  <si>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</si>
  <si>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</si>
  <si>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</si>
  <si>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</si>
  <si>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</si>
  <si>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</si>
  <si>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</si>
  <si>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</si>
  <si>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</si>
  <si>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</si>
  <si>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</si>
  <si>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</si>
  <si>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CW_ld — lossless geometry, lossless attributes [inter, low delay]</t>
  </si>
  <si>
    <t>C2_ra — lossy geometry, lossy attributes [inter, random access]</t>
  </si>
  <si>
    <t>ExtRec2_master+r21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</si>
</sst>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3">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9" fontId="0" fillId="0" borderId="0" xfId="0" applyNumberFormat="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ExtRec2_master+r21</c:v>
                </c:pt>
              </c:strCache>
            </c:strRef>
          </c:tx>
          <c:spPr>
            <a:ln>
              <a:prstDash val="solid"/>
            </a:ln>
          </c:spPr>
          <c:marker>
            <c:symbol val="none"/>
          </c:marker>
          <c:xVal>
            <c:numRef>
              <c:f>Graphs!graph_a_x_range_A</c:f>
              <c:numCache>
                <c:formatCode>0.00</c:formatCode>
                <c:ptCount val="5"/>
                <c:pt idx="0">
                  <c:v>3.4996289320210609E-3</c:v>
                </c:pt>
                <c:pt idx="1">
                  <c:v>4.7176696454744932E-3</c:v>
                </c:pt>
                <c:pt idx="2">
                  <c:v>6.6351120979196362E-3</c:v>
                </c:pt>
                <c:pt idx="3">
                  <c:v>9.6304797665399018E-3</c:v>
                </c:pt>
                <c:pt idx="4">
                  <c:v>1.3912014312238727E-2</c:v>
                </c:pt>
              </c:numCache>
            </c:numRef>
          </c:xVal>
          <c:yVal>
            <c:numRef>
              <c:f>Graphs!graph_a_y_range_A</c:f>
              <c:numCache>
                <c:formatCode>0.00</c:formatCode>
                <c:ptCount val="5"/>
                <c:pt idx="0">
                  <c:v>67.087557415625</c:v>
                </c:pt>
                <c:pt idx="1">
                  <c:v>68.642905575</c:v>
                </c:pt>
                <c:pt idx="2">
                  <c:v>70.153270937499997</c:v>
                </c:pt>
                <c:pt idx="3">
                  <c:v>71.318740096875004</c:v>
                </c:pt>
                <c:pt idx="4">
                  <c:v>72.310092449999999</c:v>
                </c:pt>
              </c:numCache>
            </c:numRef>
          </c:yVal>
          <c:smooth val="1"/>
          <c:extLst>
            <c:ext xmlns:c16="http://schemas.microsoft.com/office/drawing/2014/chart" uri="{C3380CC4-5D6E-409C-BE32-E72D297353CC}">
              <c16:uniqueId val="{00000000-E930-4F79-BBEF-00EDF367A9A1}"/>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E930-4F79-BBEF-00EDF367A9A1}"/>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ExtRec2_master+r21</c:v>
                </c:pt>
              </c:strCache>
            </c:strRef>
          </c:tx>
          <c:spPr>
            <a:ln>
              <a:prstDash val="solid"/>
            </a:ln>
          </c:spPr>
          <c:marker>
            <c:symbol val="none"/>
          </c:marker>
          <c:xVal>
            <c:numRef>
              <c:f>Graphs!graph_b_x_range_A</c:f>
              <c:numCache>
                <c:formatCode>0.00</c:formatCode>
                <c:ptCount val="5"/>
                <c:pt idx="0">
                  <c:v>3.4996289320210609E-3</c:v>
                </c:pt>
                <c:pt idx="1">
                  <c:v>4.7176696454744932E-3</c:v>
                </c:pt>
                <c:pt idx="2">
                  <c:v>6.6351120979196362E-3</c:v>
                </c:pt>
                <c:pt idx="3">
                  <c:v>9.6304797665399018E-3</c:v>
                </c:pt>
                <c:pt idx="4">
                  <c:v>1.3912014312238727E-2</c:v>
                </c:pt>
              </c:numCache>
            </c:numRef>
          </c:xVal>
          <c:yVal>
            <c:numRef>
              <c:f>Graphs!graph_b_y_range_A</c:f>
              <c:numCache>
                <c:formatCode>0.00</c:formatCode>
                <c:ptCount val="5"/>
                <c:pt idx="0">
                  <c:v>69.035581431249994</c:v>
                </c:pt>
                <c:pt idx="1">
                  <c:v>71.043160703124997</c:v>
                </c:pt>
                <c:pt idx="2">
                  <c:v>72.721009665625004</c:v>
                </c:pt>
                <c:pt idx="3">
                  <c:v>74.116363368750001</c:v>
                </c:pt>
                <c:pt idx="4">
                  <c:v>75.831266968750001</c:v>
                </c:pt>
              </c:numCache>
            </c:numRef>
          </c:yVal>
          <c:smooth val="1"/>
          <c:extLst>
            <c:ext xmlns:c16="http://schemas.microsoft.com/office/drawing/2014/chart" uri="{C3380CC4-5D6E-409C-BE32-E72D297353CC}">
              <c16:uniqueId val="{00000000-D805-4587-AF84-0310855967B2}"/>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D805-4587-AF84-0310855967B2}"/>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ExtRec2_master+r21</c:v>
                </c:pt>
              </c:strCache>
            </c:strRef>
          </c:tx>
          <c:spPr>
            <a:ln>
              <a:prstDash val="solid"/>
            </a:ln>
          </c:spPr>
          <c:marker>
            <c:symbol val="none"/>
          </c:marker>
          <c:xVal>
            <c:numRef>
              <c:f>Graphs!graph_c_x_range_A</c:f>
              <c:numCache>
                <c:formatCode>0.00</c:formatCode>
                <c:ptCount val="5"/>
                <c:pt idx="0">
                  <c:v>3.7969586530496699E-3</c:v>
                </c:pt>
                <c:pt idx="1">
                  <c:v>8.2441056182119502E-3</c:v>
                </c:pt>
                <c:pt idx="2">
                  <c:v>1.6354142440059064E-2</c:v>
                </c:pt>
                <c:pt idx="3">
                  <c:v>3.099505295463411E-2</c:v>
                </c:pt>
                <c:pt idx="4">
                  <c:v>5.7024924639735568E-2</c:v>
                </c:pt>
              </c:numCache>
            </c:numRef>
          </c:xVal>
          <c:yVal>
            <c:numRef>
              <c:f>Graphs!graph_c_y_range_A</c:f>
              <c:numCache>
                <c:formatCode>0.00</c:formatCode>
                <c:ptCount val="5"/>
                <c:pt idx="0">
                  <c:v>32.776210909375003</c:v>
                </c:pt>
                <c:pt idx="1">
                  <c:v>35.207772943750001</c:v>
                </c:pt>
                <c:pt idx="2">
                  <c:v>37.785060040624998</c:v>
                </c:pt>
                <c:pt idx="3">
                  <c:v>40.403856009374998</c:v>
                </c:pt>
                <c:pt idx="4">
                  <c:v>42.998266478124997</c:v>
                </c:pt>
              </c:numCache>
            </c:numRef>
          </c:yVal>
          <c:smooth val="1"/>
          <c:extLst>
            <c:ext xmlns:c16="http://schemas.microsoft.com/office/drawing/2014/chart" uri="{C3380CC4-5D6E-409C-BE32-E72D297353CC}">
              <c16:uniqueId val="{00000000-4CAE-4528-BA53-A32B5B99F9A2}"/>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4CAE-4528-BA53-A32B5B99F9A2}"/>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ExtRec2_master+r21</c:v>
                </c:pt>
              </c:strCache>
            </c:strRef>
          </c:tx>
          <c:spPr>
            <a:ln>
              <a:prstDash val="solid"/>
            </a:ln>
          </c:spPr>
          <c:marker>
            <c:symbol val="none"/>
          </c:marker>
          <c:xVal>
            <c:numRef>
              <c:f>Graphs!graph_d_x_range_A</c:f>
              <c:numCache>
                <c:formatCode>0.00</c:formatCode>
                <c:ptCount val="5"/>
                <c:pt idx="0">
                  <c:v>3.7969586530496699E-3</c:v>
                </c:pt>
                <c:pt idx="1">
                  <c:v>8.2441056182119502E-3</c:v>
                </c:pt>
                <c:pt idx="2">
                  <c:v>1.6354142440059064E-2</c:v>
                </c:pt>
                <c:pt idx="3">
                  <c:v>3.099505295463411E-2</c:v>
                </c:pt>
                <c:pt idx="4">
                  <c:v>5.7024924639735568E-2</c:v>
                </c:pt>
              </c:numCache>
            </c:numRef>
          </c:xVal>
          <c:yVal>
            <c:numRef>
              <c:f>Graphs!graph_d_y_range_A</c:f>
              <c:numCache>
                <c:formatCode>0.00</c:formatCode>
                <c:ptCount val="5"/>
                <c:pt idx="0">
                  <c:v>44.438203199999997</c:v>
                </c:pt>
                <c:pt idx="1">
                  <c:v>45.854859040625001</c:v>
                </c:pt>
                <c:pt idx="2">
                  <c:v>47.063330859375</c:v>
                </c:pt>
                <c:pt idx="3">
                  <c:v>48.855672406250001</c:v>
                </c:pt>
                <c:pt idx="4">
                  <c:v>50.583190971874998</c:v>
                </c:pt>
              </c:numCache>
            </c:numRef>
          </c:yVal>
          <c:smooth val="1"/>
          <c:extLst>
            <c:ext xmlns:c16="http://schemas.microsoft.com/office/drawing/2014/chart" uri="{C3380CC4-5D6E-409C-BE32-E72D297353CC}">
              <c16:uniqueId val="{00000000-EA13-450E-8CF0-A2C5234D0529}"/>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EA13-450E-8CF0-A2C5234D0529}"/>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ExtRec2_master+r21</c:v>
                </c:pt>
              </c:strCache>
            </c:strRef>
          </c:tx>
          <c:spPr>
            <a:ln>
              <a:prstDash val="solid"/>
            </a:ln>
          </c:spPr>
          <c:marker>
            <c:symbol val="none"/>
          </c:marker>
          <c:xVal>
            <c:numRef>
              <c:f>Graphs!graph_e_x_range_A</c:f>
              <c:numCache>
                <c:formatCode>0.00</c:formatCode>
                <c:ptCount val="5"/>
                <c:pt idx="0">
                  <c:v>3.7969586530496699E-3</c:v>
                </c:pt>
                <c:pt idx="1">
                  <c:v>8.2441056182119502E-3</c:v>
                </c:pt>
                <c:pt idx="2">
                  <c:v>1.6354142440059064E-2</c:v>
                </c:pt>
                <c:pt idx="3">
                  <c:v>3.099505295463411E-2</c:v>
                </c:pt>
                <c:pt idx="4">
                  <c:v>5.7024924639735568E-2</c:v>
                </c:pt>
              </c:numCache>
            </c:numRef>
          </c:xVal>
          <c:yVal>
            <c:numRef>
              <c:f>Graphs!graph_e_y_range_A</c:f>
              <c:numCache>
                <c:formatCode>0.00</c:formatCode>
                <c:ptCount val="5"/>
                <c:pt idx="0">
                  <c:v>44.025363215624999</c:v>
                </c:pt>
                <c:pt idx="1">
                  <c:v>45.4526667875</c:v>
                </c:pt>
                <c:pt idx="2">
                  <c:v>46.660834871874997</c:v>
                </c:pt>
                <c:pt idx="3">
                  <c:v>48.497941474999998</c:v>
                </c:pt>
                <c:pt idx="4">
                  <c:v>50.245138909375001</c:v>
                </c:pt>
              </c:numCache>
            </c:numRef>
          </c:yVal>
          <c:smooth val="1"/>
          <c:extLst>
            <c:ext xmlns:c16="http://schemas.microsoft.com/office/drawing/2014/chart" uri="{C3380CC4-5D6E-409C-BE32-E72D297353CC}">
              <c16:uniqueId val="{00000000-3797-4864-BA2D-5CA3C71571A9}"/>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3797-4864-BA2D-5CA3C71571A9}"/>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ExtRec2_master+r21</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AD2F-4C9F-9DEE-9E1FF4F88631}"/>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AD2F-4C9F-9DEE-9E1FF4F88631}"/>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H23" sqref="H23"/>
    </sheetView>
  </sheetViews>
  <sheetFormatPr defaultRowHeight="15" x14ac:dyDescent="0.25"/>
  <cols>
    <col min="2" max="2" width="16.7109375" customWidth="1"/>
    <col min="3" max="12" width="24.7109375" customWidth="1"/>
  </cols>
  <sheetData>
    <row r="1" spans="2:12" x14ac:dyDescent="0.25">
      <c r="B1" t="s">
        <v>0</v>
      </c>
      <c r="C1" s="66" t="s">
        <v>573</v>
      </c>
      <c r="D1" s="58"/>
      <c r="E1" s="58"/>
    </row>
    <row r="2" spans="2:12" x14ac:dyDescent="0.25">
      <c r="B2" t="s">
        <v>1</v>
      </c>
      <c r="C2" s="67"/>
      <c r="D2" s="58"/>
      <c r="E2" s="58"/>
    </row>
    <row r="4" spans="2:12" s="1" customFormat="1" x14ac:dyDescent="0.25">
      <c r="B4" s="1" t="s">
        <v>2</v>
      </c>
    </row>
    <row r="6" spans="2:12" x14ac:dyDescent="0.25">
      <c r="B6" s="61" t="s">
        <v>3</v>
      </c>
      <c r="C6" s="62" t="s">
        <v>4</v>
      </c>
      <c r="D6" s="63"/>
      <c r="E6" s="63"/>
      <c r="F6" s="63"/>
      <c r="G6" s="63"/>
      <c r="H6" s="63"/>
      <c r="I6" s="63"/>
      <c r="J6" s="63"/>
      <c r="K6" s="63"/>
      <c r="L6" s="63"/>
    </row>
    <row r="7" spans="2:12" x14ac:dyDescent="0.25">
      <c r="B7" s="58"/>
      <c r="C7" s="64" t="s">
        <v>5</v>
      </c>
      <c r="D7" s="58"/>
      <c r="E7" s="65" t="s">
        <v>6</v>
      </c>
      <c r="F7" s="58"/>
      <c r="G7" s="58"/>
      <c r="H7" s="64" t="s">
        <v>7</v>
      </c>
      <c r="I7" s="58"/>
      <c r="J7" s="65" t="s">
        <v>8</v>
      </c>
      <c r="K7" s="58"/>
      <c r="L7" s="58"/>
    </row>
    <row r="8" spans="2:12" x14ac:dyDescent="0.25">
      <c r="B8" s="60"/>
      <c r="C8" s="2" t="s">
        <v>9</v>
      </c>
      <c r="D8" s="2" t="s">
        <v>10</v>
      </c>
      <c r="E8" s="3" t="s">
        <v>11</v>
      </c>
      <c r="F8" s="3" t="s">
        <v>12</v>
      </c>
      <c r="G8" s="3" t="s">
        <v>13</v>
      </c>
      <c r="H8" s="2" t="s">
        <v>9</v>
      </c>
      <c r="I8" s="2" t="s">
        <v>10</v>
      </c>
      <c r="J8" s="3" t="s">
        <v>11</v>
      </c>
      <c r="K8" s="3" t="s">
        <v>12</v>
      </c>
      <c r="L8" s="3" t="s">
        <v>13</v>
      </c>
    </row>
    <row r="9" spans="2:12" x14ac:dyDescent="0.25">
      <c r="B9" t="s">
        <v>14</v>
      </c>
      <c r="C9" s="4" t="e">
        <f>'C2 lossyG,lossyA,intra'!$BJ$40:$BJ$40</f>
        <v>#DIV/0!</v>
      </c>
      <c r="D9" s="4" t="e">
        <f>'C2 lossyG,lossyA,intra'!$BK$40:$BK$40</f>
        <v>#DIV/0!</v>
      </c>
      <c r="E9" s="4" t="e">
        <f>'C2 lossyG,lossyA,intra'!$BL$40:$BL$40</f>
        <v>#DIV/0!</v>
      </c>
      <c r="F9" s="4" t="e">
        <f>'C2 lossyG,lossyA,intra'!$BM$40:$BM$40</f>
        <v>#DIV/0!</v>
      </c>
      <c r="G9" s="4" t="e">
        <f>'C2 lossyG,lossyA,intra'!$BN$40:$BN$40</f>
        <v>#DIV/0!</v>
      </c>
      <c r="H9" s="4" t="e">
        <f>'C2 lossyG,lossyA,intra'!$BP$40:$BP$40</f>
        <v>#DIV/0!</v>
      </c>
      <c r="I9" s="4" t="e">
        <f>'C2 lossyG,lossyA,intra'!$BQ$40:$BQ$40</f>
        <v>#DIV/0!</v>
      </c>
      <c r="J9" s="4" t="e">
        <f>'C2 lossyG,lossyA,intra'!$BR$40:$BR$40</f>
        <v>#DIV/0!</v>
      </c>
      <c r="K9" s="4" t="e">
        <f>'C2 lossyG,lossyA,intra'!$BS$40:$BS$40</f>
        <v>#DIV/0!</v>
      </c>
      <c r="L9" s="4" t="e">
        <f>'C2 lossyG,lossyA,intra'!$BT$40:$BT$40</f>
        <v>#DIV/0!</v>
      </c>
    </row>
    <row r="10" spans="2:12" x14ac:dyDescent="0.25">
      <c r="B10" t="s">
        <v>15</v>
      </c>
      <c r="C10" s="4" t="e">
        <f>'C2 lossyG,lossyA,intra'!$BJ$41:$BJ$41</f>
        <v>#DIV/0!</v>
      </c>
      <c r="D10" s="4" t="e">
        <f>'C2 lossyG,lossyA,intra'!$BK$41:$BK$41</f>
        <v>#DIV/0!</v>
      </c>
      <c r="E10" s="4" t="e">
        <f>'C2 lossyG,lossyA,intra'!$BL$41:$BL$41</f>
        <v>#DIV/0!</v>
      </c>
      <c r="F10" s="4" t="e">
        <f>'C2 lossyG,lossyA,intra'!$BM$41:$BM$41</f>
        <v>#DIV/0!</v>
      </c>
      <c r="G10" s="4" t="e">
        <f>'C2 lossyG,lossyA,intra'!$BN$41:$BN$41</f>
        <v>#DIV/0!</v>
      </c>
      <c r="H10" s="4" t="e">
        <f>'C2 lossyG,lossyA,intra'!$BP$41:$BP$41</f>
        <v>#DIV/0!</v>
      </c>
      <c r="I10" s="4" t="e">
        <f>'C2 lossyG,lossyA,intra'!$BQ$41:$BQ$41</f>
        <v>#DIV/0!</v>
      </c>
      <c r="J10" s="4" t="e">
        <f>'C2 lossyG,lossyA,intra'!$BR$41:$BR$41</f>
        <v>#DIV/0!</v>
      </c>
      <c r="K10" s="4" t="e">
        <f>'C2 lossyG,lossyA,intra'!$BS$41:$BS$41</f>
        <v>#DIV/0!</v>
      </c>
      <c r="L10" s="4" t="e">
        <f>'C2 lossyG,lossyA,intra'!$BT$41:$BT$41</f>
        <v>#DIV/0!</v>
      </c>
    </row>
    <row r="11" spans="2:12" x14ac:dyDescent="0.25">
      <c r="B11" t="s">
        <v>16</v>
      </c>
      <c r="C11" s="4" t="e">
        <f>'C2 lossyG,lossyA,intra'!$BJ$42:$BJ$42</f>
        <v>#DIV/0!</v>
      </c>
      <c r="D11" s="4" t="e">
        <f>'C2 lossyG,lossyA,intra'!$BK$42:$BK$42</f>
        <v>#DIV/0!</v>
      </c>
      <c r="E11" s="4" t="e">
        <f>'C2 lossyG,lossyA,intra'!$BL$42:$BL$42</f>
        <v>#DIV/0!</v>
      </c>
      <c r="F11" s="4" t="e">
        <f>'C2 lossyG,lossyA,intra'!$BM$42:$BM$42</f>
        <v>#DIV/0!</v>
      </c>
      <c r="G11" s="4" t="e">
        <f>'C2 lossyG,lossyA,intra'!$BN$42:$BN$42</f>
        <v>#DIV/0!</v>
      </c>
      <c r="H11" s="4" t="e">
        <f>'C2 lossyG,lossyA,intra'!$BP$42:$BP$42</f>
        <v>#DIV/0!</v>
      </c>
      <c r="I11" s="4" t="e">
        <f>'C2 lossyG,lossyA,intra'!$BQ$42:$BQ$42</f>
        <v>#DIV/0!</v>
      </c>
      <c r="J11" s="4" t="e">
        <f>'C2 lossyG,lossyA,intra'!$BR$42:$BR$42</f>
        <v>#DIV/0!</v>
      </c>
      <c r="K11" s="4" t="e">
        <f>'C2 lossyG,lossyA,intra'!$BS$42:$BS$42</f>
        <v>#DIV/0!</v>
      </c>
      <c r="L11" s="4" t="e">
        <f>'C2 lossyG,lossyA,intra'!$BT$42:$BT$42</f>
        <v>#DIV/0!</v>
      </c>
    </row>
    <row r="12" spans="2:12" x14ac:dyDescent="0.25">
      <c r="B12" s="5" t="s">
        <v>17</v>
      </c>
      <c r="C12" s="6" t="e">
        <f>'C2 lossyG,lossyA,intra'!$BJ$43:$BJ$43</f>
        <v>#DIV/0!</v>
      </c>
      <c r="D12" s="6" t="e">
        <f>'C2 lossyG,lossyA,intra'!$BK$43:$BK$43</f>
        <v>#DIV/0!</v>
      </c>
      <c r="E12" s="6" t="e">
        <f>'C2 lossyG,lossyA,intra'!$BL$43:$BL$43</f>
        <v>#DIV/0!</v>
      </c>
      <c r="F12" s="6" t="e">
        <f>'C2 lossyG,lossyA,intra'!$BM$43:$BM$43</f>
        <v>#DIV/0!</v>
      </c>
      <c r="G12" s="6" t="e">
        <f>'C2 lossyG,lossyA,intra'!$BN$43:$BN$43</f>
        <v>#DIV/0!</v>
      </c>
      <c r="H12" s="6" t="e">
        <f>'C2 lossyG,lossyA,intra'!$BP$43:$BP$43</f>
        <v>#DIV/0!</v>
      </c>
      <c r="I12" s="6" t="e">
        <f>'C2 lossyG,lossyA,intra'!$BQ$43:$BQ$43</f>
        <v>#DIV/0!</v>
      </c>
      <c r="J12" s="6" t="e">
        <f>'C2 lossyG,lossyA,intra'!$BR$43:$BR$43</f>
        <v>#DIV/0!</v>
      </c>
      <c r="K12" s="6" t="e">
        <f>'C2 lossyG,lossyA,intra'!$BS$43:$BS$43</f>
        <v>#DIV/0!</v>
      </c>
      <c r="L12" s="6" t="e">
        <f>'C2 lossyG,lossyA,intra'!$BT$43:$BT$43</f>
        <v>#DIV/0!</v>
      </c>
    </row>
    <row r="13" spans="2:12" x14ac:dyDescent="0.25">
      <c r="B13" t="s">
        <v>18</v>
      </c>
      <c r="C13" s="57" t="e">
        <f>'C2 lossyG,lossyA,intra'!AZ47</f>
        <v>#NUM!</v>
      </c>
      <c r="D13" s="58"/>
      <c r="E13" s="58"/>
      <c r="F13" s="58"/>
      <c r="G13" s="58"/>
      <c r="H13" s="58"/>
      <c r="I13" s="58"/>
      <c r="J13" s="58"/>
      <c r="K13" s="58"/>
      <c r="L13" s="58"/>
    </row>
    <row r="14" spans="2:12" x14ac:dyDescent="0.25">
      <c r="B14" s="8" t="s">
        <v>19</v>
      </c>
      <c r="C14" s="59" t="e">
        <f>'C2 lossyG,lossyA,intra'!BB47</f>
        <v>#NUM!</v>
      </c>
      <c r="D14" s="60"/>
      <c r="E14" s="60"/>
      <c r="F14" s="60"/>
      <c r="G14" s="60"/>
      <c r="H14" s="60"/>
      <c r="I14" s="60"/>
      <c r="J14" s="60"/>
      <c r="K14" s="60"/>
      <c r="L14" s="60"/>
    </row>
    <row r="16" spans="2:12" x14ac:dyDescent="0.25">
      <c r="B16" s="61" t="s">
        <v>20</v>
      </c>
      <c r="C16" s="62" t="s">
        <v>21</v>
      </c>
      <c r="D16" s="63"/>
      <c r="E16" s="63"/>
    </row>
    <row r="17" spans="2:5" x14ac:dyDescent="0.25">
      <c r="B17" s="58"/>
      <c r="C17" s="64" t="s">
        <v>22</v>
      </c>
      <c r="D17" s="58"/>
      <c r="E17" s="58"/>
    </row>
    <row r="18" spans="2:5" x14ac:dyDescent="0.25">
      <c r="B18" s="60"/>
      <c r="C18" s="2" t="s">
        <v>23</v>
      </c>
      <c r="D18" s="2" t="s">
        <v>24</v>
      </c>
      <c r="E18" s="2" t="s">
        <v>25</v>
      </c>
    </row>
    <row r="19" spans="2:5" x14ac:dyDescent="0.25">
      <c r="B19" t="s">
        <v>14</v>
      </c>
      <c r="C19" s="4" t="e">
        <f>'CW losslG,losslA,intra'!BC12</f>
        <v>#DIV/0!</v>
      </c>
      <c r="D19" s="4" t="e">
        <f>'CW losslG,losslA,intra'!BE12</f>
        <v>#DIV/0!</v>
      </c>
      <c r="E19" s="4" t="e">
        <f>'CW losslG,losslA,intra'!BB12</f>
        <v>#DIV/0!</v>
      </c>
    </row>
    <row r="20" spans="2:5" x14ac:dyDescent="0.25">
      <c r="B20" t="s">
        <v>15</v>
      </c>
      <c r="C20" s="4" t="e">
        <f>'CW losslG,losslA,intra'!BC13</f>
        <v>#DIV/0!</v>
      </c>
      <c r="D20" s="4" t="e">
        <f>'CW losslG,losslA,intra'!BE13</f>
        <v>#DIV/0!</v>
      </c>
      <c r="E20" s="4" t="e">
        <f>'CW losslG,losslA,intra'!BB13</f>
        <v>#DIV/0!</v>
      </c>
    </row>
    <row r="21" spans="2:5" x14ac:dyDescent="0.25">
      <c r="B21" t="s">
        <v>16</v>
      </c>
      <c r="C21" s="4" t="e">
        <f>'CW losslG,losslA,intra'!BC14</f>
        <v>#DIV/0!</v>
      </c>
      <c r="D21" s="4" t="e">
        <f>'CW losslG,losslA,intra'!BE14</f>
        <v>#DIV/0!</v>
      </c>
      <c r="E21" s="4" t="e">
        <f>'CW losslG,losslA,intra'!BB14</f>
        <v>#DIV/0!</v>
      </c>
    </row>
    <row r="22" spans="2:5" x14ac:dyDescent="0.25">
      <c r="B22" s="5" t="s">
        <v>17</v>
      </c>
      <c r="C22" s="6" t="e">
        <f>'CW losslG,losslA,intra'!BC15</f>
        <v>#DIV/0!</v>
      </c>
      <c r="D22" s="6" t="e">
        <f>'CW losslG,losslA,intra'!BE15</f>
        <v>#DIV/0!</v>
      </c>
      <c r="E22" s="6" t="e">
        <f>'CW losslG,losslA,intra'!BB15</f>
        <v>#DIV/0!</v>
      </c>
    </row>
    <row r="23" spans="2:5" x14ac:dyDescent="0.25">
      <c r="B23" t="s">
        <v>18</v>
      </c>
      <c r="C23" s="57" t="e">
        <f>'CW losslG,losslA,intra'!AW19</f>
        <v>#NUM!</v>
      </c>
      <c r="D23" s="58"/>
      <c r="E23" s="58"/>
    </row>
    <row r="24" spans="2:5" x14ac:dyDescent="0.25">
      <c r="B24" s="8" t="s">
        <v>19</v>
      </c>
      <c r="C24" s="59" t="e">
        <f>'CW losslG,losslA,intra'!AY19</f>
        <v>#NUM!</v>
      </c>
      <c r="D24" s="60"/>
      <c r="E24" s="60"/>
    </row>
    <row r="26" spans="2:5" s="1" customFormat="1" x14ac:dyDescent="0.25">
      <c r="B26" s="1" t="s">
        <v>26</v>
      </c>
    </row>
    <row r="28" spans="2:5" x14ac:dyDescent="0.25">
      <c r="B28" s="61" t="s">
        <v>27</v>
      </c>
      <c r="C28" s="62" t="s">
        <v>28</v>
      </c>
      <c r="D28" s="63"/>
      <c r="E28" s="63"/>
    </row>
    <row r="29" spans="2:5" x14ac:dyDescent="0.25">
      <c r="B29" s="58"/>
      <c r="C29" s="64" t="s">
        <v>22</v>
      </c>
      <c r="D29" s="58"/>
      <c r="E29" s="58"/>
    </row>
    <row r="30" spans="2:5" x14ac:dyDescent="0.25">
      <c r="B30" s="60"/>
      <c r="C30" s="2" t="s">
        <v>23</v>
      </c>
      <c r="D30" s="2" t="s">
        <v>24</v>
      </c>
      <c r="E30" s="2" t="s">
        <v>25</v>
      </c>
    </row>
    <row r="31" spans="2:5" x14ac:dyDescent="0.25">
      <c r="B31" t="s">
        <v>14</v>
      </c>
      <c r="C31" s="4" t="e">
        <f>'CW losslG,losslA,interLD'!BC12</f>
        <v>#DIV/0!</v>
      </c>
      <c r="D31" s="4" t="e">
        <f>'CW losslG,losslA,interLD'!BE12</f>
        <v>#DIV/0!</v>
      </c>
      <c r="E31" s="4" t="e">
        <f>'CW losslG,losslA,interLD'!BB12</f>
        <v>#DIV/0!</v>
      </c>
    </row>
    <row r="32" spans="2:5" x14ac:dyDescent="0.25">
      <c r="B32" t="s">
        <v>15</v>
      </c>
      <c r="C32" s="4" t="e">
        <f>'CW losslG,losslA,interLD'!BC13</f>
        <v>#DIV/0!</v>
      </c>
      <c r="D32" s="4" t="e">
        <f>'CW losslG,losslA,interLD'!BE13</f>
        <v>#DIV/0!</v>
      </c>
      <c r="E32" s="4" t="e">
        <f>'CW losslG,losslA,interLD'!BB13</f>
        <v>#DIV/0!</v>
      </c>
    </row>
    <row r="33" spans="2:12" x14ac:dyDescent="0.25">
      <c r="B33" t="s">
        <v>16</v>
      </c>
      <c r="C33" s="4" t="e">
        <f>'CW losslG,losslA,interLD'!BC14</f>
        <v>#DIV/0!</v>
      </c>
      <c r="D33" s="4" t="e">
        <f>'CW losslG,losslA,interLD'!BE14</f>
        <v>#DIV/0!</v>
      </c>
      <c r="E33" s="4" t="e">
        <f>'CW losslG,losslA,interLD'!BB14</f>
        <v>#DIV/0!</v>
      </c>
    </row>
    <row r="34" spans="2:12" x14ac:dyDescent="0.25">
      <c r="B34" s="5" t="s">
        <v>17</v>
      </c>
      <c r="C34" s="6" t="e">
        <f>'CW losslG,losslA,interLD'!BC15</f>
        <v>#DIV/0!</v>
      </c>
      <c r="D34" s="6" t="e">
        <f>'CW losslG,losslA,interLD'!BE15</f>
        <v>#DIV/0!</v>
      </c>
      <c r="E34" s="6" t="e">
        <f>'CW losslG,losslA,interLD'!BB15</f>
        <v>#DIV/0!</v>
      </c>
    </row>
    <row r="35" spans="2:12" x14ac:dyDescent="0.25">
      <c r="B35" t="s">
        <v>18</v>
      </c>
      <c r="C35" s="57" t="e">
        <f>'CW losslG,losslA,interLD'!AW19</f>
        <v>#NUM!</v>
      </c>
      <c r="D35" s="58"/>
      <c r="E35" s="58"/>
    </row>
    <row r="36" spans="2:12" x14ac:dyDescent="0.25">
      <c r="B36" s="8" t="s">
        <v>19</v>
      </c>
      <c r="C36" s="59" t="e">
        <f>'CW losslG,losslA,interLD'!AY19</f>
        <v>#NUM!</v>
      </c>
      <c r="D36" s="60"/>
      <c r="E36" s="60"/>
    </row>
    <row r="38" spans="2:12" s="1" customFormat="1" x14ac:dyDescent="0.25">
      <c r="B38" s="1" t="s">
        <v>29</v>
      </c>
    </row>
    <row r="40" spans="2:12" x14ac:dyDescent="0.25">
      <c r="B40" s="61" t="s">
        <v>30</v>
      </c>
      <c r="C40" s="62" t="s">
        <v>31</v>
      </c>
      <c r="D40" s="63"/>
      <c r="E40" s="63"/>
      <c r="F40" s="63"/>
      <c r="G40" s="63"/>
      <c r="H40" s="63"/>
      <c r="I40" s="63"/>
      <c r="J40" s="63"/>
      <c r="K40" s="63"/>
      <c r="L40" s="63"/>
    </row>
    <row r="41" spans="2:12" x14ac:dyDescent="0.25">
      <c r="B41" s="58"/>
      <c r="C41" s="64" t="s">
        <v>5</v>
      </c>
      <c r="D41" s="58"/>
      <c r="E41" s="65" t="s">
        <v>6</v>
      </c>
      <c r="F41" s="58"/>
      <c r="G41" s="58"/>
      <c r="H41" s="64" t="s">
        <v>7</v>
      </c>
      <c r="I41" s="58"/>
      <c r="J41" s="65" t="s">
        <v>8</v>
      </c>
      <c r="K41" s="58"/>
      <c r="L41" s="58"/>
    </row>
    <row r="42" spans="2:12" x14ac:dyDescent="0.25">
      <c r="B42" s="60"/>
      <c r="C42" s="2" t="s">
        <v>9</v>
      </c>
      <c r="D42" s="2" t="s">
        <v>10</v>
      </c>
      <c r="E42" s="3" t="s">
        <v>11</v>
      </c>
      <c r="F42" s="3" t="s">
        <v>12</v>
      </c>
      <c r="G42" s="3" t="s">
        <v>13</v>
      </c>
      <c r="H42" s="2" t="s">
        <v>9</v>
      </c>
      <c r="I42" s="2" t="s">
        <v>10</v>
      </c>
      <c r="J42" s="3" t="s">
        <v>11</v>
      </c>
      <c r="K42" s="3" t="s">
        <v>12</v>
      </c>
      <c r="L42" s="3" t="s">
        <v>13</v>
      </c>
    </row>
    <row r="43" spans="2:12" x14ac:dyDescent="0.25">
      <c r="B43" t="s">
        <v>14</v>
      </c>
      <c r="C43" s="4" t="e">
        <f>'C2 lossyG,lossyA,interRA'!$BJ$40:$BJ$40</f>
        <v>#DIV/0!</v>
      </c>
      <c r="D43" s="4" t="e">
        <f>'C2 lossyG,lossyA,interRA'!$BK$40:$BK$40</f>
        <v>#DIV/0!</v>
      </c>
      <c r="E43" s="4" t="e">
        <f>'C2 lossyG,lossyA,interRA'!$BL$40:$BL$40</f>
        <v>#DIV/0!</v>
      </c>
      <c r="F43" s="4" t="e">
        <f>'C2 lossyG,lossyA,interRA'!$BM$40:$BM$40</f>
        <v>#DIV/0!</v>
      </c>
      <c r="G43" s="4" t="e">
        <f>'C2 lossyG,lossyA,interRA'!$BN$40:$BN$40</f>
        <v>#DIV/0!</v>
      </c>
      <c r="H43" s="4" t="e">
        <f>'C2 lossyG,lossyA,interRA'!$BP$40:$BP$40</f>
        <v>#DIV/0!</v>
      </c>
      <c r="I43" s="4" t="e">
        <f>'C2 lossyG,lossyA,interRA'!$BQ$40:$BQ$40</f>
        <v>#DIV/0!</v>
      </c>
      <c r="J43" s="4" t="e">
        <f>'C2 lossyG,lossyA,interRA'!$BR$40:$BR$40</f>
        <v>#DIV/0!</v>
      </c>
      <c r="K43" s="4" t="e">
        <f>'C2 lossyG,lossyA,interRA'!$BS$40:$BS$40</f>
        <v>#DIV/0!</v>
      </c>
      <c r="L43" s="4" t="e">
        <f>'C2 lossyG,lossyA,interRA'!$BT$40:$BT$40</f>
        <v>#DIV/0!</v>
      </c>
    </row>
    <row r="44" spans="2:12" x14ac:dyDescent="0.25">
      <c r="B44" t="s">
        <v>15</v>
      </c>
      <c r="C44" s="4" t="e">
        <f>'C2 lossyG,lossyA,interRA'!$BJ$41:$BJ$41</f>
        <v>#DIV/0!</v>
      </c>
      <c r="D44" s="4" t="e">
        <f>'C2 lossyG,lossyA,interRA'!$BK$41:$BK$41</f>
        <v>#DIV/0!</v>
      </c>
      <c r="E44" s="4" t="e">
        <f>'C2 lossyG,lossyA,interRA'!$BL$41:$BL$41</f>
        <v>#DIV/0!</v>
      </c>
      <c r="F44" s="4" t="e">
        <f>'C2 lossyG,lossyA,interRA'!$BM$41:$BM$41</f>
        <v>#DIV/0!</v>
      </c>
      <c r="G44" s="4" t="e">
        <f>'C2 lossyG,lossyA,interRA'!$BN$41:$BN$41</f>
        <v>#DIV/0!</v>
      </c>
      <c r="H44" s="4" t="e">
        <f>'C2 lossyG,lossyA,interRA'!$BP$41:$BP$41</f>
        <v>#DIV/0!</v>
      </c>
      <c r="I44" s="4" t="e">
        <f>'C2 lossyG,lossyA,interRA'!$BQ$41:$BQ$41</f>
        <v>#DIV/0!</v>
      </c>
      <c r="J44" s="4" t="e">
        <f>'C2 lossyG,lossyA,interRA'!$BR$41:$BR$41</f>
        <v>#DIV/0!</v>
      </c>
      <c r="K44" s="4" t="e">
        <f>'C2 lossyG,lossyA,interRA'!$BS$41:$BS$41</f>
        <v>#DIV/0!</v>
      </c>
      <c r="L44" s="4" t="e">
        <f>'C2 lossyG,lossyA,interRA'!$BT$41:$BT$41</f>
        <v>#DIV/0!</v>
      </c>
    </row>
    <row r="45" spans="2:12" x14ac:dyDescent="0.25">
      <c r="B45" t="s">
        <v>16</v>
      </c>
      <c r="C45" s="4" t="e">
        <f>'C2 lossyG,lossyA,interRA'!$BJ$42:$BJ$42</f>
        <v>#DIV/0!</v>
      </c>
      <c r="D45" s="4" t="e">
        <f>'C2 lossyG,lossyA,interRA'!$BK$42:$BK$42</f>
        <v>#DIV/0!</v>
      </c>
      <c r="E45" s="4" t="e">
        <f>'C2 lossyG,lossyA,interRA'!$BL$42:$BL$42</f>
        <v>#DIV/0!</v>
      </c>
      <c r="F45" s="4" t="e">
        <f>'C2 lossyG,lossyA,interRA'!$BM$42:$BM$42</f>
        <v>#DIV/0!</v>
      </c>
      <c r="G45" s="4" t="e">
        <f>'C2 lossyG,lossyA,interRA'!$BN$42:$BN$42</f>
        <v>#DIV/0!</v>
      </c>
      <c r="H45" s="4" t="e">
        <f>'C2 lossyG,lossyA,interRA'!$BP$42:$BP$42</f>
        <v>#DIV/0!</v>
      </c>
      <c r="I45" s="4" t="e">
        <f>'C2 lossyG,lossyA,interRA'!$BQ$42:$BQ$42</f>
        <v>#DIV/0!</v>
      </c>
      <c r="J45" s="4" t="e">
        <f>'C2 lossyG,lossyA,interRA'!$BR$42:$BR$42</f>
        <v>#DIV/0!</v>
      </c>
      <c r="K45" s="4" t="e">
        <f>'C2 lossyG,lossyA,interRA'!$BS$42:$BS$42</f>
        <v>#DIV/0!</v>
      </c>
      <c r="L45" s="4" t="e">
        <f>'C2 lossyG,lossyA,interRA'!$BT$42:$BT$42</f>
        <v>#DIV/0!</v>
      </c>
    </row>
    <row r="46" spans="2:12" x14ac:dyDescent="0.25">
      <c r="B46" s="5" t="s">
        <v>17</v>
      </c>
      <c r="C46" s="6" t="e">
        <f>'C2 lossyG,lossyA,interRA'!$BJ$43:$BJ$43</f>
        <v>#DIV/0!</v>
      </c>
      <c r="D46" s="6" t="e">
        <f>'C2 lossyG,lossyA,interRA'!$BK$43:$BK$43</f>
        <v>#DIV/0!</v>
      </c>
      <c r="E46" s="6" t="e">
        <f>'C2 lossyG,lossyA,interRA'!$BL$43:$BL$43</f>
        <v>#DIV/0!</v>
      </c>
      <c r="F46" s="6" t="e">
        <f>'C2 lossyG,lossyA,interRA'!$BM$43:$BM$43</f>
        <v>#DIV/0!</v>
      </c>
      <c r="G46" s="6" t="e">
        <f>'C2 lossyG,lossyA,interRA'!$BN$43:$BN$43</f>
        <v>#DIV/0!</v>
      </c>
      <c r="H46" s="6" t="e">
        <f>'C2 lossyG,lossyA,interRA'!$BP$43:$BP$43</f>
        <v>#DIV/0!</v>
      </c>
      <c r="I46" s="6" t="e">
        <f>'C2 lossyG,lossyA,interRA'!$BQ$43:$BQ$43</f>
        <v>#DIV/0!</v>
      </c>
      <c r="J46" s="6" t="e">
        <f>'C2 lossyG,lossyA,interRA'!$BR$43:$BR$43</f>
        <v>#DIV/0!</v>
      </c>
      <c r="K46" s="6" t="e">
        <f>'C2 lossyG,lossyA,interRA'!$BS$43:$BS$43</f>
        <v>#DIV/0!</v>
      </c>
      <c r="L46" s="6" t="e">
        <f>'C2 lossyG,lossyA,interRA'!$BT$43:$BT$43</f>
        <v>#DIV/0!</v>
      </c>
    </row>
    <row r="47" spans="2:12" x14ac:dyDescent="0.25">
      <c r="B47" t="s">
        <v>18</v>
      </c>
      <c r="C47" s="57" t="e">
        <f>'C2 lossyG,lossyA,interRA'!AZ47</f>
        <v>#NUM!</v>
      </c>
      <c r="D47" s="58"/>
      <c r="E47" s="58"/>
      <c r="F47" s="58"/>
      <c r="G47" s="58"/>
      <c r="H47" s="58"/>
      <c r="I47" s="58"/>
      <c r="J47" s="58"/>
      <c r="K47" s="58"/>
      <c r="L47" s="58"/>
    </row>
    <row r="48" spans="2:12" x14ac:dyDescent="0.25">
      <c r="B48" s="8" t="s">
        <v>19</v>
      </c>
      <c r="C48" s="59" t="e">
        <f>'C2 lossyG,lossyA,interRA'!BB47</f>
        <v>#NUM!</v>
      </c>
      <c r="D48" s="60"/>
      <c r="E48" s="60"/>
      <c r="F48" s="60"/>
      <c r="G48" s="60"/>
      <c r="H48" s="60"/>
      <c r="I48" s="60"/>
      <c r="J48" s="60"/>
      <c r="K48" s="60"/>
      <c r="L48" s="60"/>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customWidth="1"/>
    <col min="2" max="2" width="24.7109375" customWidth="1"/>
    <col min="4" max="4" width="24.7109375" customWidth="1"/>
    <col min="9" max="9" width="16.7109375" customWidth="1"/>
  </cols>
  <sheetData>
    <row r="1" spans="1:16" x14ac:dyDescent="0.25">
      <c r="A1" t="s">
        <v>32</v>
      </c>
      <c r="B1" s="9" t="str">
        <f>M1</f>
        <v>C2 lossyG,lossyA,intra</v>
      </c>
      <c r="C1" t="s">
        <v>33</v>
      </c>
      <c r="I1" t="s">
        <v>34</v>
      </c>
      <c r="M1" t="s">
        <v>35</v>
      </c>
      <c r="N1" t="s">
        <v>36</v>
      </c>
      <c r="O1" t="s">
        <v>37</v>
      </c>
      <c r="P1" t="s">
        <v>38</v>
      </c>
    </row>
    <row r="2" spans="1:16" x14ac:dyDescent="0.25">
      <c r="A2" t="s">
        <v>39</v>
      </c>
      <c r="B2" s="9"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9" t="s">
        <v>51</v>
      </c>
      <c r="C4" t="s">
        <v>52</v>
      </c>
      <c r="D4" s="9" t="s">
        <v>53</v>
      </c>
      <c r="E4" t="s">
        <v>54</v>
      </c>
      <c r="I4" t="s">
        <v>55</v>
      </c>
      <c r="J4" t="s">
        <v>56</v>
      </c>
      <c r="M4" t="s">
        <v>57</v>
      </c>
      <c r="N4" t="s">
        <v>57</v>
      </c>
      <c r="O4" t="s">
        <v>57</v>
      </c>
      <c r="P4" t="s">
        <v>57</v>
      </c>
    </row>
    <row r="5" spans="1:16" x14ac:dyDescent="0.25">
      <c r="A5" t="s">
        <v>50</v>
      </c>
      <c r="B5" s="9" t="s">
        <v>51</v>
      </c>
      <c r="C5" t="s">
        <v>52</v>
      </c>
      <c r="D5" s="9" t="s">
        <v>58</v>
      </c>
      <c r="E5" t="s">
        <v>59</v>
      </c>
      <c r="I5" t="s">
        <v>60</v>
      </c>
      <c r="J5" t="s">
        <v>61</v>
      </c>
      <c r="M5" t="s">
        <v>62</v>
      </c>
      <c r="N5" t="s">
        <v>62</v>
      </c>
      <c r="O5" t="s">
        <v>62</v>
      </c>
      <c r="P5" t="s">
        <v>62</v>
      </c>
    </row>
    <row r="6" spans="1:16" x14ac:dyDescent="0.25">
      <c r="A6" t="s">
        <v>50</v>
      </c>
      <c r="B6" s="9" t="s">
        <v>63</v>
      </c>
      <c r="C6" t="s">
        <v>52</v>
      </c>
      <c r="D6" s="9" t="s">
        <v>64</v>
      </c>
      <c r="E6" t="s">
        <v>65</v>
      </c>
      <c r="I6" t="s">
        <v>66</v>
      </c>
      <c r="J6" t="s">
        <v>67</v>
      </c>
      <c r="M6" t="s">
        <v>68</v>
      </c>
      <c r="N6" t="s">
        <v>68</v>
      </c>
      <c r="O6" t="s">
        <v>68</v>
      </c>
      <c r="P6" t="s">
        <v>68</v>
      </c>
    </row>
    <row r="7" spans="1:16" x14ac:dyDescent="0.25">
      <c r="A7" t="s">
        <v>50</v>
      </c>
      <c r="B7" s="9" t="s">
        <v>63</v>
      </c>
      <c r="C7" t="s">
        <v>52</v>
      </c>
      <c r="D7" s="9" t="s">
        <v>47</v>
      </c>
      <c r="E7" t="s">
        <v>69</v>
      </c>
      <c r="I7" t="s">
        <v>53</v>
      </c>
      <c r="J7" t="s">
        <v>70</v>
      </c>
      <c r="M7" t="s">
        <v>71</v>
      </c>
      <c r="N7" t="s">
        <v>71</v>
      </c>
      <c r="O7" t="s">
        <v>71</v>
      </c>
      <c r="P7" t="s">
        <v>71</v>
      </c>
    </row>
    <row r="8" spans="1:16" x14ac:dyDescent="0.25">
      <c r="A8" t="s">
        <v>50</v>
      </c>
      <c r="B8" s="9" t="s">
        <v>63</v>
      </c>
      <c r="C8" t="s">
        <v>52</v>
      </c>
      <c r="D8" s="9" t="s">
        <v>60</v>
      </c>
      <c r="E8" t="s">
        <v>72</v>
      </c>
      <c r="I8" t="s">
        <v>73</v>
      </c>
      <c r="J8" t="s">
        <v>74</v>
      </c>
      <c r="M8" t="s">
        <v>75</v>
      </c>
      <c r="N8" t="s">
        <v>75</v>
      </c>
      <c r="O8" t="s">
        <v>75</v>
      </c>
      <c r="P8" t="s">
        <v>75</v>
      </c>
    </row>
    <row r="9" spans="1:16" x14ac:dyDescent="0.25">
      <c r="A9" t="s">
        <v>50</v>
      </c>
      <c r="B9" s="9" t="s">
        <v>76</v>
      </c>
      <c r="C9" t="s">
        <v>52</v>
      </c>
      <c r="D9" s="9"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T47"/>
  <sheetViews>
    <sheetView zoomScale="55" zoomScaleNormal="55" workbookViewId="0">
      <pane xSplit="2" ySplit="4" topLeftCell="C5" activePane="bottomRight" state="frozen"/>
      <selection pane="topRight" activeCell="C1" sqref="C1"/>
      <selection pane="bottomLeft" activeCell="A5" sqref="A5"/>
      <selection pane="bottomRight" activeCell="U48" sqref="U48"/>
    </sheetView>
  </sheetViews>
  <sheetFormatPr defaultRowHeight="15" outlineLevelRow="2" x14ac:dyDescent="0.25"/>
  <cols>
    <col min="2" max="2" width="24.7109375" customWidth="1"/>
    <col min="4" max="5" width="10.7109375" customWidth="1"/>
    <col min="8" max="8" width="1.7109375" customWidth="1"/>
    <col min="10" max="13" width="10.7109375" customWidth="1"/>
    <col min="14" max="14" width="24.7109375" hidden="1" customWidth="1"/>
    <col min="15" max="15" width="12.7109375" customWidth="1"/>
    <col min="16" max="16" width="10.7109375" customWidth="1"/>
    <col min="19" max="22" width="12.7109375" customWidth="1"/>
    <col min="23" max="27" width="11.7109375" customWidth="1"/>
    <col min="32" max="32" width="1.7109375" customWidth="1"/>
    <col min="34" max="37" width="10.7109375" customWidth="1"/>
    <col min="38" max="38" width="24.7109375" hidden="1" customWidth="1"/>
    <col min="39" max="39" width="12.7109375" customWidth="1"/>
    <col min="40" max="40" width="10.7109375" customWidth="1"/>
    <col min="43" max="46" width="12.7109375" customWidth="1"/>
    <col min="47" max="51" width="11.7109375" customWidth="1"/>
    <col min="56" max="56" width="1.7109375" customWidth="1"/>
    <col min="61" max="61" width="1.7109375" customWidth="1"/>
    <col min="64" max="66" width="11.7109375" customWidth="1"/>
    <col min="67" max="67" width="1.7109375" customWidth="1"/>
    <col min="70" max="72" width="11.7109375" customWidth="1"/>
    <col min="73" max="73" width="1.7109375" customWidth="1"/>
  </cols>
  <sheetData>
    <row r="1" spans="1:72" x14ac:dyDescent="0.25">
      <c r="A1" s="70" t="s">
        <v>136</v>
      </c>
      <c r="B1" s="58"/>
      <c r="C1" s="58"/>
      <c r="D1" s="58"/>
      <c r="E1" s="58"/>
      <c r="F1" s="58"/>
      <c r="G1" s="58"/>
      <c r="I1" s="66" t="str">
        <f>Summary!$C$1</f>
        <v>ExtRec2_master+r21</v>
      </c>
      <c r="J1" s="58"/>
      <c r="K1" s="58"/>
      <c r="L1" s="58"/>
      <c r="M1" s="58"/>
      <c r="N1" s="58"/>
      <c r="O1" s="58"/>
      <c r="P1" s="58"/>
      <c r="Q1" s="58"/>
      <c r="R1" s="58"/>
      <c r="S1" s="58"/>
      <c r="T1" s="58"/>
      <c r="U1" s="58"/>
      <c r="V1" s="58"/>
      <c r="W1" s="58"/>
      <c r="X1" s="58"/>
      <c r="Y1" s="58"/>
      <c r="Z1" s="58"/>
      <c r="AA1" s="58"/>
      <c r="AB1" s="58"/>
      <c r="AC1" s="58"/>
      <c r="AD1" s="58"/>
      <c r="AE1" s="58"/>
      <c r="AG1" s="67">
        <f>Summary!$C$2</f>
        <v>0</v>
      </c>
      <c r="AH1" s="58"/>
      <c r="AI1" s="58"/>
      <c r="AJ1" s="58"/>
      <c r="AK1" s="58"/>
      <c r="AL1" s="58"/>
      <c r="AM1" s="58"/>
      <c r="AN1" s="58"/>
      <c r="AO1" s="58"/>
      <c r="AP1" s="58"/>
      <c r="AQ1" s="58"/>
      <c r="AR1" s="58"/>
      <c r="AS1" s="58"/>
      <c r="AT1" s="58"/>
      <c r="AU1" s="58"/>
      <c r="AV1" s="58"/>
      <c r="AW1" s="58"/>
      <c r="AX1" s="58"/>
      <c r="AY1" s="58"/>
      <c r="AZ1" s="58"/>
      <c r="BA1" s="58"/>
      <c r="BB1" s="58"/>
      <c r="BC1" s="58"/>
    </row>
    <row r="2" spans="1:72" ht="30" customHeight="1" x14ac:dyDescent="0.25">
      <c r="A2" s="72" t="s">
        <v>137</v>
      </c>
      <c r="B2" s="71" t="s">
        <v>138</v>
      </c>
      <c r="C2" s="72" t="s">
        <v>139</v>
      </c>
      <c r="D2" s="71" t="s">
        <v>140</v>
      </c>
      <c r="E2" s="72" t="s">
        <v>141</v>
      </c>
      <c r="F2" s="71" t="s">
        <v>142</v>
      </c>
      <c r="G2" s="72" t="s">
        <v>143</v>
      </c>
      <c r="I2" s="71" t="s">
        <v>144</v>
      </c>
      <c r="J2" s="69" t="s">
        <v>145</v>
      </c>
      <c r="K2" s="58"/>
      <c r="L2" s="58"/>
      <c r="M2" s="58"/>
      <c r="N2" s="72" t="s">
        <v>146</v>
      </c>
      <c r="O2" s="71" t="s">
        <v>147</v>
      </c>
      <c r="P2" s="72" t="s">
        <v>84</v>
      </c>
      <c r="Q2" s="71" t="s">
        <v>86</v>
      </c>
      <c r="R2" s="72" t="s">
        <v>82</v>
      </c>
      <c r="S2" s="68" t="s">
        <v>148</v>
      </c>
      <c r="T2" s="58"/>
      <c r="U2" s="58"/>
      <c r="V2" s="58"/>
      <c r="W2" s="69" t="s">
        <v>149</v>
      </c>
      <c r="X2" s="58"/>
      <c r="Y2" s="68" t="s">
        <v>150</v>
      </c>
      <c r="Z2" s="58"/>
      <c r="AA2" s="58"/>
      <c r="AB2" s="69" t="s">
        <v>151</v>
      </c>
      <c r="AC2" s="58"/>
      <c r="AD2" s="68" t="s">
        <v>152</v>
      </c>
      <c r="AE2" s="58"/>
      <c r="AG2" s="72" t="s">
        <v>144</v>
      </c>
      <c r="AH2" s="68" t="s">
        <v>145</v>
      </c>
      <c r="AI2" s="58"/>
      <c r="AJ2" s="58"/>
      <c r="AK2" s="58"/>
      <c r="AL2" s="71" t="s">
        <v>153</v>
      </c>
      <c r="AM2" s="72" t="s">
        <v>147</v>
      </c>
      <c r="AN2" s="71" t="s">
        <v>84</v>
      </c>
      <c r="AO2" s="72" t="s">
        <v>86</v>
      </c>
      <c r="AP2" s="71" t="s">
        <v>82</v>
      </c>
      <c r="AQ2" s="69" t="s">
        <v>148</v>
      </c>
      <c r="AR2" s="58"/>
      <c r="AS2" s="58"/>
      <c r="AT2" s="58"/>
      <c r="AU2" s="68" t="s">
        <v>149</v>
      </c>
      <c r="AV2" s="58"/>
      <c r="AW2" s="69" t="s">
        <v>150</v>
      </c>
      <c r="AX2" s="58"/>
      <c r="AY2" s="58"/>
      <c r="AZ2" s="68" t="s">
        <v>151</v>
      </c>
      <c r="BA2" s="58"/>
      <c r="BB2" s="69" t="s">
        <v>152</v>
      </c>
      <c r="BC2" s="58"/>
      <c r="BE2" s="71" t="s">
        <v>154</v>
      </c>
      <c r="BF2" s="72" t="s">
        <v>155</v>
      </c>
      <c r="BG2" s="71" t="s">
        <v>156</v>
      </c>
      <c r="BH2" s="72" t="s">
        <v>156</v>
      </c>
      <c r="BJ2" s="68" t="s">
        <v>5</v>
      </c>
      <c r="BK2" s="58"/>
      <c r="BL2" s="69" t="s">
        <v>6</v>
      </c>
      <c r="BM2" s="58"/>
      <c r="BN2" s="58"/>
      <c r="BP2" s="68" t="s">
        <v>7</v>
      </c>
      <c r="BQ2" s="58"/>
      <c r="BR2" s="69" t="s">
        <v>8</v>
      </c>
      <c r="BS2" s="58"/>
      <c r="BT2" s="58"/>
    </row>
    <row r="3" spans="1:72" x14ac:dyDescent="0.25">
      <c r="A3" s="60"/>
      <c r="B3" s="60"/>
      <c r="C3" s="60"/>
      <c r="D3" s="60"/>
      <c r="E3" s="60"/>
      <c r="F3" s="60"/>
      <c r="G3" s="60"/>
      <c r="I3" s="60"/>
      <c r="J3" s="10" t="s">
        <v>25</v>
      </c>
      <c r="K3" s="10" t="s">
        <v>23</v>
      </c>
      <c r="L3" s="10" t="s">
        <v>157</v>
      </c>
      <c r="M3" s="10" t="s">
        <v>158</v>
      </c>
      <c r="N3" s="60"/>
      <c r="O3" s="60"/>
      <c r="P3" s="60"/>
      <c r="Q3" s="60"/>
      <c r="R3" s="60"/>
      <c r="S3" s="11" t="s">
        <v>25</v>
      </c>
      <c r="T3" s="11" t="s">
        <v>157</v>
      </c>
      <c r="U3" s="11" t="s">
        <v>159</v>
      </c>
      <c r="V3" s="11" t="s">
        <v>24</v>
      </c>
      <c r="W3" s="10" t="s">
        <v>9</v>
      </c>
      <c r="X3" s="10" t="s">
        <v>10</v>
      </c>
      <c r="Y3" s="11" t="s">
        <v>11</v>
      </c>
      <c r="Z3" s="11" t="s">
        <v>12</v>
      </c>
      <c r="AA3" s="11" t="s">
        <v>13</v>
      </c>
      <c r="AB3" s="10" t="s">
        <v>160</v>
      </c>
      <c r="AC3" s="10" t="s">
        <v>161</v>
      </c>
      <c r="AD3" s="11" t="s">
        <v>160</v>
      </c>
      <c r="AE3" s="11" t="s">
        <v>161</v>
      </c>
      <c r="AG3" s="60"/>
      <c r="AH3" s="11" t="s">
        <v>25</v>
      </c>
      <c r="AI3" s="11" t="s">
        <v>23</v>
      </c>
      <c r="AJ3" s="11" t="s">
        <v>157</v>
      </c>
      <c r="AK3" s="11" t="s">
        <v>158</v>
      </c>
      <c r="AL3" s="60"/>
      <c r="AM3" s="60"/>
      <c r="AN3" s="60"/>
      <c r="AO3" s="60"/>
      <c r="AP3" s="60"/>
      <c r="AQ3" s="10" t="s">
        <v>25</v>
      </c>
      <c r="AR3" s="10" t="s">
        <v>157</v>
      </c>
      <c r="AS3" s="10" t="s">
        <v>159</v>
      </c>
      <c r="AT3" s="10" t="s">
        <v>24</v>
      </c>
      <c r="AU3" s="11" t="s">
        <v>9</v>
      </c>
      <c r="AV3" s="11" t="s">
        <v>10</v>
      </c>
      <c r="AW3" s="10" t="s">
        <v>11</v>
      </c>
      <c r="AX3" s="10" t="s">
        <v>12</v>
      </c>
      <c r="AY3" s="10" t="s">
        <v>13</v>
      </c>
      <c r="AZ3" s="11" t="s">
        <v>160</v>
      </c>
      <c r="BA3" s="11" t="s">
        <v>161</v>
      </c>
      <c r="BB3" s="10" t="s">
        <v>160</v>
      </c>
      <c r="BC3" s="10" t="s">
        <v>161</v>
      </c>
      <c r="BE3" s="60"/>
      <c r="BF3" s="60"/>
      <c r="BG3" s="60"/>
      <c r="BH3" s="60"/>
      <c r="BJ3" s="11" t="s">
        <v>9</v>
      </c>
      <c r="BK3" s="11" t="s">
        <v>10</v>
      </c>
      <c r="BL3" s="10" t="s">
        <v>11</v>
      </c>
      <c r="BM3" s="10" t="s">
        <v>12</v>
      </c>
      <c r="BN3" s="10" t="s">
        <v>13</v>
      </c>
      <c r="BP3" s="11" t="s">
        <v>9</v>
      </c>
      <c r="BQ3" s="11" t="s">
        <v>10</v>
      </c>
      <c r="BR3" s="10" t="s">
        <v>11</v>
      </c>
      <c r="BS3" s="10" t="s">
        <v>12</v>
      </c>
      <c r="BT3" s="10" t="s">
        <v>13</v>
      </c>
    </row>
    <row r="4" spans="1:72" ht="123" hidden="1" customHeight="1" x14ac:dyDescent="0.25">
      <c r="A4" s="12" t="s">
        <v>162</v>
      </c>
      <c r="B4" s="13" t="s">
        <v>163</v>
      </c>
      <c r="C4" s="12" t="s">
        <v>164</v>
      </c>
      <c r="D4" s="13" t="s">
        <v>165</v>
      </c>
      <c r="E4" s="12" t="s">
        <v>166</v>
      </c>
      <c r="F4" s="13" t="s">
        <v>167</v>
      </c>
      <c r="G4" s="12" t="s">
        <v>168</v>
      </c>
      <c r="I4" s="13" t="s">
        <v>169</v>
      </c>
      <c r="J4" s="12" t="s">
        <v>170</v>
      </c>
      <c r="K4" s="12" t="s">
        <v>171</v>
      </c>
      <c r="L4" s="12" t="s">
        <v>172</v>
      </c>
      <c r="M4" s="12" t="s">
        <v>173</v>
      </c>
      <c r="N4" s="12" t="s">
        <v>174</v>
      </c>
      <c r="O4" s="13" t="s">
        <v>175</v>
      </c>
      <c r="P4" s="12" t="s">
        <v>176</v>
      </c>
      <c r="Q4" s="13" t="s">
        <v>177</v>
      </c>
      <c r="R4" s="12" t="s">
        <v>178</v>
      </c>
      <c r="S4" s="13" t="s">
        <v>179</v>
      </c>
      <c r="T4" s="13" t="s">
        <v>180</v>
      </c>
      <c r="U4" s="13" t="s">
        <v>181</v>
      </c>
      <c r="V4" s="13" t="s">
        <v>182</v>
      </c>
      <c r="W4" s="12" t="s">
        <v>183</v>
      </c>
      <c r="X4" s="12" t="s">
        <v>184</v>
      </c>
      <c r="Y4" s="13" t="s">
        <v>185</v>
      </c>
      <c r="Z4" s="13" t="s">
        <v>186</v>
      </c>
      <c r="AA4" s="13" t="s">
        <v>187</v>
      </c>
      <c r="AB4" s="12" t="s">
        <v>188</v>
      </c>
      <c r="AC4" s="12" t="s">
        <v>189</v>
      </c>
      <c r="AD4" s="13" t="s">
        <v>190</v>
      </c>
      <c r="AE4" s="13" t="s">
        <v>191</v>
      </c>
      <c r="AG4" s="12" t="s">
        <v>192</v>
      </c>
      <c r="AH4" s="13" t="s">
        <v>193</v>
      </c>
      <c r="AI4" s="13" t="s">
        <v>194</v>
      </c>
      <c r="AJ4" s="13" t="s">
        <v>195</v>
      </c>
      <c r="AK4" s="13" t="s">
        <v>196</v>
      </c>
      <c r="AL4" s="13" t="s">
        <v>197</v>
      </c>
      <c r="AM4" s="12" t="s">
        <v>198</v>
      </c>
      <c r="AN4" s="13" t="s">
        <v>199</v>
      </c>
      <c r="AO4" s="12" t="s">
        <v>200</v>
      </c>
      <c r="AP4" s="13" t="s">
        <v>201</v>
      </c>
      <c r="AQ4" s="12" t="s">
        <v>202</v>
      </c>
      <c r="AR4" s="12" t="s">
        <v>203</v>
      </c>
      <c r="AS4" s="12" t="s">
        <v>204</v>
      </c>
      <c r="AT4" s="12" t="s">
        <v>205</v>
      </c>
      <c r="AU4" s="13" t="s">
        <v>206</v>
      </c>
      <c r="AV4" s="13" t="s">
        <v>207</v>
      </c>
      <c r="AW4" s="12" t="s">
        <v>208</v>
      </c>
      <c r="AX4" s="12" t="s">
        <v>209</v>
      </c>
      <c r="AY4" s="12" t="s">
        <v>210</v>
      </c>
      <c r="AZ4" s="13" t="s">
        <v>211</v>
      </c>
      <c r="BA4" s="13" t="s">
        <v>212</v>
      </c>
      <c r="BB4" s="12" t="s">
        <v>213</v>
      </c>
      <c r="BC4" s="12" t="s">
        <v>214</v>
      </c>
      <c r="BE4" s="13" t="s">
        <v>215</v>
      </c>
      <c r="BF4" s="12" t="s">
        <v>216</v>
      </c>
      <c r="BG4" s="13" t="s">
        <v>217</v>
      </c>
      <c r="BH4" s="12" t="s">
        <v>218</v>
      </c>
      <c r="BJ4" s="13" t="s">
        <v>219</v>
      </c>
      <c r="BK4" s="13" t="s">
        <v>220</v>
      </c>
      <c r="BL4" s="12" t="s">
        <v>221</v>
      </c>
      <c r="BM4" s="12" t="s">
        <v>222</v>
      </c>
      <c r="BN4" s="12" t="s">
        <v>223</v>
      </c>
      <c r="BP4" s="13" t="s">
        <v>224</v>
      </c>
      <c r="BQ4" s="13" t="s">
        <v>225</v>
      </c>
      <c r="BR4" s="12" t="s">
        <v>226</v>
      </c>
      <c r="BS4" s="12" t="s">
        <v>227</v>
      </c>
      <c r="BT4" s="12" t="s">
        <v>228</v>
      </c>
    </row>
    <row r="5" spans="1:72" x14ac:dyDescent="0.25">
      <c r="A5" s="14" t="s">
        <v>229</v>
      </c>
      <c r="B5" s="14" t="s">
        <v>49</v>
      </c>
      <c r="C5" s="15" t="s">
        <v>230</v>
      </c>
      <c r="D5" s="14">
        <v>238146391</v>
      </c>
      <c r="E5" s="15">
        <v>10</v>
      </c>
      <c r="F5" s="15">
        <v>32</v>
      </c>
      <c r="G5" s="15">
        <v>30</v>
      </c>
      <c r="I5" s="16">
        <f t="shared" ref="I5:I39" si="0">IF(OR(ISBLANK(S5),ISBLANK(G5)),"·",S5*G5/F5/1000000)</f>
        <v>2.099205</v>
      </c>
      <c r="J5" s="17">
        <f t="shared" ref="J5:J39" si="1">IF(ISBLANK(S5),"·",S5/D5)</f>
        <v>9.4024183637534103E-3</v>
      </c>
      <c r="K5" s="17">
        <f t="shared" ref="K5:K39" si="2">IF(N5="","·",N5/D5)</f>
        <v>5.6054597107037408E-3</v>
      </c>
      <c r="L5" s="17">
        <f t="shared" ref="L5:L39" si="3">IF(T5="","·",T5/D5)</f>
        <v>3.4996289320210609E-3</v>
      </c>
      <c r="M5" s="17">
        <f t="shared" ref="M5:M39" si="4">IF(ISBLANK(V5),"·",V5/D5)</f>
        <v>3.7969586530496699E-3</v>
      </c>
      <c r="N5" s="14">
        <f t="shared" ref="N5:N39" si="5">IF(OR(ISBLANK(T5),ISBLANK(U5)),"",T5+U5)</f>
        <v>1334920</v>
      </c>
      <c r="O5" s="17">
        <v>32</v>
      </c>
      <c r="P5" s="18">
        <v>24461879</v>
      </c>
      <c r="Q5" s="18">
        <v>764433.71875</v>
      </c>
      <c r="R5" s="18">
        <v>23216.46875</v>
      </c>
      <c r="S5" s="19">
        <v>2239152</v>
      </c>
      <c r="T5" s="19">
        <v>833424</v>
      </c>
      <c r="U5" s="19">
        <v>501496</v>
      </c>
      <c r="V5" s="19">
        <v>904232</v>
      </c>
      <c r="W5" s="20">
        <v>67.087557415625</v>
      </c>
      <c r="X5" s="20">
        <v>69.035581431249994</v>
      </c>
      <c r="Y5" s="20">
        <v>32.776210909375003</v>
      </c>
      <c r="Z5" s="20">
        <v>44.438203199999997</v>
      </c>
      <c r="AA5" s="20">
        <v>44.025363215624999</v>
      </c>
      <c r="AB5" s="21">
        <v>2990.6329999999998</v>
      </c>
      <c r="AC5" s="21">
        <v>0</v>
      </c>
      <c r="AD5" s="21">
        <v>48.244</v>
      </c>
      <c r="AE5" s="21">
        <v>0</v>
      </c>
      <c r="AG5" s="16" t="str">
        <f t="shared" ref="AG5:AG39" si="6">IF(OR(ISBLANK(AQ5),ISBLANK(G5)),"·",AQ5*G5/F5/1000000)</f>
        <v>·</v>
      </c>
      <c r="AH5" s="17" t="str">
        <f t="shared" ref="AH5:AH39" si="7">IF(ISBLANK(AQ5),"·",AQ5/D5)</f>
        <v>·</v>
      </c>
      <c r="AI5" s="17" t="str">
        <f t="shared" ref="AI5:AI39" si="8">IF(AL5="","·",AL5/D5)</f>
        <v>·</v>
      </c>
      <c r="AJ5" s="17" t="str">
        <f t="shared" ref="AJ5:AJ39" si="9">IF(AR5="","·",AR5/D5)</f>
        <v>·</v>
      </c>
      <c r="AK5" s="17" t="str">
        <f t="shared" ref="AK5:AK39" si="10">IF(ISBLANK(AT5),"·",AT5/D5)</f>
        <v>·</v>
      </c>
      <c r="AL5" s="14" t="str">
        <f t="shared" ref="AL5:AL39" si="11">IF(OR(ISBLANK(AR5),ISBLANK(AS5)),"",AR5+AS5)</f>
        <v/>
      </c>
      <c r="AM5" s="17">
        <v>32</v>
      </c>
      <c r="AN5" s="18"/>
      <c r="AO5" s="18"/>
      <c r="AP5" s="18"/>
      <c r="AQ5" s="19"/>
      <c r="AR5" s="19"/>
      <c r="AS5" s="19"/>
      <c r="AT5" s="19"/>
      <c r="AU5" s="20"/>
      <c r="AV5" s="20"/>
      <c r="AW5" s="20"/>
      <c r="AX5" s="20"/>
      <c r="AY5" s="20"/>
      <c r="AZ5" s="21"/>
      <c r="BA5" s="21"/>
      <c r="BB5" s="21"/>
      <c r="BC5" s="21"/>
      <c r="BE5" s="22" t="e">
        <f t="shared" ref="BE5:BE43" si="12">AI5/K5</f>
        <v>#VALUE!</v>
      </c>
      <c r="BF5" s="23" t="e">
        <f t="shared" ref="BF5:BF39" si="13">(AP5/AO5) - (R5/Q5)</f>
        <v>#DIV/0!</v>
      </c>
      <c r="BG5" s="23" t="e">
        <f t="shared" ref="BG5:BG39" si="14">(AL5/AQ5) - (N5/S5)</f>
        <v>#VALUE!</v>
      </c>
      <c r="BH5" s="23" t="e">
        <f t="array" ref="BH5">AVERAGE(AL5:AL9/AQ5:AQ9) - AVERAGE(N5:N9/S5:S9)</f>
        <v>#VALUE!</v>
      </c>
      <c r="BJ5" s="22" t="str">
        <f>IF( OR(ISBLANK(N5:N9),ISBLANK(AL5:AL9), ISBLANK(W5:W9),ISBLANK(AU5:AU9)), "·", bdRateExtend( N5:N9,W5:W9, AL5:AL9,AU5:AU9))</f>
        <v>·</v>
      </c>
      <c r="BK5" s="22" t="str">
        <f>IF( OR(ISBLANK(N5:N9),ISBLANK(AL5:AL9), ISBLANK(X5:X9),ISBLANK(AV5:AV9)), "·", bdRateExtend( N5:N9,X5:X9, AL5:AL9,AV5:AV9))</f>
        <v>·</v>
      </c>
      <c r="BL5" s="22" t="str">
        <f>IF( OR(ISBLANK(V5:V9),ISBLANK(AT5:AT9), ISBLANK(Y5:Y9),ISBLANK(AW5:AW9)), "·", bdRateExtend( V5:V9,Y5:Y9, AT5:AT9,AW5:AW9))</f>
        <v>·</v>
      </c>
      <c r="BM5" s="22" t="str">
        <f>IF( OR(ISBLANK(V5:V9),ISBLANK(AT5:AT9), ISBLANK(Z5:Z9),ISBLANK(AX5:AX9)), "·", bdRateExtend( V5:V9,Z5:Z9, AT5:AT9,AX5:AX9))</f>
        <v>·</v>
      </c>
      <c r="BN5" s="22" t="str">
        <f>IF( OR(ISBLANK(V5:V9),ISBLANK(AT5:AT9), ISBLANK(AA5:AA9),ISBLANK(AY5:AY9)), "·", bdRateExtend( V5:V9,AA5:AA9, AT5:AT9,AY5:AY9))</f>
        <v>·</v>
      </c>
      <c r="BP5" s="22" t="str">
        <f>IF( OR(ISBLANK(S5:S9),ISBLANK(AQ5:AQ9), ISBLANK(W5:W9),ISBLANK(AU5:AU9)), "·", bdRateExtend( S5:S9,W5:W9, AQ5:AQ9,AU5:AU9))</f>
        <v>·</v>
      </c>
      <c r="BQ5" s="22" t="str">
        <f>IF( OR(ISBLANK(S5:S9),ISBLANK(AQ5:AQ9), ISBLANK(X5:X9),ISBLANK(AV5:AV9)), "·", bdRateExtend( S5:S9,X5:X9, AQ5:AQ9,AV5:AV9))</f>
        <v>·</v>
      </c>
      <c r="BR5" s="22" t="str">
        <f>IF( OR(ISBLANK(S5:S9),ISBLANK(AQ5:AQ9), ISBLANK(Y5:Y9),ISBLANK(AW5:AW9)), "·", bdRateExtend( S5:S9,Y5:Y9, AQ5:AQ9,AW5:AW9))</f>
        <v>·</v>
      </c>
      <c r="BS5" s="22" t="str">
        <f>IF( OR(ISBLANK(S5:S9),ISBLANK(AQ5:AQ9), ISBLANK(Z5:Z9),ISBLANK(AX5:AX9)), "·", bdRateExtend( S5:S9,Z5:Z9, AQ5:AQ9,AX5:AX9))</f>
        <v>·</v>
      </c>
      <c r="BT5" s="22" t="str">
        <f>IF( OR(ISBLANK(S5:S9),ISBLANK(AQ5:AQ9), ISBLANK(AA5:AA9),ISBLANK(AY5:AY9)), "·", bdRateExtend( S5:S9,AA5:AA9, AQ5:AQ9,AY5:AY9))</f>
        <v>·</v>
      </c>
    </row>
    <row r="6" spans="1:72" outlineLevel="1" x14ac:dyDescent="0.25">
      <c r="A6" s="24"/>
      <c r="B6" s="24" t="s">
        <v>49</v>
      </c>
      <c r="C6" s="25" t="s">
        <v>231</v>
      </c>
      <c r="D6" s="24">
        <v>238146391</v>
      </c>
      <c r="E6" s="25">
        <v>10</v>
      </c>
      <c r="F6" s="25">
        <v>32</v>
      </c>
      <c r="G6" s="25">
        <v>30</v>
      </c>
      <c r="I6" s="26">
        <f t="shared" si="0"/>
        <v>3.3640275000000002</v>
      </c>
      <c r="J6" s="27">
        <f t="shared" si="1"/>
        <v>1.5067606042369125E-2</v>
      </c>
      <c r="K6" s="27">
        <f t="shared" si="2"/>
        <v>6.8235004241571735E-3</v>
      </c>
      <c r="L6" s="27">
        <f t="shared" si="3"/>
        <v>4.7176696454744932E-3</v>
      </c>
      <c r="M6" s="27">
        <f t="shared" si="4"/>
        <v>8.2441056182119502E-3</v>
      </c>
      <c r="N6" s="24">
        <f t="shared" si="5"/>
        <v>1624992</v>
      </c>
      <c r="O6" s="27">
        <v>32</v>
      </c>
      <c r="P6" s="28">
        <v>24724033</v>
      </c>
      <c r="Q6" s="28">
        <v>772626.03125</v>
      </c>
      <c r="R6" s="28">
        <v>26341.25</v>
      </c>
      <c r="S6" s="29">
        <v>3588296</v>
      </c>
      <c r="T6" s="29">
        <v>1123496</v>
      </c>
      <c r="U6" s="29">
        <v>501496</v>
      </c>
      <c r="V6" s="29">
        <v>1963304</v>
      </c>
      <c r="W6" s="30">
        <v>68.642905575</v>
      </c>
      <c r="X6" s="30">
        <v>71.043160703124997</v>
      </c>
      <c r="Y6" s="30">
        <v>35.207772943750001</v>
      </c>
      <c r="Z6" s="30">
        <v>45.854859040625001</v>
      </c>
      <c r="AA6" s="30">
        <v>45.4526667875</v>
      </c>
      <c r="AB6" s="31">
        <v>4187.3339999999998</v>
      </c>
      <c r="AC6" s="31">
        <v>0</v>
      </c>
      <c r="AD6" s="31">
        <v>51.960999999999999</v>
      </c>
      <c r="AE6" s="31">
        <v>0</v>
      </c>
      <c r="AG6" s="26" t="str">
        <f t="shared" si="6"/>
        <v>·</v>
      </c>
      <c r="AH6" s="27" t="str">
        <f t="shared" si="7"/>
        <v>·</v>
      </c>
      <c r="AI6" s="27" t="str">
        <f t="shared" si="8"/>
        <v>·</v>
      </c>
      <c r="AJ6" s="27" t="str">
        <f t="shared" si="9"/>
        <v>·</v>
      </c>
      <c r="AK6" s="27" t="str">
        <f t="shared" si="10"/>
        <v>·</v>
      </c>
      <c r="AL6" s="24" t="str">
        <f t="shared" si="11"/>
        <v/>
      </c>
      <c r="AM6" s="27">
        <v>32</v>
      </c>
      <c r="AN6" s="28"/>
      <c r="AO6" s="28"/>
      <c r="AP6" s="28"/>
      <c r="AQ6" s="29"/>
      <c r="AR6" s="29"/>
      <c r="AS6" s="29"/>
      <c r="AT6" s="29"/>
      <c r="AU6" s="30"/>
      <c r="AV6" s="30"/>
      <c r="AW6" s="30"/>
      <c r="AX6" s="30"/>
      <c r="AY6" s="30"/>
      <c r="AZ6" s="31"/>
      <c r="BA6" s="31"/>
      <c r="BB6" s="31"/>
      <c r="BC6" s="31"/>
      <c r="BE6" s="32" t="e">
        <f t="shared" si="12"/>
        <v>#VALUE!</v>
      </c>
      <c r="BF6" s="33" t="e">
        <f t="shared" si="13"/>
        <v>#DIV/0!</v>
      </c>
      <c r="BG6" s="33" t="e">
        <f t="shared" si="14"/>
        <v>#VALUE!</v>
      </c>
      <c r="BH6" s="33"/>
      <c r="BJ6" s="32"/>
      <c r="BK6" s="32"/>
      <c r="BL6" s="32"/>
      <c r="BM6" s="32"/>
      <c r="BN6" s="32"/>
      <c r="BP6" s="32"/>
      <c r="BQ6" s="32"/>
      <c r="BR6" s="32"/>
      <c r="BS6" s="32"/>
      <c r="BT6" s="32"/>
    </row>
    <row r="7" spans="1:72" outlineLevel="1" x14ac:dyDescent="0.25">
      <c r="A7" s="14"/>
      <c r="B7" s="14" t="s">
        <v>49</v>
      </c>
      <c r="C7" s="15" t="s">
        <v>232</v>
      </c>
      <c r="D7" s="14">
        <v>238146391</v>
      </c>
      <c r="E7" s="15">
        <v>10</v>
      </c>
      <c r="F7" s="15">
        <v>32</v>
      </c>
      <c r="G7" s="15">
        <v>30</v>
      </c>
      <c r="I7" s="16">
        <f t="shared" si="0"/>
        <v>5.6027849999999999</v>
      </c>
      <c r="J7" s="17">
        <f t="shared" si="1"/>
        <v>2.5095085316661381E-2</v>
      </c>
      <c r="K7" s="17">
        <f t="shared" si="2"/>
        <v>8.7409428766023166E-3</v>
      </c>
      <c r="L7" s="17">
        <f t="shared" si="3"/>
        <v>6.6351120979196362E-3</v>
      </c>
      <c r="M7" s="17">
        <f t="shared" si="4"/>
        <v>1.6354142440059064E-2</v>
      </c>
      <c r="N7" s="14">
        <f t="shared" si="5"/>
        <v>2081624</v>
      </c>
      <c r="O7" s="17">
        <v>32</v>
      </c>
      <c r="P7" s="18">
        <v>25477157</v>
      </c>
      <c r="Q7" s="18">
        <v>796161.15625</v>
      </c>
      <c r="R7" s="18">
        <v>29869.1875</v>
      </c>
      <c r="S7" s="19">
        <v>5976304</v>
      </c>
      <c r="T7" s="19">
        <v>1580128</v>
      </c>
      <c r="U7" s="19">
        <v>501496</v>
      </c>
      <c r="V7" s="19">
        <v>3894680</v>
      </c>
      <c r="W7" s="20">
        <v>70.153270937499997</v>
      </c>
      <c r="X7" s="20">
        <v>72.721009665625004</v>
      </c>
      <c r="Y7" s="20">
        <v>37.785060040624998</v>
      </c>
      <c r="Z7" s="20">
        <v>47.063330859375</v>
      </c>
      <c r="AA7" s="20">
        <v>46.660834871874997</v>
      </c>
      <c r="AB7" s="21">
        <v>6122.3869999999997</v>
      </c>
      <c r="AC7" s="21">
        <v>0</v>
      </c>
      <c r="AD7" s="21">
        <v>51.506999999999998</v>
      </c>
      <c r="AE7" s="21">
        <v>0</v>
      </c>
      <c r="AG7" s="16" t="str">
        <f t="shared" si="6"/>
        <v>·</v>
      </c>
      <c r="AH7" s="17" t="str">
        <f t="shared" si="7"/>
        <v>·</v>
      </c>
      <c r="AI7" s="17" t="str">
        <f t="shared" si="8"/>
        <v>·</v>
      </c>
      <c r="AJ7" s="17" t="str">
        <f t="shared" si="9"/>
        <v>·</v>
      </c>
      <c r="AK7" s="17" t="str">
        <f t="shared" si="10"/>
        <v>·</v>
      </c>
      <c r="AL7" s="14" t="str">
        <f t="shared" si="11"/>
        <v/>
      </c>
      <c r="AM7" s="17">
        <v>32</v>
      </c>
      <c r="AN7" s="18"/>
      <c r="AO7" s="18"/>
      <c r="AP7" s="18"/>
      <c r="AQ7" s="19"/>
      <c r="AR7" s="19"/>
      <c r="AS7" s="19"/>
      <c r="AT7" s="19"/>
      <c r="AU7" s="20"/>
      <c r="AV7" s="20"/>
      <c r="AW7" s="20"/>
      <c r="AX7" s="20"/>
      <c r="AY7" s="20"/>
      <c r="AZ7" s="21"/>
      <c r="BA7" s="21"/>
      <c r="BB7" s="21"/>
      <c r="BC7" s="21"/>
      <c r="BE7" s="22" t="e">
        <f t="shared" si="12"/>
        <v>#VALUE!</v>
      </c>
      <c r="BF7" s="23" t="e">
        <f t="shared" si="13"/>
        <v>#DIV/0!</v>
      </c>
      <c r="BG7" s="23" t="e">
        <f t="shared" si="14"/>
        <v>#VALUE!</v>
      </c>
      <c r="BH7" s="23"/>
      <c r="BJ7" s="22"/>
      <c r="BK7" s="22"/>
      <c r="BL7" s="22"/>
      <c r="BM7" s="22"/>
      <c r="BN7" s="22"/>
      <c r="BP7" s="22"/>
      <c r="BQ7" s="22"/>
      <c r="BR7" s="22"/>
      <c r="BS7" s="22"/>
      <c r="BT7" s="22"/>
    </row>
    <row r="8" spans="1:72" outlineLevel="1" x14ac:dyDescent="0.25">
      <c r="A8" s="24"/>
      <c r="B8" s="24" t="s">
        <v>49</v>
      </c>
      <c r="C8" s="25" t="s">
        <v>233</v>
      </c>
      <c r="D8" s="24">
        <v>238146391</v>
      </c>
      <c r="E8" s="25">
        <v>10</v>
      </c>
      <c r="F8" s="25">
        <v>32</v>
      </c>
      <c r="G8" s="25">
        <v>30</v>
      </c>
      <c r="I8" s="26">
        <f t="shared" si="0"/>
        <v>9.5403000000000002</v>
      </c>
      <c r="J8" s="27">
        <f t="shared" si="1"/>
        <v>4.2731363499856692E-2</v>
      </c>
      <c r="K8" s="27">
        <f t="shared" si="2"/>
        <v>1.173631054522258E-2</v>
      </c>
      <c r="L8" s="27">
        <f t="shared" si="3"/>
        <v>9.6304797665399018E-3</v>
      </c>
      <c r="M8" s="27">
        <f t="shared" si="4"/>
        <v>3.099505295463411E-2</v>
      </c>
      <c r="N8" s="24">
        <f t="shared" si="5"/>
        <v>2794960</v>
      </c>
      <c r="O8" s="27">
        <v>32</v>
      </c>
      <c r="P8" s="28">
        <v>25759579</v>
      </c>
      <c r="Q8" s="28">
        <v>804986.84375</v>
      </c>
      <c r="R8" s="28">
        <v>32116.0625</v>
      </c>
      <c r="S8" s="29">
        <v>10176320</v>
      </c>
      <c r="T8" s="29">
        <v>2293464</v>
      </c>
      <c r="U8" s="29">
        <v>501496</v>
      </c>
      <c r="V8" s="29">
        <v>7381360</v>
      </c>
      <c r="W8" s="30">
        <v>71.318740096875004</v>
      </c>
      <c r="X8" s="30">
        <v>74.116363368750001</v>
      </c>
      <c r="Y8" s="30">
        <v>40.403856009374998</v>
      </c>
      <c r="Z8" s="30">
        <v>48.855672406250001</v>
      </c>
      <c r="AA8" s="30">
        <v>48.497941474999998</v>
      </c>
      <c r="AB8" s="31">
        <v>8207.6869999999999</v>
      </c>
      <c r="AC8" s="31">
        <v>0</v>
      </c>
      <c r="AD8" s="31">
        <v>52.3</v>
      </c>
      <c r="AE8" s="31">
        <v>0</v>
      </c>
      <c r="AG8" s="26" t="str">
        <f t="shared" si="6"/>
        <v>·</v>
      </c>
      <c r="AH8" s="27" t="str">
        <f t="shared" si="7"/>
        <v>·</v>
      </c>
      <c r="AI8" s="27" t="str">
        <f t="shared" si="8"/>
        <v>·</v>
      </c>
      <c r="AJ8" s="27" t="str">
        <f t="shared" si="9"/>
        <v>·</v>
      </c>
      <c r="AK8" s="27" t="str">
        <f t="shared" si="10"/>
        <v>·</v>
      </c>
      <c r="AL8" s="24" t="str">
        <f t="shared" si="11"/>
        <v/>
      </c>
      <c r="AM8" s="27">
        <v>32</v>
      </c>
      <c r="AN8" s="28"/>
      <c r="AO8" s="28"/>
      <c r="AP8" s="28"/>
      <c r="AQ8" s="29"/>
      <c r="AR8" s="29"/>
      <c r="AS8" s="29"/>
      <c r="AT8" s="29"/>
      <c r="AU8" s="30"/>
      <c r="AV8" s="30"/>
      <c r="AW8" s="30"/>
      <c r="AX8" s="30"/>
      <c r="AY8" s="30"/>
      <c r="AZ8" s="31"/>
      <c r="BA8" s="31"/>
      <c r="BB8" s="31"/>
      <c r="BC8" s="31"/>
      <c r="BE8" s="32" t="e">
        <f t="shared" si="12"/>
        <v>#VALUE!</v>
      </c>
      <c r="BF8" s="33" t="e">
        <f t="shared" si="13"/>
        <v>#DIV/0!</v>
      </c>
      <c r="BG8" s="33" t="e">
        <f t="shared" si="14"/>
        <v>#VALUE!</v>
      </c>
      <c r="BH8" s="33"/>
      <c r="BJ8" s="32"/>
      <c r="BK8" s="32"/>
      <c r="BL8" s="32"/>
      <c r="BM8" s="32"/>
      <c r="BN8" s="32"/>
      <c r="BP8" s="32"/>
      <c r="BQ8" s="32"/>
      <c r="BR8" s="32"/>
      <c r="BS8" s="32"/>
      <c r="BT8" s="32"/>
    </row>
    <row r="9" spans="1:72" outlineLevel="1" x14ac:dyDescent="0.25">
      <c r="A9" s="14"/>
      <c r="B9" s="34" t="s">
        <v>49</v>
      </c>
      <c r="C9" s="35" t="s">
        <v>234</v>
      </c>
      <c r="D9" s="34">
        <v>238146391</v>
      </c>
      <c r="E9" s="35">
        <v>10</v>
      </c>
      <c r="F9" s="35">
        <v>32</v>
      </c>
      <c r="G9" s="35">
        <v>30</v>
      </c>
      <c r="I9" s="36">
        <f t="shared" si="0"/>
        <v>16.711124999999999</v>
      </c>
      <c r="J9" s="37">
        <f t="shared" si="1"/>
        <v>7.484975911308267E-2</v>
      </c>
      <c r="K9" s="37">
        <f t="shared" si="2"/>
        <v>1.7824834473347109E-2</v>
      </c>
      <c r="L9" s="37">
        <f t="shared" si="3"/>
        <v>1.3912014312238727E-2</v>
      </c>
      <c r="M9" s="37">
        <f t="shared" si="4"/>
        <v>5.7024924639735568E-2</v>
      </c>
      <c r="N9" s="34">
        <f t="shared" si="5"/>
        <v>4244920</v>
      </c>
      <c r="O9" s="37">
        <v>32</v>
      </c>
      <c r="P9" s="38">
        <v>25561172</v>
      </c>
      <c r="Q9" s="38">
        <v>798786.625</v>
      </c>
      <c r="R9" s="38">
        <v>30620.375</v>
      </c>
      <c r="S9" s="39">
        <v>17825200</v>
      </c>
      <c r="T9" s="39">
        <v>3313096</v>
      </c>
      <c r="U9" s="39">
        <v>931824</v>
      </c>
      <c r="V9" s="39">
        <v>13580280</v>
      </c>
      <c r="W9" s="40">
        <v>72.310092449999999</v>
      </c>
      <c r="X9" s="40">
        <v>75.831266968750001</v>
      </c>
      <c r="Y9" s="40">
        <v>42.998266478124997</v>
      </c>
      <c r="Z9" s="40">
        <v>50.583190971874998</v>
      </c>
      <c r="AA9" s="40">
        <v>50.245138909375001</v>
      </c>
      <c r="AB9" s="41">
        <v>12468.687</v>
      </c>
      <c r="AC9" s="41">
        <v>0</v>
      </c>
      <c r="AD9" s="41">
        <v>53.377000000000002</v>
      </c>
      <c r="AE9" s="41">
        <v>0</v>
      </c>
      <c r="AG9" s="36" t="str">
        <f t="shared" si="6"/>
        <v>·</v>
      </c>
      <c r="AH9" s="37" t="str">
        <f t="shared" si="7"/>
        <v>·</v>
      </c>
      <c r="AI9" s="37" t="str">
        <f t="shared" si="8"/>
        <v>·</v>
      </c>
      <c r="AJ9" s="37" t="str">
        <f t="shared" si="9"/>
        <v>·</v>
      </c>
      <c r="AK9" s="37" t="str">
        <f t="shared" si="10"/>
        <v>·</v>
      </c>
      <c r="AL9" s="34" t="str">
        <f t="shared" si="11"/>
        <v/>
      </c>
      <c r="AM9" s="37">
        <v>32</v>
      </c>
      <c r="AN9" s="38"/>
      <c r="AO9" s="38"/>
      <c r="AP9" s="38"/>
      <c r="AQ9" s="39"/>
      <c r="AR9" s="39"/>
      <c r="AS9" s="39"/>
      <c r="AT9" s="39"/>
      <c r="AU9" s="40"/>
      <c r="AV9" s="40"/>
      <c r="AW9" s="40"/>
      <c r="AX9" s="40"/>
      <c r="AY9" s="40"/>
      <c r="AZ9" s="41"/>
      <c r="BA9" s="41"/>
      <c r="BB9" s="41"/>
      <c r="BC9" s="41"/>
      <c r="BE9" s="42" t="e">
        <f t="shared" si="12"/>
        <v>#VALUE!</v>
      </c>
      <c r="BF9" s="43" t="e">
        <f t="shared" si="13"/>
        <v>#DIV/0!</v>
      </c>
      <c r="BG9" s="43" t="e">
        <f t="shared" si="14"/>
        <v>#VALUE!</v>
      </c>
      <c r="BH9" s="43"/>
      <c r="BJ9" s="42"/>
      <c r="BK9" s="42"/>
      <c r="BL9" s="42"/>
      <c r="BM9" s="42"/>
      <c r="BN9" s="42"/>
      <c r="BP9" s="42"/>
      <c r="BQ9" s="42"/>
      <c r="BR9" s="42"/>
      <c r="BS9" s="42"/>
      <c r="BT9" s="42"/>
    </row>
    <row r="10" spans="1:72" x14ac:dyDescent="0.25">
      <c r="A10" s="24"/>
      <c r="B10" s="24" t="s">
        <v>57</v>
      </c>
      <c r="C10" s="25" t="s">
        <v>230</v>
      </c>
      <c r="D10" s="24">
        <v>218121242</v>
      </c>
      <c r="E10" s="25">
        <v>10</v>
      </c>
      <c r="F10" s="25">
        <v>32</v>
      </c>
      <c r="G10" s="25">
        <v>30</v>
      </c>
      <c r="I10" s="26">
        <f t="shared" si="0"/>
        <v>2.8373249999999999</v>
      </c>
      <c r="J10" s="27">
        <f t="shared" si="1"/>
        <v>1.3875218994030852E-2</v>
      </c>
      <c r="K10" s="27">
        <f t="shared" si="2"/>
        <v>7.8112887327131579E-3</v>
      </c>
      <c r="L10" s="27">
        <f t="shared" si="3"/>
        <v>4.4568240630135422E-3</v>
      </c>
      <c r="M10" s="27">
        <f t="shared" si="4"/>
        <v>6.0639302613176944E-3</v>
      </c>
      <c r="N10" s="24">
        <f t="shared" si="5"/>
        <v>1703808</v>
      </c>
      <c r="O10" s="27">
        <v>32</v>
      </c>
      <c r="P10" s="28">
        <v>23413519</v>
      </c>
      <c r="Q10" s="28">
        <v>731672.46875</v>
      </c>
      <c r="R10" s="28">
        <v>37101.65625</v>
      </c>
      <c r="S10" s="29">
        <v>3026480</v>
      </c>
      <c r="T10" s="29">
        <v>972128</v>
      </c>
      <c r="U10" s="29">
        <v>731680</v>
      </c>
      <c r="V10" s="29">
        <v>1322672</v>
      </c>
      <c r="W10" s="30">
        <v>66.496763031249998</v>
      </c>
      <c r="X10" s="30">
        <v>68.395217403125002</v>
      </c>
      <c r="Y10" s="30">
        <v>32.952513134375003</v>
      </c>
      <c r="Z10" s="30">
        <v>39.265314387499998</v>
      </c>
      <c r="AA10" s="30">
        <v>31.33993195</v>
      </c>
      <c r="AB10" s="31">
        <v>3459.6039999999998</v>
      </c>
      <c r="AC10" s="31">
        <v>0</v>
      </c>
      <c r="AD10" s="31">
        <v>49.83</v>
      </c>
      <c r="AE10" s="31">
        <v>0</v>
      </c>
      <c r="AG10" s="26" t="str">
        <f t="shared" si="6"/>
        <v>·</v>
      </c>
      <c r="AH10" s="27" t="str">
        <f t="shared" si="7"/>
        <v>·</v>
      </c>
      <c r="AI10" s="27" t="str">
        <f t="shared" si="8"/>
        <v>·</v>
      </c>
      <c r="AJ10" s="27" t="str">
        <f t="shared" si="9"/>
        <v>·</v>
      </c>
      <c r="AK10" s="27" t="str">
        <f t="shared" si="10"/>
        <v>·</v>
      </c>
      <c r="AL10" s="24" t="str">
        <f t="shared" si="11"/>
        <v/>
      </c>
      <c r="AM10" s="27">
        <v>32</v>
      </c>
      <c r="AN10" s="28"/>
      <c r="AO10" s="28"/>
      <c r="AP10" s="28"/>
      <c r="AQ10" s="29"/>
      <c r="AR10" s="29"/>
      <c r="AS10" s="29"/>
      <c r="AT10" s="29"/>
      <c r="AU10" s="30"/>
      <c r="AV10" s="30"/>
      <c r="AW10" s="30"/>
      <c r="AX10" s="30"/>
      <c r="AY10" s="30"/>
      <c r="AZ10" s="31"/>
      <c r="BA10" s="31"/>
      <c r="BB10" s="31"/>
      <c r="BC10" s="31"/>
      <c r="BE10" s="32" t="e">
        <f t="shared" si="12"/>
        <v>#VALUE!</v>
      </c>
      <c r="BF10" s="33" t="e">
        <f t="shared" si="13"/>
        <v>#DIV/0!</v>
      </c>
      <c r="BG10" s="33" t="e">
        <f t="shared" si="14"/>
        <v>#VALUE!</v>
      </c>
      <c r="BH10" s="33" t="e">
        <f t="array" ref="BH10">AVERAGE(AL10:AL14/AQ10:AQ14) - AVERAGE(N10:N14/S10:S14)</f>
        <v>#VALUE!</v>
      </c>
      <c r="BJ10" s="32" t="str">
        <f>IF( OR(ISBLANK(N10:N14),ISBLANK(AL10:AL14), ISBLANK(W10:W14),ISBLANK(AU10:AU14)), "·", bdRateExtend( N10:N14,W10:W14, AL10:AL14,AU10:AU14))</f>
        <v>·</v>
      </c>
      <c r="BK10" s="32" t="str">
        <f>IF( OR(ISBLANK(N10:N14),ISBLANK(AL10:AL14), ISBLANK(X10:X14),ISBLANK(AV10:AV14)), "·", bdRateExtend( N10:N14,X10:X14, AL10:AL14,AV10:AV14))</f>
        <v>·</v>
      </c>
      <c r="BL10" s="32" t="str">
        <f>IF( OR(ISBLANK(V10:V14),ISBLANK(AT10:AT14), ISBLANK(Y10:Y14),ISBLANK(AW10:AW14)), "·", bdRateExtend( V10:V14,Y10:Y14, AT10:AT14,AW10:AW14))</f>
        <v>·</v>
      </c>
      <c r="BM10" s="32" t="str">
        <f>IF( OR(ISBLANK(V10:V14),ISBLANK(AT10:AT14), ISBLANK(Z10:Z14),ISBLANK(AX10:AX14)), "·", bdRateExtend( V10:V14,Z10:Z14, AT10:AT14,AX10:AX14))</f>
        <v>·</v>
      </c>
      <c r="BN10" s="32" t="str">
        <f>IF( OR(ISBLANK(V10:V14),ISBLANK(AT10:AT14), ISBLANK(AA10:AA14),ISBLANK(AY10:AY14)), "·", bdRateExtend( V10:V14,AA10:AA14, AT10:AT14,AY10:AY14))</f>
        <v>·</v>
      </c>
      <c r="BP10" s="32" t="str">
        <f>IF( OR(ISBLANK(S10:S14),ISBLANK(AQ10:AQ14), ISBLANK(W10:W14),ISBLANK(AU10:AU14)), "·", bdRateExtend( S10:S14,W10:W14, AQ10:AQ14,AU10:AU14))</f>
        <v>·</v>
      </c>
      <c r="BQ10" s="32" t="str">
        <f>IF( OR(ISBLANK(S10:S14),ISBLANK(AQ10:AQ14), ISBLANK(X10:X14),ISBLANK(AV10:AV14)), "·", bdRateExtend( S10:S14,X10:X14, AQ10:AQ14,AV10:AV14))</f>
        <v>·</v>
      </c>
      <c r="BR10" s="32" t="str">
        <f>IF( OR(ISBLANK(S10:S14),ISBLANK(AQ10:AQ14), ISBLANK(Y10:Y14),ISBLANK(AW10:AW14)), "·", bdRateExtend( S10:S14,Y10:Y14, AQ10:AQ14,AW10:AW14))</f>
        <v>·</v>
      </c>
      <c r="BS10" s="32" t="str">
        <f>IF( OR(ISBLANK(S10:S14),ISBLANK(AQ10:AQ14), ISBLANK(Z10:Z14),ISBLANK(AX10:AX14)), "·", bdRateExtend( S10:S14,Z10:Z14, AQ10:AQ14,AX10:AX14))</f>
        <v>·</v>
      </c>
      <c r="BT10" s="32" t="str">
        <f>IF( OR(ISBLANK(S10:S14),ISBLANK(AQ10:AQ14), ISBLANK(AA10:AA14),ISBLANK(AY10:AY14)), "·", bdRateExtend( S10:S14,AA10:AA14, AQ10:AQ14,AY10:AY14))</f>
        <v>·</v>
      </c>
    </row>
    <row r="11" spans="1:72" outlineLevel="1" x14ac:dyDescent="0.25">
      <c r="A11" s="14"/>
      <c r="B11" s="14" t="s">
        <v>57</v>
      </c>
      <c r="C11" s="15" t="s">
        <v>231</v>
      </c>
      <c r="D11" s="14">
        <v>218121242</v>
      </c>
      <c r="E11" s="15">
        <v>10</v>
      </c>
      <c r="F11" s="15">
        <v>32</v>
      </c>
      <c r="G11" s="15">
        <v>30</v>
      </c>
      <c r="I11" s="16">
        <f t="shared" si="0"/>
        <v>4.1092124999999999</v>
      </c>
      <c r="J11" s="17">
        <f t="shared" si="1"/>
        <v>2.0095062543243725E-2</v>
      </c>
      <c r="K11" s="17">
        <f t="shared" si="2"/>
        <v>9.5790395325183412E-3</v>
      </c>
      <c r="L11" s="17">
        <f t="shared" si="3"/>
        <v>6.2245748628187254E-3</v>
      </c>
      <c r="M11" s="17">
        <f t="shared" si="4"/>
        <v>1.0516023010725383E-2</v>
      </c>
      <c r="N11" s="14">
        <f t="shared" si="5"/>
        <v>2089392</v>
      </c>
      <c r="O11" s="17">
        <v>32</v>
      </c>
      <c r="P11" s="18">
        <v>23335415</v>
      </c>
      <c r="Q11" s="18">
        <v>729231.71875</v>
      </c>
      <c r="R11" s="18">
        <v>41302.78125</v>
      </c>
      <c r="S11" s="19">
        <v>4383160</v>
      </c>
      <c r="T11" s="19">
        <v>1357712</v>
      </c>
      <c r="U11" s="19">
        <v>731680</v>
      </c>
      <c r="V11" s="19">
        <v>2293768</v>
      </c>
      <c r="W11" s="20">
        <v>67.980643078124999</v>
      </c>
      <c r="X11" s="20">
        <v>70.225542668749995</v>
      </c>
      <c r="Y11" s="20">
        <v>34.865676365624999</v>
      </c>
      <c r="Z11" s="20">
        <v>40.221887015625001</v>
      </c>
      <c r="AA11" s="20">
        <v>33.200766256249999</v>
      </c>
      <c r="AB11" s="21">
        <v>4927.58</v>
      </c>
      <c r="AC11" s="21">
        <v>0</v>
      </c>
      <c r="AD11" s="21">
        <v>49.576999999999998</v>
      </c>
      <c r="AE11" s="21">
        <v>0</v>
      </c>
      <c r="AG11" s="16" t="str">
        <f t="shared" si="6"/>
        <v>·</v>
      </c>
      <c r="AH11" s="17" t="str">
        <f t="shared" si="7"/>
        <v>·</v>
      </c>
      <c r="AI11" s="17" t="str">
        <f t="shared" si="8"/>
        <v>·</v>
      </c>
      <c r="AJ11" s="17" t="str">
        <f t="shared" si="9"/>
        <v>·</v>
      </c>
      <c r="AK11" s="17" t="str">
        <f t="shared" si="10"/>
        <v>·</v>
      </c>
      <c r="AL11" s="14" t="str">
        <f t="shared" si="11"/>
        <v/>
      </c>
      <c r="AM11" s="17">
        <v>32</v>
      </c>
      <c r="AN11" s="18"/>
      <c r="AO11" s="18"/>
      <c r="AP11" s="18"/>
      <c r="AQ11" s="19"/>
      <c r="AR11" s="19"/>
      <c r="AS11" s="19"/>
      <c r="AT11" s="19"/>
      <c r="AU11" s="20"/>
      <c r="AV11" s="20"/>
      <c r="AW11" s="20"/>
      <c r="AX11" s="20"/>
      <c r="AY11" s="20"/>
      <c r="AZ11" s="21"/>
      <c r="BA11" s="21"/>
      <c r="BB11" s="21"/>
      <c r="BC11" s="21"/>
      <c r="BE11" s="22" t="e">
        <f t="shared" si="12"/>
        <v>#VALUE!</v>
      </c>
      <c r="BF11" s="23" t="e">
        <f t="shared" si="13"/>
        <v>#DIV/0!</v>
      </c>
      <c r="BG11" s="23" t="e">
        <f t="shared" si="14"/>
        <v>#VALUE!</v>
      </c>
      <c r="BH11" s="23"/>
      <c r="BJ11" s="22"/>
      <c r="BK11" s="22"/>
      <c r="BL11" s="22"/>
      <c r="BM11" s="22"/>
      <c r="BN11" s="22"/>
      <c r="BP11" s="22"/>
      <c r="BQ11" s="22"/>
      <c r="BR11" s="22"/>
      <c r="BS11" s="22"/>
      <c r="BT11" s="22"/>
    </row>
    <row r="12" spans="1:72" outlineLevel="1" x14ac:dyDescent="0.25">
      <c r="A12" s="24"/>
      <c r="B12" s="24" t="s">
        <v>57</v>
      </c>
      <c r="C12" s="25" t="s">
        <v>232</v>
      </c>
      <c r="D12" s="24">
        <v>218121242</v>
      </c>
      <c r="E12" s="25">
        <v>10</v>
      </c>
      <c r="F12" s="25">
        <v>32</v>
      </c>
      <c r="G12" s="25">
        <v>30</v>
      </c>
      <c r="I12" s="26">
        <f t="shared" si="0"/>
        <v>6.5050499999999998</v>
      </c>
      <c r="J12" s="27">
        <f t="shared" si="1"/>
        <v>3.1811298782169962E-2</v>
      </c>
      <c r="K12" s="27">
        <f t="shared" si="2"/>
        <v>1.2478051083167773E-2</v>
      </c>
      <c r="L12" s="27">
        <f t="shared" si="3"/>
        <v>9.1235864134681568E-3</v>
      </c>
      <c r="M12" s="27">
        <f t="shared" si="4"/>
        <v>1.9333247699002191E-2</v>
      </c>
      <c r="N12" s="24">
        <f t="shared" si="5"/>
        <v>2721728</v>
      </c>
      <c r="O12" s="27">
        <v>32</v>
      </c>
      <c r="P12" s="28">
        <v>23729490</v>
      </c>
      <c r="Q12" s="28">
        <v>741546.5625</v>
      </c>
      <c r="R12" s="28">
        <v>45235.125</v>
      </c>
      <c r="S12" s="29">
        <v>6938720</v>
      </c>
      <c r="T12" s="29">
        <v>1990048</v>
      </c>
      <c r="U12" s="29">
        <v>731680</v>
      </c>
      <c r="V12" s="29">
        <v>4216992</v>
      </c>
      <c r="W12" s="30">
        <v>69.358773218750002</v>
      </c>
      <c r="X12" s="30">
        <v>71.797342815625001</v>
      </c>
      <c r="Y12" s="30">
        <v>37.0323606125</v>
      </c>
      <c r="Z12" s="30">
        <v>41.091220900000003</v>
      </c>
      <c r="AA12" s="30">
        <v>35.102607715624998</v>
      </c>
      <c r="AB12" s="31">
        <v>6880.7139999999999</v>
      </c>
      <c r="AC12" s="31">
        <v>0</v>
      </c>
      <c r="AD12" s="31">
        <v>50.755000000000003</v>
      </c>
      <c r="AE12" s="31">
        <v>0</v>
      </c>
      <c r="AG12" s="26" t="str">
        <f t="shared" si="6"/>
        <v>·</v>
      </c>
      <c r="AH12" s="27" t="str">
        <f t="shared" si="7"/>
        <v>·</v>
      </c>
      <c r="AI12" s="27" t="str">
        <f t="shared" si="8"/>
        <v>·</v>
      </c>
      <c r="AJ12" s="27" t="str">
        <f t="shared" si="9"/>
        <v>·</v>
      </c>
      <c r="AK12" s="27" t="str">
        <f t="shared" si="10"/>
        <v>·</v>
      </c>
      <c r="AL12" s="24" t="str">
        <f t="shared" si="11"/>
        <v/>
      </c>
      <c r="AM12" s="27">
        <v>32</v>
      </c>
      <c r="AN12" s="28"/>
      <c r="AO12" s="28"/>
      <c r="AP12" s="28"/>
      <c r="AQ12" s="29"/>
      <c r="AR12" s="29"/>
      <c r="AS12" s="29"/>
      <c r="AT12" s="29"/>
      <c r="AU12" s="30"/>
      <c r="AV12" s="30"/>
      <c r="AW12" s="30"/>
      <c r="AX12" s="30"/>
      <c r="AY12" s="30"/>
      <c r="AZ12" s="31"/>
      <c r="BA12" s="31"/>
      <c r="BB12" s="31"/>
      <c r="BC12" s="31"/>
      <c r="BE12" s="32" t="e">
        <f t="shared" si="12"/>
        <v>#VALUE!</v>
      </c>
      <c r="BF12" s="33" t="e">
        <f t="shared" si="13"/>
        <v>#DIV/0!</v>
      </c>
      <c r="BG12" s="33" t="e">
        <f t="shared" si="14"/>
        <v>#VALUE!</v>
      </c>
      <c r="BH12" s="33"/>
      <c r="BJ12" s="32"/>
      <c r="BK12" s="32"/>
      <c r="BL12" s="32"/>
      <c r="BM12" s="32"/>
      <c r="BN12" s="32"/>
      <c r="BP12" s="32"/>
      <c r="BQ12" s="32"/>
      <c r="BR12" s="32"/>
      <c r="BS12" s="32"/>
      <c r="BT12" s="32"/>
    </row>
    <row r="13" spans="1:72" outlineLevel="1" x14ac:dyDescent="0.25">
      <c r="A13" s="14"/>
      <c r="B13" s="14" t="s">
        <v>57</v>
      </c>
      <c r="C13" s="15" t="s">
        <v>233</v>
      </c>
      <c r="D13" s="14">
        <v>218121242</v>
      </c>
      <c r="E13" s="15">
        <v>10</v>
      </c>
      <c r="F13" s="15">
        <v>32</v>
      </c>
      <c r="G13" s="15">
        <v>30</v>
      </c>
      <c r="I13" s="16">
        <f t="shared" si="0"/>
        <v>11.353664999999999</v>
      </c>
      <c r="J13" s="17">
        <f t="shared" si="1"/>
        <v>5.5522221902624229E-2</v>
      </c>
      <c r="K13" s="17">
        <f t="shared" si="2"/>
        <v>1.7121010158194495E-2</v>
      </c>
      <c r="L13" s="17">
        <f t="shared" si="3"/>
        <v>1.376654548849488E-2</v>
      </c>
      <c r="M13" s="17">
        <f t="shared" si="4"/>
        <v>3.8401211744429731E-2</v>
      </c>
      <c r="N13" s="14">
        <f t="shared" si="5"/>
        <v>3734456</v>
      </c>
      <c r="O13" s="17">
        <v>32</v>
      </c>
      <c r="P13" s="18">
        <v>23920385</v>
      </c>
      <c r="Q13" s="18">
        <v>747512.03125</v>
      </c>
      <c r="R13" s="18">
        <v>47886.84375</v>
      </c>
      <c r="S13" s="19">
        <v>12110576</v>
      </c>
      <c r="T13" s="19">
        <v>3002776</v>
      </c>
      <c r="U13" s="19">
        <v>731680</v>
      </c>
      <c r="V13" s="19">
        <v>8376120</v>
      </c>
      <c r="W13" s="20">
        <v>70.423658175</v>
      </c>
      <c r="X13" s="20">
        <v>73.081218162499994</v>
      </c>
      <c r="Y13" s="20">
        <v>39.334191996874999</v>
      </c>
      <c r="Z13" s="20">
        <v>42.352372637499997</v>
      </c>
      <c r="AA13" s="20">
        <v>37.493969068749998</v>
      </c>
      <c r="AB13" s="21">
        <v>10187.087</v>
      </c>
      <c r="AC13" s="21">
        <v>0</v>
      </c>
      <c r="AD13" s="21">
        <v>51.531999999999996</v>
      </c>
      <c r="AE13" s="21">
        <v>0</v>
      </c>
      <c r="AG13" s="16" t="str">
        <f t="shared" si="6"/>
        <v>·</v>
      </c>
      <c r="AH13" s="17" t="str">
        <f t="shared" si="7"/>
        <v>·</v>
      </c>
      <c r="AI13" s="17" t="str">
        <f t="shared" si="8"/>
        <v>·</v>
      </c>
      <c r="AJ13" s="17" t="str">
        <f t="shared" si="9"/>
        <v>·</v>
      </c>
      <c r="AK13" s="17" t="str">
        <f t="shared" si="10"/>
        <v>·</v>
      </c>
      <c r="AL13" s="14" t="str">
        <f t="shared" si="11"/>
        <v/>
      </c>
      <c r="AM13" s="17">
        <v>32</v>
      </c>
      <c r="AN13" s="18"/>
      <c r="AO13" s="18"/>
      <c r="AP13" s="18"/>
      <c r="AQ13" s="19"/>
      <c r="AR13" s="19"/>
      <c r="AS13" s="19"/>
      <c r="AT13" s="19"/>
      <c r="AU13" s="20"/>
      <c r="AV13" s="20"/>
      <c r="AW13" s="20"/>
      <c r="AX13" s="20"/>
      <c r="AY13" s="20"/>
      <c r="AZ13" s="21"/>
      <c r="BA13" s="21"/>
      <c r="BB13" s="21"/>
      <c r="BC13" s="21"/>
      <c r="BE13" s="22" t="e">
        <f t="shared" si="12"/>
        <v>#VALUE!</v>
      </c>
      <c r="BF13" s="23" t="e">
        <f t="shared" si="13"/>
        <v>#DIV/0!</v>
      </c>
      <c r="BG13" s="23" t="e">
        <f t="shared" si="14"/>
        <v>#VALUE!</v>
      </c>
      <c r="BH13" s="23"/>
      <c r="BJ13" s="22"/>
      <c r="BK13" s="22"/>
      <c r="BL13" s="22"/>
      <c r="BM13" s="22"/>
      <c r="BN13" s="22"/>
      <c r="BP13" s="22"/>
      <c r="BQ13" s="22"/>
      <c r="BR13" s="22"/>
      <c r="BS13" s="22"/>
      <c r="BT13" s="22"/>
    </row>
    <row r="14" spans="1:72" outlineLevel="1" x14ac:dyDescent="0.25">
      <c r="A14" s="24"/>
      <c r="B14" s="44" t="s">
        <v>57</v>
      </c>
      <c r="C14" s="45" t="s">
        <v>234</v>
      </c>
      <c r="D14" s="44">
        <v>218121242</v>
      </c>
      <c r="E14" s="45">
        <v>10</v>
      </c>
      <c r="F14" s="45">
        <v>32</v>
      </c>
      <c r="G14" s="45">
        <v>30</v>
      </c>
      <c r="I14" s="46">
        <f t="shared" si="0"/>
        <v>20.804310000000001</v>
      </c>
      <c r="J14" s="47">
        <f t="shared" si="1"/>
        <v>0.10173820668048461</v>
      </c>
      <c r="K14" s="47">
        <f t="shared" si="2"/>
        <v>2.6663592902153015E-2</v>
      </c>
      <c r="L14" s="47">
        <f t="shared" si="3"/>
        <v>2.0708152762123004E-2</v>
      </c>
      <c r="M14" s="47">
        <f t="shared" si="4"/>
        <v>7.5074613778331592E-2</v>
      </c>
      <c r="N14" s="44">
        <f t="shared" si="5"/>
        <v>5815896</v>
      </c>
      <c r="O14" s="47">
        <v>32</v>
      </c>
      <c r="P14" s="48">
        <v>23489705</v>
      </c>
      <c r="Q14" s="48">
        <v>734053.28125</v>
      </c>
      <c r="R14" s="48">
        <v>45682.34375</v>
      </c>
      <c r="S14" s="49">
        <v>22191264</v>
      </c>
      <c r="T14" s="49">
        <v>4516888</v>
      </c>
      <c r="U14" s="49">
        <v>1299008</v>
      </c>
      <c r="V14" s="49">
        <v>16375368</v>
      </c>
      <c r="W14" s="50">
        <v>71.466542843750005</v>
      </c>
      <c r="X14" s="50">
        <v>75.258211681250003</v>
      </c>
      <c r="Y14" s="50">
        <v>41.645763174999999</v>
      </c>
      <c r="Z14" s="50">
        <v>43.71835250625</v>
      </c>
      <c r="AA14" s="50">
        <v>39.566604193750003</v>
      </c>
      <c r="AB14" s="51">
        <v>15014.125</v>
      </c>
      <c r="AC14" s="51">
        <v>0</v>
      </c>
      <c r="AD14" s="51">
        <v>52.277000000000001</v>
      </c>
      <c r="AE14" s="51">
        <v>0</v>
      </c>
      <c r="AG14" s="46" t="str">
        <f t="shared" si="6"/>
        <v>·</v>
      </c>
      <c r="AH14" s="47" t="str">
        <f t="shared" si="7"/>
        <v>·</v>
      </c>
      <c r="AI14" s="47" t="str">
        <f t="shared" si="8"/>
        <v>·</v>
      </c>
      <c r="AJ14" s="47" t="str">
        <f t="shared" si="9"/>
        <v>·</v>
      </c>
      <c r="AK14" s="47" t="str">
        <f t="shared" si="10"/>
        <v>·</v>
      </c>
      <c r="AL14" s="44" t="str">
        <f t="shared" si="11"/>
        <v/>
      </c>
      <c r="AM14" s="47">
        <v>32</v>
      </c>
      <c r="AN14" s="48"/>
      <c r="AO14" s="48"/>
      <c r="AP14" s="48"/>
      <c r="AQ14" s="49"/>
      <c r="AR14" s="49"/>
      <c r="AS14" s="49"/>
      <c r="AT14" s="49"/>
      <c r="AU14" s="50"/>
      <c r="AV14" s="50"/>
      <c r="AW14" s="50"/>
      <c r="AX14" s="50"/>
      <c r="AY14" s="50"/>
      <c r="AZ14" s="51"/>
      <c r="BA14" s="51"/>
      <c r="BB14" s="51"/>
      <c r="BC14" s="51"/>
      <c r="BE14" s="52" t="e">
        <f t="shared" si="12"/>
        <v>#VALUE!</v>
      </c>
      <c r="BF14" s="53" t="e">
        <f t="shared" si="13"/>
        <v>#DIV/0!</v>
      </c>
      <c r="BG14" s="53" t="e">
        <f t="shared" si="14"/>
        <v>#VALUE!</v>
      </c>
      <c r="BH14" s="53"/>
      <c r="BJ14" s="52"/>
      <c r="BK14" s="52"/>
      <c r="BL14" s="52"/>
      <c r="BM14" s="52"/>
      <c r="BN14" s="52"/>
      <c r="BP14" s="52"/>
      <c r="BQ14" s="52"/>
      <c r="BR14" s="52"/>
      <c r="BS14" s="52"/>
      <c r="BT14" s="52"/>
    </row>
    <row r="15" spans="1:72" x14ac:dyDescent="0.25">
      <c r="A15" s="14"/>
      <c r="B15" s="14" t="s">
        <v>62</v>
      </c>
      <c r="C15" s="15" t="s">
        <v>230</v>
      </c>
      <c r="D15" s="14">
        <v>322589704</v>
      </c>
      <c r="E15" s="15">
        <v>10</v>
      </c>
      <c r="F15" s="15">
        <v>32</v>
      </c>
      <c r="G15" s="15">
        <v>30</v>
      </c>
      <c r="I15" s="16">
        <f t="shared" si="0"/>
        <v>4.4189924999999999</v>
      </c>
      <c r="J15" s="17">
        <f t="shared" si="1"/>
        <v>1.4611724867697575E-2</v>
      </c>
      <c r="K15" s="17">
        <f t="shared" si="2"/>
        <v>7.477610010764634E-3</v>
      </c>
      <c r="L15" s="17">
        <f t="shared" si="3"/>
        <v>4.2731927984905552E-3</v>
      </c>
      <c r="M15" s="17">
        <f t="shared" si="4"/>
        <v>7.1341148569329417E-3</v>
      </c>
      <c r="N15" s="14">
        <f t="shared" si="5"/>
        <v>2412200</v>
      </c>
      <c r="O15" s="17">
        <v>32</v>
      </c>
      <c r="P15" s="18">
        <v>33172288</v>
      </c>
      <c r="Q15" s="18">
        <v>1036634</v>
      </c>
      <c r="R15" s="18">
        <v>27456.65625</v>
      </c>
      <c r="S15" s="19">
        <v>4713592</v>
      </c>
      <c r="T15" s="19">
        <v>1378488</v>
      </c>
      <c r="U15" s="19">
        <v>1033712</v>
      </c>
      <c r="V15" s="19">
        <v>2301392</v>
      </c>
      <c r="W15" s="20">
        <v>66.338622703124997</v>
      </c>
      <c r="X15" s="20">
        <v>68.215434106250001</v>
      </c>
      <c r="Y15" s="20">
        <v>30.26580245625</v>
      </c>
      <c r="Z15" s="20">
        <v>43.507659815624997</v>
      </c>
      <c r="AA15" s="20">
        <v>43.614172671874996</v>
      </c>
      <c r="AB15" s="21">
        <v>5026.2479999999996</v>
      </c>
      <c r="AC15" s="21">
        <v>0</v>
      </c>
      <c r="AD15" s="21">
        <v>63.609000000000002</v>
      </c>
      <c r="AE15" s="21">
        <v>0</v>
      </c>
      <c r="AG15" s="16" t="str">
        <f t="shared" si="6"/>
        <v>·</v>
      </c>
      <c r="AH15" s="17" t="str">
        <f t="shared" si="7"/>
        <v>·</v>
      </c>
      <c r="AI15" s="17" t="str">
        <f t="shared" si="8"/>
        <v>·</v>
      </c>
      <c r="AJ15" s="17" t="str">
        <f t="shared" si="9"/>
        <v>·</v>
      </c>
      <c r="AK15" s="17" t="str">
        <f t="shared" si="10"/>
        <v>·</v>
      </c>
      <c r="AL15" s="14" t="str">
        <f t="shared" si="11"/>
        <v/>
      </c>
      <c r="AM15" s="17">
        <v>32</v>
      </c>
      <c r="AN15" s="18"/>
      <c r="AO15" s="18"/>
      <c r="AP15" s="18"/>
      <c r="AQ15" s="19"/>
      <c r="AR15" s="19"/>
      <c r="AS15" s="19"/>
      <c r="AT15" s="19"/>
      <c r="AU15" s="20"/>
      <c r="AV15" s="20"/>
      <c r="AW15" s="20"/>
      <c r="AX15" s="20"/>
      <c r="AY15" s="20"/>
      <c r="AZ15" s="21"/>
      <c r="BA15" s="21"/>
      <c r="BB15" s="21"/>
      <c r="BC15" s="21"/>
      <c r="BE15" s="22" t="e">
        <f t="shared" si="12"/>
        <v>#VALUE!</v>
      </c>
      <c r="BF15" s="23" t="e">
        <f t="shared" si="13"/>
        <v>#DIV/0!</v>
      </c>
      <c r="BG15" s="23" t="e">
        <f t="shared" si="14"/>
        <v>#VALUE!</v>
      </c>
      <c r="BH15" s="23" t="e">
        <f t="array" ref="BH15">AVERAGE(AL15:AL19/AQ15:AQ19) - AVERAGE(N15:N19/S15:S19)</f>
        <v>#VALUE!</v>
      </c>
      <c r="BJ15" s="22" t="str">
        <f>IF( OR(ISBLANK(N15:N19),ISBLANK(AL15:AL19), ISBLANK(W15:W19),ISBLANK(AU15:AU19)), "·", bdRateExtend( N15:N19,W15:W19, AL15:AL19,AU15:AU19))</f>
        <v>·</v>
      </c>
      <c r="BK15" s="22" t="str">
        <f>IF( OR(ISBLANK(N15:N19),ISBLANK(AL15:AL19), ISBLANK(X15:X19),ISBLANK(AV15:AV19)), "·", bdRateExtend( N15:N19,X15:X19, AL15:AL19,AV15:AV19))</f>
        <v>·</v>
      </c>
      <c r="BL15" s="22" t="str">
        <f>IF( OR(ISBLANK(V15:V19),ISBLANK(AT15:AT19), ISBLANK(Y15:Y19),ISBLANK(AW15:AW19)), "·", bdRateExtend( V15:V19,Y15:Y19, AT15:AT19,AW15:AW19))</f>
        <v>·</v>
      </c>
      <c r="BM15" s="22" t="str">
        <f>IF( OR(ISBLANK(V15:V19),ISBLANK(AT15:AT19), ISBLANK(Z15:Z19),ISBLANK(AX15:AX19)), "·", bdRateExtend( V15:V19,Z15:Z19, AT15:AT19,AX15:AX19))</f>
        <v>·</v>
      </c>
      <c r="BN15" s="22" t="str">
        <f>IF( OR(ISBLANK(V15:V19),ISBLANK(AT15:AT19), ISBLANK(AA15:AA19),ISBLANK(AY15:AY19)), "·", bdRateExtend( V15:V19,AA15:AA19, AT15:AT19,AY15:AY19))</f>
        <v>·</v>
      </c>
      <c r="BP15" s="22" t="str">
        <f>IF( OR(ISBLANK(S15:S19),ISBLANK(AQ15:AQ19), ISBLANK(W15:W19),ISBLANK(AU15:AU19)), "·", bdRateExtend( S15:S19,W15:W19, AQ15:AQ19,AU15:AU19))</f>
        <v>·</v>
      </c>
      <c r="BQ15" s="22" t="str">
        <f>IF( OR(ISBLANK(S15:S19),ISBLANK(AQ15:AQ19), ISBLANK(X15:X19),ISBLANK(AV15:AV19)), "·", bdRateExtend( S15:S19,X15:X19, AQ15:AQ19,AV15:AV19))</f>
        <v>·</v>
      </c>
      <c r="BR15" s="22" t="str">
        <f>IF( OR(ISBLANK(S15:S19),ISBLANK(AQ15:AQ19), ISBLANK(Y15:Y19),ISBLANK(AW15:AW19)), "·", bdRateExtend( S15:S19,Y15:Y19, AQ15:AQ19,AW15:AW19))</f>
        <v>·</v>
      </c>
      <c r="BS15" s="22" t="str">
        <f>IF( OR(ISBLANK(S15:S19),ISBLANK(AQ15:AQ19), ISBLANK(Z15:Z19),ISBLANK(AX15:AX19)), "·", bdRateExtend( S15:S19,Z15:Z19, AQ15:AQ19,AX15:AX19))</f>
        <v>·</v>
      </c>
      <c r="BT15" s="22" t="str">
        <f>IF( OR(ISBLANK(S15:S19),ISBLANK(AQ15:AQ19), ISBLANK(AA15:AA19),ISBLANK(AY15:AY19)), "·", bdRateExtend( S15:S19,AA15:AA19, AQ15:AQ19,AY15:AY19))</f>
        <v>·</v>
      </c>
    </row>
    <row r="16" spans="1:72" outlineLevel="1" x14ac:dyDescent="0.25">
      <c r="A16" s="24"/>
      <c r="B16" s="24" t="s">
        <v>62</v>
      </c>
      <c r="C16" s="25" t="s">
        <v>231</v>
      </c>
      <c r="D16" s="24">
        <v>322589704</v>
      </c>
      <c r="E16" s="25">
        <v>10</v>
      </c>
      <c r="F16" s="25">
        <v>32</v>
      </c>
      <c r="G16" s="25">
        <v>30</v>
      </c>
      <c r="I16" s="26">
        <f t="shared" si="0"/>
        <v>7.1137499999999996</v>
      </c>
      <c r="J16" s="27">
        <f t="shared" si="1"/>
        <v>2.3522139441871339E-2</v>
      </c>
      <c r="K16" s="27">
        <f t="shared" si="2"/>
        <v>9.1356170499477564E-3</v>
      </c>
      <c r="L16" s="27">
        <f t="shared" si="3"/>
        <v>5.9311998376736785E-3</v>
      </c>
      <c r="M16" s="27">
        <f t="shared" si="4"/>
        <v>1.4386522391923581E-2</v>
      </c>
      <c r="N16" s="24">
        <f t="shared" si="5"/>
        <v>2947056</v>
      </c>
      <c r="O16" s="27">
        <v>32</v>
      </c>
      <c r="P16" s="28">
        <v>32951469</v>
      </c>
      <c r="Q16" s="28">
        <v>1029733.40625</v>
      </c>
      <c r="R16" s="28">
        <v>29735.84375</v>
      </c>
      <c r="S16" s="29">
        <v>7588000</v>
      </c>
      <c r="T16" s="29">
        <v>1913344</v>
      </c>
      <c r="U16" s="29">
        <v>1033712</v>
      </c>
      <c r="V16" s="29">
        <v>4640944</v>
      </c>
      <c r="W16" s="30">
        <v>67.936574475</v>
      </c>
      <c r="X16" s="30">
        <v>70.336431793749995</v>
      </c>
      <c r="Y16" s="30">
        <v>32.727256628124998</v>
      </c>
      <c r="Z16" s="30">
        <v>44.569298275000001</v>
      </c>
      <c r="AA16" s="30">
        <v>44.882188234375</v>
      </c>
      <c r="AB16" s="31">
        <v>7459.8130000000001</v>
      </c>
      <c r="AC16" s="31">
        <v>0</v>
      </c>
      <c r="AD16" s="31">
        <v>63.246000000000002</v>
      </c>
      <c r="AE16" s="31">
        <v>0</v>
      </c>
      <c r="AG16" s="26" t="str">
        <f t="shared" si="6"/>
        <v>·</v>
      </c>
      <c r="AH16" s="27" t="str">
        <f t="shared" si="7"/>
        <v>·</v>
      </c>
      <c r="AI16" s="27" t="str">
        <f t="shared" si="8"/>
        <v>·</v>
      </c>
      <c r="AJ16" s="27" t="str">
        <f t="shared" si="9"/>
        <v>·</v>
      </c>
      <c r="AK16" s="27" t="str">
        <f t="shared" si="10"/>
        <v>·</v>
      </c>
      <c r="AL16" s="24" t="str">
        <f t="shared" si="11"/>
        <v/>
      </c>
      <c r="AM16" s="27">
        <v>32</v>
      </c>
      <c r="AN16" s="28"/>
      <c r="AO16" s="28"/>
      <c r="AP16" s="28"/>
      <c r="AQ16" s="29"/>
      <c r="AR16" s="29"/>
      <c r="AS16" s="29"/>
      <c r="AT16" s="29"/>
      <c r="AU16" s="30"/>
      <c r="AV16" s="30"/>
      <c r="AW16" s="30"/>
      <c r="AX16" s="30"/>
      <c r="AY16" s="30"/>
      <c r="AZ16" s="31"/>
      <c r="BA16" s="31"/>
      <c r="BB16" s="31"/>
      <c r="BC16" s="31"/>
      <c r="BE16" s="32" t="e">
        <f t="shared" si="12"/>
        <v>#VALUE!</v>
      </c>
      <c r="BF16" s="33" t="e">
        <f t="shared" si="13"/>
        <v>#DIV/0!</v>
      </c>
      <c r="BG16" s="33" t="e">
        <f t="shared" si="14"/>
        <v>#VALUE!</v>
      </c>
      <c r="BH16" s="33"/>
      <c r="BJ16" s="32"/>
      <c r="BK16" s="32"/>
      <c r="BL16" s="32"/>
      <c r="BM16" s="32"/>
      <c r="BN16" s="32"/>
      <c r="BP16" s="32"/>
      <c r="BQ16" s="32"/>
      <c r="BR16" s="32"/>
      <c r="BS16" s="32"/>
      <c r="BT16" s="32"/>
    </row>
    <row r="17" spans="1:72" outlineLevel="1" x14ac:dyDescent="0.25">
      <c r="A17" s="14"/>
      <c r="B17" s="14" t="s">
        <v>62</v>
      </c>
      <c r="C17" s="15" t="s">
        <v>232</v>
      </c>
      <c r="D17" s="14">
        <v>322589704</v>
      </c>
      <c r="E17" s="15">
        <v>10</v>
      </c>
      <c r="F17" s="15">
        <v>32</v>
      </c>
      <c r="G17" s="15">
        <v>30</v>
      </c>
      <c r="I17" s="16">
        <f t="shared" si="0"/>
        <v>11.978602499999999</v>
      </c>
      <c r="J17" s="17">
        <f t="shared" si="1"/>
        <v>3.9608133308557177E-2</v>
      </c>
      <c r="K17" s="17">
        <f t="shared" si="2"/>
        <v>1.1816297769999503E-2</v>
      </c>
      <c r="L17" s="17">
        <f t="shared" si="3"/>
        <v>8.6118805577254254E-3</v>
      </c>
      <c r="M17" s="17">
        <f t="shared" si="4"/>
        <v>2.7791835538557672E-2</v>
      </c>
      <c r="N17" s="14">
        <f t="shared" si="5"/>
        <v>3811816</v>
      </c>
      <c r="O17" s="17">
        <v>32</v>
      </c>
      <c r="P17" s="18">
        <v>33681501</v>
      </c>
      <c r="Q17" s="18">
        <v>1052546.90625</v>
      </c>
      <c r="R17" s="18">
        <v>32403.0625</v>
      </c>
      <c r="S17" s="19">
        <v>12777176</v>
      </c>
      <c r="T17" s="19">
        <v>2778104</v>
      </c>
      <c r="U17" s="19">
        <v>1033712</v>
      </c>
      <c r="V17" s="19">
        <v>8965360</v>
      </c>
      <c r="W17" s="20">
        <v>69.452814781249998</v>
      </c>
      <c r="X17" s="20">
        <v>72.101715196875006</v>
      </c>
      <c r="Y17" s="20">
        <v>35.296401965625002</v>
      </c>
      <c r="Z17" s="20">
        <v>45.536479678124998</v>
      </c>
      <c r="AA17" s="20">
        <v>46.002976315624998</v>
      </c>
      <c r="AB17" s="21">
        <v>10971.651</v>
      </c>
      <c r="AC17" s="21">
        <v>0</v>
      </c>
      <c r="AD17" s="21">
        <v>64.302000000000007</v>
      </c>
      <c r="AE17" s="21">
        <v>0</v>
      </c>
      <c r="AG17" s="16" t="str">
        <f t="shared" si="6"/>
        <v>·</v>
      </c>
      <c r="AH17" s="17" t="str">
        <f t="shared" si="7"/>
        <v>·</v>
      </c>
      <c r="AI17" s="17" t="str">
        <f t="shared" si="8"/>
        <v>·</v>
      </c>
      <c r="AJ17" s="17" t="str">
        <f t="shared" si="9"/>
        <v>·</v>
      </c>
      <c r="AK17" s="17" t="str">
        <f t="shared" si="10"/>
        <v>·</v>
      </c>
      <c r="AL17" s="14" t="str">
        <f t="shared" si="11"/>
        <v/>
      </c>
      <c r="AM17" s="17">
        <v>32</v>
      </c>
      <c r="AN17" s="18"/>
      <c r="AO17" s="18"/>
      <c r="AP17" s="18"/>
      <c r="AQ17" s="19"/>
      <c r="AR17" s="19"/>
      <c r="AS17" s="19"/>
      <c r="AT17" s="19"/>
      <c r="AU17" s="20"/>
      <c r="AV17" s="20"/>
      <c r="AW17" s="20"/>
      <c r="AX17" s="20"/>
      <c r="AY17" s="20"/>
      <c r="AZ17" s="21"/>
      <c r="BA17" s="21"/>
      <c r="BB17" s="21"/>
      <c r="BC17" s="21"/>
      <c r="BE17" s="22" t="e">
        <f t="shared" si="12"/>
        <v>#VALUE!</v>
      </c>
      <c r="BF17" s="23" t="e">
        <f t="shared" si="13"/>
        <v>#DIV/0!</v>
      </c>
      <c r="BG17" s="23" t="e">
        <f t="shared" si="14"/>
        <v>#VALUE!</v>
      </c>
      <c r="BH17" s="23"/>
      <c r="BJ17" s="22"/>
      <c r="BK17" s="22"/>
      <c r="BL17" s="22"/>
      <c r="BM17" s="22"/>
      <c r="BN17" s="22"/>
      <c r="BP17" s="22"/>
      <c r="BQ17" s="22"/>
      <c r="BR17" s="22"/>
      <c r="BS17" s="22"/>
      <c r="BT17" s="22"/>
    </row>
    <row r="18" spans="1:72" outlineLevel="1" x14ac:dyDescent="0.25">
      <c r="A18" s="24"/>
      <c r="B18" s="24" t="s">
        <v>62</v>
      </c>
      <c r="C18" s="25" t="s">
        <v>233</v>
      </c>
      <c r="D18" s="24">
        <v>322589704</v>
      </c>
      <c r="E18" s="25">
        <v>10</v>
      </c>
      <c r="F18" s="25">
        <v>32</v>
      </c>
      <c r="G18" s="25">
        <v>30</v>
      </c>
      <c r="I18" s="26">
        <f t="shared" si="0"/>
        <v>20.62734</v>
      </c>
      <c r="J18" s="27">
        <f t="shared" si="1"/>
        <v>6.8205822216818174E-2</v>
      </c>
      <c r="K18" s="27">
        <f t="shared" si="2"/>
        <v>1.581463988695684E-2</v>
      </c>
      <c r="L18" s="27">
        <f t="shared" si="3"/>
        <v>1.261022267468276E-2</v>
      </c>
      <c r="M18" s="27">
        <f t="shared" si="4"/>
        <v>5.2391182329861341E-2</v>
      </c>
      <c r="N18" s="24">
        <f t="shared" si="5"/>
        <v>5101640</v>
      </c>
      <c r="O18" s="27">
        <v>32</v>
      </c>
      <c r="P18" s="28">
        <v>34040422</v>
      </c>
      <c r="Q18" s="28">
        <v>1063763.1875</v>
      </c>
      <c r="R18" s="28">
        <v>34640.375</v>
      </c>
      <c r="S18" s="29">
        <v>22002496</v>
      </c>
      <c r="T18" s="29">
        <v>4067928</v>
      </c>
      <c r="U18" s="29">
        <v>1033712</v>
      </c>
      <c r="V18" s="29">
        <v>16900856</v>
      </c>
      <c r="W18" s="30">
        <v>70.618442746875004</v>
      </c>
      <c r="X18" s="30">
        <v>73.484846556250005</v>
      </c>
      <c r="Y18" s="30">
        <v>37.928379200000002</v>
      </c>
      <c r="Z18" s="30">
        <v>46.970949159375003</v>
      </c>
      <c r="AA18" s="30">
        <v>47.631500503124997</v>
      </c>
      <c r="AB18" s="31">
        <v>15970.528</v>
      </c>
      <c r="AC18" s="31">
        <v>0</v>
      </c>
      <c r="AD18" s="31">
        <v>66.77</v>
      </c>
      <c r="AE18" s="31">
        <v>0</v>
      </c>
      <c r="AG18" s="26" t="str">
        <f t="shared" si="6"/>
        <v>·</v>
      </c>
      <c r="AH18" s="27" t="str">
        <f t="shared" si="7"/>
        <v>·</v>
      </c>
      <c r="AI18" s="27" t="str">
        <f t="shared" si="8"/>
        <v>·</v>
      </c>
      <c r="AJ18" s="27" t="str">
        <f t="shared" si="9"/>
        <v>·</v>
      </c>
      <c r="AK18" s="27" t="str">
        <f t="shared" si="10"/>
        <v>·</v>
      </c>
      <c r="AL18" s="24" t="str">
        <f t="shared" si="11"/>
        <v/>
      </c>
      <c r="AM18" s="27">
        <v>32</v>
      </c>
      <c r="AN18" s="28"/>
      <c r="AO18" s="28"/>
      <c r="AP18" s="28"/>
      <c r="AQ18" s="29"/>
      <c r="AR18" s="29"/>
      <c r="AS18" s="29"/>
      <c r="AT18" s="29"/>
      <c r="AU18" s="30"/>
      <c r="AV18" s="30"/>
      <c r="AW18" s="30"/>
      <c r="AX18" s="30"/>
      <c r="AY18" s="30"/>
      <c r="AZ18" s="31"/>
      <c r="BA18" s="31"/>
      <c r="BB18" s="31"/>
      <c r="BC18" s="31"/>
      <c r="BE18" s="32" t="e">
        <f t="shared" si="12"/>
        <v>#VALUE!</v>
      </c>
      <c r="BF18" s="33" t="e">
        <f t="shared" si="13"/>
        <v>#DIV/0!</v>
      </c>
      <c r="BG18" s="33" t="e">
        <f t="shared" si="14"/>
        <v>#VALUE!</v>
      </c>
      <c r="BH18" s="33"/>
      <c r="BJ18" s="32"/>
      <c r="BK18" s="32"/>
      <c r="BL18" s="32"/>
      <c r="BM18" s="32"/>
      <c r="BN18" s="32"/>
      <c r="BP18" s="32"/>
      <c r="BQ18" s="32"/>
      <c r="BR18" s="32"/>
      <c r="BS18" s="32"/>
      <c r="BT18" s="32"/>
    </row>
    <row r="19" spans="1:72" outlineLevel="1" x14ac:dyDescent="0.25">
      <c r="A19" s="14"/>
      <c r="B19" s="34" t="s">
        <v>62</v>
      </c>
      <c r="C19" s="35" t="s">
        <v>234</v>
      </c>
      <c r="D19" s="34">
        <v>322589704</v>
      </c>
      <c r="E19" s="35">
        <v>10</v>
      </c>
      <c r="F19" s="35">
        <v>32</v>
      </c>
      <c r="G19" s="35">
        <v>30</v>
      </c>
      <c r="I19" s="36">
        <f t="shared" si="0"/>
        <v>36.012037499999998</v>
      </c>
      <c r="J19" s="37">
        <f t="shared" si="1"/>
        <v>0.11907646004721836</v>
      </c>
      <c r="K19" s="37">
        <f t="shared" si="2"/>
        <v>2.3996599717888083E-2</v>
      </c>
      <c r="L19" s="37">
        <f t="shared" si="3"/>
        <v>1.8402868803277118E-2</v>
      </c>
      <c r="M19" s="37">
        <f t="shared" si="4"/>
        <v>9.5079860329330287E-2</v>
      </c>
      <c r="N19" s="34">
        <f t="shared" si="5"/>
        <v>7741056</v>
      </c>
      <c r="O19" s="37">
        <v>32</v>
      </c>
      <c r="P19" s="38">
        <v>33557950</v>
      </c>
      <c r="Q19" s="38">
        <v>1048685.9375</v>
      </c>
      <c r="R19" s="38">
        <v>31142.21875</v>
      </c>
      <c r="S19" s="39">
        <v>38412840</v>
      </c>
      <c r="T19" s="39">
        <v>5936576</v>
      </c>
      <c r="U19" s="39">
        <v>1804480</v>
      </c>
      <c r="V19" s="39">
        <v>30671784</v>
      </c>
      <c r="W19" s="40">
        <v>71.539434668750005</v>
      </c>
      <c r="X19" s="40">
        <v>75.667863078124995</v>
      </c>
      <c r="Y19" s="40">
        <v>40.4590502</v>
      </c>
      <c r="Z19" s="40">
        <v>48.853603881250002</v>
      </c>
      <c r="AA19" s="40">
        <v>49.532233865625003</v>
      </c>
      <c r="AB19" s="41">
        <v>22875.151000000002</v>
      </c>
      <c r="AC19" s="41">
        <v>0</v>
      </c>
      <c r="AD19" s="41">
        <v>69.441999999999993</v>
      </c>
      <c r="AE19" s="41">
        <v>0</v>
      </c>
      <c r="AG19" s="36" t="str">
        <f t="shared" si="6"/>
        <v>·</v>
      </c>
      <c r="AH19" s="37" t="str">
        <f t="shared" si="7"/>
        <v>·</v>
      </c>
      <c r="AI19" s="37" t="str">
        <f t="shared" si="8"/>
        <v>·</v>
      </c>
      <c r="AJ19" s="37" t="str">
        <f t="shared" si="9"/>
        <v>·</v>
      </c>
      <c r="AK19" s="37" t="str">
        <f t="shared" si="10"/>
        <v>·</v>
      </c>
      <c r="AL19" s="34" t="str">
        <f t="shared" si="11"/>
        <v/>
      </c>
      <c r="AM19" s="37">
        <v>32</v>
      </c>
      <c r="AN19" s="38"/>
      <c r="AO19" s="38"/>
      <c r="AP19" s="38"/>
      <c r="AQ19" s="39"/>
      <c r="AR19" s="39"/>
      <c r="AS19" s="39"/>
      <c r="AT19" s="39"/>
      <c r="AU19" s="40"/>
      <c r="AV19" s="40"/>
      <c r="AW19" s="40"/>
      <c r="AX19" s="40"/>
      <c r="AY19" s="40"/>
      <c r="AZ19" s="41"/>
      <c r="BA19" s="41"/>
      <c r="BB19" s="41"/>
      <c r="BC19" s="41"/>
      <c r="BE19" s="42" t="e">
        <f t="shared" si="12"/>
        <v>#VALUE!</v>
      </c>
      <c r="BF19" s="43" t="e">
        <f t="shared" si="13"/>
        <v>#DIV/0!</v>
      </c>
      <c r="BG19" s="43" t="e">
        <f t="shared" si="14"/>
        <v>#VALUE!</v>
      </c>
      <c r="BH19" s="43"/>
      <c r="BJ19" s="42"/>
      <c r="BK19" s="42"/>
      <c r="BL19" s="42"/>
      <c r="BM19" s="42"/>
      <c r="BN19" s="42"/>
      <c r="BP19" s="42"/>
      <c r="BQ19" s="42"/>
      <c r="BR19" s="42"/>
      <c r="BS19" s="42"/>
      <c r="BT19" s="42"/>
    </row>
    <row r="20" spans="1:72" x14ac:dyDescent="0.25">
      <c r="A20" s="24"/>
      <c r="B20" s="24" t="s">
        <v>68</v>
      </c>
      <c r="C20" s="25" t="s">
        <v>230</v>
      </c>
      <c r="D20" s="24">
        <v>250602891</v>
      </c>
      <c r="E20" s="25">
        <v>10</v>
      </c>
      <c r="F20" s="25">
        <v>32</v>
      </c>
      <c r="G20" s="25">
        <v>50</v>
      </c>
      <c r="I20" s="26">
        <f t="shared" si="0"/>
        <v>4.6253000000000002</v>
      </c>
      <c r="J20" s="27">
        <f t="shared" si="1"/>
        <v>1.1812281926149049E-2</v>
      </c>
      <c r="K20" s="27">
        <f t="shared" si="2"/>
        <v>7.0928471451672118E-3</v>
      </c>
      <c r="L20" s="27">
        <f t="shared" si="3"/>
        <v>3.8154069020696173E-3</v>
      </c>
      <c r="M20" s="27">
        <f t="shared" si="4"/>
        <v>4.7194347809818363E-3</v>
      </c>
      <c r="N20" s="24">
        <f t="shared" si="5"/>
        <v>1777488</v>
      </c>
      <c r="O20" s="27">
        <v>32</v>
      </c>
      <c r="P20" s="28">
        <v>31892988</v>
      </c>
      <c r="Q20" s="28">
        <v>996655.875</v>
      </c>
      <c r="R20" s="28">
        <v>38370.53125</v>
      </c>
      <c r="S20" s="29">
        <v>2960192</v>
      </c>
      <c r="T20" s="29">
        <v>956152</v>
      </c>
      <c r="U20" s="29">
        <v>821336</v>
      </c>
      <c r="V20" s="29">
        <v>1182704</v>
      </c>
      <c r="W20" s="30">
        <v>67.726549259375005</v>
      </c>
      <c r="X20" s="30">
        <v>69.640786178124998</v>
      </c>
      <c r="Y20" s="30">
        <v>31.056654587499999</v>
      </c>
      <c r="Z20" s="30">
        <v>39.701736884375002</v>
      </c>
      <c r="AA20" s="30">
        <v>38.388401074999997</v>
      </c>
      <c r="AB20" s="31">
        <v>4583.5280000000002</v>
      </c>
      <c r="AC20" s="31">
        <v>0</v>
      </c>
      <c r="AD20" s="31">
        <v>59.503</v>
      </c>
      <c r="AE20" s="31">
        <v>0</v>
      </c>
      <c r="AG20" s="26" t="str">
        <f t="shared" si="6"/>
        <v>·</v>
      </c>
      <c r="AH20" s="27" t="str">
        <f t="shared" si="7"/>
        <v>·</v>
      </c>
      <c r="AI20" s="27" t="str">
        <f t="shared" si="8"/>
        <v>·</v>
      </c>
      <c r="AJ20" s="27" t="str">
        <f t="shared" si="9"/>
        <v>·</v>
      </c>
      <c r="AK20" s="27" t="str">
        <f t="shared" si="10"/>
        <v>·</v>
      </c>
      <c r="AL20" s="24" t="str">
        <f t="shared" si="11"/>
        <v/>
      </c>
      <c r="AM20" s="27">
        <v>32</v>
      </c>
      <c r="AN20" s="28"/>
      <c r="AO20" s="28"/>
      <c r="AP20" s="28"/>
      <c r="AQ20" s="29"/>
      <c r="AR20" s="29"/>
      <c r="AS20" s="29"/>
      <c r="AT20" s="29"/>
      <c r="AU20" s="30"/>
      <c r="AV20" s="30"/>
      <c r="AW20" s="30"/>
      <c r="AX20" s="30"/>
      <c r="AY20" s="30"/>
      <c r="AZ20" s="31"/>
      <c r="BA20" s="31"/>
      <c r="BB20" s="31"/>
      <c r="BC20" s="31"/>
      <c r="BE20" s="32" t="e">
        <f t="shared" si="12"/>
        <v>#VALUE!</v>
      </c>
      <c r="BF20" s="33" t="e">
        <f t="shared" si="13"/>
        <v>#DIV/0!</v>
      </c>
      <c r="BG20" s="33" t="e">
        <f t="shared" si="14"/>
        <v>#VALUE!</v>
      </c>
      <c r="BH20" s="33" t="e">
        <f t="array" ref="BH20">AVERAGE(AL20:AL24/AQ20:AQ24) - AVERAGE(N20:N24/S20:S24)</f>
        <v>#VALUE!</v>
      </c>
      <c r="BJ20" s="32" t="str">
        <f>IF( OR(ISBLANK(N20:N24),ISBLANK(AL20:AL24), ISBLANK(W20:W24),ISBLANK(AU20:AU24)), "·", bdRateExtend( N20:N24,W20:W24, AL20:AL24,AU20:AU24))</f>
        <v>·</v>
      </c>
      <c r="BK20" s="32" t="str">
        <f>IF( OR(ISBLANK(N20:N24),ISBLANK(AL20:AL24), ISBLANK(X20:X24),ISBLANK(AV20:AV24)), "·", bdRateExtend( N20:N24,X20:X24, AL20:AL24,AV20:AV24))</f>
        <v>·</v>
      </c>
      <c r="BL20" s="32" t="str">
        <f>IF( OR(ISBLANK(V20:V24),ISBLANK(AT20:AT24), ISBLANK(Y20:Y24),ISBLANK(AW20:AW24)), "·", bdRateExtend( V20:V24,Y20:Y24, AT20:AT24,AW20:AW24))</f>
        <v>·</v>
      </c>
      <c r="BM20" s="32" t="str">
        <f>IF( OR(ISBLANK(V20:V24),ISBLANK(AT20:AT24), ISBLANK(Z20:Z24),ISBLANK(AX20:AX24)), "·", bdRateExtend( V20:V24,Z20:Z24, AT20:AT24,AX20:AX24))</f>
        <v>·</v>
      </c>
      <c r="BN20" s="32" t="str">
        <f>IF( OR(ISBLANK(V20:V24),ISBLANK(AT20:AT24), ISBLANK(AA20:AA24),ISBLANK(AY20:AY24)), "·", bdRateExtend( V20:V24,AA20:AA24, AT20:AT24,AY20:AY24))</f>
        <v>·</v>
      </c>
      <c r="BP20" s="32" t="str">
        <f>IF( OR(ISBLANK(S20:S24),ISBLANK(AQ20:AQ24), ISBLANK(W20:W24),ISBLANK(AU20:AU24)), "·", bdRateExtend( S20:S24,W20:W24, AQ20:AQ24,AU20:AU24))</f>
        <v>·</v>
      </c>
      <c r="BQ20" s="32" t="str">
        <f>IF( OR(ISBLANK(S20:S24),ISBLANK(AQ20:AQ24), ISBLANK(X20:X24),ISBLANK(AV20:AV24)), "·", bdRateExtend( S20:S24,X20:X24, AQ20:AQ24,AV20:AV24))</f>
        <v>·</v>
      </c>
      <c r="BR20" s="32" t="str">
        <f>IF( OR(ISBLANK(S20:S24),ISBLANK(AQ20:AQ24), ISBLANK(Y20:Y24),ISBLANK(AW20:AW24)), "·", bdRateExtend( S20:S24,Y20:Y24, AQ20:AQ24,AW20:AW24))</f>
        <v>·</v>
      </c>
      <c r="BS20" s="32" t="str">
        <f>IF( OR(ISBLANK(S20:S24),ISBLANK(AQ20:AQ24), ISBLANK(Z20:Z24),ISBLANK(AX20:AX24)), "·", bdRateExtend( S20:S24,Z20:Z24, AQ20:AQ24,AX20:AX24))</f>
        <v>·</v>
      </c>
      <c r="BT20" s="32" t="str">
        <f>IF( OR(ISBLANK(S20:S24),ISBLANK(AQ20:AQ24), ISBLANK(AA20:AA24),ISBLANK(AY20:AY24)), "·", bdRateExtend( S20:S24,AA20:AA24, AQ20:AQ24,AY20:AY24))</f>
        <v>·</v>
      </c>
    </row>
    <row r="21" spans="1:72" outlineLevel="1" x14ac:dyDescent="0.25">
      <c r="A21" s="14"/>
      <c r="B21" s="14" t="s">
        <v>68</v>
      </c>
      <c r="C21" s="15" t="s">
        <v>231</v>
      </c>
      <c r="D21" s="14">
        <v>250602891</v>
      </c>
      <c r="E21" s="15">
        <v>10</v>
      </c>
      <c r="F21" s="15">
        <v>32</v>
      </c>
      <c r="G21" s="15">
        <v>50</v>
      </c>
      <c r="I21" s="16">
        <f t="shared" si="0"/>
        <v>6.9637000000000002</v>
      </c>
      <c r="J21" s="17">
        <f t="shared" si="1"/>
        <v>1.7784184301369452E-2</v>
      </c>
      <c r="K21" s="17">
        <f t="shared" si="2"/>
        <v>8.5700208462479392E-3</v>
      </c>
      <c r="L21" s="17">
        <f t="shared" si="3"/>
        <v>5.2925806031503446E-3</v>
      </c>
      <c r="M21" s="17">
        <f t="shared" si="4"/>
        <v>9.2141634551215126E-3</v>
      </c>
      <c r="N21" s="14">
        <f t="shared" si="5"/>
        <v>2147672</v>
      </c>
      <c r="O21" s="17">
        <v>32</v>
      </c>
      <c r="P21" s="18">
        <v>31975946</v>
      </c>
      <c r="Q21" s="18">
        <v>999248.3125</v>
      </c>
      <c r="R21" s="18">
        <v>40901.65625</v>
      </c>
      <c r="S21" s="19">
        <v>4456768</v>
      </c>
      <c r="T21" s="19">
        <v>1326336</v>
      </c>
      <c r="U21" s="19">
        <v>821336</v>
      </c>
      <c r="V21" s="19">
        <v>2309096</v>
      </c>
      <c r="W21" s="20">
        <v>69.165460121875</v>
      </c>
      <c r="X21" s="20">
        <v>71.521154012500006</v>
      </c>
      <c r="Y21" s="20">
        <v>32.889041143749999</v>
      </c>
      <c r="Z21" s="20">
        <v>40.923309103125</v>
      </c>
      <c r="AA21" s="20">
        <v>39.696068040625001</v>
      </c>
      <c r="AB21" s="21">
        <v>6330.2190000000001</v>
      </c>
      <c r="AC21" s="21">
        <v>0</v>
      </c>
      <c r="AD21" s="21">
        <v>57.497999999999998</v>
      </c>
      <c r="AE21" s="21">
        <v>0</v>
      </c>
      <c r="AG21" s="16" t="str">
        <f t="shared" si="6"/>
        <v>·</v>
      </c>
      <c r="AH21" s="17" t="str">
        <f t="shared" si="7"/>
        <v>·</v>
      </c>
      <c r="AI21" s="17" t="str">
        <f t="shared" si="8"/>
        <v>·</v>
      </c>
      <c r="AJ21" s="17" t="str">
        <f t="shared" si="9"/>
        <v>·</v>
      </c>
      <c r="AK21" s="17" t="str">
        <f t="shared" si="10"/>
        <v>·</v>
      </c>
      <c r="AL21" s="14" t="str">
        <f t="shared" si="11"/>
        <v/>
      </c>
      <c r="AM21" s="17">
        <v>32</v>
      </c>
      <c r="AN21" s="18"/>
      <c r="AO21" s="18"/>
      <c r="AP21" s="18"/>
      <c r="AQ21" s="19"/>
      <c r="AR21" s="19"/>
      <c r="AS21" s="19"/>
      <c r="AT21" s="19"/>
      <c r="AU21" s="20"/>
      <c r="AV21" s="20"/>
      <c r="AW21" s="20"/>
      <c r="AX21" s="20"/>
      <c r="AY21" s="20"/>
      <c r="AZ21" s="21"/>
      <c r="BA21" s="21"/>
      <c r="BB21" s="21"/>
      <c r="BC21" s="21"/>
      <c r="BE21" s="22" t="e">
        <f t="shared" si="12"/>
        <v>#VALUE!</v>
      </c>
      <c r="BF21" s="23" t="e">
        <f t="shared" si="13"/>
        <v>#DIV/0!</v>
      </c>
      <c r="BG21" s="23" t="e">
        <f t="shared" si="14"/>
        <v>#VALUE!</v>
      </c>
      <c r="BH21" s="23"/>
      <c r="BJ21" s="22"/>
      <c r="BK21" s="22"/>
      <c r="BL21" s="22"/>
      <c r="BM21" s="22"/>
      <c r="BN21" s="22"/>
      <c r="BP21" s="22"/>
      <c r="BQ21" s="22"/>
      <c r="BR21" s="22"/>
      <c r="BS21" s="22"/>
      <c r="BT21" s="22"/>
    </row>
    <row r="22" spans="1:72" outlineLevel="1" x14ac:dyDescent="0.25">
      <c r="A22" s="24"/>
      <c r="B22" s="24" t="s">
        <v>68</v>
      </c>
      <c r="C22" s="25" t="s">
        <v>232</v>
      </c>
      <c r="D22" s="24">
        <v>250602891</v>
      </c>
      <c r="E22" s="25">
        <v>10</v>
      </c>
      <c r="F22" s="25">
        <v>32</v>
      </c>
      <c r="G22" s="25">
        <v>50</v>
      </c>
      <c r="I22" s="26">
        <f t="shared" si="0"/>
        <v>11.533049999999999</v>
      </c>
      <c r="J22" s="27">
        <f t="shared" si="1"/>
        <v>2.9453578809671435E-2</v>
      </c>
      <c r="K22" s="27">
        <f t="shared" si="2"/>
        <v>1.0861678367469431E-2</v>
      </c>
      <c r="L22" s="27">
        <f t="shared" si="3"/>
        <v>7.5842381243718376E-3</v>
      </c>
      <c r="M22" s="27">
        <f t="shared" si="4"/>
        <v>1.8591900442202002E-2</v>
      </c>
      <c r="N22" s="24">
        <f t="shared" si="5"/>
        <v>2721968</v>
      </c>
      <c r="O22" s="27">
        <v>32</v>
      </c>
      <c r="P22" s="28">
        <v>32758233</v>
      </c>
      <c r="Q22" s="28">
        <v>1023694.78125</v>
      </c>
      <c r="R22" s="28">
        <v>44902.34375</v>
      </c>
      <c r="S22" s="29">
        <v>7381152</v>
      </c>
      <c r="T22" s="29">
        <v>1900632</v>
      </c>
      <c r="U22" s="29">
        <v>821336</v>
      </c>
      <c r="V22" s="29">
        <v>4659184</v>
      </c>
      <c r="W22" s="30">
        <v>70.425301640624994</v>
      </c>
      <c r="X22" s="30">
        <v>73.124606671875</v>
      </c>
      <c r="Y22" s="30">
        <v>34.762487496875004</v>
      </c>
      <c r="Z22" s="30">
        <v>41.952983750000001</v>
      </c>
      <c r="AA22" s="30">
        <v>40.751729953125</v>
      </c>
      <c r="AB22" s="31">
        <v>9378.1229999999996</v>
      </c>
      <c r="AC22" s="31">
        <v>0</v>
      </c>
      <c r="AD22" s="31">
        <v>58.597000000000001</v>
      </c>
      <c r="AE22" s="31">
        <v>0</v>
      </c>
      <c r="AG22" s="26" t="str">
        <f t="shared" si="6"/>
        <v>·</v>
      </c>
      <c r="AH22" s="27" t="str">
        <f t="shared" si="7"/>
        <v>·</v>
      </c>
      <c r="AI22" s="27" t="str">
        <f t="shared" si="8"/>
        <v>·</v>
      </c>
      <c r="AJ22" s="27" t="str">
        <f t="shared" si="9"/>
        <v>·</v>
      </c>
      <c r="AK22" s="27" t="str">
        <f t="shared" si="10"/>
        <v>·</v>
      </c>
      <c r="AL22" s="24" t="str">
        <f t="shared" si="11"/>
        <v/>
      </c>
      <c r="AM22" s="27">
        <v>32</v>
      </c>
      <c r="AN22" s="28"/>
      <c r="AO22" s="28"/>
      <c r="AP22" s="28"/>
      <c r="AQ22" s="29"/>
      <c r="AR22" s="29"/>
      <c r="AS22" s="29"/>
      <c r="AT22" s="29"/>
      <c r="AU22" s="30"/>
      <c r="AV22" s="30"/>
      <c r="AW22" s="30"/>
      <c r="AX22" s="30"/>
      <c r="AY22" s="30"/>
      <c r="AZ22" s="31"/>
      <c r="BA22" s="31"/>
      <c r="BB22" s="31"/>
      <c r="BC22" s="31"/>
      <c r="BE22" s="32" t="e">
        <f t="shared" si="12"/>
        <v>#VALUE!</v>
      </c>
      <c r="BF22" s="33" t="e">
        <f t="shared" si="13"/>
        <v>#DIV/0!</v>
      </c>
      <c r="BG22" s="33" t="e">
        <f t="shared" si="14"/>
        <v>#VALUE!</v>
      </c>
      <c r="BH22" s="33"/>
      <c r="BJ22" s="32"/>
      <c r="BK22" s="32"/>
      <c r="BL22" s="32"/>
      <c r="BM22" s="32"/>
      <c r="BN22" s="32"/>
      <c r="BP22" s="32"/>
      <c r="BQ22" s="32"/>
      <c r="BR22" s="32"/>
      <c r="BS22" s="32"/>
      <c r="BT22" s="32"/>
    </row>
    <row r="23" spans="1:72" outlineLevel="1" x14ac:dyDescent="0.25">
      <c r="A23" s="14"/>
      <c r="B23" s="14" t="s">
        <v>68</v>
      </c>
      <c r="C23" s="15" t="s">
        <v>233</v>
      </c>
      <c r="D23" s="14">
        <v>250602891</v>
      </c>
      <c r="E23" s="15">
        <v>10</v>
      </c>
      <c r="F23" s="15">
        <v>32</v>
      </c>
      <c r="G23" s="15">
        <v>50</v>
      </c>
      <c r="I23" s="16">
        <f t="shared" si="0"/>
        <v>20.335875000000001</v>
      </c>
      <c r="J23" s="17">
        <f t="shared" si="1"/>
        <v>5.1934596396974529E-2</v>
      </c>
      <c r="K23" s="17">
        <f t="shared" si="2"/>
        <v>1.4610557705018654E-2</v>
      </c>
      <c r="L23" s="17">
        <f t="shared" si="3"/>
        <v>1.1333117461921061E-2</v>
      </c>
      <c r="M23" s="17">
        <f t="shared" si="4"/>
        <v>3.7324038691955871E-2</v>
      </c>
      <c r="N23" s="14">
        <f t="shared" si="5"/>
        <v>3661448</v>
      </c>
      <c r="O23" s="17">
        <v>32</v>
      </c>
      <c r="P23" s="18">
        <v>33256417</v>
      </c>
      <c r="Q23" s="18">
        <v>1039263.03125</v>
      </c>
      <c r="R23" s="18">
        <v>47926.3125</v>
      </c>
      <c r="S23" s="19">
        <v>13014960</v>
      </c>
      <c r="T23" s="19">
        <v>2840112</v>
      </c>
      <c r="U23" s="19">
        <v>821336</v>
      </c>
      <c r="V23" s="19">
        <v>9353512</v>
      </c>
      <c r="W23" s="20">
        <v>71.348031431250007</v>
      </c>
      <c r="X23" s="20">
        <v>74.356998575000006</v>
      </c>
      <c r="Y23" s="20">
        <v>36.357318809375002</v>
      </c>
      <c r="Z23" s="20">
        <v>43.225864821875</v>
      </c>
      <c r="AA23" s="20">
        <v>41.977363306249998</v>
      </c>
      <c r="AB23" s="21">
        <v>13132.736999999999</v>
      </c>
      <c r="AC23" s="21">
        <v>0</v>
      </c>
      <c r="AD23" s="21">
        <v>59.115000000000002</v>
      </c>
      <c r="AE23" s="21">
        <v>0</v>
      </c>
      <c r="AG23" s="16" t="str">
        <f t="shared" si="6"/>
        <v>·</v>
      </c>
      <c r="AH23" s="17" t="str">
        <f t="shared" si="7"/>
        <v>·</v>
      </c>
      <c r="AI23" s="17" t="str">
        <f t="shared" si="8"/>
        <v>·</v>
      </c>
      <c r="AJ23" s="17" t="str">
        <f t="shared" si="9"/>
        <v>·</v>
      </c>
      <c r="AK23" s="17" t="str">
        <f t="shared" si="10"/>
        <v>·</v>
      </c>
      <c r="AL23" s="14" t="str">
        <f t="shared" si="11"/>
        <v/>
      </c>
      <c r="AM23" s="17">
        <v>32</v>
      </c>
      <c r="AN23" s="18"/>
      <c r="AO23" s="18"/>
      <c r="AP23" s="18"/>
      <c r="AQ23" s="19"/>
      <c r="AR23" s="19"/>
      <c r="AS23" s="19"/>
      <c r="AT23" s="19"/>
      <c r="AU23" s="20"/>
      <c r="AV23" s="20"/>
      <c r="AW23" s="20"/>
      <c r="AX23" s="20"/>
      <c r="AY23" s="20"/>
      <c r="AZ23" s="21"/>
      <c r="BA23" s="21"/>
      <c r="BB23" s="21"/>
      <c r="BC23" s="21"/>
      <c r="BE23" s="22" t="e">
        <f t="shared" si="12"/>
        <v>#VALUE!</v>
      </c>
      <c r="BF23" s="23" t="e">
        <f t="shared" si="13"/>
        <v>#DIV/0!</v>
      </c>
      <c r="BG23" s="23" t="e">
        <f t="shared" si="14"/>
        <v>#VALUE!</v>
      </c>
      <c r="BH23" s="23"/>
      <c r="BJ23" s="22"/>
      <c r="BK23" s="22"/>
      <c r="BL23" s="22"/>
      <c r="BM23" s="22"/>
      <c r="BN23" s="22"/>
      <c r="BP23" s="22"/>
      <c r="BQ23" s="22"/>
      <c r="BR23" s="22"/>
      <c r="BS23" s="22"/>
      <c r="BT23" s="22"/>
    </row>
    <row r="24" spans="1:72" outlineLevel="1" x14ac:dyDescent="0.25">
      <c r="A24" s="44"/>
      <c r="B24" s="44" t="s">
        <v>68</v>
      </c>
      <c r="C24" s="45" t="s">
        <v>234</v>
      </c>
      <c r="D24" s="44">
        <v>250602891</v>
      </c>
      <c r="E24" s="45">
        <v>10</v>
      </c>
      <c r="F24" s="45">
        <v>32</v>
      </c>
      <c r="G24" s="45">
        <v>50</v>
      </c>
      <c r="I24" s="46">
        <f t="shared" si="0"/>
        <v>35.437575000000002</v>
      </c>
      <c r="J24" s="47">
        <f t="shared" si="1"/>
        <v>9.0501940777690387E-2</v>
      </c>
      <c r="K24" s="47">
        <f t="shared" si="2"/>
        <v>2.2987667767966811E-2</v>
      </c>
      <c r="L24" s="47">
        <f t="shared" si="3"/>
        <v>1.687300566696176E-2</v>
      </c>
      <c r="M24" s="47">
        <f t="shared" si="4"/>
        <v>6.7514273009723583E-2</v>
      </c>
      <c r="N24" s="44">
        <f t="shared" si="5"/>
        <v>5760776</v>
      </c>
      <c r="O24" s="47">
        <v>32</v>
      </c>
      <c r="P24" s="48">
        <v>32661740</v>
      </c>
      <c r="Q24" s="48">
        <v>1020679.375</v>
      </c>
      <c r="R24" s="48">
        <v>44476.78125</v>
      </c>
      <c r="S24" s="49">
        <v>22680048</v>
      </c>
      <c r="T24" s="49">
        <v>4228424</v>
      </c>
      <c r="U24" s="49">
        <v>1532352</v>
      </c>
      <c r="V24" s="49">
        <v>16919272</v>
      </c>
      <c r="W24" s="50">
        <v>72.481048334375004</v>
      </c>
      <c r="X24" s="50">
        <v>76.560148706250004</v>
      </c>
      <c r="Y24" s="50">
        <v>37.629004715625001</v>
      </c>
      <c r="Z24" s="50">
        <v>44.202939834375002</v>
      </c>
      <c r="AA24" s="50">
        <v>42.78229546875</v>
      </c>
      <c r="AB24" s="51">
        <v>19131.041000000001</v>
      </c>
      <c r="AC24" s="51">
        <v>0</v>
      </c>
      <c r="AD24" s="51">
        <v>60.615000000000002</v>
      </c>
      <c r="AE24" s="51">
        <v>0</v>
      </c>
      <c r="AG24" s="46" t="str">
        <f t="shared" si="6"/>
        <v>·</v>
      </c>
      <c r="AH24" s="47" t="str">
        <f t="shared" si="7"/>
        <v>·</v>
      </c>
      <c r="AI24" s="47" t="str">
        <f t="shared" si="8"/>
        <v>·</v>
      </c>
      <c r="AJ24" s="47" t="str">
        <f t="shared" si="9"/>
        <v>·</v>
      </c>
      <c r="AK24" s="47" t="str">
        <f t="shared" si="10"/>
        <v>·</v>
      </c>
      <c r="AL24" s="44" t="str">
        <f t="shared" si="11"/>
        <v/>
      </c>
      <c r="AM24" s="47">
        <v>32</v>
      </c>
      <c r="AN24" s="48"/>
      <c r="AO24" s="48"/>
      <c r="AP24" s="48"/>
      <c r="AQ24" s="49"/>
      <c r="AR24" s="49"/>
      <c r="AS24" s="49"/>
      <c r="AT24" s="49"/>
      <c r="AU24" s="50"/>
      <c r="AV24" s="50"/>
      <c r="AW24" s="50"/>
      <c r="AX24" s="50"/>
      <c r="AY24" s="50"/>
      <c r="AZ24" s="51"/>
      <c r="BA24" s="51"/>
      <c r="BB24" s="51"/>
      <c r="BC24" s="51"/>
      <c r="BE24" s="52" t="e">
        <f t="shared" si="12"/>
        <v>#VALUE!</v>
      </c>
      <c r="BF24" s="53" t="e">
        <f t="shared" si="13"/>
        <v>#DIV/0!</v>
      </c>
      <c r="BG24" s="53" t="e">
        <f t="shared" si="14"/>
        <v>#VALUE!</v>
      </c>
      <c r="BH24" s="53"/>
      <c r="BJ24" s="52"/>
      <c r="BK24" s="52"/>
      <c r="BL24" s="52"/>
      <c r="BM24" s="52"/>
      <c r="BN24" s="52"/>
      <c r="BP24" s="52"/>
      <c r="BQ24" s="52"/>
      <c r="BR24" s="52"/>
      <c r="BS24" s="52"/>
      <c r="BT24" s="52"/>
    </row>
    <row r="25" spans="1:72" x14ac:dyDescent="0.25">
      <c r="A25" s="14" t="s">
        <v>235</v>
      </c>
      <c r="B25" s="14" t="s">
        <v>71</v>
      </c>
      <c r="C25" s="15" t="s">
        <v>230</v>
      </c>
      <c r="D25" s="14">
        <v>250294582</v>
      </c>
      <c r="E25" s="15">
        <v>10</v>
      </c>
      <c r="F25" s="15">
        <v>32</v>
      </c>
      <c r="G25" s="15">
        <v>30</v>
      </c>
      <c r="I25" s="16">
        <f t="shared" si="0"/>
        <v>4.1819699999999997</v>
      </c>
      <c r="J25" s="17">
        <f t="shared" si="1"/>
        <v>1.7822071753834448E-2</v>
      </c>
      <c r="K25" s="17">
        <f t="shared" si="2"/>
        <v>6.1014504900469635E-3</v>
      </c>
      <c r="L25" s="17">
        <f t="shared" si="3"/>
        <v>3.739050172488352E-3</v>
      </c>
      <c r="M25" s="17">
        <f t="shared" si="4"/>
        <v>1.1720621263787484E-2</v>
      </c>
      <c r="N25" s="14">
        <f t="shared" si="5"/>
        <v>1527160</v>
      </c>
      <c r="O25" s="17">
        <v>32</v>
      </c>
      <c r="P25" s="18">
        <v>25557346</v>
      </c>
      <c r="Q25" s="18">
        <v>798667.0625</v>
      </c>
      <c r="R25" s="18">
        <v>27309.5</v>
      </c>
      <c r="S25" s="19">
        <v>4460768</v>
      </c>
      <c r="T25" s="19">
        <v>935864</v>
      </c>
      <c r="U25" s="19">
        <v>591296</v>
      </c>
      <c r="V25" s="19">
        <v>2933608</v>
      </c>
      <c r="W25" s="20">
        <v>66.836357856250004</v>
      </c>
      <c r="X25" s="20">
        <v>68.559127028125005</v>
      </c>
      <c r="Y25" s="20">
        <v>28.175109115624998</v>
      </c>
      <c r="Z25" s="20">
        <v>33.267589521875003</v>
      </c>
      <c r="AA25" s="20">
        <v>32.489633928125002</v>
      </c>
      <c r="AB25" s="21">
        <v>4791.4849999999997</v>
      </c>
      <c r="AC25" s="21">
        <v>0</v>
      </c>
      <c r="AD25" s="21">
        <v>53.884999999999998</v>
      </c>
      <c r="AE25" s="21">
        <v>0</v>
      </c>
      <c r="AG25" s="16" t="str">
        <f t="shared" si="6"/>
        <v>·</v>
      </c>
      <c r="AH25" s="17" t="str">
        <f t="shared" si="7"/>
        <v>·</v>
      </c>
      <c r="AI25" s="17" t="str">
        <f t="shared" si="8"/>
        <v>·</v>
      </c>
      <c r="AJ25" s="17" t="str">
        <f t="shared" si="9"/>
        <v>·</v>
      </c>
      <c r="AK25" s="17" t="str">
        <f t="shared" si="10"/>
        <v>·</v>
      </c>
      <c r="AL25" s="14" t="str">
        <f t="shared" si="11"/>
        <v/>
      </c>
      <c r="AM25" s="17">
        <v>32</v>
      </c>
      <c r="AN25" s="18"/>
      <c r="AO25" s="18"/>
      <c r="AP25" s="18"/>
      <c r="AQ25" s="19"/>
      <c r="AR25" s="19"/>
      <c r="AS25" s="19"/>
      <c r="AT25" s="19"/>
      <c r="AU25" s="20"/>
      <c r="AV25" s="20"/>
      <c r="AW25" s="20"/>
      <c r="AX25" s="20"/>
      <c r="AY25" s="20"/>
      <c r="AZ25" s="21"/>
      <c r="BA25" s="21"/>
      <c r="BB25" s="21"/>
      <c r="BC25" s="21"/>
      <c r="BE25" s="22" t="e">
        <f t="shared" si="12"/>
        <v>#VALUE!</v>
      </c>
      <c r="BF25" s="23" t="e">
        <f t="shared" si="13"/>
        <v>#DIV/0!</v>
      </c>
      <c r="BG25" s="23" t="e">
        <f t="shared" si="14"/>
        <v>#VALUE!</v>
      </c>
      <c r="BH25" s="23" t="e">
        <f t="array" ref="BH25">AVERAGE(AL25:AL29/AQ25:AQ29) - AVERAGE(N25:N29/S25:S29)</f>
        <v>#VALUE!</v>
      </c>
      <c r="BJ25" s="22" t="str">
        <f>IF( OR(ISBLANK(N25:N29),ISBLANK(AL25:AL29), ISBLANK(W25:W29),ISBLANK(AU25:AU29)), "·", bdRateExtend( N25:N29,W25:W29, AL25:AL29,AU25:AU29))</f>
        <v>·</v>
      </c>
      <c r="BK25" s="22" t="str">
        <f>IF( OR(ISBLANK(N25:N29),ISBLANK(AL25:AL29), ISBLANK(X25:X29),ISBLANK(AV25:AV29)), "·", bdRateExtend( N25:N29,X25:X29, AL25:AL29,AV25:AV29))</f>
        <v>·</v>
      </c>
      <c r="BL25" s="22" t="str">
        <f>IF( OR(ISBLANK(V25:V29),ISBLANK(AT25:AT29), ISBLANK(Y25:Y29),ISBLANK(AW25:AW29)), "·", bdRateExtend( V25:V29,Y25:Y29, AT25:AT29,AW25:AW29))</f>
        <v>·</v>
      </c>
      <c r="BM25" s="22" t="str">
        <f>IF( OR(ISBLANK(V25:V29),ISBLANK(AT25:AT29), ISBLANK(Z25:Z29),ISBLANK(AX25:AX29)), "·", bdRateExtend( V25:V29,Z25:Z29, AT25:AT29,AX25:AX29))</f>
        <v>·</v>
      </c>
      <c r="BN25" s="22" t="str">
        <f>IF( OR(ISBLANK(V25:V29),ISBLANK(AT25:AT29), ISBLANK(AA25:AA29),ISBLANK(AY25:AY29)), "·", bdRateExtend( V25:V29,AA25:AA29, AT25:AT29,AY25:AY29))</f>
        <v>·</v>
      </c>
      <c r="BP25" s="22" t="str">
        <f>IF( OR(ISBLANK(S25:S29),ISBLANK(AQ25:AQ29), ISBLANK(W25:W29),ISBLANK(AU25:AU29)), "·", bdRateExtend( S25:S29,W25:W29, AQ25:AQ29,AU25:AU29))</f>
        <v>·</v>
      </c>
      <c r="BQ25" s="22" t="str">
        <f>IF( OR(ISBLANK(S25:S29),ISBLANK(AQ25:AQ29), ISBLANK(X25:X29),ISBLANK(AV25:AV29)), "·", bdRateExtend( S25:S29,X25:X29, AQ25:AQ29,AV25:AV29))</f>
        <v>·</v>
      </c>
      <c r="BR25" s="22" t="str">
        <f>IF( OR(ISBLANK(S25:S29),ISBLANK(AQ25:AQ29), ISBLANK(Y25:Y29),ISBLANK(AW25:AW29)), "·", bdRateExtend( S25:S29,Y25:Y29, AQ25:AQ29,AW25:AW29))</f>
        <v>·</v>
      </c>
      <c r="BS25" s="22" t="str">
        <f>IF( OR(ISBLANK(S25:S29),ISBLANK(AQ25:AQ29), ISBLANK(Z25:Z29),ISBLANK(AX25:AX29)), "·", bdRateExtend( S25:S29,Z25:Z29, AQ25:AQ29,AX25:AX29))</f>
        <v>·</v>
      </c>
      <c r="BT25" s="22" t="str">
        <f>IF( OR(ISBLANK(S25:S29),ISBLANK(AQ25:AQ29), ISBLANK(AA25:AA29),ISBLANK(AY25:AY29)), "·", bdRateExtend( S25:S29,AA25:AA29, AQ25:AQ29,AY25:AY29))</f>
        <v>·</v>
      </c>
    </row>
    <row r="26" spans="1:72" outlineLevel="1" x14ac:dyDescent="0.25">
      <c r="A26" s="24"/>
      <c r="B26" s="24" t="s">
        <v>71</v>
      </c>
      <c r="C26" s="25" t="s">
        <v>231</v>
      </c>
      <c r="D26" s="24">
        <v>250294582</v>
      </c>
      <c r="E26" s="25">
        <v>10</v>
      </c>
      <c r="F26" s="25">
        <v>32</v>
      </c>
      <c r="G26" s="25">
        <v>30</v>
      </c>
      <c r="I26" s="26">
        <f t="shared" si="0"/>
        <v>7.2678599999999998</v>
      </c>
      <c r="J26" s="27">
        <f t="shared" si="1"/>
        <v>3.0973039600193982E-2</v>
      </c>
      <c r="K26" s="27">
        <f t="shared" si="2"/>
        <v>7.6008357224448429E-3</v>
      </c>
      <c r="L26" s="27">
        <f t="shared" si="3"/>
        <v>5.2384354048862309E-3</v>
      </c>
      <c r="M26" s="27">
        <f t="shared" si="4"/>
        <v>2.3372203877749138E-2</v>
      </c>
      <c r="N26" s="24">
        <f t="shared" si="5"/>
        <v>1902448</v>
      </c>
      <c r="O26" s="27">
        <v>32</v>
      </c>
      <c r="P26" s="28">
        <v>25362907</v>
      </c>
      <c r="Q26" s="28">
        <v>792590.84375</v>
      </c>
      <c r="R26" s="28">
        <v>30392.375</v>
      </c>
      <c r="S26" s="29">
        <v>7752384</v>
      </c>
      <c r="T26" s="29">
        <v>1311152</v>
      </c>
      <c r="U26" s="29">
        <v>591296</v>
      </c>
      <c r="V26" s="29">
        <v>5849936</v>
      </c>
      <c r="W26" s="30">
        <v>68.340277571875006</v>
      </c>
      <c r="X26" s="30">
        <v>70.497326240625</v>
      </c>
      <c r="Y26" s="30">
        <v>30.586187575</v>
      </c>
      <c r="Z26" s="30">
        <v>34.626532962500001</v>
      </c>
      <c r="AA26" s="30">
        <v>33.928658156250002</v>
      </c>
      <c r="AB26" s="31">
        <v>7029.3320000000003</v>
      </c>
      <c r="AC26" s="31">
        <v>0</v>
      </c>
      <c r="AD26" s="31">
        <v>51.457000000000001</v>
      </c>
      <c r="AE26" s="31">
        <v>0</v>
      </c>
      <c r="AG26" s="26" t="str">
        <f t="shared" si="6"/>
        <v>·</v>
      </c>
      <c r="AH26" s="27" t="str">
        <f t="shared" si="7"/>
        <v>·</v>
      </c>
      <c r="AI26" s="27" t="str">
        <f t="shared" si="8"/>
        <v>·</v>
      </c>
      <c r="AJ26" s="27" t="str">
        <f t="shared" si="9"/>
        <v>·</v>
      </c>
      <c r="AK26" s="27" t="str">
        <f t="shared" si="10"/>
        <v>·</v>
      </c>
      <c r="AL26" s="24" t="str">
        <f t="shared" si="11"/>
        <v/>
      </c>
      <c r="AM26" s="27">
        <v>32</v>
      </c>
      <c r="AN26" s="28"/>
      <c r="AO26" s="28"/>
      <c r="AP26" s="28"/>
      <c r="AQ26" s="29"/>
      <c r="AR26" s="29"/>
      <c r="AS26" s="29"/>
      <c r="AT26" s="29"/>
      <c r="AU26" s="30"/>
      <c r="AV26" s="30"/>
      <c r="AW26" s="30"/>
      <c r="AX26" s="30"/>
      <c r="AY26" s="30"/>
      <c r="AZ26" s="31"/>
      <c r="BA26" s="31"/>
      <c r="BB26" s="31"/>
      <c r="BC26" s="31"/>
      <c r="BE26" s="32" t="e">
        <f t="shared" si="12"/>
        <v>#VALUE!</v>
      </c>
      <c r="BF26" s="33" t="e">
        <f t="shared" si="13"/>
        <v>#DIV/0!</v>
      </c>
      <c r="BG26" s="33" t="e">
        <f t="shared" si="14"/>
        <v>#VALUE!</v>
      </c>
      <c r="BH26" s="33"/>
      <c r="BJ26" s="32"/>
      <c r="BK26" s="32"/>
      <c r="BL26" s="32"/>
      <c r="BM26" s="32"/>
      <c r="BN26" s="32"/>
      <c r="BP26" s="32"/>
      <c r="BQ26" s="32"/>
      <c r="BR26" s="32"/>
      <c r="BS26" s="32"/>
      <c r="BT26" s="32"/>
    </row>
    <row r="27" spans="1:72" outlineLevel="1" x14ac:dyDescent="0.25">
      <c r="A27" s="14"/>
      <c r="B27" s="14" t="s">
        <v>71</v>
      </c>
      <c r="C27" s="15" t="s">
        <v>232</v>
      </c>
      <c r="D27" s="14">
        <v>250294582</v>
      </c>
      <c r="E27" s="15">
        <v>10</v>
      </c>
      <c r="F27" s="15">
        <v>32</v>
      </c>
      <c r="G27" s="15">
        <v>30</v>
      </c>
      <c r="I27" s="16">
        <f t="shared" si="0"/>
        <v>13.0186875</v>
      </c>
      <c r="J27" s="17">
        <f t="shared" si="1"/>
        <v>5.5481025154591641E-2</v>
      </c>
      <c r="K27" s="17">
        <f t="shared" si="2"/>
        <v>9.9802080414189715E-3</v>
      </c>
      <c r="L27" s="17">
        <f t="shared" si="3"/>
        <v>7.6178077238603587E-3</v>
      </c>
      <c r="M27" s="17">
        <f t="shared" si="4"/>
        <v>4.5500817113172672E-2</v>
      </c>
      <c r="N27" s="14">
        <f t="shared" si="5"/>
        <v>2497992</v>
      </c>
      <c r="O27" s="17">
        <v>32</v>
      </c>
      <c r="P27" s="18">
        <v>25868848</v>
      </c>
      <c r="Q27" s="18">
        <v>808401.5</v>
      </c>
      <c r="R27" s="18">
        <v>33400.125</v>
      </c>
      <c r="S27" s="19">
        <v>13886600</v>
      </c>
      <c r="T27" s="19">
        <v>1906696</v>
      </c>
      <c r="U27" s="19">
        <v>591296</v>
      </c>
      <c r="V27" s="19">
        <v>11388608</v>
      </c>
      <c r="W27" s="20">
        <v>69.695188775000005</v>
      </c>
      <c r="X27" s="20">
        <v>72.075966071875001</v>
      </c>
      <c r="Y27" s="20">
        <v>33.114871640624997</v>
      </c>
      <c r="Z27" s="20">
        <v>36.058299053124998</v>
      </c>
      <c r="AA27" s="20">
        <v>35.340840165625004</v>
      </c>
      <c r="AB27" s="21">
        <v>10480.312</v>
      </c>
      <c r="AC27" s="21">
        <v>0</v>
      </c>
      <c r="AD27" s="21">
        <v>55.912999999999997</v>
      </c>
      <c r="AE27" s="21">
        <v>0</v>
      </c>
      <c r="AG27" s="16" t="str">
        <f t="shared" si="6"/>
        <v>·</v>
      </c>
      <c r="AH27" s="17" t="str">
        <f t="shared" si="7"/>
        <v>·</v>
      </c>
      <c r="AI27" s="17" t="str">
        <f t="shared" si="8"/>
        <v>·</v>
      </c>
      <c r="AJ27" s="17" t="str">
        <f t="shared" si="9"/>
        <v>·</v>
      </c>
      <c r="AK27" s="17" t="str">
        <f t="shared" si="10"/>
        <v>·</v>
      </c>
      <c r="AL27" s="14" t="str">
        <f t="shared" si="11"/>
        <v/>
      </c>
      <c r="AM27" s="17">
        <v>32</v>
      </c>
      <c r="AN27" s="18"/>
      <c r="AO27" s="18"/>
      <c r="AP27" s="18"/>
      <c r="AQ27" s="19"/>
      <c r="AR27" s="19"/>
      <c r="AS27" s="19"/>
      <c r="AT27" s="19"/>
      <c r="AU27" s="20"/>
      <c r="AV27" s="20"/>
      <c r="AW27" s="20"/>
      <c r="AX27" s="20"/>
      <c r="AY27" s="20"/>
      <c r="AZ27" s="21"/>
      <c r="BA27" s="21"/>
      <c r="BB27" s="21"/>
      <c r="BC27" s="21"/>
      <c r="BE27" s="22" t="e">
        <f t="shared" si="12"/>
        <v>#VALUE!</v>
      </c>
      <c r="BF27" s="23" t="e">
        <f t="shared" si="13"/>
        <v>#DIV/0!</v>
      </c>
      <c r="BG27" s="23" t="e">
        <f t="shared" si="14"/>
        <v>#VALUE!</v>
      </c>
      <c r="BH27" s="23"/>
      <c r="BJ27" s="22"/>
      <c r="BK27" s="22"/>
      <c r="BL27" s="22"/>
      <c r="BM27" s="22"/>
      <c r="BN27" s="22"/>
      <c r="BP27" s="22"/>
      <c r="BQ27" s="22"/>
      <c r="BR27" s="22"/>
      <c r="BS27" s="22"/>
      <c r="BT27" s="22"/>
    </row>
    <row r="28" spans="1:72" outlineLevel="1" x14ac:dyDescent="0.25">
      <c r="A28" s="24"/>
      <c r="B28" s="24" t="s">
        <v>71</v>
      </c>
      <c r="C28" s="25" t="s">
        <v>233</v>
      </c>
      <c r="D28" s="24">
        <v>250294582</v>
      </c>
      <c r="E28" s="25">
        <v>10</v>
      </c>
      <c r="F28" s="25">
        <v>32</v>
      </c>
      <c r="G28" s="25">
        <v>30</v>
      </c>
      <c r="I28" s="26">
        <f t="shared" si="0"/>
        <v>24.247035</v>
      </c>
      <c r="J28" s="27">
        <f t="shared" si="1"/>
        <v>0.10333225670861705</v>
      </c>
      <c r="K28" s="27">
        <f t="shared" si="2"/>
        <v>1.3587285720791192E-2</v>
      </c>
      <c r="L28" s="27">
        <f t="shared" si="3"/>
        <v>1.122488540323258E-2</v>
      </c>
      <c r="M28" s="27">
        <f t="shared" si="4"/>
        <v>8.9744970987825856E-2</v>
      </c>
      <c r="N28" s="24">
        <f t="shared" si="5"/>
        <v>3400824</v>
      </c>
      <c r="O28" s="27">
        <v>32</v>
      </c>
      <c r="P28" s="28">
        <v>25897181</v>
      </c>
      <c r="Q28" s="28">
        <v>809286.90625</v>
      </c>
      <c r="R28" s="28">
        <v>35192.4375</v>
      </c>
      <c r="S28" s="29">
        <v>25863504</v>
      </c>
      <c r="T28" s="29">
        <v>2809528</v>
      </c>
      <c r="U28" s="29">
        <v>591296</v>
      </c>
      <c r="V28" s="29">
        <v>22462680</v>
      </c>
      <c r="W28" s="30">
        <v>70.733481118750007</v>
      </c>
      <c r="X28" s="30">
        <v>73.354126262500003</v>
      </c>
      <c r="Y28" s="30">
        <v>35.745278137500001</v>
      </c>
      <c r="Z28" s="30">
        <v>37.980152318750001</v>
      </c>
      <c r="AA28" s="30">
        <v>37.258986059374998</v>
      </c>
      <c r="AB28" s="31">
        <v>15572.57</v>
      </c>
      <c r="AC28" s="31">
        <v>0</v>
      </c>
      <c r="AD28" s="31">
        <v>57.930999999999997</v>
      </c>
      <c r="AE28" s="31">
        <v>0</v>
      </c>
      <c r="AG28" s="26" t="str">
        <f t="shared" si="6"/>
        <v>·</v>
      </c>
      <c r="AH28" s="27" t="str">
        <f t="shared" si="7"/>
        <v>·</v>
      </c>
      <c r="AI28" s="27" t="str">
        <f t="shared" si="8"/>
        <v>·</v>
      </c>
      <c r="AJ28" s="27" t="str">
        <f t="shared" si="9"/>
        <v>·</v>
      </c>
      <c r="AK28" s="27" t="str">
        <f t="shared" si="10"/>
        <v>·</v>
      </c>
      <c r="AL28" s="24" t="str">
        <f t="shared" si="11"/>
        <v/>
      </c>
      <c r="AM28" s="27">
        <v>32</v>
      </c>
      <c r="AN28" s="28"/>
      <c r="AO28" s="28"/>
      <c r="AP28" s="28"/>
      <c r="AQ28" s="29"/>
      <c r="AR28" s="29"/>
      <c r="AS28" s="29"/>
      <c r="AT28" s="29"/>
      <c r="AU28" s="30"/>
      <c r="AV28" s="30"/>
      <c r="AW28" s="30"/>
      <c r="AX28" s="30"/>
      <c r="AY28" s="30"/>
      <c r="AZ28" s="31"/>
      <c r="BA28" s="31"/>
      <c r="BB28" s="31"/>
      <c r="BC28" s="31"/>
      <c r="BE28" s="32" t="e">
        <f t="shared" si="12"/>
        <v>#VALUE!</v>
      </c>
      <c r="BF28" s="33" t="e">
        <f t="shared" si="13"/>
        <v>#DIV/0!</v>
      </c>
      <c r="BG28" s="33" t="e">
        <f t="shared" si="14"/>
        <v>#VALUE!</v>
      </c>
      <c r="BH28" s="33"/>
      <c r="BJ28" s="32"/>
      <c r="BK28" s="32"/>
      <c r="BL28" s="32"/>
      <c r="BM28" s="32"/>
      <c r="BN28" s="32"/>
      <c r="BP28" s="32"/>
      <c r="BQ28" s="32"/>
      <c r="BR28" s="32"/>
      <c r="BS28" s="32"/>
      <c r="BT28" s="32"/>
    </row>
    <row r="29" spans="1:72" outlineLevel="1" x14ac:dyDescent="0.25">
      <c r="A29" s="34"/>
      <c r="B29" s="34" t="s">
        <v>71</v>
      </c>
      <c r="C29" s="35" t="s">
        <v>234</v>
      </c>
      <c r="D29" s="34">
        <v>250294582</v>
      </c>
      <c r="E29" s="35">
        <v>10</v>
      </c>
      <c r="F29" s="35">
        <v>32</v>
      </c>
      <c r="G29" s="35">
        <v>30</v>
      </c>
      <c r="I29" s="36">
        <f t="shared" si="0"/>
        <v>43.446892499999997</v>
      </c>
      <c r="J29" s="37">
        <f t="shared" si="1"/>
        <v>0.18515523440295642</v>
      </c>
      <c r="K29" s="37">
        <f t="shared" si="2"/>
        <v>2.0826755251138435E-2</v>
      </c>
      <c r="L29" s="37">
        <f t="shared" si="3"/>
        <v>1.654223582035028E-2</v>
      </c>
      <c r="M29" s="37">
        <f t="shared" si="4"/>
        <v>0.164328479151818</v>
      </c>
      <c r="N29" s="34">
        <f t="shared" si="5"/>
        <v>5212824</v>
      </c>
      <c r="O29" s="37">
        <v>32</v>
      </c>
      <c r="P29" s="38">
        <v>25519259</v>
      </c>
      <c r="Q29" s="38">
        <v>797476.84375</v>
      </c>
      <c r="R29" s="38">
        <v>33884.53125</v>
      </c>
      <c r="S29" s="39">
        <v>46343352</v>
      </c>
      <c r="T29" s="39">
        <v>4140432</v>
      </c>
      <c r="U29" s="39">
        <v>1072392</v>
      </c>
      <c r="V29" s="39">
        <v>41130528</v>
      </c>
      <c r="W29" s="40">
        <v>71.608969134375002</v>
      </c>
      <c r="X29" s="40">
        <v>75.533373174999994</v>
      </c>
      <c r="Y29" s="40">
        <v>38.112112590625003</v>
      </c>
      <c r="Z29" s="40">
        <v>39.825669912499997</v>
      </c>
      <c r="AA29" s="40">
        <v>39.035023931250002</v>
      </c>
      <c r="AB29" s="41">
        <v>21959.898000000001</v>
      </c>
      <c r="AC29" s="41">
        <v>0</v>
      </c>
      <c r="AD29" s="41">
        <v>58.563000000000002</v>
      </c>
      <c r="AE29" s="41">
        <v>0</v>
      </c>
      <c r="AG29" s="36" t="str">
        <f t="shared" si="6"/>
        <v>·</v>
      </c>
      <c r="AH29" s="37" t="str">
        <f t="shared" si="7"/>
        <v>·</v>
      </c>
      <c r="AI29" s="37" t="str">
        <f t="shared" si="8"/>
        <v>·</v>
      </c>
      <c r="AJ29" s="37" t="str">
        <f t="shared" si="9"/>
        <v>·</v>
      </c>
      <c r="AK29" s="37" t="str">
        <f t="shared" si="10"/>
        <v>·</v>
      </c>
      <c r="AL29" s="34" t="str">
        <f t="shared" si="11"/>
        <v/>
      </c>
      <c r="AM29" s="37">
        <v>32</v>
      </c>
      <c r="AN29" s="38"/>
      <c r="AO29" s="38"/>
      <c r="AP29" s="38"/>
      <c r="AQ29" s="39"/>
      <c r="AR29" s="39"/>
      <c r="AS29" s="39"/>
      <c r="AT29" s="39"/>
      <c r="AU29" s="40"/>
      <c r="AV29" s="40"/>
      <c r="AW29" s="40"/>
      <c r="AX29" s="40"/>
      <c r="AY29" s="40"/>
      <c r="AZ29" s="41"/>
      <c r="BA29" s="41"/>
      <c r="BB29" s="41"/>
      <c r="BC29" s="41"/>
      <c r="BE29" s="42" t="e">
        <f t="shared" si="12"/>
        <v>#VALUE!</v>
      </c>
      <c r="BF29" s="43" t="e">
        <f t="shared" si="13"/>
        <v>#DIV/0!</v>
      </c>
      <c r="BG29" s="43" t="e">
        <f t="shared" si="14"/>
        <v>#VALUE!</v>
      </c>
      <c r="BH29" s="43"/>
      <c r="BJ29" s="42"/>
      <c r="BK29" s="42"/>
      <c r="BL29" s="42"/>
      <c r="BM29" s="42"/>
      <c r="BN29" s="42"/>
      <c r="BP29" s="42"/>
      <c r="BQ29" s="42"/>
      <c r="BR29" s="42"/>
      <c r="BS29" s="42"/>
      <c r="BT29" s="42"/>
    </row>
    <row r="30" spans="1:72" x14ac:dyDescent="0.25">
      <c r="A30" s="24" t="s">
        <v>236</v>
      </c>
      <c r="B30" s="24" t="s">
        <v>75</v>
      </c>
      <c r="C30" s="25" t="s">
        <v>230</v>
      </c>
      <c r="D30" s="24">
        <v>375422539</v>
      </c>
      <c r="E30" s="25">
        <v>11</v>
      </c>
      <c r="F30" s="25">
        <v>32</v>
      </c>
      <c r="G30" s="25">
        <v>30</v>
      </c>
      <c r="I30" s="26">
        <f t="shared" si="0"/>
        <v>5.0261025000000004</v>
      </c>
      <c r="J30" s="27">
        <f t="shared" si="1"/>
        <v>1.4280378621593627E-2</v>
      </c>
      <c r="K30" s="27">
        <f t="shared" si="2"/>
        <v>8.7549138865101548E-3</v>
      </c>
      <c r="L30" s="27">
        <f t="shared" si="3"/>
        <v>5.811307988623453E-3</v>
      </c>
      <c r="M30" s="27">
        <f t="shared" si="4"/>
        <v>5.5254647350834732E-3</v>
      </c>
      <c r="N30" s="24">
        <f t="shared" si="5"/>
        <v>3286792</v>
      </c>
      <c r="O30" s="27">
        <v>32</v>
      </c>
      <c r="P30" s="28">
        <v>92150418</v>
      </c>
      <c r="Q30" s="28">
        <v>2879700.5625</v>
      </c>
      <c r="R30" s="28">
        <v>78137.46875</v>
      </c>
      <c r="S30" s="29">
        <v>5361176</v>
      </c>
      <c r="T30" s="29">
        <v>2181696</v>
      </c>
      <c r="U30" s="29">
        <v>1105096</v>
      </c>
      <c r="V30" s="29">
        <v>2074384</v>
      </c>
      <c r="W30" s="30">
        <v>74.280924450000001</v>
      </c>
      <c r="X30" s="30">
        <v>76.310230790624999</v>
      </c>
      <c r="Y30" s="30">
        <v>35.154451049999999</v>
      </c>
      <c r="Z30" s="30">
        <v>42.114811625000002</v>
      </c>
      <c r="AA30" s="30">
        <v>44.003519603125</v>
      </c>
      <c r="AB30" s="31">
        <v>7492.241</v>
      </c>
      <c r="AC30" s="31">
        <v>0</v>
      </c>
      <c r="AD30" s="31">
        <v>179.68799999999999</v>
      </c>
      <c r="AE30" s="31">
        <v>0</v>
      </c>
      <c r="AG30" s="26" t="str">
        <f t="shared" si="6"/>
        <v>·</v>
      </c>
      <c r="AH30" s="27" t="str">
        <f t="shared" si="7"/>
        <v>·</v>
      </c>
      <c r="AI30" s="27" t="str">
        <f t="shared" si="8"/>
        <v>·</v>
      </c>
      <c r="AJ30" s="27" t="str">
        <f t="shared" si="9"/>
        <v>·</v>
      </c>
      <c r="AK30" s="27" t="str">
        <f t="shared" si="10"/>
        <v>·</v>
      </c>
      <c r="AL30" s="24" t="str">
        <f t="shared" si="11"/>
        <v/>
      </c>
      <c r="AM30" s="27">
        <v>32</v>
      </c>
      <c r="AN30" s="28"/>
      <c r="AO30" s="28"/>
      <c r="AP30" s="28"/>
      <c r="AQ30" s="29"/>
      <c r="AR30" s="29"/>
      <c r="AS30" s="29"/>
      <c r="AT30" s="29"/>
      <c r="AU30" s="30"/>
      <c r="AV30" s="30"/>
      <c r="AW30" s="30"/>
      <c r="AX30" s="30"/>
      <c r="AY30" s="30"/>
      <c r="AZ30" s="31"/>
      <c r="BA30" s="31"/>
      <c r="BB30" s="31"/>
      <c r="BC30" s="31"/>
      <c r="BE30" s="32" t="e">
        <f t="shared" si="12"/>
        <v>#VALUE!</v>
      </c>
      <c r="BF30" s="33" t="e">
        <f t="shared" si="13"/>
        <v>#DIV/0!</v>
      </c>
      <c r="BG30" s="33" t="e">
        <f t="shared" si="14"/>
        <v>#VALUE!</v>
      </c>
      <c r="BH30" s="33" t="e">
        <f t="array" ref="BH30">AVERAGE(AL30:AL34/AQ30:AQ34) - AVERAGE(N30:N34/S30:S34)</f>
        <v>#VALUE!</v>
      </c>
      <c r="BJ30" s="32" t="str">
        <f>IF( OR(ISBLANK(N30:N34),ISBLANK(AL30:AL34), ISBLANK(W30:W34),ISBLANK(AU30:AU34)), "·", bdRateExtend( N30:N34,W30:W34, AL30:AL34,AU30:AU34))</f>
        <v>·</v>
      </c>
      <c r="BK30" s="32" t="str">
        <f>IF( OR(ISBLANK(N30:N34),ISBLANK(AL30:AL34), ISBLANK(X30:X34),ISBLANK(AV30:AV34)), "·", bdRateExtend( N30:N34,X30:X34, AL30:AL34,AV30:AV34))</f>
        <v>·</v>
      </c>
      <c r="BL30" s="32" t="str">
        <f>IF( OR(ISBLANK(V30:V34),ISBLANK(AT30:AT34), ISBLANK(Y30:Y34),ISBLANK(AW30:AW34)), "·", bdRateExtend( V30:V34,Y30:Y34, AT30:AT34,AW30:AW34))</f>
        <v>·</v>
      </c>
      <c r="BM30" s="32" t="str">
        <f>IF( OR(ISBLANK(V30:V34),ISBLANK(AT30:AT34), ISBLANK(Z30:Z34),ISBLANK(AX30:AX34)), "·", bdRateExtend( V30:V34,Z30:Z34, AT30:AT34,AX30:AX34))</f>
        <v>·</v>
      </c>
      <c r="BN30" s="32" t="str">
        <f>IF( OR(ISBLANK(V30:V34),ISBLANK(AT30:AT34), ISBLANK(AA30:AA34),ISBLANK(AY30:AY34)), "·", bdRateExtend( V30:V34,AA30:AA34, AT30:AT34,AY30:AY34))</f>
        <v>·</v>
      </c>
      <c r="BP30" s="32" t="str">
        <f>IF( OR(ISBLANK(S30:S34),ISBLANK(AQ30:AQ34), ISBLANK(W30:W34),ISBLANK(AU30:AU34)), "·", bdRateExtend( S30:S34,W30:W34, AQ30:AQ34,AU30:AU34))</f>
        <v>·</v>
      </c>
      <c r="BQ30" s="32" t="str">
        <f>IF( OR(ISBLANK(S30:S34),ISBLANK(AQ30:AQ34), ISBLANK(X30:X34),ISBLANK(AV30:AV34)), "·", bdRateExtend( S30:S34,X30:X34, AQ30:AQ34,AV30:AV34))</f>
        <v>·</v>
      </c>
      <c r="BR30" s="32" t="str">
        <f>IF( OR(ISBLANK(S30:S34),ISBLANK(AQ30:AQ34), ISBLANK(Y30:Y34),ISBLANK(AW30:AW34)), "·", bdRateExtend( S30:S34,Y30:Y34, AQ30:AQ34,AW30:AW34))</f>
        <v>·</v>
      </c>
      <c r="BS30" s="32" t="str">
        <f>IF( OR(ISBLANK(S30:S34),ISBLANK(AQ30:AQ34), ISBLANK(Z30:Z34),ISBLANK(AX30:AX34)), "·", bdRateExtend( S30:S34,Z30:Z34, AQ30:AQ34,AX30:AX34))</f>
        <v>·</v>
      </c>
      <c r="BT30" s="32" t="str">
        <f>IF( OR(ISBLANK(S30:S34),ISBLANK(AQ30:AQ34), ISBLANK(AA30:AA34),ISBLANK(AY30:AY34)), "·", bdRateExtend( S30:S34,AA30:AA34, AQ30:AQ34,AY30:AY34))</f>
        <v>·</v>
      </c>
    </row>
    <row r="31" spans="1:72" outlineLevel="1" x14ac:dyDescent="0.25">
      <c r="A31" s="14"/>
      <c r="B31" s="14" t="s">
        <v>75</v>
      </c>
      <c r="C31" s="15" t="s">
        <v>231</v>
      </c>
      <c r="D31" s="14">
        <v>375422539</v>
      </c>
      <c r="E31" s="15">
        <v>11</v>
      </c>
      <c r="F31" s="15">
        <v>32</v>
      </c>
      <c r="G31" s="15">
        <v>30</v>
      </c>
      <c r="I31" s="16">
        <f t="shared" si="0"/>
        <v>7.2476025000000002</v>
      </c>
      <c r="J31" s="17">
        <f t="shared" si="1"/>
        <v>2.0592199979767332E-2</v>
      </c>
      <c r="K31" s="17">
        <f t="shared" si="2"/>
        <v>1.0922455564129036E-2</v>
      </c>
      <c r="L31" s="17">
        <f t="shared" si="3"/>
        <v>7.9788496662423353E-3</v>
      </c>
      <c r="M31" s="17">
        <f t="shared" si="4"/>
        <v>9.6697444156382956E-3</v>
      </c>
      <c r="N31" s="14">
        <f t="shared" si="5"/>
        <v>4100536</v>
      </c>
      <c r="O31" s="17">
        <v>32</v>
      </c>
      <c r="P31" s="18">
        <v>92557272</v>
      </c>
      <c r="Q31" s="18">
        <v>2892414.75</v>
      </c>
      <c r="R31" s="18">
        <v>87687.5</v>
      </c>
      <c r="S31" s="19">
        <v>7730776</v>
      </c>
      <c r="T31" s="19">
        <v>2995440</v>
      </c>
      <c r="U31" s="19">
        <v>1105096</v>
      </c>
      <c r="V31" s="19">
        <v>3630240</v>
      </c>
      <c r="W31" s="20">
        <v>75.682612887499999</v>
      </c>
      <c r="X31" s="20">
        <v>78.172414609374997</v>
      </c>
      <c r="Y31" s="20">
        <v>37.040252287500003</v>
      </c>
      <c r="Z31" s="20">
        <v>42.696099125000003</v>
      </c>
      <c r="AA31" s="20">
        <v>45.304919084375001</v>
      </c>
      <c r="AB31" s="21">
        <v>9343.0969999999998</v>
      </c>
      <c r="AC31" s="21">
        <v>0</v>
      </c>
      <c r="AD31" s="21">
        <v>180.744</v>
      </c>
      <c r="AE31" s="21">
        <v>0</v>
      </c>
      <c r="AG31" s="16" t="str">
        <f t="shared" si="6"/>
        <v>·</v>
      </c>
      <c r="AH31" s="17" t="str">
        <f t="shared" si="7"/>
        <v>·</v>
      </c>
      <c r="AI31" s="17" t="str">
        <f t="shared" si="8"/>
        <v>·</v>
      </c>
      <c r="AJ31" s="17" t="str">
        <f t="shared" si="9"/>
        <v>·</v>
      </c>
      <c r="AK31" s="17" t="str">
        <f t="shared" si="10"/>
        <v>·</v>
      </c>
      <c r="AL31" s="14" t="str">
        <f t="shared" si="11"/>
        <v/>
      </c>
      <c r="AM31" s="17">
        <v>32</v>
      </c>
      <c r="AN31" s="18"/>
      <c r="AO31" s="18"/>
      <c r="AP31" s="18"/>
      <c r="AQ31" s="19"/>
      <c r="AR31" s="19"/>
      <c r="AS31" s="19"/>
      <c r="AT31" s="19"/>
      <c r="AU31" s="20"/>
      <c r="AV31" s="20"/>
      <c r="AW31" s="20"/>
      <c r="AX31" s="20"/>
      <c r="AY31" s="20"/>
      <c r="AZ31" s="21"/>
      <c r="BA31" s="21"/>
      <c r="BB31" s="21"/>
      <c r="BC31" s="21"/>
      <c r="BE31" s="22" t="e">
        <f t="shared" si="12"/>
        <v>#VALUE!</v>
      </c>
      <c r="BF31" s="23" t="e">
        <f t="shared" si="13"/>
        <v>#DIV/0!</v>
      </c>
      <c r="BG31" s="23" t="e">
        <f t="shared" si="14"/>
        <v>#VALUE!</v>
      </c>
      <c r="BH31" s="23"/>
      <c r="BJ31" s="22"/>
      <c r="BK31" s="22"/>
      <c r="BL31" s="22"/>
      <c r="BM31" s="22"/>
      <c r="BN31" s="22"/>
      <c r="BP31" s="22"/>
      <c r="BQ31" s="22"/>
      <c r="BR31" s="22"/>
      <c r="BS31" s="22"/>
      <c r="BT31" s="22"/>
    </row>
    <row r="32" spans="1:72" outlineLevel="1" x14ac:dyDescent="0.25">
      <c r="A32" s="24"/>
      <c r="B32" s="24" t="s">
        <v>75</v>
      </c>
      <c r="C32" s="25" t="s">
        <v>232</v>
      </c>
      <c r="D32" s="24">
        <v>375422539</v>
      </c>
      <c r="E32" s="25">
        <v>11</v>
      </c>
      <c r="F32" s="25">
        <v>32</v>
      </c>
      <c r="G32" s="25">
        <v>30</v>
      </c>
      <c r="I32" s="26">
        <f t="shared" si="0"/>
        <v>11.31714</v>
      </c>
      <c r="J32" s="27">
        <f t="shared" si="1"/>
        <v>3.2154744976566257E-2</v>
      </c>
      <c r="K32" s="27">
        <f t="shared" si="2"/>
        <v>1.4110671176298235E-2</v>
      </c>
      <c r="L32" s="27">
        <f t="shared" si="3"/>
        <v>1.1167065278411534E-2</v>
      </c>
      <c r="M32" s="27">
        <f t="shared" si="4"/>
        <v>1.8044073800268023E-2</v>
      </c>
      <c r="N32" s="24">
        <f t="shared" si="5"/>
        <v>5297464</v>
      </c>
      <c r="O32" s="27">
        <v>32</v>
      </c>
      <c r="P32" s="28">
        <v>94716700</v>
      </c>
      <c r="Q32" s="28">
        <v>2959896.875</v>
      </c>
      <c r="R32" s="28">
        <v>96637.5625</v>
      </c>
      <c r="S32" s="29">
        <v>12071616</v>
      </c>
      <c r="T32" s="29">
        <v>4192368</v>
      </c>
      <c r="U32" s="29">
        <v>1105096</v>
      </c>
      <c r="V32" s="29">
        <v>6774152</v>
      </c>
      <c r="W32" s="30">
        <v>76.983501709375005</v>
      </c>
      <c r="X32" s="30">
        <v>79.632615359374995</v>
      </c>
      <c r="Y32" s="30">
        <v>38.743429337499997</v>
      </c>
      <c r="Z32" s="30">
        <v>43.429062199999997</v>
      </c>
      <c r="AA32" s="30">
        <v>46.555835196875002</v>
      </c>
      <c r="AB32" s="31">
        <v>13367.593999999999</v>
      </c>
      <c r="AC32" s="31">
        <v>0</v>
      </c>
      <c r="AD32" s="31">
        <v>187.03899999999999</v>
      </c>
      <c r="AE32" s="31">
        <v>0</v>
      </c>
      <c r="AG32" s="26" t="str">
        <f t="shared" si="6"/>
        <v>·</v>
      </c>
      <c r="AH32" s="27" t="str">
        <f t="shared" si="7"/>
        <v>·</v>
      </c>
      <c r="AI32" s="27" t="str">
        <f t="shared" si="8"/>
        <v>·</v>
      </c>
      <c r="AJ32" s="27" t="str">
        <f t="shared" si="9"/>
        <v>·</v>
      </c>
      <c r="AK32" s="27" t="str">
        <f t="shared" si="10"/>
        <v>·</v>
      </c>
      <c r="AL32" s="24" t="str">
        <f t="shared" si="11"/>
        <v/>
      </c>
      <c r="AM32" s="27">
        <v>32</v>
      </c>
      <c r="AN32" s="28"/>
      <c r="AO32" s="28"/>
      <c r="AP32" s="28"/>
      <c r="AQ32" s="29"/>
      <c r="AR32" s="29"/>
      <c r="AS32" s="29"/>
      <c r="AT32" s="29"/>
      <c r="AU32" s="30"/>
      <c r="AV32" s="30"/>
      <c r="AW32" s="30"/>
      <c r="AX32" s="30"/>
      <c r="AY32" s="30"/>
      <c r="AZ32" s="31"/>
      <c r="BA32" s="31"/>
      <c r="BB32" s="31"/>
      <c r="BC32" s="31"/>
      <c r="BE32" s="32" t="e">
        <f t="shared" si="12"/>
        <v>#VALUE!</v>
      </c>
      <c r="BF32" s="33" t="e">
        <f t="shared" si="13"/>
        <v>#DIV/0!</v>
      </c>
      <c r="BG32" s="33" t="e">
        <f t="shared" si="14"/>
        <v>#VALUE!</v>
      </c>
      <c r="BH32" s="33"/>
      <c r="BJ32" s="32"/>
      <c r="BK32" s="32"/>
      <c r="BL32" s="32"/>
      <c r="BM32" s="32"/>
      <c r="BN32" s="32"/>
      <c r="BP32" s="32"/>
      <c r="BQ32" s="32"/>
      <c r="BR32" s="32"/>
      <c r="BS32" s="32"/>
      <c r="BT32" s="32"/>
    </row>
    <row r="33" spans="1:72" outlineLevel="1" x14ac:dyDescent="0.25">
      <c r="A33" s="14"/>
      <c r="B33" s="14" t="s">
        <v>75</v>
      </c>
      <c r="C33" s="15" t="s">
        <v>233</v>
      </c>
      <c r="D33" s="14">
        <v>375422539</v>
      </c>
      <c r="E33" s="15">
        <v>11</v>
      </c>
      <c r="F33" s="15">
        <v>32</v>
      </c>
      <c r="G33" s="15">
        <v>30</v>
      </c>
      <c r="I33" s="16">
        <f t="shared" si="0"/>
        <v>18.991724999999999</v>
      </c>
      <c r="J33" s="17">
        <f t="shared" si="1"/>
        <v>5.396010600205333E-2</v>
      </c>
      <c r="K33" s="17">
        <f t="shared" si="2"/>
        <v>1.8989845465831236E-2</v>
      </c>
      <c r="L33" s="17">
        <f t="shared" si="3"/>
        <v>1.6046239567944535E-2</v>
      </c>
      <c r="M33" s="17">
        <f t="shared" si="4"/>
        <v>3.4970260536222091E-2</v>
      </c>
      <c r="N33" s="14">
        <f t="shared" si="5"/>
        <v>7129216</v>
      </c>
      <c r="O33" s="17">
        <v>32</v>
      </c>
      <c r="P33" s="18">
        <v>95467220</v>
      </c>
      <c r="Q33" s="18">
        <v>2983350.625</v>
      </c>
      <c r="R33" s="18">
        <v>102339.375</v>
      </c>
      <c r="S33" s="19">
        <v>20257840</v>
      </c>
      <c r="T33" s="19">
        <v>6024120</v>
      </c>
      <c r="U33" s="19">
        <v>1105096</v>
      </c>
      <c r="V33" s="19">
        <v>13128624</v>
      </c>
      <c r="W33" s="20">
        <v>78.007732503124998</v>
      </c>
      <c r="X33" s="20">
        <v>80.872330362499994</v>
      </c>
      <c r="Y33" s="20">
        <v>40.247163899999997</v>
      </c>
      <c r="Z33" s="20">
        <v>44.076699893750003</v>
      </c>
      <c r="AA33" s="20">
        <v>48.121330131249998</v>
      </c>
      <c r="AB33" s="21">
        <v>20296.133000000002</v>
      </c>
      <c r="AC33" s="21">
        <v>0</v>
      </c>
      <c r="AD33" s="21">
        <v>188.37799999999999</v>
      </c>
      <c r="AE33" s="21">
        <v>0</v>
      </c>
      <c r="AG33" s="16" t="str">
        <f t="shared" si="6"/>
        <v>·</v>
      </c>
      <c r="AH33" s="17" t="str">
        <f t="shared" si="7"/>
        <v>·</v>
      </c>
      <c r="AI33" s="17" t="str">
        <f t="shared" si="8"/>
        <v>·</v>
      </c>
      <c r="AJ33" s="17" t="str">
        <f t="shared" si="9"/>
        <v>·</v>
      </c>
      <c r="AK33" s="17" t="str">
        <f t="shared" si="10"/>
        <v>·</v>
      </c>
      <c r="AL33" s="14" t="str">
        <f t="shared" si="11"/>
        <v/>
      </c>
      <c r="AM33" s="17">
        <v>32</v>
      </c>
      <c r="AN33" s="18"/>
      <c r="AO33" s="18"/>
      <c r="AP33" s="18"/>
      <c r="AQ33" s="19"/>
      <c r="AR33" s="19"/>
      <c r="AS33" s="19"/>
      <c r="AT33" s="19"/>
      <c r="AU33" s="20"/>
      <c r="AV33" s="20"/>
      <c r="AW33" s="20"/>
      <c r="AX33" s="20"/>
      <c r="AY33" s="20"/>
      <c r="AZ33" s="21"/>
      <c r="BA33" s="21"/>
      <c r="BB33" s="21"/>
      <c r="BC33" s="21"/>
      <c r="BE33" s="22" t="e">
        <f t="shared" si="12"/>
        <v>#VALUE!</v>
      </c>
      <c r="BF33" s="23" t="e">
        <f t="shared" si="13"/>
        <v>#DIV/0!</v>
      </c>
      <c r="BG33" s="23" t="e">
        <f t="shared" si="14"/>
        <v>#VALUE!</v>
      </c>
      <c r="BH33" s="23"/>
      <c r="BJ33" s="22"/>
      <c r="BK33" s="22"/>
      <c r="BL33" s="22"/>
      <c r="BM33" s="22"/>
      <c r="BN33" s="22"/>
      <c r="BP33" s="22"/>
      <c r="BQ33" s="22"/>
      <c r="BR33" s="22"/>
      <c r="BS33" s="22"/>
      <c r="BT33" s="22"/>
    </row>
    <row r="34" spans="1:72" outlineLevel="1" x14ac:dyDescent="0.25">
      <c r="A34" s="24"/>
      <c r="B34" s="44" t="s">
        <v>75</v>
      </c>
      <c r="C34" s="45" t="s">
        <v>234</v>
      </c>
      <c r="D34" s="44">
        <v>375422539</v>
      </c>
      <c r="E34" s="45">
        <v>11</v>
      </c>
      <c r="F34" s="45">
        <v>32</v>
      </c>
      <c r="G34" s="45">
        <v>30</v>
      </c>
      <c r="I34" s="46">
        <f t="shared" si="0"/>
        <v>36.352177500000003</v>
      </c>
      <c r="J34" s="47">
        <f t="shared" si="1"/>
        <v>0.10328537040766218</v>
      </c>
      <c r="K34" s="47">
        <f t="shared" si="2"/>
        <v>2.89254876090431E-2</v>
      </c>
      <c r="L34" s="47">
        <f t="shared" si="3"/>
        <v>2.3154411621514284E-2</v>
      </c>
      <c r="M34" s="47">
        <f t="shared" si="4"/>
        <v>7.4359882798619076E-2</v>
      </c>
      <c r="N34" s="44">
        <f t="shared" si="5"/>
        <v>10859280</v>
      </c>
      <c r="O34" s="47">
        <v>32</v>
      </c>
      <c r="P34" s="48">
        <v>94955366</v>
      </c>
      <c r="Q34" s="48">
        <v>2967355.1875</v>
      </c>
      <c r="R34" s="48">
        <v>99035.1875</v>
      </c>
      <c r="S34" s="49">
        <v>38775656</v>
      </c>
      <c r="T34" s="49">
        <v>8692688</v>
      </c>
      <c r="U34" s="49">
        <v>2166592</v>
      </c>
      <c r="V34" s="49">
        <v>27916376</v>
      </c>
      <c r="W34" s="50">
        <v>78.885568784374996</v>
      </c>
      <c r="X34" s="50">
        <v>82.381489174999999</v>
      </c>
      <c r="Y34" s="50">
        <v>41.743974693749998</v>
      </c>
      <c r="Z34" s="50">
        <v>44.775999200000001</v>
      </c>
      <c r="AA34" s="50">
        <v>49.497057543750003</v>
      </c>
      <c r="AB34" s="51">
        <v>33262.379000000001</v>
      </c>
      <c r="AC34" s="51">
        <v>0</v>
      </c>
      <c r="AD34" s="51">
        <v>191.45500000000001</v>
      </c>
      <c r="AE34" s="51">
        <v>0</v>
      </c>
      <c r="AG34" s="46" t="str">
        <f t="shared" si="6"/>
        <v>·</v>
      </c>
      <c r="AH34" s="47" t="str">
        <f t="shared" si="7"/>
        <v>·</v>
      </c>
      <c r="AI34" s="47" t="str">
        <f t="shared" si="8"/>
        <v>·</v>
      </c>
      <c r="AJ34" s="47" t="str">
        <f t="shared" si="9"/>
        <v>·</v>
      </c>
      <c r="AK34" s="47" t="str">
        <f t="shared" si="10"/>
        <v>·</v>
      </c>
      <c r="AL34" s="44" t="str">
        <f t="shared" si="11"/>
        <v/>
      </c>
      <c r="AM34" s="47">
        <v>32</v>
      </c>
      <c r="AN34" s="48"/>
      <c r="AO34" s="48"/>
      <c r="AP34" s="48"/>
      <c r="AQ34" s="49"/>
      <c r="AR34" s="49"/>
      <c r="AS34" s="49"/>
      <c r="AT34" s="49"/>
      <c r="AU34" s="50"/>
      <c r="AV34" s="50"/>
      <c r="AW34" s="50"/>
      <c r="AX34" s="50"/>
      <c r="AY34" s="50"/>
      <c r="AZ34" s="51"/>
      <c r="BA34" s="51"/>
      <c r="BB34" s="51"/>
      <c r="BC34" s="51"/>
      <c r="BE34" s="52" t="e">
        <f t="shared" si="12"/>
        <v>#VALUE!</v>
      </c>
      <c r="BF34" s="53" t="e">
        <f t="shared" si="13"/>
        <v>#DIV/0!</v>
      </c>
      <c r="BG34" s="53" t="e">
        <f t="shared" si="14"/>
        <v>#VALUE!</v>
      </c>
      <c r="BH34" s="53"/>
      <c r="BJ34" s="52"/>
      <c r="BK34" s="52"/>
      <c r="BL34" s="52"/>
      <c r="BM34" s="52"/>
      <c r="BN34" s="52"/>
      <c r="BP34" s="52"/>
      <c r="BQ34" s="52"/>
      <c r="BR34" s="52"/>
      <c r="BS34" s="52"/>
      <c r="BT34" s="52"/>
    </row>
    <row r="35" spans="1:72" x14ac:dyDescent="0.25">
      <c r="A35" s="14"/>
      <c r="B35" s="14" t="s">
        <v>80</v>
      </c>
      <c r="C35" s="15" t="s">
        <v>230</v>
      </c>
      <c r="D35" s="14">
        <v>333190689</v>
      </c>
      <c r="E35" s="15">
        <v>11</v>
      </c>
      <c r="F35" s="15">
        <v>32</v>
      </c>
      <c r="G35" s="15">
        <v>30</v>
      </c>
      <c r="I35" s="16">
        <f t="shared" si="0"/>
        <v>5.3206499999999997</v>
      </c>
      <c r="J35" s="17">
        <f t="shared" si="1"/>
        <v>1.703336914075651E-2</v>
      </c>
      <c r="K35" s="17">
        <f t="shared" si="2"/>
        <v>1.0064122770249441E-2</v>
      </c>
      <c r="L35" s="17">
        <f t="shared" si="3"/>
        <v>6.638576866114047E-3</v>
      </c>
      <c r="M35" s="17">
        <f t="shared" si="4"/>
        <v>6.9692463705070705E-3</v>
      </c>
      <c r="N35" s="14">
        <f t="shared" si="5"/>
        <v>3353272</v>
      </c>
      <c r="O35" s="17">
        <v>32</v>
      </c>
      <c r="P35" s="18">
        <v>82019071</v>
      </c>
      <c r="Q35" s="18">
        <v>2563095.96875</v>
      </c>
      <c r="R35" s="18">
        <v>78196.9375</v>
      </c>
      <c r="S35" s="19">
        <v>5675360</v>
      </c>
      <c r="T35" s="19">
        <v>2211912</v>
      </c>
      <c r="U35" s="19">
        <v>1141360</v>
      </c>
      <c r="V35" s="19">
        <v>2322088</v>
      </c>
      <c r="W35" s="20">
        <v>73.948685953124993</v>
      </c>
      <c r="X35" s="20">
        <v>76.044711590624999</v>
      </c>
      <c r="Y35" s="20">
        <v>34.482671181249998</v>
      </c>
      <c r="Z35" s="20">
        <v>42.468241371875003</v>
      </c>
      <c r="AA35" s="20">
        <v>43.927909006249998</v>
      </c>
      <c r="AB35" s="21">
        <v>7260.1689999999999</v>
      </c>
      <c r="AC35" s="21">
        <v>0</v>
      </c>
      <c r="AD35" s="21">
        <v>160.16900000000001</v>
      </c>
      <c r="AE35" s="21">
        <v>0</v>
      </c>
      <c r="AG35" s="16" t="str">
        <f t="shared" si="6"/>
        <v>·</v>
      </c>
      <c r="AH35" s="17" t="str">
        <f t="shared" si="7"/>
        <v>·</v>
      </c>
      <c r="AI35" s="17" t="str">
        <f t="shared" si="8"/>
        <v>·</v>
      </c>
      <c r="AJ35" s="17" t="str">
        <f t="shared" si="9"/>
        <v>·</v>
      </c>
      <c r="AK35" s="17" t="str">
        <f t="shared" si="10"/>
        <v>·</v>
      </c>
      <c r="AL35" s="14" t="str">
        <f t="shared" si="11"/>
        <v/>
      </c>
      <c r="AM35" s="17">
        <v>32</v>
      </c>
      <c r="AN35" s="18"/>
      <c r="AO35" s="18"/>
      <c r="AP35" s="18"/>
      <c r="AQ35" s="19"/>
      <c r="AR35" s="19"/>
      <c r="AS35" s="19"/>
      <c r="AT35" s="19"/>
      <c r="AU35" s="20"/>
      <c r="AV35" s="20"/>
      <c r="AW35" s="20"/>
      <c r="AX35" s="20"/>
      <c r="AY35" s="20"/>
      <c r="AZ35" s="21"/>
      <c r="BA35" s="21"/>
      <c r="BB35" s="21"/>
      <c r="BC35" s="21"/>
      <c r="BE35" s="22" t="e">
        <f t="shared" si="12"/>
        <v>#VALUE!</v>
      </c>
      <c r="BF35" s="23" t="e">
        <f t="shared" si="13"/>
        <v>#DIV/0!</v>
      </c>
      <c r="BG35" s="23" t="e">
        <f t="shared" si="14"/>
        <v>#VALUE!</v>
      </c>
      <c r="BH35" s="23" t="e">
        <f t="array" ref="BH35">AVERAGE(AL35:AL39/AQ35:AQ39) - AVERAGE(N35:N39/S35:S39)</f>
        <v>#VALUE!</v>
      </c>
      <c r="BJ35" s="22" t="str">
        <f>IF( OR(ISBLANK(N35:N39),ISBLANK(AL35:AL39), ISBLANK(W35:W39),ISBLANK(AU35:AU39)), "·", bdRateExtend( N35:N39,W35:W39, AL35:AL39,AU35:AU39))</f>
        <v>·</v>
      </c>
      <c r="BK35" s="22" t="str">
        <f>IF( OR(ISBLANK(N35:N39),ISBLANK(AL35:AL39), ISBLANK(X35:X39),ISBLANK(AV35:AV39)), "·", bdRateExtend( N35:N39,X35:X39, AL35:AL39,AV35:AV39))</f>
        <v>·</v>
      </c>
      <c r="BL35" s="22" t="str">
        <f>IF( OR(ISBLANK(V35:V39),ISBLANK(AT35:AT39), ISBLANK(Y35:Y39),ISBLANK(AW35:AW39)), "·", bdRateExtend( V35:V39,Y35:Y39, AT35:AT39,AW35:AW39))</f>
        <v>·</v>
      </c>
      <c r="BM35" s="22" t="str">
        <f>IF( OR(ISBLANK(V35:V39),ISBLANK(AT35:AT39), ISBLANK(Z35:Z39),ISBLANK(AX35:AX39)), "·", bdRateExtend( V35:V39,Z35:Z39, AT35:AT39,AX35:AX39))</f>
        <v>·</v>
      </c>
      <c r="BN35" s="22" t="str">
        <f>IF( OR(ISBLANK(V35:V39),ISBLANK(AT35:AT39), ISBLANK(AA35:AA39),ISBLANK(AY35:AY39)), "·", bdRateExtend( V35:V39,AA35:AA39, AT35:AT39,AY35:AY39))</f>
        <v>·</v>
      </c>
      <c r="BP35" s="22" t="str">
        <f>IF( OR(ISBLANK(S35:S39),ISBLANK(AQ35:AQ39), ISBLANK(W35:W39),ISBLANK(AU35:AU39)), "·", bdRateExtend( S35:S39,W35:W39, AQ35:AQ39,AU35:AU39))</f>
        <v>·</v>
      </c>
      <c r="BQ35" s="22" t="str">
        <f>IF( OR(ISBLANK(S35:S39),ISBLANK(AQ35:AQ39), ISBLANK(X35:X39),ISBLANK(AV35:AV39)), "·", bdRateExtend( S35:S39,X35:X39, AQ35:AQ39,AV35:AV39))</f>
        <v>·</v>
      </c>
      <c r="BR35" s="22" t="str">
        <f>IF( OR(ISBLANK(S35:S39),ISBLANK(AQ35:AQ39), ISBLANK(Y35:Y39),ISBLANK(AW35:AW39)), "·", bdRateExtend( S35:S39,Y35:Y39, AQ35:AQ39,AW35:AW39))</f>
        <v>·</v>
      </c>
      <c r="BS35" s="22" t="str">
        <f>IF( OR(ISBLANK(S35:S39),ISBLANK(AQ35:AQ39), ISBLANK(Z35:Z39),ISBLANK(AX35:AX39)), "·", bdRateExtend( S35:S39,Z35:Z39, AQ35:AQ39,AX35:AX39))</f>
        <v>·</v>
      </c>
      <c r="BT35" s="22" t="str">
        <f>IF( OR(ISBLANK(S35:S39),ISBLANK(AQ35:AQ39), ISBLANK(AA35:AA39),ISBLANK(AY35:AY39)), "·", bdRateExtend( S35:S39,AA35:AA39, AQ35:AQ39,AY35:AY39))</f>
        <v>·</v>
      </c>
    </row>
    <row r="36" spans="1:72" outlineLevel="1" x14ac:dyDescent="0.25">
      <c r="A36" s="24"/>
      <c r="B36" s="24" t="s">
        <v>80</v>
      </c>
      <c r="C36" s="25" t="s">
        <v>231</v>
      </c>
      <c r="D36" s="24">
        <v>333190689</v>
      </c>
      <c r="E36" s="25">
        <v>11</v>
      </c>
      <c r="F36" s="25">
        <v>32</v>
      </c>
      <c r="G36" s="25">
        <v>30</v>
      </c>
      <c r="I36" s="26">
        <f t="shared" si="0"/>
        <v>7.6536375000000003</v>
      </c>
      <c r="J36" s="27">
        <f t="shared" si="1"/>
        <v>2.45021252679723E-2</v>
      </c>
      <c r="K36" s="27">
        <f t="shared" si="2"/>
        <v>1.254520050528783E-2</v>
      </c>
      <c r="L36" s="27">
        <f t="shared" si="3"/>
        <v>9.1196546011524347E-3</v>
      </c>
      <c r="M36" s="27">
        <f t="shared" si="4"/>
        <v>1.195692476268447E-2</v>
      </c>
      <c r="N36" s="24">
        <f t="shared" si="5"/>
        <v>4179944</v>
      </c>
      <c r="O36" s="27">
        <v>32</v>
      </c>
      <c r="P36" s="28">
        <v>82731551</v>
      </c>
      <c r="Q36" s="28">
        <v>2585360.96875</v>
      </c>
      <c r="R36" s="28">
        <v>87918.46875</v>
      </c>
      <c r="S36" s="29">
        <v>8163880</v>
      </c>
      <c r="T36" s="29">
        <v>3038584</v>
      </c>
      <c r="U36" s="29">
        <v>1141360</v>
      </c>
      <c r="V36" s="29">
        <v>3983936</v>
      </c>
      <c r="W36" s="30">
        <v>75.400480603125004</v>
      </c>
      <c r="X36" s="30">
        <v>77.952103521875003</v>
      </c>
      <c r="Y36" s="30">
        <v>36.518644399999999</v>
      </c>
      <c r="Z36" s="30">
        <v>43.183046309375001</v>
      </c>
      <c r="AA36" s="30">
        <v>45.368391346875001</v>
      </c>
      <c r="AB36" s="31">
        <v>8904.0419999999995</v>
      </c>
      <c r="AC36" s="31">
        <v>0</v>
      </c>
      <c r="AD36" s="31">
        <v>160.749</v>
      </c>
      <c r="AE36" s="31">
        <v>0</v>
      </c>
      <c r="AG36" s="26" t="str">
        <f t="shared" si="6"/>
        <v>·</v>
      </c>
      <c r="AH36" s="27" t="str">
        <f t="shared" si="7"/>
        <v>·</v>
      </c>
      <c r="AI36" s="27" t="str">
        <f t="shared" si="8"/>
        <v>·</v>
      </c>
      <c r="AJ36" s="27" t="str">
        <f t="shared" si="9"/>
        <v>·</v>
      </c>
      <c r="AK36" s="27" t="str">
        <f t="shared" si="10"/>
        <v>·</v>
      </c>
      <c r="AL36" s="24" t="str">
        <f t="shared" si="11"/>
        <v/>
      </c>
      <c r="AM36" s="27">
        <v>32</v>
      </c>
      <c r="AN36" s="28"/>
      <c r="AO36" s="28"/>
      <c r="AP36" s="28"/>
      <c r="AQ36" s="29"/>
      <c r="AR36" s="29"/>
      <c r="AS36" s="29"/>
      <c r="AT36" s="29"/>
      <c r="AU36" s="30"/>
      <c r="AV36" s="30"/>
      <c r="AW36" s="30"/>
      <c r="AX36" s="30"/>
      <c r="AY36" s="30"/>
      <c r="AZ36" s="31"/>
      <c r="BA36" s="31"/>
      <c r="BB36" s="31"/>
      <c r="BC36" s="31"/>
      <c r="BE36" s="32" t="e">
        <f t="shared" si="12"/>
        <v>#VALUE!</v>
      </c>
      <c r="BF36" s="33" t="e">
        <f t="shared" si="13"/>
        <v>#DIV/0!</v>
      </c>
      <c r="BG36" s="33" t="e">
        <f t="shared" si="14"/>
        <v>#VALUE!</v>
      </c>
      <c r="BH36" s="33"/>
      <c r="BJ36" s="32"/>
      <c r="BK36" s="32"/>
      <c r="BL36" s="32"/>
      <c r="BM36" s="32"/>
      <c r="BN36" s="32"/>
      <c r="BP36" s="32"/>
      <c r="BQ36" s="32"/>
      <c r="BR36" s="32"/>
      <c r="BS36" s="32"/>
      <c r="BT36" s="32"/>
    </row>
    <row r="37" spans="1:72" outlineLevel="1" x14ac:dyDescent="0.25">
      <c r="A37" s="14"/>
      <c r="B37" s="14" t="s">
        <v>80</v>
      </c>
      <c r="C37" s="15" t="s">
        <v>232</v>
      </c>
      <c r="D37" s="14">
        <v>333190689</v>
      </c>
      <c r="E37" s="15">
        <v>11</v>
      </c>
      <c r="F37" s="15">
        <v>32</v>
      </c>
      <c r="G37" s="15">
        <v>30</v>
      </c>
      <c r="I37" s="16">
        <f t="shared" si="0"/>
        <v>11.837602499999999</v>
      </c>
      <c r="J37" s="17">
        <f t="shared" si="1"/>
        <v>3.7896545182269481E-2</v>
      </c>
      <c r="K37" s="17">
        <f t="shared" si="2"/>
        <v>1.6196611064362605E-2</v>
      </c>
      <c r="L37" s="17">
        <f t="shared" si="3"/>
        <v>1.2771065160227212E-2</v>
      </c>
      <c r="M37" s="17">
        <f t="shared" si="4"/>
        <v>2.1699934117906879E-2</v>
      </c>
      <c r="N37" s="14">
        <f t="shared" si="5"/>
        <v>5396560</v>
      </c>
      <c r="O37" s="17">
        <v>32</v>
      </c>
      <c r="P37" s="18">
        <v>84545273</v>
      </c>
      <c r="Q37" s="18">
        <v>2642039.78125</v>
      </c>
      <c r="R37" s="18">
        <v>97062.5</v>
      </c>
      <c r="S37" s="19">
        <v>12626776</v>
      </c>
      <c r="T37" s="19">
        <v>4255200</v>
      </c>
      <c r="U37" s="19">
        <v>1141360</v>
      </c>
      <c r="V37" s="19">
        <v>7230216</v>
      </c>
      <c r="W37" s="20">
        <v>76.725501334374997</v>
      </c>
      <c r="X37" s="20">
        <v>79.477751093750001</v>
      </c>
      <c r="Y37" s="20">
        <v>38.311350703125001</v>
      </c>
      <c r="Z37" s="20">
        <v>44.212901690625003</v>
      </c>
      <c r="AA37" s="20">
        <v>46.680542968749997</v>
      </c>
      <c r="AB37" s="21">
        <v>12772.245999999999</v>
      </c>
      <c r="AC37" s="21">
        <v>0</v>
      </c>
      <c r="AD37" s="21">
        <v>164.946</v>
      </c>
      <c r="AE37" s="21">
        <v>0</v>
      </c>
      <c r="AG37" s="16" t="str">
        <f t="shared" si="6"/>
        <v>·</v>
      </c>
      <c r="AH37" s="17" t="str">
        <f t="shared" si="7"/>
        <v>·</v>
      </c>
      <c r="AI37" s="17" t="str">
        <f t="shared" si="8"/>
        <v>·</v>
      </c>
      <c r="AJ37" s="17" t="str">
        <f t="shared" si="9"/>
        <v>·</v>
      </c>
      <c r="AK37" s="17" t="str">
        <f t="shared" si="10"/>
        <v>·</v>
      </c>
      <c r="AL37" s="14" t="str">
        <f t="shared" si="11"/>
        <v/>
      </c>
      <c r="AM37" s="17">
        <v>32</v>
      </c>
      <c r="AN37" s="18"/>
      <c r="AO37" s="18"/>
      <c r="AP37" s="18"/>
      <c r="AQ37" s="19"/>
      <c r="AR37" s="19"/>
      <c r="AS37" s="19"/>
      <c r="AT37" s="19"/>
      <c r="AU37" s="20"/>
      <c r="AV37" s="20"/>
      <c r="AW37" s="20"/>
      <c r="AX37" s="20"/>
      <c r="AY37" s="20"/>
      <c r="AZ37" s="21"/>
      <c r="BA37" s="21"/>
      <c r="BB37" s="21"/>
      <c r="BC37" s="21"/>
      <c r="BE37" s="22" t="e">
        <f t="shared" si="12"/>
        <v>#VALUE!</v>
      </c>
      <c r="BF37" s="23" t="e">
        <f t="shared" si="13"/>
        <v>#DIV/0!</v>
      </c>
      <c r="BG37" s="23" t="e">
        <f t="shared" si="14"/>
        <v>#VALUE!</v>
      </c>
      <c r="BH37" s="23"/>
      <c r="BJ37" s="22"/>
      <c r="BK37" s="22"/>
      <c r="BL37" s="22"/>
      <c r="BM37" s="22"/>
      <c r="BN37" s="22"/>
      <c r="BP37" s="22"/>
      <c r="BQ37" s="22"/>
      <c r="BR37" s="22"/>
      <c r="BS37" s="22"/>
      <c r="BT37" s="22"/>
    </row>
    <row r="38" spans="1:72" outlineLevel="1" x14ac:dyDescent="0.25">
      <c r="A38" s="24"/>
      <c r="B38" s="24" t="s">
        <v>80</v>
      </c>
      <c r="C38" s="25" t="s">
        <v>233</v>
      </c>
      <c r="D38" s="24">
        <v>333190689</v>
      </c>
      <c r="E38" s="25">
        <v>11</v>
      </c>
      <c r="F38" s="25">
        <v>32</v>
      </c>
      <c r="G38" s="25">
        <v>30</v>
      </c>
      <c r="I38" s="26">
        <f t="shared" si="0"/>
        <v>19.980802499999999</v>
      </c>
      <c r="J38" s="27">
        <f t="shared" si="1"/>
        <v>6.3965941137088617E-2</v>
      </c>
      <c r="K38" s="27">
        <f t="shared" si="2"/>
        <v>2.1755661965691963E-2</v>
      </c>
      <c r="L38" s="27">
        <f t="shared" si="3"/>
        <v>1.8330116061556569E-2</v>
      </c>
      <c r="M38" s="27">
        <f t="shared" si="4"/>
        <v>4.221027917139665E-2</v>
      </c>
      <c r="N38" s="24">
        <f t="shared" si="5"/>
        <v>7248784</v>
      </c>
      <c r="O38" s="27">
        <v>32</v>
      </c>
      <c r="P38" s="28">
        <v>85383212</v>
      </c>
      <c r="Q38" s="28">
        <v>2668225.375</v>
      </c>
      <c r="R38" s="28">
        <v>102721.78125</v>
      </c>
      <c r="S38" s="29">
        <v>21312856</v>
      </c>
      <c r="T38" s="29">
        <v>6107424</v>
      </c>
      <c r="U38" s="29">
        <v>1141360</v>
      </c>
      <c r="V38" s="29">
        <v>14064072</v>
      </c>
      <c r="W38" s="30">
        <v>77.78267948125</v>
      </c>
      <c r="X38" s="30">
        <v>80.745951562499997</v>
      </c>
      <c r="Y38" s="30">
        <v>39.988705034375002</v>
      </c>
      <c r="Z38" s="30">
        <v>45.027088096874998</v>
      </c>
      <c r="AA38" s="30">
        <v>48.381030181249997</v>
      </c>
      <c r="AB38" s="31">
        <v>20163.615000000002</v>
      </c>
      <c r="AC38" s="31">
        <v>0</v>
      </c>
      <c r="AD38" s="31">
        <v>171.00299999999999</v>
      </c>
      <c r="AE38" s="31">
        <v>0</v>
      </c>
      <c r="AG38" s="26" t="str">
        <f t="shared" si="6"/>
        <v>·</v>
      </c>
      <c r="AH38" s="27" t="str">
        <f t="shared" si="7"/>
        <v>·</v>
      </c>
      <c r="AI38" s="27" t="str">
        <f t="shared" si="8"/>
        <v>·</v>
      </c>
      <c r="AJ38" s="27" t="str">
        <f t="shared" si="9"/>
        <v>·</v>
      </c>
      <c r="AK38" s="27" t="str">
        <f t="shared" si="10"/>
        <v>·</v>
      </c>
      <c r="AL38" s="24" t="str">
        <f t="shared" si="11"/>
        <v/>
      </c>
      <c r="AM38" s="27">
        <v>32</v>
      </c>
      <c r="AN38" s="28"/>
      <c r="AO38" s="28"/>
      <c r="AP38" s="28"/>
      <c r="AQ38" s="29"/>
      <c r="AR38" s="29"/>
      <c r="AS38" s="29"/>
      <c r="AT38" s="29"/>
      <c r="AU38" s="30"/>
      <c r="AV38" s="30"/>
      <c r="AW38" s="30"/>
      <c r="AX38" s="30"/>
      <c r="AY38" s="30"/>
      <c r="AZ38" s="31"/>
      <c r="BA38" s="31"/>
      <c r="BB38" s="31"/>
      <c r="BC38" s="31"/>
      <c r="BE38" s="32" t="e">
        <f t="shared" si="12"/>
        <v>#VALUE!</v>
      </c>
      <c r="BF38" s="33" t="e">
        <f t="shared" si="13"/>
        <v>#DIV/0!</v>
      </c>
      <c r="BG38" s="33" t="e">
        <f t="shared" si="14"/>
        <v>#VALUE!</v>
      </c>
      <c r="BH38" s="33"/>
      <c r="BJ38" s="32"/>
      <c r="BK38" s="32"/>
      <c r="BL38" s="32"/>
      <c r="BM38" s="32"/>
      <c r="BN38" s="32"/>
      <c r="BP38" s="32"/>
      <c r="BQ38" s="32"/>
      <c r="BR38" s="32"/>
      <c r="BS38" s="32"/>
      <c r="BT38" s="32"/>
    </row>
    <row r="39" spans="1:72" outlineLevel="1" x14ac:dyDescent="0.25">
      <c r="A39" s="34"/>
      <c r="B39" s="34" t="s">
        <v>80</v>
      </c>
      <c r="C39" s="35" t="s">
        <v>234</v>
      </c>
      <c r="D39" s="34">
        <v>333190689</v>
      </c>
      <c r="E39" s="35">
        <v>11</v>
      </c>
      <c r="F39" s="35">
        <v>32</v>
      </c>
      <c r="G39" s="35">
        <v>30</v>
      </c>
      <c r="I39" s="36">
        <f t="shared" si="0"/>
        <v>37.274369999999998</v>
      </c>
      <c r="J39" s="37">
        <f t="shared" si="1"/>
        <v>0.11932904883785633</v>
      </c>
      <c r="K39" s="37">
        <f t="shared" si="2"/>
        <v>3.3139293397241365E-2</v>
      </c>
      <c r="L39" s="37">
        <f t="shared" si="3"/>
        <v>2.6388708599236997E-2</v>
      </c>
      <c r="M39" s="37">
        <f t="shared" si="4"/>
        <v>8.6189755440614968E-2</v>
      </c>
      <c r="N39" s="34">
        <f t="shared" si="5"/>
        <v>11041704</v>
      </c>
      <c r="O39" s="37">
        <v>32</v>
      </c>
      <c r="P39" s="38">
        <v>85039834</v>
      </c>
      <c r="Q39" s="38">
        <v>2657494.8125</v>
      </c>
      <c r="R39" s="38">
        <v>100090.28125</v>
      </c>
      <c r="S39" s="39">
        <v>39759328</v>
      </c>
      <c r="T39" s="39">
        <v>8792472</v>
      </c>
      <c r="U39" s="39">
        <v>2249232</v>
      </c>
      <c r="V39" s="39">
        <v>28717624</v>
      </c>
      <c r="W39" s="40">
        <v>78.659611503125006</v>
      </c>
      <c r="X39" s="40">
        <v>82.250634568750002</v>
      </c>
      <c r="Y39" s="40">
        <v>41.565263653125001</v>
      </c>
      <c r="Z39" s="40">
        <v>45.825351421874998</v>
      </c>
      <c r="AA39" s="40">
        <v>49.631180081250001</v>
      </c>
      <c r="AB39" s="41">
        <v>32779.612999999998</v>
      </c>
      <c r="AC39" s="41">
        <v>0</v>
      </c>
      <c r="AD39" s="41">
        <v>174.374</v>
      </c>
      <c r="AE39" s="41">
        <v>0</v>
      </c>
      <c r="AG39" s="36" t="str">
        <f t="shared" si="6"/>
        <v>·</v>
      </c>
      <c r="AH39" s="37" t="str">
        <f t="shared" si="7"/>
        <v>·</v>
      </c>
      <c r="AI39" s="37" t="str">
        <f t="shared" si="8"/>
        <v>·</v>
      </c>
      <c r="AJ39" s="37" t="str">
        <f t="shared" si="9"/>
        <v>·</v>
      </c>
      <c r="AK39" s="37" t="str">
        <f t="shared" si="10"/>
        <v>·</v>
      </c>
      <c r="AL39" s="34" t="str">
        <f t="shared" si="11"/>
        <v/>
      </c>
      <c r="AM39" s="37">
        <v>32</v>
      </c>
      <c r="AN39" s="38"/>
      <c r="AO39" s="38"/>
      <c r="AP39" s="38"/>
      <c r="AQ39" s="39"/>
      <c r="AR39" s="39"/>
      <c r="AS39" s="39"/>
      <c r="AT39" s="39"/>
      <c r="AU39" s="40"/>
      <c r="AV39" s="40"/>
      <c r="AW39" s="40"/>
      <c r="AX39" s="40"/>
      <c r="AY39" s="40"/>
      <c r="AZ39" s="41"/>
      <c r="BA39" s="41"/>
      <c r="BB39" s="41"/>
      <c r="BC39" s="41"/>
      <c r="BE39" s="42" t="e">
        <f t="shared" si="12"/>
        <v>#VALUE!</v>
      </c>
      <c r="BF39" s="43" t="e">
        <f t="shared" si="13"/>
        <v>#DIV/0!</v>
      </c>
      <c r="BG39" s="43" t="e">
        <f t="shared" si="14"/>
        <v>#VALUE!</v>
      </c>
      <c r="BH39" s="43"/>
      <c r="BJ39" s="42"/>
      <c r="BK39" s="42"/>
      <c r="BL39" s="42"/>
      <c r="BM39" s="42"/>
      <c r="BN39" s="42"/>
      <c r="BP39" s="42"/>
      <c r="BQ39" s="42"/>
      <c r="BR39" s="42"/>
      <c r="BS39" s="42"/>
      <c r="BT39" s="42"/>
    </row>
    <row r="40" spans="1:72" x14ac:dyDescent="0.25">
      <c r="B40" s="54" t="s">
        <v>14</v>
      </c>
      <c r="J40" s="55">
        <f>AVERAGE(J5:J24)</f>
        <v>4.2834955166614702E-2</v>
      </c>
      <c r="K40" s="55">
        <f>AVERAGE(K5:K24)</f>
        <v>1.2837378335310328E-2</v>
      </c>
      <c r="L40" s="55">
        <f>AVERAGE(L5:L24)</f>
        <v>9.3701150887218147E-3</v>
      </c>
      <c r="M40" s="55">
        <f>AVERAGE(M5:M24)</f>
        <v>2.9997576831304378E-2</v>
      </c>
      <c r="AH40" s="55" t="e">
        <f>AVERAGE(AH5:AH24)</f>
        <v>#DIV/0!</v>
      </c>
      <c r="AI40" s="55" t="e">
        <f>AVERAGE(AI5:AI24)</f>
        <v>#DIV/0!</v>
      </c>
      <c r="AJ40" s="55" t="e">
        <f>AVERAGE(AJ5:AJ24)</f>
        <v>#DIV/0!</v>
      </c>
      <c r="AK40" s="55" t="e">
        <f>AVERAGE(AK5:AK24)</f>
        <v>#DIV/0!</v>
      </c>
      <c r="BE40" s="4" t="e">
        <f t="shared" si="12"/>
        <v>#DIV/0!</v>
      </c>
      <c r="BH40" s="7" t="e">
        <f>AVERAGE(BH5:BH24)</f>
        <v>#VALUE!</v>
      </c>
      <c r="BJ40" s="4" t="e">
        <f>AVERAGE(BJ5:BJ24)</f>
        <v>#DIV/0!</v>
      </c>
      <c r="BK40" s="4" t="e">
        <f>AVERAGE(BK5:BK24)</f>
        <v>#DIV/0!</v>
      </c>
      <c r="BL40" s="4" t="e">
        <f>AVERAGE(BL5:BL24)</f>
        <v>#DIV/0!</v>
      </c>
      <c r="BM40" s="4" t="e">
        <f>AVERAGE(BM5:BM24)</f>
        <v>#DIV/0!</v>
      </c>
      <c r="BN40" s="4" t="e">
        <f>AVERAGE(BN5:BN24)</f>
        <v>#DIV/0!</v>
      </c>
      <c r="BP40" s="4" t="e">
        <f>AVERAGE(BP5:BP24)</f>
        <v>#DIV/0!</v>
      </c>
      <c r="BQ40" s="4" t="e">
        <f>AVERAGE(BQ5:BQ24)</f>
        <v>#DIV/0!</v>
      </c>
      <c r="BR40" s="4" t="e">
        <f>AVERAGE(BR5:BR24)</f>
        <v>#DIV/0!</v>
      </c>
      <c r="BS40" s="4" t="e">
        <f>AVERAGE(BS5:BS24)</f>
        <v>#DIV/0!</v>
      </c>
      <c r="BT40" s="4" t="e">
        <f>AVERAGE(BT5:BT24)</f>
        <v>#DIV/0!</v>
      </c>
    </row>
    <row r="41" spans="1:72" x14ac:dyDescent="0.25">
      <c r="B41" s="54" t="s">
        <v>15</v>
      </c>
      <c r="J41" s="55">
        <f>AVERAGE(J25:J29)</f>
        <v>7.8552725524038719E-2</v>
      </c>
      <c r="K41" s="55">
        <f>AVERAGE(K25:K29)</f>
        <v>1.1619307045168082E-2</v>
      </c>
      <c r="L41" s="55">
        <f>AVERAGE(L25:L29)</f>
        <v>8.8724829049635599E-3</v>
      </c>
      <c r="M41" s="55">
        <f>AVERAGE(M25:M29)</f>
        <v>6.6933418478870632E-2</v>
      </c>
      <c r="AH41" s="55" t="e">
        <f>AVERAGE(AH25:AH29)</f>
        <v>#DIV/0!</v>
      </c>
      <c r="AI41" s="55" t="e">
        <f>AVERAGE(AI25:AI29)</f>
        <v>#DIV/0!</v>
      </c>
      <c r="AJ41" s="55" t="e">
        <f>AVERAGE(AJ25:AJ29)</f>
        <v>#DIV/0!</v>
      </c>
      <c r="AK41" s="55" t="e">
        <f>AVERAGE(AK25:AK29)</f>
        <v>#DIV/0!</v>
      </c>
      <c r="BE41" s="4" t="e">
        <f t="shared" si="12"/>
        <v>#DIV/0!</v>
      </c>
      <c r="BH41" s="7" t="e">
        <f>AVERAGE(BH25:BH29)</f>
        <v>#VALUE!</v>
      </c>
      <c r="BJ41" s="4" t="e">
        <f>AVERAGE(BJ25:BJ29)</f>
        <v>#DIV/0!</v>
      </c>
      <c r="BK41" s="4" t="e">
        <f>AVERAGE(BK25:BK29)</f>
        <v>#DIV/0!</v>
      </c>
      <c r="BL41" s="4" t="e">
        <f>AVERAGE(BL25:BL29)</f>
        <v>#DIV/0!</v>
      </c>
      <c r="BM41" s="4" t="e">
        <f>AVERAGE(BM25:BM29)</f>
        <v>#DIV/0!</v>
      </c>
      <c r="BN41" s="4" t="e">
        <f>AVERAGE(BN25:BN29)</f>
        <v>#DIV/0!</v>
      </c>
      <c r="BP41" s="4" t="e">
        <f>AVERAGE(BP25:BP29)</f>
        <v>#DIV/0!</v>
      </c>
      <c r="BQ41" s="4" t="e">
        <f>AVERAGE(BQ25:BQ29)</f>
        <v>#DIV/0!</v>
      </c>
      <c r="BR41" s="4" t="e">
        <f>AVERAGE(BR25:BR29)</f>
        <v>#DIV/0!</v>
      </c>
      <c r="BS41" s="4" t="e">
        <f>AVERAGE(BS25:BS29)</f>
        <v>#DIV/0!</v>
      </c>
      <c r="BT41" s="4" t="e">
        <f>AVERAGE(BT25:BT29)</f>
        <v>#DIV/0!</v>
      </c>
    </row>
    <row r="42" spans="1:72" x14ac:dyDescent="0.25">
      <c r="B42" s="54" t="s">
        <v>16</v>
      </c>
      <c r="J42" s="55">
        <f>AVERAGE(J30:J39)</f>
        <v>4.8699982955358601E-2</v>
      </c>
      <c r="K42" s="55">
        <f>AVERAGE(K30:K39)</f>
        <v>1.7540426340464495E-2</v>
      </c>
      <c r="L42" s="55">
        <f>AVERAGE(L30:L39)</f>
        <v>1.3740599541102341E-2</v>
      </c>
      <c r="M42" s="55">
        <f>AVERAGE(M30:M39)</f>
        <v>3.1159556614894102E-2</v>
      </c>
      <c r="AH42" s="55" t="e">
        <f>AVERAGE(AH30:AH39)</f>
        <v>#DIV/0!</v>
      </c>
      <c r="AI42" s="55" t="e">
        <f>AVERAGE(AI30:AI39)</f>
        <v>#DIV/0!</v>
      </c>
      <c r="AJ42" s="55" t="e">
        <f>AVERAGE(AJ30:AJ39)</f>
        <v>#DIV/0!</v>
      </c>
      <c r="AK42" s="55" t="e">
        <f>AVERAGE(AK30:AK39)</f>
        <v>#DIV/0!</v>
      </c>
      <c r="BE42" s="4" t="e">
        <f t="shared" si="12"/>
        <v>#DIV/0!</v>
      </c>
      <c r="BH42" s="7" t="e">
        <f>AVERAGE(BH30:BH39)</f>
        <v>#VALUE!</v>
      </c>
      <c r="BJ42" s="4" t="e">
        <f>AVERAGE(BJ30:BJ39)</f>
        <v>#DIV/0!</v>
      </c>
      <c r="BK42" s="4" t="e">
        <f>AVERAGE(BK30:BK39)</f>
        <v>#DIV/0!</v>
      </c>
      <c r="BL42" s="4" t="e">
        <f>AVERAGE(BL30:BL39)</f>
        <v>#DIV/0!</v>
      </c>
      <c r="BM42" s="4" t="e">
        <f>AVERAGE(BM30:BM39)</f>
        <v>#DIV/0!</v>
      </c>
      <c r="BN42" s="4" t="e">
        <f>AVERAGE(BN30:BN39)</f>
        <v>#DIV/0!</v>
      </c>
      <c r="BP42" s="4" t="e">
        <f>AVERAGE(BP30:BP39)</f>
        <v>#DIV/0!</v>
      </c>
      <c r="BQ42" s="4" t="e">
        <f>AVERAGE(BQ30:BQ39)</f>
        <v>#DIV/0!</v>
      </c>
      <c r="BR42" s="4" t="e">
        <f>AVERAGE(BR30:BR39)</f>
        <v>#DIV/0!</v>
      </c>
      <c r="BS42" s="4" t="e">
        <f>AVERAGE(BS30:BS39)</f>
        <v>#DIV/0!</v>
      </c>
      <c r="BT42" s="4" t="e">
        <f>AVERAGE(BT30:BT39)</f>
        <v>#DIV/0!</v>
      </c>
    </row>
    <row r="43" spans="1:72" x14ac:dyDescent="0.25">
      <c r="B43" s="54" t="s">
        <v>17</v>
      </c>
      <c r="J43" s="55">
        <f>AVERAGE(J5:J39)</f>
        <v>4.9613216014459241E-2</v>
      </c>
      <c r="K43" s="55">
        <f>AVERAGE(K5:K39)</f>
        <v>1.4007096152476911E-2</v>
      </c>
      <c r="L43" s="55">
        <f>AVERAGE(L5:L39)</f>
        <v>1.0547734620293639E-2</v>
      </c>
      <c r="M43" s="55">
        <f>AVERAGE(M5:M39)</f>
        <v>3.5606119861982345E-2</v>
      </c>
      <c r="AH43" s="55" t="e">
        <f>AVERAGE(AH5:AH39)</f>
        <v>#DIV/0!</v>
      </c>
      <c r="AI43" s="55" t="e">
        <f>AVERAGE(AI5:AI39)</f>
        <v>#DIV/0!</v>
      </c>
      <c r="AJ43" s="55" t="e">
        <f>AVERAGE(AJ5:AJ39)</f>
        <v>#DIV/0!</v>
      </c>
      <c r="AK43" s="55" t="e">
        <f>AVERAGE(AK5:AK39)</f>
        <v>#DIV/0!</v>
      </c>
      <c r="BE43" s="4" t="e">
        <f t="shared" si="12"/>
        <v>#DIV/0!</v>
      </c>
      <c r="BH43" s="7" t="e">
        <f>AVERAGE(BH5:BH39)</f>
        <v>#VALUE!</v>
      </c>
      <c r="BJ43" s="4" t="e">
        <f>AVERAGE(BJ5:BJ39)</f>
        <v>#DIV/0!</v>
      </c>
      <c r="BK43" s="4" t="e">
        <f>AVERAGE(BK5:BK39)</f>
        <v>#DIV/0!</v>
      </c>
      <c r="BL43" s="4" t="e">
        <f>AVERAGE(BL5:BL39)</f>
        <v>#DIV/0!</v>
      </c>
      <c r="BM43" s="4" t="e">
        <f>AVERAGE(BM5:BM39)</f>
        <v>#DIV/0!</v>
      </c>
      <c r="BN43" s="4" t="e">
        <f>AVERAGE(BN5:BN39)</f>
        <v>#DIV/0!</v>
      </c>
      <c r="BP43" s="4" t="e">
        <f>AVERAGE(BP5:BP39)</f>
        <v>#DIV/0!</v>
      </c>
      <c r="BQ43" s="4" t="e">
        <f>AVERAGE(BQ5:BQ39)</f>
        <v>#DIV/0!</v>
      </c>
      <c r="BR43" s="4" t="e">
        <f>AVERAGE(BR5:BR39)</f>
        <v>#DIV/0!</v>
      </c>
      <c r="BS43" s="4" t="e">
        <f>AVERAGE(BS5:BS39)</f>
        <v>#DIV/0!</v>
      </c>
      <c r="BT43" s="4" t="e">
        <f>AVERAGE(BT5:BT39)</f>
        <v>#DIV/0!</v>
      </c>
    </row>
    <row r="44" spans="1:72" hidden="1" outlineLevel="2" x14ac:dyDescent="0.25">
      <c r="A44" s="54" t="s">
        <v>237</v>
      </c>
      <c r="B44" s="54" t="s">
        <v>238</v>
      </c>
      <c r="AB44" s="56">
        <f>SUM(AB5:AB24,AB25:AB29,AB30:AB39)</f>
        <v>414779.603</v>
      </c>
      <c r="AC44" s="56">
        <f>SUM(AC5:AC24,AC25:AC29,AC30:AC39)</f>
        <v>0</v>
      </c>
      <c r="AD44" s="56">
        <f>SUM(AD5:AD24,AD25:AD29,AD30:AD39)</f>
        <v>3170.3509999999997</v>
      </c>
      <c r="AE44" s="56">
        <f>SUM(AE5:AE24,AE25:AE29,AE30:AE39)</f>
        <v>0</v>
      </c>
      <c r="AZ44" s="56">
        <f>SUM(AZ5:AZ24,AZ25:AZ29,AZ30:AZ39)</f>
        <v>0</v>
      </c>
      <c r="BA44" s="56">
        <f>SUM(BA5:BA24,BA25:BA29,BA30:BA39)</f>
        <v>0</v>
      </c>
      <c r="BB44" s="56">
        <f>SUM(BB5:BB24,BB25:BB29,BB30:BB39)</f>
        <v>0</v>
      </c>
      <c r="BC44" s="56">
        <f>SUM(BC5:BC24,BC25:BC29,BC30:BC39)</f>
        <v>0</v>
      </c>
    </row>
    <row r="45" spans="1:72" hidden="1" outlineLevel="2" x14ac:dyDescent="0.25">
      <c r="B45" s="54" t="s">
        <v>239</v>
      </c>
      <c r="AZ45" s="7">
        <f>AZ44/AB44</f>
        <v>0</v>
      </c>
      <c r="BA45" s="7" t="e">
        <f>BA44/AC44</f>
        <v>#DIV/0!</v>
      </c>
      <c r="BB45" s="7">
        <f>BB44/AD44</f>
        <v>0</v>
      </c>
      <c r="BC45" s="7" t="e">
        <f>BC44/AE44</f>
        <v>#DIV/0!</v>
      </c>
    </row>
    <row r="46" spans="1:72" hidden="1" outlineLevel="2" x14ac:dyDescent="0.25">
      <c r="B46" s="54" t="s">
        <v>240</v>
      </c>
      <c r="AB46" s="56">
        <f>GEOMEAN(AB5:AB24,AB25:AB29,AB30:AB39)</f>
        <v>9855.9887712207255</v>
      </c>
      <c r="AC46" s="56" t="e">
        <f>GEOMEAN(AC5:AC24,AC25:AC29,AC30:AC39)</f>
        <v>#NUM!</v>
      </c>
      <c r="AD46" s="56">
        <f>GEOMEAN(AD5:AD24,AD25:AD29,AD30:AD39)</f>
        <v>77.803299552656199</v>
      </c>
      <c r="AE46" s="56" t="e">
        <f>GEOMEAN(AE5:AE24,AE25:AE29,AE30:AE39)</f>
        <v>#NUM!</v>
      </c>
      <c r="AZ46" s="56" t="e">
        <f>GEOMEAN(AZ5:AZ24,AZ25:AZ29,AZ30:AZ39)</f>
        <v>#NUM!</v>
      </c>
      <c r="BA46" s="56" t="e">
        <f>GEOMEAN(BA5:BA24,BA25:BA29,BA30:BA39)</f>
        <v>#NUM!</v>
      </c>
      <c r="BB46" s="56" t="e">
        <f>GEOMEAN(BB5:BB24,BB25:BB29,BB30:BB39)</f>
        <v>#NUM!</v>
      </c>
      <c r="BC46" s="56" t="e">
        <f>GEOMEAN(BC5:BC24,BC25:BC29,BC30:BC39)</f>
        <v>#NUM!</v>
      </c>
    </row>
    <row r="47" spans="1:72" outlineLevel="2" collapsed="1" x14ac:dyDescent="0.25">
      <c r="B47" s="54" t="s">
        <v>241</v>
      </c>
      <c r="AZ47" s="7" t="e">
        <f>AZ46/AB46</f>
        <v>#NUM!</v>
      </c>
      <c r="BA47" s="7" t="e">
        <f>BA46/AC46</f>
        <v>#NUM!</v>
      </c>
      <c r="BB47" s="7" t="e">
        <f>BB46/AD46</f>
        <v>#NUM!</v>
      </c>
      <c r="BC47" s="7"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G19"/>
  <sheetViews>
    <sheetView zoomScale="55" zoomScaleNormal="55" workbookViewId="0">
      <pane xSplit="2" ySplit="4" topLeftCell="F5" activePane="bottomRight" state="frozen"/>
      <selection pane="topRight" activeCell="C1" sqref="C1"/>
      <selection pane="bottomLeft" activeCell="A5" sqref="A5"/>
      <selection pane="bottomRight" activeCell="AE1" sqref="AE1:AZ1"/>
    </sheetView>
  </sheetViews>
  <sheetFormatPr defaultRowHeight="15" outlineLevelRow="2" x14ac:dyDescent="0.25"/>
  <cols>
    <col min="2" max="2" width="24.7109375" customWidth="1"/>
    <col min="3" max="4" width="10.7109375" customWidth="1"/>
    <col min="7" max="7" width="1.7109375" customWidth="1"/>
    <col min="10" max="13" width="10.7109375" customWidth="1"/>
    <col min="14" max="14" width="24.7109375" hidden="1" customWidth="1"/>
    <col min="15" max="15" width="12.7109375" customWidth="1"/>
    <col min="16" max="16" width="10.7109375" customWidth="1"/>
    <col min="17" max="20" width="12.7109375" customWidth="1"/>
    <col min="21" max="25" width="11.7109375" customWidth="1"/>
    <col min="30" max="30" width="1.7109375" customWidth="1"/>
    <col min="33" max="36" width="10.7109375" customWidth="1"/>
    <col min="37" max="37" width="24.7109375" hidden="1" customWidth="1"/>
    <col min="38" max="38" width="12.7109375" customWidth="1"/>
    <col min="39" max="39" width="10.7109375" customWidth="1"/>
    <col min="40" max="43" width="12.7109375" customWidth="1"/>
    <col min="44" max="48" width="11.7109375" customWidth="1"/>
    <col min="53" max="53" width="1.7109375" customWidth="1"/>
    <col min="60" max="60" width="1.7109375" customWidth="1"/>
  </cols>
  <sheetData>
    <row r="1" spans="1:59" x14ac:dyDescent="0.25">
      <c r="A1" s="70" t="s">
        <v>564</v>
      </c>
      <c r="B1" s="58"/>
      <c r="C1" s="58"/>
      <c r="D1" s="58"/>
      <c r="E1" s="58"/>
      <c r="F1" s="58"/>
      <c r="H1" s="66" t="str">
        <f>Summary!$C$1</f>
        <v>ExtRec2_master+r21</v>
      </c>
      <c r="I1" s="58"/>
      <c r="J1" s="58"/>
      <c r="K1" s="58"/>
      <c r="L1" s="58"/>
      <c r="M1" s="58"/>
      <c r="N1" s="58"/>
      <c r="O1" s="58"/>
      <c r="P1" s="58"/>
      <c r="Q1" s="58"/>
      <c r="R1" s="58"/>
      <c r="S1" s="58"/>
      <c r="T1" s="58"/>
      <c r="U1" s="58"/>
      <c r="V1" s="58"/>
      <c r="W1" s="58"/>
      <c r="X1" s="58"/>
      <c r="Y1" s="58"/>
      <c r="Z1" s="58"/>
      <c r="AA1" s="58"/>
      <c r="AB1" s="58"/>
      <c r="AC1" s="58"/>
      <c r="AE1" s="67">
        <f>Summary!$C$2</f>
        <v>0</v>
      </c>
      <c r="AF1" s="58"/>
      <c r="AG1" s="58"/>
      <c r="AH1" s="58"/>
      <c r="AI1" s="58"/>
      <c r="AJ1" s="58"/>
      <c r="AK1" s="58"/>
      <c r="AL1" s="58"/>
      <c r="AM1" s="58"/>
      <c r="AN1" s="58"/>
      <c r="AO1" s="58"/>
      <c r="AP1" s="58"/>
      <c r="AQ1" s="58"/>
      <c r="AR1" s="58"/>
      <c r="AS1" s="58"/>
      <c r="AT1" s="58"/>
      <c r="AU1" s="58"/>
      <c r="AV1" s="58"/>
      <c r="AW1" s="58"/>
      <c r="AX1" s="58"/>
      <c r="AY1" s="58"/>
      <c r="AZ1" s="58"/>
    </row>
    <row r="2" spans="1:59" ht="30" customHeight="1" x14ac:dyDescent="0.25">
      <c r="A2" s="72" t="s">
        <v>137</v>
      </c>
      <c r="B2" s="71" t="s">
        <v>138</v>
      </c>
      <c r="C2" s="72" t="s">
        <v>140</v>
      </c>
      <c r="D2" s="71" t="s">
        <v>141</v>
      </c>
      <c r="E2" s="72" t="s">
        <v>142</v>
      </c>
      <c r="F2" s="71" t="s">
        <v>143</v>
      </c>
      <c r="H2" s="72" t="s">
        <v>565</v>
      </c>
      <c r="I2" s="71" t="s">
        <v>144</v>
      </c>
      <c r="J2" s="69" t="s">
        <v>145</v>
      </c>
      <c r="K2" s="58"/>
      <c r="L2" s="58"/>
      <c r="M2" s="58"/>
      <c r="N2" s="72" t="s">
        <v>146</v>
      </c>
      <c r="O2" s="71" t="s">
        <v>147</v>
      </c>
      <c r="P2" s="72" t="s">
        <v>84</v>
      </c>
      <c r="Q2" s="68" t="s">
        <v>148</v>
      </c>
      <c r="R2" s="58"/>
      <c r="S2" s="58"/>
      <c r="T2" s="58"/>
      <c r="U2" s="69" t="s">
        <v>149</v>
      </c>
      <c r="V2" s="58"/>
      <c r="W2" s="68" t="s">
        <v>150</v>
      </c>
      <c r="X2" s="58"/>
      <c r="Y2" s="58"/>
      <c r="Z2" s="69" t="s">
        <v>151</v>
      </c>
      <c r="AA2" s="58"/>
      <c r="AB2" s="68" t="s">
        <v>152</v>
      </c>
      <c r="AC2" s="58"/>
      <c r="AE2" s="72" t="s">
        <v>565</v>
      </c>
      <c r="AF2" s="71" t="s">
        <v>144</v>
      </c>
      <c r="AG2" s="69" t="s">
        <v>145</v>
      </c>
      <c r="AH2" s="58"/>
      <c r="AI2" s="58"/>
      <c r="AJ2" s="58"/>
      <c r="AK2" s="72" t="s">
        <v>153</v>
      </c>
      <c r="AL2" s="71" t="s">
        <v>147</v>
      </c>
      <c r="AM2" s="72" t="s">
        <v>84</v>
      </c>
      <c r="AN2" s="68" t="s">
        <v>148</v>
      </c>
      <c r="AO2" s="58"/>
      <c r="AP2" s="58"/>
      <c r="AQ2" s="58"/>
      <c r="AR2" s="69" t="s">
        <v>149</v>
      </c>
      <c r="AS2" s="58"/>
      <c r="AT2" s="68" t="s">
        <v>150</v>
      </c>
      <c r="AU2" s="58"/>
      <c r="AV2" s="58"/>
      <c r="AW2" s="69" t="s">
        <v>151</v>
      </c>
      <c r="AX2" s="58"/>
      <c r="AY2" s="68" t="s">
        <v>152</v>
      </c>
      <c r="AZ2" s="58"/>
      <c r="BB2" s="69" t="s">
        <v>22</v>
      </c>
      <c r="BC2" s="58"/>
      <c r="BD2" s="58"/>
      <c r="BE2" s="58"/>
      <c r="BF2" s="71" t="s">
        <v>156</v>
      </c>
      <c r="BG2" s="72" t="s">
        <v>156</v>
      </c>
    </row>
    <row r="3" spans="1:59" ht="28.9" customHeight="1" x14ac:dyDescent="0.25">
      <c r="A3" s="60"/>
      <c r="B3" s="60"/>
      <c r="C3" s="60"/>
      <c r="D3" s="60"/>
      <c r="E3" s="60"/>
      <c r="F3" s="60"/>
      <c r="H3" s="60"/>
      <c r="I3" s="60"/>
      <c r="J3" s="10" t="s">
        <v>25</v>
      </c>
      <c r="K3" s="10" t="s">
        <v>23</v>
      </c>
      <c r="L3" s="10" t="s">
        <v>157</v>
      </c>
      <c r="M3" s="10" t="s">
        <v>158</v>
      </c>
      <c r="N3" s="60"/>
      <c r="O3" s="60"/>
      <c r="P3" s="60"/>
      <c r="Q3" s="11" t="s">
        <v>25</v>
      </c>
      <c r="R3" s="11" t="s">
        <v>157</v>
      </c>
      <c r="S3" s="11" t="s">
        <v>159</v>
      </c>
      <c r="T3" s="11" t="s">
        <v>24</v>
      </c>
      <c r="U3" s="10" t="s">
        <v>9</v>
      </c>
      <c r="V3" s="10" t="s">
        <v>10</v>
      </c>
      <c r="W3" s="11" t="s">
        <v>11</v>
      </c>
      <c r="X3" s="11" t="s">
        <v>12</v>
      </c>
      <c r="Y3" s="11" t="s">
        <v>13</v>
      </c>
      <c r="Z3" s="10" t="s">
        <v>160</v>
      </c>
      <c r="AA3" s="10" t="s">
        <v>161</v>
      </c>
      <c r="AB3" s="11" t="s">
        <v>160</v>
      </c>
      <c r="AC3" s="11" t="s">
        <v>161</v>
      </c>
      <c r="AE3" s="60"/>
      <c r="AF3" s="60"/>
      <c r="AG3" s="10" t="s">
        <v>25</v>
      </c>
      <c r="AH3" s="10" t="s">
        <v>23</v>
      </c>
      <c r="AI3" s="10" t="s">
        <v>157</v>
      </c>
      <c r="AJ3" s="10" t="s">
        <v>158</v>
      </c>
      <c r="AK3" s="60"/>
      <c r="AL3" s="60"/>
      <c r="AM3" s="60"/>
      <c r="AN3" s="11" t="s">
        <v>25</v>
      </c>
      <c r="AO3" s="11" t="s">
        <v>157</v>
      </c>
      <c r="AP3" s="11" t="s">
        <v>159</v>
      </c>
      <c r="AQ3" s="11" t="s">
        <v>24</v>
      </c>
      <c r="AR3" s="10" t="s">
        <v>9</v>
      </c>
      <c r="AS3" s="10" t="s">
        <v>10</v>
      </c>
      <c r="AT3" s="11" t="s">
        <v>11</v>
      </c>
      <c r="AU3" s="11" t="s">
        <v>12</v>
      </c>
      <c r="AV3" s="11" t="s">
        <v>13</v>
      </c>
      <c r="AW3" s="10" t="s">
        <v>160</v>
      </c>
      <c r="AX3" s="10" t="s">
        <v>161</v>
      </c>
      <c r="AY3" s="11" t="s">
        <v>160</v>
      </c>
      <c r="AZ3" s="11" t="s">
        <v>161</v>
      </c>
      <c r="BB3" s="10" t="s">
        <v>25</v>
      </c>
      <c r="BC3" s="10" t="s">
        <v>23</v>
      </c>
      <c r="BD3" s="10" t="s">
        <v>157</v>
      </c>
      <c r="BE3" s="10" t="s">
        <v>24</v>
      </c>
      <c r="BF3" s="60"/>
      <c r="BG3" s="60"/>
    </row>
    <row r="4" spans="1:59" ht="123" hidden="1" customHeight="1" x14ac:dyDescent="0.25">
      <c r="A4" s="12" t="s">
        <v>162</v>
      </c>
      <c r="B4" s="13" t="s">
        <v>163</v>
      </c>
      <c r="C4" s="12" t="s">
        <v>165</v>
      </c>
      <c r="D4" s="13" t="s">
        <v>166</v>
      </c>
      <c r="E4" s="12" t="s">
        <v>167</v>
      </c>
      <c r="F4" s="13" t="s">
        <v>168</v>
      </c>
      <c r="H4" s="12" t="s">
        <v>566</v>
      </c>
      <c r="I4" s="13" t="s">
        <v>169</v>
      </c>
      <c r="J4" s="12" t="s">
        <v>170</v>
      </c>
      <c r="K4" s="12" t="s">
        <v>171</v>
      </c>
      <c r="L4" s="12" t="s">
        <v>172</v>
      </c>
      <c r="M4" s="12" t="s">
        <v>173</v>
      </c>
      <c r="N4" s="12" t="s">
        <v>174</v>
      </c>
      <c r="O4" s="13" t="s">
        <v>175</v>
      </c>
      <c r="P4" s="12" t="s">
        <v>176</v>
      </c>
      <c r="Q4" s="13" t="s">
        <v>179</v>
      </c>
      <c r="R4" s="13" t="s">
        <v>180</v>
      </c>
      <c r="S4" s="13" t="s">
        <v>181</v>
      </c>
      <c r="T4" s="13" t="s">
        <v>182</v>
      </c>
      <c r="U4" s="12" t="s">
        <v>183</v>
      </c>
      <c r="V4" s="12" t="s">
        <v>184</v>
      </c>
      <c r="W4" s="13" t="s">
        <v>185</v>
      </c>
      <c r="X4" s="13" t="s">
        <v>186</v>
      </c>
      <c r="Y4" s="13" t="s">
        <v>187</v>
      </c>
      <c r="Z4" s="12" t="s">
        <v>188</v>
      </c>
      <c r="AA4" s="12" t="s">
        <v>189</v>
      </c>
      <c r="AB4" s="13" t="s">
        <v>190</v>
      </c>
      <c r="AC4" s="13" t="s">
        <v>191</v>
      </c>
      <c r="AE4" s="12" t="s">
        <v>567</v>
      </c>
      <c r="AF4" s="13" t="s">
        <v>192</v>
      </c>
      <c r="AG4" s="12" t="s">
        <v>193</v>
      </c>
      <c r="AH4" s="12" t="s">
        <v>194</v>
      </c>
      <c r="AI4" s="12" t="s">
        <v>195</v>
      </c>
      <c r="AJ4" s="12" t="s">
        <v>196</v>
      </c>
      <c r="AK4" s="12" t="s">
        <v>197</v>
      </c>
      <c r="AL4" s="13" t="s">
        <v>198</v>
      </c>
      <c r="AM4" s="12" t="s">
        <v>199</v>
      </c>
      <c r="AN4" s="13" t="s">
        <v>202</v>
      </c>
      <c r="AO4" s="13" t="s">
        <v>203</v>
      </c>
      <c r="AP4" s="13" t="s">
        <v>204</v>
      </c>
      <c r="AQ4" s="13" t="s">
        <v>205</v>
      </c>
      <c r="AR4" s="12" t="s">
        <v>206</v>
      </c>
      <c r="AS4" s="12" t="s">
        <v>207</v>
      </c>
      <c r="AT4" s="13" t="s">
        <v>208</v>
      </c>
      <c r="AU4" s="13" t="s">
        <v>209</v>
      </c>
      <c r="AV4" s="13" t="s">
        <v>210</v>
      </c>
      <c r="AW4" s="12" t="s">
        <v>211</v>
      </c>
      <c r="AX4" s="12" t="s">
        <v>212</v>
      </c>
      <c r="AY4" s="13" t="s">
        <v>213</v>
      </c>
      <c r="AZ4" s="13" t="s">
        <v>214</v>
      </c>
      <c r="BB4" s="12" t="s">
        <v>568</v>
      </c>
      <c r="BC4" s="12" t="s">
        <v>215</v>
      </c>
      <c r="BD4" s="12" t="s">
        <v>569</v>
      </c>
      <c r="BE4" s="12" t="s">
        <v>570</v>
      </c>
      <c r="BF4" s="13" t="s">
        <v>217</v>
      </c>
      <c r="BG4" s="12" t="s">
        <v>218</v>
      </c>
    </row>
    <row r="5" spans="1:59" collapsed="1" x14ac:dyDescent="0.25">
      <c r="A5" s="14" t="s">
        <v>229</v>
      </c>
      <c r="B5" s="14" t="s">
        <v>49</v>
      </c>
      <c r="C5" s="14">
        <v>238146391</v>
      </c>
      <c r="D5" s="15">
        <v>10</v>
      </c>
      <c r="E5" s="15">
        <v>32</v>
      </c>
      <c r="F5" s="15">
        <v>30</v>
      </c>
      <c r="H5" s="23" t="str">
        <f t="shared" ref="H5:H11" si="0">IF(ISBLANK(Q5),"·",Q5/(C5*(D5*3+IF(AND(ISNUMBER(T5),T5&gt;0),24,0))))</f>
        <v>·</v>
      </c>
      <c r="I5" s="16" t="str">
        <f t="shared" ref="I5:I11" si="1">IF(OR(ISBLANK(Q5),ISBLANK(F5)),"·",Q5*F5/E5/1000000)</f>
        <v>·</v>
      </c>
      <c r="J5" s="17" t="str">
        <f t="shared" ref="J5:J11" si="2">IF(ISBLANK(Q5),"·",Q5/C5)</f>
        <v>·</v>
      </c>
      <c r="K5" s="17" t="str">
        <f t="shared" ref="K5:K11" si="3">IF(N5="","·",N5/C5)</f>
        <v>·</v>
      </c>
      <c r="L5" s="17" t="str">
        <f t="shared" ref="L5:L11" si="4">IF(R5="","·",R5/C5)</f>
        <v>·</v>
      </c>
      <c r="M5" s="17" t="str">
        <f t="shared" ref="M5:M11" si="5">IF(ISBLANK(T5),"·",T5/C5)</f>
        <v>·</v>
      </c>
      <c r="N5" s="14" t="str">
        <f t="shared" ref="N5:N11" si="6">IF(OR(ISBLANK(R5),ISBLANK(S5)),"",R5+S5)</f>
        <v/>
      </c>
      <c r="O5" s="17" t="str">
        <f t="shared" ref="O5:O11" si="7">IF(ISBLANK(Q5),"·",Q5/P5)</f>
        <v>·</v>
      </c>
      <c r="P5" s="18"/>
      <c r="Q5" s="19"/>
      <c r="R5" s="19"/>
      <c r="S5" s="19"/>
      <c r="T5" s="19"/>
      <c r="U5" s="20"/>
      <c r="V5" s="20"/>
      <c r="W5" s="20"/>
      <c r="X5" s="20"/>
      <c r="Y5" s="20"/>
      <c r="Z5" s="21"/>
      <c r="AA5" s="21"/>
      <c r="AB5" s="21"/>
      <c r="AC5" s="21"/>
      <c r="AE5" s="23" t="str">
        <f t="shared" ref="AE5:AE11" si="8">IF(ISBLANK(Q5),"·",Q5/(C5*(D5*3+IF(AND(ISNUMBER(T5),T5&gt;0),24,0))))</f>
        <v>·</v>
      </c>
      <c r="AF5" s="16" t="str">
        <f t="shared" ref="AF5:AF11" si="9">IF(OR(ISBLANK(AN5),ISBLANK(F5)),"·",AN5*F5/E5/1000000)</f>
        <v>·</v>
      </c>
      <c r="AG5" s="17" t="str">
        <f t="shared" ref="AG5:AG11" si="10">IF(ISBLANK(AN5),"·",AN5/C5)</f>
        <v>·</v>
      </c>
      <c r="AH5" s="17" t="str">
        <f t="shared" ref="AH5:AH11" si="11">IF(AK5="","·",AK5/C5)</f>
        <v>·</v>
      </c>
      <c r="AI5" s="17" t="str">
        <f t="shared" ref="AI5:AI11" si="12">IF(AO5="","·",AO5/C5)</f>
        <v>·</v>
      </c>
      <c r="AJ5" s="17" t="str">
        <f t="shared" ref="AJ5:AJ11" si="13">IF(ISBLANK(AQ5),"·",AQ5/C5)</f>
        <v>·</v>
      </c>
      <c r="AK5" s="14" t="str">
        <f t="shared" ref="AK5:AK11" si="14">IF(OR(ISBLANK(AO5),ISBLANK(AP5)),"",AO5+AP5)</f>
        <v/>
      </c>
      <c r="AL5" s="17" t="str">
        <f t="shared" ref="AL5:AL11" si="15">IF(ISBLANK(AN5),"·",AN5/AM5)</f>
        <v>·</v>
      </c>
      <c r="AM5" s="18"/>
      <c r="AN5" s="19"/>
      <c r="AO5" s="19"/>
      <c r="AP5" s="19"/>
      <c r="AQ5" s="19"/>
      <c r="AR5" s="20"/>
      <c r="AS5" s="20"/>
      <c r="AT5" s="20"/>
      <c r="AU5" s="20"/>
      <c r="AV5" s="20"/>
      <c r="AW5" s="21"/>
      <c r="AX5" s="21"/>
      <c r="AY5" s="21"/>
      <c r="AZ5" s="21"/>
      <c r="BB5" s="22" t="e">
        <f t="shared" ref="BB5:BB15" si="16">AG5/J5</f>
        <v>#VALUE!</v>
      </c>
      <c r="BC5" s="22" t="e">
        <f t="shared" ref="BC5:BC15" si="17">AH5/K5</f>
        <v>#VALUE!</v>
      </c>
      <c r="BD5" s="22" t="e">
        <f t="shared" ref="BD5:BD15" si="18">AI5/L5</f>
        <v>#VALUE!</v>
      </c>
      <c r="BE5" s="22" t="e">
        <f t="shared" ref="BE5:BE15" si="19">AJ5/M5</f>
        <v>#VALUE!</v>
      </c>
      <c r="BF5" s="23" t="e">
        <f t="shared" ref="BF5:BF11" si="20">(AK5/AN5) - (N5/Q5)</f>
        <v>#VALUE!</v>
      </c>
      <c r="BG5" s="23" t="e">
        <f t="array" ref="BG5">AVERAGE(AK5:AK5/AN5:AN5) - AVERAGE(N5:N5/Q5:Q5)</f>
        <v>#VALUE!</v>
      </c>
    </row>
    <row r="6" spans="1:59" collapsed="1" x14ac:dyDescent="0.25">
      <c r="A6" s="24"/>
      <c r="B6" s="24" t="s">
        <v>57</v>
      </c>
      <c r="C6" s="24">
        <v>218121242</v>
      </c>
      <c r="D6" s="25">
        <v>10</v>
      </c>
      <c r="E6" s="25">
        <v>32</v>
      </c>
      <c r="F6" s="25">
        <v>30</v>
      </c>
      <c r="H6" s="33" t="str">
        <f t="shared" si="0"/>
        <v>·</v>
      </c>
      <c r="I6" s="26" t="str">
        <f t="shared" si="1"/>
        <v>·</v>
      </c>
      <c r="J6" s="27" t="str">
        <f t="shared" si="2"/>
        <v>·</v>
      </c>
      <c r="K6" s="27" t="str">
        <f t="shared" si="3"/>
        <v>·</v>
      </c>
      <c r="L6" s="27" t="str">
        <f t="shared" si="4"/>
        <v>·</v>
      </c>
      <c r="M6" s="27" t="str">
        <f t="shared" si="5"/>
        <v>·</v>
      </c>
      <c r="N6" s="24" t="str">
        <f t="shared" si="6"/>
        <v/>
      </c>
      <c r="O6" s="27" t="str">
        <f t="shared" si="7"/>
        <v>·</v>
      </c>
      <c r="P6" s="28"/>
      <c r="Q6" s="29"/>
      <c r="R6" s="29"/>
      <c r="S6" s="29"/>
      <c r="T6" s="29"/>
      <c r="U6" s="30"/>
      <c r="V6" s="30"/>
      <c r="W6" s="30"/>
      <c r="X6" s="30"/>
      <c r="Y6" s="30"/>
      <c r="Z6" s="31"/>
      <c r="AA6" s="31"/>
      <c r="AB6" s="31"/>
      <c r="AC6" s="31"/>
      <c r="AE6" s="33" t="str">
        <f t="shared" si="8"/>
        <v>·</v>
      </c>
      <c r="AF6" s="26" t="str">
        <f t="shared" si="9"/>
        <v>·</v>
      </c>
      <c r="AG6" s="27" t="str">
        <f t="shared" si="10"/>
        <v>·</v>
      </c>
      <c r="AH6" s="27" t="str">
        <f t="shared" si="11"/>
        <v>·</v>
      </c>
      <c r="AI6" s="27" t="str">
        <f t="shared" si="12"/>
        <v>·</v>
      </c>
      <c r="AJ6" s="27" t="str">
        <f t="shared" si="13"/>
        <v>·</v>
      </c>
      <c r="AK6" s="24" t="str">
        <f t="shared" si="14"/>
        <v/>
      </c>
      <c r="AL6" s="27" t="str">
        <f t="shared" si="15"/>
        <v>·</v>
      </c>
      <c r="AM6" s="28"/>
      <c r="AN6" s="29"/>
      <c r="AO6" s="29"/>
      <c r="AP6" s="29"/>
      <c r="AQ6" s="29"/>
      <c r="AR6" s="30"/>
      <c r="AS6" s="30"/>
      <c r="AT6" s="30"/>
      <c r="AU6" s="30"/>
      <c r="AV6" s="30"/>
      <c r="AW6" s="31"/>
      <c r="AX6" s="31"/>
      <c r="AY6" s="31"/>
      <c r="AZ6" s="31"/>
      <c r="BB6" s="32" t="e">
        <f t="shared" si="16"/>
        <v>#VALUE!</v>
      </c>
      <c r="BC6" s="32" t="e">
        <f t="shared" si="17"/>
        <v>#VALUE!</v>
      </c>
      <c r="BD6" s="32" t="e">
        <f t="shared" si="18"/>
        <v>#VALUE!</v>
      </c>
      <c r="BE6" s="32" t="e">
        <f t="shared" si="19"/>
        <v>#VALUE!</v>
      </c>
      <c r="BF6" s="33" t="e">
        <f t="shared" si="20"/>
        <v>#VALUE!</v>
      </c>
      <c r="BG6" s="33" t="e">
        <f t="array" ref="BG6">AVERAGE(AK6:AK6/AN6:AN6) - AVERAGE(N6:N6/Q6:Q6)</f>
        <v>#VALUE!</v>
      </c>
    </row>
    <row r="7" spans="1:59" collapsed="1" x14ac:dyDescent="0.25">
      <c r="A7" s="14"/>
      <c r="B7" s="14" t="s">
        <v>62</v>
      </c>
      <c r="C7" s="14">
        <v>322589704</v>
      </c>
      <c r="D7" s="15">
        <v>10</v>
      </c>
      <c r="E7" s="15">
        <v>32</v>
      </c>
      <c r="F7" s="15">
        <v>30</v>
      </c>
      <c r="H7" s="23" t="str">
        <f t="shared" si="0"/>
        <v>·</v>
      </c>
      <c r="I7" s="16" t="str">
        <f t="shared" si="1"/>
        <v>·</v>
      </c>
      <c r="J7" s="17" t="str">
        <f t="shared" si="2"/>
        <v>·</v>
      </c>
      <c r="K7" s="17" t="str">
        <f t="shared" si="3"/>
        <v>·</v>
      </c>
      <c r="L7" s="17" t="str">
        <f t="shared" si="4"/>
        <v>·</v>
      </c>
      <c r="M7" s="17" t="str">
        <f t="shared" si="5"/>
        <v>·</v>
      </c>
      <c r="N7" s="14" t="str">
        <f t="shared" si="6"/>
        <v/>
      </c>
      <c r="O7" s="17" t="str">
        <f t="shared" si="7"/>
        <v>·</v>
      </c>
      <c r="P7" s="18"/>
      <c r="Q7" s="19"/>
      <c r="R7" s="19"/>
      <c r="S7" s="19"/>
      <c r="T7" s="19"/>
      <c r="U7" s="20"/>
      <c r="V7" s="20"/>
      <c r="W7" s="20"/>
      <c r="X7" s="20"/>
      <c r="Y7" s="20"/>
      <c r="Z7" s="21"/>
      <c r="AA7" s="21"/>
      <c r="AB7" s="21"/>
      <c r="AC7" s="21"/>
      <c r="AE7" s="23" t="str">
        <f t="shared" si="8"/>
        <v>·</v>
      </c>
      <c r="AF7" s="16" t="str">
        <f t="shared" si="9"/>
        <v>·</v>
      </c>
      <c r="AG7" s="17" t="str">
        <f t="shared" si="10"/>
        <v>·</v>
      </c>
      <c r="AH7" s="17" t="str">
        <f t="shared" si="11"/>
        <v>·</v>
      </c>
      <c r="AI7" s="17" t="str">
        <f t="shared" si="12"/>
        <v>·</v>
      </c>
      <c r="AJ7" s="17" t="str">
        <f t="shared" si="13"/>
        <v>·</v>
      </c>
      <c r="AK7" s="14" t="str">
        <f t="shared" si="14"/>
        <v/>
      </c>
      <c r="AL7" s="17" t="str">
        <f t="shared" si="15"/>
        <v>·</v>
      </c>
      <c r="AM7" s="18"/>
      <c r="AN7" s="19"/>
      <c r="AO7" s="19"/>
      <c r="AP7" s="19"/>
      <c r="AQ7" s="19"/>
      <c r="AR7" s="20"/>
      <c r="AS7" s="20"/>
      <c r="AT7" s="20"/>
      <c r="AU7" s="20"/>
      <c r="AV7" s="20"/>
      <c r="AW7" s="21"/>
      <c r="AX7" s="21"/>
      <c r="AY7" s="21"/>
      <c r="AZ7" s="21"/>
      <c r="BB7" s="22" t="e">
        <f t="shared" si="16"/>
        <v>#VALUE!</v>
      </c>
      <c r="BC7" s="22" t="e">
        <f t="shared" si="17"/>
        <v>#VALUE!</v>
      </c>
      <c r="BD7" s="22" t="e">
        <f t="shared" si="18"/>
        <v>#VALUE!</v>
      </c>
      <c r="BE7" s="22" t="e">
        <f t="shared" si="19"/>
        <v>#VALUE!</v>
      </c>
      <c r="BF7" s="23" t="e">
        <f t="shared" si="20"/>
        <v>#VALUE!</v>
      </c>
      <c r="BG7" s="23" t="e">
        <f t="array" ref="BG7">AVERAGE(AK7:AK7/AN7:AN7) - AVERAGE(N7:N7/Q7:Q7)</f>
        <v>#VALUE!</v>
      </c>
    </row>
    <row r="8" spans="1:59" collapsed="1" x14ac:dyDescent="0.25">
      <c r="A8" s="44"/>
      <c r="B8" s="44" t="s">
        <v>68</v>
      </c>
      <c r="C8" s="44">
        <v>250602891</v>
      </c>
      <c r="D8" s="45">
        <v>10</v>
      </c>
      <c r="E8" s="45">
        <v>32</v>
      </c>
      <c r="F8" s="45">
        <v>50</v>
      </c>
      <c r="H8" s="53" t="str">
        <f t="shared" si="0"/>
        <v>·</v>
      </c>
      <c r="I8" s="46" t="str">
        <f t="shared" si="1"/>
        <v>·</v>
      </c>
      <c r="J8" s="47" t="str">
        <f t="shared" si="2"/>
        <v>·</v>
      </c>
      <c r="K8" s="47" t="str">
        <f t="shared" si="3"/>
        <v>·</v>
      </c>
      <c r="L8" s="47" t="str">
        <f t="shared" si="4"/>
        <v>·</v>
      </c>
      <c r="M8" s="47" t="str">
        <f t="shared" si="5"/>
        <v>·</v>
      </c>
      <c r="N8" s="44" t="str">
        <f t="shared" si="6"/>
        <v/>
      </c>
      <c r="O8" s="47" t="str">
        <f t="shared" si="7"/>
        <v>·</v>
      </c>
      <c r="P8" s="48"/>
      <c r="Q8" s="49"/>
      <c r="R8" s="49"/>
      <c r="S8" s="49"/>
      <c r="T8" s="49"/>
      <c r="U8" s="50"/>
      <c r="V8" s="50"/>
      <c r="W8" s="50"/>
      <c r="X8" s="50"/>
      <c r="Y8" s="50"/>
      <c r="Z8" s="51"/>
      <c r="AA8" s="51"/>
      <c r="AB8" s="51"/>
      <c r="AC8" s="51"/>
      <c r="AE8" s="53" t="str">
        <f t="shared" si="8"/>
        <v>·</v>
      </c>
      <c r="AF8" s="46" t="str">
        <f t="shared" si="9"/>
        <v>·</v>
      </c>
      <c r="AG8" s="47" t="str">
        <f t="shared" si="10"/>
        <v>·</v>
      </c>
      <c r="AH8" s="47" t="str">
        <f t="shared" si="11"/>
        <v>·</v>
      </c>
      <c r="AI8" s="47" t="str">
        <f t="shared" si="12"/>
        <v>·</v>
      </c>
      <c r="AJ8" s="47" t="str">
        <f t="shared" si="13"/>
        <v>·</v>
      </c>
      <c r="AK8" s="44" t="str">
        <f t="shared" si="14"/>
        <v/>
      </c>
      <c r="AL8" s="47" t="str">
        <f t="shared" si="15"/>
        <v>·</v>
      </c>
      <c r="AM8" s="48"/>
      <c r="AN8" s="49"/>
      <c r="AO8" s="49"/>
      <c r="AP8" s="49"/>
      <c r="AQ8" s="49"/>
      <c r="AR8" s="50"/>
      <c r="AS8" s="50"/>
      <c r="AT8" s="50"/>
      <c r="AU8" s="50"/>
      <c r="AV8" s="50"/>
      <c r="AW8" s="51"/>
      <c r="AX8" s="51"/>
      <c r="AY8" s="51"/>
      <c r="AZ8" s="51"/>
      <c r="BB8" s="52" t="e">
        <f t="shared" si="16"/>
        <v>#VALUE!</v>
      </c>
      <c r="BC8" s="52" t="e">
        <f t="shared" si="17"/>
        <v>#VALUE!</v>
      </c>
      <c r="BD8" s="52" t="e">
        <f t="shared" si="18"/>
        <v>#VALUE!</v>
      </c>
      <c r="BE8" s="52" t="e">
        <f t="shared" si="19"/>
        <v>#VALUE!</v>
      </c>
      <c r="BF8" s="53" t="e">
        <f t="shared" si="20"/>
        <v>#VALUE!</v>
      </c>
      <c r="BG8" s="53" t="e">
        <f t="array" ref="BG8">AVERAGE(AK8:AK8/AN8:AN8) - AVERAGE(N8:N8/Q8:Q8)</f>
        <v>#VALUE!</v>
      </c>
    </row>
    <row r="9" spans="1:59" collapsed="1" x14ac:dyDescent="0.25">
      <c r="A9" s="34" t="s">
        <v>235</v>
      </c>
      <c r="B9" s="34" t="s">
        <v>71</v>
      </c>
      <c r="C9" s="34">
        <v>250294582</v>
      </c>
      <c r="D9" s="35">
        <v>10</v>
      </c>
      <c r="E9" s="35">
        <v>32</v>
      </c>
      <c r="F9" s="35">
        <v>30</v>
      </c>
      <c r="H9" s="43" t="str">
        <f t="shared" si="0"/>
        <v>·</v>
      </c>
      <c r="I9" s="36" t="str">
        <f t="shared" si="1"/>
        <v>·</v>
      </c>
      <c r="J9" s="37" t="str">
        <f t="shared" si="2"/>
        <v>·</v>
      </c>
      <c r="K9" s="37" t="str">
        <f t="shared" si="3"/>
        <v>·</v>
      </c>
      <c r="L9" s="37" t="str">
        <f t="shared" si="4"/>
        <v>·</v>
      </c>
      <c r="M9" s="37" t="str">
        <f t="shared" si="5"/>
        <v>·</v>
      </c>
      <c r="N9" s="34" t="str">
        <f t="shared" si="6"/>
        <v/>
      </c>
      <c r="O9" s="37" t="str">
        <f t="shared" si="7"/>
        <v>·</v>
      </c>
      <c r="P9" s="38"/>
      <c r="Q9" s="39"/>
      <c r="R9" s="39"/>
      <c r="S9" s="39"/>
      <c r="T9" s="39"/>
      <c r="U9" s="40"/>
      <c r="V9" s="40"/>
      <c r="W9" s="40"/>
      <c r="X9" s="40"/>
      <c r="Y9" s="40"/>
      <c r="Z9" s="41"/>
      <c r="AA9" s="41"/>
      <c r="AB9" s="41"/>
      <c r="AC9" s="41"/>
      <c r="AE9" s="43" t="str">
        <f t="shared" si="8"/>
        <v>·</v>
      </c>
      <c r="AF9" s="36" t="str">
        <f t="shared" si="9"/>
        <v>·</v>
      </c>
      <c r="AG9" s="37" t="str">
        <f t="shared" si="10"/>
        <v>·</v>
      </c>
      <c r="AH9" s="37" t="str">
        <f t="shared" si="11"/>
        <v>·</v>
      </c>
      <c r="AI9" s="37" t="str">
        <f t="shared" si="12"/>
        <v>·</v>
      </c>
      <c r="AJ9" s="37" t="str">
        <f t="shared" si="13"/>
        <v>·</v>
      </c>
      <c r="AK9" s="34" t="str">
        <f t="shared" si="14"/>
        <v/>
      </c>
      <c r="AL9" s="37" t="str">
        <f t="shared" si="15"/>
        <v>·</v>
      </c>
      <c r="AM9" s="38"/>
      <c r="AN9" s="39"/>
      <c r="AO9" s="39"/>
      <c r="AP9" s="39"/>
      <c r="AQ9" s="39"/>
      <c r="AR9" s="40"/>
      <c r="AS9" s="40"/>
      <c r="AT9" s="40"/>
      <c r="AU9" s="40"/>
      <c r="AV9" s="40"/>
      <c r="AW9" s="41"/>
      <c r="AX9" s="41"/>
      <c r="AY9" s="41"/>
      <c r="AZ9" s="41"/>
      <c r="BB9" s="42" t="e">
        <f t="shared" si="16"/>
        <v>#VALUE!</v>
      </c>
      <c r="BC9" s="42" t="e">
        <f t="shared" si="17"/>
        <v>#VALUE!</v>
      </c>
      <c r="BD9" s="42" t="e">
        <f t="shared" si="18"/>
        <v>#VALUE!</v>
      </c>
      <c r="BE9" s="42" t="e">
        <f t="shared" si="19"/>
        <v>#VALUE!</v>
      </c>
      <c r="BF9" s="43" t="e">
        <f t="shared" si="20"/>
        <v>#VALUE!</v>
      </c>
      <c r="BG9" s="43" t="e">
        <f t="array" ref="BG9">AVERAGE(AK9:AK9/AN9:AN9) - AVERAGE(N9:N9/Q9:Q9)</f>
        <v>#VALUE!</v>
      </c>
    </row>
    <row r="10" spans="1:59" collapsed="1" x14ac:dyDescent="0.25">
      <c r="A10" s="24" t="s">
        <v>236</v>
      </c>
      <c r="B10" s="24" t="s">
        <v>75</v>
      </c>
      <c r="C10" s="24">
        <v>375422539</v>
      </c>
      <c r="D10" s="25">
        <v>11</v>
      </c>
      <c r="E10" s="25">
        <v>32</v>
      </c>
      <c r="F10" s="25">
        <v>30</v>
      </c>
      <c r="H10" s="33" t="str">
        <f t="shared" si="0"/>
        <v>·</v>
      </c>
      <c r="I10" s="26" t="str">
        <f t="shared" si="1"/>
        <v>·</v>
      </c>
      <c r="J10" s="27" t="str">
        <f t="shared" si="2"/>
        <v>·</v>
      </c>
      <c r="K10" s="27" t="str">
        <f t="shared" si="3"/>
        <v>·</v>
      </c>
      <c r="L10" s="27" t="str">
        <f t="shared" si="4"/>
        <v>·</v>
      </c>
      <c r="M10" s="27" t="str">
        <f t="shared" si="5"/>
        <v>·</v>
      </c>
      <c r="N10" s="24" t="str">
        <f t="shared" si="6"/>
        <v/>
      </c>
      <c r="O10" s="27" t="str">
        <f t="shared" si="7"/>
        <v>·</v>
      </c>
      <c r="P10" s="28"/>
      <c r="Q10" s="29"/>
      <c r="R10" s="29"/>
      <c r="S10" s="29"/>
      <c r="T10" s="29"/>
      <c r="U10" s="30"/>
      <c r="V10" s="30"/>
      <c r="W10" s="30"/>
      <c r="X10" s="30"/>
      <c r="Y10" s="30"/>
      <c r="Z10" s="31"/>
      <c r="AA10" s="31"/>
      <c r="AB10" s="31"/>
      <c r="AC10" s="31"/>
      <c r="AE10" s="33" t="str">
        <f t="shared" si="8"/>
        <v>·</v>
      </c>
      <c r="AF10" s="26" t="str">
        <f t="shared" si="9"/>
        <v>·</v>
      </c>
      <c r="AG10" s="27" t="str">
        <f t="shared" si="10"/>
        <v>·</v>
      </c>
      <c r="AH10" s="27" t="str">
        <f t="shared" si="11"/>
        <v>·</v>
      </c>
      <c r="AI10" s="27" t="str">
        <f t="shared" si="12"/>
        <v>·</v>
      </c>
      <c r="AJ10" s="27" t="str">
        <f t="shared" si="13"/>
        <v>·</v>
      </c>
      <c r="AK10" s="24" t="str">
        <f t="shared" si="14"/>
        <v/>
      </c>
      <c r="AL10" s="27" t="str">
        <f t="shared" si="15"/>
        <v>·</v>
      </c>
      <c r="AM10" s="28"/>
      <c r="AN10" s="29"/>
      <c r="AO10" s="29"/>
      <c r="AP10" s="29"/>
      <c r="AQ10" s="29"/>
      <c r="AR10" s="30"/>
      <c r="AS10" s="30"/>
      <c r="AT10" s="30"/>
      <c r="AU10" s="30"/>
      <c r="AV10" s="30"/>
      <c r="AW10" s="31"/>
      <c r="AX10" s="31"/>
      <c r="AY10" s="31"/>
      <c r="AZ10" s="31"/>
      <c r="BB10" s="32" t="e">
        <f t="shared" si="16"/>
        <v>#VALUE!</v>
      </c>
      <c r="BC10" s="32" t="e">
        <f t="shared" si="17"/>
        <v>#VALUE!</v>
      </c>
      <c r="BD10" s="32" t="e">
        <f t="shared" si="18"/>
        <v>#VALUE!</v>
      </c>
      <c r="BE10" s="32" t="e">
        <f t="shared" si="19"/>
        <v>#VALUE!</v>
      </c>
      <c r="BF10" s="33" t="e">
        <f t="shared" si="20"/>
        <v>#VALUE!</v>
      </c>
      <c r="BG10" s="33" t="e">
        <f t="array" ref="BG10">AVERAGE(AK10:AK10/AN10:AN10) - AVERAGE(N10:N10/Q10:Q10)</f>
        <v>#VALUE!</v>
      </c>
    </row>
    <row r="11" spans="1:59" collapsed="1" x14ac:dyDescent="0.25">
      <c r="A11" s="34"/>
      <c r="B11" s="34" t="s">
        <v>80</v>
      </c>
      <c r="C11" s="34">
        <v>333190689</v>
      </c>
      <c r="D11" s="35">
        <v>11</v>
      </c>
      <c r="E11" s="35">
        <v>32</v>
      </c>
      <c r="F11" s="35">
        <v>30</v>
      </c>
      <c r="H11" s="43" t="str">
        <f t="shared" si="0"/>
        <v>·</v>
      </c>
      <c r="I11" s="36" t="str">
        <f t="shared" si="1"/>
        <v>·</v>
      </c>
      <c r="J11" s="37" t="str">
        <f t="shared" si="2"/>
        <v>·</v>
      </c>
      <c r="K11" s="37" t="str">
        <f t="shared" si="3"/>
        <v>·</v>
      </c>
      <c r="L11" s="37" t="str">
        <f t="shared" si="4"/>
        <v>·</v>
      </c>
      <c r="M11" s="37" t="str">
        <f t="shared" si="5"/>
        <v>·</v>
      </c>
      <c r="N11" s="34" t="str">
        <f t="shared" si="6"/>
        <v/>
      </c>
      <c r="O11" s="37" t="str">
        <f t="shared" si="7"/>
        <v>·</v>
      </c>
      <c r="P11" s="38"/>
      <c r="Q11" s="39"/>
      <c r="R11" s="39"/>
      <c r="S11" s="39"/>
      <c r="T11" s="39"/>
      <c r="U11" s="40"/>
      <c r="V11" s="40"/>
      <c r="W11" s="40"/>
      <c r="X11" s="40"/>
      <c r="Y11" s="40"/>
      <c r="Z11" s="41"/>
      <c r="AA11" s="41"/>
      <c r="AB11" s="41"/>
      <c r="AC11" s="41"/>
      <c r="AE11" s="43" t="str">
        <f t="shared" si="8"/>
        <v>·</v>
      </c>
      <c r="AF11" s="36" t="str">
        <f t="shared" si="9"/>
        <v>·</v>
      </c>
      <c r="AG11" s="37" t="str">
        <f t="shared" si="10"/>
        <v>·</v>
      </c>
      <c r="AH11" s="37" t="str">
        <f t="shared" si="11"/>
        <v>·</v>
      </c>
      <c r="AI11" s="37" t="str">
        <f t="shared" si="12"/>
        <v>·</v>
      </c>
      <c r="AJ11" s="37" t="str">
        <f t="shared" si="13"/>
        <v>·</v>
      </c>
      <c r="AK11" s="34" t="str">
        <f t="shared" si="14"/>
        <v/>
      </c>
      <c r="AL11" s="37" t="str">
        <f t="shared" si="15"/>
        <v>·</v>
      </c>
      <c r="AM11" s="38"/>
      <c r="AN11" s="39"/>
      <c r="AO11" s="39"/>
      <c r="AP11" s="39"/>
      <c r="AQ11" s="39"/>
      <c r="AR11" s="40"/>
      <c r="AS11" s="40"/>
      <c r="AT11" s="40"/>
      <c r="AU11" s="40"/>
      <c r="AV11" s="40"/>
      <c r="AW11" s="41"/>
      <c r="AX11" s="41"/>
      <c r="AY11" s="41"/>
      <c r="AZ11" s="41"/>
      <c r="BB11" s="42" t="e">
        <f t="shared" si="16"/>
        <v>#VALUE!</v>
      </c>
      <c r="BC11" s="42" t="e">
        <f t="shared" si="17"/>
        <v>#VALUE!</v>
      </c>
      <c r="BD11" s="42" t="e">
        <f t="shared" si="18"/>
        <v>#VALUE!</v>
      </c>
      <c r="BE11" s="42" t="e">
        <f t="shared" si="19"/>
        <v>#VALUE!</v>
      </c>
      <c r="BF11" s="43" t="e">
        <f t="shared" si="20"/>
        <v>#VALUE!</v>
      </c>
      <c r="BG11" s="43" t="e">
        <f t="array" ref="BG11">AVERAGE(AK11:AK11/AN11:AN11) - AVERAGE(N11:N11/Q11:Q11)</f>
        <v>#VALUE!</v>
      </c>
    </row>
    <row r="12" spans="1:59" x14ac:dyDescent="0.25">
      <c r="B12" s="54" t="s">
        <v>14</v>
      </c>
      <c r="J12" s="55" t="e">
        <f>AVERAGE(J5:J8)</f>
        <v>#DIV/0!</v>
      </c>
      <c r="K12" s="55" t="e">
        <f>AVERAGE(K5:K8)</f>
        <v>#DIV/0!</v>
      </c>
      <c r="L12" s="55" t="e">
        <f>AVERAGE(L5:L8)</f>
        <v>#DIV/0!</v>
      </c>
      <c r="M12" s="55" t="e">
        <f>AVERAGE(M5:M8)</f>
        <v>#DIV/0!</v>
      </c>
      <c r="AG12" s="55" t="e">
        <f>AVERAGE(AG5:AG8)</f>
        <v>#DIV/0!</v>
      </c>
      <c r="AH12" s="55" t="e">
        <f>AVERAGE(AH5:AH8)</f>
        <v>#DIV/0!</v>
      </c>
      <c r="AI12" s="55" t="e">
        <f>AVERAGE(AI5:AI8)</f>
        <v>#DIV/0!</v>
      </c>
      <c r="AJ12" s="55" t="e">
        <f>AVERAGE(AJ5:AJ8)</f>
        <v>#DIV/0!</v>
      </c>
      <c r="BB12" s="4" t="e">
        <f t="shared" si="16"/>
        <v>#DIV/0!</v>
      </c>
      <c r="BC12" s="4" t="e">
        <f t="shared" si="17"/>
        <v>#DIV/0!</v>
      </c>
      <c r="BD12" s="4" t="e">
        <f t="shared" si="18"/>
        <v>#DIV/0!</v>
      </c>
      <c r="BE12" s="4" t="e">
        <f t="shared" si="19"/>
        <v>#DIV/0!</v>
      </c>
      <c r="BG12" s="7" t="e">
        <f>AVERAGE(BG5:BG8)</f>
        <v>#VALUE!</v>
      </c>
    </row>
    <row r="13" spans="1:59" x14ac:dyDescent="0.25">
      <c r="B13" s="54" t="s">
        <v>15</v>
      </c>
      <c r="J13" s="55" t="e">
        <f>AVERAGE(J9:J9)</f>
        <v>#DIV/0!</v>
      </c>
      <c r="K13" s="55" t="e">
        <f>AVERAGE(K9:K9)</f>
        <v>#DIV/0!</v>
      </c>
      <c r="L13" s="55" t="e">
        <f>AVERAGE(L9:L9)</f>
        <v>#DIV/0!</v>
      </c>
      <c r="M13" s="55" t="e">
        <f>AVERAGE(M9:M9)</f>
        <v>#DIV/0!</v>
      </c>
      <c r="AG13" s="55" t="e">
        <f>AVERAGE(AG9:AG9)</f>
        <v>#DIV/0!</v>
      </c>
      <c r="AH13" s="55" t="e">
        <f>AVERAGE(AH9:AH9)</f>
        <v>#DIV/0!</v>
      </c>
      <c r="AI13" s="55" t="e">
        <f>AVERAGE(AI9:AI9)</f>
        <v>#DIV/0!</v>
      </c>
      <c r="AJ13" s="55" t="e">
        <f>AVERAGE(AJ9:AJ9)</f>
        <v>#DIV/0!</v>
      </c>
      <c r="BB13" s="4" t="e">
        <f t="shared" si="16"/>
        <v>#DIV/0!</v>
      </c>
      <c r="BC13" s="4" t="e">
        <f t="shared" si="17"/>
        <v>#DIV/0!</v>
      </c>
      <c r="BD13" s="4" t="e">
        <f t="shared" si="18"/>
        <v>#DIV/0!</v>
      </c>
      <c r="BE13" s="4" t="e">
        <f t="shared" si="19"/>
        <v>#DIV/0!</v>
      </c>
      <c r="BG13" s="7" t="e">
        <f>AVERAGE(BG9:BG9)</f>
        <v>#VALUE!</v>
      </c>
    </row>
    <row r="14" spans="1:59" x14ac:dyDescent="0.25">
      <c r="B14" s="54" t="s">
        <v>16</v>
      </c>
      <c r="J14" s="55" t="e">
        <f>AVERAGE(J10:J11)</f>
        <v>#DIV/0!</v>
      </c>
      <c r="K14" s="55" t="e">
        <f>AVERAGE(K10:K11)</f>
        <v>#DIV/0!</v>
      </c>
      <c r="L14" s="55" t="e">
        <f>AVERAGE(L10:L11)</f>
        <v>#DIV/0!</v>
      </c>
      <c r="M14" s="55" t="e">
        <f>AVERAGE(M10:M11)</f>
        <v>#DIV/0!</v>
      </c>
      <c r="AG14" s="55" t="e">
        <f>AVERAGE(AG10:AG11)</f>
        <v>#DIV/0!</v>
      </c>
      <c r="AH14" s="55" t="e">
        <f>AVERAGE(AH10:AH11)</f>
        <v>#DIV/0!</v>
      </c>
      <c r="AI14" s="55" t="e">
        <f>AVERAGE(AI10:AI11)</f>
        <v>#DIV/0!</v>
      </c>
      <c r="AJ14" s="55" t="e">
        <f>AVERAGE(AJ10:AJ11)</f>
        <v>#DIV/0!</v>
      </c>
      <c r="BB14" s="4" t="e">
        <f t="shared" si="16"/>
        <v>#DIV/0!</v>
      </c>
      <c r="BC14" s="4" t="e">
        <f t="shared" si="17"/>
        <v>#DIV/0!</v>
      </c>
      <c r="BD14" s="4" t="e">
        <f t="shared" si="18"/>
        <v>#DIV/0!</v>
      </c>
      <c r="BE14" s="4" t="e">
        <f t="shared" si="19"/>
        <v>#DIV/0!</v>
      </c>
      <c r="BG14" s="7" t="e">
        <f>AVERAGE(BG10:BG11)</f>
        <v>#VALUE!</v>
      </c>
    </row>
    <row r="15" spans="1:59" x14ac:dyDescent="0.25">
      <c r="B15" s="54" t="s">
        <v>17</v>
      </c>
      <c r="J15" s="55" t="e">
        <f>AVERAGE(J5:J11)</f>
        <v>#DIV/0!</v>
      </c>
      <c r="K15" s="55" t="e">
        <f>AVERAGE(K5:K11)</f>
        <v>#DIV/0!</v>
      </c>
      <c r="L15" s="55" t="e">
        <f>AVERAGE(L5:L11)</f>
        <v>#DIV/0!</v>
      </c>
      <c r="M15" s="55" t="e">
        <f>AVERAGE(M5:M11)</f>
        <v>#DIV/0!</v>
      </c>
      <c r="AG15" s="55" t="e">
        <f>AVERAGE(AG5:AG11)</f>
        <v>#DIV/0!</v>
      </c>
      <c r="AH15" s="55" t="e">
        <f>AVERAGE(AH5:AH11)</f>
        <v>#DIV/0!</v>
      </c>
      <c r="AI15" s="55" t="e">
        <f>AVERAGE(AI5:AI11)</f>
        <v>#DIV/0!</v>
      </c>
      <c r="AJ15" s="55" t="e">
        <f>AVERAGE(AJ5:AJ11)</f>
        <v>#DIV/0!</v>
      </c>
      <c r="BB15" s="4" t="e">
        <f t="shared" si="16"/>
        <v>#DIV/0!</v>
      </c>
      <c r="BC15" s="4" t="e">
        <f t="shared" si="17"/>
        <v>#DIV/0!</v>
      </c>
      <c r="BD15" s="4" t="e">
        <f t="shared" si="18"/>
        <v>#DIV/0!</v>
      </c>
      <c r="BE15" s="4" t="e">
        <f t="shared" si="19"/>
        <v>#DIV/0!</v>
      </c>
      <c r="BG15" s="7" t="e">
        <f>AVERAGE(BG5:BG11)</f>
        <v>#VALUE!</v>
      </c>
    </row>
    <row r="16" spans="1:59" hidden="1" outlineLevel="2" x14ac:dyDescent="0.25">
      <c r="A16" s="54" t="s">
        <v>237</v>
      </c>
      <c r="B16" s="54" t="s">
        <v>238</v>
      </c>
      <c r="Z16" s="56">
        <f>SUM(Z5:Z8,Z9:Z9,Z10:Z11)</f>
        <v>0</v>
      </c>
      <c r="AA16" s="56">
        <f>SUM(AA5:AA8,AA9:AA9,AA10:AA11)</f>
        <v>0</v>
      </c>
      <c r="AB16" s="56">
        <f>SUM(AB5:AB8,AB9:AB9,AB10:AB11)</f>
        <v>0</v>
      </c>
      <c r="AC16" s="56">
        <f>SUM(AC5:AC8,AC9:AC9,AC10:AC11)</f>
        <v>0</v>
      </c>
      <c r="AW16" s="56">
        <f>SUM(AW5:AW8,AW9:AW9,AW10:AW11)</f>
        <v>0</v>
      </c>
      <c r="AX16" s="56">
        <f>SUM(AX5:AX8,AX9:AX9,AX10:AX11)</f>
        <v>0</v>
      </c>
      <c r="AY16" s="56">
        <f>SUM(AY5:AY8,AY9:AY9,AY10:AY11)</f>
        <v>0</v>
      </c>
      <c r="AZ16" s="56">
        <f>SUM(AZ5:AZ8,AZ9:AZ9,AZ10:AZ11)</f>
        <v>0</v>
      </c>
    </row>
    <row r="17" spans="2:52" hidden="1" outlineLevel="2" x14ac:dyDescent="0.25">
      <c r="B17" s="54" t="s">
        <v>239</v>
      </c>
      <c r="AW17" s="7" t="e">
        <f>AW16/Z16</f>
        <v>#DIV/0!</v>
      </c>
      <c r="AX17" s="7" t="e">
        <f>AX16/AA16</f>
        <v>#DIV/0!</v>
      </c>
      <c r="AY17" s="7" t="e">
        <f>AY16/AB16</f>
        <v>#DIV/0!</v>
      </c>
      <c r="AZ17" s="7" t="e">
        <f>AZ16/AC16</f>
        <v>#DIV/0!</v>
      </c>
    </row>
    <row r="18" spans="2:52" hidden="1" outlineLevel="2" x14ac:dyDescent="0.25">
      <c r="B18" s="54" t="s">
        <v>240</v>
      </c>
      <c r="Z18" s="56" t="e">
        <f>GEOMEAN(Z5:Z8,Z9:Z9,Z10:Z11)</f>
        <v>#NUM!</v>
      </c>
      <c r="AA18" s="56" t="e">
        <f>GEOMEAN(AA5:AA8,AA9:AA9,AA10:AA11)</f>
        <v>#NUM!</v>
      </c>
      <c r="AB18" s="56" t="e">
        <f>GEOMEAN(AB5:AB8,AB9:AB9,AB10:AB11)</f>
        <v>#NUM!</v>
      </c>
      <c r="AC18" s="56" t="e">
        <f>GEOMEAN(AC5:AC8,AC9:AC9,AC10:AC11)</f>
        <v>#NUM!</v>
      </c>
      <c r="AW18" s="56" t="e">
        <f>GEOMEAN(AW5:AW8,AW9:AW9,AW10:AW11)</f>
        <v>#NUM!</v>
      </c>
      <c r="AX18" s="56" t="e">
        <f>GEOMEAN(AX5:AX8,AX9:AX9,AX10:AX11)</f>
        <v>#NUM!</v>
      </c>
      <c r="AY18" s="56" t="e">
        <f>GEOMEAN(AY5:AY8,AY9:AY9,AY10:AY11)</f>
        <v>#NUM!</v>
      </c>
      <c r="AZ18" s="56" t="e">
        <f>GEOMEAN(AZ5:AZ8,AZ9:AZ9,AZ10:AZ11)</f>
        <v>#NUM!</v>
      </c>
    </row>
    <row r="19" spans="2:52" outlineLevel="2" collapsed="1" x14ac:dyDescent="0.25">
      <c r="B19" s="54" t="s">
        <v>241</v>
      </c>
      <c r="AW19" s="7" t="e">
        <f>AW18/Z18</f>
        <v>#NUM!</v>
      </c>
      <c r="AX19" s="7" t="e">
        <f>AX18/AA18</f>
        <v>#NUM!</v>
      </c>
      <c r="AY19" s="7" t="e">
        <f>AY18/AB18</f>
        <v>#NUM!</v>
      </c>
      <c r="AZ19" s="7"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G19"/>
  <sheetViews>
    <sheetView zoomScale="55" zoomScaleNormal="55" workbookViewId="0">
      <pane xSplit="2" ySplit="4" topLeftCell="C5" activePane="bottomRight" state="frozen"/>
      <selection pane="topRight" activeCell="C1" sqref="C1"/>
      <selection pane="bottomLeft" activeCell="A5" sqref="A5"/>
      <selection pane="bottomRight" activeCell="AE1" sqref="AE1:AZ1"/>
    </sheetView>
  </sheetViews>
  <sheetFormatPr defaultRowHeight="15" outlineLevelRow="2" x14ac:dyDescent="0.25"/>
  <cols>
    <col min="2" max="2" width="24.7109375" customWidth="1"/>
    <col min="3" max="4" width="10.7109375" customWidth="1"/>
    <col min="7" max="7" width="1.7109375" customWidth="1"/>
    <col min="10" max="13" width="10.7109375" customWidth="1"/>
    <col min="14" max="14" width="24.7109375" hidden="1" customWidth="1"/>
    <col min="15" max="15" width="12.7109375" customWidth="1"/>
    <col min="16" max="16" width="10.7109375" customWidth="1"/>
    <col min="17" max="20" width="12.7109375" customWidth="1"/>
    <col min="21" max="25" width="11.7109375" customWidth="1"/>
    <col min="30" max="30" width="1.7109375" customWidth="1"/>
    <col min="33" max="36" width="10.7109375" customWidth="1"/>
    <col min="37" max="37" width="24.7109375" hidden="1" customWidth="1"/>
    <col min="38" max="38" width="12.7109375" customWidth="1"/>
    <col min="39" max="39" width="10.7109375" customWidth="1"/>
    <col min="40" max="43" width="12.7109375" customWidth="1"/>
    <col min="44" max="48" width="11.7109375" customWidth="1"/>
    <col min="53" max="53" width="1.7109375" customWidth="1"/>
    <col min="60" max="60" width="1.7109375" customWidth="1"/>
  </cols>
  <sheetData>
    <row r="1" spans="1:59" x14ac:dyDescent="0.25">
      <c r="A1" s="70" t="s">
        <v>571</v>
      </c>
      <c r="B1" s="58"/>
      <c r="C1" s="58"/>
      <c r="D1" s="58"/>
      <c r="E1" s="58"/>
      <c r="F1" s="58"/>
      <c r="H1" s="66" t="str">
        <f>Summary!$C$1</f>
        <v>ExtRec2_master+r21</v>
      </c>
      <c r="I1" s="58"/>
      <c r="J1" s="58"/>
      <c r="K1" s="58"/>
      <c r="L1" s="58"/>
      <c r="M1" s="58"/>
      <c r="N1" s="58"/>
      <c r="O1" s="58"/>
      <c r="P1" s="58"/>
      <c r="Q1" s="58"/>
      <c r="R1" s="58"/>
      <c r="S1" s="58"/>
      <c r="T1" s="58"/>
      <c r="U1" s="58"/>
      <c r="V1" s="58"/>
      <c r="W1" s="58"/>
      <c r="X1" s="58"/>
      <c r="Y1" s="58"/>
      <c r="Z1" s="58"/>
      <c r="AA1" s="58"/>
      <c r="AB1" s="58"/>
      <c r="AC1" s="58"/>
      <c r="AE1" s="67">
        <f>Summary!$C$2</f>
        <v>0</v>
      </c>
      <c r="AF1" s="58"/>
      <c r="AG1" s="58"/>
      <c r="AH1" s="58"/>
      <c r="AI1" s="58"/>
      <c r="AJ1" s="58"/>
      <c r="AK1" s="58"/>
      <c r="AL1" s="58"/>
      <c r="AM1" s="58"/>
      <c r="AN1" s="58"/>
      <c r="AO1" s="58"/>
      <c r="AP1" s="58"/>
      <c r="AQ1" s="58"/>
      <c r="AR1" s="58"/>
      <c r="AS1" s="58"/>
      <c r="AT1" s="58"/>
      <c r="AU1" s="58"/>
      <c r="AV1" s="58"/>
      <c r="AW1" s="58"/>
      <c r="AX1" s="58"/>
      <c r="AY1" s="58"/>
      <c r="AZ1" s="58"/>
    </row>
    <row r="2" spans="1:59" ht="30" customHeight="1" x14ac:dyDescent="0.25">
      <c r="A2" s="72" t="s">
        <v>137</v>
      </c>
      <c r="B2" s="71" t="s">
        <v>138</v>
      </c>
      <c r="C2" s="72" t="s">
        <v>140</v>
      </c>
      <c r="D2" s="71" t="s">
        <v>141</v>
      </c>
      <c r="E2" s="72" t="s">
        <v>142</v>
      </c>
      <c r="F2" s="71" t="s">
        <v>143</v>
      </c>
      <c r="H2" s="72" t="s">
        <v>565</v>
      </c>
      <c r="I2" s="71" t="s">
        <v>144</v>
      </c>
      <c r="J2" s="69" t="s">
        <v>145</v>
      </c>
      <c r="K2" s="58"/>
      <c r="L2" s="58"/>
      <c r="M2" s="58"/>
      <c r="N2" s="72" t="s">
        <v>146</v>
      </c>
      <c r="O2" s="71" t="s">
        <v>147</v>
      </c>
      <c r="P2" s="72" t="s">
        <v>84</v>
      </c>
      <c r="Q2" s="68" t="s">
        <v>148</v>
      </c>
      <c r="R2" s="58"/>
      <c r="S2" s="58"/>
      <c r="T2" s="58"/>
      <c r="U2" s="69" t="s">
        <v>149</v>
      </c>
      <c r="V2" s="58"/>
      <c r="W2" s="68" t="s">
        <v>150</v>
      </c>
      <c r="X2" s="58"/>
      <c r="Y2" s="58"/>
      <c r="Z2" s="69" t="s">
        <v>151</v>
      </c>
      <c r="AA2" s="58"/>
      <c r="AB2" s="68" t="s">
        <v>152</v>
      </c>
      <c r="AC2" s="58"/>
      <c r="AE2" s="72" t="s">
        <v>565</v>
      </c>
      <c r="AF2" s="71" t="s">
        <v>144</v>
      </c>
      <c r="AG2" s="69" t="s">
        <v>145</v>
      </c>
      <c r="AH2" s="58"/>
      <c r="AI2" s="58"/>
      <c r="AJ2" s="58"/>
      <c r="AK2" s="72" t="s">
        <v>153</v>
      </c>
      <c r="AL2" s="71" t="s">
        <v>147</v>
      </c>
      <c r="AM2" s="72" t="s">
        <v>84</v>
      </c>
      <c r="AN2" s="68" t="s">
        <v>148</v>
      </c>
      <c r="AO2" s="58"/>
      <c r="AP2" s="58"/>
      <c r="AQ2" s="58"/>
      <c r="AR2" s="69" t="s">
        <v>149</v>
      </c>
      <c r="AS2" s="58"/>
      <c r="AT2" s="68" t="s">
        <v>150</v>
      </c>
      <c r="AU2" s="58"/>
      <c r="AV2" s="58"/>
      <c r="AW2" s="69" t="s">
        <v>151</v>
      </c>
      <c r="AX2" s="58"/>
      <c r="AY2" s="68" t="s">
        <v>152</v>
      </c>
      <c r="AZ2" s="58"/>
      <c r="BB2" s="69" t="s">
        <v>22</v>
      </c>
      <c r="BC2" s="58"/>
      <c r="BD2" s="58"/>
      <c r="BE2" s="58"/>
      <c r="BF2" s="71" t="s">
        <v>156</v>
      </c>
      <c r="BG2" s="72" t="s">
        <v>156</v>
      </c>
    </row>
    <row r="3" spans="1:59" ht="28.9" customHeight="1" x14ac:dyDescent="0.25">
      <c r="A3" s="60"/>
      <c r="B3" s="60"/>
      <c r="C3" s="60"/>
      <c r="D3" s="60"/>
      <c r="E3" s="60"/>
      <c r="F3" s="60"/>
      <c r="H3" s="60"/>
      <c r="I3" s="60"/>
      <c r="J3" s="10" t="s">
        <v>25</v>
      </c>
      <c r="K3" s="10" t="s">
        <v>23</v>
      </c>
      <c r="L3" s="10" t="s">
        <v>157</v>
      </c>
      <c r="M3" s="10" t="s">
        <v>158</v>
      </c>
      <c r="N3" s="60"/>
      <c r="O3" s="60"/>
      <c r="P3" s="60"/>
      <c r="Q3" s="11" t="s">
        <v>25</v>
      </c>
      <c r="R3" s="11" t="s">
        <v>157</v>
      </c>
      <c r="S3" s="11" t="s">
        <v>159</v>
      </c>
      <c r="T3" s="11" t="s">
        <v>24</v>
      </c>
      <c r="U3" s="10" t="s">
        <v>9</v>
      </c>
      <c r="V3" s="10" t="s">
        <v>10</v>
      </c>
      <c r="W3" s="11" t="s">
        <v>11</v>
      </c>
      <c r="X3" s="11" t="s">
        <v>12</v>
      </c>
      <c r="Y3" s="11" t="s">
        <v>13</v>
      </c>
      <c r="Z3" s="10" t="s">
        <v>160</v>
      </c>
      <c r="AA3" s="10" t="s">
        <v>161</v>
      </c>
      <c r="AB3" s="11" t="s">
        <v>160</v>
      </c>
      <c r="AC3" s="11" t="s">
        <v>161</v>
      </c>
      <c r="AE3" s="60"/>
      <c r="AF3" s="60"/>
      <c r="AG3" s="10" t="s">
        <v>25</v>
      </c>
      <c r="AH3" s="10" t="s">
        <v>23</v>
      </c>
      <c r="AI3" s="10" t="s">
        <v>157</v>
      </c>
      <c r="AJ3" s="10" t="s">
        <v>158</v>
      </c>
      <c r="AK3" s="60"/>
      <c r="AL3" s="60"/>
      <c r="AM3" s="60"/>
      <c r="AN3" s="11" t="s">
        <v>25</v>
      </c>
      <c r="AO3" s="11" t="s">
        <v>157</v>
      </c>
      <c r="AP3" s="11" t="s">
        <v>159</v>
      </c>
      <c r="AQ3" s="11" t="s">
        <v>24</v>
      </c>
      <c r="AR3" s="10" t="s">
        <v>9</v>
      </c>
      <c r="AS3" s="10" t="s">
        <v>10</v>
      </c>
      <c r="AT3" s="11" t="s">
        <v>11</v>
      </c>
      <c r="AU3" s="11" t="s">
        <v>12</v>
      </c>
      <c r="AV3" s="11" t="s">
        <v>13</v>
      </c>
      <c r="AW3" s="10" t="s">
        <v>160</v>
      </c>
      <c r="AX3" s="10" t="s">
        <v>161</v>
      </c>
      <c r="AY3" s="11" t="s">
        <v>160</v>
      </c>
      <c r="AZ3" s="11" t="s">
        <v>161</v>
      </c>
      <c r="BB3" s="10" t="s">
        <v>25</v>
      </c>
      <c r="BC3" s="10" t="s">
        <v>23</v>
      </c>
      <c r="BD3" s="10" t="s">
        <v>157</v>
      </c>
      <c r="BE3" s="10" t="s">
        <v>24</v>
      </c>
      <c r="BF3" s="60"/>
      <c r="BG3" s="60"/>
    </row>
    <row r="4" spans="1:59" ht="123" hidden="1" customHeight="1" x14ac:dyDescent="0.25">
      <c r="A4" s="12" t="s">
        <v>162</v>
      </c>
      <c r="B4" s="13" t="s">
        <v>163</v>
      </c>
      <c r="C4" s="12" t="s">
        <v>165</v>
      </c>
      <c r="D4" s="13" t="s">
        <v>166</v>
      </c>
      <c r="E4" s="12" t="s">
        <v>167</v>
      </c>
      <c r="F4" s="13" t="s">
        <v>168</v>
      </c>
      <c r="H4" s="12" t="s">
        <v>566</v>
      </c>
      <c r="I4" s="13" t="s">
        <v>169</v>
      </c>
      <c r="J4" s="12" t="s">
        <v>170</v>
      </c>
      <c r="K4" s="12" t="s">
        <v>171</v>
      </c>
      <c r="L4" s="12" t="s">
        <v>172</v>
      </c>
      <c r="M4" s="12" t="s">
        <v>173</v>
      </c>
      <c r="N4" s="12" t="s">
        <v>174</v>
      </c>
      <c r="O4" s="13" t="s">
        <v>175</v>
      </c>
      <c r="P4" s="12" t="s">
        <v>176</v>
      </c>
      <c r="Q4" s="13" t="s">
        <v>179</v>
      </c>
      <c r="R4" s="13" t="s">
        <v>180</v>
      </c>
      <c r="S4" s="13" t="s">
        <v>181</v>
      </c>
      <c r="T4" s="13" t="s">
        <v>182</v>
      </c>
      <c r="U4" s="12" t="s">
        <v>183</v>
      </c>
      <c r="V4" s="12" t="s">
        <v>184</v>
      </c>
      <c r="W4" s="13" t="s">
        <v>185</v>
      </c>
      <c r="X4" s="13" t="s">
        <v>186</v>
      </c>
      <c r="Y4" s="13" t="s">
        <v>187</v>
      </c>
      <c r="Z4" s="12" t="s">
        <v>188</v>
      </c>
      <c r="AA4" s="12" t="s">
        <v>189</v>
      </c>
      <c r="AB4" s="13" t="s">
        <v>190</v>
      </c>
      <c r="AC4" s="13" t="s">
        <v>191</v>
      </c>
      <c r="AE4" s="12" t="s">
        <v>567</v>
      </c>
      <c r="AF4" s="13" t="s">
        <v>192</v>
      </c>
      <c r="AG4" s="12" t="s">
        <v>193</v>
      </c>
      <c r="AH4" s="12" t="s">
        <v>194</v>
      </c>
      <c r="AI4" s="12" t="s">
        <v>195</v>
      </c>
      <c r="AJ4" s="12" t="s">
        <v>196</v>
      </c>
      <c r="AK4" s="12" t="s">
        <v>197</v>
      </c>
      <c r="AL4" s="13" t="s">
        <v>198</v>
      </c>
      <c r="AM4" s="12" t="s">
        <v>199</v>
      </c>
      <c r="AN4" s="13" t="s">
        <v>202</v>
      </c>
      <c r="AO4" s="13" t="s">
        <v>203</v>
      </c>
      <c r="AP4" s="13" t="s">
        <v>204</v>
      </c>
      <c r="AQ4" s="13" t="s">
        <v>205</v>
      </c>
      <c r="AR4" s="12" t="s">
        <v>206</v>
      </c>
      <c r="AS4" s="12" t="s">
        <v>207</v>
      </c>
      <c r="AT4" s="13" t="s">
        <v>208</v>
      </c>
      <c r="AU4" s="13" t="s">
        <v>209</v>
      </c>
      <c r="AV4" s="13" t="s">
        <v>210</v>
      </c>
      <c r="AW4" s="12" t="s">
        <v>211</v>
      </c>
      <c r="AX4" s="12" t="s">
        <v>212</v>
      </c>
      <c r="AY4" s="13" t="s">
        <v>213</v>
      </c>
      <c r="AZ4" s="13" t="s">
        <v>214</v>
      </c>
      <c r="BB4" s="12" t="s">
        <v>568</v>
      </c>
      <c r="BC4" s="12" t="s">
        <v>215</v>
      </c>
      <c r="BD4" s="12" t="s">
        <v>569</v>
      </c>
      <c r="BE4" s="12" t="s">
        <v>570</v>
      </c>
      <c r="BF4" s="13" t="s">
        <v>217</v>
      </c>
      <c r="BG4" s="12" t="s">
        <v>218</v>
      </c>
    </row>
    <row r="5" spans="1:59" collapsed="1" x14ac:dyDescent="0.25">
      <c r="A5" s="14" t="s">
        <v>229</v>
      </c>
      <c r="B5" s="14" t="s">
        <v>49</v>
      </c>
      <c r="C5" s="14">
        <v>238146391</v>
      </c>
      <c r="D5" s="15">
        <v>10</v>
      </c>
      <c r="E5" s="15">
        <v>32</v>
      </c>
      <c r="F5" s="15">
        <v>30</v>
      </c>
      <c r="H5" s="23" t="str">
        <f t="shared" ref="H5:H11" si="0">IF(ISBLANK(Q5),"·",Q5/(C5*(D5*3+IF(AND(ISNUMBER(T5),T5&gt;0),24,0))))</f>
        <v>·</v>
      </c>
      <c r="I5" s="16" t="str">
        <f t="shared" ref="I5:I11" si="1">IF(OR(ISBLANK(Q5),ISBLANK(F5)),"·",Q5*F5/E5/1000000)</f>
        <v>·</v>
      </c>
      <c r="J5" s="17" t="str">
        <f t="shared" ref="J5:J11" si="2">IF(ISBLANK(Q5),"·",Q5/C5)</f>
        <v>·</v>
      </c>
      <c r="K5" s="17" t="str">
        <f t="shared" ref="K5:K11" si="3">IF(N5="","·",N5/C5)</f>
        <v>·</v>
      </c>
      <c r="L5" s="17" t="str">
        <f t="shared" ref="L5:L11" si="4">IF(R5="","·",R5/C5)</f>
        <v>·</v>
      </c>
      <c r="M5" s="17" t="str">
        <f t="shared" ref="M5:M11" si="5">IF(ISBLANK(T5),"·",T5/C5)</f>
        <v>·</v>
      </c>
      <c r="N5" s="14" t="str">
        <f t="shared" ref="N5:N11" si="6">IF(OR(ISBLANK(R5),ISBLANK(S5)),"",R5+S5)</f>
        <v/>
      </c>
      <c r="O5" s="17" t="str">
        <f t="shared" ref="O5:O11" si="7">IF(ISBLANK(Q5),"·",Q5/P5)</f>
        <v>·</v>
      </c>
      <c r="P5" s="18"/>
      <c r="Q5" s="19"/>
      <c r="R5" s="19"/>
      <c r="S5" s="19"/>
      <c r="T5" s="19"/>
      <c r="U5" s="20"/>
      <c r="V5" s="20"/>
      <c r="W5" s="20"/>
      <c r="X5" s="20"/>
      <c r="Y5" s="20"/>
      <c r="Z5" s="21"/>
      <c r="AA5" s="21"/>
      <c r="AB5" s="21"/>
      <c r="AC5" s="21"/>
      <c r="AE5" s="23" t="str">
        <f t="shared" ref="AE5:AE11" si="8">IF(ISBLANK(Q5),"·",Q5/(C5*(D5*3+IF(AND(ISNUMBER(T5),T5&gt;0),24,0))))</f>
        <v>·</v>
      </c>
      <c r="AF5" s="16" t="str">
        <f t="shared" ref="AF5:AF11" si="9">IF(OR(ISBLANK(AN5),ISBLANK(F5)),"·",AN5*F5/E5/1000000)</f>
        <v>·</v>
      </c>
      <c r="AG5" s="17" t="str">
        <f t="shared" ref="AG5:AG11" si="10">IF(ISBLANK(AN5),"·",AN5/C5)</f>
        <v>·</v>
      </c>
      <c r="AH5" s="17" t="str">
        <f t="shared" ref="AH5:AH11" si="11">IF(AK5="","·",AK5/C5)</f>
        <v>·</v>
      </c>
      <c r="AI5" s="17" t="str">
        <f t="shared" ref="AI5:AI11" si="12">IF(AO5="","·",AO5/C5)</f>
        <v>·</v>
      </c>
      <c r="AJ5" s="17" t="str">
        <f t="shared" ref="AJ5:AJ11" si="13">IF(ISBLANK(AQ5),"·",AQ5/C5)</f>
        <v>·</v>
      </c>
      <c r="AK5" s="14" t="str">
        <f t="shared" ref="AK5:AK11" si="14">IF(OR(ISBLANK(AO5),ISBLANK(AP5)),"",AO5+AP5)</f>
        <v/>
      </c>
      <c r="AL5" s="17" t="str">
        <f t="shared" ref="AL5:AL11" si="15">IF(ISBLANK(AN5),"·",AN5/AM5)</f>
        <v>·</v>
      </c>
      <c r="AM5" s="18"/>
      <c r="AN5" s="19"/>
      <c r="AO5" s="19"/>
      <c r="AP5" s="19"/>
      <c r="AQ5" s="19"/>
      <c r="AR5" s="20"/>
      <c r="AS5" s="20"/>
      <c r="AT5" s="20"/>
      <c r="AU5" s="20"/>
      <c r="AV5" s="20"/>
      <c r="AW5" s="21"/>
      <c r="AX5" s="21"/>
      <c r="AY5" s="21"/>
      <c r="AZ5" s="21"/>
      <c r="BB5" s="22" t="e">
        <f t="shared" ref="BB5:BB15" si="16">AG5/J5</f>
        <v>#VALUE!</v>
      </c>
      <c r="BC5" s="22" t="e">
        <f t="shared" ref="BC5:BC15" si="17">AH5/K5</f>
        <v>#VALUE!</v>
      </c>
      <c r="BD5" s="22" t="e">
        <f t="shared" ref="BD5:BD15" si="18">AI5/L5</f>
        <v>#VALUE!</v>
      </c>
      <c r="BE5" s="22" t="e">
        <f t="shared" ref="BE5:BE15" si="19">AJ5/M5</f>
        <v>#VALUE!</v>
      </c>
      <c r="BF5" s="23" t="e">
        <f t="shared" ref="BF5:BF11" si="20">(AK5/AN5) - (N5/Q5)</f>
        <v>#VALUE!</v>
      </c>
      <c r="BG5" s="23" t="e">
        <f t="array" ref="BG5">AVERAGE(AK5:AK5/AN5:AN5) - AVERAGE(N5:N5/Q5:Q5)</f>
        <v>#VALUE!</v>
      </c>
    </row>
    <row r="6" spans="1:59" collapsed="1" x14ac:dyDescent="0.25">
      <c r="A6" s="24"/>
      <c r="B6" s="24" t="s">
        <v>57</v>
      </c>
      <c r="C6" s="24">
        <v>218121242</v>
      </c>
      <c r="D6" s="25">
        <v>10</v>
      </c>
      <c r="E6" s="25">
        <v>32</v>
      </c>
      <c r="F6" s="25">
        <v>30</v>
      </c>
      <c r="H6" s="33" t="str">
        <f t="shared" si="0"/>
        <v>·</v>
      </c>
      <c r="I6" s="26" t="str">
        <f t="shared" si="1"/>
        <v>·</v>
      </c>
      <c r="J6" s="27" t="str">
        <f t="shared" si="2"/>
        <v>·</v>
      </c>
      <c r="K6" s="27" t="str">
        <f t="shared" si="3"/>
        <v>·</v>
      </c>
      <c r="L6" s="27" t="str">
        <f t="shared" si="4"/>
        <v>·</v>
      </c>
      <c r="M6" s="27" t="str">
        <f t="shared" si="5"/>
        <v>·</v>
      </c>
      <c r="N6" s="24" t="str">
        <f t="shared" si="6"/>
        <v/>
      </c>
      <c r="O6" s="27" t="str">
        <f t="shared" si="7"/>
        <v>·</v>
      </c>
      <c r="P6" s="28"/>
      <c r="Q6" s="29"/>
      <c r="R6" s="29"/>
      <c r="S6" s="29"/>
      <c r="T6" s="29"/>
      <c r="U6" s="30"/>
      <c r="V6" s="30"/>
      <c r="W6" s="30"/>
      <c r="X6" s="30"/>
      <c r="Y6" s="30"/>
      <c r="Z6" s="31"/>
      <c r="AA6" s="31"/>
      <c r="AB6" s="31"/>
      <c r="AC6" s="31"/>
      <c r="AE6" s="33" t="str">
        <f t="shared" si="8"/>
        <v>·</v>
      </c>
      <c r="AF6" s="26" t="str">
        <f t="shared" si="9"/>
        <v>·</v>
      </c>
      <c r="AG6" s="27" t="str">
        <f t="shared" si="10"/>
        <v>·</v>
      </c>
      <c r="AH6" s="27" t="str">
        <f t="shared" si="11"/>
        <v>·</v>
      </c>
      <c r="AI6" s="27" t="str">
        <f t="shared" si="12"/>
        <v>·</v>
      </c>
      <c r="AJ6" s="27" t="str">
        <f t="shared" si="13"/>
        <v>·</v>
      </c>
      <c r="AK6" s="24" t="str">
        <f t="shared" si="14"/>
        <v/>
      </c>
      <c r="AL6" s="27" t="str">
        <f t="shared" si="15"/>
        <v>·</v>
      </c>
      <c r="AM6" s="28"/>
      <c r="AN6" s="29"/>
      <c r="AO6" s="29"/>
      <c r="AP6" s="29"/>
      <c r="AQ6" s="29"/>
      <c r="AR6" s="30"/>
      <c r="AS6" s="30"/>
      <c r="AT6" s="30"/>
      <c r="AU6" s="30"/>
      <c r="AV6" s="30"/>
      <c r="AW6" s="31"/>
      <c r="AX6" s="31"/>
      <c r="AY6" s="31"/>
      <c r="AZ6" s="31"/>
      <c r="BB6" s="32" t="e">
        <f t="shared" si="16"/>
        <v>#VALUE!</v>
      </c>
      <c r="BC6" s="32" t="e">
        <f t="shared" si="17"/>
        <v>#VALUE!</v>
      </c>
      <c r="BD6" s="32" t="e">
        <f t="shared" si="18"/>
        <v>#VALUE!</v>
      </c>
      <c r="BE6" s="32" t="e">
        <f t="shared" si="19"/>
        <v>#VALUE!</v>
      </c>
      <c r="BF6" s="33" t="e">
        <f t="shared" si="20"/>
        <v>#VALUE!</v>
      </c>
      <c r="BG6" s="33" t="e">
        <f t="array" ref="BG6">AVERAGE(AK6:AK6/AN6:AN6) - AVERAGE(N6:N6/Q6:Q6)</f>
        <v>#VALUE!</v>
      </c>
    </row>
    <row r="7" spans="1:59" collapsed="1" x14ac:dyDescent="0.25">
      <c r="A7" s="14"/>
      <c r="B7" s="14" t="s">
        <v>62</v>
      </c>
      <c r="C7" s="14">
        <v>322589704</v>
      </c>
      <c r="D7" s="15">
        <v>10</v>
      </c>
      <c r="E7" s="15">
        <v>32</v>
      </c>
      <c r="F7" s="15">
        <v>30</v>
      </c>
      <c r="H7" s="23" t="str">
        <f t="shared" si="0"/>
        <v>·</v>
      </c>
      <c r="I7" s="16" t="str">
        <f t="shared" si="1"/>
        <v>·</v>
      </c>
      <c r="J7" s="17" t="str">
        <f t="shared" si="2"/>
        <v>·</v>
      </c>
      <c r="K7" s="17" t="str">
        <f t="shared" si="3"/>
        <v>·</v>
      </c>
      <c r="L7" s="17" t="str">
        <f t="shared" si="4"/>
        <v>·</v>
      </c>
      <c r="M7" s="17" t="str">
        <f t="shared" si="5"/>
        <v>·</v>
      </c>
      <c r="N7" s="14" t="str">
        <f t="shared" si="6"/>
        <v/>
      </c>
      <c r="O7" s="17" t="str">
        <f t="shared" si="7"/>
        <v>·</v>
      </c>
      <c r="P7" s="18"/>
      <c r="Q7" s="19"/>
      <c r="R7" s="19"/>
      <c r="S7" s="19"/>
      <c r="T7" s="19"/>
      <c r="U7" s="20"/>
      <c r="V7" s="20"/>
      <c r="W7" s="20"/>
      <c r="X7" s="20"/>
      <c r="Y7" s="20"/>
      <c r="Z7" s="21"/>
      <c r="AA7" s="21"/>
      <c r="AB7" s="21"/>
      <c r="AC7" s="21"/>
      <c r="AE7" s="23" t="str">
        <f t="shared" si="8"/>
        <v>·</v>
      </c>
      <c r="AF7" s="16" t="str">
        <f t="shared" si="9"/>
        <v>·</v>
      </c>
      <c r="AG7" s="17" t="str">
        <f t="shared" si="10"/>
        <v>·</v>
      </c>
      <c r="AH7" s="17" t="str">
        <f t="shared" si="11"/>
        <v>·</v>
      </c>
      <c r="AI7" s="17" t="str">
        <f t="shared" si="12"/>
        <v>·</v>
      </c>
      <c r="AJ7" s="17" t="str">
        <f t="shared" si="13"/>
        <v>·</v>
      </c>
      <c r="AK7" s="14" t="str">
        <f t="shared" si="14"/>
        <v/>
      </c>
      <c r="AL7" s="17" t="str">
        <f t="shared" si="15"/>
        <v>·</v>
      </c>
      <c r="AM7" s="18"/>
      <c r="AN7" s="19"/>
      <c r="AO7" s="19"/>
      <c r="AP7" s="19"/>
      <c r="AQ7" s="19"/>
      <c r="AR7" s="20"/>
      <c r="AS7" s="20"/>
      <c r="AT7" s="20"/>
      <c r="AU7" s="20"/>
      <c r="AV7" s="20"/>
      <c r="AW7" s="21"/>
      <c r="AX7" s="21"/>
      <c r="AY7" s="21"/>
      <c r="AZ7" s="21"/>
      <c r="BB7" s="22" t="e">
        <f t="shared" si="16"/>
        <v>#VALUE!</v>
      </c>
      <c r="BC7" s="22" t="e">
        <f t="shared" si="17"/>
        <v>#VALUE!</v>
      </c>
      <c r="BD7" s="22" t="e">
        <f t="shared" si="18"/>
        <v>#VALUE!</v>
      </c>
      <c r="BE7" s="22" t="e">
        <f t="shared" si="19"/>
        <v>#VALUE!</v>
      </c>
      <c r="BF7" s="23" t="e">
        <f t="shared" si="20"/>
        <v>#VALUE!</v>
      </c>
      <c r="BG7" s="23" t="e">
        <f t="array" ref="BG7">AVERAGE(AK7:AK7/AN7:AN7) - AVERAGE(N7:N7/Q7:Q7)</f>
        <v>#VALUE!</v>
      </c>
    </row>
    <row r="8" spans="1:59" collapsed="1" x14ac:dyDescent="0.25">
      <c r="A8" s="44"/>
      <c r="B8" s="44" t="s">
        <v>68</v>
      </c>
      <c r="C8" s="44">
        <v>250602891</v>
      </c>
      <c r="D8" s="45">
        <v>10</v>
      </c>
      <c r="E8" s="45">
        <v>32</v>
      </c>
      <c r="F8" s="45">
        <v>50</v>
      </c>
      <c r="H8" s="53" t="str">
        <f t="shared" si="0"/>
        <v>·</v>
      </c>
      <c r="I8" s="46" t="str">
        <f t="shared" si="1"/>
        <v>·</v>
      </c>
      <c r="J8" s="47" t="str">
        <f t="shared" si="2"/>
        <v>·</v>
      </c>
      <c r="K8" s="47" t="str">
        <f t="shared" si="3"/>
        <v>·</v>
      </c>
      <c r="L8" s="47" t="str">
        <f t="shared" si="4"/>
        <v>·</v>
      </c>
      <c r="M8" s="47" t="str">
        <f t="shared" si="5"/>
        <v>·</v>
      </c>
      <c r="N8" s="44" t="str">
        <f t="shared" si="6"/>
        <v/>
      </c>
      <c r="O8" s="47" t="str">
        <f t="shared" si="7"/>
        <v>·</v>
      </c>
      <c r="P8" s="48"/>
      <c r="Q8" s="49"/>
      <c r="R8" s="49"/>
      <c r="S8" s="49"/>
      <c r="T8" s="49"/>
      <c r="U8" s="50"/>
      <c r="V8" s="50"/>
      <c r="W8" s="50"/>
      <c r="X8" s="50"/>
      <c r="Y8" s="50"/>
      <c r="Z8" s="51"/>
      <c r="AA8" s="51"/>
      <c r="AB8" s="51"/>
      <c r="AC8" s="51"/>
      <c r="AE8" s="53" t="str">
        <f t="shared" si="8"/>
        <v>·</v>
      </c>
      <c r="AF8" s="46" t="str">
        <f t="shared" si="9"/>
        <v>·</v>
      </c>
      <c r="AG8" s="47" t="str">
        <f t="shared" si="10"/>
        <v>·</v>
      </c>
      <c r="AH8" s="47" t="str">
        <f t="shared" si="11"/>
        <v>·</v>
      </c>
      <c r="AI8" s="47" t="str">
        <f t="shared" si="12"/>
        <v>·</v>
      </c>
      <c r="AJ8" s="47" t="str">
        <f t="shared" si="13"/>
        <v>·</v>
      </c>
      <c r="AK8" s="44" t="str">
        <f t="shared" si="14"/>
        <v/>
      </c>
      <c r="AL8" s="47" t="str">
        <f t="shared" si="15"/>
        <v>·</v>
      </c>
      <c r="AM8" s="48"/>
      <c r="AN8" s="49"/>
      <c r="AO8" s="49"/>
      <c r="AP8" s="49"/>
      <c r="AQ8" s="49"/>
      <c r="AR8" s="50"/>
      <c r="AS8" s="50"/>
      <c r="AT8" s="50"/>
      <c r="AU8" s="50"/>
      <c r="AV8" s="50"/>
      <c r="AW8" s="51"/>
      <c r="AX8" s="51"/>
      <c r="AY8" s="51"/>
      <c r="AZ8" s="51"/>
      <c r="BB8" s="52" t="e">
        <f t="shared" si="16"/>
        <v>#VALUE!</v>
      </c>
      <c r="BC8" s="52" t="e">
        <f t="shared" si="17"/>
        <v>#VALUE!</v>
      </c>
      <c r="BD8" s="52" t="e">
        <f t="shared" si="18"/>
        <v>#VALUE!</v>
      </c>
      <c r="BE8" s="52" t="e">
        <f t="shared" si="19"/>
        <v>#VALUE!</v>
      </c>
      <c r="BF8" s="53" t="e">
        <f t="shared" si="20"/>
        <v>#VALUE!</v>
      </c>
      <c r="BG8" s="53" t="e">
        <f t="array" ref="BG8">AVERAGE(AK8:AK8/AN8:AN8) - AVERAGE(N8:N8/Q8:Q8)</f>
        <v>#VALUE!</v>
      </c>
    </row>
    <row r="9" spans="1:59" collapsed="1" x14ac:dyDescent="0.25">
      <c r="A9" s="34" t="s">
        <v>235</v>
      </c>
      <c r="B9" s="34" t="s">
        <v>71</v>
      </c>
      <c r="C9" s="34">
        <v>250294582</v>
      </c>
      <c r="D9" s="35">
        <v>10</v>
      </c>
      <c r="E9" s="35">
        <v>32</v>
      </c>
      <c r="F9" s="35">
        <v>30</v>
      </c>
      <c r="H9" s="43" t="str">
        <f t="shared" si="0"/>
        <v>·</v>
      </c>
      <c r="I9" s="36" t="str">
        <f t="shared" si="1"/>
        <v>·</v>
      </c>
      <c r="J9" s="37" t="str">
        <f t="shared" si="2"/>
        <v>·</v>
      </c>
      <c r="K9" s="37" t="str">
        <f t="shared" si="3"/>
        <v>·</v>
      </c>
      <c r="L9" s="37" t="str">
        <f t="shared" si="4"/>
        <v>·</v>
      </c>
      <c r="M9" s="37" t="str">
        <f t="shared" si="5"/>
        <v>·</v>
      </c>
      <c r="N9" s="34" t="str">
        <f t="shared" si="6"/>
        <v/>
      </c>
      <c r="O9" s="37" t="str">
        <f t="shared" si="7"/>
        <v>·</v>
      </c>
      <c r="P9" s="38"/>
      <c r="Q9" s="39"/>
      <c r="R9" s="39"/>
      <c r="S9" s="39"/>
      <c r="T9" s="39"/>
      <c r="U9" s="40"/>
      <c r="V9" s="40"/>
      <c r="W9" s="40"/>
      <c r="X9" s="40"/>
      <c r="Y9" s="40"/>
      <c r="Z9" s="41"/>
      <c r="AA9" s="41"/>
      <c r="AB9" s="41"/>
      <c r="AC9" s="41"/>
      <c r="AE9" s="43" t="str">
        <f t="shared" si="8"/>
        <v>·</v>
      </c>
      <c r="AF9" s="36" t="str">
        <f t="shared" si="9"/>
        <v>·</v>
      </c>
      <c r="AG9" s="37" t="str">
        <f t="shared" si="10"/>
        <v>·</v>
      </c>
      <c r="AH9" s="37" t="str">
        <f t="shared" si="11"/>
        <v>·</v>
      </c>
      <c r="AI9" s="37" t="str">
        <f t="shared" si="12"/>
        <v>·</v>
      </c>
      <c r="AJ9" s="37" t="str">
        <f t="shared" si="13"/>
        <v>·</v>
      </c>
      <c r="AK9" s="34" t="str">
        <f t="shared" si="14"/>
        <v/>
      </c>
      <c r="AL9" s="37" t="str">
        <f t="shared" si="15"/>
        <v>·</v>
      </c>
      <c r="AM9" s="38"/>
      <c r="AN9" s="39"/>
      <c r="AO9" s="39"/>
      <c r="AP9" s="39"/>
      <c r="AQ9" s="39"/>
      <c r="AR9" s="40"/>
      <c r="AS9" s="40"/>
      <c r="AT9" s="40"/>
      <c r="AU9" s="40"/>
      <c r="AV9" s="40"/>
      <c r="AW9" s="41"/>
      <c r="AX9" s="41"/>
      <c r="AY9" s="41"/>
      <c r="AZ9" s="41"/>
      <c r="BB9" s="42" t="e">
        <f t="shared" si="16"/>
        <v>#VALUE!</v>
      </c>
      <c r="BC9" s="42" t="e">
        <f t="shared" si="17"/>
        <v>#VALUE!</v>
      </c>
      <c r="BD9" s="42" t="e">
        <f t="shared" si="18"/>
        <v>#VALUE!</v>
      </c>
      <c r="BE9" s="42" t="e">
        <f t="shared" si="19"/>
        <v>#VALUE!</v>
      </c>
      <c r="BF9" s="43" t="e">
        <f t="shared" si="20"/>
        <v>#VALUE!</v>
      </c>
      <c r="BG9" s="43" t="e">
        <f t="array" ref="BG9">AVERAGE(AK9:AK9/AN9:AN9) - AVERAGE(N9:N9/Q9:Q9)</f>
        <v>#VALUE!</v>
      </c>
    </row>
    <row r="10" spans="1:59" collapsed="1" x14ac:dyDescent="0.25">
      <c r="A10" s="24" t="s">
        <v>236</v>
      </c>
      <c r="B10" s="24" t="s">
        <v>75</v>
      </c>
      <c r="C10" s="24">
        <v>375422539</v>
      </c>
      <c r="D10" s="25">
        <v>11</v>
      </c>
      <c r="E10" s="25">
        <v>32</v>
      </c>
      <c r="F10" s="25">
        <v>30</v>
      </c>
      <c r="H10" s="33" t="str">
        <f t="shared" si="0"/>
        <v>·</v>
      </c>
      <c r="I10" s="26" t="str">
        <f t="shared" si="1"/>
        <v>·</v>
      </c>
      <c r="J10" s="27" t="str">
        <f t="shared" si="2"/>
        <v>·</v>
      </c>
      <c r="K10" s="27" t="str">
        <f t="shared" si="3"/>
        <v>·</v>
      </c>
      <c r="L10" s="27" t="str">
        <f t="shared" si="4"/>
        <v>·</v>
      </c>
      <c r="M10" s="27" t="str">
        <f t="shared" si="5"/>
        <v>·</v>
      </c>
      <c r="N10" s="24" t="str">
        <f t="shared" si="6"/>
        <v/>
      </c>
      <c r="O10" s="27" t="str">
        <f t="shared" si="7"/>
        <v>·</v>
      </c>
      <c r="P10" s="28"/>
      <c r="Q10" s="29"/>
      <c r="R10" s="29"/>
      <c r="S10" s="29"/>
      <c r="T10" s="29"/>
      <c r="U10" s="30"/>
      <c r="V10" s="30"/>
      <c r="W10" s="30"/>
      <c r="X10" s="30"/>
      <c r="Y10" s="30"/>
      <c r="Z10" s="31"/>
      <c r="AA10" s="31"/>
      <c r="AB10" s="31"/>
      <c r="AC10" s="31"/>
      <c r="AE10" s="33" t="str">
        <f t="shared" si="8"/>
        <v>·</v>
      </c>
      <c r="AF10" s="26" t="str">
        <f t="shared" si="9"/>
        <v>·</v>
      </c>
      <c r="AG10" s="27" t="str">
        <f t="shared" si="10"/>
        <v>·</v>
      </c>
      <c r="AH10" s="27" t="str">
        <f t="shared" si="11"/>
        <v>·</v>
      </c>
      <c r="AI10" s="27" t="str">
        <f t="shared" si="12"/>
        <v>·</v>
      </c>
      <c r="AJ10" s="27" t="str">
        <f t="shared" si="13"/>
        <v>·</v>
      </c>
      <c r="AK10" s="24" t="str">
        <f t="shared" si="14"/>
        <v/>
      </c>
      <c r="AL10" s="27" t="str">
        <f t="shared" si="15"/>
        <v>·</v>
      </c>
      <c r="AM10" s="28"/>
      <c r="AN10" s="29"/>
      <c r="AO10" s="29"/>
      <c r="AP10" s="29"/>
      <c r="AQ10" s="29"/>
      <c r="AR10" s="30"/>
      <c r="AS10" s="30"/>
      <c r="AT10" s="30"/>
      <c r="AU10" s="30"/>
      <c r="AV10" s="30"/>
      <c r="AW10" s="31"/>
      <c r="AX10" s="31"/>
      <c r="AY10" s="31"/>
      <c r="AZ10" s="31"/>
      <c r="BB10" s="32" t="e">
        <f t="shared" si="16"/>
        <v>#VALUE!</v>
      </c>
      <c r="BC10" s="32" t="e">
        <f t="shared" si="17"/>
        <v>#VALUE!</v>
      </c>
      <c r="BD10" s="32" t="e">
        <f t="shared" si="18"/>
        <v>#VALUE!</v>
      </c>
      <c r="BE10" s="32" t="e">
        <f t="shared" si="19"/>
        <v>#VALUE!</v>
      </c>
      <c r="BF10" s="33" t="e">
        <f t="shared" si="20"/>
        <v>#VALUE!</v>
      </c>
      <c r="BG10" s="33" t="e">
        <f t="array" ref="BG10">AVERAGE(AK10:AK10/AN10:AN10) - AVERAGE(N10:N10/Q10:Q10)</f>
        <v>#VALUE!</v>
      </c>
    </row>
    <row r="11" spans="1:59" collapsed="1" x14ac:dyDescent="0.25">
      <c r="A11" s="34"/>
      <c r="B11" s="34" t="s">
        <v>80</v>
      </c>
      <c r="C11" s="34">
        <v>333190689</v>
      </c>
      <c r="D11" s="35">
        <v>11</v>
      </c>
      <c r="E11" s="35">
        <v>32</v>
      </c>
      <c r="F11" s="35">
        <v>30</v>
      </c>
      <c r="H11" s="43" t="str">
        <f t="shared" si="0"/>
        <v>·</v>
      </c>
      <c r="I11" s="36" t="str">
        <f t="shared" si="1"/>
        <v>·</v>
      </c>
      <c r="J11" s="37" t="str">
        <f t="shared" si="2"/>
        <v>·</v>
      </c>
      <c r="K11" s="37" t="str">
        <f t="shared" si="3"/>
        <v>·</v>
      </c>
      <c r="L11" s="37" t="str">
        <f t="shared" si="4"/>
        <v>·</v>
      </c>
      <c r="M11" s="37" t="str">
        <f t="shared" si="5"/>
        <v>·</v>
      </c>
      <c r="N11" s="34" t="str">
        <f t="shared" si="6"/>
        <v/>
      </c>
      <c r="O11" s="37" t="str">
        <f t="shared" si="7"/>
        <v>·</v>
      </c>
      <c r="P11" s="38"/>
      <c r="Q11" s="39"/>
      <c r="R11" s="39"/>
      <c r="S11" s="39"/>
      <c r="T11" s="39"/>
      <c r="U11" s="40"/>
      <c r="V11" s="40"/>
      <c r="W11" s="40"/>
      <c r="X11" s="40"/>
      <c r="Y11" s="40"/>
      <c r="Z11" s="41"/>
      <c r="AA11" s="41"/>
      <c r="AB11" s="41"/>
      <c r="AC11" s="41"/>
      <c r="AE11" s="43" t="str">
        <f t="shared" si="8"/>
        <v>·</v>
      </c>
      <c r="AF11" s="36" t="str">
        <f t="shared" si="9"/>
        <v>·</v>
      </c>
      <c r="AG11" s="37" t="str">
        <f t="shared" si="10"/>
        <v>·</v>
      </c>
      <c r="AH11" s="37" t="str">
        <f t="shared" si="11"/>
        <v>·</v>
      </c>
      <c r="AI11" s="37" t="str">
        <f t="shared" si="12"/>
        <v>·</v>
      </c>
      <c r="AJ11" s="37" t="str">
        <f t="shared" si="13"/>
        <v>·</v>
      </c>
      <c r="AK11" s="34" t="str">
        <f t="shared" si="14"/>
        <v/>
      </c>
      <c r="AL11" s="37" t="str">
        <f t="shared" si="15"/>
        <v>·</v>
      </c>
      <c r="AM11" s="38"/>
      <c r="AN11" s="39"/>
      <c r="AO11" s="39"/>
      <c r="AP11" s="39"/>
      <c r="AQ11" s="39"/>
      <c r="AR11" s="40"/>
      <c r="AS11" s="40"/>
      <c r="AT11" s="40"/>
      <c r="AU11" s="40"/>
      <c r="AV11" s="40"/>
      <c r="AW11" s="41"/>
      <c r="AX11" s="41"/>
      <c r="AY11" s="41"/>
      <c r="AZ11" s="41"/>
      <c r="BB11" s="42" t="e">
        <f t="shared" si="16"/>
        <v>#VALUE!</v>
      </c>
      <c r="BC11" s="42" t="e">
        <f t="shared" si="17"/>
        <v>#VALUE!</v>
      </c>
      <c r="BD11" s="42" t="e">
        <f t="shared" si="18"/>
        <v>#VALUE!</v>
      </c>
      <c r="BE11" s="42" t="e">
        <f t="shared" si="19"/>
        <v>#VALUE!</v>
      </c>
      <c r="BF11" s="43" t="e">
        <f t="shared" si="20"/>
        <v>#VALUE!</v>
      </c>
      <c r="BG11" s="43" t="e">
        <f t="array" ref="BG11">AVERAGE(AK11:AK11/AN11:AN11) - AVERAGE(N11:N11/Q11:Q11)</f>
        <v>#VALUE!</v>
      </c>
    </row>
    <row r="12" spans="1:59" x14ac:dyDescent="0.25">
      <c r="B12" s="54" t="s">
        <v>14</v>
      </c>
      <c r="J12" s="55" t="e">
        <f>AVERAGE(J5:J8)</f>
        <v>#DIV/0!</v>
      </c>
      <c r="K12" s="55" t="e">
        <f>AVERAGE(K5:K8)</f>
        <v>#DIV/0!</v>
      </c>
      <c r="L12" s="55" t="e">
        <f>AVERAGE(L5:L8)</f>
        <v>#DIV/0!</v>
      </c>
      <c r="M12" s="55" t="e">
        <f>AVERAGE(M5:M8)</f>
        <v>#DIV/0!</v>
      </c>
      <c r="AG12" s="55" t="e">
        <f>AVERAGE(AG5:AG8)</f>
        <v>#DIV/0!</v>
      </c>
      <c r="AH12" s="55" t="e">
        <f>AVERAGE(AH5:AH8)</f>
        <v>#DIV/0!</v>
      </c>
      <c r="AI12" s="55" t="e">
        <f>AVERAGE(AI5:AI8)</f>
        <v>#DIV/0!</v>
      </c>
      <c r="AJ12" s="55" t="e">
        <f>AVERAGE(AJ5:AJ8)</f>
        <v>#DIV/0!</v>
      </c>
      <c r="BB12" s="4" t="e">
        <f t="shared" si="16"/>
        <v>#DIV/0!</v>
      </c>
      <c r="BC12" s="4" t="e">
        <f t="shared" si="17"/>
        <v>#DIV/0!</v>
      </c>
      <c r="BD12" s="4" t="e">
        <f t="shared" si="18"/>
        <v>#DIV/0!</v>
      </c>
      <c r="BE12" s="4" t="e">
        <f t="shared" si="19"/>
        <v>#DIV/0!</v>
      </c>
      <c r="BG12" s="7" t="e">
        <f>AVERAGE(BG5:BG8)</f>
        <v>#VALUE!</v>
      </c>
    </row>
    <row r="13" spans="1:59" x14ac:dyDescent="0.25">
      <c r="B13" s="54" t="s">
        <v>15</v>
      </c>
      <c r="J13" s="55" t="e">
        <f>AVERAGE(J9:J9)</f>
        <v>#DIV/0!</v>
      </c>
      <c r="K13" s="55" t="e">
        <f>AVERAGE(K9:K9)</f>
        <v>#DIV/0!</v>
      </c>
      <c r="L13" s="55" t="e">
        <f>AVERAGE(L9:L9)</f>
        <v>#DIV/0!</v>
      </c>
      <c r="M13" s="55" t="e">
        <f>AVERAGE(M9:M9)</f>
        <v>#DIV/0!</v>
      </c>
      <c r="AG13" s="55" t="e">
        <f>AVERAGE(AG9:AG9)</f>
        <v>#DIV/0!</v>
      </c>
      <c r="AH13" s="55" t="e">
        <f>AVERAGE(AH9:AH9)</f>
        <v>#DIV/0!</v>
      </c>
      <c r="AI13" s="55" t="e">
        <f>AVERAGE(AI9:AI9)</f>
        <v>#DIV/0!</v>
      </c>
      <c r="AJ13" s="55" t="e">
        <f>AVERAGE(AJ9:AJ9)</f>
        <v>#DIV/0!</v>
      </c>
      <c r="BB13" s="4" t="e">
        <f t="shared" si="16"/>
        <v>#DIV/0!</v>
      </c>
      <c r="BC13" s="4" t="e">
        <f t="shared" si="17"/>
        <v>#DIV/0!</v>
      </c>
      <c r="BD13" s="4" t="e">
        <f t="shared" si="18"/>
        <v>#DIV/0!</v>
      </c>
      <c r="BE13" s="4" t="e">
        <f t="shared" si="19"/>
        <v>#DIV/0!</v>
      </c>
      <c r="BG13" s="7" t="e">
        <f>AVERAGE(BG9:BG9)</f>
        <v>#VALUE!</v>
      </c>
    </row>
    <row r="14" spans="1:59" x14ac:dyDescent="0.25">
      <c r="B14" s="54" t="s">
        <v>16</v>
      </c>
      <c r="J14" s="55" t="e">
        <f>AVERAGE(J10:J11)</f>
        <v>#DIV/0!</v>
      </c>
      <c r="K14" s="55" t="e">
        <f>AVERAGE(K10:K11)</f>
        <v>#DIV/0!</v>
      </c>
      <c r="L14" s="55" t="e">
        <f>AVERAGE(L10:L11)</f>
        <v>#DIV/0!</v>
      </c>
      <c r="M14" s="55" t="e">
        <f>AVERAGE(M10:M11)</f>
        <v>#DIV/0!</v>
      </c>
      <c r="AG14" s="55" t="e">
        <f>AVERAGE(AG10:AG11)</f>
        <v>#DIV/0!</v>
      </c>
      <c r="AH14" s="55" t="e">
        <f>AVERAGE(AH10:AH11)</f>
        <v>#DIV/0!</v>
      </c>
      <c r="AI14" s="55" t="e">
        <f>AVERAGE(AI10:AI11)</f>
        <v>#DIV/0!</v>
      </c>
      <c r="AJ14" s="55" t="e">
        <f>AVERAGE(AJ10:AJ11)</f>
        <v>#DIV/0!</v>
      </c>
      <c r="BB14" s="4" t="e">
        <f t="shared" si="16"/>
        <v>#DIV/0!</v>
      </c>
      <c r="BC14" s="4" t="e">
        <f t="shared" si="17"/>
        <v>#DIV/0!</v>
      </c>
      <c r="BD14" s="4" t="e">
        <f t="shared" si="18"/>
        <v>#DIV/0!</v>
      </c>
      <c r="BE14" s="4" t="e">
        <f t="shared" si="19"/>
        <v>#DIV/0!</v>
      </c>
      <c r="BG14" s="7" t="e">
        <f>AVERAGE(BG10:BG11)</f>
        <v>#VALUE!</v>
      </c>
    </row>
    <row r="15" spans="1:59" x14ac:dyDescent="0.25">
      <c r="B15" s="54" t="s">
        <v>17</v>
      </c>
      <c r="J15" s="55" t="e">
        <f>AVERAGE(J5:J11)</f>
        <v>#DIV/0!</v>
      </c>
      <c r="K15" s="55" t="e">
        <f>AVERAGE(K5:K11)</f>
        <v>#DIV/0!</v>
      </c>
      <c r="L15" s="55" t="e">
        <f>AVERAGE(L5:L11)</f>
        <v>#DIV/0!</v>
      </c>
      <c r="M15" s="55" t="e">
        <f>AVERAGE(M5:M11)</f>
        <v>#DIV/0!</v>
      </c>
      <c r="AG15" s="55" t="e">
        <f>AVERAGE(AG5:AG11)</f>
        <v>#DIV/0!</v>
      </c>
      <c r="AH15" s="55" t="e">
        <f>AVERAGE(AH5:AH11)</f>
        <v>#DIV/0!</v>
      </c>
      <c r="AI15" s="55" t="e">
        <f>AVERAGE(AI5:AI11)</f>
        <v>#DIV/0!</v>
      </c>
      <c r="AJ15" s="55" t="e">
        <f>AVERAGE(AJ5:AJ11)</f>
        <v>#DIV/0!</v>
      </c>
      <c r="BB15" s="4" t="e">
        <f t="shared" si="16"/>
        <v>#DIV/0!</v>
      </c>
      <c r="BC15" s="4" t="e">
        <f t="shared" si="17"/>
        <v>#DIV/0!</v>
      </c>
      <c r="BD15" s="4" t="e">
        <f t="shared" si="18"/>
        <v>#DIV/0!</v>
      </c>
      <c r="BE15" s="4" t="e">
        <f t="shared" si="19"/>
        <v>#DIV/0!</v>
      </c>
      <c r="BG15" s="7" t="e">
        <f>AVERAGE(BG5:BG11)</f>
        <v>#VALUE!</v>
      </c>
    </row>
    <row r="16" spans="1:59" hidden="1" outlineLevel="2" x14ac:dyDescent="0.25">
      <c r="A16" s="54" t="s">
        <v>237</v>
      </c>
      <c r="B16" s="54" t="s">
        <v>238</v>
      </c>
      <c r="Z16" s="56">
        <f>SUM(Z5:Z8,Z9:Z9,Z10:Z11)</f>
        <v>0</v>
      </c>
      <c r="AA16" s="56">
        <f>SUM(AA5:AA8,AA9:AA9,AA10:AA11)</f>
        <v>0</v>
      </c>
      <c r="AB16" s="56">
        <f>SUM(AB5:AB8,AB9:AB9,AB10:AB11)</f>
        <v>0</v>
      </c>
      <c r="AC16" s="56">
        <f>SUM(AC5:AC8,AC9:AC9,AC10:AC11)</f>
        <v>0</v>
      </c>
      <c r="AW16" s="56">
        <f>SUM(AW5:AW8,AW9:AW9,AW10:AW11)</f>
        <v>0</v>
      </c>
      <c r="AX16" s="56">
        <f>SUM(AX5:AX8,AX9:AX9,AX10:AX11)</f>
        <v>0</v>
      </c>
      <c r="AY16" s="56">
        <f>SUM(AY5:AY8,AY9:AY9,AY10:AY11)</f>
        <v>0</v>
      </c>
      <c r="AZ16" s="56">
        <f>SUM(AZ5:AZ8,AZ9:AZ9,AZ10:AZ11)</f>
        <v>0</v>
      </c>
    </row>
    <row r="17" spans="2:52" hidden="1" outlineLevel="2" x14ac:dyDescent="0.25">
      <c r="B17" s="54" t="s">
        <v>239</v>
      </c>
      <c r="AW17" s="7" t="e">
        <f>AW16/Z16</f>
        <v>#DIV/0!</v>
      </c>
      <c r="AX17" s="7" t="e">
        <f>AX16/AA16</f>
        <v>#DIV/0!</v>
      </c>
      <c r="AY17" s="7" t="e">
        <f>AY16/AB16</f>
        <v>#DIV/0!</v>
      </c>
      <c r="AZ17" s="7" t="e">
        <f>AZ16/AC16</f>
        <v>#DIV/0!</v>
      </c>
    </row>
    <row r="18" spans="2:52" hidden="1" outlineLevel="2" x14ac:dyDescent="0.25">
      <c r="B18" s="54" t="s">
        <v>240</v>
      </c>
      <c r="Z18" s="56" t="e">
        <f>GEOMEAN(Z5:Z8,Z9:Z9,Z10:Z11)</f>
        <v>#NUM!</v>
      </c>
      <c r="AA18" s="56" t="e">
        <f>GEOMEAN(AA5:AA8,AA9:AA9,AA10:AA11)</f>
        <v>#NUM!</v>
      </c>
      <c r="AB18" s="56" t="e">
        <f>GEOMEAN(AB5:AB8,AB9:AB9,AB10:AB11)</f>
        <v>#NUM!</v>
      </c>
      <c r="AC18" s="56" t="e">
        <f>GEOMEAN(AC5:AC8,AC9:AC9,AC10:AC11)</f>
        <v>#NUM!</v>
      </c>
      <c r="AW18" s="56" t="e">
        <f>GEOMEAN(AW5:AW8,AW9:AW9,AW10:AW11)</f>
        <v>#NUM!</v>
      </c>
      <c r="AX18" s="56" t="e">
        <f>GEOMEAN(AX5:AX8,AX9:AX9,AX10:AX11)</f>
        <v>#NUM!</v>
      </c>
      <c r="AY18" s="56" t="e">
        <f>GEOMEAN(AY5:AY8,AY9:AY9,AY10:AY11)</f>
        <v>#NUM!</v>
      </c>
      <c r="AZ18" s="56" t="e">
        <f>GEOMEAN(AZ5:AZ8,AZ9:AZ9,AZ10:AZ11)</f>
        <v>#NUM!</v>
      </c>
    </row>
    <row r="19" spans="2:52" outlineLevel="2" collapsed="1" x14ac:dyDescent="0.25">
      <c r="B19" s="54" t="s">
        <v>241</v>
      </c>
      <c r="AW19" s="7" t="e">
        <f>AW18/Z18</f>
        <v>#NUM!</v>
      </c>
      <c r="AX19" s="7" t="e">
        <f>AX18/AA18</f>
        <v>#NUM!</v>
      </c>
      <c r="AY19" s="7" t="e">
        <f>AY18/AB18</f>
        <v>#NUM!</v>
      </c>
      <c r="AZ19" s="7"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T47"/>
  <sheetViews>
    <sheetView zoomScale="55" zoomScaleNormal="55" workbookViewId="0">
      <pane xSplit="2" ySplit="4" topLeftCell="C5" activePane="bottomRight" state="frozen"/>
      <selection pane="topRight" activeCell="C1" sqref="C1"/>
      <selection pane="bottomLeft" activeCell="A5" sqref="A5"/>
      <selection pane="bottomRight" activeCell="AS52" sqref="AS52"/>
    </sheetView>
  </sheetViews>
  <sheetFormatPr defaultRowHeight="15" outlineLevelRow="2" x14ac:dyDescent="0.25"/>
  <cols>
    <col min="2" max="2" width="24.7109375" customWidth="1"/>
    <col min="4" max="5" width="10.7109375" customWidth="1"/>
    <col min="8" max="8" width="1.7109375" customWidth="1"/>
    <col min="10" max="13" width="10.7109375" customWidth="1"/>
    <col min="14" max="14" width="24.7109375" hidden="1" customWidth="1"/>
    <col min="15" max="15" width="12.7109375" customWidth="1"/>
    <col min="16" max="16" width="10.7109375" customWidth="1"/>
    <col min="19" max="22" width="12.7109375" customWidth="1"/>
    <col min="23" max="27" width="11.7109375" customWidth="1"/>
    <col min="32" max="32" width="1.7109375" customWidth="1"/>
    <col min="34" max="37" width="10.7109375" customWidth="1"/>
    <col min="38" max="38" width="24.7109375" hidden="1" customWidth="1"/>
    <col min="39" max="39" width="12.7109375" customWidth="1"/>
    <col min="40" max="40" width="10.7109375" customWidth="1"/>
    <col min="43" max="46" width="12.7109375" customWidth="1"/>
    <col min="47" max="51" width="11.7109375" customWidth="1"/>
    <col min="56" max="56" width="1.7109375" customWidth="1"/>
    <col min="61" max="61" width="1.7109375" customWidth="1"/>
    <col min="64" max="66" width="11.7109375" customWidth="1"/>
    <col min="67" max="67" width="1.7109375" customWidth="1"/>
    <col min="70" max="72" width="11.7109375" customWidth="1"/>
    <col min="73" max="73" width="1.7109375" customWidth="1"/>
  </cols>
  <sheetData>
    <row r="1" spans="1:72" x14ac:dyDescent="0.25">
      <c r="A1" s="70" t="s">
        <v>572</v>
      </c>
      <c r="B1" s="58"/>
      <c r="C1" s="58"/>
      <c r="D1" s="58"/>
      <c r="E1" s="58"/>
      <c r="F1" s="58"/>
      <c r="G1" s="58"/>
      <c r="I1" s="66" t="str">
        <f>Summary!$C$1</f>
        <v>ExtRec2_master+r21</v>
      </c>
      <c r="J1" s="58"/>
      <c r="K1" s="58"/>
      <c r="L1" s="58"/>
      <c r="M1" s="58"/>
      <c r="N1" s="58"/>
      <c r="O1" s="58"/>
      <c r="P1" s="58"/>
      <c r="Q1" s="58"/>
      <c r="R1" s="58"/>
      <c r="S1" s="58"/>
      <c r="T1" s="58"/>
      <c r="U1" s="58"/>
      <c r="V1" s="58"/>
      <c r="W1" s="58"/>
      <c r="X1" s="58"/>
      <c r="Y1" s="58"/>
      <c r="Z1" s="58"/>
      <c r="AA1" s="58"/>
      <c r="AB1" s="58"/>
      <c r="AC1" s="58"/>
      <c r="AD1" s="58"/>
      <c r="AE1" s="58"/>
      <c r="AG1" s="67">
        <f>Summary!$C$2</f>
        <v>0</v>
      </c>
      <c r="AH1" s="58"/>
      <c r="AI1" s="58"/>
      <c r="AJ1" s="58"/>
      <c r="AK1" s="58"/>
      <c r="AL1" s="58"/>
      <c r="AM1" s="58"/>
      <c r="AN1" s="58"/>
      <c r="AO1" s="58"/>
      <c r="AP1" s="58"/>
      <c r="AQ1" s="58"/>
      <c r="AR1" s="58"/>
      <c r="AS1" s="58"/>
      <c r="AT1" s="58"/>
      <c r="AU1" s="58"/>
      <c r="AV1" s="58"/>
      <c r="AW1" s="58"/>
      <c r="AX1" s="58"/>
      <c r="AY1" s="58"/>
      <c r="AZ1" s="58"/>
      <c r="BA1" s="58"/>
      <c r="BB1" s="58"/>
      <c r="BC1" s="58"/>
    </row>
    <row r="2" spans="1:72" ht="30" customHeight="1" x14ac:dyDescent="0.25">
      <c r="A2" s="72" t="s">
        <v>137</v>
      </c>
      <c r="B2" s="71" t="s">
        <v>138</v>
      </c>
      <c r="C2" s="72" t="s">
        <v>139</v>
      </c>
      <c r="D2" s="71" t="s">
        <v>140</v>
      </c>
      <c r="E2" s="72" t="s">
        <v>141</v>
      </c>
      <c r="F2" s="71" t="s">
        <v>142</v>
      </c>
      <c r="G2" s="72" t="s">
        <v>143</v>
      </c>
      <c r="I2" s="71" t="s">
        <v>144</v>
      </c>
      <c r="J2" s="69" t="s">
        <v>145</v>
      </c>
      <c r="K2" s="58"/>
      <c r="L2" s="58"/>
      <c r="M2" s="58"/>
      <c r="N2" s="72" t="s">
        <v>146</v>
      </c>
      <c r="O2" s="71" t="s">
        <v>147</v>
      </c>
      <c r="P2" s="72" t="s">
        <v>84</v>
      </c>
      <c r="Q2" s="71" t="s">
        <v>86</v>
      </c>
      <c r="R2" s="72" t="s">
        <v>82</v>
      </c>
      <c r="S2" s="68" t="s">
        <v>148</v>
      </c>
      <c r="T2" s="58"/>
      <c r="U2" s="58"/>
      <c r="V2" s="58"/>
      <c r="W2" s="69" t="s">
        <v>149</v>
      </c>
      <c r="X2" s="58"/>
      <c r="Y2" s="68" t="s">
        <v>150</v>
      </c>
      <c r="Z2" s="58"/>
      <c r="AA2" s="58"/>
      <c r="AB2" s="69" t="s">
        <v>151</v>
      </c>
      <c r="AC2" s="58"/>
      <c r="AD2" s="68" t="s">
        <v>152</v>
      </c>
      <c r="AE2" s="58"/>
      <c r="AG2" s="72" t="s">
        <v>144</v>
      </c>
      <c r="AH2" s="68" t="s">
        <v>145</v>
      </c>
      <c r="AI2" s="58"/>
      <c r="AJ2" s="58"/>
      <c r="AK2" s="58"/>
      <c r="AL2" s="71" t="s">
        <v>153</v>
      </c>
      <c r="AM2" s="72" t="s">
        <v>147</v>
      </c>
      <c r="AN2" s="71" t="s">
        <v>84</v>
      </c>
      <c r="AO2" s="72" t="s">
        <v>86</v>
      </c>
      <c r="AP2" s="71" t="s">
        <v>82</v>
      </c>
      <c r="AQ2" s="69" t="s">
        <v>148</v>
      </c>
      <c r="AR2" s="58"/>
      <c r="AS2" s="58"/>
      <c r="AT2" s="58"/>
      <c r="AU2" s="68" t="s">
        <v>149</v>
      </c>
      <c r="AV2" s="58"/>
      <c r="AW2" s="69" t="s">
        <v>150</v>
      </c>
      <c r="AX2" s="58"/>
      <c r="AY2" s="58"/>
      <c r="AZ2" s="68" t="s">
        <v>151</v>
      </c>
      <c r="BA2" s="58"/>
      <c r="BB2" s="69" t="s">
        <v>152</v>
      </c>
      <c r="BC2" s="58"/>
      <c r="BE2" s="71" t="s">
        <v>154</v>
      </c>
      <c r="BF2" s="72" t="s">
        <v>155</v>
      </c>
      <c r="BG2" s="71" t="s">
        <v>156</v>
      </c>
      <c r="BH2" s="72" t="s">
        <v>156</v>
      </c>
      <c r="BJ2" s="68" t="s">
        <v>5</v>
      </c>
      <c r="BK2" s="58"/>
      <c r="BL2" s="69" t="s">
        <v>6</v>
      </c>
      <c r="BM2" s="58"/>
      <c r="BN2" s="58"/>
      <c r="BP2" s="68" t="s">
        <v>7</v>
      </c>
      <c r="BQ2" s="58"/>
      <c r="BR2" s="69" t="s">
        <v>8</v>
      </c>
      <c r="BS2" s="58"/>
      <c r="BT2" s="58"/>
    </row>
    <row r="3" spans="1:72" x14ac:dyDescent="0.25">
      <c r="A3" s="60"/>
      <c r="B3" s="60"/>
      <c r="C3" s="60"/>
      <c r="D3" s="60"/>
      <c r="E3" s="60"/>
      <c r="F3" s="60"/>
      <c r="G3" s="60"/>
      <c r="I3" s="60"/>
      <c r="J3" s="10" t="s">
        <v>25</v>
      </c>
      <c r="K3" s="10" t="s">
        <v>23</v>
      </c>
      <c r="L3" s="10" t="s">
        <v>157</v>
      </c>
      <c r="M3" s="10" t="s">
        <v>158</v>
      </c>
      <c r="N3" s="60"/>
      <c r="O3" s="60"/>
      <c r="P3" s="60"/>
      <c r="Q3" s="60"/>
      <c r="R3" s="60"/>
      <c r="S3" s="11" t="s">
        <v>25</v>
      </c>
      <c r="T3" s="11" t="s">
        <v>157</v>
      </c>
      <c r="U3" s="11" t="s">
        <v>159</v>
      </c>
      <c r="V3" s="11" t="s">
        <v>24</v>
      </c>
      <c r="W3" s="10" t="s">
        <v>9</v>
      </c>
      <c r="X3" s="10" t="s">
        <v>10</v>
      </c>
      <c r="Y3" s="11" t="s">
        <v>11</v>
      </c>
      <c r="Z3" s="11" t="s">
        <v>12</v>
      </c>
      <c r="AA3" s="11" t="s">
        <v>13</v>
      </c>
      <c r="AB3" s="10" t="s">
        <v>160</v>
      </c>
      <c r="AC3" s="10" t="s">
        <v>161</v>
      </c>
      <c r="AD3" s="11" t="s">
        <v>160</v>
      </c>
      <c r="AE3" s="11" t="s">
        <v>161</v>
      </c>
      <c r="AG3" s="60"/>
      <c r="AH3" s="11" t="s">
        <v>25</v>
      </c>
      <c r="AI3" s="11" t="s">
        <v>23</v>
      </c>
      <c r="AJ3" s="11" t="s">
        <v>157</v>
      </c>
      <c r="AK3" s="11" t="s">
        <v>158</v>
      </c>
      <c r="AL3" s="60"/>
      <c r="AM3" s="60"/>
      <c r="AN3" s="60"/>
      <c r="AO3" s="60"/>
      <c r="AP3" s="60"/>
      <c r="AQ3" s="10" t="s">
        <v>25</v>
      </c>
      <c r="AR3" s="10" t="s">
        <v>157</v>
      </c>
      <c r="AS3" s="10" t="s">
        <v>159</v>
      </c>
      <c r="AT3" s="10" t="s">
        <v>24</v>
      </c>
      <c r="AU3" s="11" t="s">
        <v>9</v>
      </c>
      <c r="AV3" s="11" t="s">
        <v>10</v>
      </c>
      <c r="AW3" s="10" t="s">
        <v>11</v>
      </c>
      <c r="AX3" s="10" t="s">
        <v>12</v>
      </c>
      <c r="AY3" s="10" t="s">
        <v>13</v>
      </c>
      <c r="AZ3" s="11" t="s">
        <v>160</v>
      </c>
      <c r="BA3" s="11" t="s">
        <v>161</v>
      </c>
      <c r="BB3" s="10" t="s">
        <v>160</v>
      </c>
      <c r="BC3" s="10" t="s">
        <v>161</v>
      </c>
      <c r="BE3" s="60"/>
      <c r="BF3" s="60"/>
      <c r="BG3" s="60"/>
      <c r="BH3" s="60"/>
      <c r="BJ3" s="11" t="s">
        <v>9</v>
      </c>
      <c r="BK3" s="11" t="s">
        <v>10</v>
      </c>
      <c r="BL3" s="10" t="s">
        <v>11</v>
      </c>
      <c r="BM3" s="10" t="s">
        <v>12</v>
      </c>
      <c r="BN3" s="10" t="s">
        <v>13</v>
      </c>
      <c r="BP3" s="11" t="s">
        <v>9</v>
      </c>
      <c r="BQ3" s="11" t="s">
        <v>10</v>
      </c>
      <c r="BR3" s="10" t="s">
        <v>11</v>
      </c>
      <c r="BS3" s="10" t="s">
        <v>12</v>
      </c>
      <c r="BT3" s="10" t="s">
        <v>13</v>
      </c>
    </row>
    <row r="4" spans="1:72" ht="123" hidden="1" customHeight="1" x14ac:dyDescent="0.25">
      <c r="A4" s="12" t="s">
        <v>162</v>
      </c>
      <c r="B4" s="13" t="s">
        <v>163</v>
      </c>
      <c r="C4" s="12" t="s">
        <v>164</v>
      </c>
      <c r="D4" s="13" t="s">
        <v>165</v>
      </c>
      <c r="E4" s="12" t="s">
        <v>166</v>
      </c>
      <c r="F4" s="13" t="s">
        <v>167</v>
      </c>
      <c r="G4" s="12" t="s">
        <v>168</v>
      </c>
      <c r="I4" s="13" t="s">
        <v>169</v>
      </c>
      <c r="J4" s="12" t="s">
        <v>170</v>
      </c>
      <c r="K4" s="12" t="s">
        <v>171</v>
      </c>
      <c r="L4" s="12" t="s">
        <v>172</v>
      </c>
      <c r="M4" s="12" t="s">
        <v>173</v>
      </c>
      <c r="N4" s="12" t="s">
        <v>174</v>
      </c>
      <c r="O4" s="13" t="s">
        <v>175</v>
      </c>
      <c r="P4" s="12" t="s">
        <v>176</v>
      </c>
      <c r="Q4" s="13" t="s">
        <v>177</v>
      </c>
      <c r="R4" s="12" t="s">
        <v>178</v>
      </c>
      <c r="S4" s="13" t="s">
        <v>179</v>
      </c>
      <c r="T4" s="13" t="s">
        <v>180</v>
      </c>
      <c r="U4" s="13" t="s">
        <v>181</v>
      </c>
      <c r="V4" s="13" t="s">
        <v>182</v>
      </c>
      <c r="W4" s="12" t="s">
        <v>183</v>
      </c>
      <c r="X4" s="12" t="s">
        <v>184</v>
      </c>
      <c r="Y4" s="13" t="s">
        <v>185</v>
      </c>
      <c r="Z4" s="13" t="s">
        <v>186</v>
      </c>
      <c r="AA4" s="13" t="s">
        <v>187</v>
      </c>
      <c r="AB4" s="12" t="s">
        <v>188</v>
      </c>
      <c r="AC4" s="12" t="s">
        <v>189</v>
      </c>
      <c r="AD4" s="13" t="s">
        <v>190</v>
      </c>
      <c r="AE4" s="13" t="s">
        <v>191</v>
      </c>
      <c r="AG4" s="12" t="s">
        <v>192</v>
      </c>
      <c r="AH4" s="13" t="s">
        <v>193</v>
      </c>
      <c r="AI4" s="13" t="s">
        <v>194</v>
      </c>
      <c r="AJ4" s="13" t="s">
        <v>195</v>
      </c>
      <c r="AK4" s="13" t="s">
        <v>196</v>
      </c>
      <c r="AL4" s="13" t="s">
        <v>197</v>
      </c>
      <c r="AM4" s="12" t="s">
        <v>198</v>
      </c>
      <c r="AN4" s="13" t="s">
        <v>199</v>
      </c>
      <c r="AO4" s="12" t="s">
        <v>200</v>
      </c>
      <c r="AP4" s="13" t="s">
        <v>201</v>
      </c>
      <c r="AQ4" s="12" t="s">
        <v>202</v>
      </c>
      <c r="AR4" s="12" t="s">
        <v>203</v>
      </c>
      <c r="AS4" s="12" t="s">
        <v>204</v>
      </c>
      <c r="AT4" s="12" t="s">
        <v>205</v>
      </c>
      <c r="AU4" s="13" t="s">
        <v>206</v>
      </c>
      <c r="AV4" s="13" t="s">
        <v>207</v>
      </c>
      <c r="AW4" s="12" t="s">
        <v>208</v>
      </c>
      <c r="AX4" s="12" t="s">
        <v>209</v>
      </c>
      <c r="AY4" s="12" t="s">
        <v>210</v>
      </c>
      <c r="AZ4" s="13" t="s">
        <v>211</v>
      </c>
      <c r="BA4" s="13" t="s">
        <v>212</v>
      </c>
      <c r="BB4" s="12" t="s">
        <v>213</v>
      </c>
      <c r="BC4" s="12" t="s">
        <v>214</v>
      </c>
      <c r="BE4" s="13" t="s">
        <v>215</v>
      </c>
      <c r="BF4" s="12" t="s">
        <v>216</v>
      </c>
      <c r="BG4" s="13" t="s">
        <v>217</v>
      </c>
      <c r="BH4" s="12" t="s">
        <v>218</v>
      </c>
      <c r="BJ4" s="13" t="s">
        <v>219</v>
      </c>
      <c r="BK4" s="13" t="s">
        <v>220</v>
      </c>
      <c r="BL4" s="12" t="s">
        <v>221</v>
      </c>
      <c r="BM4" s="12" t="s">
        <v>222</v>
      </c>
      <c r="BN4" s="12" t="s">
        <v>223</v>
      </c>
      <c r="BP4" s="13" t="s">
        <v>224</v>
      </c>
      <c r="BQ4" s="13" t="s">
        <v>225</v>
      </c>
      <c r="BR4" s="12" t="s">
        <v>226</v>
      </c>
      <c r="BS4" s="12" t="s">
        <v>227</v>
      </c>
      <c r="BT4" s="12" t="s">
        <v>228</v>
      </c>
    </row>
    <row r="5" spans="1:72" x14ac:dyDescent="0.25">
      <c r="A5" s="14" t="s">
        <v>229</v>
      </c>
      <c r="B5" s="14" t="s">
        <v>49</v>
      </c>
      <c r="C5" s="15" t="s">
        <v>230</v>
      </c>
      <c r="D5" s="14">
        <v>238146391</v>
      </c>
      <c r="E5" s="15">
        <v>10</v>
      </c>
      <c r="F5" s="15">
        <v>32</v>
      </c>
      <c r="G5" s="15">
        <v>30</v>
      </c>
      <c r="I5" s="16">
        <f t="shared" ref="I5:I39" si="0">IF(OR(ISBLANK(S5),ISBLANK(G5)),"·",S5*G5/F5/1000000)</f>
        <v>0.82979999999999998</v>
      </c>
      <c r="J5" s="17">
        <f t="shared" ref="J5:J39" si="1">IF(ISBLANK(S5),"·",S5/D5)</f>
        <v>3.716705494814742E-3</v>
      </c>
      <c r="K5" s="17">
        <f t="shared" ref="K5:K39" si="2">IF(N5="","·",N5/D5)</f>
        <v>3.2164753653562612E-3</v>
      </c>
      <c r="L5" s="17">
        <f t="shared" ref="L5:L39" si="3">IF(T5="","·",T5/D5)</f>
        <v>1.9002429476245978E-3</v>
      </c>
      <c r="M5" s="17">
        <f t="shared" ref="M5:M39" si="4">IF(ISBLANK(V5),"·",V5/D5)</f>
        <v>5.0023012945848088E-4</v>
      </c>
      <c r="N5" s="14">
        <f t="shared" ref="N5:N39" si="5">IF(OR(ISBLANK(T5),ISBLANK(U5)),"",T5+U5)</f>
        <v>765992</v>
      </c>
      <c r="O5" s="17">
        <v>32</v>
      </c>
      <c r="P5" s="18">
        <v>24307341</v>
      </c>
      <c r="Q5" s="18">
        <v>759604.40625</v>
      </c>
      <c r="R5" s="18">
        <v>22727.96875</v>
      </c>
      <c r="S5" s="19">
        <v>885120</v>
      </c>
      <c r="T5" s="19">
        <v>452536</v>
      </c>
      <c r="U5" s="19">
        <v>313456</v>
      </c>
      <c r="V5" s="19">
        <v>119128</v>
      </c>
      <c r="W5" s="20">
        <v>67.147065628125006</v>
      </c>
      <c r="X5" s="20">
        <v>69.173514743750005</v>
      </c>
      <c r="Y5" s="20">
        <v>32.276848709375002</v>
      </c>
      <c r="Z5" s="20">
        <v>44.573360225000002</v>
      </c>
      <c r="AA5" s="20">
        <v>43.931580053125003</v>
      </c>
      <c r="AB5" s="21">
        <v>7562.8890000000001</v>
      </c>
      <c r="AC5" s="21">
        <v>0</v>
      </c>
      <c r="AD5" s="21">
        <v>46.692999999999998</v>
      </c>
      <c r="AE5" s="21">
        <v>0</v>
      </c>
      <c r="AG5" s="16" t="str">
        <f t="shared" ref="AG5:AG39" si="6">IF(OR(ISBLANK(AQ5),ISBLANK(G5)),"·",AQ5*G5/F5/1000000)</f>
        <v>·</v>
      </c>
      <c r="AH5" s="17" t="str">
        <f t="shared" ref="AH5:AH39" si="7">IF(ISBLANK(AQ5),"·",AQ5/D5)</f>
        <v>·</v>
      </c>
      <c r="AI5" s="17" t="str">
        <f t="shared" ref="AI5:AI39" si="8">IF(AL5="","·",AL5/D5)</f>
        <v>·</v>
      </c>
      <c r="AJ5" s="17" t="str">
        <f t="shared" ref="AJ5:AJ39" si="9">IF(AR5="","·",AR5/D5)</f>
        <v>·</v>
      </c>
      <c r="AK5" s="17" t="str">
        <f t="shared" ref="AK5:AK39" si="10">IF(ISBLANK(AT5),"·",AT5/D5)</f>
        <v>·</v>
      </c>
      <c r="AL5" s="14" t="str">
        <f t="shared" ref="AL5:AL39" si="11">IF(OR(ISBLANK(AR5),ISBLANK(AS5)),"",AR5+AS5)</f>
        <v/>
      </c>
      <c r="AM5" s="17">
        <v>32</v>
      </c>
      <c r="AN5" s="18"/>
      <c r="AO5" s="18"/>
      <c r="AP5" s="18"/>
      <c r="AQ5" s="19"/>
      <c r="AR5" s="19"/>
      <c r="AS5" s="19"/>
      <c r="AT5" s="19"/>
      <c r="AU5" s="20"/>
      <c r="AV5" s="20"/>
      <c r="AW5" s="20"/>
      <c r="AX5" s="20"/>
      <c r="AY5" s="20"/>
      <c r="AZ5" s="21"/>
      <c r="BA5" s="21"/>
      <c r="BB5" s="21"/>
      <c r="BC5" s="21"/>
      <c r="BE5" s="22" t="e">
        <f t="shared" ref="BE5:BE43" si="12">AI5/K5</f>
        <v>#VALUE!</v>
      </c>
      <c r="BF5" s="23" t="e">
        <f t="shared" ref="BF5:BF39" si="13">(AP5/AO5) - (R5/Q5)</f>
        <v>#DIV/0!</v>
      </c>
      <c r="BG5" s="23" t="e">
        <f t="shared" ref="BG5:BG39" si="14">(AL5/AQ5) - (N5/S5)</f>
        <v>#VALUE!</v>
      </c>
      <c r="BH5" s="23" t="e">
        <f t="array" ref="BH5">AVERAGE(AL5:AL9/AQ5:AQ9) - AVERAGE(N5:N9/S5:S9)</f>
        <v>#VALUE!</v>
      </c>
      <c r="BJ5" s="22" t="str">
        <f>IF( OR(ISBLANK(N5:N9),ISBLANK(AL5:AL9), ISBLANK(W5:W9),ISBLANK(AU5:AU9)), "·", bdRateExtend( N5:N9,W5:W9, AL5:AL9,AU5:AU9))</f>
        <v>·</v>
      </c>
      <c r="BK5" s="22" t="str">
        <f>IF( OR(ISBLANK(N5:N9),ISBLANK(AL5:AL9), ISBLANK(X5:X9),ISBLANK(AV5:AV9)), "·", bdRateExtend( N5:N9,X5:X9, AL5:AL9,AV5:AV9))</f>
        <v>·</v>
      </c>
      <c r="BL5" s="22" t="str">
        <f>IF( OR(ISBLANK(V5:V9),ISBLANK(AT5:AT9), ISBLANK(Y5:Y9),ISBLANK(AW5:AW9)), "·", bdRateExtend( V5:V9,Y5:Y9, AT5:AT9,AW5:AW9))</f>
        <v>·</v>
      </c>
      <c r="BM5" s="22" t="str">
        <f>IF( OR(ISBLANK(V5:V9),ISBLANK(AT5:AT9), ISBLANK(Z5:Z9),ISBLANK(AX5:AX9)), "·", bdRateExtend( V5:V9,Z5:Z9, AT5:AT9,AX5:AX9))</f>
        <v>·</v>
      </c>
      <c r="BN5" s="22" t="str">
        <f>IF( OR(ISBLANK(V5:V9),ISBLANK(AT5:AT9), ISBLANK(AA5:AA9),ISBLANK(AY5:AY9)), "·", bdRateExtend( V5:V9,AA5:AA9, AT5:AT9,AY5:AY9))</f>
        <v>·</v>
      </c>
      <c r="BP5" s="22" t="str">
        <f>IF( OR(ISBLANK(S5:S9),ISBLANK(AQ5:AQ9), ISBLANK(W5:W9),ISBLANK(AU5:AU9)), "·", bdRateExtend( S5:S9,W5:W9, AQ5:AQ9,AU5:AU9))</f>
        <v>·</v>
      </c>
      <c r="BQ5" s="22" t="str">
        <f>IF( OR(ISBLANK(S5:S9),ISBLANK(AQ5:AQ9), ISBLANK(X5:X9),ISBLANK(AV5:AV9)), "·", bdRateExtend( S5:S9,X5:X9, AQ5:AQ9,AV5:AV9))</f>
        <v>·</v>
      </c>
      <c r="BR5" s="22" t="str">
        <f>IF( OR(ISBLANK(S5:S9),ISBLANK(AQ5:AQ9), ISBLANK(Y5:Y9),ISBLANK(AW5:AW9)), "·", bdRateExtend( S5:S9,Y5:Y9, AQ5:AQ9,AW5:AW9))</f>
        <v>·</v>
      </c>
      <c r="BS5" s="22" t="str">
        <f>IF( OR(ISBLANK(S5:S9),ISBLANK(AQ5:AQ9), ISBLANK(Z5:Z9),ISBLANK(AX5:AX9)), "·", bdRateExtend( S5:S9,Z5:Z9, AQ5:AQ9,AX5:AX9))</f>
        <v>·</v>
      </c>
      <c r="BT5" s="22" t="str">
        <f>IF( OR(ISBLANK(S5:S9),ISBLANK(AQ5:AQ9), ISBLANK(AA5:AA9),ISBLANK(AY5:AY9)), "·", bdRateExtend( S5:S9,AA5:AA9, AQ5:AQ9,AY5:AY9))</f>
        <v>·</v>
      </c>
    </row>
    <row r="6" spans="1:72" outlineLevel="1" x14ac:dyDescent="0.25">
      <c r="A6" s="24"/>
      <c r="B6" s="24" t="s">
        <v>49</v>
      </c>
      <c r="C6" s="25" t="s">
        <v>231</v>
      </c>
      <c r="D6" s="24">
        <v>238146391</v>
      </c>
      <c r="E6" s="25">
        <v>10</v>
      </c>
      <c r="F6" s="25">
        <v>32</v>
      </c>
      <c r="G6" s="25">
        <v>30</v>
      </c>
      <c r="I6" s="26">
        <f t="shared" si="0"/>
        <v>1.1360025</v>
      </c>
      <c r="J6" s="27">
        <f t="shared" si="1"/>
        <v>5.0881980403389782E-3</v>
      </c>
      <c r="K6" s="27">
        <f t="shared" si="2"/>
        <v>4.0590495448658724E-3</v>
      </c>
      <c r="L6" s="27">
        <f t="shared" si="3"/>
        <v>2.7426491632199456E-3</v>
      </c>
      <c r="M6" s="27">
        <f t="shared" si="4"/>
        <v>1.0291484954731058E-3</v>
      </c>
      <c r="N6" s="24">
        <f t="shared" si="5"/>
        <v>966648</v>
      </c>
      <c r="O6" s="27">
        <v>32</v>
      </c>
      <c r="P6" s="28">
        <v>24747522</v>
      </c>
      <c r="Q6" s="28">
        <v>773360.0625</v>
      </c>
      <c r="R6" s="28">
        <v>26131.53125</v>
      </c>
      <c r="S6" s="29">
        <v>1211736</v>
      </c>
      <c r="T6" s="29">
        <v>653152</v>
      </c>
      <c r="U6" s="29">
        <v>313496</v>
      </c>
      <c r="V6" s="29">
        <v>245088</v>
      </c>
      <c r="W6" s="30">
        <v>68.772467803124997</v>
      </c>
      <c r="X6" s="30">
        <v>71.198702365624996</v>
      </c>
      <c r="Y6" s="30">
        <v>34.475338899999997</v>
      </c>
      <c r="Z6" s="30">
        <v>45.974265815625003</v>
      </c>
      <c r="AA6" s="30">
        <v>45.452401690625003</v>
      </c>
      <c r="AB6" s="31">
        <v>10508.298000000001</v>
      </c>
      <c r="AC6" s="31">
        <v>0</v>
      </c>
      <c r="AD6" s="31">
        <v>51.424999999999997</v>
      </c>
      <c r="AE6" s="31">
        <v>0</v>
      </c>
      <c r="AG6" s="26" t="str">
        <f t="shared" si="6"/>
        <v>·</v>
      </c>
      <c r="AH6" s="27" t="str">
        <f t="shared" si="7"/>
        <v>·</v>
      </c>
      <c r="AI6" s="27" t="str">
        <f t="shared" si="8"/>
        <v>·</v>
      </c>
      <c r="AJ6" s="27" t="str">
        <f t="shared" si="9"/>
        <v>·</v>
      </c>
      <c r="AK6" s="27" t="str">
        <f t="shared" si="10"/>
        <v>·</v>
      </c>
      <c r="AL6" s="24" t="str">
        <f t="shared" si="11"/>
        <v/>
      </c>
      <c r="AM6" s="27">
        <v>32</v>
      </c>
      <c r="AN6" s="28"/>
      <c r="AO6" s="28"/>
      <c r="AP6" s="28"/>
      <c r="AQ6" s="29"/>
      <c r="AR6" s="29"/>
      <c r="AS6" s="29"/>
      <c r="AT6" s="29"/>
      <c r="AU6" s="30"/>
      <c r="AV6" s="30"/>
      <c r="AW6" s="30"/>
      <c r="AX6" s="30"/>
      <c r="AY6" s="30"/>
      <c r="AZ6" s="31"/>
      <c r="BA6" s="31"/>
      <c r="BB6" s="31"/>
      <c r="BC6" s="31"/>
      <c r="BE6" s="32" t="e">
        <f t="shared" si="12"/>
        <v>#VALUE!</v>
      </c>
      <c r="BF6" s="33" t="e">
        <f t="shared" si="13"/>
        <v>#DIV/0!</v>
      </c>
      <c r="BG6" s="33" t="e">
        <f t="shared" si="14"/>
        <v>#VALUE!</v>
      </c>
      <c r="BH6" s="33"/>
      <c r="BJ6" s="32"/>
      <c r="BK6" s="32"/>
      <c r="BL6" s="32"/>
      <c r="BM6" s="32"/>
      <c r="BN6" s="32"/>
      <c r="BP6" s="32"/>
      <c r="BQ6" s="32"/>
      <c r="BR6" s="32"/>
      <c r="BS6" s="32"/>
      <c r="BT6" s="32"/>
    </row>
    <row r="7" spans="1:72" outlineLevel="1" x14ac:dyDescent="0.25">
      <c r="A7" s="14"/>
      <c r="B7" s="14" t="s">
        <v>49</v>
      </c>
      <c r="C7" s="15" t="s">
        <v>232</v>
      </c>
      <c r="D7" s="14">
        <v>238146391</v>
      </c>
      <c r="E7" s="15">
        <v>10</v>
      </c>
      <c r="F7" s="15">
        <v>32</v>
      </c>
      <c r="G7" s="15">
        <v>30</v>
      </c>
      <c r="I7" s="16">
        <f t="shared" si="0"/>
        <v>1.7143575</v>
      </c>
      <c r="J7" s="17">
        <f t="shared" si="1"/>
        <v>7.6786718972365192E-3</v>
      </c>
      <c r="K7" s="17">
        <f t="shared" si="2"/>
        <v>5.4615818217459361E-3</v>
      </c>
      <c r="L7" s="17">
        <f t="shared" si="3"/>
        <v>4.1451814401000098E-3</v>
      </c>
      <c r="M7" s="17">
        <f t="shared" si="4"/>
        <v>2.2170900754905835E-3</v>
      </c>
      <c r="N7" s="14">
        <f t="shared" si="5"/>
        <v>1300656</v>
      </c>
      <c r="O7" s="17">
        <v>32</v>
      </c>
      <c r="P7" s="18">
        <v>25459400</v>
      </c>
      <c r="Q7" s="18">
        <v>795606.25</v>
      </c>
      <c r="R7" s="18">
        <v>29681.375</v>
      </c>
      <c r="S7" s="19">
        <v>1828648</v>
      </c>
      <c r="T7" s="19">
        <v>987160</v>
      </c>
      <c r="U7" s="19">
        <v>313496</v>
      </c>
      <c r="V7" s="19">
        <v>527992</v>
      </c>
      <c r="W7" s="20">
        <v>70.239673665625006</v>
      </c>
      <c r="X7" s="20">
        <v>72.836867843749999</v>
      </c>
      <c r="Y7" s="20">
        <v>36.884966178124998</v>
      </c>
      <c r="Z7" s="20">
        <v>47.445175499999998</v>
      </c>
      <c r="AA7" s="20">
        <v>47.063012678124998</v>
      </c>
      <c r="AB7" s="21">
        <v>14686.087</v>
      </c>
      <c r="AC7" s="21">
        <v>0</v>
      </c>
      <c r="AD7" s="21">
        <v>50.27</v>
      </c>
      <c r="AE7" s="21">
        <v>0</v>
      </c>
      <c r="AG7" s="16" t="str">
        <f t="shared" si="6"/>
        <v>·</v>
      </c>
      <c r="AH7" s="17" t="str">
        <f t="shared" si="7"/>
        <v>·</v>
      </c>
      <c r="AI7" s="17" t="str">
        <f t="shared" si="8"/>
        <v>·</v>
      </c>
      <c r="AJ7" s="17" t="str">
        <f t="shared" si="9"/>
        <v>·</v>
      </c>
      <c r="AK7" s="17" t="str">
        <f t="shared" si="10"/>
        <v>·</v>
      </c>
      <c r="AL7" s="14" t="str">
        <f t="shared" si="11"/>
        <v/>
      </c>
      <c r="AM7" s="17">
        <v>32</v>
      </c>
      <c r="AN7" s="18"/>
      <c r="AO7" s="18"/>
      <c r="AP7" s="18"/>
      <c r="AQ7" s="19"/>
      <c r="AR7" s="19"/>
      <c r="AS7" s="19"/>
      <c r="AT7" s="19"/>
      <c r="AU7" s="20"/>
      <c r="AV7" s="20"/>
      <c r="AW7" s="20"/>
      <c r="AX7" s="20"/>
      <c r="AY7" s="20"/>
      <c r="AZ7" s="21"/>
      <c r="BA7" s="21"/>
      <c r="BB7" s="21"/>
      <c r="BC7" s="21"/>
      <c r="BE7" s="22" t="e">
        <f t="shared" si="12"/>
        <v>#VALUE!</v>
      </c>
      <c r="BF7" s="23" t="e">
        <f t="shared" si="13"/>
        <v>#DIV/0!</v>
      </c>
      <c r="BG7" s="23" t="e">
        <f t="shared" si="14"/>
        <v>#VALUE!</v>
      </c>
      <c r="BH7" s="23"/>
      <c r="BJ7" s="22"/>
      <c r="BK7" s="22"/>
      <c r="BL7" s="22"/>
      <c r="BM7" s="22"/>
      <c r="BN7" s="22"/>
      <c r="BP7" s="22"/>
      <c r="BQ7" s="22"/>
      <c r="BR7" s="22"/>
      <c r="BS7" s="22"/>
      <c r="BT7" s="22"/>
    </row>
    <row r="8" spans="1:72" outlineLevel="1" x14ac:dyDescent="0.25">
      <c r="A8" s="24"/>
      <c r="B8" s="24" t="s">
        <v>49</v>
      </c>
      <c r="C8" s="25" t="s">
        <v>233</v>
      </c>
      <c r="D8" s="24">
        <v>238146391</v>
      </c>
      <c r="E8" s="25">
        <v>10</v>
      </c>
      <c r="F8" s="25">
        <v>32</v>
      </c>
      <c r="G8" s="25">
        <v>30</v>
      </c>
      <c r="I8" s="26">
        <f t="shared" si="0"/>
        <v>2.9482724999999999</v>
      </c>
      <c r="J8" s="27">
        <f t="shared" si="1"/>
        <v>1.3205423717716554E-2</v>
      </c>
      <c r="K8" s="27">
        <f t="shared" si="2"/>
        <v>7.9847357418068119E-3</v>
      </c>
      <c r="L8" s="27">
        <f t="shared" si="3"/>
        <v>6.6683353601608856E-3</v>
      </c>
      <c r="M8" s="27">
        <f t="shared" si="4"/>
        <v>5.2206879759097418E-3</v>
      </c>
      <c r="N8" s="24">
        <f t="shared" si="5"/>
        <v>1901536</v>
      </c>
      <c r="O8" s="27">
        <v>32</v>
      </c>
      <c r="P8" s="28">
        <v>25813823</v>
      </c>
      <c r="Q8" s="28">
        <v>806681.96875</v>
      </c>
      <c r="R8" s="28">
        <v>31923.875</v>
      </c>
      <c r="S8" s="29">
        <v>3144824</v>
      </c>
      <c r="T8" s="29">
        <v>1588040</v>
      </c>
      <c r="U8" s="29">
        <v>313496</v>
      </c>
      <c r="V8" s="29">
        <v>1243288</v>
      </c>
      <c r="W8" s="30">
        <v>71.424469400000007</v>
      </c>
      <c r="X8" s="30">
        <v>74.202957190625</v>
      </c>
      <c r="Y8" s="30">
        <v>39.3782911375</v>
      </c>
      <c r="Z8" s="30">
        <v>48.862179865625002</v>
      </c>
      <c r="AA8" s="30">
        <v>48.582505675</v>
      </c>
      <c r="AB8" s="31">
        <v>21526.170999999998</v>
      </c>
      <c r="AC8" s="31">
        <v>0</v>
      </c>
      <c r="AD8" s="31">
        <v>51.54</v>
      </c>
      <c r="AE8" s="31">
        <v>0</v>
      </c>
      <c r="AG8" s="26" t="str">
        <f t="shared" si="6"/>
        <v>·</v>
      </c>
      <c r="AH8" s="27" t="str">
        <f t="shared" si="7"/>
        <v>·</v>
      </c>
      <c r="AI8" s="27" t="str">
        <f t="shared" si="8"/>
        <v>·</v>
      </c>
      <c r="AJ8" s="27" t="str">
        <f t="shared" si="9"/>
        <v>·</v>
      </c>
      <c r="AK8" s="27" t="str">
        <f t="shared" si="10"/>
        <v>·</v>
      </c>
      <c r="AL8" s="24" t="str">
        <f t="shared" si="11"/>
        <v/>
      </c>
      <c r="AM8" s="27">
        <v>32</v>
      </c>
      <c r="AN8" s="28"/>
      <c r="AO8" s="28"/>
      <c r="AP8" s="28"/>
      <c r="AQ8" s="29"/>
      <c r="AR8" s="29"/>
      <c r="AS8" s="29"/>
      <c r="AT8" s="29"/>
      <c r="AU8" s="30"/>
      <c r="AV8" s="30"/>
      <c r="AW8" s="30"/>
      <c r="AX8" s="30"/>
      <c r="AY8" s="30"/>
      <c r="AZ8" s="31"/>
      <c r="BA8" s="31"/>
      <c r="BB8" s="31"/>
      <c r="BC8" s="31"/>
      <c r="BE8" s="32" t="e">
        <f t="shared" si="12"/>
        <v>#VALUE!</v>
      </c>
      <c r="BF8" s="33" t="e">
        <f t="shared" si="13"/>
        <v>#DIV/0!</v>
      </c>
      <c r="BG8" s="33" t="e">
        <f t="shared" si="14"/>
        <v>#VALUE!</v>
      </c>
      <c r="BH8" s="33"/>
      <c r="BJ8" s="32"/>
      <c r="BK8" s="32"/>
      <c r="BL8" s="32"/>
      <c r="BM8" s="32"/>
      <c r="BN8" s="32"/>
      <c r="BP8" s="32"/>
      <c r="BQ8" s="32"/>
      <c r="BR8" s="32"/>
      <c r="BS8" s="32"/>
      <c r="BT8" s="32"/>
    </row>
    <row r="9" spans="1:72" outlineLevel="1" x14ac:dyDescent="0.25">
      <c r="A9" s="14"/>
      <c r="B9" s="34" t="s">
        <v>49</v>
      </c>
      <c r="C9" s="35" t="s">
        <v>234</v>
      </c>
      <c r="D9" s="34">
        <v>238146391</v>
      </c>
      <c r="E9" s="35">
        <v>10</v>
      </c>
      <c r="F9" s="35">
        <v>32</v>
      </c>
      <c r="G9" s="35">
        <v>30</v>
      </c>
      <c r="I9" s="36">
        <f t="shared" si="0"/>
        <v>6.0138375000000002</v>
      </c>
      <c r="J9" s="37">
        <f t="shared" si="1"/>
        <v>2.6936204966465354E-2</v>
      </c>
      <c r="K9" s="37">
        <f t="shared" si="2"/>
        <v>1.3181807991371156E-2</v>
      </c>
      <c r="L9" s="37">
        <f t="shared" si="3"/>
        <v>1.0232260878561876E-2</v>
      </c>
      <c r="M9" s="37">
        <f t="shared" si="4"/>
        <v>1.3754396975094197E-2</v>
      </c>
      <c r="N9" s="34">
        <f t="shared" si="5"/>
        <v>3139200</v>
      </c>
      <c r="O9" s="37">
        <v>32</v>
      </c>
      <c r="P9" s="38">
        <v>25599414</v>
      </c>
      <c r="Q9" s="38">
        <v>799981.6875</v>
      </c>
      <c r="R9" s="38">
        <v>30685.71875</v>
      </c>
      <c r="S9" s="39">
        <v>6414760</v>
      </c>
      <c r="T9" s="39">
        <v>2436776</v>
      </c>
      <c r="U9" s="39">
        <v>702424</v>
      </c>
      <c r="V9" s="39">
        <v>3275560</v>
      </c>
      <c r="W9" s="40">
        <v>72.343662296874996</v>
      </c>
      <c r="X9" s="40">
        <v>75.827079437500004</v>
      </c>
      <c r="Y9" s="40">
        <v>41.935313015624999</v>
      </c>
      <c r="Z9" s="40">
        <v>50.206075468750001</v>
      </c>
      <c r="AA9" s="40">
        <v>50.005586740624999</v>
      </c>
      <c r="AB9" s="41">
        <v>30771.012999999999</v>
      </c>
      <c r="AC9" s="41">
        <v>0</v>
      </c>
      <c r="AD9" s="41">
        <v>51.890999999999998</v>
      </c>
      <c r="AE9" s="41">
        <v>0</v>
      </c>
      <c r="AG9" s="36" t="str">
        <f t="shared" si="6"/>
        <v>·</v>
      </c>
      <c r="AH9" s="37" t="str">
        <f t="shared" si="7"/>
        <v>·</v>
      </c>
      <c r="AI9" s="37" t="str">
        <f t="shared" si="8"/>
        <v>·</v>
      </c>
      <c r="AJ9" s="37" t="str">
        <f t="shared" si="9"/>
        <v>·</v>
      </c>
      <c r="AK9" s="37" t="str">
        <f t="shared" si="10"/>
        <v>·</v>
      </c>
      <c r="AL9" s="34" t="str">
        <f t="shared" si="11"/>
        <v/>
      </c>
      <c r="AM9" s="37">
        <v>32</v>
      </c>
      <c r="AN9" s="38"/>
      <c r="AO9" s="38"/>
      <c r="AP9" s="38"/>
      <c r="AQ9" s="39"/>
      <c r="AR9" s="39"/>
      <c r="AS9" s="39"/>
      <c r="AT9" s="39"/>
      <c r="AU9" s="40"/>
      <c r="AV9" s="40"/>
      <c r="AW9" s="40"/>
      <c r="AX9" s="40"/>
      <c r="AY9" s="40"/>
      <c r="AZ9" s="41"/>
      <c r="BA9" s="41"/>
      <c r="BB9" s="41"/>
      <c r="BC9" s="41"/>
      <c r="BE9" s="42" t="e">
        <f t="shared" si="12"/>
        <v>#VALUE!</v>
      </c>
      <c r="BF9" s="43" t="e">
        <f t="shared" si="13"/>
        <v>#DIV/0!</v>
      </c>
      <c r="BG9" s="43" t="e">
        <f t="shared" si="14"/>
        <v>#VALUE!</v>
      </c>
      <c r="BH9" s="43"/>
      <c r="BJ9" s="42"/>
      <c r="BK9" s="42"/>
      <c r="BL9" s="42"/>
      <c r="BM9" s="42"/>
      <c r="BN9" s="42"/>
      <c r="BP9" s="42"/>
      <c r="BQ9" s="42"/>
      <c r="BR9" s="42"/>
      <c r="BS9" s="42"/>
      <c r="BT9" s="42"/>
    </row>
    <row r="10" spans="1:72" x14ac:dyDescent="0.25">
      <c r="A10" s="24"/>
      <c r="B10" s="24" t="s">
        <v>57</v>
      </c>
      <c r="C10" s="25" t="s">
        <v>230</v>
      </c>
      <c r="D10" s="24">
        <v>218121242</v>
      </c>
      <c r="E10" s="25">
        <v>10</v>
      </c>
      <c r="F10" s="25">
        <v>32</v>
      </c>
      <c r="G10" s="25">
        <v>30</v>
      </c>
      <c r="I10" s="26">
        <f t="shared" si="0"/>
        <v>1.732035</v>
      </c>
      <c r="J10" s="27">
        <f t="shared" si="1"/>
        <v>8.4700783062660167E-3</v>
      </c>
      <c r="K10" s="27">
        <f t="shared" si="2"/>
        <v>6.7525747904919782E-3</v>
      </c>
      <c r="L10" s="27">
        <f t="shared" si="3"/>
        <v>3.8394059758746469E-3</v>
      </c>
      <c r="M10" s="27">
        <f t="shared" si="4"/>
        <v>1.7175035157740391E-3</v>
      </c>
      <c r="N10" s="24">
        <f t="shared" si="5"/>
        <v>1472880</v>
      </c>
      <c r="O10" s="27">
        <v>32</v>
      </c>
      <c r="P10" s="28">
        <v>23046433</v>
      </c>
      <c r="Q10" s="28">
        <v>720201.03125</v>
      </c>
      <c r="R10" s="28">
        <v>35475.96875</v>
      </c>
      <c r="S10" s="29">
        <v>1847504</v>
      </c>
      <c r="T10" s="29">
        <v>837456</v>
      </c>
      <c r="U10" s="29">
        <v>635424</v>
      </c>
      <c r="V10" s="29">
        <v>374624</v>
      </c>
      <c r="W10" s="30">
        <v>66.519929231250003</v>
      </c>
      <c r="X10" s="30">
        <v>68.508750106250005</v>
      </c>
      <c r="Y10" s="30">
        <v>31.629355425</v>
      </c>
      <c r="Z10" s="30">
        <v>38.873992062500001</v>
      </c>
      <c r="AA10" s="30">
        <v>29.770282556249999</v>
      </c>
      <c r="AB10" s="31">
        <v>11779.421</v>
      </c>
      <c r="AC10" s="31">
        <v>0</v>
      </c>
      <c r="AD10" s="31">
        <v>47.915999999999997</v>
      </c>
      <c r="AE10" s="31">
        <v>0</v>
      </c>
      <c r="AG10" s="26" t="str">
        <f t="shared" si="6"/>
        <v>·</v>
      </c>
      <c r="AH10" s="27" t="str">
        <f t="shared" si="7"/>
        <v>·</v>
      </c>
      <c r="AI10" s="27" t="str">
        <f t="shared" si="8"/>
        <v>·</v>
      </c>
      <c r="AJ10" s="27" t="str">
        <f t="shared" si="9"/>
        <v>·</v>
      </c>
      <c r="AK10" s="27" t="str">
        <f t="shared" si="10"/>
        <v>·</v>
      </c>
      <c r="AL10" s="24" t="str">
        <f t="shared" si="11"/>
        <v/>
      </c>
      <c r="AM10" s="27">
        <v>32</v>
      </c>
      <c r="AN10" s="28"/>
      <c r="AO10" s="28"/>
      <c r="AP10" s="28"/>
      <c r="AQ10" s="29"/>
      <c r="AR10" s="29"/>
      <c r="AS10" s="29"/>
      <c r="AT10" s="29"/>
      <c r="AU10" s="30"/>
      <c r="AV10" s="30"/>
      <c r="AW10" s="30"/>
      <c r="AX10" s="30"/>
      <c r="AY10" s="30"/>
      <c r="AZ10" s="31"/>
      <c r="BA10" s="31"/>
      <c r="BB10" s="31"/>
      <c r="BC10" s="31"/>
      <c r="BE10" s="32" t="e">
        <f t="shared" si="12"/>
        <v>#VALUE!</v>
      </c>
      <c r="BF10" s="33" t="e">
        <f t="shared" si="13"/>
        <v>#DIV/0!</v>
      </c>
      <c r="BG10" s="33" t="e">
        <f t="shared" si="14"/>
        <v>#VALUE!</v>
      </c>
      <c r="BH10" s="33" t="e">
        <f t="array" ref="BH10">AVERAGE(AL10:AL14/AQ10:AQ14) - AVERAGE(N10:N14/S10:S14)</f>
        <v>#VALUE!</v>
      </c>
      <c r="BJ10" s="32" t="str">
        <f>IF( OR(ISBLANK(N10:N14),ISBLANK(AL10:AL14), ISBLANK(W10:W14),ISBLANK(AU10:AU14)), "·", bdRateExtend( N10:N14,W10:W14, AL10:AL14,AU10:AU14))</f>
        <v>·</v>
      </c>
      <c r="BK10" s="32" t="str">
        <f>IF( OR(ISBLANK(N10:N14),ISBLANK(AL10:AL14), ISBLANK(X10:X14),ISBLANK(AV10:AV14)), "·", bdRateExtend( N10:N14,X10:X14, AL10:AL14,AV10:AV14))</f>
        <v>·</v>
      </c>
      <c r="BL10" s="32" t="str">
        <f>IF( OR(ISBLANK(V10:V14),ISBLANK(AT10:AT14), ISBLANK(Y10:Y14),ISBLANK(AW10:AW14)), "·", bdRateExtend( V10:V14,Y10:Y14, AT10:AT14,AW10:AW14))</f>
        <v>·</v>
      </c>
      <c r="BM10" s="32" t="str">
        <f>IF( OR(ISBLANK(V10:V14),ISBLANK(AT10:AT14), ISBLANK(Z10:Z14),ISBLANK(AX10:AX14)), "·", bdRateExtend( V10:V14,Z10:Z14, AT10:AT14,AX10:AX14))</f>
        <v>·</v>
      </c>
      <c r="BN10" s="32" t="str">
        <f>IF( OR(ISBLANK(V10:V14),ISBLANK(AT10:AT14), ISBLANK(AA10:AA14),ISBLANK(AY10:AY14)), "·", bdRateExtend( V10:V14,AA10:AA14, AT10:AT14,AY10:AY14))</f>
        <v>·</v>
      </c>
      <c r="BP10" s="32" t="str">
        <f>IF( OR(ISBLANK(S10:S14),ISBLANK(AQ10:AQ14), ISBLANK(W10:W14),ISBLANK(AU10:AU14)), "·", bdRateExtend( S10:S14,W10:W14, AQ10:AQ14,AU10:AU14))</f>
        <v>·</v>
      </c>
      <c r="BQ10" s="32" t="str">
        <f>IF( OR(ISBLANK(S10:S14),ISBLANK(AQ10:AQ14), ISBLANK(X10:X14),ISBLANK(AV10:AV14)), "·", bdRateExtend( S10:S14,X10:X14, AQ10:AQ14,AV10:AV14))</f>
        <v>·</v>
      </c>
      <c r="BR10" s="32" t="str">
        <f>IF( OR(ISBLANK(S10:S14),ISBLANK(AQ10:AQ14), ISBLANK(Y10:Y14),ISBLANK(AW10:AW14)), "·", bdRateExtend( S10:S14,Y10:Y14, AQ10:AQ14,AW10:AW14))</f>
        <v>·</v>
      </c>
      <c r="BS10" s="32" t="str">
        <f>IF( OR(ISBLANK(S10:S14),ISBLANK(AQ10:AQ14), ISBLANK(Z10:Z14),ISBLANK(AX10:AX14)), "·", bdRateExtend( S10:S14,Z10:Z14, AQ10:AQ14,AX10:AX14))</f>
        <v>·</v>
      </c>
      <c r="BT10" s="32" t="str">
        <f>IF( OR(ISBLANK(S10:S14),ISBLANK(AQ10:AQ14), ISBLANK(AA10:AA14),ISBLANK(AY10:AY14)), "·", bdRateExtend( S10:S14,AA10:AA14, AQ10:AQ14,AY10:AY14))</f>
        <v>·</v>
      </c>
    </row>
    <row r="11" spans="1:72" outlineLevel="1" x14ac:dyDescent="0.25">
      <c r="A11" s="14"/>
      <c r="B11" s="14" t="s">
        <v>57</v>
      </c>
      <c r="C11" s="15" t="s">
        <v>231</v>
      </c>
      <c r="D11" s="14">
        <v>218121242</v>
      </c>
      <c r="E11" s="15">
        <v>10</v>
      </c>
      <c r="F11" s="15">
        <v>32</v>
      </c>
      <c r="G11" s="15">
        <v>30</v>
      </c>
      <c r="I11" s="16">
        <f t="shared" si="0"/>
        <v>2.3744624999999999</v>
      </c>
      <c r="J11" s="17">
        <f t="shared" si="1"/>
        <v>1.1611707217401596E-2</v>
      </c>
      <c r="K11" s="17">
        <f t="shared" si="2"/>
        <v>8.4205645592280286E-3</v>
      </c>
      <c r="L11" s="17">
        <f t="shared" si="3"/>
        <v>5.5073957446106969E-3</v>
      </c>
      <c r="M11" s="17">
        <f t="shared" si="4"/>
        <v>3.1911426581735674E-3</v>
      </c>
      <c r="N11" s="14">
        <f t="shared" si="5"/>
        <v>1836704</v>
      </c>
      <c r="O11" s="17">
        <v>32</v>
      </c>
      <c r="P11" s="18">
        <v>23223635</v>
      </c>
      <c r="Q11" s="18">
        <v>725738.59375</v>
      </c>
      <c r="R11" s="18">
        <v>40614.15625</v>
      </c>
      <c r="S11" s="19">
        <v>2532760</v>
      </c>
      <c r="T11" s="19">
        <v>1201280</v>
      </c>
      <c r="U11" s="19">
        <v>635424</v>
      </c>
      <c r="V11" s="19">
        <v>696056</v>
      </c>
      <c r="W11" s="20">
        <v>68.013275043749999</v>
      </c>
      <c r="X11" s="20">
        <v>70.324802312499997</v>
      </c>
      <c r="Y11" s="20">
        <v>33.486155646874998</v>
      </c>
      <c r="Z11" s="20">
        <v>39.932953609374998</v>
      </c>
      <c r="AA11" s="20">
        <v>32.007576581249999</v>
      </c>
      <c r="AB11" s="21">
        <v>15075.681</v>
      </c>
      <c r="AC11" s="21">
        <v>0</v>
      </c>
      <c r="AD11" s="21">
        <v>47.76</v>
      </c>
      <c r="AE11" s="21">
        <v>0</v>
      </c>
      <c r="AG11" s="16" t="str">
        <f t="shared" si="6"/>
        <v>·</v>
      </c>
      <c r="AH11" s="17" t="str">
        <f t="shared" si="7"/>
        <v>·</v>
      </c>
      <c r="AI11" s="17" t="str">
        <f t="shared" si="8"/>
        <v>·</v>
      </c>
      <c r="AJ11" s="17" t="str">
        <f t="shared" si="9"/>
        <v>·</v>
      </c>
      <c r="AK11" s="17" t="str">
        <f t="shared" si="10"/>
        <v>·</v>
      </c>
      <c r="AL11" s="14" t="str">
        <f t="shared" si="11"/>
        <v/>
      </c>
      <c r="AM11" s="17">
        <v>32</v>
      </c>
      <c r="AN11" s="18"/>
      <c r="AO11" s="18"/>
      <c r="AP11" s="18"/>
      <c r="AQ11" s="19"/>
      <c r="AR11" s="19"/>
      <c r="AS11" s="19"/>
      <c r="AT11" s="19"/>
      <c r="AU11" s="20"/>
      <c r="AV11" s="20"/>
      <c r="AW11" s="20"/>
      <c r="AX11" s="20"/>
      <c r="AY11" s="20"/>
      <c r="AZ11" s="21"/>
      <c r="BA11" s="21"/>
      <c r="BB11" s="21"/>
      <c r="BC11" s="21"/>
      <c r="BE11" s="22" t="e">
        <f t="shared" si="12"/>
        <v>#VALUE!</v>
      </c>
      <c r="BF11" s="23" t="e">
        <f t="shared" si="13"/>
        <v>#DIV/0!</v>
      </c>
      <c r="BG11" s="23" t="e">
        <f t="shared" si="14"/>
        <v>#VALUE!</v>
      </c>
      <c r="BH11" s="23"/>
      <c r="BJ11" s="22"/>
      <c r="BK11" s="22"/>
      <c r="BL11" s="22"/>
      <c r="BM11" s="22"/>
      <c r="BN11" s="22"/>
      <c r="BP11" s="22"/>
      <c r="BQ11" s="22"/>
      <c r="BR11" s="22"/>
      <c r="BS11" s="22"/>
      <c r="BT11" s="22"/>
    </row>
    <row r="12" spans="1:72" outlineLevel="1" x14ac:dyDescent="0.25">
      <c r="A12" s="24"/>
      <c r="B12" s="24" t="s">
        <v>57</v>
      </c>
      <c r="C12" s="25" t="s">
        <v>232</v>
      </c>
      <c r="D12" s="24">
        <v>218121242</v>
      </c>
      <c r="E12" s="25">
        <v>10</v>
      </c>
      <c r="F12" s="25">
        <v>32</v>
      </c>
      <c r="G12" s="25">
        <v>30</v>
      </c>
      <c r="I12" s="26">
        <f t="shared" si="0"/>
        <v>3.5470725000000001</v>
      </c>
      <c r="J12" s="27">
        <f t="shared" si="1"/>
        <v>1.7346059307694572E-2</v>
      </c>
      <c r="K12" s="27">
        <f t="shared" si="2"/>
        <v>1.1256748666413701E-2</v>
      </c>
      <c r="L12" s="27">
        <f t="shared" si="3"/>
        <v>8.3435798517963698E-3</v>
      </c>
      <c r="M12" s="27">
        <f t="shared" si="4"/>
        <v>6.089310641280871E-3</v>
      </c>
      <c r="N12" s="24">
        <f t="shared" si="5"/>
        <v>2455336</v>
      </c>
      <c r="O12" s="27">
        <v>32</v>
      </c>
      <c r="P12" s="28">
        <v>23757249</v>
      </c>
      <c r="Q12" s="28">
        <v>742414.03125</v>
      </c>
      <c r="R12" s="28">
        <v>45247.71875</v>
      </c>
      <c r="S12" s="29">
        <v>3783544</v>
      </c>
      <c r="T12" s="29">
        <v>1819912</v>
      </c>
      <c r="U12" s="29">
        <v>635424</v>
      </c>
      <c r="V12" s="29">
        <v>1328208</v>
      </c>
      <c r="W12" s="30">
        <v>69.402983640624996</v>
      </c>
      <c r="X12" s="30">
        <v>71.839228796875005</v>
      </c>
      <c r="Y12" s="30">
        <v>35.463320159375002</v>
      </c>
      <c r="Z12" s="30">
        <v>40.841907028125</v>
      </c>
      <c r="AA12" s="30">
        <v>34.114537990625003</v>
      </c>
      <c r="AB12" s="31">
        <v>20264.652999999998</v>
      </c>
      <c r="AC12" s="31">
        <v>0</v>
      </c>
      <c r="AD12" s="31">
        <v>49.066000000000003</v>
      </c>
      <c r="AE12" s="31">
        <v>0</v>
      </c>
      <c r="AG12" s="26" t="str">
        <f t="shared" si="6"/>
        <v>·</v>
      </c>
      <c r="AH12" s="27" t="str">
        <f t="shared" si="7"/>
        <v>·</v>
      </c>
      <c r="AI12" s="27" t="str">
        <f t="shared" si="8"/>
        <v>·</v>
      </c>
      <c r="AJ12" s="27" t="str">
        <f t="shared" si="9"/>
        <v>·</v>
      </c>
      <c r="AK12" s="27" t="str">
        <f t="shared" si="10"/>
        <v>·</v>
      </c>
      <c r="AL12" s="24" t="str">
        <f t="shared" si="11"/>
        <v/>
      </c>
      <c r="AM12" s="27">
        <v>32</v>
      </c>
      <c r="AN12" s="28"/>
      <c r="AO12" s="28"/>
      <c r="AP12" s="28"/>
      <c r="AQ12" s="29"/>
      <c r="AR12" s="29"/>
      <c r="AS12" s="29"/>
      <c r="AT12" s="29"/>
      <c r="AU12" s="30"/>
      <c r="AV12" s="30"/>
      <c r="AW12" s="30"/>
      <c r="AX12" s="30"/>
      <c r="AY12" s="30"/>
      <c r="AZ12" s="31"/>
      <c r="BA12" s="31"/>
      <c r="BB12" s="31"/>
      <c r="BC12" s="31"/>
      <c r="BE12" s="32" t="e">
        <f t="shared" si="12"/>
        <v>#VALUE!</v>
      </c>
      <c r="BF12" s="33" t="e">
        <f t="shared" si="13"/>
        <v>#DIV/0!</v>
      </c>
      <c r="BG12" s="33" t="e">
        <f t="shared" si="14"/>
        <v>#VALUE!</v>
      </c>
      <c r="BH12" s="33"/>
      <c r="BJ12" s="32"/>
      <c r="BK12" s="32"/>
      <c r="BL12" s="32"/>
      <c r="BM12" s="32"/>
      <c r="BN12" s="32"/>
      <c r="BP12" s="32"/>
      <c r="BQ12" s="32"/>
      <c r="BR12" s="32"/>
      <c r="BS12" s="32"/>
      <c r="BT12" s="32"/>
    </row>
    <row r="13" spans="1:72" outlineLevel="1" x14ac:dyDescent="0.25">
      <c r="A13" s="14"/>
      <c r="B13" s="14" t="s">
        <v>57</v>
      </c>
      <c r="C13" s="15" t="s">
        <v>233</v>
      </c>
      <c r="D13" s="14">
        <v>218121242</v>
      </c>
      <c r="E13" s="15">
        <v>10</v>
      </c>
      <c r="F13" s="15">
        <v>32</v>
      </c>
      <c r="G13" s="15">
        <v>30</v>
      </c>
      <c r="I13" s="16">
        <f t="shared" si="0"/>
        <v>5.8561424999999998</v>
      </c>
      <c r="J13" s="17">
        <f t="shared" si="1"/>
        <v>2.8637981072930072E-2</v>
      </c>
      <c r="K13" s="17">
        <f t="shared" si="2"/>
        <v>1.5871246506105992E-2</v>
      </c>
      <c r="L13" s="17">
        <f t="shared" si="3"/>
        <v>1.2958077691488663E-2</v>
      </c>
      <c r="M13" s="17">
        <f t="shared" si="4"/>
        <v>1.2766734566824079E-2</v>
      </c>
      <c r="N13" s="14">
        <f t="shared" si="5"/>
        <v>3461856</v>
      </c>
      <c r="O13" s="17">
        <v>32</v>
      </c>
      <c r="P13" s="18">
        <v>23977516</v>
      </c>
      <c r="Q13" s="18">
        <v>749297.375</v>
      </c>
      <c r="R13" s="18">
        <v>47939.15625</v>
      </c>
      <c r="S13" s="19">
        <v>6246552</v>
      </c>
      <c r="T13" s="19">
        <v>2826432</v>
      </c>
      <c r="U13" s="19">
        <v>635424</v>
      </c>
      <c r="V13" s="19">
        <v>2784696</v>
      </c>
      <c r="W13" s="20">
        <v>70.429315890625006</v>
      </c>
      <c r="X13" s="20">
        <v>73.098581237499999</v>
      </c>
      <c r="Y13" s="20">
        <v>37.547444300000002</v>
      </c>
      <c r="Z13" s="20">
        <v>42.016930553125</v>
      </c>
      <c r="AA13" s="20">
        <v>36.298671934375001</v>
      </c>
      <c r="AB13" s="21">
        <v>27735.721000000001</v>
      </c>
      <c r="AC13" s="21">
        <v>0</v>
      </c>
      <c r="AD13" s="21">
        <v>50.530999999999999</v>
      </c>
      <c r="AE13" s="21">
        <v>0</v>
      </c>
      <c r="AG13" s="16" t="str">
        <f t="shared" si="6"/>
        <v>·</v>
      </c>
      <c r="AH13" s="17" t="str">
        <f t="shared" si="7"/>
        <v>·</v>
      </c>
      <c r="AI13" s="17" t="str">
        <f t="shared" si="8"/>
        <v>·</v>
      </c>
      <c r="AJ13" s="17" t="str">
        <f t="shared" si="9"/>
        <v>·</v>
      </c>
      <c r="AK13" s="17" t="str">
        <f t="shared" si="10"/>
        <v>·</v>
      </c>
      <c r="AL13" s="14" t="str">
        <f t="shared" si="11"/>
        <v/>
      </c>
      <c r="AM13" s="17">
        <v>32</v>
      </c>
      <c r="AN13" s="18"/>
      <c r="AO13" s="18"/>
      <c r="AP13" s="18"/>
      <c r="AQ13" s="19"/>
      <c r="AR13" s="19"/>
      <c r="AS13" s="19"/>
      <c r="AT13" s="19"/>
      <c r="AU13" s="20"/>
      <c r="AV13" s="20"/>
      <c r="AW13" s="20"/>
      <c r="AX13" s="20"/>
      <c r="AY13" s="20"/>
      <c r="AZ13" s="21"/>
      <c r="BA13" s="21"/>
      <c r="BB13" s="21"/>
      <c r="BC13" s="21"/>
      <c r="BE13" s="22" t="e">
        <f t="shared" si="12"/>
        <v>#VALUE!</v>
      </c>
      <c r="BF13" s="23" t="e">
        <f t="shared" si="13"/>
        <v>#DIV/0!</v>
      </c>
      <c r="BG13" s="23" t="e">
        <f t="shared" si="14"/>
        <v>#VALUE!</v>
      </c>
      <c r="BH13" s="23"/>
      <c r="BJ13" s="22"/>
      <c r="BK13" s="22"/>
      <c r="BL13" s="22"/>
      <c r="BM13" s="22"/>
      <c r="BN13" s="22"/>
      <c r="BP13" s="22"/>
      <c r="BQ13" s="22"/>
      <c r="BR13" s="22"/>
      <c r="BS13" s="22"/>
      <c r="BT13" s="22"/>
    </row>
    <row r="14" spans="1:72" outlineLevel="1" x14ac:dyDescent="0.25">
      <c r="A14" s="24"/>
      <c r="B14" s="44" t="s">
        <v>57</v>
      </c>
      <c r="C14" s="45" t="s">
        <v>234</v>
      </c>
      <c r="D14" s="44">
        <v>218121242</v>
      </c>
      <c r="E14" s="45">
        <v>10</v>
      </c>
      <c r="F14" s="45">
        <v>32</v>
      </c>
      <c r="G14" s="45">
        <v>30</v>
      </c>
      <c r="I14" s="46">
        <f t="shared" si="0"/>
        <v>11.35764</v>
      </c>
      <c r="J14" s="47">
        <f t="shared" si="1"/>
        <v>5.5541660632942851E-2</v>
      </c>
      <c r="K14" s="47">
        <f t="shared" si="2"/>
        <v>2.5362188245746372E-2</v>
      </c>
      <c r="L14" s="47">
        <f t="shared" si="3"/>
        <v>1.9863264853406622E-2</v>
      </c>
      <c r="M14" s="47">
        <f t="shared" si="4"/>
        <v>3.0179472387196475E-2</v>
      </c>
      <c r="N14" s="44">
        <f t="shared" si="5"/>
        <v>5532032</v>
      </c>
      <c r="O14" s="47">
        <v>32</v>
      </c>
      <c r="P14" s="48">
        <v>23551276</v>
      </c>
      <c r="Q14" s="48">
        <v>735977.375</v>
      </c>
      <c r="R14" s="48">
        <v>45731.5625</v>
      </c>
      <c r="S14" s="49">
        <v>12114816</v>
      </c>
      <c r="T14" s="49">
        <v>4332600</v>
      </c>
      <c r="U14" s="49">
        <v>1199432</v>
      </c>
      <c r="V14" s="49">
        <v>6582784</v>
      </c>
      <c r="W14" s="50">
        <v>71.486644246875002</v>
      </c>
      <c r="X14" s="50">
        <v>75.231765253125005</v>
      </c>
      <c r="Y14" s="50">
        <v>39.928655140624997</v>
      </c>
      <c r="Z14" s="50">
        <v>43.198955128125</v>
      </c>
      <c r="AA14" s="50">
        <v>38.508406003125003</v>
      </c>
      <c r="AB14" s="51">
        <v>40930.353000000003</v>
      </c>
      <c r="AC14" s="51">
        <v>0</v>
      </c>
      <c r="AD14" s="51">
        <v>53.548000000000002</v>
      </c>
      <c r="AE14" s="51">
        <v>0</v>
      </c>
      <c r="AG14" s="46" t="str">
        <f t="shared" si="6"/>
        <v>·</v>
      </c>
      <c r="AH14" s="47" t="str">
        <f t="shared" si="7"/>
        <v>·</v>
      </c>
      <c r="AI14" s="47" t="str">
        <f t="shared" si="8"/>
        <v>·</v>
      </c>
      <c r="AJ14" s="47" t="str">
        <f t="shared" si="9"/>
        <v>·</v>
      </c>
      <c r="AK14" s="47" t="str">
        <f t="shared" si="10"/>
        <v>·</v>
      </c>
      <c r="AL14" s="44" t="str">
        <f t="shared" si="11"/>
        <v/>
      </c>
      <c r="AM14" s="47">
        <v>32</v>
      </c>
      <c r="AN14" s="48"/>
      <c r="AO14" s="48"/>
      <c r="AP14" s="48"/>
      <c r="AQ14" s="49"/>
      <c r="AR14" s="49"/>
      <c r="AS14" s="49"/>
      <c r="AT14" s="49"/>
      <c r="AU14" s="50"/>
      <c r="AV14" s="50"/>
      <c r="AW14" s="50"/>
      <c r="AX14" s="50"/>
      <c r="AY14" s="50"/>
      <c r="AZ14" s="51"/>
      <c r="BA14" s="51"/>
      <c r="BB14" s="51"/>
      <c r="BC14" s="51"/>
      <c r="BE14" s="52" t="e">
        <f t="shared" si="12"/>
        <v>#VALUE!</v>
      </c>
      <c r="BF14" s="53" t="e">
        <f t="shared" si="13"/>
        <v>#DIV/0!</v>
      </c>
      <c r="BG14" s="53" t="e">
        <f t="shared" si="14"/>
        <v>#VALUE!</v>
      </c>
      <c r="BH14" s="53"/>
      <c r="BJ14" s="52"/>
      <c r="BK14" s="52"/>
      <c r="BL14" s="52"/>
      <c r="BM14" s="52"/>
      <c r="BN14" s="52"/>
      <c r="BP14" s="52"/>
      <c r="BQ14" s="52"/>
      <c r="BR14" s="52"/>
      <c r="BS14" s="52"/>
      <c r="BT14" s="52"/>
    </row>
    <row r="15" spans="1:72" x14ac:dyDescent="0.25">
      <c r="A15" s="14"/>
      <c r="B15" s="14" t="s">
        <v>62</v>
      </c>
      <c r="C15" s="15" t="s">
        <v>230</v>
      </c>
      <c r="D15" s="14">
        <v>322589704</v>
      </c>
      <c r="E15" s="15">
        <v>10</v>
      </c>
      <c r="F15" s="15">
        <v>32</v>
      </c>
      <c r="G15" s="15">
        <v>30</v>
      </c>
      <c r="I15" s="16">
        <f t="shared" si="0"/>
        <v>1.2873300000000001</v>
      </c>
      <c r="J15" s="17">
        <f t="shared" si="1"/>
        <v>4.2566516630053392E-3</v>
      </c>
      <c r="K15" s="17">
        <f t="shared" si="2"/>
        <v>3.4540222027668929E-3</v>
      </c>
      <c r="L15" s="17">
        <f t="shared" si="3"/>
        <v>1.5731438223459233E-3</v>
      </c>
      <c r="M15" s="17">
        <f t="shared" si="4"/>
        <v>8.0262946023844579E-4</v>
      </c>
      <c r="N15" s="14">
        <f t="shared" si="5"/>
        <v>1114232</v>
      </c>
      <c r="O15" s="17">
        <v>32</v>
      </c>
      <c r="P15" s="18">
        <v>33108918</v>
      </c>
      <c r="Q15" s="18">
        <v>1034653.6875</v>
      </c>
      <c r="R15" s="18">
        <v>27046.53125</v>
      </c>
      <c r="S15" s="19">
        <v>1373152</v>
      </c>
      <c r="T15" s="19">
        <v>507480</v>
      </c>
      <c r="U15" s="19">
        <v>606752</v>
      </c>
      <c r="V15" s="19">
        <v>258920</v>
      </c>
      <c r="W15" s="20">
        <v>66.504183443749994</v>
      </c>
      <c r="X15" s="20">
        <v>68.454336674999993</v>
      </c>
      <c r="Y15" s="20">
        <v>29.817495678124999</v>
      </c>
      <c r="Z15" s="20">
        <v>43.363132874999998</v>
      </c>
      <c r="AA15" s="20">
        <v>43.631752831249997</v>
      </c>
      <c r="AB15" s="21">
        <v>9883.6830000000009</v>
      </c>
      <c r="AC15" s="21">
        <v>0</v>
      </c>
      <c r="AD15" s="21">
        <v>61.478999999999999</v>
      </c>
      <c r="AE15" s="21">
        <v>0</v>
      </c>
      <c r="AG15" s="16" t="str">
        <f t="shared" si="6"/>
        <v>·</v>
      </c>
      <c r="AH15" s="17" t="str">
        <f t="shared" si="7"/>
        <v>·</v>
      </c>
      <c r="AI15" s="17" t="str">
        <f t="shared" si="8"/>
        <v>·</v>
      </c>
      <c r="AJ15" s="17" t="str">
        <f t="shared" si="9"/>
        <v>·</v>
      </c>
      <c r="AK15" s="17" t="str">
        <f t="shared" si="10"/>
        <v>·</v>
      </c>
      <c r="AL15" s="14" t="str">
        <f t="shared" si="11"/>
        <v/>
      </c>
      <c r="AM15" s="17">
        <v>32</v>
      </c>
      <c r="AN15" s="18"/>
      <c r="AO15" s="18"/>
      <c r="AP15" s="18"/>
      <c r="AQ15" s="19"/>
      <c r="AR15" s="19"/>
      <c r="AS15" s="19"/>
      <c r="AT15" s="19"/>
      <c r="AU15" s="20"/>
      <c r="AV15" s="20"/>
      <c r="AW15" s="20"/>
      <c r="AX15" s="20"/>
      <c r="AY15" s="20"/>
      <c r="AZ15" s="21"/>
      <c r="BA15" s="21"/>
      <c r="BB15" s="21"/>
      <c r="BC15" s="21"/>
      <c r="BE15" s="22" t="e">
        <f t="shared" si="12"/>
        <v>#VALUE!</v>
      </c>
      <c r="BF15" s="23" t="e">
        <f t="shared" si="13"/>
        <v>#DIV/0!</v>
      </c>
      <c r="BG15" s="23" t="e">
        <f t="shared" si="14"/>
        <v>#VALUE!</v>
      </c>
      <c r="BH15" s="23" t="e">
        <f t="array" ref="BH15">AVERAGE(AL15:AL19/AQ15:AQ19) - AVERAGE(N15:N19/S15:S19)</f>
        <v>#VALUE!</v>
      </c>
      <c r="BJ15" s="22" t="str">
        <f>IF( OR(ISBLANK(N15:N19),ISBLANK(AL15:AL19), ISBLANK(W15:W19),ISBLANK(AU15:AU19)), "·", bdRateExtend( N15:N19,W15:W19, AL15:AL19,AU15:AU19))</f>
        <v>·</v>
      </c>
      <c r="BK15" s="22" t="str">
        <f>IF( OR(ISBLANK(N15:N19),ISBLANK(AL15:AL19), ISBLANK(X15:X19),ISBLANK(AV15:AV19)), "·", bdRateExtend( N15:N19,X15:X19, AL15:AL19,AV15:AV19))</f>
        <v>·</v>
      </c>
      <c r="BL15" s="22" t="str">
        <f>IF( OR(ISBLANK(V15:V19),ISBLANK(AT15:AT19), ISBLANK(Y15:Y19),ISBLANK(AW15:AW19)), "·", bdRateExtend( V15:V19,Y15:Y19, AT15:AT19,AW15:AW19))</f>
        <v>·</v>
      </c>
      <c r="BM15" s="22" t="str">
        <f>IF( OR(ISBLANK(V15:V19),ISBLANK(AT15:AT19), ISBLANK(Z15:Z19),ISBLANK(AX15:AX19)), "·", bdRateExtend( V15:V19,Z15:Z19, AT15:AT19,AX15:AX19))</f>
        <v>·</v>
      </c>
      <c r="BN15" s="22" t="str">
        <f>IF( OR(ISBLANK(V15:V19),ISBLANK(AT15:AT19), ISBLANK(AA15:AA19),ISBLANK(AY15:AY19)), "·", bdRateExtend( V15:V19,AA15:AA19, AT15:AT19,AY15:AY19))</f>
        <v>·</v>
      </c>
      <c r="BP15" s="22" t="str">
        <f>IF( OR(ISBLANK(S15:S19),ISBLANK(AQ15:AQ19), ISBLANK(W15:W19),ISBLANK(AU15:AU19)), "·", bdRateExtend( S15:S19,W15:W19, AQ15:AQ19,AU15:AU19))</f>
        <v>·</v>
      </c>
      <c r="BQ15" s="22" t="str">
        <f>IF( OR(ISBLANK(S15:S19),ISBLANK(AQ15:AQ19), ISBLANK(X15:X19),ISBLANK(AV15:AV19)), "·", bdRateExtend( S15:S19,X15:X19, AQ15:AQ19,AV15:AV19))</f>
        <v>·</v>
      </c>
      <c r="BR15" s="22" t="str">
        <f>IF( OR(ISBLANK(S15:S19),ISBLANK(AQ15:AQ19), ISBLANK(Y15:Y19),ISBLANK(AW15:AW19)), "·", bdRateExtend( S15:S19,Y15:Y19, AQ15:AQ19,AW15:AW19))</f>
        <v>·</v>
      </c>
      <c r="BS15" s="22" t="str">
        <f>IF( OR(ISBLANK(S15:S19),ISBLANK(AQ15:AQ19), ISBLANK(Z15:Z19),ISBLANK(AX15:AX19)), "·", bdRateExtend( S15:S19,Z15:Z19, AQ15:AQ19,AX15:AX19))</f>
        <v>·</v>
      </c>
      <c r="BT15" s="22" t="str">
        <f>IF( OR(ISBLANK(S15:S19),ISBLANK(AQ15:AQ19), ISBLANK(AA15:AA19),ISBLANK(AY15:AY19)), "·", bdRateExtend( S15:S19,AA15:AA19, AQ15:AQ19,AY15:AY19))</f>
        <v>·</v>
      </c>
    </row>
    <row r="16" spans="1:72" outlineLevel="1" x14ac:dyDescent="0.25">
      <c r="A16" s="24"/>
      <c r="B16" s="24" t="s">
        <v>62</v>
      </c>
      <c r="C16" s="25" t="s">
        <v>231</v>
      </c>
      <c r="D16" s="24">
        <v>322589704</v>
      </c>
      <c r="E16" s="25">
        <v>10</v>
      </c>
      <c r="F16" s="25">
        <v>32</v>
      </c>
      <c r="G16" s="25">
        <v>30</v>
      </c>
      <c r="I16" s="26">
        <f t="shared" si="0"/>
        <v>1.7881050000000001</v>
      </c>
      <c r="J16" s="27">
        <f t="shared" si="1"/>
        <v>5.9125011627773469E-3</v>
      </c>
      <c r="K16" s="27">
        <f t="shared" si="2"/>
        <v>4.3346950713591282E-3</v>
      </c>
      <c r="L16" s="27">
        <f t="shared" si="3"/>
        <v>2.4536926944202782E-3</v>
      </c>
      <c r="M16" s="27">
        <f t="shared" si="4"/>
        <v>1.5778060914182184E-3</v>
      </c>
      <c r="N16" s="24">
        <f t="shared" si="5"/>
        <v>1398328</v>
      </c>
      <c r="O16" s="27">
        <v>32</v>
      </c>
      <c r="P16" s="28">
        <v>33070744</v>
      </c>
      <c r="Q16" s="28">
        <v>1033460.75</v>
      </c>
      <c r="R16" s="28">
        <v>30058.0625</v>
      </c>
      <c r="S16" s="29">
        <v>1907312</v>
      </c>
      <c r="T16" s="29">
        <v>791536</v>
      </c>
      <c r="U16" s="29">
        <v>606792</v>
      </c>
      <c r="V16" s="29">
        <v>508984</v>
      </c>
      <c r="W16" s="30">
        <v>68.154385750000003</v>
      </c>
      <c r="X16" s="30">
        <v>70.582366115625007</v>
      </c>
      <c r="Y16" s="30">
        <v>32.164956278124997</v>
      </c>
      <c r="Z16" s="30">
        <v>44.613211028125001</v>
      </c>
      <c r="AA16" s="30">
        <v>44.925868540624997</v>
      </c>
      <c r="AB16" s="31">
        <v>12420.15</v>
      </c>
      <c r="AC16" s="31">
        <v>0</v>
      </c>
      <c r="AD16" s="31">
        <v>59.984999999999999</v>
      </c>
      <c r="AE16" s="31">
        <v>0</v>
      </c>
      <c r="AG16" s="26" t="str">
        <f t="shared" si="6"/>
        <v>·</v>
      </c>
      <c r="AH16" s="27" t="str">
        <f t="shared" si="7"/>
        <v>·</v>
      </c>
      <c r="AI16" s="27" t="str">
        <f t="shared" si="8"/>
        <v>·</v>
      </c>
      <c r="AJ16" s="27" t="str">
        <f t="shared" si="9"/>
        <v>·</v>
      </c>
      <c r="AK16" s="27" t="str">
        <f t="shared" si="10"/>
        <v>·</v>
      </c>
      <c r="AL16" s="24" t="str">
        <f t="shared" si="11"/>
        <v/>
      </c>
      <c r="AM16" s="27">
        <v>32</v>
      </c>
      <c r="AN16" s="28"/>
      <c r="AO16" s="28"/>
      <c r="AP16" s="28"/>
      <c r="AQ16" s="29"/>
      <c r="AR16" s="29"/>
      <c r="AS16" s="29"/>
      <c r="AT16" s="29"/>
      <c r="AU16" s="30"/>
      <c r="AV16" s="30"/>
      <c r="AW16" s="30"/>
      <c r="AX16" s="30"/>
      <c r="AY16" s="30"/>
      <c r="AZ16" s="31"/>
      <c r="BA16" s="31"/>
      <c r="BB16" s="31"/>
      <c r="BC16" s="31"/>
      <c r="BE16" s="32" t="e">
        <f t="shared" si="12"/>
        <v>#VALUE!</v>
      </c>
      <c r="BF16" s="33" t="e">
        <f t="shared" si="13"/>
        <v>#DIV/0!</v>
      </c>
      <c r="BG16" s="33" t="e">
        <f t="shared" si="14"/>
        <v>#VALUE!</v>
      </c>
      <c r="BH16" s="33"/>
      <c r="BJ16" s="32"/>
      <c r="BK16" s="32"/>
      <c r="BL16" s="32"/>
      <c r="BM16" s="32"/>
      <c r="BN16" s="32"/>
      <c r="BP16" s="32"/>
      <c r="BQ16" s="32"/>
      <c r="BR16" s="32"/>
      <c r="BS16" s="32"/>
      <c r="BT16" s="32"/>
    </row>
    <row r="17" spans="1:72" outlineLevel="1" x14ac:dyDescent="0.25">
      <c r="A17" s="14"/>
      <c r="B17" s="14" t="s">
        <v>62</v>
      </c>
      <c r="C17" s="15" t="s">
        <v>232</v>
      </c>
      <c r="D17" s="14">
        <v>322589704</v>
      </c>
      <c r="E17" s="15">
        <v>10</v>
      </c>
      <c r="F17" s="15">
        <v>32</v>
      </c>
      <c r="G17" s="15">
        <v>30</v>
      </c>
      <c r="I17" s="16">
        <f t="shared" si="0"/>
        <v>2.8344450000000001</v>
      </c>
      <c r="J17" s="17">
        <f t="shared" si="1"/>
        <v>9.3723016032774553E-3</v>
      </c>
      <c r="K17" s="17">
        <f t="shared" si="2"/>
        <v>5.9435250915509689E-3</v>
      </c>
      <c r="L17" s="17">
        <f t="shared" si="3"/>
        <v>4.0625227146121193E-3</v>
      </c>
      <c r="M17" s="17">
        <f t="shared" si="4"/>
        <v>3.4287765117264873E-3</v>
      </c>
      <c r="N17" s="14">
        <f t="shared" si="5"/>
        <v>1917320</v>
      </c>
      <c r="O17" s="17">
        <v>32</v>
      </c>
      <c r="P17" s="18">
        <v>33703373</v>
      </c>
      <c r="Q17" s="18">
        <v>1053230.40625</v>
      </c>
      <c r="R17" s="18">
        <v>32672.84375</v>
      </c>
      <c r="S17" s="19">
        <v>3023408</v>
      </c>
      <c r="T17" s="19">
        <v>1310528</v>
      </c>
      <c r="U17" s="19">
        <v>606792</v>
      </c>
      <c r="V17" s="19">
        <v>1106088</v>
      </c>
      <c r="W17" s="20">
        <v>69.583008925000001</v>
      </c>
      <c r="X17" s="20">
        <v>72.271235078125002</v>
      </c>
      <c r="Y17" s="20">
        <v>34.474893193749999</v>
      </c>
      <c r="Z17" s="20">
        <v>45.708271674999999</v>
      </c>
      <c r="AA17" s="20">
        <v>46.242369078125002</v>
      </c>
      <c r="AB17" s="21">
        <v>17666.168000000001</v>
      </c>
      <c r="AC17" s="21">
        <v>0</v>
      </c>
      <c r="AD17" s="21">
        <v>64.665999999999997</v>
      </c>
      <c r="AE17" s="21">
        <v>0</v>
      </c>
      <c r="AG17" s="16" t="str">
        <f t="shared" si="6"/>
        <v>·</v>
      </c>
      <c r="AH17" s="17" t="str">
        <f t="shared" si="7"/>
        <v>·</v>
      </c>
      <c r="AI17" s="17" t="str">
        <f t="shared" si="8"/>
        <v>·</v>
      </c>
      <c r="AJ17" s="17" t="str">
        <f t="shared" si="9"/>
        <v>·</v>
      </c>
      <c r="AK17" s="17" t="str">
        <f t="shared" si="10"/>
        <v>·</v>
      </c>
      <c r="AL17" s="14" t="str">
        <f t="shared" si="11"/>
        <v/>
      </c>
      <c r="AM17" s="17">
        <v>32</v>
      </c>
      <c r="AN17" s="18"/>
      <c r="AO17" s="18"/>
      <c r="AP17" s="18"/>
      <c r="AQ17" s="19"/>
      <c r="AR17" s="19"/>
      <c r="AS17" s="19"/>
      <c r="AT17" s="19"/>
      <c r="AU17" s="20"/>
      <c r="AV17" s="20"/>
      <c r="AW17" s="20"/>
      <c r="AX17" s="20"/>
      <c r="AY17" s="20"/>
      <c r="AZ17" s="21"/>
      <c r="BA17" s="21"/>
      <c r="BB17" s="21"/>
      <c r="BC17" s="21"/>
      <c r="BE17" s="22" t="e">
        <f t="shared" si="12"/>
        <v>#VALUE!</v>
      </c>
      <c r="BF17" s="23" t="e">
        <f t="shared" si="13"/>
        <v>#DIV/0!</v>
      </c>
      <c r="BG17" s="23" t="e">
        <f t="shared" si="14"/>
        <v>#VALUE!</v>
      </c>
      <c r="BH17" s="23"/>
      <c r="BJ17" s="22"/>
      <c r="BK17" s="22"/>
      <c r="BL17" s="22"/>
      <c r="BM17" s="22"/>
      <c r="BN17" s="22"/>
      <c r="BP17" s="22"/>
      <c r="BQ17" s="22"/>
      <c r="BR17" s="22"/>
      <c r="BS17" s="22"/>
      <c r="BT17" s="22"/>
    </row>
    <row r="18" spans="1:72" outlineLevel="1" x14ac:dyDescent="0.25">
      <c r="A18" s="24"/>
      <c r="B18" s="24" t="s">
        <v>62</v>
      </c>
      <c r="C18" s="25" t="s">
        <v>233</v>
      </c>
      <c r="D18" s="24">
        <v>322589704</v>
      </c>
      <c r="E18" s="25">
        <v>10</v>
      </c>
      <c r="F18" s="25">
        <v>32</v>
      </c>
      <c r="G18" s="25">
        <v>30</v>
      </c>
      <c r="I18" s="26">
        <f t="shared" si="0"/>
        <v>5.1415499999999996</v>
      </c>
      <c r="J18" s="27">
        <f t="shared" si="1"/>
        <v>1.700091457351658E-2</v>
      </c>
      <c r="K18" s="27">
        <f t="shared" si="2"/>
        <v>8.6589744352163212E-3</v>
      </c>
      <c r="L18" s="27">
        <f t="shared" si="3"/>
        <v>6.7779720582774707E-3</v>
      </c>
      <c r="M18" s="27">
        <f t="shared" si="4"/>
        <v>8.3419401383002609E-3</v>
      </c>
      <c r="N18" s="24">
        <f t="shared" si="5"/>
        <v>2793296</v>
      </c>
      <c r="O18" s="27">
        <v>32</v>
      </c>
      <c r="P18" s="28">
        <v>34079496</v>
      </c>
      <c r="Q18" s="28">
        <v>1064984.25</v>
      </c>
      <c r="R18" s="28">
        <v>34975.34375</v>
      </c>
      <c r="S18" s="29">
        <v>5484320</v>
      </c>
      <c r="T18" s="29">
        <v>2186504</v>
      </c>
      <c r="U18" s="29">
        <v>606792</v>
      </c>
      <c r="V18" s="29">
        <v>2691024</v>
      </c>
      <c r="W18" s="30">
        <v>70.743816053125002</v>
      </c>
      <c r="X18" s="30">
        <v>73.640999618750001</v>
      </c>
      <c r="Y18" s="30">
        <v>36.889689015625002</v>
      </c>
      <c r="Z18" s="30">
        <v>47.131362212500001</v>
      </c>
      <c r="AA18" s="30">
        <v>47.754702296875003</v>
      </c>
      <c r="AB18" s="31">
        <v>26066.023000000001</v>
      </c>
      <c r="AC18" s="31">
        <v>0</v>
      </c>
      <c r="AD18" s="31">
        <v>63.884</v>
      </c>
      <c r="AE18" s="31">
        <v>0</v>
      </c>
      <c r="AG18" s="26" t="str">
        <f t="shared" si="6"/>
        <v>·</v>
      </c>
      <c r="AH18" s="27" t="str">
        <f t="shared" si="7"/>
        <v>·</v>
      </c>
      <c r="AI18" s="27" t="str">
        <f t="shared" si="8"/>
        <v>·</v>
      </c>
      <c r="AJ18" s="27" t="str">
        <f t="shared" si="9"/>
        <v>·</v>
      </c>
      <c r="AK18" s="27" t="str">
        <f t="shared" si="10"/>
        <v>·</v>
      </c>
      <c r="AL18" s="24" t="str">
        <f t="shared" si="11"/>
        <v/>
      </c>
      <c r="AM18" s="27">
        <v>32</v>
      </c>
      <c r="AN18" s="28"/>
      <c r="AO18" s="28"/>
      <c r="AP18" s="28"/>
      <c r="AQ18" s="29"/>
      <c r="AR18" s="29"/>
      <c r="AS18" s="29"/>
      <c r="AT18" s="29"/>
      <c r="AU18" s="30"/>
      <c r="AV18" s="30"/>
      <c r="AW18" s="30"/>
      <c r="AX18" s="30"/>
      <c r="AY18" s="30"/>
      <c r="AZ18" s="31"/>
      <c r="BA18" s="31"/>
      <c r="BB18" s="31"/>
      <c r="BC18" s="31"/>
      <c r="BE18" s="32" t="e">
        <f t="shared" si="12"/>
        <v>#VALUE!</v>
      </c>
      <c r="BF18" s="33" t="e">
        <f t="shared" si="13"/>
        <v>#DIV/0!</v>
      </c>
      <c r="BG18" s="33" t="e">
        <f t="shared" si="14"/>
        <v>#VALUE!</v>
      </c>
      <c r="BH18" s="33"/>
      <c r="BJ18" s="32"/>
      <c r="BK18" s="32"/>
      <c r="BL18" s="32"/>
      <c r="BM18" s="32"/>
      <c r="BN18" s="32"/>
      <c r="BP18" s="32"/>
      <c r="BQ18" s="32"/>
      <c r="BR18" s="32"/>
      <c r="BS18" s="32"/>
      <c r="BT18" s="32"/>
    </row>
    <row r="19" spans="1:72" outlineLevel="1" x14ac:dyDescent="0.25">
      <c r="A19" s="14"/>
      <c r="B19" s="34" t="s">
        <v>62</v>
      </c>
      <c r="C19" s="35" t="s">
        <v>234</v>
      </c>
      <c r="D19" s="34">
        <v>322589704</v>
      </c>
      <c r="E19" s="35">
        <v>10</v>
      </c>
      <c r="F19" s="35">
        <v>32</v>
      </c>
      <c r="G19" s="35">
        <v>30</v>
      </c>
      <c r="I19" s="36">
        <f t="shared" si="0"/>
        <v>11.4420675</v>
      </c>
      <c r="J19" s="37">
        <f t="shared" si="1"/>
        <v>3.783404072933462E-2</v>
      </c>
      <c r="K19" s="37">
        <f t="shared" si="2"/>
        <v>1.4594836541962294E-2</v>
      </c>
      <c r="L19" s="37">
        <f t="shared" si="3"/>
        <v>1.0656037552891025E-2</v>
      </c>
      <c r="M19" s="37">
        <f t="shared" si="4"/>
        <v>2.3239204187372329E-2</v>
      </c>
      <c r="N19" s="34">
        <f t="shared" si="5"/>
        <v>4708144</v>
      </c>
      <c r="O19" s="37">
        <v>32</v>
      </c>
      <c r="P19" s="38">
        <v>33599973</v>
      </c>
      <c r="Q19" s="38">
        <v>1049999.15625</v>
      </c>
      <c r="R19" s="38">
        <v>31475.6875</v>
      </c>
      <c r="S19" s="39">
        <v>12204872</v>
      </c>
      <c r="T19" s="39">
        <v>3437528</v>
      </c>
      <c r="U19" s="39">
        <v>1270616</v>
      </c>
      <c r="V19" s="39">
        <v>7496728</v>
      </c>
      <c r="W19" s="40">
        <v>71.598085918750002</v>
      </c>
      <c r="X19" s="40">
        <v>75.745515815624998</v>
      </c>
      <c r="Y19" s="40">
        <v>39.488952221875003</v>
      </c>
      <c r="Z19" s="40">
        <v>48.694114800000001</v>
      </c>
      <c r="AA19" s="40">
        <v>49.299421362499999</v>
      </c>
      <c r="AB19" s="41">
        <v>38866.432999999997</v>
      </c>
      <c r="AC19" s="41">
        <v>0</v>
      </c>
      <c r="AD19" s="41">
        <v>65.022000000000006</v>
      </c>
      <c r="AE19" s="41">
        <v>0</v>
      </c>
      <c r="AG19" s="36" t="str">
        <f t="shared" si="6"/>
        <v>·</v>
      </c>
      <c r="AH19" s="37" t="str">
        <f t="shared" si="7"/>
        <v>·</v>
      </c>
      <c r="AI19" s="37" t="str">
        <f t="shared" si="8"/>
        <v>·</v>
      </c>
      <c r="AJ19" s="37" t="str">
        <f t="shared" si="9"/>
        <v>·</v>
      </c>
      <c r="AK19" s="37" t="str">
        <f t="shared" si="10"/>
        <v>·</v>
      </c>
      <c r="AL19" s="34" t="str">
        <f t="shared" si="11"/>
        <v/>
      </c>
      <c r="AM19" s="37">
        <v>32</v>
      </c>
      <c r="AN19" s="38"/>
      <c r="AO19" s="38"/>
      <c r="AP19" s="38"/>
      <c r="AQ19" s="39"/>
      <c r="AR19" s="39"/>
      <c r="AS19" s="39"/>
      <c r="AT19" s="39"/>
      <c r="AU19" s="40"/>
      <c r="AV19" s="40"/>
      <c r="AW19" s="40"/>
      <c r="AX19" s="40"/>
      <c r="AY19" s="40"/>
      <c r="AZ19" s="41"/>
      <c r="BA19" s="41"/>
      <c r="BB19" s="41"/>
      <c r="BC19" s="41"/>
      <c r="BE19" s="42" t="e">
        <f t="shared" si="12"/>
        <v>#VALUE!</v>
      </c>
      <c r="BF19" s="43" t="e">
        <f t="shared" si="13"/>
        <v>#DIV/0!</v>
      </c>
      <c r="BG19" s="43" t="e">
        <f t="shared" si="14"/>
        <v>#VALUE!</v>
      </c>
      <c r="BH19" s="43"/>
      <c r="BJ19" s="42"/>
      <c r="BK19" s="42"/>
      <c r="BL19" s="42"/>
      <c r="BM19" s="42"/>
      <c r="BN19" s="42"/>
      <c r="BP19" s="42"/>
      <c r="BQ19" s="42"/>
      <c r="BR19" s="42"/>
      <c r="BS19" s="42"/>
      <c r="BT19" s="42"/>
    </row>
    <row r="20" spans="1:72" x14ac:dyDescent="0.25">
      <c r="A20" s="24"/>
      <c r="B20" s="24" t="s">
        <v>68</v>
      </c>
      <c r="C20" s="25" t="s">
        <v>230</v>
      </c>
      <c r="D20" s="24">
        <v>250602891</v>
      </c>
      <c r="E20" s="25">
        <v>10</v>
      </c>
      <c r="F20" s="25">
        <v>32</v>
      </c>
      <c r="G20" s="25">
        <v>50</v>
      </c>
      <c r="I20" s="26">
        <f t="shared" si="0"/>
        <v>1.579575</v>
      </c>
      <c r="J20" s="27">
        <f t="shared" si="1"/>
        <v>4.033983789915656E-3</v>
      </c>
      <c r="K20" s="27">
        <f t="shared" si="2"/>
        <v>3.1334993657355691E-3</v>
      </c>
      <c r="L20" s="27">
        <f t="shared" si="3"/>
        <v>1.5850734938249375E-3</v>
      </c>
      <c r="M20" s="27">
        <f t="shared" si="4"/>
        <v>9.0048442418008657E-4</v>
      </c>
      <c r="N20" s="24">
        <f t="shared" si="5"/>
        <v>785264</v>
      </c>
      <c r="O20" s="27">
        <v>32</v>
      </c>
      <c r="P20" s="28">
        <v>31265408</v>
      </c>
      <c r="Q20" s="28">
        <v>977044</v>
      </c>
      <c r="R20" s="28">
        <v>36167.3125</v>
      </c>
      <c r="S20" s="29">
        <v>1010928</v>
      </c>
      <c r="T20" s="29">
        <v>397224</v>
      </c>
      <c r="U20" s="29">
        <v>388040</v>
      </c>
      <c r="V20" s="29">
        <v>225664</v>
      </c>
      <c r="W20" s="30">
        <v>67.853684896874995</v>
      </c>
      <c r="X20" s="30">
        <v>69.912329621875003</v>
      </c>
      <c r="Y20" s="30">
        <v>30.440670365625</v>
      </c>
      <c r="Z20" s="30">
        <v>39.786370671874998</v>
      </c>
      <c r="AA20" s="30">
        <v>38.306419565624999</v>
      </c>
      <c r="AB20" s="31">
        <v>7874.77</v>
      </c>
      <c r="AC20" s="31">
        <v>0</v>
      </c>
      <c r="AD20" s="31">
        <v>52.874000000000002</v>
      </c>
      <c r="AE20" s="31">
        <v>0</v>
      </c>
      <c r="AG20" s="26" t="str">
        <f t="shared" si="6"/>
        <v>·</v>
      </c>
      <c r="AH20" s="27" t="str">
        <f t="shared" si="7"/>
        <v>·</v>
      </c>
      <c r="AI20" s="27" t="str">
        <f t="shared" si="8"/>
        <v>·</v>
      </c>
      <c r="AJ20" s="27" t="str">
        <f t="shared" si="9"/>
        <v>·</v>
      </c>
      <c r="AK20" s="27" t="str">
        <f t="shared" si="10"/>
        <v>·</v>
      </c>
      <c r="AL20" s="24" t="str">
        <f t="shared" si="11"/>
        <v/>
      </c>
      <c r="AM20" s="27">
        <v>32</v>
      </c>
      <c r="AN20" s="28"/>
      <c r="AO20" s="28"/>
      <c r="AP20" s="28"/>
      <c r="AQ20" s="29"/>
      <c r="AR20" s="29"/>
      <c r="AS20" s="29"/>
      <c r="AT20" s="29"/>
      <c r="AU20" s="30"/>
      <c r="AV20" s="30"/>
      <c r="AW20" s="30"/>
      <c r="AX20" s="30"/>
      <c r="AY20" s="30"/>
      <c r="AZ20" s="31"/>
      <c r="BA20" s="31"/>
      <c r="BB20" s="31"/>
      <c r="BC20" s="31"/>
      <c r="BE20" s="32" t="e">
        <f t="shared" si="12"/>
        <v>#VALUE!</v>
      </c>
      <c r="BF20" s="33" t="e">
        <f t="shared" si="13"/>
        <v>#DIV/0!</v>
      </c>
      <c r="BG20" s="33" t="e">
        <f t="shared" si="14"/>
        <v>#VALUE!</v>
      </c>
      <c r="BH20" s="33" t="e">
        <f t="array" ref="BH20">AVERAGE(AL20:AL24/AQ20:AQ24) - AVERAGE(N20:N24/S20:S24)</f>
        <v>#VALUE!</v>
      </c>
      <c r="BJ20" s="32" t="str">
        <f>IF( OR(ISBLANK(N20:N24),ISBLANK(AL20:AL24), ISBLANK(W20:W24),ISBLANK(AU20:AU24)), "·", bdRateExtend( N20:N24,W20:W24, AL20:AL24,AU20:AU24))</f>
        <v>·</v>
      </c>
      <c r="BK20" s="32" t="str">
        <f>IF( OR(ISBLANK(N20:N24),ISBLANK(AL20:AL24), ISBLANK(X20:X24),ISBLANK(AV20:AV24)), "·", bdRateExtend( N20:N24,X20:X24, AL20:AL24,AV20:AV24))</f>
        <v>·</v>
      </c>
      <c r="BL20" s="32" t="str">
        <f>IF( OR(ISBLANK(V20:V24),ISBLANK(AT20:AT24), ISBLANK(Y20:Y24),ISBLANK(AW20:AW24)), "·", bdRateExtend( V20:V24,Y20:Y24, AT20:AT24,AW20:AW24))</f>
        <v>·</v>
      </c>
      <c r="BM20" s="32" t="str">
        <f>IF( OR(ISBLANK(V20:V24),ISBLANK(AT20:AT24), ISBLANK(Z20:Z24),ISBLANK(AX20:AX24)), "·", bdRateExtend( V20:V24,Z20:Z24, AT20:AT24,AX20:AX24))</f>
        <v>·</v>
      </c>
      <c r="BN20" s="32" t="str">
        <f>IF( OR(ISBLANK(V20:V24),ISBLANK(AT20:AT24), ISBLANK(AA20:AA24),ISBLANK(AY20:AY24)), "·", bdRateExtend( V20:V24,AA20:AA24, AT20:AT24,AY20:AY24))</f>
        <v>·</v>
      </c>
      <c r="BP20" s="32" t="str">
        <f>IF( OR(ISBLANK(S20:S24),ISBLANK(AQ20:AQ24), ISBLANK(W20:W24),ISBLANK(AU20:AU24)), "·", bdRateExtend( S20:S24,W20:W24, AQ20:AQ24,AU20:AU24))</f>
        <v>·</v>
      </c>
      <c r="BQ20" s="32" t="str">
        <f>IF( OR(ISBLANK(S20:S24),ISBLANK(AQ20:AQ24), ISBLANK(X20:X24),ISBLANK(AV20:AV24)), "·", bdRateExtend( S20:S24,X20:X24, AQ20:AQ24,AV20:AV24))</f>
        <v>·</v>
      </c>
      <c r="BR20" s="32" t="str">
        <f>IF( OR(ISBLANK(S20:S24),ISBLANK(AQ20:AQ24), ISBLANK(Y20:Y24),ISBLANK(AW20:AW24)), "·", bdRateExtend( S20:S24,Y20:Y24, AQ20:AQ24,AW20:AW24))</f>
        <v>·</v>
      </c>
      <c r="BS20" s="32" t="str">
        <f>IF( OR(ISBLANK(S20:S24),ISBLANK(AQ20:AQ24), ISBLANK(Z20:Z24),ISBLANK(AX20:AX24)), "·", bdRateExtend( S20:S24,Z20:Z24, AQ20:AQ24,AX20:AX24))</f>
        <v>·</v>
      </c>
      <c r="BT20" s="32" t="str">
        <f>IF( OR(ISBLANK(S20:S24),ISBLANK(AQ20:AQ24), ISBLANK(AA20:AA24),ISBLANK(AY20:AY24)), "·", bdRateExtend( S20:S24,AA20:AA24, AQ20:AQ24,AY20:AY24))</f>
        <v>·</v>
      </c>
    </row>
    <row r="21" spans="1:72" outlineLevel="1" x14ac:dyDescent="0.25">
      <c r="A21" s="14"/>
      <c r="B21" s="14" t="s">
        <v>68</v>
      </c>
      <c r="C21" s="15" t="s">
        <v>231</v>
      </c>
      <c r="D21" s="14">
        <v>250602891</v>
      </c>
      <c r="E21" s="15">
        <v>10</v>
      </c>
      <c r="F21" s="15">
        <v>32</v>
      </c>
      <c r="G21" s="15">
        <v>50</v>
      </c>
      <c r="I21" s="16">
        <f t="shared" si="0"/>
        <v>2.2568000000000001</v>
      </c>
      <c r="J21" s="17">
        <f t="shared" si="1"/>
        <v>5.7635089293522953E-3</v>
      </c>
      <c r="K21" s="17">
        <f t="shared" si="2"/>
        <v>3.9536654826539891E-3</v>
      </c>
      <c r="L21" s="17">
        <f t="shared" si="3"/>
        <v>2.4050799956653332E-3</v>
      </c>
      <c r="M21" s="17">
        <f t="shared" si="4"/>
        <v>1.8098434466983064E-3</v>
      </c>
      <c r="N21" s="14">
        <f t="shared" si="5"/>
        <v>990800</v>
      </c>
      <c r="O21" s="17">
        <v>32</v>
      </c>
      <c r="P21" s="18">
        <v>31650913</v>
      </c>
      <c r="Q21" s="18">
        <v>989091.03125</v>
      </c>
      <c r="R21" s="18">
        <v>40670.75</v>
      </c>
      <c r="S21" s="19">
        <v>1444352</v>
      </c>
      <c r="T21" s="19">
        <v>602720</v>
      </c>
      <c r="U21" s="19">
        <v>388080</v>
      </c>
      <c r="V21" s="19">
        <v>453552</v>
      </c>
      <c r="W21" s="20">
        <v>69.258965459375005</v>
      </c>
      <c r="X21" s="20">
        <v>71.769531987500002</v>
      </c>
      <c r="Y21" s="20">
        <v>31.94211959375</v>
      </c>
      <c r="Z21" s="20">
        <v>41.026909890624999</v>
      </c>
      <c r="AA21" s="20">
        <v>39.666486593750001</v>
      </c>
      <c r="AB21" s="21">
        <v>10622.758</v>
      </c>
      <c r="AC21" s="21">
        <v>0</v>
      </c>
      <c r="AD21" s="21">
        <v>54.814</v>
      </c>
      <c r="AE21" s="21">
        <v>0</v>
      </c>
      <c r="AG21" s="16" t="str">
        <f t="shared" si="6"/>
        <v>·</v>
      </c>
      <c r="AH21" s="17" t="str">
        <f t="shared" si="7"/>
        <v>·</v>
      </c>
      <c r="AI21" s="17" t="str">
        <f t="shared" si="8"/>
        <v>·</v>
      </c>
      <c r="AJ21" s="17" t="str">
        <f t="shared" si="9"/>
        <v>·</v>
      </c>
      <c r="AK21" s="17" t="str">
        <f t="shared" si="10"/>
        <v>·</v>
      </c>
      <c r="AL21" s="14" t="str">
        <f t="shared" si="11"/>
        <v/>
      </c>
      <c r="AM21" s="17">
        <v>32</v>
      </c>
      <c r="AN21" s="18"/>
      <c r="AO21" s="18"/>
      <c r="AP21" s="18"/>
      <c r="AQ21" s="19"/>
      <c r="AR21" s="19"/>
      <c r="AS21" s="19"/>
      <c r="AT21" s="19"/>
      <c r="AU21" s="20"/>
      <c r="AV21" s="20"/>
      <c r="AW21" s="20"/>
      <c r="AX21" s="20"/>
      <c r="AY21" s="20"/>
      <c r="AZ21" s="21"/>
      <c r="BA21" s="21"/>
      <c r="BB21" s="21"/>
      <c r="BC21" s="21"/>
      <c r="BE21" s="22" t="e">
        <f t="shared" si="12"/>
        <v>#VALUE!</v>
      </c>
      <c r="BF21" s="23" t="e">
        <f t="shared" si="13"/>
        <v>#DIV/0!</v>
      </c>
      <c r="BG21" s="23" t="e">
        <f t="shared" si="14"/>
        <v>#VALUE!</v>
      </c>
      <c r="BH21" s="23"/>
      <c r="BJ21" s="22"/>
      <c r="BK21" s="22"/>
      <c r="BL21" s="22"/>
      <c r="BM21" s="22"/>
      <c r="BN21" s="22"/>
      <c r="BP21" s="22"/>
      <c r="BQ21" s="22"/>
      <c r="BR21" s="22"/>
      <c r="BS21" s="22"/>
      <c r="BT21" s="22"/>
    </row>
    <row r="22" spans="1:72" outlineLevel="1" x14ac:dyDescent="0.25">
      <c r="A22" s="24"/>
      <c r="B22" s="24" t="s">
        <v>68</v>
      </c>
      <c r="C22" s="25" t="s">
        <v>232</v>
      </c>
      <c r="D22" s="24">
        <v>250602891</v>
      </c>
      <c r="E22" s="25">
        <v>10</v>
      </c>
      <c r="F22" s="25">
        <v>32</v>
      </c>
      <c r="G22" s="25">
        <v>50</v>
      </c>
      <c r="I22" s="26">
        <f t="shared" si="0"/>
        <v>3.8220499999999999</v>
      </c>
      <c r="J22" s="27">
        <f t="shared" si="1"/>
        <v>9.760908943384855E-3</v>
      </c>
      <c r="K22" s="27">
        <f t="shared" si="2"/>
        <v>5.3570970176876368E-3</v>
      </c>
      <c r="L22" s="27">
        <f t="shared" si="3"/>
        <v>3.8085115306989814E-3</v>
      </c>
      <c r="M22" s="27">
        <f t="shared" si="4"/>
        <v>4.4038119256972182E-3</v>
      </c>
      <c r="N22" s="24">
        <f t="shared" si="5"/>
        <v>1342504</v>
      </c>
      <c r="O22" s="27">
        <v>32</v>
      </c>
      <c r="P22" s="28">
        <v>32671469</v>
      </c>
      <c r="Q22" s="28">
        <v>1020983.40625</v>
      </c>
      <c r="R22" s="28">
        <v>44945.5</v>
      </c>
      <c r="S22" s="29">
        <v>2446112</v>
      </c>
      <c r="T22" s="29">
        <v>954424</v>
      </c>
      <c r="U22" s="29">
        <v>388080</v>
      </c>
      <c r="V22" s="29">
        <v>1103608</v>
      </c>
      <c r="W22" s="30">
        <v>70.573258056249998</v>
      </c>
      <c r="X22" s="30">
        <v>73.292775256249996</v>
      </c>
      <c r="Y22" s="30">
        <v>33.832612050000002</v>
      </c>
      <c r="Z22" s="30">
        <v>42.115494159374997</v>
      </c>
      <c r="AA22" s="30">
        <v>40.811835512499997</v>
      </c>
      <c r="AB22" s="31">
        <v>15739.892</v>
      </c>
      <c r="AC22" s="31">
        <v>0</v>
      </c>
      <c r="AD22" s="31">
        <v>55.109000000000002</v>
      </c>
      <c r="AE22" s="31">
        <v>0</v>
      </c>
      <c r="AG22" s="26" t="str">
        <f t="shared" si="6"/>
        <v>·</v>
      </c>
      <c r="AH22" s="27" t="str">
        <f t="shared" si="7"/>
        <v>·</v>
      </c>
      <c r="AI22" s="27" t="str">
        <f t="shared" si="8"/>
        <v>·</v>
      </c>
      <c r="AJ22" s="27" t="str">
        <f t="shared" si="9"/>
        <v>·</v>
      </c>
      <c r="AK22" s="27" t="str">
        <f t="shared" si="10"/>
        <v>·</v>
      </c>
      <c r="AL22" s="24" t="str">
        <f t="shared" si="11"/>
        <v/>
      </c>
      <c r="AM22" s="27">
        <v>32</v>
      </c>
      <c r="AN22" s="28"/>
      <c r="AO22" s="28"/>
      <c r="AP22" s="28"/>
      <c r="AQ22" s="29"/>
      <c r="AR22" s="29"/>
      <c r="AS22" s="29"/>
      <c r="AT22" s="29"/>
      <c r="AU22" s="30"/>
      <c r="AV22" s="30"/>
      <c r="AW22" s="30"/>
      <c r="AX22" s="30"/>
      <c r="AY22" s="30"/>
      <c r="AZ22" s="31"/>
      <c r="BA22" s="31"/>
      <c r="BB22" s="31"/>
      <c r="BC22" s="31"/>
      <c r="BE22" s="32" t="e">
        <f t="shared" si="12"/>
        <v>#VALUE!</v>
      </c>
      <c r="BF22" s="33" t="e">
        <f t="shared" si="13"/>
        <v>#DIV/0!</v>
      </c>
      <c r="BG22" s="33" t="e">
        <f t="shared" si="14"/>
        <v>#VALUE!</v>
      </c>
      <c r="BH22" s="33"/>
      <c r="BJ22" s="32"/>
      <c r="BK22" s="32"/>
      <c r="BL22" s="32"/>
      <c r="BM22" s="32"/>
      <c r="BN22" s="32"/>
      <c r="BP22" s="32"/>
      <c r="BQ22" s="32"/>
      <c r="BR22" s="32"/>
      <c r="BS22" s="32"/>
      <c r="BT22" s="32"/>
    </row>
    <row r="23" spans="1:72" outlineLevel="1" x14ac:dyDescent="0.25">
      <c r="A23" s="14"/>
      <c r="B23" s="14" t="s">
        <v>68</v>
      </c>
      <c r="C23" s="15" t="s">
        <v>233</v>
      </c>
      <c r="D23" s="14">
        <v>250602891</v>
      </c>
      <c r="E23" s="15">
        <v>10</v>
      </c>
      <c r="F23" s="15">
        <v>32</v>
      </c>
      <c r="G23" s="15">
        <v>50</v>
      </c>
      <c r="I23" s="16">
        <f t="shared" si="0"/>
        <v>7.1971749999999997</v>
      </c>
      <c r="J23" s="17">
        <f t="shared" si="1"/>
        <v>1.8380442386835831E-2</v>
      </c>
      <c r="K23" s="17">
        <f t="shared" si="2"/>
        <v>7.8607233625249753E-3</v>
      </c>
      <c r="L23" s="17">
        <f t="shared" si="3"/>
        <v>6.3121378755363203E-3</v>
      </c>
      <c r="M23" s="17">
        <f t="shared" si="4"/>
        <v>1.0519719024310857E-2</v>
      </c>
      <c r="N23" s="14">
        <f t="shared" si="5"/>
        <v>1969920</v>
      </c>
      <c r="O23" s="17">
        <v>32</v>
      </c>
      <c r="P23" s="18">
        <v>33181129</v>
      </c>
      <c r="Q23" s="18">
        <v>1036910.28125</v>
      </c>
      <c r="R23" s="18">
        <v>48137.625</v>
      </c>
      <c r="S23" s="19">
        <v>4606192</v>
      </c>
      <c r="T23" s="19">
        <v>1581840</v>
      </c>
      <c r="U23" s="19">
        <v>388080</v>
      </c>
      <c r="V23" s="19">
        <v>2636272</v>
      </c>
      <c r="W23" s="20">
        <v>71.494644118750003</v>
      </c>
      <c r="X23" s="20">
        <v>74.525895040625002</v>
      </c>
      <c r="Y23" s="20">
        <v>35.690160728125001</v>
      </c>
      <c r="Z23" s="20">
        <v>43.208520496875003</v>
      </c>
      <c r="AA23" s="20">
        <v>41.804785643750002</v>
      </c>
      <c r="AB23" s="21">
        <v>22081.687999999998</v>
      </c>
      <c r="AC23" s="21">
        <v>0</v>
      </c>
      <c r="AD23" s="21">
        <v>57.575000000000003</v>
      </c>
      <c r="AE23" s="21">
        <v>0</v>
      </c>
      <c r="AG23" s="16" t="str">
        <f t="shared" si="6"/>
        <v>·</v>
      </c>
      <c r="AH23" s="17" t="str">
        <f t="shared" si="7"/>
        <v>·</v>
      </c>
      <c r="AI23" s="17" t="str">
        <f t="shared" si="8"/>
        <v>·</v>
      </c>
      <c r="AJ23" s="17" t="str">
        <f t="shared" si="9"/>
        <v>·</v>
      </c>
      <c r="AK23" s="17" t="str">
        <f t="shared" si="10"/>
        <v>·</v>
      </c>
      <c r="AL23" s="14" t="str">
        <f t="shared" si="11"/>
        <v/>
      </c>
      <c r="AM23" s="17">
        <v>32</v>
      </c>
      <c r="AN23" s="18"/>
      <c r="AO23" s="18"/>
      <c r="AP23" s="18"/>
      <c r="AQ23" s="19"/>
      <c r="AR23" s="19"/>
      <c r="AS23" s="19"/>
      <c r="AT23" s="19"/>
      <c r="AU23" s="20"/>
      <c r="AV23" s="20"/>
      <c r="AW23" s="20"/>
      <c r="AX23" s="20"/>
      <c r="AY23" s="20"/>
      <c r="AZ23" s="21"/>
      <c r="BA23" s="21"/>
      <c r="BB23" s="21"/>
      <c r="BC23" s="21"/>
      <c r="BE23" s="22" t="e">
        <f t="shared" si="12"/>
        <v>#VALUE!</v>
      </c>
      <c r="BF23" s="23" t="e">
        <f t="shared" si="13"/>
        <v>#DIV/0!</v>
      </c>
      <c r="BG23" s="23" t="e">
        <f t="shared" si="14"/>
        <v>#VALUE!</v>
      </c>
      <c r="BH23" s="23"/>
      <c r="BJ23" s="22"/>
      <c r="BK23" s="22"/>
      <c r="BL23" s="22"/>
      <c r="BM23" s="22"/>
      <c r="BN23" s="22"/>
      <c r="BP23" s="22"/>
      <c r="BQ23" s="22"/>
      <c r="BR23" s="22"/>
      <c r="BS23" s="22"/>
      <c r="BT23" s="22"/>
    </row>
    <row r="24" spans="1:72" outlineLevel="1" x14ac:dyDescent="0.25">
      <c r="A24" s="44"/>
      <c r="B24" s="44" t="s">
        <v>68</v>
      </c>
      <c r="C24" s="45" t="s">
        <v>234</v>
      </c>
      <c r="D24" s="44">
        <v>250602891</v>
      </c>
      <c r="E24" s="45">
        <v>10</v>
      </c>
      <c r="F24" s="45">
        <v>32</v>
      </c>
      <c r="G24" s="45">
        <v>50</v>
      </c>
      <c r="I24" s="46">
        <f t="shared" si="0"/>
        <v>14.4353625</v>
      </c>
      <c r="J24" s="47">
        <f t="shared" si="1"/>
        <v>3.6865624187871003E-2</v>
      </c>
      <c r="K24" s="47">
        <f t="shared" si="2"/>
        <v>1.312827632144116E-2</v>
      </c>
      <c r="L24" s="47">
        <f t="shared" si="3"/>
        <v>9.7924488828023942E-3</v>
      </c>
      <c r="M24" s="47">
        <f t="shared" si="4"/>
        <v>2.373734786642984E-2</v>
      </c>
      <c r="N24" s="44">
        <f t="shared" si="5"/>
        <v>3289984</v>
      </c>
      <c r="O24" s="47">
        <v>32</v>
      </c>
      <c r="P24" s="48">
        <v>32642282</v>
      </c>
      <c r="Q24" s="48">
        <v>1020071.3125</v>
      </c>
      <c r="R24" s="48">
        <v>44628.0625</v>
      </c>
      <c r="S24" s="49">
        <v>9238632</v>
      </c>
      <c r="T24" s="49">
        <v>2454016</v>
      </c>
      <c r="U24" s="49">
        <v>835968</v>
      </c>
      <c r="V24" s="49">
        <v>5948648</v>
      </c>
      <c r="W24" s="50">
        <v>72.588757112500005</v>
      </c>
      <c r="X24" s="50">
        <v>76.737998493749998</v>
      </c>
      <c r="Y24" s="50">
        <v>37.282695168750003</v>
      </c>
      <c r="Z24" s="50">
        <v>43.953310715625001</v>
      </c>
      <c r="AA24" s="50">
        <v>42.526268556250002</v>
      </c>
      <c r="AB24" s="51">
        <v>31525.404999999999</v>
      </c>
      <c r="AC24" s="51">
        <v>0</v>
      </c>
      <c r="AD24" s="51">
        <v>58.171999999999997</v>
      </c>
      <c r="AE24" s="51">
        <v>0</v>
      </c>
      <c r="AG24" s="46" t="str">
        <f t="shared" si="6"/>
        <v>·</v>
      </c>
      <c r="AH24" s="47" t="str">
        <f t="shared" si="7"/>
        <v>·</v>
      </c>
      <c r="AI24" s="47" t="str">
        <f t="shared" si="8"/>
        <v>·</v>
      </c>
      <c r="AJ24" s="47" t="str">
        <f t="shared" si="9"/>
        <v>·</v>
      </c>
      <c r="AK24" s="47" t="str">
        <f t="shared" si="10"/>
        <v>·</v>
      </c>
      <c r="AL24" s="44" t="str">
        <f t="shared" si="11"/>
        <v/>
      </c>
      <c r="AM24" s="47">
        <v>32</v>
      </c>
      <c r="AN24" s="48"/>
      <c r="AO24" s="48"/>
      <c r="AP24" s="48"/>
      <c r="AQ24" s="49"/>
      <c r="AR24" s="49"/>
      <c r="AS24" s="49"/>
      <c r="AT24" s="49"/>
      <c r="AU24" s="50"/>
      <c r="AV24" s="50"/>
      <c r="AW24" s="50"/>
      <c r="AX24" s="50"/>
      <c r="AY24" s="50"/>
      <c r="AZ24" s="51"/>
      <c r="BA24" s="51"/>
      <c r="BB24" s="51"/>
      <c r="BC24" s="51"/>
      <c r="BE24" s="52" t="e">
        <f t="shared" si="12"/>
        <v>#VALUE!</v>
      </c>
      <c r="BF24" s="53" t="e">
        <f t="shared" si="13"/>
        <v>#DIV/0!</v>
      </c>
      <c r="BG24" s="53" t="e">
        <f t="shared" si="14"/>
        <v>#VALUE!</v>
      </c>
      <c r="BH24" s="53"/>
      <c r="BJ24" s="52"/>
      <c r="BK24" s="52"/>
      <c r="BL24" s="52"/>
      <c r="BM24" s="52"/>
      <c r="BN24" s="52"/>
      <c r="BP24" s="52"/>
      <c r="BQ24" s="52"/>
      <c r="BR24" s="52"/>
      <c r="BS24" s="52"/>
      <c r="BT24" s="52"/>
    </row>
    <row r="25" spans="1:72" x14ac:dyDescent="0.25">
      <c r="A25" s="14" t="s">
        <v>235</v>
      </c>
      <c r="B25" s="14" t="s">
        <v>71</v>
      </c>
      <c r="C25" s="15" t="s">
        <v>230</v>
      </c>
      <c r="D25" s="14">
        <v>250294582</v>
      </c>
      <c r="E25" s="15">
        <v>10</v>
      </c>
      <c r="F25" s="15">
        <v>32</v>
      </c>
      <c r="G25" s="15">
        <v>30</v>
      </c>
      <c r="I25" s="16">
        <f t="shared" si="0"/>
        <v>1.8501075</v>
      </c>
      <c r="J25" s="17">
        <f t="shared" si="1"/>
        <v>7.8845014711505026E-3</v>
      </c>
      <c r="K25" s="17">
        <f t="shared" si="2"/>
        <v>5.2371888737088208E-3</v>
      </c>
      <c r="L25" s="17">
        <f t="shared" si="3"/>
        <v>3.2011879506045403E-3</v>
      </c>
      <c r="M25" s="17">
        <f t="shared" si="4"/>
        <v>2.6473125974416818E-3</v>
      </c>
      <c r="N25" s="14">
        <f t="shared" si="5"/>
        <v>1310840</v>
      </c>
      <c r="O25" s="17">
        <v>32</v>
      </c>
      <c r="P25" s="18">
        <v>25242682</v>
      </c>
      <c r="Q25" s="18">
        <v>788833.8125</v>
      </c>
      <c r="R25" s="18">
        <v>26213.90625</v>
      </c>
      <c r="S25" s="19">
        <v>1973448</v>
      </c>
      <c r="T25" s="19">
        <v>801240</v>
      </c>
      <c r="U25" s="19">
        <v>509600</v>
      </c>
      <c r="V25" s="19">
        <v>662608</v>
      </c>
      <c r="W25" s="20">
        <v>66.883092365625004</v>
      </c>
      <c r="X25" s="20">
        <v>68.704038368750005</v>
      </c>
      <c r="Y25" s="20">
        <v>26.701432268750001</v>
      </c>
      <c r="Z25" s="20">
        <v>32.471518478124999</v>
      </c>
      <c r="AA25" s="20">
        <v>31.545009940625</v>
      </c>
      <c r="AB25" s="21">
        <v>13913.103999999999</v>
      </c>
      <c r="AC25" s="21">
        <v>0</v>
      </c>
      <c r="AD25" s="21">
        <v>52.252000000000002</v>
      </c>
      <c r="AE25" s="21">
        <v>0</v>
      </c>
      <c r="AG25" s="16" t="str">
        <f t="shared" si="6"/>
        <v>·</v>
      </c>
      <c r="AH25" s="17" t="str">
        <f t="shared" si="7"/>
        <v>·</v>
      </c>
      <c r="AI25" s="17" t="str">
        <f t="shared" si="8"/>
        <v>·</v>
      </c>
      <c r="AJ25" s="17" t="str">
        <f t="shared" si="9"/>
        <v>·</v>
      </c>
      <c r="AK25" s="17" t="str">
        <f t="shared" si="10"/>
        <v>·</v>
      </c>
      <c r="AL25" s="14" t="str">
        <f t="shared" si="11"/>
        <v/>
      </c>
      <c r="AM25" s="17">
        <v>32</v>
      </c>
      <c r="AN25" s="18"/>
      <c r="AO25" s="18"/>
      <c r="AP25" s="18"/>
      <c r="AQ25" s="19"/>
      <c r="AR25" s="19"/>
      <c r="AS25" s="19"/>
      <c r="AT25" s="19"/>
      <c r="AU25" s="20"/>
      <c r="AV25" s="20"/>
      <c r="AW25" s="20"/>
      <c r="AX25" s="20"/>
      <c r="AY25" s="20"/>
      <c r="AZ25" s="21"/>
      <c r="BA25" s="21"/>
      <c r="BB25" s="21"/>
      <c r="BC25" s="21"/>
      <c r="BE25" s="22" t="e">
        <f t="shared" si="12"/>
        <v>#VALUE!</v>
      </c>
      <c r="BF25" s="23" t="e">
        <f t="shared" si="13"/>
        <v>#DIV/0!</v>
      </c>
      <c r="BG25" s="23" t="e">
        <f t="shared" si="14"/>
        <v>#VALUE!</v>
      </c>
      <c r="BH25" s="23" t="e">
        <f t="array" ref="BH25">AVERAGE(AL25:AL29/AQ25:AQ29) - AVERAGE(N25:N29/S25:S29)</f>
        <v>#VALUE!</v>
      </c>
      <c r="BJ25" s="22" t="str">
        <f>IF( OR(ISBLANK(N25:N29),ISBLANK(AL25:AL29), ISBLANK(W25:W29),ISBLANK(AU25:AU29)), "·", bdRateExtend( N25:N29,W25:W29, AL25:AL29,AU25:AU29))</f>
        <v>·</v>
      </c>
      <c r="BK25" s="22" t="str">
        <f>IF( OR(ISBLANK(N25:N29),ISBLANK(AL25:AL29), ISBLANK(X25:X29),ISBLANK(AV25:AV29)), "·", bdRateExtend( N25:N29,X25:X29, AL25:AL29,AV25:AV29))</f>
        <v>·</v>
      </c>
      <c r="BL25" s="22" t="str">
        <f>IF( OR(ISBLANK(V25:V29),ISBLANK(AT25:AT29), ISBLANK(Y25:Y29),ISBLANK(AW25:AW29)), "·", bdRateExtend( V25:V29,Y25:Y29, AT25:AT29,AW25:AW29))</f>
        <v>·</v>
      </c>
      <c r="BM25" s="22" t="str">
        <f>IF( OR(ISBLANK(V25:V29),ISBLANK(AT25:AT29), ISBLANK(Z25:Z29),ISBLANK(AX25:AX29)), "·", bdRateExtend( V25:V29,Z25:Z29, AT25:AT29,AX25:AX29))</f>
        <v>·</v>
      </c>
      <c r="BN25" s="22" t="str">
        <f>IF( OR(ISBLANK(V25:V29),ISBLANK(AT25:AT29), ISBLANK(AA25:AA29),ISBLANK(AY25:AY29)), "·", bdRateExtend( V25:V29,AA25:AA29, AT25:AT29,AY25:AY29))</f>
        <v>·</v>
      </c>
      <c r="BP25" s="22" t="str">
        <f>IF( OR(ISBLANK(S25:S29),ISBLANK(AQ25:AQ29), ISBLANK(W25:W29),ISBLANK(AU25:AU29)), "·", bdRateExtend( S25:S29,W25:W29, AQ25:AQ29,AU25:AU29))</f>
        <v>·</v>
      </c>
      <c r="BQ25" s="22" t="str">
        <f>IF( OR(ISBLANK(S25:S29),ISBLANK(AQ25:AQ29), ISBLANK(X25:X29),ISBLANK(AV25:AV29)), "·", bdRateExtend( S25:S29,X25:X29, AQ25:AQ29,AV25:AV29))</f>
        <v>·</v>
      </c>
      <c r="BR25" s="22" t="str">
        <f>IF( OR(ISBLANK(S25:S29),ISBLANK(AQ25:AQ29), ISBLANK(Y25:Y29),ISBLANK(AW25:AW29)), "·", bdRateExtend( S25:S29,Y25:Y29, AQ25:AQ29,AW25:AW29))</f>
        <v>·</v>
      </c>
      <c r="BS25" s="22" t="str">
        <f>IF( OR(ISBLANK(S25:S29),ISBLANK(AQ25:AQ29), ISBLANK(Z25:Z29),ISBLANK(AX25:AX29)), "·", bdRateExtend( S25:S29,Z25:Z29, AQ25:AQ29,AX25:AX29))</f>
        <v>·</v>
      </c>
      <c r="BT25" s="22" t="str">
        <f>IF( OR(ISBLANK(S25:S29),ISBLANK(AQ25:AQ29), ISBLANK(AA25:AA29),ISBLANK(AY25:AY29)), "·", bdRateExtend( S25:S29,AA25:AA29, AQ25:AQ29,AY25:AY29))</f>
        <v>·</v>
      </c>
    </row>
    <row r="26" spans="1:72" outlineLevel="1" x14ac:dyDescent="0.25">
      <c r="A26" s="24"/>
      <c r="B26" s="24" t="s">
        <v>71</v>
      </c>
      <c r="C26" s="25" t="s">
        <v>231</v>
      </c>
      <c r="D26" s="24">
        <v>250294582</v>
      </c>
      <c r="E26" s="25">
        <v>10</v>
      </c>
      <c r="F26" s="25">
        <v>32</v>
      </c>
      <c r="G26" s="25">
        <v>30</v>
      </c>
      <c r="I26" s="26">
        <f t="shared" si="0"/>
        <v>2.9246400000000001</v>
      </c>
      <c r="J26" s="27">
        <f t="shared" si="1"/>
        <v>1.2463777581889487E-2</v>
      </c>
      <c r="K26" s="27">
        <f t="shared" si="2"/>
        <v>6.6992420954601409E-3</v>
      </c>
      <c r="L26" s="27">
        <f t="shared" si="3"/>
        <v>4.6632411723558599E-3</v>
      </c>
      <c r="M26" s="27">
        <f t="shared" si="4"/>
        <v>5.7645354864293468E-3</v>
      </c>
      <c r="N26" s="24">
        <f t="shared" si="5"/>
        <v>1676784</v>
      </c>
      <c r="O26" s="27">
        <v>32</v>
      </c>
      <c r="P26" s="28">
        <v>25241821</v>
      </c>
      <c r="Q26" s="28">
        <v>788806.90625</v>
      </c>
      <c r="R26" s="28">
        <v>29660.65625</v>
      </c>
      <c r="S26" s="29">
        <v>3119616</v>
      </c>
      <c r="T26" s="29">
        <v>1167184</v>
      </c>
      <c r="U26" s="29">
        <v>509600</v>
      </c>
      <c r="V26" s="29">
        <v>1442832</v>
      </c>
      <c r="W26" s="30">
        <v>68.383438946875003</v>
      </c>
      <c r="X26" s="30">
        <v>70.593294740624998</v>
      </c>
      <c r="Y26" s="30">
        <v>28.822998612500001</v>
      </c>
      <c r="Z26" s="30">
        <v>34.024550796874998</v>
      </c>
      <c r="AA26" s="30">
        <v>33.136870759375</v>
      </c>
      <c r="AB26" s="31">
        <v>18755.386999999999</v>
      </c>
      <c r="AC26" s="31">
        <v>0</v>
      </c>
      <c r="AD26" s="31">
        <v>52.412999999999997</v>
      </c>
      <c r="AE26" s="31">
        <v>0</v>
      </c>
      <c r="AG26" s="26" t="str">
        <f t="shared" si="6"/>
        <v>·</v>
      </c>
      <c r="AH26" s="27" t="str">
        <f t="shared" si="7"/>
        <v>·</v>
      </c>
      <c r="AI26" s="27" t="str">
        <f t="shared" si="8"/>
        <v>·</v>
      </c>
      <c r="AJ26" s="27" t="str">
        <f t="shared" si="9"/>
        <v>·</v>
      </c>
      <c r="AK26" s="27" t="str">
        <f t="shared" si="10"/>
        <v>·</v>
      </c>
      <c r="AL26" s="24" t="str">
        <f t="shared" si="11"/>
        <v/>
      </c>
      <c r="AM26" s="27">
        <v>32</v>
      </c>
      <c r="AN26" s="28"/>
      <c r="AO26" s="28"/>
      <c r="AP26" s="28"/>
      <c r="AQ26" s="29"/>
      <c r="AR26" s="29"/>
      <c r="AS26" s="29"/>
      <c r="AT26" s="29"/>
      <c r="AU26" s="30"/>
      <c r="AV26" s="30"/>
      <c r="AW26" s="30"/>
      <c r="AX26" s="30"/>
      <c r="AY26" s="30"/>
      <c r="AZ26" s="31"/>
      <c r="BA26" s="31"/>
      <c r="BB26" s="31"/>
      <c r="BC26" s="31"/>
      <c r="BE26" s="32" t="e">
        <f t="shared" si="12"/>
        <v>#VALUE!</v>
      </c>
      <c r="BF26" s="33" t="e">
        <f t="shared" si="13"/>
        <v>#DIV/0!</v>
      </c>
      <c r="BG26" s="33" t="e">
        <f t="shared" si="14"/>
        <v>#VALUE!</v>
      </c>
      <c r="BH26" s="33"/>
      <c r="BJ26" s="32"/>
      <c r="BK26" s="32"/>
      <c r="BL26" s="32"/>
      <c r="BM26" s="32"/>
      <c r="BN26" s="32"/>
      <c r="BP26" s="32"/>
      <c r="BQ26" s="32"/>
      <c r="BR26" s="32"/>
      <c r="BS26" s="32"/>
      <c r="BT26" s="32"/>
    </row>
    <row r="27" spans="1:72" outlineLevel="1" x14ac:dyDescent="0.25">
      <c r="A27" s="14"/>
      <c r="B27" s="14" t="s">
        <v>71</v>
      </c>
      <c r="C27" s="15" t="s">
        <v>232</v>
      </c>
      <c r="D27" s="14">
        <v>250294582</v>
      </c>
      <c r="E27" s="15">
        <v>10</v>
      </c>
      <c r="F27" s="15">
        <v>32</v>
      </c>
      <c r="G27" s="15">
        <v>30</v>
      </c>
      <c r="I27" s="16">
        <f t="shared" si="0"/>
        <v>5.1563249999999998</v>
      </c>
      <c r="J27" s="17">
        <f t="shared" si="1"/>
        <v>2.1974426917479181E-2</v>
      </c>
      <c r="K27" s="17">
        <f t="shared" si="2"/>
        <v>9.020506884164196E-3</v>
      </c>
      <c r="L27" s="17">
        <f t="shared" si="3"/>
        <v>6.9845059610599159E-3</v>
      </c>
      <c r="M27" s="17">
        <f t="shared" si="4"/>
        <v>1.2953920033314983E-2</v>
      </c>
      <c r="N27" s="14">
        <f t="shared" si="5"/>
        <v>2257784</v>
      </c>
      <c r="O27" s="17">
        <v>32</v>
      </c>
      <c r="P27" s="18">
        <v>25727996</v>
      </c>
      <c r="Q27" s="18">
        <v>803999.875</v>
      </c>
      <c r="R27" s="18">
        <v>33079.34375</v>
      </c>
      <c r="S27" s="19">
        <v>5500080</v>
      </c>
      <c r="T27" s="19">
        <v>1748184</v>
      </c>
      <c r="U27" s="19">
        <v>509600</v>
      </c>
      <c r="V27" s="19">
        <v>3242296</v>
      </c>
      <c r="W27" s="20">
        <v>69.735952621875001</v>
      </c>
      <c r="X27" s="20">
        <v>72.148128428125005</v>
      </c>
      <c r="Y27" s="20">
        <v>31.108046000000002</v>
      </c>
      <c r="Z27" s="20">
        <v>35.503834231250003</v>
      </c>
      <c r="AA27" s="20">
        <v>34.627472815624998</v>
      </c>
      <c r="AB27" s="21">
        <v>26433.541000000001</v>
      </c>
      <c r="AC27" s="21">
        <v>0</v>
      </c>
      <c r="AD27" s="21">
        <v>53.442999999999998</v>
      </c>
      <c r="AE27" s="21">
        <v>0</v>
      </c>
      <c r="AG27" s="16" t="str">
        <f t="shared" si="6"/>
        <v>·</v>
      </c>
      <c r="AH27" s="17" t="str">
        <f t="shared" si="7"/>
        <v>·</v>
      </c>
      <c r="AI27" s="17" t="str">
        <f t="shared" si="8"/>
        <v>·</v>
      </c>
      <c r="AJ27" s="17" t="str">
        <f t="shared" si="9"/>
        <v>·</v>
      </c>
      <c r="AK27" s="17" t="str">
        <f t="shared" si="10"/>
        <v>·</v>
      </c>
      <c r="AL27" s="14" t="str">
        <f t="shared" si="11"/>
        <v/>
      </c>
      <c r="AM27" s="17">
        <v>32</v>
      </c>
      <c r="AN27" s="18"/>
      <c r="AO27" s="18"/>
      <c r="AP27" s="18"/>
      <c r="AQ27" s="19"/>
      <c r="AR27" s="19"/>
      <c r="AS27" s="19"/>
      <c r="AT27" s="19"/>
      <c r="AU27" s="20"/>
      <c r="AV27" s="20"/>
      <c r="AW27" s="20"/>
      <c r="AX27" s="20"/>
      <c r="AY27" s="20"/>
      <c r="AZ27" s="21"/>
      <c r="BA27" s="21"/>
      <c r="BB27" s="21"/>
      <c r="BC27" s="21"/>
      <c r="BE27" s="22" t="e">
        <f t="shared" si="12"/>
        <v>#VALUE!</v>
      </c>
      <c r="BF27" s="23" t="e">
        <f t="shared" si="13"/>
        <v>#DIV/0!</v>
      </c>
      <c r="BG27" s="23" t="e">
        <f t="shared" si="14"/>
        <v>#VALUE!</v>
      </c>
      <c r="BH27" s="23"/>
      <c r="BJ27" s="22"/>
      <c r="BK27" s="22"/>
      <c r="BL27" s="22"/>
      <c r="BM27" s="22"/>
      <c r="BN27" s="22"/>
      <c r="BP27" s="22"/>
      <c r="BQ27" s="22"/>
      <c r="BR27" s="22"/>
      <c r="BS27" s="22"/>
      <c r="BT27" s="22"/>
    </row>
    <row r="28" spans="1:72" outlineLevel="1" x14ac:dyDescent="0.25">
      <c r="A28" s="24"/>
      <c r="B28" s="24" t="s">
        <v>71</v>
      </c>
      <c r="C28" s="25" t="s">
        <v>233</v>
      </c>
      <c r="D28" s="24">
        <v>250294582</v>
      </c>
      <c r="E28" s="25">
        <v>10</v>
      </c>
      <c r="F28" s="25">
        <v>32</v>
      </c>
      <c r="G28" s="25">
        <v>30</v>
      </c>
      <c r="I28" s="26">
        <f t="shared" si="0"/>
        <v>10.354245000000001</v>
      </c>
      <c r="J28" s="27">
        <f t="shared" si="1"/>
        <v>4.4126116960853751E-2</v>
      </c>
      <c r="K28" s="27">
        <f t="shared" si="2"/>
        <v>1.2637908398672409E-2</v>
      </c>
      <c r="L28" s="27">
        <f t="shared" si="3"/>
        <v>1.0601907475568129E-2</v>
      </c>
      <c r="M28" s="27">
        <f t="shared" si="4"/>
        <v>3.148820856218134E-2</v>
      </c>
      <c r="N28" s="24">
        <f t="shared" si="5"/>
        <v>3163200</v>
      </c>
      <c r="O28" s="27">
        <v>32</v>
      </c>
      <c r="P28" s="28">
        <v>25932810</v>
      </c>
      <c r="Q28" s="28">
        <v>810400.3125</v>
      </c>
      <c r="R28" s="28">
        <v>35350</v>
      </c>
      <c r="S28" s="29">
        <v>11044528</v>
      </c>
      <c r="T28" s="29">
        <v>2653600</v>
      </c>
      <c r="U28" s="29">
        <v>509600</v>
      </c>
      <c r="V28" s="29">
        <v>7881328</v>
      </c>
      <c r="W28" s="30">
        <v>70.777548503125004</v>
      </c>
      <c r="X28" s="30">
        <v>73.404627724999997</v>
      </c>
      <c r="Y28" s="30">
        <v>33.592108696875002</v>
      </c>
      <c r="Z28" s="30">
        <v>37.184931403124999</v>
      </c>
      <c r="AA28" s="30">
        <v>36.366084359375002</v>
      </c>
      <c r="AB28" s="31">
        <v>35913.544000000002</v>
      </c>
      <c r="AC28" s="31">
        <v>0</v>
      </c>
      <c r="AD28" s="31">
        <v>55.52</v>
      </c>
      <c r="AE28" s="31">
        <v>0</v>
      </c>
      <c r="AG28" s="26" t="str">
        <f t="shared" si="6"/>
        <v>·</v>
      </c>
      <c r="AH28" s="27" t="str">
        <f t="shared" si="7"/>
        <v>·</v>
      </c>
      <c r="AI28" s="27" t="str">
        <f t="shared" si="8"/>
        <v>·</v>
      </c>
      <c r="AJ28" s="27" t="str">
        <f t="shared" si="9"/>
        <v>·</v>
      </c>
      <c r="AK28" s="27" t="str">
        <f t="shared" si="10"/>
        <v>·</v>
      </c>
      <c r="AL28" s="24" t="str">
        <f t="shared" si="11"/>
        <v/>
      </c>
      <c r="AM28" s="27">
        <v>32</v>
      </c>
      <c r="AN28" s="28"/>
      <c r="AO28" s="28"/>
      <c r="AP28" s="28"/>
      <c r="AQ28" s="29"/>
      <c r="AR28" s="29"/>
      <c r="AS28" s="29"/>
      <c r="AT28" s="29"/>
      <c r="AU28" s="30"/>
      <c r="AV28" s="30"/>
      <c r="AW28" s="30"/>
      <c r="AX28" s="30"/>
      <c r="AY28" s="30"/>
      <c r="AZ28" s="31"/>
      <c r="BA28" s="31"/>
      <c r="BB28" s="31"/>
      <c r="BC28" s="31"/>
      <c r="BE28" s="32" t="e">
        <f t="shared" si="12"/>
        <v>#VALUE!</v>
      </c>
      <c r="BF28" s="33" t="e">
        <f t="shared" si="13"/>
        <v>#DIV/0!</v>
      </c>
      <c r="BG28" s="33" t="e">
        <f t="shared" si="14"/>
        <v>#VALUE!</v>
      </c>
      <c r="BH28" s="33"/>
      <c r="BJ28" s="32"/>
      <c r="BK28" s="32"/>
      <c r="BL28" s="32"/>
      <c r="BM28" s="32"/>
      <c r="BN28" s="32"/>
      <c r="BP28" s="32"/>
      <c r="BQ28" s="32"/>
      <c r="BR28" s="32"/>
      <c r="BS28" s="32"/>
      <c r="BT28" s="32"/>
    </row>
    <row r="29" spans="1:72" outlineLevel="1" x14ac:dyDescent="0.25">
      <c r="A29" s="34"/>
      <c r="B29" s="34" t="s">
        <v>71</v>
      </c>
      <c r="C29" s="35" t="s">
        <v>234</v>
      </c>
      <c r="D29" s="34">
        <v>250294582</v>
      </c>
      <c r="E29" s="35">
        <v>10</v>
      </c>
      <c r="F29" s="35">
        <v>32</v>
      </c>
      <c r="G29" s="35">
        <v>30</v>
      </c>
      <c r="I29" s="36">
        <f t="shared" si="0"/>
        <v>24.471299999999999</v>
      </c>
      <c r="J29" s="37">
        <f t="shared" si="1"/>
        <v>0.10428799453597441</v>
      </c>
      <c r="K29" s="37">
        <f t="shared" si="2"/>
        <v>1.9791335315440427E-2</v>
      </c>
      <c r="L29" s="37">
        <f t="shared" si="3"/>
        <v>1.5858593375385168E-2</v>
      </c>
      <c r="M29" s="37">
        <f t="shared" si="4"/>
        <v>8.4496659220533982E-2</v>
      </c>
      <c r="N29" s="34">
        <f t="shared" si="5"/>
        <v>4953664</v>
      </c>
      <c r="O29" s="37">
        <v>32</v>
      </c>
      <c r="P29" s="38">
        <v>25534191</v>
      </c>
      <c r="Q29" s="38">
        <v>797943.46875</v>
      </c>
      <c r="R29" s="38">
        <v>33925.375</v>
      </c>
      <c r="S29" s="39">
        <v>26102720</v>
      </c>
      <c r="T29" s="39">
        <v>3969320</v>
      </c>
      <c r="U29" s="39">
        <v>984344</v>
      </c>
      <c r="V29" s="39">
        <v>21149056</v>
      </c>
      <c r="W29" s="40">
        <v>71.630320940624998</v>
      </c>
      <c r="X29" s="40">
        <v>75.566664024999994</v>
      </c>
      <c r="Y29" s="40">
        <v>36.688089362500001</v>
      </c>
      <c r="Z29" s="40">
        <v>38.946558846875</v>
      </c>
      <c r="AA29" s="40">
        <v>38.187124743749997</v>
      </c>
      <c r="AB29" s="41">
        <v>49498.324999999997</v>
      </c>
      <c r="AC29" s="41">
        <v>0</v>
      </c>
      <c r="AD29" s="41">
        <v>58.063000000000002</v>
      </c>
      <c r="AE29" s="41">
        <v>0</v>
      </c>
      <c r="AG29" s="36" t="str">
        <f t="shared" si="6"/>
        <v>·</v>
      </c>
      <c r="AH29" s="37" t="str">
        <f t="shared" si="7"/>
        <v>·</v>
      </c>
      <c r="AI29" s="37" t="str">
        <f t="shared" si="8"/>
        <v>·</v>
      </c>
      <c r="AJ29" s="37" t="str">
        <f t="shared" si="9"/>
        <v>·</v>
      </c>
      <c r="AK29" s="37" t="str">
        <f t="shared" si="10"/>
        <v>·</v>
      </c>
      <c r="AL29" s="34" t="str">
        <f t="shared" si="11"/>
        <v/>
      </c>
      <c r="AM29" s="37">
        <v>32</v>
      </c>
      <c r="AN29" s="38"/>
      <c r="AO29" s="38"/>
      <c r="AP29" s="38"/>
      <c r="AQ29" s="39"/>
      <c r="AR29" s="39"/>
      <c r="AS29" s="39"/>
      <c r="AT29" s="39"/>
      <c r="AU29" s="40"/>
      <c r="AV29" s="40"/>
      <c r="AW29" s="40"/>
      <c r="AX29" s="40"/>
      <c r="AY29" s="40"/>
      <c r="AZ29" s="41"/>
      <c r="BA29" s="41"/>
      <c r="BB29" s="41"/>
      <c r="BC29" s="41"/>
      <c r="BE29" s="42" t="e">
        <f t="shared" si="12"/>
        <v>#VALUE!</v>
      </c>
      <c r="BF29" s="43" t="e">
        <f t="shared" si="13"/>
        <v>#DIV/0!</v>
      </c>
      <c r="BG29" s="43" t="e">
        <f t="shared" si="14"/>
        <v>#VALUE!</v>
      </c>
      <c r="BH29" s="43"/>
      <c r="BJ29" s="42"/>
      <c r="BK29" s="42"/>
      <c r="BL29" s="42"/>
      <c r="BM29" s="42"/>
      <c r="BN29" s="42"/>
      <c r="BP29" s="42"/>
      <c r="BQ29" s="42"/>
      <c r="BR29" s="42"/>
      <c r="BS29" s="42"/>
      <c r="BT29" s="42"/>
    </row>
    <row r="30" spans="1:72" x14ac:dyDescent="0.25">
      <c r="A30" s="24" t="s">
        <v>236</v>
      </c>
      <c r="B30" s="24" t="s">
        <v>75</v>
      </c>
      <c r="C30" s="25" t="s">
        <v>230</v>
      </c>
      <c r="D30" s="24">
        <v>375422539</v>
      </c>
      <c r="E30" s="25">
        <v>11</v>
      </c>
      <c r="F30" s="25">
        <v>32</v>
      </c>
      <c r="G30" s="25">
        <v>30</v>
      </c>
      <c r="I30" s="26">
        <f t="shared" si="0"/>
        <v>3.0636225000000001</v>
      </c>
      <c r="J30" s="27">
        <f t="shared" si="1"/>
        <v>8.7044960292061747E-3</v>
      </c>
      <c r="K30" s="27">
        <f t="shared" si="2"/>
        <v>7.0008583048872296E-3</v>
      </c>
      <c r="L30" s="27">
        <f t="shared" si="3"/>
        <v>4.2811494597025249E-3</v>
      </c>
      <c r="M30" s="27">
        <f t="shared" si="4"/>
        <v>1.703637724318944E-3</v>
      </c>
      <c r="N30" s="24">
        <f t="shared" si="5"/>
        <v>2628280</v>
      </c>
      <c r="O30" s="27">
        <v>32</v>
      </c>
      <c r="P30" s="28">
        <v>91937585</v>
      </c>
      <c r="Q30" s="28">
        <v>2873049.53125</v>
      </c>
      <c r="R30" s="28">
        <v>78368.59375</v>
      </c>
      <c r="S30" s="29">
        <v>3267864</v>
      </c>
      <c r="T30" s="29">
        <v>1607240</v>
      </c>
      <c r="U30" s="29">
        <v>1021040</v>
      </c>
      <c r="V30" s="29">
        <v>639584</v>
      </c>
      <c r="W30" s="30">
        <v>74.367790418750005</v>
      </c>
      <c r="X30" s="30">
        <v>76.454329740624999</v>
      </c>
      <c r="Y30" s="30">
        <v>33.743270843749997</v>
      </c>
      <c r="Z30" s="30">
        <v>41.752027368749999</v>
      </c>
      <c r="AA30" s="30">
        <v>43.390216090625003</v>
      </c>
      <c r="AB30" s="31">
        <v>25222.327000000001</v>
      </c>
      <c r="AC30" s="31">
        <v>0</v>
      </c>
      <c r="AD30" s="31">
        <v>184.101</v>
      </c>
      <c r="AE30" s="31">
        <v>0</v>
      </c>
      <c r="AG30" s="26" t="str">
        <f t="shared" si="6"/>
        <v>·</v>
      </c>
      <c r="AH30" s="27" t="str">
        <f t="shared" si="7"/>
        <v>·</v>
      </c>
      <c r="AI30" s="27" t="str">
        <f t="shared" si="8"/>
        <v>·</v>
      </c>
      <c r="AJ30" s="27" t="str">
        <f t="shared" si="9"/>
        <v>·</v>
      </c>
      <c r="AK30" s="27" t="str">
        <f t="shared" si="10"/>
        <v>·</v>
      </c>
      <c r="AL30" s="24" t="str">
        <f t="shared" si="11"/>
        <v/>
      </c>
      <c r="AM30" s="27">
        <v>32</v>
      </c>
      <c r="AN30" s="28"/>
      <c r="AO30" s="28"/>
      <c r="AP30" s="28"/>
      <c r="AQ30" s="29"/>
      <c r="AR30" s="29"/>
      <c r="AS30" s="29"/>
      <c r="AT30" s="29"/>
      <c r="AU30" s="30"/>
      <c r="AV30" s="30"/>
      <c r="AW30" s="30"/>
      <c r="AX30" s="30"/>
      <c r="AY30" s="30"/>
      <c r="AZ30" s="31"/>
      <c r="BA30" s="31"/>
      <c r="BB30" s="31"/>
      <c r="BC30" s="31"/>
      <c r="BE30" s="32" t="e">
        <f t="shared" si="12"/>
        <v>#VALUE!</v>
      </c>
      <c r="BF30" s="33" t="e">
        <f t="shared" si="13"/>
        <v>#DIV/0!</v>
      </c>
      <c r="BG30" s="33" t="e">
        <f t="shared" si="14"/>
        <v>#VALUE!</v>
      </c>
      <c r="BH30" s="33" t="e">
        <f t="array" ref="BH30">AVERAGE(AL30:AL34/AQ30:AQ34) - AVERAGE(N30:N34/S30:S34)</f>
        <v>#VALUE!</v>
      </c>
      <c r="BJ30" s="32" t="str">
        <f>IF( OR(ISBLANK(N30:N34),ISBLANK(AL30:AL34), ISBLANK(W30:W34),ISBLANK(AU30:AU34)), "·", bdRateExtend( N30:N34,W30:W34, AL30:AL34,AU30:AU34))</f>
        <v>·</v>
      </c>
      <c r="BK30" s="32" t="str">
        <f>IF( OR(ISBLANK(N30:N34),ISBLANK(AL30:AL34), ISBLANK(X30:X34),ISBLANK(AV30:AV34)), "·", bdRateExtend( N30:N34,X30:X34, AL30:AL34,AV30:AV34))</f>
        <v>·</v>
      </c>
      <c r="BL30" s="32" t="str">
        <f>IF( OR(ISBLANK(V30:V34),ISBLANK(AT30:AT34), ISBLANK(Y30:Y34),ISBLANK(AW30:AW34)), "·", bdRateExtend( V30:V34,Y30:Y34, AT30:AT34,AW30:AW34))</f>
        <v>·</v>
      </c>
      <c r="BM30" s="32" t="str">
        <f>IF( OR(ISBLANK(V30:V34),ISBLANK(AT30:AT34), ISBLANK(Z30:Z34),ISBLANK(AX30:AX34)), "·", bdRateExtend( V30:V34,Z30:Z34, AT30:AT34,AX30:AX34))</f>
        <v>·</v>
      </c>
      <c r="BN30" s="32" t="str">
        <f>IF( OR(ISBLANK(V30:V34),ISBLANK(AT30:AT34), ISBLANK(AA30:AA34),ISBLANK(AY30:AY34)), "·", bdRateExtend( V30:V34,AA30:AA34, AT30:AT34,AY30:AY34))</f>
        <v>·</v>
      </c>
      <c r="BP30" s="32" t="str">
        <f>IF( OR(ISBLANK(S30:S34),ISBLANK(AQ30:AQ34), ISBLANK(W30:W34),ISBLANK(AU30:AU34)), "·", bdRateExtend( S30:S34,W30:W34, AQ30:AQ34,AU30:AU34))</f>
        <v>·</v>
      </c>
      <c r="BQ30" s="32" t="str">
        <f>IF( OR(ISBLANK(S30:S34),ISBLANK(AQ30:AQ34), ISBLANK(X30:X34),ISBLANK(AV30:AV34)), "·", bdRateExtend( S30:S34,X30:X34, AQ30:AQ34,AV30:AV34))</f>
        <v>·</v>
      </c>
      <c r="BR30" s="32" t="str">
        <f>IF( OR(ISBLANK(S30:S34),ISBLANK(AQ30:AQ34), ISBLANK(Y30:Y34),ISBLANK(AW30:AW34)), "·", bdRateExtend( S30:S34,Y30:Y34, AQ30:AQ34,AW30:AW34))</f>
        <v>·</v>
      </c>
      <c r="BS30" s="32" t="str">
        <f>IF( OR(ISBLANK(S30:S34),ISBLANK(AQ30:AQ34), ISBLANK(Z30:Z34),ISBLANK(AX30:AX34)), "·", bdRateExtend( S30:S34,Z30:Z34, AQ30:AQ34,AX30:AX34))</f>
        <v>·</v>
      </c>
      <c r="BT30" s="32" t="str">
        <f>IF( OR(ISBLANK(S30:S34),ISBLANK(AQ30:AQ34), ISBLANK(AA30:AA34),ISBLANK(AY30:AY34)), "·", bdRateExtend( S30:S34,AA30:AA34, AQ30:AQ34,AY30:AY34))</f>
        <v>·</v>
      </c>
    </row>
    <row r="31" spans="1:72" outlineLevel="1" x14ac:dyDescent="0.25">
      <c r="A31" s="14"/>
      <c r="B31" s="14" t="s">
        <v>75</v>
      </c>
      <c r="C31" s="15" t="s">
        <v>231</v>
      </c>
      <c r="D31" s="14">
        <v>375422539</v>
      </c>
      <c r="E31" s="15">
        <v>11</v>
      </c>
      <c r="F31" s="15">
        <v>32</v>
      </c>
      <c r="G31" s="15">
        <v>30</v>
      </c>
      <c r="I31" s="16">
        <f t="shared" si="0"/>
        <v>4.1876474999999997</v>
      </c>
      <c r="J31" s="17">
        <f t="shared" si="1"/>
        <v>1.1898124209319249E-2</v>
      </c>
      <c r="K31" s="17">
        <f t="shared" si="2"/>
        <v>8.9021613057707217E-3</v>
      </c>
      <c r="L31" s="17">
        <f t="shared" si="3"/>
        <v>6.182452460586017E-3</v>
      </c>
      <c r="M31" s="17">
        <f t="shared" si="4"/>
        <v>2.9959629035485268E-3</v>
      </c>
      <c r="N31" s="14">
        <f t="shared" si="5"/>
        <v>3342072</v>
      </c>
      <c r="O31" s="17">
        <v>32</v>
      </c>
      <c r="P31" s="18">
        <v>92683992</v>
      </c>
      <c r="Q31" s="18">
        <v>2896374.75</v>
      </c>
      <c r="R31" s="18">
        <v>88036.875</v>
      </c>
      <c r="S31" s="19">
        <v>4466824</v>
      </c>
      <c r="T31" s="19">
        <v>2321032</v>
      </c>
      <c r="U31" s="19">
        <v>1021040</v>
      </c>
      <c r="V31" s="19">
        <v>1124752</v>
      </c>
      <c r="W31" s="20">
        <v>75.753946259374999</v>
      </c>
      <c r="X31" s="20">
        <v>78.266876940624996</v>
      </c>
      <c r="Y31" s="20">
        <v>35.608950278125</v>
      </c>
      <c r="Z31" s="20">
        <v>42.49004535625</v>
      </c>
      <c r="AA31" s="20">
        <v>44.901965193750002</v>
      </c>
      <c r="AB31" s="21">
        <v>32261.734</v>
      </c>
      <c r="AC31" s="21">
        <v>0</v>
      </c>
      <c r="AD31" s="21">
        <v>186.49</v>
      </c>
      <c r="AE31" s="21">
        <v>0</v>
      </c>
      <c r="AG31" s="16" t="str">
        <f t="shared" si="6"/>
        <v>·</v>
      </c>
      <c r="AH31" s="17" t="str">
        <f t="shared" si="7"/>
        <v>·</v>
      </c>
      <c r="AI31" s="17" t="str">
        <f t="shared" si="8"/>
        <v>·</v>
      </c>
      <c r="AJ31" s="17" t="str">
        <f t="shared" si="9"/>
        <v>·</v>
      </c>
      <c r="AK31" s="17" t="str">
        <f t="shared" si="10"/>
        <v>·</v>
      </c>
      <c r="AL31" s="14" t="str">
        <f t="shared" si="11"/>
        <v/>
      </c>
      <c r="AM31" s="17">
        <v>32</v>
      </c>
      <c r="AN31" s="18"/>
      <c r="AO31" s="18"/>
      <c r="AP31" s="18"/>
      <c r="AQ31" s="19"/>
      <c r="AR31" s="19"/>
      <c r="AS31" s="19"/>
      <c r="AT31" s="19"/>
      <c r="AU31" s="20"/>
      <c r="AV31" s="20"/>
      <c r="AW31" s="20"/>
      <c r="AX31" s="20"/>
      <c r="AY31" s="20"/>
      <c r="AZ31" s="21"/>
      <c r="BA31" s="21"/>
      <c r="BB31" s="21"/>
      <c r="BC31" s="21"/>
      <c r="BE31" s="22" t="e">
        <f t="shared" si="12"/>
        <v>#VALUE!</v>
      </c>
      <c r="BF31" s="23" t="e">
        <f t="shared" si="13"/>
        <v>#DIV/0!</v>
      </c>
      <c r="BG31" s="23" t="e">
        <f t="shared" si="14"/>
        <v>#VALUE!</v>
      </c>
      <c r="BH31" s="23"/>
      <c r="BJ31" s="22"/>
      <c r="BK31" s="22"/>
      <c r="BL31" s="22"/>
      <c r="BM31" s="22"/>
      <c r="BN31" s="22"/>
      <c r="BP31" s="22"/>
      <c r="BQ31" s="22"/>
      <c r="BR31" s="22"/>
      <c r="BS31" s="22"/>
      <c r="BT31" s="22"/>
    </row>
    <row r="32" spans="1:72" outlineLevel="1" x14ac:dyDescent="0.25">
      <c r="A32" s="24"/>
      <c r="B32" s="24" t="s">
        <v>75</v>
      </c>
      <c r="C32" s="25" t="s">
        <v>232</v>
      </c>
      <c r="D32" s="24">
        <v>375422539</v>
      </c>
      <c r="E32" s="25">
        <v>11</v>
      </c>
      <c r="F32" s="25">
        <v>32</v>
      </c>
      <c r="G32" s="25">
        <v>30</v>
      </c>
      <c r="I32" s="26">
        <f t="shared" si="0"/>
        <v>6.2291699999999999</v>
      </c>
      <c r="J32" s="27">
        <f t="shared" si="1"/>
        <v>1.7698585752732338E-2</v>
      </c>
      <c r="K32" s="27">
        <f t="shared" si="2"/>
        <v>1.1834451953349557E-2</v>
      </c>
      <c r="L32" s="27">
        <f t="shared" si="3"/>
        <v>9.1147431081648519E-3</v>
      </c>
      <c r="M32" s="27">
        <f t="shared" si="4"/>
        <v>5.8641337993827801E-3</v>
      </c>
      <c r="N32" s="24">
        <f t="shared" si="5"/>
        <v>4442920</v>
      </c>
      <c r="O32" s="27">
        <v>32</v>
      </c>
      <c r="P32" s="28">
        <v>94618551</v>
      </c>
      <c r="Q32" s="28">
        <v>2956829.71875</v>
      </c>
      <c r="R32" s="28">
        <v>95838.59375</v>
      </c>
      <c r="S32" s="29">
        <v>6644448</v>
      </c>
      <c r="T32" s="29">
        <v>3421880</v>
      </c>
      <c r="U32" s="29">
        <v>1021040</v>
      </c>
      <c r="V32" s="29">
        <v>2201528</v>
      </c>
      <c r="W32" s="30">
        <v>77.010927803125</v>
      </c>
      <c r="X32" s="30">
        <v>79.681624893749998</v>
      </c>
      <c r="Y32" s="30">
        <v>37.331306300000001</v>
      </c>
      <c r="Z32" s="30">
        <v>43.290700931250001</v>
      </c>
      <c r="AA32" s="30">
        <v>46.2267387375</v>
      </c>
      <c r="AB32" s="31">
        <v>45959.286</v>
      </c>
      <c r="AC32" s="31">
        <v>0</v>
      </c>
      <c r="AD32" s="31">
        <v>187.77699999999999</v>
      </c>
      <c r="AE32" s="31">
        <v>0</v>
      </c>
      <c r="AG32" s="26" t="str">
        <f t="shared" si="6"/>
        <v>·</v>
      </c>
      <c r="AH32" s="27" t="str">
        <f t="shared" si="7"/>
        <v>·</v>
      </c>
      <c r="AI32" s="27" t="str">
        <f t="shared" si="8"/>
        <v>·</v>
      </c>
      <c r="AJ32" s="27" t="str">
        <f t="shared" si="9"/>
        <v>·</v>
      </c>
      <c r="AK32" s="27" t="str">
        <f t="shared" si="10"/>
        <v>·</v>
      </c>
      <c r="AL32" s="24" t="str">
        <f t="shared" si="11"/>
        <v/>
      </c>
      <c r="AM32" s="27">
        <v>32</v>
      </c>
      <c r="AN32" s="28"/>
      <c r="AO32" s="28"/>
      <c r="AP32" s="28"/>
      <c r="AQ32" s="29"/>
      <c r="AR32" s="29"/>
      <c r="AS32" s="29"/>
      <c r="AT32" s="29"/>
      <c r="AU32" s="30"/>
      <c r="AV32" s="30"/>
      <c r="AW32" s="30"/>
      <c r="AX32" s="30"/>
      <c r="AY32" s="30"/>
      <c r="AZ32" s="31"/>
      <c r="BA32" s="31"/>
      <c r="BB32" s="31"/>
      <c r="BC32" s="31"/>
      <c r="BE32" s="32" t="e">
        <f t="shared" si="12"/>
        <v>#VALUE!</v>
      </c>
      <c r="BF32" s="33" t="e">
        <f t="shared" si="13"/>
        <v>#DIV/0!</v>
      </c>
      <c r="BG32" s="33" t="e">
        <f t="shared" si="14"/>
        <v>#VALUE!</v>
      </c>
      <c r="BH32" s="33"/>
      <c r="BJ32" s="32"/>
      <c r="BK32" s="32"/>
      <c r="BL32" s="32"/>
      <c r="BM32" s="32"/>
      <c r="BN32" s="32"/>
      <c r="BP32" s="32"/>
      <c r="BQ32" s="32"/>
      <c r="BR32" s="32"/>
      <c r="BS32" s="32"/>
      <c r="BT32" s="32"/>
    </row>
    <row r="33" spans="1:72" outlineLevel="1" x14ac:dyDescent="0.25">
      <c r="A33" s="14"/>
      <c r="B33" s="14" t="s">
        <v>75</v>
      </c>
      <c r="C33" s="15" t="s">
        <v>233</v>
      </c>
      <c r="D33" s="14">
        <v>375422539</v>
      </c>
      <c r="E33" s="15">
        <v>11</v>
      </c>
      <c r="F33" s="15">
        <v>32</v>
      </c>
      <c r="G33" s="15">
        <v>30</v>
      </c>
      <c r="I33" s="16">
        <f t="shared" si="0"/>
        <v>10.475415</v>
      </c>
      <c r="J33" s="17">
        <f t="shared" si="1"/>
        <v>2.9763199699632311E-2</v>
      </c>
      <c r="K33" s="17">
        <f t="shared" si="2"/>
        <v>1.6637360177248175E-2</v>
      </c>
      <c r="L33" s="17">
        <f t="shared" si="3"/>
        <v>1.391765133206347E-2</v>
      </c>
      <c r="M33" s="17">
        <f t="shared" si="4"/>
        <v>1.3125839522384136E-2</v>
      </c>
      <c r="N33" s="14">
        <f t="shared" si="5"/>
        <v>6246040</v>
      </c>
      <c r="O33" s="17">
        <v>32</v>
      </c>
      <c r="P33" s="18">
        <v>95649578</v>
      </c>
      <c r="Q33" s="18">
        <v>2989049.3125</v>
      </c>
      <c r="R33" s="18">
        <v>102373.09375</v>
      </c>
      <c r="S33" s="19">
        <v>11173776</v>
      </c>
      <c r="T33" s="19">
        <v>5225000</v>
      </c>
      <c r="U33" s="19">
        <v>1021040</v>
      </c>
      <c r="V33" s="19">
        <v>4927736</v>
      </c>
      <c r="W33" s="20">
        <v>78.0273296875</v>
      </c>
      <c r="X33" s="20">
        <v>80.889220578125006</v>
      </c>
      <c r="Y33" s="20">
        <v>39.015224415624999</v>
      </c>
      <c r="Z33" s="20">
        <v>43.861242462500002</v>
      </c>
      <c r="AA33" s="20">
        <v>47.568994099999998</v>
      </c>
      <c r="AB33" s="21">
        <v>67955.952999999994</v>
      </c>
      <c r="AC33" s="21">
        <v>0</v>
      </c>
      <c r="AD33" s="21">
        <v>198.34200000000001</v>
      </c>
      <c r="AE33" s="21">
        <v>0</v>
      </c>
      <c r="AG33" s="16" t="str">
        <f t="shared" si="6"/>
        <v>·</v>
      </c>
      <c r="AH33" s="17" t="str">
        <f t="shared" si="7"/>
        <v>·</v>
      </c>
      <c r="AI33" s="17" t="str">
        <f t="shared" si="8"/>
        <v>·</v>
      </c>
      <c r="AJ33" s="17" t="str">
        <f t="shared" si="9"/>
        <v>·</v>
      </c>
      <c r="AK33" s="17" t="str">
        <f t="shared" si="10"/>
        <v>·</v>
      </c>
      <c r="AL33" s="14" t="str">
        <f t="shared" si="11"/>
        <v/>
      </c>
      <c r="AM33" s="17">
        <v>32</v>
      </c>
      <c r="AN33" s="18"/>
      <c r="AO33" s="18"/>
      <c r="AP33" s="18"/>
      <c r="AQ33" s="19"/>
      <c r="AR33" s="19"/>
      <c r="AS33" s="19"/>
      <c r="AT33" s="19"/>
      <c r="AU33" s="20"/>
      <c r="AV33" s="20"/>
      <c r="AW33" s="20"/>
      <c r="AX33" s="20"/>
      <c r="AY33" s="20"/>
      <c r="AZ33" s="21"/>
      <c r="BA33" s="21"/>
      <c r="BB33" s="21"/>
      <c r="BC33" s="21"/>
      <c r="BE33" s="22" t="e">
        <f t="shared" si="12"/>
        <v>#VALUE!</v>
      </c>
      <c r="BF33" s="23" t="e">
        <f t="shared" si="13"/>
        <v>#DIV/0!</v>
      </c>
      <c r="BG33" s="23" t="e">
        <f t="shared" si="14"/>
        <v>#VALUE!</v>
      </c>
      <c r="BH33" s="23"/>
      <c r="BJ33" s="22"/>
      <c r="BK33" s="22"/>
      <c r="BL33" s="22"/>
      <c r="BM33" s="22"/>
      <c r="BN33" s="22"/>
      <c r="BP33" s="22"/>
      <c r="BQ33" s="22"/>
      <c r="BR33" s="22"/>
      <c r="BS33" s="22"/>
      <c r="BT33" s="22"/>
    </row>
    <row r="34" spans="1:72" outlineLevel="1" x14ac:dyDescent="0.25">
      <c r="A34" s="24"/>
      <c r="B34" s="44" t="s">
        <v>75</v>
      </c>
      <c r="C34" s="45" t="s">
        <v>234</v>
      </c>
      <c r="D34" s="44">
        <v>375422539</v>
      </c>
      <c r="E34" s="45">
        <v>11</v>
      </c>
      <c r="F34" s="45">
        <v>32</v>
      </c>
      <c r="G34" s="45">
        <v>30</v>
      </c>
      <c r="I34" s="46">
        <f t="shared" si="0"/>
        <v>21.411825</v>
      </c>
      <c r="J34" s="47">
        <f t="shared" si="1"/>
        <v>6.083619822303743E-2</v>
      </c>
      <c r="K34" s="47">
        <f t="shared" si="2"/>
        <v>2.6475554788147657E-2</v>
      </c>
      <c r="L34" s="47">
        <f t="shared" si="3"/>
        <v>2.0988915638866318E-2</v>
      </c>
      <c r="M34" s="47">
        <f t="shared" si="4"/>
        <v>3.4360643434889773E-2</v>
      </c>
      <c r="N34" s="44">
        <f t="shared" si="5"/>
        <v>9939520</v>
      </c>
      <c r="O34" s="47">
        <v>32</v>
      </c>
      <c r="P34" s="48">
        <v>95026673</v>
      </c>
      <c r="Q34" s="48">
        <v>2969583.53125</v>
      </c>
      <c r="R34" s="48">
        <v>98927.84375</v>
      </c>
      <c r="S34" s="49">
        <v>22839280</v>
      </c>
      <c r="T34" s="49">
        <v>7879712</v>
      </c>
      <c r="U34" s="49">
        <v>2059808</v>
      </c>
      <c r="V34" s="49">
        <v>12899760</v>
      </c>
      <c r="W34" s="50">
        <v>78.894427818750003</v>
      </c>
      <c r="X34" s="50">
        <v>82.367064424999995</v>
      </c>
      <c r="Y34" s="50">
        <v>40.75762379375</v>
      </c>
      <c r="Z34" s="50">
        <v>44.454719353125</v>
      </c>
      <c r="AA34" s="50">
        <v>48.931281553124997</v>
      </c>
      <c r="AB34" s="51">
        <v>100531.43700000001</v>
      </c>
      <c r="AC34" s="51">
        <v>0</v>
      </c>
      <c r="AD34" s="51">
        <v>197.85900000000001</v>
      </c>
      <c r="AE34" s="51">
        <v>0</v>
      </c>
      <c r="AG34" s="46" t="str">
        <f t="shared" si="6"/>
        <v>·</v>
      </c>
      <c r="AH34" s="47" t="str">
        <f t="shared" si="7"/>
        <v>·</v>
      </c>
      <c r="AI34" s="47" t="str">
        <f t="shared" si="8"/>
        <v>·</v>
      </c>
      <c r="AJ34" s="47" t="str">
        <f t="shared" si="9"/>
        <v>·</v>
      </c>
      <c r="AK34" s="47" t="str">
        <f t="shared" si="10"/>
        <v>·</v>
      </c>
      <c r="AL34" s="44" t="str">
        <f t="shared" si="11"/>
        <v/>
      </c>
      <c r="AM34" s="47">
        <v>32</v>
      </c>
      <c r="AN34" s="48"/>
      <c r="AO34" s="48"/>
      <c r="AP34" s="48"/>
      <c r="AQ34" s="49"/>
      <c r="AR34" s="49"/>
      <c r="AS34" s="49"/>
      <c r="AT34" s="49"/>
      <c r="AU34" s="50"/>
      <c r="AV34" s="50"/>
      <c r="AW34" s="50"/>
      <c r="AX34" s="50"/>
      <c r="AY34" s="50"/>
      <c r="AZ34" s="51"/>
      <c r="BA34" s="51"/>
      <c r="BB34" s="51"/>
      <c r="BC34" s="51"/>
      <c r="BE34" s="52" t="e">
        <f t="shared" si="12"/>
        <v>#VALUE!</v>
      </c>
      <c r="BF34" s="53" t="e">
        <f t="shared" si="13"/>
        <v>#DIV/0!</v>
      </c>
      <c r="BG34" s="53" t="e">
        <f t="shared" si="14"/>
        <v>#VALUE!</v>
      </c>
      <c r="BH34" s="53"/>
      <c r="BJ34" s="52"/>
      <c r="BK34" s="52"/>
      <c r="BL34" s="52"/>
      <c r="BM34" s="52"/>
      <c r="BN34" s="52"/>
      <c r="BP34" s="52"/>
      <c r="BQ34" s="52"/>
      <c r="BR34" s="52"/>
      <c r="BS34" s="52"/>
      <c r="BT34" s="52"/>
    </row>
    <row r="35" spans="1:72" x14ac:dyDescent="0.25">
      <c r="A35" s="14"/>
      <c r="B35" s="14" t="s">
        <v>80</v>
      </c>
      <c r="C35" s="15" t="s">
        <v>230</v>
      </c>
      <c r="D35" s="14">
        <v>333190689</v>
      </c>
      <c r="E35" s="15">
        <v>11</v>
      </c>
      <c r="F35" s="15">
        <v>32</v>
      </c>
      <c r="G35" s="15">
        <v>30</v>
      </c>
      <c r="I35" s="16">
        <f t="shared" si="0"/>
        <v>3.6540900000000001</v>
      </c>
      <c r="J35" s="17">
        <f t="shared" si="1"/>
        <v>1.1698094000459899E-2</v>
      </c>
      <c r="K35" s="17">
        <f t="shared" si="2"/>
        <v>9.1831377676943431E-3</v>
      </c>
      <c r="L35" s="17">
        <f t="shared" si="3"/>
        <v>5.8765147545884753E-3</v>
      </c>
      <c r="M35" s="17">
        <f t="shared" si="4"/>
        <v>2.514956232765556E-3</v>
      </c>
      <c r="N35" s="14">
        <f t="shared" si="5"/>
        <v>3059736</v>
      </c>
      <c r="O35" s="17">
        <v>32</v>
      </c>
      <c r="P35" s="18">
        <v>81590597</v>
      </c>
      <c r="Q35" s="18">
        <v>2549706.15625</v>
      </c>
      <c r="R35" s="18">
        <v>77496.28125</v>
      </c>
      <c r="S35" s="19">
        <v>3897696</v>
      </c>
      <c r="T35" s="19">
        <v>1958000</v>
      </c>
      <c r="U35" s="19">
        <v>1101736</v>
      </c>
      <c r="V35" s="19">
        <v>837960</v>
      </c>
      <c r="W35" s="20">
        <v>74.014471106249999</v>
      </c>
      <c r="X35" s="20">
        <v>76.184472118749994</v>
      </c>
      <c r="Y35" s="20">
        <v>32.541859371874999</v>
      </c>
      <c r="Z35" s="20">
        <v>42.135986284375001</v>
      </c>
      <c r="AA35" s="20">
        <v>42.92955491875</v>
      </c>
      <c r="AB35" s="21">
        <v>28915.1</v>
      </c>
      <c r="AC35" s="21">
        <v>0</v>
      </c>
      <c r="AD35" s="21">
        <v>162.09100000000001</v>
      </c>
      <c r="AE35" s="21">
        <v>0</v>
      </c>
      <c r="AG35" s="16" t="str">
        <f t="shared" si="6"/>
        <v>·</v>
      </c>
      <c r="AH35" s="17" t="str">
        <f t="shared" si="7"/>
        <v>·</v>
      </c>
      <c r="AI35" s="17" t="str">
        <f t="shared" si="8"/>
        <v>·</v>
      </c>
      <c r="AJ35" s="17" t="str">
        <f t="shared" si="9"/>
        <v>·</v>
      </c>
      <c r="AK35" s="17" t="str">
        <f t="shared" si="10"/>
        <v>·</v>
      </c>
      <c r="AL35" s="14" t="str">
        <f t="shared" si="11"/>
        <v/>
      </c>
      <c r="AM35" s="17">
        <v>32</v>
      </c>
      <c r="AN35" s="18"/>
      <c r="AO35" s="18"/>
      <c r="AP35" s="18"/>
      <c r="AQ35" s="19"/>
      <c r="AR35" s="19"/>
      <c r="AS35" s="19"/>
      <c r="AT35" s="19"/>
      <c r="AU35" s="20"/>
      <c r="AV35" s="20"/>
      <c r="AW35" s="20"/>
      <c r="AX35" s="20"/>
      <c r="AY35" s="20"/>
      <c r="AZ35" s="21"/>
      <c r="BA35" s="21"/>
      <c r="BB35" s="21"/>
      <c r="BC35" s="21"/>
      <c r="BE35" s="22" t="e">
        <f t="shared" si="12"/>
        <v>#VALUE!</v>
      </c>
      <c r="BF35" s="23" t="e">
        <f t="shared" si="13"/>
        <v>#DIV/0!</v>
      </c>
      <c r="BG35" s="23" t="e">
        <f t="shared" si="14"/>
        <v>#VALUE!</v>
      </c>
      <c r="BH35" s="23" t="e">
        <f t="array" ref="BH35">AVERAGE(AL35:AL39/AQ35:AQ39) - AVERAGE(N35:N39/S35:S39)</f>
        <v>#VALUE!</v>
      </c>
      <c r="BJ35" s="22" t="str">
        <f>IF( OR(ISBLANK(N35:N39),ISBLANK(AL35:AL39), ISBLANK(W35:W39),ISBLANK(AU35:AU39)), "·", bdRateExtend( N35:N39,W35:W39, AL35:AL39,AU35:AU39))</f>
        <v>·</v>
      </c>
      <c r="BK35" s="22" t="str">
        <f>IF( OR(ISBLANK(N35:N39),ISBLANK(AL35:AL39), ISBLANK(X35:X39),ISBLANK(AV35:AV39)), "·", bdRateExtend( N35:N39,X35:X39, AL35:AL39,AV35:AV39))</f>
        <v>·</v>
      </c>
      <c r="BL35" s="22" t="str">
        <f>IF( OR(ISBLANK(V35:V39),ISBLANK(AT35:AT39), ISBLANK(Y35:Y39),ISBLANK(AW35:AW39)), "·", bdRateExtend( V35:V39,Y35:Y39, AT35:AT39,AW35:AW39))</f>
        <v>·</v>
      </c>
      <c r="BM35" s="22" t="str">
        <f>IF( OR(ISBLANK(V35:V39),ISBLANK(AT35:AT39), ISBLANK(Z35:Z39),ISBLANK(AX35:AX39)), "·", bdRateExtend( V35:V39,Z35:Z39, AT35:AT39,AX35:AX39))</f>
        <v>·</v>
      </c>
      <c r="BN35" s="22" t="str">
        <f>IF( OR(ISBLANK(V35:V39),ISBLANK(AT35:AT39), ISBLANK(AA35:AA39),ISBLANK(AY35:AY39)), "·", bdRateExtend( V35:V39,AA35:AA39, AT35:AT39,AY35:AY39))</f>
        <v>·</v>
      </c>
      <c r="BP35" s="22" t="str">
        <f>IF( OR(ISBLANK(S35:S39),ISBLANK(AQ35:AQ39), ISBLANK(W35:W39),ISBLANK(AU35:AU39)), "·", bdRateExtend( S35:S39,W35:W39, AQ35:AQ39,AU35:AU39))</f>
        <v>·</v>
      </c>
      <c r="BQ35" s="22" t="str">
        <f>IF( OR(ISBLANK(S35:S39),ISBLANK(AQ35:AQ39), ISBLANK(X35:X39),ISBLANK(AV35:AV39)), "·", bdRateExtend( S35:S39,X35:X39, AQ35:AQ39,AV35:AV39))</f>
        <v>·</v>
      </c>
      <c r="BR35" s="22" t="str">
        <f>IF( OR(ISBLANK(S35:S39),ISBLANK(AQ35:AQ39), ISBLANK(Y35:Y39),ISBLANK(AW35:AW39)), "·", bdRateExtend( S35:S39,Y35:Y39, AQ35:AQ39,AW35:AW39))</f>
        <v>·</v>
      </c>
      <c r="BS35" s="22" t="str">
        <f>IF( OR(ISBLANK(S35:S39),ISBLANK(AQ35:AQ39), ISBLANK(Z35:Z39),ISBLANK(AX35:AX39)), "·", bdRateExtend( S35:S39,Z35:Z39, AQ35:AQ39,AX35:AX39))</f>
        <v>·</v>
      </c>
      <c r="BT35" s="22" t="str">
        <f>IF( OR(ISBLANK(S35:S39),ISBLANK(AQ35:AQ39), ISBLANK(AA35:AA39),ISBLANK(AY35:AY39)), "·", bdRateExtend( S35:S39,AA35:AA39, AQ35:AQ39,AY35:AY39))</f>
        <v>·</v>
      </c>
    </row>
    <row r="36" spans="1:72" outlineLevel="1" x14ac:dyDescent="0.25">
      <c r="A36" s="24"/>
      <c r="B36" s="24" t="s">
        <v>80</v>
      </c>
      <c r="C36" s="25" t="s">
        <v>231</v>
      </c>
      <c r="D36" s="24">
        <v>333190689</v>
      </c>
      <c r="E36" s="25">
        <v>11</v>
      </c>
      <c r="F36" s="25">
        <v>32</v>
      </c>
      <c r="G36" s="25">
        <v>30</v>
      </c>
      <c r="I36" s="26">
        <f t="shared" si="0"/>
        <v>4.9667025000000002</v>
      </c>
      <c r="J36" s="27">
        <f t="shared" si="1"/>
        <v>1.5900252242642951E-2</v>
      </c>
      <c r="K36" s="27">
        <f t="shared" si="2"/>
        <v>1.1579051058056428E-2</v>
      </c>
      <c r="L36" s="27">
        <f t="shared" si="3"/>
        <v>8.272428044950559E-3</v>
      </c>
      <c r="M36" s="27">
        <f t="shared" si="4"/>
        <v>4.3212011845865234E-3</v>
      </c>
      <c r="N36" s="24">
        <f t="shared" si="5"/>
        <v>3858032</v>
      </c>
      <c r="O36" s="27">
        <v>32</v>
      </c>
      <c r="P36" s="28">
        <v>82738177</v>
      </c>
      <c r="Q36" s="28">
        <v>2585568.03125</v>
      </c>
      <c r="R36" s="28">
        <v>88198.8125</v>
      </c>
      <c r="S36" s="29">
        <v>5297816</v>
      </c>
      <c r="T36" s="29">
        <v>2756296</v>
      </c>
      <c r="U36" s="29">
        <v>1101736</v>
      </c>
      <c r="V36" s="29">
        <v>1439784</v>
      </c>
      <c r="W36" s="30">
        <v>75.480801778124999</v>
      </c>
      <c r="X36" s="30">
        <v>78.063777915624996</v>
      </c>
      <c r="Y36" s="30">
        <v>34.681340062499999</v>
      </c>
      <c r="Z36" s="30">
        <v>42.937591353125001</v>
      </c>
      <c r="AA36" s="30">
        <v>44.642697403124998</v>
      </c>
      <c r="AB36" s="31">
        <v>36677.71</v>
      </c>
      <c r="AC36" s="31">
        <v>0</v>
      </c>
      <c r="AD36" s="31">
        <v>163.48599999999999</v>
      </c>
      <c r="AE36" s="31">
        <v>0</v>
      </c>
      <c r="AG36" s="26" t="str">
        <f t="shared" si="6"/>
        <v>·</v>
      </c>
      <c r="AH36" s="27" t="str">
        <f t="shared" si="7"/>
        <v>·</v>
      </c>
      <c r="AI36" s="27" t="str">
        <f t="shared" si="8"/>
        <v>·</v>
      </c>
      <c r="AJ36" s="27" t="str">
        <f t="shared" si="9"/>
        <v>·</v>
      </c>
      <c r="AK36" s="27" t="str">
        <f t="shared" si="10"/>
        <v>·</v>
      </c>
      <c r="AL36" s="24" t="str">
        <f t="shared" si="11"/>
        <v/>
      </c>
      <c r="AM36" s="27">
        <v>32</v>
      </c>
      <c r="AN36" s="28"/>
      <c r="AO36" s="28"/>
      <c r="AP36" s="28"/>
      <c r="AQ36" s="29"/>
      <c r="AR36" s="29"/>
      <c r="AS36" s="29"/>
      <c r="AT36" s="29"/>
      <c r="AU36" s="30"/>
      <c r="AV36" s="30"/>
      <c r="AW36" s="30"/>
      <c r="AX36" s="30"/>
      <c r="AY36" s="30"/>
      <c r="AZ36" s="31"/>
      <c r="BA36" s="31"/>
      <c r="BB36" s="31"/>
      <c r="BC36" s="31"/>
      <c r="BE36" s="32" t="e">
        <f t="shared" si="12"/>
        <v>#VALUE!</v>
      </c>
      <c r="BF36" s="33" t="e">
        <f t="shared" si="13"/>
        <v>#DIV/0!</v>
      </c>
      <c r="BG36" s="33" t="e">
        <f t="shared" si="14"/>
        <v>#VALUE!</v>
      </c>
      <c r="BH36" s="33"/>
      <c r="BJ36" s="32"/>
      <c r="BK36" s="32"/>
      <c r="BL36" s="32"/>
      <c r="BM36" s="32"/>
      <c r="BN36" s="32"/>
      <c r="BP36" s="32"/>
      <c r="BQ36" s="32"/>
      <c r="BR36" s="32"/>
      <c r="BS36" s="32"/>
      <c r="BT36" s="32"/>
    </row>
    <row r="37" spans="1:72" outlineLevel="1" x14ac:dyDescent="0.25">
      <c r="A37" s="14"/>
      <c r="B37" s="14" t="s">
        <v>80</v>
      </c>
      <c r="C37" s="15" t="s">
        <v>232</v>
      </c>
      <c r="D37" s="14">
        <v>333190689</v>
      </c>
      <c r="E37" s="15">
        <v>11</v>
      </c>
      <c r="F37" s="15">
        <v>32</v>
      </c>
      <c r="G37" s="15">
        <v>30</v>
      </c>
      <c r="I37" s="16">
        <f t="shared" si="0"/>
        <v>7.2654975000000004</v>
      </c>
      <c r="J37" s="17">
        <f t="shared" si="1"/>
        <v>2.3259545527096047E-2</v>
      </c>
      <c r="K37" s="17">
        <f t="shared" si="2"/>
        <v>1.5164889556682659E-2</v>
      </c>
      <c r="L37" s="17">
        <f t="shared" si="3"/>
        <v>1.1858266543576792E-2</v>
      </c>
      <c r="M37" s="17">
        <f t="shared" si="4"/>
        <v>8.0946559704133877E-3</v>
      </c>
      <c r="N37" s="14">
        <f t="shared" si="5"/>
        <v>5052800</v>
      </c>
      <c r="O37" s="17">
        <v>32</v>
      </c>
      <c r="P37" s="18">
        <v>84636550</v>
      </c>
      <c r="Q37" s="18">
        <v>2644892.1875</v>
      </c>
      <c r="R37" s="18">
        <v>96454.125</v>
      </c>
      <c r="S37" s="19">
        <v>7749864</v>
      </c>
      <c r="T37" s="19">
        <v>3951064</v>
      </c>
      <c r="U37" s="19">
        <v>1101736</v>
      </c>
      <c r="V37" s="19">
        <v>2697064</v>
      </c>
      <c r="W37" s="20">
        <v>76.779211671875004</v>
      </c>
      <c r="X37" s="20">
        <v>79.5366797625</v>
      </c>
      <c r="Y37" s="20">
        <v>36.626051434375</v>
      </c>
      <c r="Z37" s="20">
        <v>43.884250428125</v>
      </c>
      <c r="AA37" s="20">
        <v>46.067561790625</v>
      </c>
      <c r="AB37" s="21">
        <v>51612.809000000001</v>
      </c>
      <c r="AC37" s="21">
        <v>0</v>
      </c>
      <c r="AD37" s="21">
        <v>167.71700000000001</v>
      </c>
      <c r="AE37" s="21">
        <v>0</v>
      </c>
      <c r="AG37" s="16" t="str">
        <f t="shared" si="6"/>
        <v>·</v>
      </c>
      <c r="AH37" s="17" t="str">
        <f t="shared" si="7"/>
        <v>·</v>
      </c>
      <c r="AI37" s="17" t="str">
        <f t="shared" si="8"/>
        <v>·</v>
      </c>
      <c r="AJ37" s="17" t="str">
        <f t="shared" si="9"/>
        <v>·</v>
      </c>
      <c r="AK37" s="17" t="str">
        <f t="shared" si="10"/>
        <v>·</v>
      </c>
      <c r="AL37" s="14" t="str">
        <f t="shared" si="11"/>
        <v/>
      </c>
      <c r="AM37" s="17">
        <v>32</v>
      </c>
      <c r="AN37" s="18"/>
      <c r="AO37" s="18"/>
      <c r="AP37" s="18"/>
      <c r="AQ37" s="19"/>
      <c r="AR37" s="19"/>
      <c r="AS37" s="19"/>
      <c r="AT37" s="19"/>
      <c r="AU37" s="20"/>
      <c r="AV37" s="20"/>
      <c r="AW37" s="20"/>
      <c r="AX37" s="20"/>
      <c r="AY37" s="20"/>
      <c r="AZ37" s="21"/>
      <c r="BA37" s="21"/>
      <c r="BB37" s="21"/>
      <c r="BC37" s="21"/>
      <c r="BE37" s="22" t="e">
        <f t="shared" si="12"/>
        <v>#VALUE!</v>
      </c>
      <c r="BF37" s="23" t="e">
        <f t="shared" si="13"/>
        <v>#DIV/0!</v>
      </c>
      <c r="BG37" s="23" t="e">
        <f t="shared" si="14"/>
        <v>#VALUE!</v>
      </c>
      <c r="BH37" s="23"/>
      <c r="BJ37" s="22"/>
      <c r="BK37" s="22"/>
      <c r="BL37" s="22"/>
      <c r="BM37" s="22"/>
      <c r="BN37" s="22"/>
      <c r="BP37" s="22"/>
      <c r="BQ37" s="22"/>
      <c r="BR37" s="22"/>
      <c r="BS37" s="22"/>
      <c r="BT37" s="22"/>
    </row>
    <row r="38" spans="1:72" outlineLevel="1" x14ac:dyDescent="0.25">
      <c r="A38" s="24"/>
      <c r="B38" s="24" t="s">
        <v>80</v>
      </c>
      <c r="C38" s="25" t="s">
        <v>233</v>
      </c>
      <c r="D38" s="24">
        <v>333190689</v>
      </c>
      <c r="E38" s="25">
        <v>11</v>
      </c>
      <c r="F38" s="25">
        <v>32</v>
      </c>
      <c r="G38" s="25">
        <v>30</v>
      </c>
      <c r="I38" s="26">
        <f t="shared" si="0"/>
        <v>11.950927500000001</v>
      </c>
      <c r="J38" s="27">
        <f t="shared" si="1"/>
        <v>3.8259340434330082E-2</v>
      </c>
      <c r="K38" s="27">
        <f t="shared" si="2"/>
        <v>2.0758995459203844E-2</v>
      </c>
      <c r="L38" s="27">
        <f t="shared" si="3"/>
        <v>1.7452372446097975E-2</v>
      </c>
      <c r="M38" s="27">
        <f t="shared" si="4"/>
        <v>1.7500344975126241E-2</v>
      </c>
      <c r="N38" s="24">
        <f t="shared" si="5"/>
        <v>6916704</v>
      </c>
      <c r="O38" s="27">
        <v>32</v>
      </c>
      <c r="P38" s="28">
        <v>85529989</v>
      </c>
      <c r="Q38" s="28">
        <v>2672812.15625</v>
      </c>
      <c r="R38" s="28">
        <v>102871.0625</v>
      </c>
      <c r="S38" s="29">
        <v>12747656</v>
      </c>
      <c r="T38" s="29">
        <v>5814968</v>
      </c>
      <c r="U38" s="29">
        <v>1101736</v>
      </c>
      <c r="V38" s="29">
        <v>5830952</v>
      </c>
      <c r="W38" s="30">
        <v>77.821976456249999</v>
      </c>
      <c r="X38" s="30">
        <v>80.772206537499997</v>
      </c>
      <c r="Y38" s="30">
        <v>38.487659424999997</v>
      </c>
      <c r="Z38" s="30">
        <v>44.626330996874998</v>
      </c>
      <c r="AA38" s="30">
        <v>47.51162004375</v>
      </c>
      <c r="AB38" s="31">
        <v>74470.539999999994</v>
      </c>
      <c r="AC38" s="31">
        <v>0</v>
      </c>
      <c r="AD38" s="31">
        <v>170.756</v>
      </c>
      <c r="AE38" s="31">
        <v>0</v>
      </c>
      <c r="AG38" s="26" t="str">
        <f t="shared" si="6"/>
        <v>·</v>
      </c>
      <c r="AH38" s="27" t="str">
        <f t="shared" si="7"/>
        <v>·</v>
      </c>
      <c r="AI38" s="27" t="str">
        <f t="shared" si="8"/>
        <v>·</v>
      </c>
      <c r="AJ38" s="27" t="str">
        <f t="shared" si="9"/>
        <v>·</v>
      </c>
      <c r="AK38" s="27" t="str">
        <f t="shared" si="10"/>
        <v>·</v>
      </c>
      <c r="AL38" s="24" t="str">
        <f t="shared" si="11"/>
        <v/>
      </c>
      <c r="AM38" s="27">
        <v>32</v>
      </c>
      <c r="AN38" s="28"/>
      <c r="AO38" s="28"/>
      <c r="AP38" s="28"/>
      <c r="AQ38" s="29"/>
      <c r="AR38" s="29"/>
      <c r="AS38" s="29"/>
      <c r="AT38" s="29"/>
      <c r="AU38" s="30"/>
      <c r="AV38" s="30"/>
      <c r="AW38" s="30"/>
      <c r="AX38" s="30"/>
      <c r="AY38" s="30"/>
      <c r="AZ38" s="31"/>
      <c r="BA38" s="31"/>
      <c r="BB38" s="31"/>
      <c r="BC38" s="31"/>
      <c r="BE38" s="32" t="e">
        <f t="shared" si="12"/>
        <v>#VALUE!</v>
      </c>
      <c r="BF38" s="33" t="e">
        <f t="shared" si="13"/>
        <v>#DIV/0!</v>
      </c>
      <c r="BG38" s="33" t="e">
        <f t="shared" si="14"/>
        <v>#VALUE!</v>
      </c>
      <c r="BH38" s="33"/>
      <c r="BJ38" s="32"/>
      <c r="BK38" s="32"/>
      <c r="BL38" s="32"/>
      <c r="BM38" s="32"/>
      <c r="BN38" s="32"/>
      <c r="BP38" s="32"/>
      <c r="BQ38" s="32"/>
      <c r="BR38" s="32"/>
      <c r="BS38" s="32"/>
      <c r="BT38" s="32"/>
    </row>
    <row r="39" spans="1:72" outlineLevel="1" x14ac:dyDescent="0.25">
      <c r="A39" s="34"/>
      <c r="B39" s="34" t="s">
        <v>80</v>
      </c>
      <c r="C39" s="35" t="s">
        <v>234</v>
      </c>
      <c r="D39" s="34">
        <v>333190689</v>
      </c>
      <c r="E39" s="35">
        <v>11</v>
      </c>
      <c r="F39" s="35">
        <v>32</v>
      </c>
      <c r="G39" s="35">
        <v>30</v>
      </c>
      <c r="I39" s="36">
        <f t="shared" si="0"/>
        <v>23.90634</v>
      </c>
      <c r="J39" s="37">
        <f t="shared" si="1"/>
        <v>7.6533039012983944E-2</v>
      </c>
      <c r="K39" s="37">
        <f t="shared" si="2"/>
        <v>3.2121065663992789E-2</v>
      </c>
      <c r="L39" s="37">
        <f t="shared" si="3"/>
        <v>2.5536559936703392E-2</v>
      </c>
      <c r="M39" s="37">
        <f t="shared" si="4"/>
        <v>4.4411973348991156E-2</v>
      </c>
      <c r="N39" s="34">
        <f t="shared" si="5"/>
        <v>10702440</v>
      </c>
      <c r="O39" s="37">
        <v>32</v>
      </c>
      <c r="P39" s="38">
        <v>85138486</v>
      </c>
      <c r="Q39" s="38">
        <v>2660577.6875</v>
      </c>
      <c r="R39" s="38">
        <v>100166.1875</v>
      </c>
      <c r="S39" s="39">
        <v>25500096</v>
      </c>
      <c r="T39" s="39">
        <v>8508544</v>
      </c>
      <c r="U39" s="39">
        <v>2193896</v>
      </c>
      <c r="V39" s="39">
        <v>14797656</v>
      </c>
      <c r="W39" s="40">
        <v>78.680534546874995</v>
      </c>
      <c r="X39" s="40">
        <v>82.248715306250006</v>
      </c>
      <c r="Y39" s="40">
        <v>40.487009434374997</v>
      </c>
      <c r="Z39" s="40">
        <v>45.414954896875003</v>
      </c>
      <c r="AA39" s="40">
        <v>48.921556275</v>
      </c>
      <c r="AB39" s="41">
        <v>105585.308</v>
      </c>
      <c r="AC39" s="41">
        <v>0</v>
      </c>
      <c r="AD39" s="41">
        <v>181.84899999999999</v>
      </c>
      <c r="AE39" s="41">
        <v>0</v>
      </c>
      <c r="AG39" s="36" t="str">
        <f t="shared" si="6"/>
        <v>·</v>
      </c>
      <c r="AH39" s="37" t="str">
        <f t="shared" si="7"/>
        <v>·</v>
      </c>
      <c r="AI39" s="37" t="str">
        <f t="shared" si="8"/>
        <v>·</v>
      </c>
      <c r="AJ39" s="37" t="str">
        <f t="shared" si="9"/>
        <v>·</v>
      </c>
      <c r="AK39" s="37" t="str">
        <f t="shared" si="10"/>
        <v>·</v>
      </c>
      <c r="AL39" s="34" t="str">
        <f t="shared" si="11"/>
        <v/>
      </c>
      <c r="AM39" s="37">
        <v>32</v>
      </c>
      <c r="AN39" s="38"/>
      <c r="AO39" s="38"/>
      <c r="AP39" s="38"/>
      <c r="AQ39" s="39"/>
      <c r="AR39" s="39"/>
      <c r="AS39" s="39"/>
      <c r="AT39" s="39"/>
      <c r="AU39" s="40"/>
      <c r="AV39" s="40"/>
      <c r="AW39" s="40"/>
      <c r="AX39" s="40"/>
      <c r="AY39" s="40"/>
      <c r="AZ39" s="41"/>
      <c r="BA39" s="41"/>
      <c r="BB39" s="41"/>
      <c r="BC39" s="41"/>
      <c r="BE39" s="42" t="e">
        <f t="shared" si="12"/>
        <v>#VALUE!</v>
      </c>
      <c r="BF39" s="43" t="e">
        <f t="shared" si="13"/>
        <v>#DIV/0!</v>
      </c>
      <c r="BG39" s="43" t="e">
        <f t="shared" si="14"/>
        <v>#VALUE!</v>
      </c>
      <c r="BH39" s="43"/>
      <c r="BJ39" s="42"/>
      <c r="BK39" s="42"/>
      <c r="BL39" s="42"/>
      <c r="BM39" s="42"/>
      <c r="BN39" s="42"/>
      <c r="BP39" s="42"/>
      <c r="BQ39" s="42"/>
      <c r="BR39" s="42"/>
      <c r="BS39" s="42"/>
      <c r="BT39" s="42"/>
    </row>
    <row r="40" spans="1:72" x14ac:dyDescent="0.25">
      <c r="B40" s="54" t="s">
        <v>14</v>
      </c>
      <c r="J40" s="55">
        <f>AVERAGE(J5:J24)</f>
        <v>1.6370678431153911E-2</v>
      </c>
      <c r="K40" s="55">
        <f>AVERAGE(K5:K24)</f>
        <v>8.5993144063015534E-3</v>
      </c>
      <c r="L40" s="55">
        <f>AVERAGE(L5:L24)</f>
        <v>6.2813507263959536E-3</v>
      </c>
      <c r="M40" s="55">
        <f>AVERAGE(M5:M24)</f>
        <v>7.7713640248523591E-3</v>
      </c>
      <c r="AH40" s="55" t="e">
        <f>AVERAGE(AH5:AH24)</f>
        <v>#DIV/0!</v>
      </c>
      <c r="AI40" s="55" t="e">
        <f>AVERAGE(AI5:AI24)</f>
        <v>#DIV/0!</v>
      </c>
      <c r="AJ40" s="55" t="e">
        <f>AVERAGE(AJ5:AJ24)</f>
        <v>#DIV/0!</v>
      </c>
      <c r="AK40" s="55" t="e">
        <f>AVERAGE(AK5:AK24)</f>
        <v>#DIV/0!</v>
      </c>
      <c r="BE40" s="4" t="e">
        <f t="shared" si="12"/>
        <v>#DIV/0!</v>
      </c>
      <c r="BH40" s="7" t="e">
        <f>AVERAGE(BH5:BH24)</f>
        <v>#VALUE!</v>
      </c>
      <c r="BJ40" s="4" t="e">
        <f>AVERAGE(BJ5:BJ24)</f>
        <v>#DIV/0!</v>
      </c>
      <c r="BK40" s="4" t="e">
        <f>AVERAGE(BK5:BK24)</f>
        <v>#DIV/0!</v>
      </c>
      <c r="BL40" s="4" t="e">
        <f>AVERAGE(BL5:BL24)</f>
        <v>#DIV/0!</v>
      </c>
      <c r="BM40" s="4" t="e">
        <f>AVERAGE(BM5:BM24)</f>
        <v>#DIV/0!</v>
      </c>
      <c r="BN40" s="4" t="e">
        <f>AVERAGE(BN5:BN24)</f>
        <v>#DIV/0!</v>
      </c>
      <c r="BP40" s="4" t="e">
        <f>AVERAGE(BP5:BP24)</f>
        <v>#DIV/0!</v>
      </c>
      <c r="BQ40" s="4" t="e">
        <f>AVERAGE(BQ5:BQ24)</f>
        <v>#DIV/0!</v>
      </c>
      <c r="BR40" s="4" t="e">
        <f>AVERAGE(BR5:BR24)</f>
        <v>#DIV/0!</v>
      </c>
      <c r="BS40" s="4" t="e">
        <f>AVERAGE(BS5:BS24)</f>
        <v>#DIV/0!</v>
      </c>
      <c r="BT40" s="4" t="e">
        <f>AVERAGE(BT5:BT24)</f>
        <v>#DIV/0!</v>
      </c>
    </row>
    <row r="41" spans="1:72" x14ac:dyDescent="0.25">
      <c r="B41" s="54" t="s">
        <v>15</v>
      </c>
      <c r="J41" s="55">
        <f>AVERAGE(J25:J29)</f>
        <v>3.8147363493469463E-2</v>
      </c>
      <c r="K41" s="55">
        <f>AVERAGE(K25:K29)</f>
        <v>1.06772363134892E-2</v>
      </c>
      <c r="L41" s="55">
        <f>AVERAGE(L25:L29)</f>
        <v>8.2618871869947243E-3</v>
      </c>
      <c r="M41" s="55">
        <f>AVERAGE(M25:M29)</f>
        <v>2.7470127179980264E-2</v>
      </c>
      <c r="AH41" s="55" t="e">
        <f>AVERAGE(AH25:AH29)</f>
        <v>#DIV/0!</v>
      </c>
      <c r="AI41" s="55" t="e">
        <f>AVERAGE(AI25:AI29)</f>
        <v>#DIV/0!</v>
      </c>
      <c r="AJ41" s="55" t="e">
        <f>AVERAGE(AJ25:AJ29)</f>
        <v>#DIV/0!</v>
      </c>
      <c r="AK41" s="55" t="e">
        <f>AVERAGE(AK25:AK29)</f>
        <v>#DIV/0!</v>
      </c>
      <c r="BE41" s="4" t="e">
        <f t="shared" si="12"/>
        <v>#DIV/0!</v>
      </c>
      <c r="BH41" s="7" t="e">
        <f>AVERAGE(BH25:BH29)</f>
        <v>#VALUE!</v>
      </c>
      <c r="BJ41" s="4" t="e">
        <f>AVERAGE(BJ25:BJ29)</f>
        <v>#DIV/0!</v>
      </c>
      <c r="BK41" s="4" t="e">
        <f>AVERAGE(BK25:BK29)</f>
        <v>#DIV/0!</v>
      </c>
      <c r="BL41" s="4" t="e">
        <f>AVERAGE(BL25:BL29)</f>
        <v>#DIV/0!</v>
      </c>
      <c r="BM41" s="4" t="e">
        <f>AVERAGE(BM25:BM29)</f>
        <v>#DIV/0!</v>
      </c>
      <c r="BN41" s="4" t="e">
        <f>AVERAGE(BN25:BN29)</f>
        <v>#DIV/0!</v>
      </c>
      <c r="BP41" s="4" t="e">
        <f>AVERAGE(BP25:BP29)</f>
        <v>#DIV/0!</v>
      </c>
      <c r="BQ41" s="4" t="e">
        <f>AVERAGE(BQ25:BQ29)</f>
        <v>#DIV/0!</v>
      </c>
      <c r="BR41" s="4" t="e">
        <f>AVERAGE(BR25:BR29)</f>
        <v>#DIV/0!</v>
      </c>
      <c r="BS41" s="4" t="e">
        <f>AVERAGE(BS25:BS29)</f>
        <v>#DIV/0!</v>
      </c>
      <c r="BT41" s="4" t="e">
        <f>AVERAGE(BT25:BT29)</f>
        <v>#DIV/0!</v>
      </c>
    </row>
    <row r="42" spans="1:72" x14ac:dyDescent="0.25">
      <c r="B42" s="54" t="s">
        <v>16</v>
      </c>
      <c r="J42" s="55">
        <f>AVERAGE(J30:J39)</f>
        <v>2.9455087513144039E-2</v>
      </c>
      <c r="K42" s="55">
        <f>AVERAGE(K30:K39)</f>
        <v>1.5965752603503337E-2</v>
      </c>
      <c r="L42" s="55">
        <f>AVERAGE(L30:L39)</f>
        <v>1.2348105372530036E-2</v>
      </c>
      <c r="M42" s="55">
        <f>AVERAGE(M30:M39)</f>
        <v>1.3489334909640702E-2</v>
      </c>
      <c r="AH42" s="55" t="e">
        <f>AVERAGE(AH30:AH39)</f>
        <v>#DIV/0!</v>
      </c>
      <c r="AI42" s="55" t="e">
        <f>AVERAGE(AI30:AI39)</f>
        <v>#DIV/0!</v>
      </c>
      <c r="AJ42" s="55" t="e">
        <f>AVERAGE(AJ30:AJ39)</f>
        <v>#DIV/0!</v>
      </c>
      <c r="AK42" s="55" t="e">
        <f>AVERAGE(AK30:AK39)</f>
        <v>#DIV/0!</v>
      </c>
      <c r="BE42" s="4" t="e">
        <f t="shared" si="12"/>
        <v>#DIV/0!</v>
      </c>
      <c r="BH42" s="7" t="e">
        <f>AVERAGE(BH30:BH39)</f>
        <v>#VALUE!</v>
      </c>
      <c r="BJ42" s="4" t="e">
        <f>AVERAGE(BJ30:BJ39)</f>
        <v>#DIV/0!</v>
      </c>
      <c r="BK42" s="4" t="e">
        <f>AVERAGE(BK30:BK39)</f>
        <v>#DIV/0!</v>
      </c>
      <c r="BL42" s="4" t="e">
        <f>AVERAGE(BL30:BL39)</f>
        <v>#DIV/0!</v>
      </c>
      <c r="BM42" s="4" t="e">
        <f>AVERAGE(BM30:BM39)</f>
        <v>#DIV/0!</v>
      </c>
      <c r="BN42" s="4" t="e">
        <f>AVERAGE(BN30:BN39)</f>
        <v>#DIV/0!</v>
      </c>
      <c r="BP42" s="4" t="e">
        <f>AVERAGE(BP30:BP39)</f>
        <v>#DIV/0!</v>
      </c>
      <c r="BQ42" s="4" t="e">
        <f>AVERAGE(BQ30:BQ39)</f>
        <v>#DIV/0!</v>
      </c>
      <c r="BR42" s="4" t="e">
        <f>AVERAGE(BR30:BR39)</f>
        <v>#DIV/0!</v>
      </c>
      <c r="BS42" s="4" t="e">
        <f>AVERAGE(BS30:BS39)</f>
        <v>#DIV/0!</v>
      </c>
      <c r="BT42" s="4" t="e">
        <f>AVERAGE(BT30:BT39)</f>
        <v>#DIV/0!</v>
      </c>
    </row>
    <row r="43" spans="1:72" x14ac:dyDescent="0.25">
      <c r="B43" s="54" t="s">
        <v>17</v>
      </c>
      <c r="J43" s="55">
        <f>AVERAGE(J5:J39)</f>
        <v>2.3220036034910452E-2</v>
      </c>
      <c r="K43" s="55">
        <f>AVERAGE(K5:K39)</f>
        <v>1.1000857020814584E-2</v>
      </c>
      <c r="L43" s="55">
        <f>AVERAGE(L5:L39)</f>
        <v>8.2976429768055176E-3</v>
      </c>
      <c r="M43" s="55">
        <f>AVERAGE(M5:M39)</f>
        <v>1.2219179014095872E-2</v>
      </c>
      <c r="AH43" s="55" t="e">
        <f>AVERAGE(AH5:AH39)</f>
        <v>#DIV/0!</v>
      </c>
      <c r="AI43" s="55" t="e">
        <f>AVERAGE(AI5:AI39)</f>
        <v>#DIV/0!</v>
      </c>
      <c r="AJ43" s="55" t="e">
        <f>AVERAGE(AJ5:AJ39)</f>
        <v>#DIV/0!</v>
      </c>
      <c r="AK43" s="55" t="e">
        <f>AVERAGE(AK5:AK39)</f>
        <v>#DIV/0!</v>
      </c>
      <c r="BE43" s="4" t="e">
        <f t="shared" si="12"/>
        <v>#DIV/0!</v>
      </c>
      <c r="BH43" s="7" t="e">
        <f>AVERAGE(BH5:BH39)</f>
        <v>#VALUE!</v>
      </c>
      <c r="BJ43" s="4" t="e">
        <f>AVERAGE(BJ5:BJ39)</f>
        <v>#DIV/0!</v>
      </c>
      <c r="BK43" s="4" t="e">
        <f>AVERAGE(BK5:BK39)</f>
        <v>#DIV/0!</v>
      </c>
      <c r="BL43" s="4" t="e">
        <f>AVERAGE(BL5:BL39)</f>
        <v>#DIV/0!</v>
      </c>
      <c r="BM43" s="4" t="e">
        <f>AVERAGE(BM5:BM39)</f>
        <v>#DIV/0!</v>
      </c>
      <c r="BN43" s="4" t="e">
        <f>AVERAGE(BN5:BN39)</f>
        <v>#DIV/0!</v>
      </c>
      <c r="BP43" s="4" t="e">
        <f>AVERAGE(BP5:BP39)</f>
        <v>#DIV/0!</v>
      </c>
      <c r="BQ43" s="4" t="e">
        <f>AVERAGE(BQ5:BQ39)</f>
        <v>#DIV/0!</v>
      </c>
      <c r="BR43" s="4" t="e">
        <f>AVERAGE(BR5:BR39)</f>
        <v>#DIV/0!</v>
      </c>
      <c r="BS43" s="4" t="e">
        <f>AVERAGE(BS5:BS39)</f>
        <v>#DIV/0!</v>
      </c>
      <c r="BT43" s="4" t="e">
        <f>AVERAGE(BT5:BT39)</f>
        <v>#DIV/0!</v>
      </c>
    </row>
    <row r="44" spans="1:72" hidden="1" outlineLevel="2" x14ac:dyDescent="0.25">
      <c r="A44" s="54" t="s">
        <v>237</v>
      </c>
      <c r="B44" s="54" t="s">
        <v>238</v>
      </c>
      <c r="AB44" s="56">
        <f>SUM(AB5:AB24,AB25:AB29,AB30:AB39)</f>
        <v>1107293.362</v>
      </c>
      <c r="AC44" s="56">
        <f>SUM(AC5:AC24,AC25:AC29,AC30:AC39)</f>
        <v>0</v>
      </c>
      <c r="AD44" s="56">
        <f>SUM(AD5:AD24,AD25:AD29,AD30:AD39)</f>
        <v>3166.3789999999999</v>
      </c>
      <c r="AE44" s="56">
        <f>SUM(AE5:AE24,AE25:AE29,AE30:AE39)</f>
        <v>0</v>
      </c>
      <c r="AZ44" s="56">
        <f>SUM(AZ5:AZ24,AZ25:AZ29,AZ30:AZ39)</f>
        <v>0</v>
      </c>
      <c r="BA44" s="56">
        <f>SUM(BA5:BA24,BA25:BA29,BA30:BA39)</f>
        <v>0</v>
      </c>
      <c r="BB44" s="56">
        <f>SUM(BB5:BB24,BB25:BB29,BB30:BB39)</f>
        <v>0</v>
      </c>
      <c r="BC44" s="56">
        <f>SUM(BC5:BC24,BC25:BC29,BC30:BC39)</f>
        <v>0</v>
      </c>
    </row>
    <row r="45" spans="1:72" hidden="1" outlineLevel="2" x14ac:dyDescent="0.25">
      <c r="B45" s="54" t="s">
        <v>239</v>
      </c>
      <c r="AZ45" s="7">
        <f>AZ44/AB44</f>
        <v>0</v>
      </c>
      <c r="BA45" s="7" t="e">
        <f>BA44/AC44</f>
        <v>#DIV/0!</v>
      </c>
      <c r="BB45" s="7">
        <f>BB44/AD44</f>
        <v>0</v>
      </c>
      <c r="BC45" s="7" t="e">
        <f>BC44/AE44</f>
        <v>#DIV/0!</v>
      </c>
    </row>
    <row r="46" spans="1:72" hidden="1" outlineLevel="2" x14ac:dyDescent="0.25">
      <c r="B46" s="54" t="s">
        <v>240</v>
      </c>
      <c r="AB46" s="56">
        <f>GEOMEAN(AB5:AB24,AB25:AB29,AB30:AB39)</f>
        <v>25008.831822693468</v>
      </c>
      <c r="AC46" s="56" t="e">
        <f>GEOMEAN(AC5:AC24,AC25:AC29,AC30:AC39)</f>
        <v>#NUM!</v>
      </c>
      <c r="AD46" s="56">
        <f>GEOMEAN(AD5:AD24,AD25:AD29,AD30:AD39)</f>
        <v>76.522447585679373</v>
      </c>
      <c r="AE46" s="56" t="e">
        <f>GEOMEAN(AE5:AE24,AE25:AE29,AE30:AE39)</f>
        <v>#NUM!</v>
      </c>
      <c r="AZ46" s="56" t="e">
        <f>GEOMEAN(AZ5:AZ24,AZ25:AZ29,AZ30:AZ39)</f>
        <v>#NUM!</v>
      </c>
      <c r="BA46" s="56" t="e">
        <f>GEOMEAN(BA5:BA24,BA25:BA29,BA30:BA39)</f>
        <v>#NUM!</v>
      </c>
      <c r="BB46" s="56" t="e">
        <f>GEOMEAN(BB5:BB24,BB25:BB29,BB30:BB39)</f>
        <v>#NUM!</v>
      </c>
      <c r="BC46" s="56" t="e">
        <f>GEOMEAN(BC5:BC24,BC25:BC29,BC30:BC39)</f>
        <v>#NUM!</v>
      </c>
    </row>
    <row r="47" spans="1:72" outlineLevel="2" collapsed="1" x14ac:dyDescent="0.25">
      <c r="B47" s="54" t="s">
        <v>241</v>
      </c>
      <c r="AZ47" s="7" t="e">
        <f>AZ46/AB46</f>
        <v>#NUM!</v>
      </c>
      <c r="BA47" s="7" t="e">
        <f>BA46/AC46</f>
        <v>#NUM!</v>
      </c>
      <c r="BB47" s="7" t="e">
        <f>BB46/AD46</f>
        <v>#NUM!</v>
      </c>
      <c r="BC47" s="7"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2023-02-07T09:49:21Z</dcterms:modified>
</cp:coreProperties>
</file>