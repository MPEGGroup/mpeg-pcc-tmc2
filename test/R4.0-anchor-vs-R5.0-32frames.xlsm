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Z:\PCC\ricardj\gitclones_mpeg\tm2_r5.0\test\"/>
    </mc:Choice>
  </mc:AlternateContent>
  <xr:revisionPtr revIDLastSave="0" documentId="13_ncr:1_{3B16687F-3EEC-44D2-B7D2-AE1EC3BC3FBC}" xr6:coauthVersionLast="40" xr6:coauthVersionMax="40" xr10:uidLastSave="{00000000-0000-0000-0000-000000000000}"/>
  <bookViews>
    <workbookView xWindow="840" yWindow="2904" windowWidth="21960" windowHeight="9768" activeTab="2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5" l="1"/>
  <c r="I1" i="3"/>
  <c r="H1" i="6" l="1"/>
  <c r="I1" i="7"/>
  <c r="AG1" i="3"/>
  <c r="AE1" i="5"/>
  <c r="AE1" i="6"/>
  <c r="AG1" i="7"/>
  <c r="AK5" i="5" l="1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I29" i="7" s="1"/>
  <c r="AK29" i="7"/>
  <c r="AJ29" i="7"/>
  <c r="AH29" i="7"/>
  <c r="AG29" i="7"/>
  <c r="O29" i="7"/>
  <c r="N29" i="7"/>
  <c r="M29" i="7"/>
  <c r="L29" i="7"/>
  <c r="J29" i="7"/>
  <c r="I29" i="7"/>
  <c r="BE28" i="7"/>
  <c r="AM28" i="7"/>
  <c r="AL28" i="7"/>
  <c r="AI28" i="7" s="1"/>
  <c r="AK28" i="7"/>
  <c r="AJ28" i="7"/>
  <c r="AH28" i="7"/>
  <c r="AG28" i="7"/>
  <c r="O28" i="7"/>
  <c r="N28" i="7"/>
  <c r="M28" i="7"/>
  <c r="L28" i="7"/>
  <c r="J28" i="7"/>
  <c r="I28" i="7"/>
  <c r="BE27" i="7"/>
  <c r="AM27" i="7"/>
  <c r="AL27" i="7"/>
  <c r="AK27" i="7"/>
  <c r="AJ27" i="7"/>
  <c r="AI27" i="7"/>
  <c r="AH27" i="7"/>
  <c r="AG27" i="7"/>
  <c r="O27" i="7"/>
  <c r="N27" i="7"/>
  <c r="M27" i="7"/>
  <c r="L27" i="7"/>
  <c r="J27" i="7"/>
  <c r="I27" i="7"/>
  <c r="BE26" i="7"/>
  <c r="AM26" i="7"/>
  <c r="AL26" i="7"/>
  <c r="AI26" i="7" s="1"/>
  <c r="AK26" i="7"/>
  <c r="AJ26" i="7"/>
  <c r="AH26" i="7"/>
  <c r="AG26" i="7"/>
  <c r="O26" i="7"/>
  <c r="N26" i="7"/>
  <c r="M26" i="7"/>
  <c r="L26" i="7"/>
  <c r="J26" i="7"/>
  <c r="I26" i="7"/>
  <c r="BE25" i="7"/>
  <c r="AM25" i="7"/>
  <c r="AL25" i="7"/>
  <c r="AI25" i="7" s="1"/>
  <c r="AK25" i="7"/>
  <c r="AJ25" i="7"/>
  <c r="AH25" i="7"/>
  <c r="AH31" i="7" s="1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M23" i="7"/>
  <c r="L23" i="7"/>
  <c r="J23" i="7"/>
  <c r="I23" i="7"/>
  <c r="BE22" i="7"/>
  <c r="AM22" i="7"/>
  <c r="AL22" i="7"/>
  <c r="BF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BF21" i="7" s="1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BF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I17" i="7" s="1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K16" i="7"/>
  <c r="AJ16" i="7"/>
  <c r="AI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M14" i="7"/>
  <c r="L14" i="7"/>
  <c r="J14" i="7"/>
  <c r="I14" i="7"/>
  <c r="BE13" i="7"/>
  <c r="AM13" i="7"/>
  <c r="AL13" i="7"/>
  <c r="AI13" i="7" s="1"/>
  <c r="AK13" i="7"/>
  <c r="AJ13" i="7"/>
  <c r="AH13" i="7"/>
  <c r="AG13" i="7"/>
  <c r="O13" i="7"/>
  <c r="N13" i="7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M12" i="7"/>
  <c r="L12" i="7"/>
  <c r="J12" i="7"/>
  <c r="I12" i="7"/>
  <c r="BE11" i="7"/>
  <c r="AM11" i="7"/>
  <c r="AL11" i="7"/>
  <c r="AI11" i="7" s="1"/>
  <c r="AK11" i="7"/>
  <c r="AJ11" i="7"/>
  <c r="AH11" i="7"/>
  <c r="AG11" i="7"/>
  <c r="O11" i="7"/>
  <c r="N11" i="7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M9" i="7"/>
  <c r="L9" i="7"/>
  <c r="J9" i="7"/>
  <c r="I9" i="7"/>
  <c r="BE8" i="7"/>
  <c r="AM8" i="7"/>
  <c r="AL8" i="7"/>
  <c r="AK8" i="7"/>
  <c r="AJ8" i="7"/>
  <c r="AI8" i="7"/>
  <c r="AH8" i="7"/>
  <c r="AG8" i="7"/>
  <c r="O8" i="7"/>
  <c r="N8" i="7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H9" i="6" s="1"/>
  <c r="AH11" i="6" s="1"/>
  <c r="AJ9" i="6"/>
  <c r="AI9" i="6"/>
  <c r="AI11" i="6" s="1"/>
  <c r="AG9" i="6"/>
  <c r="AF9" i="6"/>
  <c r="AE9" i="6"/>
  <c r="O9" i="6"/>
  <c r="N9" i="6"/>
  <c r="K9" i="6" s="1"/>
  <c r="K11" i="6" s="1"/>
  <c r="M9" i="6"/>
  <c r="M11" i="6" s="1"/>
  <c r="L9" i="6"/>
  <c r="L11" i="6" s="1"/>
  <c r="J9" i="6"/>
  <c r="J11" i="6" s="1"/>
  <c r="I9" i="6"/>
  <c r="H9" i="6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BF9" i="5" s="1" a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BC8" i="5" s="1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BF6" i="5" s="1" a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BF27" i="3" s="1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E25" i="3"/>
  <c r="AM25" i="3"/>
  <c r="AL25" i="3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K15" i="3"/>
  <c r="J15" i="3"/>
  <c r="I15" i="3"/>
  <c r="BF14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K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BF13" i="3" s="1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BF12" i="3" s="1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K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K6" i="3"/>
  <c r="J6" i="3"/>
  <c r="I6" i="3"/>
  <c r="BE5" i="3"/>
  <c r="AM5" i="3"/>
  <c r="AL5" i="3"/>
  <c r="AK5" i="3"/>
  <c r="AJ5" i="3"/>
  <c r="AI5" i="3"/>
  <c r="AH5" i="3"/>
  <c r="AG5" i="3"/>
  <c r="O5" i="3"/>
  <c r="N5" i="3"/>
  <c r="M5" i="3"/>
  <c r="L5" i="3"/>
  <c r="J5" i="3"/>
  <c r="I5" i="3"/>
  <c r="B1" i="2"/>
  <c r="B2" i="2" s="1"/>
  <c r="BQ20" i="7"/>
  <c r="BQ10" i="7"/>
  <c r="BM25" i="7"/>
  <c r="BS25" i="7"/>
  <c r="BR15" i="7"/>
  <c r="BS5" i="7"/>
  <c r="BQ15" i="7"/>
  <c r="BR20" i="7"/>
  <c r="BR10" i="7"/>
  <c r="BO20" i="7"/>
  <c r="BP25" i="3"/>
  <c r="BR15" i="3"/>
  <c r="BP5" i="3"/>
  <c r="BO10" i="3"/>
  <c r="BP20" i="3"/>
  <c r="BP10" i="3"/>
  <c r="BO20" i="3"/>
  <c r="BQ25" i="3"/>
  <c r="BS15" i="3"/>
  <c r="BQ5" i="3"/>
  <c r="BS10" i="3"/>
  <c r="BL20" i="7"/>
  <c r="BL10" i="7"/>
  <c r="BS20" i="7"/>
  <c r="BO25" i="7"/>
  <c r="BM15" i="7"/>
  <c r="BO5" i="7"/>
  <c r="BI10" i="7"/>
  <c r="BM20" i="7"/>
  <c r="BM10" i="7"/>
  <c r="BL15" i="7"/>
  <c r="BK25" i="3"/>
  <c r="BM15" i="3"/>
  <c r="BK5" i="3"/>
  <c r="BM5" i="3"/>
  <c r="BK20" i="3"/>
  <c r="BK10" i="3"/>
  <c r="BK15" i="3"/>
  <c r="BL25" i="3"/>
  <c r="BO15" i="3"/>
  <c r="BL5" i="3"/>
  <c r="BR5" i="3"/>
  <c r="BP25" i="7"/>
  <c r="BS15" i="7"/>
  <c r="BP5" i="7"/>
  <c r="BO10" i="7"/>
  <c r="BP20" i="7"/>
  <c r="BP10" i="7"/>
  <c r="BJ5" i="7"/>
  <c r="BQ25" i="7"/>
  <c r="BP15" i="7"/>
  <c r="BQ5" i="7"/>
  <c r="BS10" i="7"/>
  <c r="BQ20" i="3"/>
  <c r="BQ10" i="3"/>
  <c r="BO5" i="3"/>
  <c r="BS25" i="3"/>
  <c r="BQ15" i="3"/>
  <c r="BS5" i="3"/>
  <c r="BI10" i="3"/>
  <c r="BR20" i="3"/>
  <c r="BR10" i="3"/>
  <c r="BM25" i="3"/>
  <c r="BK25" i="7"/>
  <c r="BO15" i="7"/>
  <c r="BK5" i="7"/>
  <c r="BM5" i="7"/>
  <c r="BK20" i="7"/>
  <c r="BK10" i="7"/>
  <c r="BR25" i="7"/>
  <c r="BL25" i="7"/>
  <c r="BK15" i="7"/>
  <c r="BL5" i="7"/>
  <c r="BR5" i="7"/>
  <c r="BL20" i="3"/>
  <c r="BL10" i="3"/>
  <c r="BP15" i="3"/>
  <c r="BO25" i="3"/>
  <c r="BL15" i="3"/>
  <c r="BR25" i="3"/>
  <c r="BI5" i="3"/>
  <c r="BM20" i="3"/>
  <c r="BM10" i="3"/>
  <c r="BS20" i="3"/>
  <c r="BL31" i="7" l="1"/>
  <c r="F41" i="1" s="1"/>
  <c r="BM31" i="7"/>
  <c r="G41" i="1" s="1"/>
  <c r="BK31" i="7"/>
  <c r="E41" i="1" s="1"/>
  <c r="BM31" i="3"/>
  <c r="G10" i="1" s="1"/>
  <c r="BL31" i="3"/>
  <c r="F10" i="1" s="1"/>
  <c r="BK31" i="3"/>
  <c r="E10" i="1" s="1"/>
  <c r="BF11" i="3"/>
  <c r="BF15" i="3"/>
  <c r="BC11" i="6"/>
  <c r="BQ31" i="7"/>
  <c r="BR31" i="7"/>
  <c r="BK30" i="7"/>
  <c r="E40" i="1" s="1"/>
  <c r="BP30" i="7"/>
  <c r="BF19" i="7"/>
  <c r="BO31" i="7"/>
  <c r="BS31" i="7"/>
  <c r="BP31" i="7"/>
  <c r="K12" i="3"/>
  <c r="BO31" i="3"/>
  <c r="BS31" i="3"/>
  <c r="BC34" i="3"/>
  <c r="K13" i="3"/>
  <c r="BR31" i="3"/>
  <c r="BB34" i="3"/>
  <c r="BP31" i="3"/>
  <c r="AZ36" i="3"/>
  <c r="BQ31" i="3"/>
  <c r="BS30" i="7"/>
  <c r="BQ30" i="3"/>
  <c r="BK30" i="3"/>
  <c r="E9" i="1" s="1"/>
  <c r="BO30" i="7"/>
  <c r="BA34" i="3"/>
  <c r="BA34" i="7"/>
  <c r="BG15" i="3" a="1"/>
  <c r="BG15" i="3" s="1"/>
  <c r="BF18" i="3"/>
  <c r="BF21" i="3"/>
  <c r="BF16" i="7"/>
  <c r="AI22" i="7"/>
  <c r="BF24" i="7"/>
  <c r="AZ34" i="7"/>
  <c r="AZ36" i="7"/>
  <c r="AX16" i="6"/>
  <c r="BF5" i="7"/>
  <c r="BM30" i="7"/>
  <c r="G40" i="1" s="1"/>
  <c r="BK32" i="7"/>
  <c r="E42" i="1" s="1"/>
  <c r="AI21" i="7"/>
  <c r="BF25" i="7"/>
  <c r="BO32" i="3"/>
  <c r="K27" i="3"/>
  <c r="BG25" i="7" a="1"/>
  <c r="BG25" i="7" s="1"/>
  <c r="BG31" i="7" s="1"/>
  <c r="AX14" i="5"/>
  <c r="K31" i="3"/>
  <c r="AK31" i="3"/>
  <c r="J31" i="3"/>
  <c r="AH30" i="3"/>
  <c r="BF7" i="6"/>
  <c r="AZ16" i="5"/>
  <c r="BE6" i="5"/>
  <c r="BC7" i="5"/>
  <c r="BB8" i="5"/>
  <c r="BB5" i="6"/>
  <c r="BB6" i="5"/>
  <c r="BC5" i="5"/>
  <c r="BC11" i="5"/>
  <c r="BB7" i="6"/>
  <c r="AZ14" i="6"/>
  <c r="AI10" i="6"/>
  <c r="AJ10" i="6"/>
  <c r="BC9" i="6"/>
  <c r="AY14" i="5"/>
  <c r="AX16" i="5"/>
  <c r="AZ14" i="5"/>
  <c r="AY16" i="5"/>
  <c r="BC6" i="6"/>
  <c r="AY14" i="6"/>
  <c r="BB8" i="6"/>
  <c r="BE7" i="6"/>
  <c r="AZ16" i="6"/>
  <c r="BF9" i="5"/>
  <c r="BF11" i="5" s="1"/>
  <c r="AW16" i="5"/>
  <c r="AH6" i="5"/>
  <c r="BF6" i="5"/>
  <c r="BG20" i="7" a="1"/>
  <c r="BG20" i="7" s="1"/>
  <c r="BF20" i="7"/>
  <c r="BF25" i="3"/>
  <c r="AI29" i="3"/>
  <c r="BF29" i="3"/>
  <c r="BC6" i="5"/>
  <c r="BE5" i="6"/>
  <c r="BF6" i="6" a="1"/>
  <c r="BF6" i="6" s="1"/>
  <c r="M12" i="6"/>
  <c r="M30" i="7"/>
  <c r="BF8" i="3"/>
  <c r="AH31" i="3"/>
  <c r="L12" i="5"/>
  <c r="BL30" i="7"/>
  <c r="F40" i="1" s="1"/>
  <c r="K18" i="3"/>
  <c r="BF24" i="3"/>
  <c r="AH32" i="3"/>
  <c r="AH5" i="5"/>
  <c r="BE5" i="5"/>
  <c r="BF8" i="5" a="1"/>
  <c r="BF8" i="5" s="1"/>
  <c r="AH8" i="5"/>
  <c r="BF9" i="6" a="1"/>
  <c r="BF9" i="6" s="1"/>
  <c r="BF11" i="6" s="1"/>
  <c r="BF17" i="7"/>
  <c r="BE6" i="6"/>
  <c r="AG11" i="6"/>
  <c r="BB11" i="6" s="1"/>
  <c r="BB9" i="6"/>
  <c r="AK30" i="7"/>
  <c r="K23" i="7"/>
  <c r="BF23" i="7"/>
  <c r="BF7" i="3"/>
  <c r="BF28" i="3"/>
  <c r="BB36" i="3"/>
  <c r="AW14" i="5"/>
  <c r="BP32" i="7"/>
  <c r="AH32" i="7"/>
  <c r="AI20" i="7"/>
  <c r="M32" i="7"/>
  <c r="BA36" i="7"/>
  <c r="M31" i="3"/>
  <c r="BC36" i="3"/>
  <c r="AH6" i="6"/>
  <c r="AW16" i="6"/>
  <c r="BQ30" i="7"/>
  <c r="AI19" i="7"/>
  <c r="K20" i="7"/>
  <c r="M31" i="7"/>
  <c r="BB34" i="7"/>
  <c r="BF5" i="6" a="1"/>
  <c r="BF5" i="6" s="1"/>
  <c r="BE9" i="6"/>
  <c r="AJ30" i="3"/>
  <c r="BF19" i="3"/>
  <c r="AI22" i="3"/>
  <c r="BF22" i="3"/>
  <c r="K10" i="5"/>
  <c r="BP30" i="3"/>
  <c r="BG5" i="3" a="1"/>
  <c r="BG5" i="3" s="1"/>
  <c r="BG30" i="3" s="1"/>
  <c r="BQ32" i="3"/>
  <c r="BF6" i="3"/>
  <c r="BE8" i="5"/>
  <c r="BC7" i="6"/>
  <c r="BC8" i="6"/>
  <c r="AI18" i="7"/>
  <c r="AI30" i="7" s="1"/>
  <c r="BL32" i="7"/>
  <c r="F42" i="1" s="1"/>
  <c r="J32" i="7"/>
  <c r="BF14" i="7"/>
  <c r="BR30" i="7"/>
  <c r="BC34" i="7"/>
  <c r="BB36" i="7"/>
  <c r="BF17" i="3"/>
  <c r="AJ31" i="3"/>
  <c r="BC9" i="5"/>
  <c r="AH30" i="7"/>
  <c r="BG5" i="7" a="1"/>
  <c r="BG5" i="7" s="1"/>
  <c r="BF13" i="7"/>
  <c r="J31" i="7"/>
  <c r="AJ31" i="7"/>
  <c r="BC36" i="7"/>
  <c r="BF9" i="3"/>
  <c r="AZ34" i="3"/>
  <c r="BD6" i="6"/>
  <c r="AH7" i="6"/>
  <c r="AW14" i="6"/>
  <c r="L31" i="7"/>
  <c r="AK31" i="7"/>
  <c r="J12" i="5"/>
  <c r="AI12" i="5"/>
  <c r="BF11" i="7"/>
  <c r="K14" i="7"/>
  <c r="L30" i="7"/>
  <c r="BM30" i="3"/>
  <c r="G9" i="1" s="1"/>
  <c r="BM32" i="3"/>
  <c r="G11" i="1" s="1"/>
  <c r="BR30" i="3"/>
  <c r="BR32" i="3"/>
  <c r="BF16" i="3"/>
  <c r="K16" i="3"/>
  <c r="BD8" i="5"/>
  <c r="BF8" i="6" a="1"/>
  <c r="BF8" i="6" s="1"/>
  <c r="AH8" i="6"/>
  <c r="K9" i="3"/>
  <c r="AJ12" i="5"/>
  <c r="BF26" i="7"/>
  <c r="K26" i="7"/>
  <c r="BF28" i="7"/>
  <c r="K28" i="7"/>
  <c r="BF5" i="3"/>
  <c r="K5" i="3"/>
  <c r="K8" i="3"/>
  <c r="BF20" i="3"/>
  <c r="BG20" i="3" a="1"/>
  <c r="BG20" i="3" s="1"/>
  <c r="K20" i="3"/>
  <c r="BF5" i="5" a="1"/>
  <c r="BF5" i="5" s="1"/>
  <c r="AJ10" i="5"/>
  <c r="BD7" i="5"/>
  <c r="K12" i="6"/>
  <c r="K10" i="6"/>
  <c r="AY16" i="6"/>
  <c r="BF6" i="7"/>
  <c r="K6" i="7"/>
  <c r="BF8" i="7"/>
  <c r="K8" i="7"/>
  <c r="BF10" i="7"/>
  <c r="K10" i="7"/>
  <c r="BG10" i="7" a="1"/>
  <c r="BG10" i="7" s="1"/>
  <c r="AJ30" i="7"/>
  <c r="AK32" i="7"/>
  <c r="J32" i="3"/>
  <c r="J30" i="3"/>
  <c r="BL32" i="3"/>
  <c r="F11" i="1" s="1"/>
  <c r="BL30" i="3"/>
  <c r="F9" i="1" s="1"/>
  <c r="K7" i="3"/>
  <c r="BG10" i="3" a="1"/>
  <c r="BG10" i="3" s="1"/>
  <c r="BF10" i="3"/>
  <c r="K12" i="5"/>
  <c r="BB5" i="5"/>
  <c r="AG10" i="5"/>
  <c r="AG12" i="5"/>
  <c r="J10" i="5"/>
  <c r="L12" i="6"/>
  <c r="L10" i="6"/>
  <c r="BC10" i="6" s="1"/>
  <c r="AI12" i="6"/>
  <c r="BC5" i="6"/>
  <c r="BD8" i="6"/>
  <c r="BE8" i="6"/>
  <c r="BR32" i="7"/>
  <c r="BF12" i="7"/>
  <c r="K12" i="7"/>
  <c r="K13" i="7"/>
  <c r="AJ32" i="3"/>
  <c r="BO30" i="3"/>
  <c r="BS32" i="3"/>
  <c r="BS30" i="3"/>
  <c r="AI23" i="3"/>
  <c r="BF23" i="3"/>
  <c r="BA36" i="3"/>
  <c r="M10" i="5"/>
  <c r="BF7" i="5" a="1"/>
  <c r="BF7" i="5" s="1"/>
  <c r="AH7" i="5"/>
  <c r="BE7" i="5"/>
  <c r="BB11" i="5"/>
  <c r="M12" i="5"/>
  <c r="M10" i="6"/>
  <c r="BD9" i="6"/>
  <c r="AJ11" i="6"/>
  <c r="BD11" i="6" s="1"/>
  <c r="AX14" i="6"/>
  <c r="BG15" i="7" a="1"/>
  <c r="BG15" i="7" s="1"/>
  <c r="BF15" i="7"/>
  <c r="BF27" i="7"/>
  <c r="K27" i="7"/>
  <c r="BF29" i="7"/>
  <c r="K29" i="7"/>
  <c r="BQ32" i="7"/>
  <c r="L32" i="3"/>
  <c r="L30" i="3"/>
  <c r="AK32" i="3"/>
  <c r="AK30" i="3"/>
  <c r="K19" i="3"/>
  <c r="K21" i="3"/>
  <c r="AI26" i="3"/>
  <c r="BF26" i="3"/>
  <c r="BB7" i="5"/>
  <c r="BD11" i="5"/>
  <c r="BD9" i="5"/>
  <c r="BB6" i="6"/>
  <c r="L32" i="7"/>
  <c r="BM32" i="7"/>
  <c r="G42" i="1" s="1"/>
  <c r="BF7" i="7"/>
  <c r="K7" i="7"/>
  <c r="BF9" i="7"/>
  <c r="K9" i="7"/>
  <c r="K11" i="7"/>
  <c r="K15" i="7"/>
  <c r="L31" i="3"/>
  <c r="BG25" i="3" a="1"/>
  <c r="BG25" i="3" s="1"/>
  <c r="BG31" i="3" s="1"/>
  <c r="AI25" i="3"/>
  <c r="BB9" i="5"/>
  <c r="BE9" i="5"/>
  <c r="BD5" i="6"/>
  <c r="J30" i="7"/>
  <c r="AI31" i="7"/>
  <c r="M32" i="3"/>
  <c r="BK32" i="3"/>
  <c r="E11" i="1" s="1"/>
  <c r="BP32" i="3"/>
  <c r="M30" i="3"/>
  <c r="BD5" i="5"/>
  <c r="BD6" i="5"/>
  <c r="AH9" i="5"/>
  <c r="AH11" i="5" s="1"/>
  <c r="J12" i="6"/>
  <c r="AG12" i="6"/>
  <c r="BD7" i="6"/>
  <c r="AJ12" i="6"/>
  <c r="K5" i="7"/>
  <c r="AJ32" i="7"/>
  <c r="BO32" i="7"/>
  <c r="BS32" i="7"/>
  <c r="K25" i="7"/>
  <c r="L10" i="5"/>
  <c r="AI10" i="5"/>
  <c r="J10" i="6"/>
  <c r="AG10" i="6"/>
  <c r="BJ25" i="7"/>
  <c r="BJ20" i="7"/>
  <c r="BJ15" i="3"/>
  <c r="BJ20" i="3"/>
  <c r="BI5" i="7"/>
  <c r="BJ15" i="7"/>
  <c r="BJ10" i="7"/>
  <c r="BI15" i="7"/>
  <c r="BJ5" i="3"/>
  <c r="BI25" i="3"/>
  <c r="BI25" i="7"/>
  <c r="BJ10" i="3"/>
  <c r="BI15" i="3"/>
  <c r="BI20" i="7"/>
  <c r="BJ25" i="3"/>
  <c r="BI20" i="3"/>
  <c r="BI31" i="7" l="1"/>
  <c r="C41" i="1" s="1"/>
  <c r="BJ31" i="7"/>
  <c r="D41" i="1" s="1"/>
  <c r="BG32" i="7"/>
  <c r="BI31" i="3"/>
  <c r="C10" i="1" s="1"/>
  <c r="BJ31" i="3"/>
  <c r="D10" i="1" s="1"/>
  <c r="E30" i="1"/>
  <c r="D29" i="1"/>
  <c r="C33" i="1"/>
  <c r="C32" i="1"/>
  <c r="C30" i="1"/>
  <c r="D30" i="1"/>
  <c r="D19" i="1"/>
  <c r="C21" i="1"/>
  <c r="C19" i="1"/>
  <c r="E19" i="1"/>
  <c r="C22" i="1"/>
  <c r="K42" i="1"/>
  <c r="C44" i="1"/>
  <c r="J40" i="1"/>
  <c r="C43" i="1"/>
  <c r="J42" i="1"/>
  <c r="I42" i="1"/>
  <c r="L41" i="1"/>
  <c r="K41" i="1"/>
  <c r="L42" i="1"/>
  <c r="K40" i="1"/>
  <c r="L40" i="1"/>
  <c r="I40" i="1"/>
  <c r="H42" i="1"/>
  <c r="H40" i="1"/>
  <c r="I41" i="1"/>
  <c r="H41" i="1"/>
  <c r="J41" i="1"/>
  <c r="C13" i="1"/>
  <c r="I10" i="1"/>
  <c r="J11" i="1"/>
  <c r="L10" i="1"/>
  <c r="I9" i="1"/>
  <c r="J10" i="1"/>
  <c r="H10" i="1"/>
  <c r="L11" i="1"/>
  <c r="K11" i="1"/>
  <c r="K10" i="1"/>
  <c r="I11" i="1"/>
  <c r="H9" i="1"/>
  <c r="K9" i="1"/>
  <c r="L9" i="1"/>
  <c r="H11" i="1"/>
  <c r="J9" i="1"/>
  <c r="C12" i="1"/>
  <c r="BI32" i="3"/>
  <c r="C11" i="1" s="1"/>
  <c r="BI30" i="3"/>
  <c r="C9" i="1" s="1"/>
  <c r="BG30" i="7"/>
  <c r="K31" i="7"/>
  <c r="AI32" i="7"/>
  <c r="AI31" i="3"/>
  <c r="AH12" i="6"/>
  <c r="BD10" i="6"/>
  <c r="BB10" i="6"/>
  <c r="BF12" i="6"/>
  <c r="BD12" i="6"/>
  <c r="BC12" i="6"/>
  <c r="BC12" i="5"/>
  <c r="AI32" i="3"/>
  <c r="BG32" i="3"/>
  <c r="BF10" i="6"/>
  <c r="BJ32" i="7"/>
  <c r="D42" i="1" s="1"/>
  <c r="AH10" i="6"/>
  <c r="BB12" i="5"/>
  <c r="BB12" i="6"/>
  <c r="AH12" i="5"/>
  <c r="BI32" i="7"/>
  <c r="C42" i="1" s="1"/>
  <c r="BI30" i="7"/>
  <c r="C40" i="1" s="1"/>
  <c r="BF12" i="5"/>
  <c r="BF10" i="5"/>
  <c r="K32" i="7"/>
  <c r="K30" i="7"/>
  <c r="AH10" i="5"/>
  <c r="AI30" i="3"/>
  <c r="BB10" i="5"/>
  <c r="BJ30" i="7"/>
  <c r="D40" i="1" s="1"/>
  <c r="K30" i="3"/>
  <c r="K32" i="3"/>
  <c r="BD12" i="5"/>
  <c r="BC10" i="5"/>
  <c r="BD10" i="5"/>
  <c r="BJ32" i="3"/>
  <c r="D11" i="1" s="1"/>
  <c r="BJ30" i="3"/>
  <c r="D9" i="1" s="1"/>
  <c r="E31" i="1" l="1"/>
  <c r="C29" i="1"/>
  <c r="C31" i="1"/>
  <c r="D31" i="1"/>
  <c r="E29" i="1"/>
  <c r="E18" i="1"/>
  <c r="D18" i="1"/>
  <c r="C20" i="1"/>
  <c r="E20" i="1"/>
  <c r="C18" i="1"/>
  <c r="D20" i="1"/>
</calcChain>
</file>

<file path=xl/sharedStrings.xml><?xml version="1.0" encoding="utf-8"?>
<sst xmlns="http://schemas.openxmlformats.org/spreadsheetml/2006/main" count="1398" uniqueCount="550">
  <si>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</si>
  <si>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</si>
  <si>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</si>
  <si>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</si>
  <si>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</si>
  <si>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</si>
  <si>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</si>
  <si>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</si>
  <si>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</si>
  <si>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</si>
  <si>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</si>
  <si>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</si>
  <si>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</si>
  <si>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</si>
  <si>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</si>
  <si>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</si>
  <si>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</si>
  <si>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</si>
  <si>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</si>
  <si>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</si>
  <si>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</si>
  <si>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</si>
  <si>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</si>
  <si>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</si>
  <si>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</si>
  <si>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</si>
  <si>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</si>
  <si>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</si>
  <si>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</si>
  <si>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</si>
  <si>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</si>
  <si>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</si>
  <si>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</si>
  <si>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</si>
  <si>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</si>
  <si>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</si>
  <si>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</si>
  <si>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</si>
  <si>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</si>
  <si>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</si>
  <si>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</si>
  <si>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</si>
  <si>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</si>
  <si>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</si>
  <si>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</si>
  <si>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</si>
  <si>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</si>
  <si>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</si>
  <si>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</si>
  <si>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</si>
  <si>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</si>
  <si>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</si>
  <si>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</si>
  <si>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</si>
  <si>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</si>
  <si>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</si>
  <si>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</si>
  <si>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</si>
  <si>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</si>
  <si>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</si>
  <si>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</si>
  <si>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</si>
  <si>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</si>
  <si>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</si>
  <si>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</si>
  <si>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</si>
  <si>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</si>
  <si>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</si>
  <si>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</si>
  <si>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</si>
  <si>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</si>
  <si>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</si>
  <si>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</si>
  <si>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</si>
  <si>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</si>
  <si>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</si>
  <si>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</si>
  <si>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</si>
  <si>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</si>
  <si>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</si>
  <si>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</si>
  <si>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</si>
  <si>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</si>
  <si>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</si>
  <si>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</si>
  <si>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</si>
  <si>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</si>
  <si>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</si>
  <si>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</si>
  <si>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</si>
  <si>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</si>
  <si>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</si>
  <si>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</si>
  <si>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</si>
  <si>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</si>
  <si>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</si>
  <si>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</si>
  <si>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</si>
  <si>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</si>
  <si>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</si>
  <si>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</si>
  <si>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</si>
  <si>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</si>
  <si>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</si>
  <si>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</si>
  <si>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</si>
  <si>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</si>
  <si>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</si>
  <si>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</si>
  <si>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</si>
  <si>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</si>
  <si>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</si>
  <si>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</si>
  <si>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</si>
  <si>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</si>
  <si>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</si>
  <si>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</si>
  <si>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</si>
  <si>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</si>
  <si>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</si>
  <si>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</si>
  <si>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</si>
  <si>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</si>
  <si>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</si>
  <si>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</si>
  <si>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</si>
  <si>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</si>
  <si>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</si>
  <si>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</si>
  <si>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</si>
  <si>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</si>
  <si>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</si>
  <si>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</si>
  <si>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</si>
  <si>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</si>
  <si>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</si>
  <si>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</si>
  <si>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</si>
  <si>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</si>
  <si>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</si>
  <si>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</si>
  <si>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</si>
  <si>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</si>
  <si>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</si>
  <si>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</si>
  <si>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</si>
  <si>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</si>
  <si>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</si>
  <si>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</si>
  <si>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</si>
  <si>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</si>
  <si>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</si>
  <si>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</si>
  <si>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</si>
  <si>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</si>
  <si>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</si>
  <si>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</si>
  <si>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</si>
  <si>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</si>
  <si>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</si>
  <si>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</si>
  <si>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</si>
  <si>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</si>
  <si>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</si>
  <si>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</si>
  <si>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</si>
  <si>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</si>
  <si>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</si>
  <si>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</si>
  <si>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</si>
  <si>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</si>
  <si>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</si>
  <si>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</si>
  <si>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</si>
  <si>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</si>
  <si>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</si>
  <si>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</si>
  <si>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</si>
  <si>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</si>
  <si>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</si>
  <si>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</si>
  <si>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</si>
  <si>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</si>
  <si>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</si>
  <si>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</si>
  <si>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</si>
  <si>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</si>
  <si>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</si>
  <si>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</si>
  <si>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</si>
  <si>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</si>
  <si>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</si>
  <si>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</si>
  <si>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</si>
  <si>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</si>
  <si>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</si>
  <si>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</si>
  <si>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</si>
  <si>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</si>
  <si>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</si>
  <si>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</si>
  <si>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</si>
  <si>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</si>
  <si>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</si>
  <si>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</si>
  <si>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</si>
  <si>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</si>
  <si>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</si>
  <si>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</si>
  <si>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</si>
  <si>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</si>
  <si>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</si>
  <si>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</si>
  <si>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</si>
  <si>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</si>
  <si>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</si>
  <si>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</si>
  <si>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</si>
  <si>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</si>
  <si>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</si>
  <si>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</si>
  <si>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</si>
  <si>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</si>
  <si>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</si>
  <si>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</si>
  <si>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</si>
  <si>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</si>
  <si>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</si>
  <si>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</si>
  <si>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</si>
  <si>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</si>
  <si>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</si>
  <si>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</si>
  <si>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</si>
  <si>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</si>
  <si>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</si>
  <si>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</si>
  <si>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</si>
  <si>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</si>
  <si>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</si>
  <si>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</si>
  <si>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</si>
  <si>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</si>
  <si>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</si>
  <si>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</si>
  <si>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</si>
  <si>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</si>
  <si>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</si>
  <si>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</si>
  <si>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</si>
  <si>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</si>
  <si>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</si>
  <si>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</si>
  <si>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</si>
  <si>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</si>
  <si>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</si>
  <si>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</si>
  <si>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</si>
  <si>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</si>
  <si>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</si>
  <si>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</si>
  <si>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</si>
  <si>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</si>
  <si>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</si>
  <si>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</si>
  <si>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</si>
  <si>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</si>
  <si>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</si>
  <si>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</si>
  <si>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</si>
  <si>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</si>
  <si>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</si>
  <si>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</si>
  <si>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</si>
  <si>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</si>
  <si>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</si>
  <si>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</si>
  <si>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</si>
  <si>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</si>
  <si>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</si>
  <si>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</si>
  <si>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</si>
  <si>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</si>
  <si>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</si>
  <si>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</si>
  <si>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</si>
  <si>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</si>
  <si>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</si>
  <si>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</si>
  <si>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</si>
  <si>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</si>
  <si>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</si>
  <si>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</si>
  <si>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</si>
  <si>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</si>
  <si>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</si>
  <si>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</si>
  <si>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</si>
  <si>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</si>
  <si>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</si>
  <si>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</si>
  <si>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</si>
  <si>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</si>
  <si>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</si>
  <si>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</si>
  <si>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</si>
  <si>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</si>
  <si>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</si>
  <si>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</si>
  <si>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</si>
  <si>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</si>
  <si>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</si>
  <si>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</si>
  <si>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</si>
  <si>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</si>
  <si>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</si>
  <si>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</si>
  <si>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</si>
  <si>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</si>
  <si>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</si>
  <si>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</si>
  <si>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</si>
  <si>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</si>
  <si>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</si>
  <si>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</si>
  <si>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</si>
  <si>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</si>
  <si>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</si>
  <si>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</si>
  <si>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</si>
  <si>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</si>
  <si>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</si>
  <si>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</si>
  <si>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</si>
  <si>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</si>
  <si>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</si>
  <si>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</si>
  <si>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</si>
  <si>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</si>
  <si>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</si>
  <si>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</si>
  <si>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</si>
  <si>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</si>
  <si>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</si>
  <si>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</si>
  <si>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</si>
  <si>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</si>
  <si>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</si>
  <si>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</si>
  <si>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</si>
  <si>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</si>
  <si>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</si>
  <si>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</si>
  <si>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</si>
  <si>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</si>
  <si>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</si>
  <si>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</si>
  <si>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</si>
  <si>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</si>
  <si>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</si>
  <si>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</si>
  <si>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</si>
  <si>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</si>
  <si>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</si>
  <si>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</si>
  <si>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</si>
  <si>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</si>
  <si>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</si>
  <si>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</si>
  <si>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</si>
  <si>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</si>
  <si>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</si>
  <si>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</si>
  <si>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</si>
  <si>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</si>
  <si>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</si>
  <si>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</si>
  <si>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</si>
  <si>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</si>
  <si>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</si>
  <si>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</si>
  <si>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</si>
  <si>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</si>
  <si>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</si>
  <si>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</si>
  <si>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</si>
  <si>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</si>
  <si>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</si>
  <si>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</si>
  <si>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</si>
  <si>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</si>
  <si>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</si>
  <si>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</si>
  <si>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</si>
  <si>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</si>
  <si>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</si>
  <si>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</si>
  <si>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</si>
  <si>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</si>
  <si>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</si>
  <si>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</si>
  <si>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</si>
  <si>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</si>
  <si>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</si>
  <si>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</si>
  <si>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</si>
  <si>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</si>
  <si>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</si>
  <si>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</si>
  <si>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</si>
  <si>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</si>
  <si>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</si>
  <si>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</si>
  <si>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</si>
  <si>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</si>
  <si>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</si>
  <si>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</si>
  <si>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</si>
  <si>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</si>
  <si>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</si>
  <si>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</si>
  <si>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</si>
  <si>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</si>
  <si>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</si>
  <si>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</si>
  <si>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</si>
  <si>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</si>
  <si>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</si>
  <si>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</si>
  <si>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</si>
  <si>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</si>
  <si>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</si>
  <si>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</si>
  <si>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</si>
  <si>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</si>
  <si>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</si>
  <si>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</si>
  <si>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</si>
  <si>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</si>
  <si>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</si>
  <si>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</si>
  <si>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</si>
  <si>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</si>
  <si>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</si>
  <si>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</si>
  <si>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</si>
  <si>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</si>
  <si>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</si>
  <si>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</si>
  <si>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</si>
  <si>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</si>
  <si>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</si>
  <si>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</si>
  <si>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</si>
  <si>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</si>
  <si>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</si>
  <si>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</si>
  <si>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</si>
  <si>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</si>
  <si>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</si>
  <si>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</si>
  <si>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</si>
  <si>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</si>
  <si>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</si>
  <si>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</si>
  <si>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</si>
  <si>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</si>
  <si>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</si>
  <si>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</si>
  <si>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</si>
  <si>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</si>
  <si>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</si>
  <si>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</si>
  <si>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</si>
  <si>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</si>
  <si>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</si>
  <si>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</si>
  <si>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</si>
  <si>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</si>
  <si>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</si>
  <si>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</si>
  <si>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</si>
  <si>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</si>
  <si>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</si>
  <si>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</si>
  <si>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</si>
  <si>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</si>
  <si>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</si>
  <si>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</si>
  <si>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</si>
  <si>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</si>
  <si>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</si>
  <si>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</si>
  <si>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</si>
  <si>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</si>
  <si>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</si>
  <si>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</si>
  <si>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</si>
  <si>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</si>
  <si>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</si>
  <si>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</si>
  <si>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</si>
  <si>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</si>
  <si>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</si>
  <si>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</si>
  <si>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</si>
  <si>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</si>
  <si>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</si>
  <si>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</si>
  <si>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</si>
  <si>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</si>
  <si>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</si>
  <si>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</si>
  <si>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</si>
  <si>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</si>
  <si>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</si>
  <si>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</si>
  <si>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</si>
  <si>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</si>
  <si>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</si>
  <si>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</si>
  <si>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</si>
  <si>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</si>
  <si>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</si>
  <si>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</si>
  <si>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</si>
  <si>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</si>
  <si>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</si>
  <si>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</si>
  <si>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</si>
  <si>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</si>
  <si>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</si>
  <si>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</si>
  <si>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</si>
  <si>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</si>
  <si>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</si>
  <si>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</si>
  <si>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</si>
  <si>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</si>
  <si>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</si>
  <si>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</si>
  <si>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</si>
  <si>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</si>
  <si>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</si>
  <si>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</si>
  <si>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</si>
  <si>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</si>
  <si>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</si>
  <si>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R4.0</t>
  </si>
  <si>
    <t>R5.0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</si>
</sst>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66.416709374999996</c:v>
                </c:pt>
                <c:pt idx="1">
                  <c:v>68.286290625000007</c:v>
                </c:pt>
                <c:pt idx="2">
                  <c:v>69.664112500000002</c:v>
                </c:pt>
                <c:pt idx="3">
                  <c:v>70.772203125000004</c:v>
                </c:pt>
                <c:pt idx="4">
                  <c:v>71.648624999999996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F-47AC-8220-DA77F8D1C085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72.071484374999997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F-47AC-8220-DA77F8D1C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68.698793749999993</c:v>
                </c:pt>
                <c:pt idx="1">
                  <c:v>70.637731250000002</c:v>
                </c:pt>
                <c:pt idx="2">
                  <c:v>72.339937500000005</c:v>
                </c:pt>
                <c:pt idx="3">
                  <c:v>73.601446874999993</c:v>
                </c:pt>
                <c:pt idx="4">
                  <c:v>74.759387500000003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C2-4161-A2EF-B9B45F1B13D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72.030415625000003</c:v>
                </c:pt>
                <c:pt idx="3">
                  <c:v>73.278437499999995</c:v>
                </c:pt>
                <c:pt idx="4">
                  <c:v>75.303931250000005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C2-4161-A2EF-B9B45F1B1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32.138975000000002</c:v>
                </c:pt>
                <c:pt idx="1">
                  <c:v>34.415759375</c:v>
                </c:pt>
                <c:pt idx="2">
                  <c:v>36.965259375000002</c:v>
                </c:pt>
                <c:pt idx="3">
                  <c:v>39.627793750000002</c:v>
                </c:pt>
                <c:pt idx="4">
                  <c:v>42.201481250000001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5-444D-9EB7-4E4149A6003F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34.471631250000002</c:v>
                </c:pt>
                <c:pt idx="2">
                  <c:v>37.006359375000002</c:v>
                </c:pt>
                <c:pt idx="3">
                  <c:v>39.627543750000001</c:v>
                </c:pt>
                <c:pt idx="4">
                  <c:v>42.046362500000001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65-444D-9EB7-4E4149A60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44.148996875000002</c:v>
                </c:pt>
                <c:pt idx="1">
                  <c:v>45.3825875</c:v>
                </c:pt>
                <c:pt idx="2">
                  <c:v>46.468137499999997</c:v>
                </c:pt>
                <c:pt idx="3">
                  <c:v>47.792531250000003</c:v>
                </c:pt>
                <c:pt idx="4">
                  <c:v>49.403550000000003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5F-47D4-A295-66FD16F6A736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46.569612499999998</c:v>
                </c:pt>
                <c:pt idx="3">
                  <c:v>47.914721874999998</c:v>
                </c:pt>
                <c:pt idx="4">
                  <c:v>49.444537500000003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5F-47D4-A295-66FD16F6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43.792149999999999</c:v>
                </c:pt>
                <c:pt idx="1">
                  <c:v>45.092634375000003</c:v>
                </c:pt>
                <c:pt idx="2">
                  <c:v>46.330528125000001</c:v>
                </c:pt>
                <c:pt idx="3">
                  <c:v>47.850837499999997</c:v>
                </c:pt>
                <c:pt idx="4">
                  <c:v>49.534043750000002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F4-47C7-AFCB-4DFE4FBD3AF3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47.954315625</c:v>
                </c:pt>
                <c:pt idx="4">
                  <c:v>49.603828125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F4-47C7-AFCB-4DFE4FBD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9.5667015604377459E-2</c:v>
                </c:pt>
                <c:pt idx="1">
                  <c:v>0.1480857836383504</c:v>
                </c:pt>
                <c:pt idx="2">
                  <c:v>0.24396942823365536</c:v>
                </c:pt>
                <c:pt idx="3">
                  <c:v>0.42883182856699481</c:v>
                </c:pt>
                <c:pt idx="4">
                  <c:v>0.78143909346535523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E-4170-A159-ADAA0508F252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E-4170-A159-ADAA0508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C1" sqref="C1:E2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4" t="s">
        <v>548</v>
      </c>
      <c r="D1" s="64"/>
      <c r="E1" s="64"/>
    </row>
    <row r="2" spans="2:12" x14ac:dyDescent="0.3">
      <c r="B2" t="s">
        <v>1</v>
      </c>
      <c r="C2" s="65" t="s">
        <v>549</v>
      </c>
      <c r="D2" s="65"/>
      <c r="E2" s="65"/>
    </row>
    <row r="4" spans="2:12" s="1" customFormat="1" x14ac:dyDescent="0.3">
      <c r="B4" s="1" t="s">
        <v>294</v>
      </c>
    </row>
    <row r="6" spans="2:12" x14ac:dyDescent="0.3">
      <c r="B6" s="60" t="s">
        <v>295</v>
      </c>
      <c r="C6" s="61" t="s">
        <v>296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235</v>
      </c>
      <c r="D7" s="62"/>
      <c r="E7" s="63" t="s">
        <v>240</v>
      </c>
      <c r="F7" s="63"/>
      <c r="G7" s="63"/>
      <c r="H7" s="62" t="s">
        <v>247</v>
      </c>
      <c r="I7" s="62"/>
      <c r="J7" s="63" t="s">
        <v>252</v>
      </c>
      <c r="K7" s="63"/>
      <c r="L7" s="63"/>
    </row>
    <row r="8" spans="2:12" x14ac:dyDescent="0.3">
      <c r="B8" s="60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3">
      <c r="B9" s="4" t="s">
        <v>286</v>
      </c>
      <c r="C9" s="5">
        <f>'C2 lossyG,lossyA,intra'!$BI$30:$BI$30</f>
        <v>1.3983084753422192E-2</v>
      </c>
      <c r="D9" s="5">
        <f>'C2 lossyG,lossyA,intra'!$BJ$30:$BJ$30</f>
        <v>4.3489687857029113E-2</v>
      </c>
      <c r="E9" s="5">
        <f>'C2 lossyG,lossyA,intra'!$BK$30:$BK$30</f>
        <v>-1.5252993347007249E-2</v>
      </c>
      <c r="F9" s="5">
        <f>'C2 lossyG,lossyA,intra'!$BL$30:$BL$30</f>
        <v>-3.1498857810787956E-2</v>
      </c>
      <c r="G9" s="5">
        <f>'C2 lossyG,lossyA,intra'!$BM$30:$BM$30</f>
        <v>-3.3708209288859203E-2</v>
      </c>
      <c r="H9" s="5">
        <f>'C2 lossyG,lossyA,intra'!$BO$30:$BO$30</f>
        <v>-3.3883503072010546E-3</v>
      </c>
      <c r="I9" s="5">
        <f>'C2 lossyG,lossyA,intra'!$BP$30:$BP$30</f>
        <v>5.4352481709288136E-2</v>
      </c>
      <c r="J9" s="5">
        <f>'C2 lossyG,lossyA,intra'!$BQ$30:$BQ$30</f>
        <v>-4.1911636905012373E-3</v>
      </c>
      <c r="K9" s="5">
        <f>'C2 lossyG,lossyA,intra'!$BR$30:$BR$30</f>
        <v>-1.6933023686949211E-2</v>
      </c>
      <c r="L9" s="5">
        <f>'C2 lossyG,lossyA,intra'!$BS$30:$BS$30</f>
        <v>-1.9039048986888324E-2</v>
      </c>
    </row>
    <row r="10" spans="2:12" x14ac:dyDescent="0.3">
      <c r="B10" s="4" t="s">
        <v>287</v>
      </c>
      <c r="C10" s="5">
        <f>'C2 lossyG,lossyA,intra'!$BI$31:$BI$31</f>
        <v>1.7428764555977194E-2</v>
      </c>
      <c r="D10" s="5">
        <f>'C2 lossyG,lossyA,intra'!$BJ$31:$BJ$31</f>
        <v>4.7443492767629269E-2</v>
      </c>
      <c r="E10" s="5">
        <f>'C2 lossyG,lossyA,intra'!$BK$31:$BK$31</f>
        <v>5.489243356322504E-4</v>
      </c>
      <c r="F10" s="5">
        <f>'C2 lossyG,lossyA,intra'!$BL$31:$BL$31</f>
        <v>-3.0515714590095278E-2</v>
      </c>
      <c r="G10" s="5">
        <f>'C2 lossyG,lossyA,intra'!$BM$31:$BM$31</f>
        <v>-3.0754313968605729E-2</v>
      </c>
      <c r="H10" s="5">
        <f>'C2 lossyG,lossyA,intra'!$BO$31:$BO$31</f>
        <v>-3.4439496208782394E-4</v>
      </c>
      <c r="I10" s="5">
        <f>'C2 lossyG,lossyA,intra'!$BP$31:$BP$31</f>
        <v>6.7493627554798596E-2</v>
      </c>
      <c r="J10" s="5">
        <f>'C2 lossyG,lossyA,intra'!$BQ$31:$BQ$31</f>
        <v>4.9696531955025769E-3</v>
      </c>
      <c r="K10" s="5">
        <f>'C2 lossyG,lossyA,intra'!$BR$31:$BR$31</f>
        <v>-2.3642904355742789E-2</v>
      </c>
      <c r="L10" s="5">
        <f>'C2 lossyG,lossyA,intra'!$BS$31:$BS$31</f>
        <v>-2.3810940061285923E-2</v>
      </c>
    </row>
    <row r="11" spans="2:12" x14ac:dyDescent="0.3">
      <c r="B11" s="6" t="s">
        <v>288</v>
      </c>
      <c r="C11" s="7">
        <f>'C2 lossyG,lossyA,intra'!$BI$32:$BI$32</f>
        <v>1.4672220713933194E-2</v>
      </c>
      <c r="D11" s="7">
        <f>'C2 lossyG,lossyA,intra'!$BJ$32:$BJ$32</f>
        <v>4.4280448839149146E-2</v>
      </c>
      <c r="E11" s="7">
        <f>'C2 lossyG,lossyA,intra'!$BK$32:$BK$32</f>
        <v>-1.2092609810479349E-2</v>
      </c>
      <c r="F11" s="7">
        <f>'C2 lossyG,lossyA,intra'!$BL$32:$BL$32</f>
        <v>-3.1302229166649417E-2</v>
      </c>
      <c r="G11" s="7">
        <f>'C2 lossyG,lossyA,intra'!$BM$32:$BM$32</f>
        <v>-3.3117430224808508E-2</v>
      </c>
      <c r="H11" s="7">
        <f>'C2 lossyG,lossyA,intra'!$BO$32:$BO$32</f>
        <v>-2.7795592381784084E-3</v>
      </c>
      <c r="I11" s="7">
        <f>'C2 lossyG,lossyA,intra'!$BP$32:$BP$32</f>
        <v>5.6980710878390226E-2</v>
      </c>
      <c r="J11" s="7">
        <f>'C2 lossyG,lossyA,intra'!$BQ$32:$BQ$32</f>
        <v>-2.3590003133004745E-3</v>
      </c>
      <c r="K11" s="7">
        <f>'C2 lossyG,lossyA,intra'!$BR$32:$BR$32</f>
        <v>-1.8274999820707925E-2</v>
      </c>
      <c r="L11" s="7">
        <f>'C2 lossyG,lossyA,intra'!$BS$32:$BS$32</f>
        <v>-1.9993427201767843E-2</v>
      </c>
    </row>
    <row r="12" spans="2:12" x14ac:dyDescent="0.3">
      <c r="B12" t="s">
        <v>297</v>
      </c>
      <c r="C12" s="58">
        <f>'C2 lossyG,lossyA,intra'!AZ36</f>
        <v>0.61461507955857575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3">
      <c r="B13" s="9" t="s">
        <v>298</v>
      </c>
      <c r="C13" s="59">
        <f>'C2 lossyG,lossyA,intra'!BB36</f>
        <v>0.84422568305935541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3">
      <c r="B15" s="60" t="s">
        <v>379</v>
      </c>
      <c r="C15" s="61" t="s">
        <v>380</v>
      </c>
      <c r="D15" s="61"/>
      <c r="E15" s="61"/>
    </row>
    <row r="16" spans="2:12" x14ac:dyDescent="0.3">
      <c r="B16" s="60"/>
      <c r="C16" s="62" t="s">
        <v>355</v>
      </c>
      <c r="D16" s="62"/>
      <c r="E16" s="62"/>
    </row>
    <row r="17" spans="2:5" x14ac:dyDescent="0.3">
      <c r="B17" s="60"/>
      <c r="C17" s="2" t="s">
        <v>116</v>
      </c>
      <c r="D17" s="2" t="s">
        <v>122</v>
      </c>
      <c r="E17" s="2" t="s">
        <v>148</v>
      </c>
    </row>
    <row r="18" spans="2:5" x14ac:dyDescent="0.3">
      <c r="B18" s="4" t="s">
        <v>286</v>
      </c>
      <c r="C18" s="5">
        <f>'CW losslG,losslA,intra'!BB10</f>
        <v>0.94899336409198209</v>
      </c>
      <c r="D18" s="5">
        <f>'CW losslG,losslA,intra'!BC10</f>
        <v>0.91580531539284038</v>
      </c>
      <c r="E18" s="5">
        <f>'CW losslG,losslA,intra'!BD10</f>
        <v>0.9515160352662444</v>
      </c>
    </row>
    <row r="19" spans="2:5" x14ac:dyDescent="0.3">
      <c r="B19" s="4" t="s">
        <v>287</v>
      </c>
      <c r="C19" s="5">
        <f>'CW losslG,losslA,intra'!BB11</f>
        <v>0.99103374521250343</v>
      </c>
      <c r="D19" s="5">
        <f>'CW losslG,losslA,intra'!BC11</f>
        <v>0.95850170334026097</v>
      </c>
      <c r="E19" s="5">
        <f>'CW losslG,losslA,intra'!BD11</f>
        <v>0.99393898769386224</v>
      </c>
    </row>
    <row r="20" spans="2:5" x14ac:dyDescent="0.3">
      <c r="B20" s="6" t="s">
        <v>288</v>
      </c>
      <c r="C20" s="7">
        <f>'CW losslG,losslA,intra'!BB12</f>
        <v>0.96032761130558231</v>
      </c>
      <c r="D20" s="7">
        <f>'CW losslG,losslA,intra'!BC12</f>
        <v>0.92485712151147692</v>
      </c>
      <c r="E20" s="7">
        <f>'CW losslG,losslA,intra'!BD12</f>
        <v>0.96333962526210593</v>
      </c>
    </row>
    <row r="21" spans="2:5" x14ac:dyDescent="0.3">
      <c r="B21" t="s">
        <v>297</v>
      </c>
      <c r="C21" s="58">
        <f>'CW losslG,losslA,intra'!AW16</f>
        <v>0.46746347594833765</v>
      </c>
      <c r="D21" s="58"/>
      <c r="E21" s="58"/>
    </row>
    <row r="22" spans="2:5" x14ac:dyDescent="0.3">
      <c r="B22" s="9" t="s">
        <v>298</v>
      </c>
      <c r="C22" s="59">
        <f>'CW losslG,losslA,intra'!AY16</f>
        <v>0.79654116503361161</v>
      </c>
      <c r="D22" s="59"/>
      <c r="E22" s="59"/>
    </row>
    <row r="24" spans="2:5" s="1" customFormat="1" x14ac:dyDescent="0.3">
      <c r="B24" s="1" t="s">
        <v>454</v>
      </c>
    </row>
    <row r="26" spans="2:5" x14ac:dyDescent="0.3">
      <c r="B26" s="60" t="s">
        <v>455</v>
      </c>
      <c r="C26" s="61" t="s">
        <v>456</v>
      </c>
      <c r="D26" s="61"/>
      <c r="E26" s="61"/>
    </row>
    <row r="27" spans="2:5" x14ac:dyDescent="0.3">
      <c r="B27" s="60"/>
      <c r="C27" s="62" t="s">
        <v>355</v>
      </c>
      <c r="D27" s="62"/>
      <c r="E27" s="62"/>
    </row>
    <row r="28" spans="2:5" x14ac:dyDescent="0.3">
      <c r="B28" s="60"/>
      <c r="C28" s="2" t="s">
        <v>116</v>
      </c>
      <c r="D28" s="2" t="s">
        <v>122</v>
      </c>
      <c r="E28" s="2" t="s">
        <v>148</v>
      </c>
    </row>
    <row r="29" spans="2:5" x14ac:dyDescent="0.3">
      <c r="B29" s="4" t="s">
        <v>286</v>
      </c>
      <c r="C29" s="5">
        <f>'CW losslG,losslA,interLD'!BB10</f>
        <v>0.98534336597405869</v>
      </c>
      <c r="D29" s="5">
        <f>'CW losslG,losslA,interLD'!BC10</f>
        <v>0.9274882205673326</v>
      </c>
      <c r="E29" s="5">
        <f>'CW losslG,losslA,interLD'!BD10</f>
        <v>0.99304990755976574</v>
      </c>
    </row>
    <row r="30" spans="2:5" x14ac:dyDescent="0.3">
      <c r="B30" s="4" t="s">
        <v>287</v>
      </c>
      <c r="C30" s="5">
        <f>'CW losslG,losslA,interLD'!BB11</f>
        <v>0.99347995315610327</v>
      </c>
      <c r="D30" s="5">
        <f>'CW losslG,losslA,interLD'!BC11</f>
        <v>0.95646775862128031</v>
      </c>
      <c r="E30" s="5">
        <f>'CW losslG,losslA,interLD'!BD11</f>
        <v>0.99694347183878018</v>
      </c>
    </row>
    <row r="31" spans="2:5" x14ac:dyDescent="0.3">
      <c r="B31" s="6" t="s">
        <v>288</v>
      </c>
      <c r="C31" s="7">
        <f>'CW losslG,losslA,interLD'!BB12</f>
        <v>0.98761021255364057</v>
      </c>
      <c r="D31" s="7">
        <f>'CW losslG,losslA,interLD'!BC12</f>
        <v>0.93376863076645433</v>
      </c>
      <c r="E31" s="7">
        <f>'CW losslG,losslA,interLD'!BD12</f>
        <v>0.99417312017311854</v>
      </c>
    </row>
    <row r="32" spans="2:5" x14ac:dyDescent="0.3">
      <c r="B32" t="s">
        <v>297</v>
      </c>
      <c r="C32" s="58">
        <f>'CW losslG,losslA,interLD'!AW16</f>
        <v>0.46978553535870393</v>
      </c>
      <c r="D32" s="58"/>
      <c r="E32" s="58"/>
    </row>
    <row r="33" spans="2:12" x14ac:dyDescent="0.3">
      <c r="B33" s="9" t="s">
        <v>298</v>
      </c>
      <c r="C33" s="59">
        <f>'CW losslG,losslA,interLD'!AY16</f>
        <v>0.85805458908688004</v>
      </c>
      <c r="D33" s="59"/>
      <c r="E33" s="59"/>
    </row>
    <row r="35" spans="2:12" s="1" customFormat="1" x14ac:dyDescent="0.3">
      <c r="B35" s="1" t="s">
        <v>541</v>
      </c>
    </row>
    <row r="37" spans="2:12" x14ac:dyDescent="0.3">
      <c r="B37" s="60" t="s">
        <v>542</v>
      </c>
      <c r="C37" s="61" t="s">
        <v>543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235</v>
      </c>
      <c r="D38" s="62"/>
      <c r="E38" s="63" t="s">
        <v>240</v>
      </c>
      <c r="F38" s="63"/>
      <c r="G38" s="63"/>
      <c r="H38" s="62" t="s">
        <v>247</v>
      </c>
      <c r="I38" s="62"/>
      <c r="J38" s="63" t="s">
        <v>252</v>
      </c>
      <c r="K38" s="63"/>
      <c r="L38" s="63"/>
    </row>
    <row r="39" spans="2:12" x14ac:dyDescent="0.3">
      <c r="B39" s="60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3">
      <c r="B40" s="4" t="s">
        <v>286</v>
      </c>
      <c r="C40" s="5">
        <f>'C2 lossyG,lossyA,interRA'!$BI$30:$BI$30</f>
        <v>-8.4526099020824697E-2</v>
      </c>
      <c r="D40" s="5">
        <f>'C2 lossyG,lossyA,interRA'!$BJ$30:$BJ$30</f>
        <v>-5.4228577966590197E-2</v>
      </c>
      <c r="E40" s="5">
        <f>'C2 lossyG,lossyA,interRA'!$BK$30:$BK$30</f>
        <v>-0.23538717967807093</v>
      </c>
      <c r="F40" s="5">
        <f>'C2 lossyG,lossyA,interRA'!$BL$30:$BL$30</f>
        <v>-0.31088096761739714</v>
      </c>
      <c r="G40" s="5">
        <f>'C2 lossyG,lossyA,interRA'!$BM$30:$BM$30</f>
        <v>-0.29443690967565805</v>
      </c>
      <c r="H40" s="5">
        <f>'C2 lossyG,lossyA,interRA'!$BO$30:$BO$30</f>
        <v>-0.12554726439536246</v>
      </c>
      <c r="I40" s="5">
        <f>'C2 lossyG,lossyA,interRA'!$BP$30:$BP$30</f>
        <v>-7.9024894200072665E-2</v>
      </c>
      <c r="J40" s="5">
        <f>'C2 lossyG,lossyA,interRA'!$BQ$30:$BQ$30</f>
        <v>-0.1583759085252727</v>
      </c>
      <c r="K40" s="5">
        <f>'C2 lossyG,lossyA,interRA'!$BR$30:$BR$30</f>
        <v>-0.21889146380363128</v>
      </c>
      <c r="L40" s="5">
        <f>'C2 lossyG,lossyA,interRA'!$BS$30:$BS$30</f>
        <v>-0.2061306134520165</v>
      </c>
    </row>
    <row r="41" spans="2:12" x14ac:dyDescent="0.3">
      <c r="B41" s="4" t="s">
        <v>287</v>
      </c>
      <c r="C41" s="5">
        <f>'C2 lossyG,lossyA,interRA'!$BI$31:$BI$31</f>
        <v>-1.2639740019754098E-2</v>
      </c>
      <c r="D41" s="5">
        <f>'C2 lossyG,lossyA,interRA'!$BJ$31:$BJ$31</f>
        <v>1.9542711086632414E-2</v>
      </c>
      <c r="E41" s="5">
        <f>'C2 lossyG,lossyA,interRA'!$BK$31:$BK$31</f>
        <v>-0.13579480345894157</v>
      </c>
      <c r="F41" s="5">
        <f>'C2 lossyG,lossyA,interRA'!$BL$31:$BL$31</f>
        <v>-0.18430423417169184</v>
      </c>
      <c r="G41" s="5">
        <f>'C2 lossyG,lossyA,interRA'!$BM$31:$BM$31</f>
        <v>-0.17898251459634495</v>
      </c>
      <c r="H41" s="5">
        <f>'C2 lossyG,lossyA,interRA'!$BO$31:$BO$31</f>
        <v>-6.4552200795928161E-2</v>
      </c>
      <c r="I41" s="5">
        <f>'C2 lossyG,lossyA,interRA'!$BP$31:$BP$31</f>
        <v>2.2621861170954993E-3</v>
      </c>
      <c r="J41" s="5">
        <f>'C2 lossyG,lossyA,interRA'!$BQ$31:$BQ$31</f>
        <v>-9.3307680986114416E-2</v>
      </c>
      <c r="K41" s="5">
        <f>'C2 lossyG,lossyA,interRA'!$BR$31:$BR$31</f>
        <v>-0.13574862391024978</v>
      </c>
      <c r="L41" s="5">
        <f>'C2 lossyG,lossyA,interRA'!$BS$31:$BS$31</f>
        <v>-0.12993696458605175</v>
      </c>
    </row>
    <row r="42" spans="2:12" x14ac:dyDescent="0.3">
      <c r="B42" s="6" t="s">
        <v>288</v>
      </c>
      <c r="C42" s="7">
        <f>'C2 lossyG,lossyA,interRA'!$BI$32:$BI$32</f>
        <v>-7.0148827220610582E-2</v>
      </c>
      <c r="D42" s="7">
        <f>'C2 lossyG,lossyA,interRA'!$BJ$32:$BJ$32</f>
        <v>-3.9474320155945673E-2</v>
      </c>
      <c r="E42" s="7">
        <f>'C2 lossyG,lossyA,interRA'!$BK$32:$BK$32</f>
        <v>-0.21546870443424507</v>
      </c>
      <c r="F42" s="7">
        <f>'C2 lossyG,lossyA,interRA'!$BL$32:$BL$32</f>
        <v>-0.2855656209282561</v>
      </c>
      <c r="G42" s="7">
        <f>'C2 lossyG,lossyA,interRA'!$BM$32:$BM$32</f>
        <v>-0.27134603065979546</v>
      </c>
      <c r="H42" s="7">
        <f>'C2 lossyG,lossyA,interRA'!$BO$32:$BO$32</f>
        <v>-0.1133482516754756</v>
      </c>
      <c r="I42" s="7">
        <f>'C2 lossyG,lossyA,interRA'!$BP$32:$BP$32</f>
        <v>-6.2767478136639035E-2</v>
      </c>
      <c r="J42" s="7">
        <f>'C2 lossyG,lossyA,interRA'!$BQ$32:$BQ$32</f>
        <v>-0.14536226301744104</v>
      </c>
      <c r="K42" s="7">
        <f>'C2 lossyG,lossyA,interRA'!$BR$32:$BR$32</f>
        <v>-0.20226289582495499</v>
      </c>
      <c r="L42" s="7">
        <f>'C2 lossyG,lossyA,interRA'!$BS$32:$BS$32</f>
        <v>-0.19089188367882354</v>
      </c>
    </row>
    <row r="43" spans="2:12" x14ac:dyDescent="0.3">
      <c r="B43" t="s">
        <v>297</v>
      </c>
      <c r="C43" s="58">
        <f>'C2 lossyG,lossyA,interRA'!AZ36</f>
        <v>0.66309202914372367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3">
      <c r="B44" s="9" t="s">
        <v>298</v>
      </c>
      <c r="C44" s="59">
        <f>'C2 lossyG,lossyA,interRA'!BB36</f>
        <v>0.89168546278808869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1" operator="greaterThanOrEqual">
      <formula>1.03</formula>
    </cfRule>
    <cfRule type="cellIs" dxfId="104" priority="22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9" operator="greaterThanOrEqual">
      <formula>0.03</formula>
    </cfRule>
    <cfRule type="cellIs" dxfId="100" priority="40" operator="lessThanOrEqual">
      <formula>-0.03</formula>
    </cfRule>
  </conditionalFormatting>
  <conditionalFormatting sqref="C9 C10 C11">
    <cfRule type="cellIs" dxfId="99" priority="13" operator="greaterThanOrEqual">
      <formula>0.03</formula>
    </cfRule>
    <cfRule type="cellIs" dxfId="98" priority="14" operator="lessThanOrEqual">
      <formula>-0.03</formula>
    </cfRule>
  </conditionalFormatting>
  <conditionalFormatting sqref="D18 D19 D20">
    <cfRule type="cellIs" dxfId="97" priority="23" operator="greaterThanOrEqual">
      <formula>1.03</formula>
    </cfRule>
    <cfRule type="cellIs" dxfId="96" priority="24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41" operator="greaterThanOrEqual">
      <formula>0.03</formula>
    </cfRule>
    <cfRule type="cellIs" dxfId="92" priority="42" operator="lessThanOrEqual">
      <formula>-0.03</formula>
    </cfRule>
  </conditionalFormatting>
  <conditionalFormatting sqref="D9 D10 D11">
    <cfRule type="cellIs" dxfId="91" priority="11" operator="greaterThanOrEqual">
      <formula>0.03</formula>
    </cfRule>
    <cfRule type="cellIs" dxfId="90" priority="12" operator="lessThanOrEqual">
      <formula>-0.03</formula>
    </cfRule>
  </conditionalFormatting>
  <conditionalFormatting sqref="E18 E19 E20">
    <cfRule type="cellIs" dxfId="89" priority="25" operator="greaterThanOrEqual">
      <formula>1.03</formula>
    </cfRule>
    <cfRule type="cellIs" dxfId="88" priority="26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37" operator="greaterThanOrEqual">
      <formula>0.03</formula>
    </cfRule>
    <cfRule type="cellIs" dxfId="84" priority="38" operator="lessThanOrEqual">
      <formula>-0.03</formula>
    </cfRule>
  </conditionalFormatting>
  <conditionalFormatting sqref="E9 E10 E11">
    <cfRule type="cellIs" dxfId="83" priority="15" operator="greaterThanOrEqual">
      <formula>0.03</formula>
    </cfRule>
    <cfRule type="cellIs" dxfId="82" priority="16" operator="lessThanOrEqual">
      <formula>-0.03</formula>
    </cfRule>
  </conditionalFormatting>
  <conditionalFormatting sqref="F40 F41 F42">
    <cfRule type="cellIs" dxfId="81" priority="51" operator="greaterThanOrEqual">
      <formula>0.03</formula>
    </cfRule>
    <cfRule type="cellIs" dxfId="80" priority="52" operator="lessThanOrEqual">
      <formula>-0.03</formula>
    </cfRule>
  </conditionalFormatting>
  <conditionalFormatting sqref="F9 F10 F11">
    <cfRule type="cellIs" dxfId="79" priority="3" operator="greaterThanOrEqual">
      <formula>0.03</formula>
    </cfRule>
    <cfRule type="cellIs" dxfId="78" priority="4" operator="lessThanOrEqual">
      <formula>-0.03</formula>
    </cfRule>
  </conditionalFormatting>
  <conditionalFormatting sqref="G40 G41 G42">
    <cfRule type="cellIs" dxfId="77" priority="43" operator="greaterThanOrEqual">
      <formula>0.03</formula>
    </cfRule>
    <cfRule type="cellIs" dxfId="76" priority="44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H9 H10 H11">
    <cfRule type="cellIs" dxfId="71" priority="7" operator="greaterThanOrEqual">
      <formula>0.03</formula>
    </cfRule>
    <cfRule type="cellIs" dxfId="70" priority="8" operator="lessThanOrEqual">
      <formula>-0.03</formula>
    </cfRule>
  </conditionalFormatting>
  <conditionalFormatting sqref="I40 I41 I42">
    <cfRule type="cellIs" dxfId="69" priority="49" operator="greaterThanOrEqual">
      <formula>0.03</formula>
    </cfRule>
    <cfRule type="cellIs" dxfId="68" priority="50" operator="lessThanOrEqual">
      <formula>-0.03</formula>
    </cfRule>
  </conditionalFormatting>
  <conditionalFormatting sqref="I9 I10 I11">
    <cfRule type="cellIs" dxfId="67" priority="1" operator="greaterThanOrEqual">
      <formula>0.03</formula>
    </cfRule>
    <cfRule type="cellIs" dxfId="66" priority="2" operator="lessThanOrEqual">
      <formula>-0.03</formula>
    </cfRule>
  </conditionalFormatting>
  <conditionalFormatting sqref="J40 J41 J42">
    <cfRule type="cellIs" dxfId="65" priority="35" operator="greaterThanOrEqual">
      <formula>0.03</formula>
    </cfRule>
    <cfRule type="cellIs" dxfId="64" priority="36" operator="lessThanOrEqual">
      <formula>-0.03</formula>
    </cfRule>
  </conditionalFormatting>
  <conditionalFormatting sqref="J9 J10 J11">
    <cfRule type="cellIs" dxfId="63" priority="17" operator="greaterThanOrEqual">
      <formula>0.03</formula>
    </cfRule>
    <cfRule type="cellIs" dxfId="62" priority="18" operator="lessThanOrEqual">
      <formula>-0.03</formula>
    </cfRule>
  </conditionalFormatting>
  <conditionalFormatting sqref="K40 K41 K42">
    <cfRule type="cellIs" dxfId="61" priority="47" operator="greaterThanOrEqual">
      <formula>0.03</formula>
    </cfRule>
    <cfRule type="cellIs" dxfId="60" priority="48" operator="lessThanOrEqual">
      <formula>-0.03</formula>
    </cfRule>
  </conditionalFormatting>
  <conditionalFormatting sqref="K9 K10 K11">
    <cfRule type="cellIs" dxfId="59" priority="5" operator="greaterThanOrEqual">
      <formula>0.03</formula>
    </cfRule>
    <cfRule type="cellIs" dxfId="58" priority="6" operator="lessThanOrEqual">
      <formula>-0.03</formula>
    </cfRule>
  </conditionalFormatting>
  <conditionalFormatting sqref="L40 L41 L42">
    <cfRule type="cellIs" dxfId="57" priority="33" operator="greaterThanOrEqual">
      <formula>0.03</formula>
    </cfRule>
    <cfRule type="cellIs" dxfId="56" priority="34" operator="lessThanOrEqual">
      <formula>-0.03</formula>
    </cfRule>
  </conditionalFormatting>
  <conditionalFormatting sqref="L9 L10 L11">
    <cfRule type="cellIs" dxfId="55" priority="19" operator="greaterThanOrEqual">
      <formula>0.03</formula>
    </cfRule>
    <cfRule type="cellIs" dxfId="54" priority="2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3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3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3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3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3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3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3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3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3">
      <c r="I10" t="s">
        <v>19</v>
      </c>
      <c r="J10" t="s">
        <v>20</v>
      </c>
    </row>
    <row r="11" spans="1:16" x14ac:dyDescent="0.3">
      <c r="I11" t="s">
        <v>21</v>
      </c>
      <c r="J11" t="s">
        <v>22</v>
      </c>
    </row>
    <row r="12" spans="1:16" x14ac:dyDescent="0.3">
      <c r="I12" t="s">
        <v>23</v>
      </c>
      <c r="J12" t="s">
        <v>24</v>
      </c>
    </row>
    <row r="13" spans="1:16" x14ac:dyDescent="0.3">
      <c r="I13" t="s">
        <v>25</v>
      </c>
      <c r="J13" t="s">
        <v>26</v>
      </c>
    </row>
    <row r="14" spans="1:16" x14ac:dyDescent="0.3">
      <c r="I14" t="s">
        <v>27</v>
      </c>
      <c r="J14" t="s">
        <v>28</v>
      </c>
    </row>
    <row r="15" spans="1:16" x14ac:dyDescent="0.3">
      <c r="I15" t="s">
        <v>29</v>
      </c>
      <c r="J15" t="s">
        <v>30</v>
      </c>
    </row>
    <row r="16" spans="1:16" x14ac:dyDescent="0.3">
      <c r="I16" t="s">
        <v>31</v>
      </c>
      <c r="J16" t="s">
        <v>32</v>
      </c>
    </row>
    <row r="17" spans="9:10" x14ac:dyDescent="0.3">
      <c r="I17" t="s">
        <v>33</v>
      </c>
      <c r="J17" t="s">
        <v>34</v>
      </c>
    </row>
    <row r="18" spans="9:10" x14ac:dyDescent="0.3">
      <c r="I18" t="s">
        <v>35</v>
      </c>
      <c r="J18" t="s">
        <v>36</v>
      </c>
    </row>
    <row r="19" spans="9:10" x14ac:dyDescent="0.3">
      <c r="I19" t="s">
        <v>37</v>
      </c>
      <c r="J19" t="s">
        <v>38</v>
      </c>
    </row>
    <row r="20" spans="9:10" x14ac:dyDescent="0.3">
      <c r="I20" t="s">
        <v>39</v>
      </c>
      <c r="J20" t="s">
        <v>40</v>
      </c>
    </row>
    <row r="21" spans="9:10" x14ac:dyDescent="0.3">
      <c r="I21" t="s">
        <v>41</v>
      </c>
      <c r="J21" t="s">
        <v>42</v>
      </c>
    </row>
    <row r="22" spans="9:10" x14ac:dyDescent="0.3">
      <c r="I22" t="s">
        <v>43</v>
      </c>
      <c r="J22" t="s">
        <v>44</v>
      </c>
    </row>
    <row r="23" spans="9:10" x14ac:dyDescent="0.3">
      <c r="I23" t="s">
        <v>45</v>
      </c>
      <c r="J23" t="s">
        <v>46</v>
      </c>
    </row>
    <row r="24" spans="9:10" x14ac:dyDescent="0.3">
      <c r="I24" t="s">
        <v>47</v>
      </c>
      <c r="J24" t="s">
        <v>48</v>
      </c>
    </row>
    <row r="25" spans="9:10" x14ac:dyDescent="0.3">
      <c r="I25" t="s">
        <v>49</v>
      </c>
      <c r="J25" t="s">
        <v>50</v>
      </c>
    </row>
    <row r="26" spans="9:10" x14ac:dyDescent="0.3">
      <c r="I26" t="s">
        <v>51</v>
      </c>
      <c r="J26" t="s">
        <v>52</v>
      </c>
    </row>
    <row r="27" spans="9:10" x14ac:dyDescent="0.3">
      <c r="I27" t="s">
        <v>53</v>
      </c>
      <c r="J27" t="s">
        <v>54</v>
      </c>
    </row>
    <row r="28" spans="9:10" x14ac:dyDescent="0.3">
      <c r="I28" t="s">
        <v>55</v>
      </c>
      <c r="J28" t="s">
        <v>56</v>
      </c>
    </row>
    <row r="29" spans="9:10" x14ac:dyDescent="0.3">
      <c r="I29" t="s">
        <v>57</v>
      </c>
      <c r="J29" t="s">
        <v>58</v>
      </c>
    </row>
    <row r="30" spans="9:10" x14ac:dyDescent="0.3">
      <c r="I30" t="s">
        <v>59</v>
      </c>
      <c r="J30" t="s">
        <v>60</v>
      </c>
    </row>
    <row r="31" spans="9:10" x14ac:dyDescent="0.3">
      <c r="I31" t="s">
        <v>61</v>
      </c>
      <c r="J31" t="s">
        <v>62</v>
      </c>
    </row>
    <row r="32" spans="9:10" x14ac:dyDescent="0.3">
      <c r="I32" t="s">
        <v>63</v>
      </c>
      <c r="J32" t="s">
        <v>64</v>
      </c>
    </row>
    <row r="33" spans="9:10" x14ac:dyDescent="0.3">
      <c r="I33" t="s">
        <v>65</v>
      </c>
      <c r="J33" t="s">
        <v>66</v>
      </c>
    </row>
    <row r="34" spans="9:10" x14ac:dyDescent="0.3">
      <c r="I34" t="s">
        <v>67</v>
      </c>
      <c r="J34" t="s">
        <v>68</v>
      </c>
    </row>
    <row r="35" spans="9:10" x14ac:dyDescent="0.3">
      <c r="I35" t="s">
        <v>69</v>
      </c>
      <c r="J35" t="s">
        <v>70</v>
      </c>
    </row>
    <row r="36" spans="9:10" x14ac:dyDescent="0.3">
      <c r="I36" t="s">
        <v>71</v>
      </c>
      <c r="J36" t="s">
        <v>72</v>
      </c>
    </row>
    <row r="37" spans="9:10" x14ac:dyDescent="0.3">
      <c r="I37" t="s">
        <v>73</v>
      </c>
      <c r="J37" t="s">
        <v>74</v>
      </c>
    </row>
    <row r="38" spans="9:10" x14ac:dyDescent="0.3">
      <c r="I38" t="s">
        <v>75</v>
      </c>
      <c r="J38" t="s">
        <v>76</v>
      </c>
    </row>
    <row r="39" spans="9:10" x14ac:dyDescent="0.3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S36"/>
  <sheetViews>
    <sheetView tabSelected="1" workbookViewId="0">
      <pane xSplit="2" ySplit="4" topLeftCell="AE5" activePane="bottomRight" state="frozen"/>
      <selection pane="topRight" activeCell="C1" sqref="C1"/>
      <selection pane="bottomLeft" activeCell="A5" sqref="A5"/>
      <selection pane="bottomRight" activeCell="AF1" sqref="AF1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259</v>
      </c>
      <c r="B1" s="68"/>
      <c r="C1" s="68"/>
      <c r="D1" s="68"/>
      <c r="E1" s="68"/>
      <c r="F1" s="68"/>
      <c r="G1" s="68"/>
      <c r="I1" s="64" t="str">
        <f>Summary!C1</f>
        <v>R4.0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R5.0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2.2389975</v>
      </c>
      <c r="J5" s="18">
        <f t="shared" ref="J5:J29" si="1">IF(ISBLANK(S5),"·",S5/D5)</f>
        <v>9.5667015604377459E-2</v>
      </c>
      <c r="K5" s="18">
        <f t="shared" ref="K5:K29" si="2">IF(N5="","·",N5/D5)</f>
        <v>6.1075916243893642E-2</v>
      </c>
      <c r="L5" s="18">
        <f t="shared" ref="L5:L29" si="3">IF(T5="","·",T5/D5)</f>
        <v>3.245333013196703E-2</v>
      </c>
      <c r="M5" s="18">
        <f t="shared" ref="M5:M29" si="4">IF(ISBLANK(V5),"·",V5/D5)</f>
        <v>3.457251284942791E-2</v>
      </c>
      <c r="N5" s="15">
        <f t="shared" ref="N5:N29" si="5">IF(OR(ISBLANK(T5),ISBLANK(U5)),"",T5+U5)</f>
        <v>1524720</v>
      </c>
      <c r="O5" s="18">
        <f t="shared" ref="O5:O29" si="6">IF(ISBLANK(S5),"·",S5/P5)</f>
        <v>6.2198417897163315E-2</v>
      </c>
      <c r="P5" s="19">
        <v>38397504</v>
      </c>
      <c r="Q5" s="19">
        <v>1199922</v>
      </c>
      <c r="R5" s="19">
        <v>531648.28125</v>
      </c>
      <c r="S5" s="20">
        <v>2388264</v>
      </c>
      <c r="T5" s="20">
        <v>810176</v>
      </c>
      <c r="U5" s="20">
        <v>714544</v>
      </c>
      <c r="V5" s="20">
        <v>863080</v>
      </c>
      <c r="W5" s="21">
        <v>66.416709374999996</v>
      </c>
      <c r="X5" s="21">
        <v>68.698793749999993</v>
      </c>
      <c r="Y5" s="21">
        <v>32.138975000000002</v>
      </c>
      <c r="Z5" s="21">
        <v>44.148996875000002</v>
      </c>
      <c r="AA5" s="21">
        <v>43.792149999999999</v>
      </c>
      <c r="AB5" s="22">
        <v>6221.69</v>
      </c>
      <c r="AC5" s="22">
        <v>1176.47</v>
      </c>
      <c r="AD5" s="22">
        <v>8.7650000000000006</v>
      </c>
      <c r="AE5" s="22">
        <v>19.216999999999999</v>
      </c>
      <c r="AG5" s="17">
        <f t="shared" ref="AG5:AG29" si="7">IF(OR(ISBLANK(AQ5),ISBLANK(G5)),"·",AQ5*G5/F5/1000000)</f>
        <v>2.2602000000000002</v>
      </c>
      <c r="AH5" s="18">
        <f t="shared" ref="AH5:AH29" si="8">IF(ISBLANK(AQ5),"·",AQ5/D5)</f>
        <v>9.6572947789809474E-2</v>
      </c>
      <c r="AI5" s="18">
        <f t="shared" ref="AI5:AI29" si="9">IF(AL5="","·",AL5/D5)</f>
        <v>6.1326193228974077E-2</v>
      </c>
      <c r="AJ5" s="18">
        <f t="shared" ref="AJ5:AJ29" si="10">IF(AR5="","·",AR5/D5)</f>
        <v>3.3651198723811698E-2</v>
      </c>
      <c r="AK5" s="18">
        <f t="shared" ref="AK5:AK29" si="11">IF(ISBLANK(AT5),"·",AT5/D5)</f>
        <v>3.522752713560514E-2</v>
      </c>
      <c r="AL5" s="15">
        <f t="shared" ref="AL5:AL29" si="12">IF(OR(ISBLANK(AR5),ISBLANK(AS5)),"",AR5+AS5)</f>
        <v>1530968</v>
      </c>
      <c r="AM5" s="18">
        <f t="shared" ref="AM5:AM29" si="13">IF(ISBLANK(AQ5),"·",AQ5/AN5)</f>
        <v>0.11182882204574458</v>
      </c>
      <c r="AN5" s="19">
        <v>21558664</v>
      </c>
      <c r="AO5" s="19">
        <v>673708.25</v>
      </c>
      <c r="AP5" s="19">
        <v>13654.3125</v>
      </c>
      <c r="AQ5" s="20">
        <v>2410880</v>
      </c>
      <c r="AR5" s="20">
        <v>840080</v>
      </c>
      <c r="AS5" s="20">
        <v>690888</v>
      </c>
      <c r="AT5" s="20">
        <v>879432</v>
      </c>
      <c r="AU5" s="21">
        <v>66.315200000000004</v>
      </c>
      <c r="AV5" s="21">
        <v>68.412687500000004</v>
      </c>
      <c r="AW5" s="21">
        <v>32.179003125000001</v>
      </c>
      <c r="AX5" s="21">
        <v>44.135365624999999</v>
      </c>
      <c r="AY5" s="21">
        <v>43.688628125000001</v>
      </c>
      <c r="AZ5" s="22">
        <v>3841.84</v>
      </c>
      <c r="BA5" s="22">
        <v>1365.07</v>
      </c>
      <c r="BB5" s="22">
        <v>6.6</v>
      </c>
      <c r="BC5" s="22">
        <v>22.597000000000001</v>
      </c>
      <c r="BE5" s="23">
        <f t="shared" ref="BE5:BE29" si="14">(AP5/AO5) - (R5/Q5)</f>
        <v>-0.42280163695857104</v>
      </c>
      <c r="BF5" s="23">
        <f t="shared" ref="BF5:BF29" si="15">(AL5/AQ5) - (N5/S5)</f>
        <v>-3.3973276588245005E-3</v>
      </c>
      <c r="BG5" s="23">
        <f t="array" ref="BG5">AVERAGE(AL5:AL9/AQ5:AQ9) - AVERAGE(N5:N9/S5:S9)</f>
        <v>8.0620210972986994E-3</v>
      </c>
      <c r="BI5" s="24">
        <f>IF( OR(ISBLANK(N5:N9),ISBLANK(AL5:AL9), ISBLANK(W5:W9),ISBLANK(AU5:AU9)), "·", bdRateExtend( N5:N9,W5:W9, AL5:AL9,AU5:AU9))</f>
        <v>1.2475799167706025E-2</v>
      </c>
      <c r="BJ5" s="24">
        <f>IF( OR(ISBLANK(N5:N9),ISBLANK(AL5:AL9), ISBLANK(X5:X9),ISBLANK(AV5:AV9)), "·", bdRateExtend( N5:N9,X5:X9, AL5:AL9,AV5:AV9))</f>
        <v>5.5496769950270863E-2</v>
      </c>
      <c r="BK5" s="24">
        <f>IF( OR(ISBLANK(V5:V9),ISBLANK(AT5:AT9), ISBLANK(Y5:Y9),ISBLANK(AW5:AW9)), "·", bdRateExtend( V5:V9,Y5:Y9, AT5:AT9,AW5:AW9))</f>
        <v>-1.1002595072149624E-2</v>
      </c>
      <c r="BL5" s="24">
        <f>IF( OR(ISBLANK(V5:V9),ISBLANK(AT5:AT9), ISBLANK(Z5:Z9),ISBLANK(AX5:AX9)), "·", bdRateExtend( V5:V9,Z5:Z9, AT5:AT9,AX5:AX9))</f>
        <v>-5.197299216341067E-2</v>
      </c>
      <c r="BM5" s="24">
        <f>IF( OR(ISBLANK(V5:V9),ISBLANK(AT5:AT9), ISBLANK(AA5:AA9),ISBLANK(AY5:AY9)), "·", bdRateExtend( V5:V9,AA5:AA9, AT5:AT9,AY5:AY9))</f>
        <v>-4.6173907834154204E-2</v>
      </c>
      <c r="BO5" s="24">
        <f>IF( OR(ISBLANK(S5:S9),ISBLANK(AQ5:AQ9), ISBLANK(W5:W9),ISBLANK(AU5:AU9)), "·", bdRateExtend( S5:S9,W5:W9, AQ5:AQ9,AU5:AU9))</f>
        <v>4.0714167645516941E-3</v>
      </c>
      <c r="BP5" s="24">
        <f>IF( OR(ISBLANK(S5:S9),ISBLANK(AQ5:AQ9), ISBLANK(X5:X9),ISBLANK(AV5:AV9)), "·", bdRateExtend( S5:S9,X5:X9, AQ5:AQ9,AV5:AV9))</f>
        <v>8.6057225743106036E-2</v>
      </c>
      <c r="BQ5" s="24">
        <f>IF( OR(ISBLANK(S5:S9),ISBLANK(AQ5:AQ9), ISBLANK(Y5:Y9),ISBLANK(AW5:AW9)), "·", bdRateExtend( S5:S9,Y5:Y9, AQ5:AQ9,AW5:AW9))</f>
        <v>-1.7820229407244925E-3</v>
      </c>
      <c r="BR5" s="24">
        <f>IF( OR(ISBLANK(S5:S9),ISBLANK(AQ5:AQ9), ISBLANK(Z5:Z9),ISBLANK(AX5:AX9)), "·", bdRateExtend( S5:S9,Z5:Z9, AQ5:AQ9,AX5:AX9))</f>
        <v>-3.4808737194782169E-2</v>
      </c>
      <c r="BS5" s="24">
        <f>IF( OR(ISBLANK(S5:S9),ISBLANK(AQ5:AQ9), ISBLANK(AA5:AA9),ISBLANK(AY5:AY9)), "·", bdRateExtend( S5:S9,AA5:AA9, AQ5:AQ9,AY5:AY9))</f>
        <v>-3.1115132426809078E-2</v>
      </c>
    </row>
    <row r="6" spans="1:71" outlineLevel="1" x14ac:dyDescent="0.3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3.4658099999999998</v>
      </c>
      <c r="J6" s="28">
        <f t="shared" si="1"/>
        <v>0.1480857836383504</v>
      </c>
      <c r="K6" s="28">
        <f t="shared" si="2"/>
        <v>7.3539774192316956E-2</v>
      </c>
      <c r="L6" s="28">
        <f t="shared" si="3"/>
        <v>4.4917188080390344E-2</v>
      </c>
      <c r="M6" s="28">
        <f t="shared" si="4"/>
        <v>7.4527422934977536E-2</v>
      </c>
      <c r="N6" s="25">
        <f t="shared" si="5"/>
        <v>1835872</v>
      </c>
      <c r="O6" s="28">
        <f t="shared" si="6"/>
        <v>9.6278758119277746E-2</v>
      </c>
      <c r="P6" s="29">
        <v>38397504</v>
      </c>
      <c r="Q6" s="29">
        <v>1199922</v>
      </c>
      <c r="R6" s="29">
        <v>462872.53125</v>
      </c>
      <c r="S6" s="30">
        <v>3696864</v>
      </c>
      <c r="T6" s="30">
        <v>1121328</v>
      </c>
      <c r="U6" s="30">
        <v>714544</v>
      </c>
      <c r="V6" s="30">
        <v>1860528</v>
      </c>
      <c r="W6" s="31">
        <v>68.286290625000007</v>
      </c>
      <c r="X6" s="31">
        <v>70.637731250000002</v>
      </c>
      <c r="Y6" s="31">
        <v>34.415759375</v>
      </c>
      <c r="Z6" s="31">
        <v>45.3825875</v>
      </c>
      <c r="AA6" s="31">
        <v>45.092634375000003</v>
      </c>
      <c r="AB6" s="32">
        <v>6252.6</v>
      </c>
      <c r="AC6" s="32">
        <v>1253.94</v>
      </c>
      <c r="AD6" s="32">
        <v>8.7949999999999999</v>
      </c>
      <c r="AE6" s="32">
        <v>20.2</v>
      </c>
      <c r="AG6" s="27">
        <f t="shared" si="7"/>
        <v>3.5025675000000001</v>
      </c>
      <c r="AH6" s="28">
        <f t="shared" si="8"/>
        <v>0.14965634382257476</v>
      </c>
      <c r="AI6" s="28">
        <f t="shared" si="9"/>
        <v>7.417267693947939E-2</v>
      </c>
      <c r="AJ6" s="28">
        <f t="shared" si="10"/>
        <v>4.6497682434317011E-2</v>
      </c>
      <c r="AK6" s="28">
        <f t="shared" si="11"/>
        <v>7.5464439457865115E-2</v>
      </c>
      <c r="AL6" s="25">
        <f t="shared" si="12"/>
        <v>1851672</v>
      </c>
      <c r="AM6" s="28">
        <f t="shared" si="13"/>
        <v>0.15473381079004003</v>
      </c>
      <c r="AN6" s="29">
        <v>24145156</v>
      </c>
      <c r="AO6" s="29">
        <v>754536.125</v>
      </c>
      <c r="AP6" s="29">
        <v>19085.875</v>
      </c>
      <c r="AQ6" s="30">
        <v>3736072</v>
      </c>
      <c r="AR6" s="30">
        <v>1160784</v>
      </c>
      <c r="AS6" s="30">
        <v>690888</v>
      </c>
      <c r="AT6" s="30">
        <v>1883920</v>
      </c>
      <c r="AU6" s="31">
        <v>68.236996875000003</v>
      </c>
      <c r="AV6" s="31">
        <v>70.346675000000005</v>
      </c>
      <c r="AW6" s="31">
        <v>34.471631250000002</v>
      </c>
      <c r="AX6" s="31">
        <v>45.462893749999999</v>
      </c>
      <c r="AY6" s="31">
        <v>45.183921875000003</v>
      </c>
      <c r="AZ6" s="32">
        <v>3732.89</v>
      </c>
      <c r="BA6" s="32">
        <v>1453.19</v>
      </c>
      <c r="BB6" s="32">
        <v>6.97</v>
      </c>
      <c r="BC6" s="32">
        <v>23.018000000000001</v>
      </c>
      <c r="BE6" s="33">
        <f t="shared" si="14"/>
        <v>-0.36045733737732688</v>
      </c>
      <c r="BF6" s="33">
        <f t="shared" si="15"/>
        <v>-9.8252705842188925E-4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5.7098775000000002</v>
      </c>
      <c r="J7" s="18">
        <f t="shared" si="1"/>
        <v>0.24396942823365536</v>
      </c>
      <c r="K7" s="18">
        <f t="shared" si="2"/>
        <v>9.0964948764319473E-2</v>
      </c>
      <c r="L7" s="18">
        <f t="shared" si="3"/>
        <v>6.2342362652392867E-2</v>
      </c>
      <c r="M7" s="18">
        <f t="shared" si="4"/>
        <v>0.15298589295827997</v>
      </c>
      <c r="N7" s="15">
        <f t="shared" si="5"/>
        <v>2270880</v>
      </c>
      <c r="O7" s="18">
        <f t="shared" si="6"/>
        <v>0.15861801850453613</v>
      </c>
      <c r="P7" s="19">
        <v>38397504</v>
      </c>
      <c r="Q7" s="19">
        <v>1199922</v>
      </c>
      <c r="R7" s="19">
        <v>447546.0625</v>
      </c>
      <c r="S7" s="20">
        <v>6090536</v>
      </c>
      <c r="T7" s="20">
        <v>1556336</v>
      </c>
      <c r="U7" s="20">
        <v>714544</v>
      </c>
      <c r="V7" s="20">
        <v>3819192</v>
      </c>
      <c r="W7" s="21">
        <v>69.664112500000002</v>
      </c>
      <c r="X7" s="21">
        <v>72.339937500000005</v>
      </c>
      <c r="Y7" s="21">
        <v>36.965259375000002</v>
      </c>
      <c r="Z7" s="21">
        <v>46.468137499999997</v>
      </c>
      <c r="AA7" s="21">
        <v>46.330528125000001</v>
      </c>
      <c r="AB7" s="22">
        <v>6209.25</v>
      </c>
      <c r="AC7" s="22">
        <v>1341.58</v>
      </c>
      <c r="AD7" s="22">
        <v>8.8119999999999994</v>
      </c>
      <c r="AE7" s="22">
        <v>20.844000000000001</v>
      </c>
      <c r="AG7" s="17">
        <f t="shared" si="7"/>
        <v>5.7206925000000002</v>
      </c>
      <c r="AH7" s="18">
        <f t="shared" si="8"/>
        <v>0.24443152735335574</v>
      </c>
      <c r="AI7" s="18">
        <f t="shared" si="9"/>
        <v>9.1931126882139613E-2</v>
      </c>
      <c r="AJ7" s="18">
        <f t="shared" si="10"/>
        <v>6.4256132376977221E-2</v>
      </c>
      <c r="AK7" s="18">
        <f t="shared" si="11"/>
        <v>0.15248117304598588</v>
      </c>
      <c r="AL7" s="15">
        <f t="shared" si="12"/>
        <v>2295000</v>
      </c>
      <c r="AM7" s="18">
        <f t="shared" si="13"/>
        <v>0.24609381096693522</v>
      </c>
      <c r="AN7" s="19">
        <v>24795715</v>
      </c>
      <c r="AO7" s="19">
        <v>774866.09375</v>
      </c>
      <c r="AP7" s="19">
        <v>21114.21875</v>
      </c>
      <c r="AQ7" s="20">
        <v>6102072</v>
      </c>
      <c r="AR7" s="20">
        <v>1604112</v>
      </c>
      <c r="AS7" s="20">
        <v>690888</v>
      </c>
      <c r="AT7" s="20">
        <v>3806592</v>
      </c>
      <c r="AU7" s="21">
        <v>69.661175</v>
      </c>
      <c r="AV7" s="21">
        <v>72.030415625000003</v>
      </c>
      <c r="AW7" s="21">
        <v>37.006359375000002</v>
      </c>
      <c r="AX7" s="21">
        <v>46.569612499999998</v>
      </c>
      <c r="AY7" s="21">
        <v>46.45190625</v>
      </c>
      <c r="AZ7" s="22">
        <v>3817.97</v>
      </c>
      <c r="BA7" s="22">
        <v>1545.03</v>
      </c>
      <c r="BB7" s="22">
        <v>7.093</v>
      </c>
      <c r="BC7" s="22">
        <v>23.827000000000002</v>
      </c>
      <c r="BE7" s="23">
        <f t="shared" si="14"/>
        <v>-0.34573043439195683</v>
      </c>
      <c r="BF7" s="23">
        <f t="shared" si="15"/>
        <v>3.2478734436952594E-3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10.03641</v>
      </c>
      <c r="J8" s="28">
        <f t="shared" si="1"/>
        <v>0.42883182856699481</v>
      </c>
      <c r="K8" s="28">
        <f t="shared" si="2"/>
        <v>0.12047359872227351</v>
      </c>
      <c r="L8" s="28">
        <f t="shared" si="3"/>
        <v>9.1851012610346894E-2</v>
      </c>
      <c r="M8" s="28">
        <f t="shared" si="4"/>
        <v>0.30833964333366543</v>
      </c>
      <c r="N8" s="25">
        <f t="shared" si="5"/>
        <v>3007544</v>
      </c>
      <c r="O8" s="28">
        <f t="shared" si="6"/>
        <v>0.27880728914046082</v>
      </c>
      <c r="P8" s="29">
        <v>38397504</v>
      </c>
      <c r="Q8" s="29">
        <v>1199922</v>
      </c>
      <c r="R8" s="29">
        <v>413736.75</v>
      </c>
      <c r="S8" s="30">
        <v>10705504</v>
      </c>
      <c r="T8" s="30">
        <v>2293000</v>
      </c>
      <c r="U8" s="30">
        <v>714544</v>
      </c>
      <c r="V8" s="30">
        <v>7697496</v>
      </c>
      <c r="W8" s="31">
        <v>70.772203125000004</v>
      </c>
      <c r="X8" s="31">
        <v>73.601446874999993</v>
      </c>
      <c r="Y8" s="31">
        <v>39.627793750000002</v>
      </c>
      <c r="Z8" s="31">
        <v>47.792531250000003</v>
      </c>
      <c r="AA8" s="31">
        <v>47.850837499999997</v>
      </c>
      <c r="AB8" s="32">
        <v>6230.68</v>
      </c>
      <c r="AC8" s="32">
        <v>1478.15</v>
      </c>
      <c r="AD8" s="32">
        <v>8.7050000000000001</v>
      </c>
      <c r="AE8" s="32">
        <v>20.779</v>
      </c>
      <c r="AG8" s="27">
        <f t="shared" si="7"/>
        <v>9.9447899999999994</v>
      </c>
      <c r="AH8" s="28">
        <f t="shared" si="8"/>
        <v>0.42491712479011562</v>
      </c>
      <c r="AI8" s="28">
        <f t="shared" si="9"/>
        <v>0.12183233677187794</v>
      </c>
      <c r="AJ8" s="28">
        <f t="shared" si="10"/>
        <v>9.4157342266715557E-2</v>
      </c>
      <c r="AK8" s="28">
        <f t="shared" si="11"/>
        <v>0.30306556059300743</v>
      </c>
      <c r="AL8" s="25">
        <f t="shared" si="12"/>
        <v>3041464</v>
      </c>
      <c r="AM8" s="28">
        <f t="shared" si="13"/>
        <v>0.4085908659909599</v>
      </c>
      <c r="AN8" s="29">
        <v>25961853</v>
      </c>
      <c r="AO8" s="29">
        <v>811307.90625</v>
      </c>
      <c r="AP8" s="29">
        <v>24718.375</v>
      </c>
      <c r="AQ8" s="30">
        <v>10607776</v>
      </c>
      <c r="AR8" s="30">
        <v>2350576</v>
      </c>
      <c r="AS8" s="30">
        <v>690888</v>
      </c>
      <c r="AT8" s="30">
        <v>7565832</v>
      </c>
      <c r="AU8" s="31">
        <v>70.739718749999994</v>
      </c>
      <c r="AV8" s="31">
        <v>73.278437499999995</v>
      </c>
      <c r="AW8" s="31">
        <v>39.627543750000001</v>
      </c>
      <c r="AX8" s="31">
        <v>47.914721874999998</v>
      </c>
      <c r="AY8" s="31">
        <v>47.954315625</v>
      </c>
      <c r="AZ8" s="32">
        <v>3869.88</v>
      </c>
      <c r="BA8" s="32">
        <v>1692.17</v>
      </c>
      <c r="BB8" s="32">
        <v>6.9039999999999999</v>
      </c>
      <c r="BC8" s="32">
        <v>23.94</v>
      </c>
      <c r="BE8" s="33">
        <f t="shared" si="14"/>
        <v>-0.31433572039996122</v>
      </c>
      <c r="BF8" s="33">
        <f t="shared" si="15"/>
        <v>5.7858644368625756E-3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18.288855000000002</v>
      </c>
      <c r="J9" s="38">
        <f t="shared" si="1"/>
        <v>0.78143909346535523</v>
      </c>
      <c r="K9" s="38">
        <f t="shared" si="2"/>
        <v>0.17030980309073651</v>
      </c>
      <c r="L9" s="38">
        <f t="shared" si="3"/>
        <v>0.1416872169788099</v>
      </c>
      <c r="M9" s="38">
        <f t="shared" si="4"/>
        <v>0.61111070386356281</v>
      </c>
      <c r="N9" s="35">
        <f t="shared" si="5"/>
        <v>4251672</v>
      </c>
      <c r="O9" s="38">
        <f t="shared" si="6"/>
        <v>0.5080567736902899</v>
      </c>
      <c r="P9" s="39">
        <v>38397504</v>
      </c>
      <c r="Q9" s="39">
        <v>1199922</v>
      </c>
      <c r="R9" s="39">
        <v>407878.46875</v>
      </c>
      <c r="S9" s="40">
        <v>19508112</v>
      </c>
      <c r="T9" s="40">
        <v>3537128</v>
      </c>
      <c r="U9" s="40">
        <v>714544</v>
      </c>
      <c r="V9" s="40">
        <v>15255976</v>
      </c>
      <c r="W9" s="41">
        <v>71.648624999999996</v>
      </c>
      <c r="X9" s="41">
        <v>74.759387500000003</v>
      </c>
      <c r="Y9" s="41">
        <v>42.201481250000001</v>
      </c>
      <c r="Z9" s="41">
        <v>49.403550000000003</v>
      </c>
      <c r="AA9" s="41">
        <v>49.534043750000002</v>
      </c>
      <c r="AB9" s="42">
        <v>6235.8</v>
      </c>
      <c r="AC9" s="42">
        <v>1705.22</v>
      </c>
      <c r="AD9" s="42">
        <v>8.7270000000000003</v>
      </c>
      <c r="AE9" s="42">
        <v>22.068999999999999</v>
      </c>
      <c r="AG9" s="37">
        <f t="shared" si="7"/>
        <v>18.085319999999999</v>
      </c>
      <c r="AH9" s="38">
        <f t="shared" si="8"/>
        <v>0.77274252903371254</v>
      </c>
      <c r="AI9" s="38">
        <f t="shared" si="9"/>
        <v>0.19596752023215835</v>
      </c>
      <c r="AJ9" s="38">
        <f t="shared" si="10"/>
        <v>0.14397528058120981</v>
      </c>
      <c r="AK9" s="38">
        <f t="shared" si="11"/>
        <v>0.57675578137632388</v>
      </c>
      <c r="AL9" s="35">
        <f t="shared" si="12"/>
        <v>4892200</v>
      </c>
      <c r="AM9" s="38">
        <f t="shared" si="13"/>
        <v>0.77105290105785806</v>
      </c>
      <c r="AN9" s="39">
        <v>25019046</v>
      </c>
      <c r="AO9" s="39">
        <v>781845.1875</v>
      </c>
      <c r="AP9" s="39">
        <v>10463.8125</v>
      </c>
      <c r="AQ9" s="40">
        <v>19291008</v>
      </c>
      <c r="AR9" s="40">
        <v>3594248</v>
      </c>
      <c r="AS9" s="40">
        <v>1297952</v>
      </c>
      <c r="AT9" s="40">
        <v>14398328</v>
      </c>
      <c r="AU9" s="41">
        <v>72.071484374999997</v>
      </c>
      <c r="AV9" s="41">
        <v>75.303931250000005</v>
      </c>
      <c r="AW9" s="41">
        <v>42.046362500000001</v>
      </c>
      <c r="AX9" s="41">
        <v>49.444537500000003</v>
      </c>
      <c r="AY9" s="41">
        <v>49.603828125</v>
      </c>
      <c r="AZ9" s="42">
        <v>3760.15</v>
      </c>
      <c r="BA9" s="42">
        <v>1888.67</v>
      </c>
      <c r="BB9" s="42">
        <v>6.6660000000000004</v>
      </c>
      <c r="BC9" s="42">
        <v>24.802</v>
      </c>
      <c r="BE9" s="43">
        <f t="shared" si="14"/>
        <v>-0.32653733488495068</v>
      </c>
      <c r="BF9" s="43">
        <f t="shared" si="15"/>
        <v>3.5656222323182413E-2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3.2478975000000001</v>
      </c>
      <c r="J10" s="28">
        <f t="shared" si="1"/>
        <v>0.15292236886426089</v>
      </c>
      <c r="K10" s="28">
        <f t="shared" si="2"/>
        <v>7.8420152136486468E-2</v>
      </c>
      <c r="L10" s="28">
        <f t="shared" si="3"/>
        <v>3.8161291195428923E-2</v>
      </c>
      <c r="M10" s="28">
        <f t="shared" si="4"/>
        <v>7.4481735407025865E-2</v>
      </c>
      <c r="N10" s="25">
        <f t="shared" si="5"/>
        <v>1776592</v>
      </c>
      <c r="O10" s="28">
        <f t="shared" si="6"/>
        <v>0.10097865017628295</v>
      </c>
      <c r="P10" s="29">
        <v>34308480</v>
      </c>
      <c r="Q10" s="29">
        <v>1072140</v>
      </c>
      <c r="R10" s="29">
        <v>447339.625</v>
      </c>
      <c r="S10" s="30">
        <v>3464424</v>
      </c>
      <c r="T10" s="30">
        <v>864536</v>
      </c>
      <c r="U10" s="30">
        <v>912056</v>
      </c>
      <c r="V10" s="30">
        <v>1687368</v>
      </c>
      <c r="W10" s="31">
        <v>65.922443749999999</v>
      </c>
      <c r="X10" s="31">
        <v>68.081450000000004</v>
      </c>
      <c r="Y10" s="31">
        <v>32.486703124999998</v>
      </c>
      <c r="Z10" s="31">
        <v>39.230165624999998</v>
      </c>
      <c r="AA10" s="31">
        <v>32.191012499999999</v>
      </c>
      <c r="AB10" s="32">
        <v>5704.47</v>
      </c>
      <c r="AC10" s="32">
        <v>1317.93</v>
      </c>
      <c r="AD10" s="32">
        <v>8.3439999999999994</v>
      </c>
      <c r="AE10" s="32">
        <v>21.634</v>
      </c>
      <c r="AG10" s="27">
        <f t="shared" si="7"/>
        <v>3.2841450000000001</v>
      </c>
      <c r="AH10" s="28">
        <f t="shared" si="8"/>
        <v>0.15462902788456781</v>
      </c>
      <c r="AI10" s="28">
        <f t="shared" si="9"/>
        <v>7.9413143066571934E-2</v>
      </c>
      <c r="AJ10" s="28">
        <f t="shared" si="10"/>
        <v>4.0193885716613822E-2</v>
      </c>
      <c r="AK10" s="28">
        <f t="shared" si="11"/>
        <v>7.5194697244807707E-2</v>
      </c>
      <c r="AL10" s="25">
        <f t="shared" si="12"/>
        <v>1799088</v>
      </c>
      <c r="AM10" s="28">
        <f t="shared" si="13"/>
        <v>0.16991598367702823</v>
      </c>
      <c r="AN10" s="29">
        <v>20616589</v>
      </c>
      <c r="AO10" s="29">
        <v>644268.40625</v>
      </c>
      <c r="AP10" s="29">
        <v>18739.96875</v>
      </c>
      <c r="AQ10" s="30">
        <v>3503088</v>
      </c>
      <c r="AR10" s="30">
        <v>910584</v>
      </c>
      <c r="AS10" s="30">
        <v>888504</v>
      </c>
      <c r="AT10" s="30">
        <v>1703520</v>
      </c>
      <c r="AU10" s="31">
        <v>65.911412499999997</v>
      </c>
      <c r="AV10" s="31">
        <v>67.863568749999999</v>
      </c>
      <c r="AW10" s="31">
        <v>32.553737499999997</v>
      </c>
      <c r="AX10" s="31">
        <v>39.252949999999998</v>
      </c>
      <c r="AY10" s="31">
        <v>32.229006249999998</v>
      </c>
      <c r="AZ10" s="32">
        <v>4137.4799999999996</v>
      </c>
      <c r="BA10" s="32">
        <v>1364.41</v>
      </c>
      <c r="BB10" s="32">
        <v>5.9390000000000001</v>
      </c>
      <c r="BC10" s="32">
        <v>21.024999999999999</v>
      </c>
      <c r="BE10" s="33">
        <f t="shared" si="14"/>
        <v>-0.38815272862181199</v>
      </c>
      <c r="BF10" s="33">
        <f t="shared" si="15"/>
        <v>7.6181529811825133E-4</v>
      </c>
      <c r="BG10" s="33">
        <f t="array" ref="BG10">AVERAGE(AL10:AL14/AQ10:AQ14) - AVERAGE(N10:N14/S10:S14)</f>
        <v>1.0750814287830479E-2</v>
      </c>
      <c r="BI10" s="34">
        <f>IF( OR(ISBLANK(N10:N14),ISBLANK(AL10:AL14), ISBLANK(W10:W14),ISBLANK(AU10:AU14)), "·", bdRateExtend( N10:N14,W10:W14, AL10:AL14,AU10:AU14))</f>
        <v>1.8427201701561202E-2</v>
      </c>
      <c r="BJ10" s="34">
        <f>IF( OR(ISBLANK(N10:N14),ISBLANK(AL10:AL14), ISBLANK(X10:X14),ISBLANK(AV10:AV14)), "·", bdRateExtend( N10:N14,X10:X14, AL10:AL14,AV10:AV14))</f>
        <v>4.8841203545098022E-2</v>
      </c>
      <c r="BK10" s="34">
        <f>IF( OR(ISBLANK(V10:V14),ISBLANK(AT10:AT14), ISBLANK(Y10:Y14),ISBLANK(AW10:AW14)), "·", bdRateExtend( V10:V14,Y10:Y14, AT10:AT14,AW10:AW14))</f>
        <v>-1.2955384055414521E-2</v>
      </c>
      <c r="BL10" s="34">
        <f>IF( OR(ISBLANK(V10:V14),ISBLANK(AT10:AT14), ISBLANK(Z10:Z14),ISBLANK(AX10:AX14)), "·", bdRateExtend( V10:V14,Z10:Z14, AT10:AT14,AX10:AX14))</f>
        <v>-3.3388451801257046E-2</v>
      </c>
      <c r="BM10" s="34">
        <f>IF( OR(ISBLANK(V10:V14),ISBLANK(AT10:AT14), ISBLANK(AA10:AA14),ISBLANK(AY10:AY14)), "·", bdRateExtend( V10:V14,AA10:AA14, AT10:AT14,AY10:AY14))</f>
        <v>-2.7746943259016499E-2</v>
      </c>
      <c r="BO10" s="34">
        <f>IF( OR(ISBLANK(S10:S14),ISBLANK(AQ10:AQ14), ISBLANK(W10:W14),ISBLANK(AU10:AU14)), "·", bdRateExtend( S10:S14,W10:W14, AQ10:AQ14,AU10:AU14))</f>
        <v>1.5308390182804388E-3</v>
      </c>
      <c r="BP10" s="34">
        <f>IF( OR(ISBLANK(S10:S14),ISBLANK(AQ10:AQ14), ISBLANK(X10:X14),ISBLANK(AV10:AV14)), "·", bdRateExtend( S10:S14,X10:X14, AQ10:AQ14,AV10:AV14))</f>
        <v>5.6755743734831388E-2</v>
      </c>
      <c r="BQ10" s="34">
        <f>IF( OR(ISBLANK(S10:S14),ISBLANK(AQ10:AQ14), ISBLANK(Y10:Y14),ISBLANK(AW10:AW14)), "·", bdRateExtend( S10:S14,Y10:Y14, AQ10:AQ14,AW10:AW14))</f>
        <v>-1.0482333919403786E-3</v>
      </c>
      <c r="BR10" s="34">
        <f>IF( OR(ISBLANK(S10:S14),ISBLANK(AQ10:AQ14), ISBLANK(Z10:Z14),ISBLANK(AX10:AX14)), "·", bdRateExtend( S10:S14,Z10:Z14, AQ10:AQ14,AX10:AX14))</f>
        <v>-1.8049777252144628E-2</v>
      </c>
      <c r="BS10" s="34">
        <f>IF( OR(ISBLANK(S10:S14),ISBLANK(AQ10:AQ14), ISBLANK(AA10:AA14),ISBLANK(AY10:AY14)), "·", bdRateExtend( S10:S14,AA10:AA14, AQ10:AQ14,AY10:AY14))</f>
        <v>-1.4142205675647057E-2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4.7065950000000001</v>
      </c>
      <c r="J11" s="18">
        <f t="shared" si="1"/>
        <v>0.22160294673236638</v>
      </c>
      <c r="K11" s="18">
        <f t="shared" si="2"/>
        <v>9.4178056568966495E-2</v>
      </c>
      <c r="L11" s="18">
        <f t="shared" si="3"/>
        <v>5.3919195627908957E-2</v>
      </c>
      <c r="M11" s="18">
        <f t="shared" si="4"/>
        <v>0.12740440884265133</v>
      </c>
      <c r="N11" s="15">
        <f t="shared" si="5"/>
        <v>2133584</v>
      </c>
      <c r="O11" s="18">
        <f t="shared" si="6"/>
        <v>0.14633023672281606</v>
      </c>
      <c r="P11" s="19">
        <v>34308480</v>
      </c>
      <c r="Q11" s="19">
        <v>1072140</v>
      </c>
      <c r="R11" s="19">
        <v>396273.4375</v>
      </c>
      <c r="S11" s="20">
        <v>5020368</v>
      </c>
      <c r="T11" s="20">
        <v>1221528</v>
      </c>
      <c r="U11" s="20">
        <v>912056</v>
      </c>
      <c r="V11" s="20">
        <v>2886320</v>
      </c>
      <c r="W11" s="21">
        <v>67.684212500000001</v>
      </c>
      <c r="X11" s="21">
        <v>69.940759374999999</v>
      </c>
      <c r="Y11" s="21">
        <v>34.383265625</v>
      </c>
      <c r="Z11" s="21">
        <v>40.103784374999996</v>
      </c>
      <c r="AA11" s="21">
        <v>33.969434374999999</v>
      </c>
      <c r="AB11" s="22">
        <v>5697.55</v>
      </c>
      <c r="AC11" s="22">
        <v>1404.92</v>
      </c>
      <c r="AD11" s="22">
        <v>8.3710000000000004</v>
      </c>
      <c r="AE11" s="22">
        <v>22.846</v>
      </c>
      <c r="AG11" s="17">
        <f t="shared" si="7"/>
        <v>4.7411624999999997</v>
      </c>
      <c r="AH11" s="18">
        <f t="shared" si="8"/>
        <v>0.22323050547943749</v>
      </c>
      <c r="AI11" s="18">
        <f t="shared" si="9"/>
        <v>9.547614855296159E-2</v>
      </c>
      <c r="AJ11" s="18">
        <f t="shared" si="10"/>
        <v>5.6256891203003478E-2</v>
      </c>
      <c r="AK11" s="18">
        <f t="shared" si="11"/>
        <v>0.12773316935328774</v>
      </c>
      <c r="AL11" s="15">
        <f t="shared" si="12"/>
        <v>2162992</v>
      </c>
      <c r="AM11" s="18">
        <f t="shared" si="13"/>
        <v>0.22622489015059458</v>
      </c>
      <c r="AN11" s="19">
        <v>22354923</v>
      </c>
      <c r="AO11" s="19">
        <v>698591.34375</v>
      </c>
      <c r="AP11" s="19">
        <v>24804.25</v>
      </c>
      <c r="AQ11" s="20">
        <v>5057240</v>
      </c>
      <c r="AR11" s="20">
        <v>1274488</v>
      </c>
      <c r="AS11" s="20">
        <v>888504</v>
      </c>
      <c r="AT11" s="20">
        <v>2893768</v>
      </c>
      <c r="AU11" s="21">
        <v>67.647353124999995</v>
      </c>
      <c r="AV11" s="21">
        <v>69.711856249999997</v>
      </c>
      <c r="AW11" s="21">
        <v>34.420765625000001</v>
      </c>
      <c r="AX11" s="21">
        <v>40.133781249999998</v>
      </c>
      <c r="AY11" s="21">
        <v>34.021765625</v>
      </c>
      <c r="AZ11" s="22">
        <v>3969.33</v>
      </c>
      <c r="BA11" s="22">
        <v>1439.11</v>
      </c>
      <c r="BB11" s="22">
        <v>6.5570000000000004</v>
      </c>
      <c r="BC11" s="22">
        <v>22.521999999999998</v>
      </c>
      <c r="BE11" s="23">
        <f t="shared" si="14"/>
        <v>-0.3341036933182055</v>
      </c>
      <c r="BF11" s="23">
        <f t="shared" si="15"/>
        <v>2.7164879935423492E-3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7.3535399999999997</v>
      </c>
      <c r="J12" s="28">
        <f t="shared" si="1"/>
        <v>0.34623037098248849</v>
      </c>
      <c r="K12" s="28">
        <f t="shared" si="2"/>
        <v>0.11759314995165041</v>
      </c>
      <c r="L12" s="28">
        <f t="shared" si="3"/>
        <v>7.733428901059286E-2</v>
      </c>
      <c r="M12" s="28">
        <f t="shared" si="4"/>
        <v>0.22861673971008956</v>
      </c>
      <c r="N12" s="25">
        <f t="shared" si="5"/>
        <v>2664048</v>
      </c>
      <c r="O12" s="28">
        <f t="shared" si="6"/>
        <v>0.22862499300464492</v>
      </c>
      <c r="P12" s="29">
        <v>34308480</v>
      </c>
      <c r="Q12" s="29">
        <v>1072140</v>
      </c>
      <c r="R12" s="29">
        <v>386071.75</v>
      </c>
      <c r="S12" s="30">
        <v>7843776</v>
      </c>
      <c r="T12" s="30">
        <v>1751992</v>
      </c>
      <c r="U12" s="30">
        <v>912056</v>
      </c>
      <c r="V12" s="30">
        <v>5179264</v>
      </c>
      <c r="W12" s="31">
        <v>69.053790625000005</v>
      </c>
      <c r="X12" s="31">
        <v>71.606925000000004</v>
      </c>
      <c r="Y12" s="31">
        <v>36.512599999999999</v>
      </c>
      <c r="Z12" s="31">
        <v>41.009599999999999</v>
      </c>
      <c r="AA12" s="31">
        <v>35.754884375000003</v>
      </c>
      <c r="AB12" s="32">
        <v>5690.88</v>
      </c>
      <c r="AC12" s="32">
        <v>1488.56</v>
      </c>
      <c r="AD12" s="32">
        <v>8.4</v>
      </c>
      <c r="AE12" s="32">
        <v>22.803999999999998</v>
      </c>
      <c r="AG12" s="27">
        <f t="shared" si="7"/>
        <v>7.3449150000000003</v>
      </c>
      <c r="AH12" s="28">
        <f t="shared" si="8"/>
        <v>0.34582427582971531</v>
      </c>
      <c r="AI12" s="28">
        <f t="shared" si="9"/>
        <v>0.11914054904682626</v>
      </c>
      <c r="AJ12" s="28">
        <f t="shared" si="10"/>
        <v>7.9921291696868152E-2</v>
      </c>
      <c r="AK12" s="28">
        <f t="shared" si="11"/>
        <v>0.22666253920970086</v>
      </c>
      <c r="AL12" s="25">
        <f t="shared" si="12"/>
        <v>2699104</v>
      </c>
      <c r="AM12" s="28">
        <f t="shared" si="13"/>
        <v>0.34446502894981856</v>
      </c>
      <c r="AN12" s="29">
        <v>22744184</v>
      </c>
      <c r="AO12" s="29">
        <v>710755.75</v>
      </c>
      <c r="AP12" s="29">
        <v>26442.53125</v>
      </c>
      <c r="AQ12" s="30">
        <v>7834576</v>
      </c>
      <c r="AR12" s="30">
        <v>1810600</v>
      </c>
      <c r="AS12" s="30">
        <v>888504</v>
      </c>
      <c r="AT12" s="30">
        <v>5134992</v>
      </c>
      <c r="AU12" s="31">
        <v>69.019006250000004</v>
      </c>
      <c r="AV12" s="31">
        <v>71.354128125000003</v>
      </c>
      <c r="AW12" s="31">
        <v>36.533206249999999</v>
      </c>
      <c r="AX12" s="31">
        <v>41.055356250000003</v>
      </c>
      <c r="AY12" s="31">
        <v>35.828487500000001</v>
      </c>
      <c r="AZ12" s="32">
        <v>3984.15</v>
      </c>
      <c r="BA12" s="32">
        <v>1509.97</v>
      </c>
      <c r="BB12" s="32">
        <v>6.4859999999999998</v>
      </c>
      <c r="BC12" s="32">
        <v>22.710999999999999</v>
      </c>
      <c r="BE12" s="33">
        <f t="shared" si="14"/>
        <v>-0.32289112946698162</v>
      </c>
      <c r="BF12" s="33">
        <f t="shared" si="15"/>
        <v>4.8733554732972029E-3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12.851654999999999</v>
      </c>
      <c r="J13" s="18">
        <f t="shared" si="1"/>
        <v>0.60510084644796291</v>
      </c>
      <c r="K13" s="18">
        <f t="shared" si="2"/>
        <v>0.15833861882359621</v>
      </c>
      <c r="L13" s="18">
        <f t="shared" si="3"/>
        <v>0.11807975788253866</v>
      </c>
      <c r="M13" s="18">
        <f t="shared" si="4"/>
        <v>0.44674174630361818</v>
      </c>
      <c r="N13" s="15">
        <f t="shared" si="5"/>
        <v>3587128</v>
      </c>
      <c r="O13" s="18">
        <f t="shared" si="6"/>
        <v>0.39956395619975005</v>
      </c>
      <c r="P13" s="19">
        <v>34308480</v>
      </c>
      <c r="Q13" s="19">
        <v>1072140</v>
      </c>
      <c r="R13" s="19">
        <v>361657.96875</v>
      </c>
      <c r="S13" s="20">
        <v>13708432</v>
      </c>
      <c r="T13" s="20">
        <v>2675072</v>
      </c>
      <c r="U13" s="20">
        <v>912056</v>
      </c>
      <c r="V13" s="20">
        <v>10120840</v>
      </c>
      <c r="W13" s="21">
        <v>70.075603125000001</v>
      </c>
      <c r="X13" s="21">
        <v>72.853009374999999</v>
      </c>
      <c r="Y13" s="21">
        <v>38.88210625</v>
      </c>
      <c r="Z13" s="21">
        <v>42.183790625</v>
      </c>
      <c r="AA13" s="21">
        <v>37.857790625</v>
      </c>
      <c r="AB13" s="22">
        <v>5678.39</v>
      </c>
      <c r="AC13" s="22">
        <v>1649.41</v>
      </c>
      <c r="AD13" s="22">
        <v>8.3940000000000001</v>
      </c>
      <c r="AE13" s="22">
        <v>24.274999999999999</v>
      </c>
      <c r="AG13" s="17">
        <f t="shared" si="7"/>
        <v>12.7149375</v>
      </c>
      <c r="AH13" s="18">
        <f t="shared" si="8"/>
        <v>0.59866370858717777</v>
      </c>
      <c r="AI13" s="18">
        <f t="shared" si="9"/>
        <v>0.16078613665304939</v>
      </c>
      <c r="AJ13" s="18">
        <f t="shared" si="10"/>
        <v>0.12156687930309128</v>
      </c>
      <c r="AK13" s="18">
        <f t="shared" si="11"/>
        <v>0.43785638436094021</v>
      </c>
      <c r="AL13" s="15">
        <f t="shared" si="12"/>
        <v>3642576</v>
      </c>
      <c r="AM13" s="18">
        <f t="shared" si="13"/>
        <v>0.57167663586091721</v>
      </c>
      <c r="AN13" s="19">
        <v>23724251</v>
      </c>
      <c r="AO13" s="19">
        <v>741382.84375</v>
      </c>
      <c r="AP13" s="19">
        <v>30299.78125</v>
      </c>
      <c r="AQ13" s="20">
        <v>13562600</v>
      </c>
      <c r="AR13" s="20">
        <v>2754072</v>
      </c>
      <c r="AS13" s="20">
        <v>888504</v>
      </c>
      <c r="AT13" s="20">
        <v>9919544</v>
      </c>
      <c r="AU13" s="21">
        <v>70.047775000000001</v>
      </c>
      <c r="AV13" s="21">
        <v>72.594934374999994</v>
      </c>
      <c r="AW13" s="21">
        <v>38.872250000000001</v>
      </c>
      <c r="AX13" s="21">
        <v>42.220149999999997</v>
      </c>
      <c r="AY13" s="21">
        <v>37.913215624999999</v>
      </c>
      <c r="AZ13" s="22">
        <v>4111.3599999999997</v>
      </c>
      <c r="BA13" s="22">
        <v>1676.8</v>
      </c>
      <c r="BB13" s="22">
        <v>6.5</v>
      </c>
      <c r="BC13" s="22">
        <v>23.542999999999999</v>
      </c>
      <c r="BE13" s="23">
        <f t="shared" si="14"/>
        <v>-0.29645417712484279</v>
      </c>
      <c r="BF13" s="23">
        <f t="shared" si="15"/>
        <v>6.9019445098111865E-3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23.5180875</v>
      </c>
      <c r="J14" s="48">
        <f t="shared" si="1"/>
        <v>1.1073137781155233</v>
      </c>
      <c r="K14" s="48">
        <f t="shared" si="2"/>
        <v>0.22781620256979662</v>
      </c>
      <c r="L14" s="48">
        <f t="shared" si="3"/>
        <v>0.18755734162873908</v>
      </c>
      <c r="M14" s="48">
        <f t="shared" si="4"/>
        <v>0.87947709422497822</v>
      </c>
      <c r="N14" s="45">
        <f t="shared" si="5"/>
        <v>5161128</v>
      </c>
      <c r="O14" s="48">
        <f t="shared" si="6"/>
        <v>0.73118832428600744</v>
      </c>
      <c r="P14" s="49">
        <v>34308480</v>
      </c>
      <c r="Q14" s="49">
        <v>1072140</v>
      </c>
      <c r="R14" s="49">
        <v>355524.84375</v>
      </c>
      <c r="S14" s="50">
        <v>25085960</v>
      </c>
      <c r="T14" s="50">
        <v>4249072</v>
      </c>
      <c r="U14" s="50">
        <v>912056</v>
      </c>
      <c r="V14" s="50">
        <v>19924368</v>
      </c>
      <c r="W14" s="51">
        <v>70.89464375</v>
      </c>
      <c r="X14" s="51">
        <v>73.923206250000007</v>
      </c>
      <c r="Y14" s="51">
        <v>41.358228124999997</v>
      </c>
      <c r="Z14" s="51">
        <v>43.567978125000003</v>
      </c>
      <c r="AA14" s="51">
        <v>39.821856250000003</v>
      </c>
      <c r="AB14" s="52">
        <v>5700.9</v>
      </c>
      <c r="AC14" s="52">
        <v>1914.77</v>
      </c>
      <c r="AD14" s="52">
        <v>8.1449999999999996</v>
      </c>
      <c r="AE14" s="52">
        <v>24.981000000000002</v>
      </c>
      <c r="AG14" s="47">
        <f t="shared" si="7"/>
        <v>22.974509999999999</v>
      </c>
      <c r="AH14" s="48">
        <f t="shared" si="8"/>
        <v>1.0817202490828761</v>
      </c>
      <c r="AI14" s="48">
        <f t="shared" si="9"/>
        <v>0.26419738449119962</v>
      </c>
      <c r="AJ14" s="48">
        <f t="shared" si="10"/>
        <v>0.19096183151385784</v>
      </c>
      <c r="AK14" s="48">
        <f t="shared" si="11"/>
        <v>0.81750167701848819</v>
      </c>
      <c r="AL14" s="45">
        <f t="shared" si="12"/>
        <v>5985336</v>
      </c>
      <c r="AM14" s="48">
        <f t="shared" si="13"/>
        <v>1.0899352282688379</v>
      </c>
      <c r="AN14" s="49">
        <v>22484037</v>
      </c>
      <c r="AO14" s="49">
        <v>702626.15625</v>
      </c>
      <c r="AP14" s="49">
        <v>14049.1875</v>
      </c>
      <c r="AQ14" s="50">
        <v>24506144</v>
      </c>
      <c r="AR14" s="50">
        <v>4326200</v>
      </c>
      <c r="AS14" s="50">
        <v>1659136</v>
      </c>
      <c r="AT14" s="50">
        <v>18520328</v>
      </c>
      <c r="AU14" s="51">
        <v>71.211693749999995</v>
      </c>
      <c r="AV14" s="51">
        <v>74.745203125000003</v>
      </c>
      <c r="AW14" s="51">
        <v>41.134462499999998</v>
      </c>
      <c r="AX14" s="51">
        <v>43.554187499999998</v>
      </c>
      <c r="AY14" s="51">
        <v>39.763240625000002</v>
      </c>
      <c r="AZ14" s="52">
        <v>4188.3</v>
      </c>
      <c r="BA14" s="52">
        <v>1937.97</v>
      </c>
      <c r="BB14" s="52">
        <v>6.8550000000000004</v>
      </c>
      <c r="BC14" s="52">
        <v>27.992999999999999</v>
      </c>
      <c r="BE14" s="53">
        <f t="shared" si="14"/>
        <v>-0.3116077504740371</v>
      </c>
      <c r="BF14" s="53">
        <f t="shared" si="15"/>
        <v>3.8500468164383517E-2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4.4032200000000001</v>
      </c>
      <c r="J15" s="18">
        <f t="shared" si="1"/>
        <v>0.13835298148759217</v>
      </c>
      <c r="K15" s="18">
        <f t="shared" si="2"/>
        <v>7.681977327607116E-2</v>
      </c>
      <c r="L15" s="18">
        <f t="shared" si="3"/>
        <v>3.8482940149320202E-2</v>
      </c>
      <c r="M15" s="18">
        <f t="shared" si="4"/>
        <v>6.1519540135216155E-2</v>
      </c>
      <c r="N15" s="15">
        <f t="shared" si="5"/>
        <v>2607856</v>
      </c>
      <c r="O15" s="18">
        <f t="shared" si="6"/>
        <v>9.1875755464539882E-2</v>
      </c>
      <c r="P15" s="19">
        <v>51120864</v>
      </c>
      <c r="Q15" s="19">
        <v>1597527</v>
      </c>
      <c r="R15" s="19">
        <v>656460.34375</v>
      </c>
      <c r="S15" s="20">
        <v>4696768</v>
      </c>
      <c r="T15" s="20">
        <v>1306408</v>
      </c>
      <c r="U15" s="20">
        <v>1301448</v>
      </c>
      <c r="V15" s="20">
        <v>2088448</v>
      </c>
      <c r="W15" s="21">
        <v>66.024971875000006</v>
      </c>
      <c r="X15" s="21">
        <v>68.018340624999993</v>
      </c>
      <c r="Y15" s="21">
        <v>29.570159374999999</v>
      </c>
      <c r="Z15" s="21">
        <v>43.18093125</v>
      </c>
      <c r="AA15" s="21">
        <v>43.410262500000002</v>
      </c>
      <c r="AB15" s="22">
        <v>8478.57</v>
      </c>
      <c r="AC15" s="22">
        <v>1381.49</v>
      </c>
      <c r="AD15" s="22">
        <v>11.1</v>
      </c>
      <c r="AE15" s="22">
        <v>22.565999999999999</v>
      </c>
      <c r="AG15" s="17">
        <f t="shared" si="7"/>
        <v>4.5229949999999999</v>
      </c>
      <c r="AH15" s="18">
        <f t="shared" si="8"/>
        <v>0.14211641560119004</v>
      </c>
      <c r="AI15" s="18">
        <f t="shared" si="9"/>
        <v>7.8552555432444673E-2</v>
      </c>
      <c r="AJ15" s="18">
        <f t="shared" si="10"/>
        <v>4.1034864258033488E-2</v>
      </c>
      <c r="AK15" s="18">
        <f t="shared" si="11"/>
        <v>6.3549720779464469E-2</v>
      </c>
      <c r="AL15" s="15">
        <f t="shared" si="12"/>
        <v>2666680</v>
      </c>
      <c r="AM15" s="18">
        <f t="shared" si="13"/>
        <v>0.15553433204203029</v>
      </c>
      <c r="AN15" s="19">
        <v>31019055</v>
      </c>
      <c r="AO15" s="19">
        <v>969345.46875</v>
      </c>
      <c r="AP15" s="19">
        <v>30632.5625</v>
      </c>
      <c r="AQ15" s="20">
        <v>4824528</v>
      </c>
      <c r="AR15" s="20">
        <v>1393040</v>
      </c>
      <c r="AS15" s="20">
        <v>1273640</v>
      </c>
      <c r="AT15" s="20">
        <v>2157368</v>
      </c>
      <c r="AU15" s="21">
        <v>65.993662499999999</v>
      </c>
      <c r="AV15" s="21">
        <v>67.834546875000001</v>
      </c>
      <c r="AW15" s="21">
        <v>29.619846875</v>
      </c>
      <c r="AX15" s="21">
        <v>43.190931249999998</v>
      </c>
      <c r="AY15" s="21">
        <v>43.488174999999998</v>
      </c>
      <c r="AZ15" s="22">
        <v>4708.93</v>
      </c>
      <c r="BA15" s="22">
        <v>1684.82</v>
      </c>
      <c r="BB15" s="22">
        <v>9.7710000000000008</v>
      </c>
      <c r="BC15" s="22">
        <v>28.722999999999999</v>
      </c>
      <c r="BE15" s="23">
        <f t="shared" si="14"/>
        <v>-0.3793215623888132</v>
      </c>
      <c r="BF15" s="23">
        <f t="shared" si="15"/>
        <v>-2.510934833096834E-3</v>
      </c>
      <c r="BG15" s="23">
        <f t="array" ref="BG15">AVERAGE(AL15:AL19/AQ15:AQ19) - AVERAGE(N15:N19/S15:S19)</f>
        <v>8.8658019100503749E-3</v>
      </c>
      <c r="BI15" s="24">
        <f>IF( OR(ISBLANK(N15:N19),ISBLANK(AL15:AL19), ISBLANK(W15:W19),ISBLANK(AU15:AU19)), "·", bdRateExtend( N15:N19,W15:W19, AL15:AL19,AU15:AU19))</f>
        <v>2.3962870121040369E-2</v>
      </c>
      <c r="BJ15" s="24">
        <f>IF( OR(ISBLANK(N15:N19),ISBLANK(AL15:AL19), ISBLANK(X15:X19),ISBLANK(AV15:AV19)), "·", bdRateExtend( N15:N19,X15:X19, AL15:AL19,AV15:AV19))</f>
        <v>5.0581415793679918E-2</v>
      </c>
      <c r="BK15" s="24">
        <f>IF( OR(ISBLANK(V15:V19),ISBLANK(AT15:AT19), ISBLANK(Y15:Y19),ISBLANK(AW15:AW19)), "·", bdRateExtend( V15:V19,Y15:Y19, AT15:AT19,AW15:AW19))</f>
        <v>-5.1297878093875537E-3</v>
      </c>
      <c r="BL15" s="24">
        <f>IF( OR(ISBLANK(V15:V19),ISBLANK(AT15:AT19), ISBLANK(Z15:Z19),ISBLANK(AX15:AX19)), "·", bdRateExtend( V15:V19,Z15:Z19, AT15:AT19,AX15:AX19))</f>
        <v>-1.3617947035504119E-2</v>
      </c>
      <c r="BM15" s="24">
        <f>IF( OR(ISBLANK(V15:V19),ISBLANK(AT15:AT19), ISBLANK(AA15:AA19),ISBLANK(AY15:AY19)), "·", bdRateExtend( V15:V19,AA15:AA19, AT15:AT19,AY15:AY19))</f>
        <v>-5.1013743435067371E-2</v>
      </c>
      <c r="BO15" s="24">
        <f>IF( OR(ISBLANK(S15:S19),ISBLANK(AQ15:AQ19), ISBLANK(W15:W19),ISBLANK(AU15:AU19)), "·", bdRateExtend( S15:S19,W15:W19, AQ15:AQ19,AU15:AU19))</f>
        <v>5.0724810847093682E-3</v>
      </c>
      <c r="BP15" s="24">
        <f>IF( OR(ISBLANK(S15:S19),ISBLANK(AQ15:AQ19), ISBLANK(X15:X19),ISBLANK(AV15:AV19)), "·", bdRateExtend( S15:S19,X15:X19, AQ15:AQ19,AV15:AV19))</f>
        <v>6.1143301865293154E-2</v>
      </c>
      <c r="BQ15" s="24">
        <f>IF( OR(ISBLANK(S15:S19),ISBLANK(AQ15:AQ19), ISBLANK(Y15:Y19),ISBLANK(AW15:AW19)), "·", bdRateExtend( S15:S19,Y15:Y19, AQ15:AQ19,AW15:AW19))</f>
        <v>3.946155654460215E-3</v>
      </c>
      <c r="BR15" s="24">
        <f>IF( OR(ISBLANK(S15:S19),ISBLANK(AQ15:AQ19), ISBLANK(Z15:Z19),ISBLANK(AX15:AX19)), "·", bdRateExtend( S15:S19,Z15:Z19, AQ15:AQ19,AX15:AX19))</f>
        <v>-2.358969048035342E-3</v>
      </c>
      <c r="BS15" s="24">
        <f>IF( OR(ISBLANK(S15:S19),ISBLANK(AQ15:AQ19), ISBLANK(AA15:AA19),ISBLANK(AY15:AY19)), "·", bdRateExtend( S15:S19,AA15:AA19, AQ15:AQ19,AY15:AY19))</f>
        <v>-3.2059759784031194E-2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7.1022224999999999</v>
      </c>
      <c r="J16" s="28">
        <f t="shared" si="1"/>
        <v>0.22315797486004804</v>
      </c>
      <c r="K16" s="28">
        <f t="shared" si="2"/>
        <v>9.2667672095072776E-2</v>
      </c>
      <c r="L16" s="28">
        <f t="shared" si="3"/>
        <v>5.4330838968321818E-2</v>
      </c>
      <c r="M16" s="28">
        <f t="shared" si="4"/>
        <v>0.13047663468867038</v>
      </c>
      <c r="N16" s="25">
        <f t="shared" si="5"/>
        <v>3145856</v>
      </c>
      <c r="O16" s="28">
        <f t="shared" si="6"/>
        <v>0.14819201803787979</v>
      </c>
      <c r="P16" s="29">
        <v>51120864</v>
      </c>
      <c r="Q16" s="29">
        <v>1597527</v>
      </c>
      <c r="R16" s="29">
        <v>583564.46875</v>
      </c>
      <c r="S16" s="30">
        <v>7575704</v>
      </c>
      <c r="T16" s="30">
        <v>1844408</v>
      </c>
      <c r="U16" s="30">
        <v>1301448</v>
      </c>
      <c r="V16" s="30">
        <v>4429384</v>
      </c>
      <c r="W16" s="31">
        <v>67.866721874999996</v>
      </c>
      <c r="X16" s="31">
        <v>70.061300000000003</v>
      </c>
      <c r="Y16" s="31">
        <v>32.027821875000001</v>
      </c>
      <c r="Z16" s="31">
        <v>44.032215624999999</v>
      </c>
      <c r="AA16" s="31">
        <v>44.379300000000001</v>
      </c>
      <c r="AB16" s="32">
        <v>8465.4699999999993</v>
      </c>
      <c r="AC16" s="32">
        <v>1500.96</v>
      </c>
      <c r="AD16" s="32">
        <v>11.08</v>
      </c>
      <c r="AE16" s="32">
        <v>22.789000000000001</v>
      </c>
      <c r="AG16" s="27">
        <f t="shared" si="7"/>
        <v>7.2235199999999997</v>
      </c>
      <c r="AH16" s="28">
        <f t="shared" si="8"/>
        <v>0.22696924724071291</v>
      </c>
      <c r="AI16" s="28">
        <f t="shared" si="9"/>
        <v>9.4459839686426045E-2</v>
      </c>
      <c r="AJ16" s="28">
        <f t="shared" si="10"/>
        <v>5.6942148512014859E-2</v>
      </c>
      <c r="AK16" s="28">
        <f t="shared" si="11"/>
        <v>0.13249526816500595</v>
      </c>
      <c r="AL16" s="25">
        <f t="shared" si="12"/>
        <v>3206696</v>
      </c>
      <c r="AM16" s="28">
        <f t="shared" si="13"/>
        <v>0.22978515408029504</v>
      </c>
      <c r="AN16" s="29">
        <v>33531705</v>
      </c>
      <c r="AO16" s="29">
        <v>1047865.78125</v>
      </c>
      <c r="AP16" s="29">
        <v>38886.46875</v>
      </c>
      <c r="AQ16" s="30">
        <v>7705088</v>
      </c>
      <c r="AR16" s="30">
        <v>1933056</v>
      </c>
      <c r="AS16" s="30">
        <v>1273640</v>
      </c>
      <c r="AT16" s="30">
        <v>4497912</v>
      </c>
      <c r="AU16" s="31">
        <v>67.824271874999994</v>
      </c>
      <c r="AV16" s="31">
        <v>69.877096875000007</v>
      </c>
      <c r="AW16" s="31">
        <v>32.069268749999999</v>
      </c>
      <c r="AX16" s="31">
        <v>44.04045</v>
      </c>
      <c r="AY16" s="31">
        <v>44.459962500000003</v>
      </c>
      <c r="AZ16" s="32">
        <v>4703.78</v>
      </c>
      <c r="BA16" s="32">
        <v>1824.18</v>
      </c>
      <c r="BB16" s="32">
        <v>10.808999999999999</v>
      </c>
      <c r="BC16" s="32">
        <v>30.228999999999999</v>
      </c>
      <c r="BE16" s="33">
        <f t="shared" si="14"/>
        <v>-0.32818223617121195</v>
      </c>
      <c r="BF16" s="33">
        <f t="shared" si="15"/>
        <v>9.2309483322994268E-4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12.10881</v>
      </c>
      <c r="J17" s="18">
        <f t="shared" si="1"/>
        <v>0.38046928515195044</v>
      </c>
      <c r="K17" s="18">
        <f t="shared" si="2"/>
        <v>0.11556617737899201</v>
      </c>
      <c r="L17" s="18">
        <f t="shared" si="3"/>
        <v>7.7229344252241053E-2</v>
      </c>
      <c r="M17" s="18">
        <f t="shared" si="4"/>
        <v>0.26488943969665352</v>
      </c>
      <c r="N17" s="15">
        <f t="shared" si="5"/>
        <v>3923208</v>
      </c>
      <c r="O17" s="18">
        <f t="shared" si="6"/>
        <v>0.25265738857621811</v>
      </c>
      <c r="P17" s="19">
        <v>51120864</v>
      </c>
      <c r="Q17" s="19">
        <v>1597527</v>
      </c>
      <c r="R17" s="19">
        <v>575506</v>
      </c>
      <c r="S17" s="20">
        <v>12916064</v>
      </c>
      <c r="T17" s="20">
        <v>2621760</v>
      </c>
      <c r="U17" s="20">
        <v>1301448</v>
      </c>
      <c r="V17" s="20">
        <v>8992392</v>
      </c>
      <c r="W17" s="21">
        <v>69.267200000000003</v>
      </c>
      <c r="X17" s="21">
        <v>71.919771874999995</v>
      </c>
      <c r="Y17" s="21">
        <v>34.593368750000003</v>
      </c>
      <c r="Z17" s="21">
        <v>44.880912500000001</v>
      </c>
      <c r="AA17" s="21">
        <v>45.309100000000001</v>
      </c>
      <c r="AB17" s="22">
        <v>8460.24</v>
      </c>
      <c r="AC17" s="22">
        <v>1650.71</v>
      </c>
      <c r="AD17" s="22">
        <v>11.08</v>
      </c>
      <c r="AE17" s="22">
        <v>23.783999999999999</v>
      </c>
      <c r="AG17" s="17">
        <f t="shared" si="7"/>
        <v>12.165397499999999</v>
      </c>
      <c r="AH17" s="18">
        <f t="shared" si="8"/>
        <v>0.38224731335402279</v>
      </c>
      <c r="AI17" s="18">
        <f t="shared" si="9"/>
        <v>0.11806413615194988</v>
      </c>
      <c r="AJ17" s="18">
        <f t="shared" si="10"/>
        <v>8.0546444977538698E-2</v>
      </c>
      <c r="AK17" s="18">
        <f t="shared" si="11"/>
        <v>0.264169037812792</v>
      </c>
      <c r="AL17" s="15">
        <f t="shared" si="12"/>
        <v>4008008</v>
      </c>
      <c r="AM17" s="18">
        <f t="shared" si="13"/>
        <v>0.38121923241066075</v>
      </c>
      <c r="AN17" s="19">
        <v>34039269</v>
      </c>
      <c r="AO17" s="19">
        <v>1063727.15625</v>
      </c>
      <c r="AP17" s="19">
        <v>40807.28125</v>
      </c>
      <c r="AQ17" s="20">
        <v>12976424</v>
      </c>
      <c r="AR17" s="20">
        <v>2734368</v>
      </c>
      <c r="AS17" s="20">
        <v>1273640</v>
      </c>
      <c r="AT17" s="20">
        <v>8967936</v>
      </c>
      <c r="AU17" s="21">
        <v>69.261243750000006</v>
      </c>
      <c r="AV17" s="21">
        <v>71.672759374999998</v>
      </c>
      <c r="AW17" s="21">
        <v>34.620125000000002</v>
      </c>
      <c r="AX17" s="21">
        <v>44.856715625</v>
      </c>
      <c r="AY17" s="21">
        <v>45.372</v>
      </c>
      <c r="AZ17" s="22">
        <v>4626.6899999999996</v>
      </c>
      <c r="BA17" s="22">
        <v>1909.29</v>
      </c>
      <c r="BB17" s="22">
        <v>9.7189999999999994</v>
      </c>
      <c r="BC17" s="22">
        <v>28.539000000000001</v>
      </c>
      <c r="BE17" s="23">
        <f t="shared" si="14"/>
        <v>-0.32188551307564173</v>
      </c>
      <c r="BF17" s="23">
        <f t="shared" si="15"/>
        <v>5.1220480330901874E-3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22.181227499999999</v>
      </c>
      <c r="J18" s="28">
        <f t="shared" si="1"/>
        <v>0.69695335633458488</v>
      </c>
      <c r="K18" s="28">
        <f t="shared" si="2"/>
        <v>0.1537578461091258</v>
      </c>
      <c r="L18" s="28">
        <f t="shared" si="3"/>
        <v>0.11542101298237484</v>
      </c>
      <c r="M18" s="28">
        <f t="shared" si="4"/>
        <v>0.54318184214915421</v>
      </c>
      <c r="N18" s="25">
        <f t="shared" si="5"/>
        <v>5219728</v>
      </c>
      <c r="O18" s="28">
        <f t="shared" si="6"/>
        <v>0.4628242589953096</v>
      </c>
      <c r="P18" s="29">
        <v>51120864</v>
      </c>
      <c r="Q18" s="29">
        <v>1597527</v>
      </c>
      <c r="R18" s="29">
        <v>531387.21875</v>
      </c>
      <c r="S18" s="30">
        <v>23659976</v>
      </c>
      <c r="T18" s="30">
        <v>3918280</v>
      </c>
      <c r="U18" s="30">
        <v>1301448</v>
      </c>
      <c r="V18" s="30">
        <v>18439784</v>
      </c>
      <c r="W18" s="31">
        <v>70.374796875000001</v>
      </c>
      <c r="X18" s="31">
        <v>73.237890625000006</v>
      </c>
      <c r="Y18" s="31">
        <v>37.288118750000002</v>
      </c>
      <c r="Z18" s="31">
        <v>46.194806249999999</v>
      </c>
      <c r="AA18" s="31">
        <v>46.689296874999997</v>
      </c>
      <c r="AB18" s="32">
        <v>8468.6299999999992</v>
      </c>
      <c r="AC18" s="32">
        <v>1980.16</v>
      </c>
      <c r="AD18" s="32">
        <v>10.91</v>
      </c>
      <c r="AE18" s="32">
        <v>25.170999999999999</v>
      </c>
      <c r="AG18" s="27">
        <f t="shared" si="7"/>
        <v>21.973469999999999</v>
      </c>
      <c r="AH18" s="28">
        <f t="shared" si="8"/>
        <v>0.69042543596008432</v>
      </c>
      <c r="AI18" s="28">
        <f t="shared" si="9"/>
        <v>0.15696772313237667</v>
      </c>
      <c r="AJ18" s="28">
        <f t="shared" si="10"/>
        <v>0.11945003195796548</v>
      </c>
      <c r="AK18" s="28">
        <f t="shared" si="11"/>
        <v>0.53344357343842674</v>
      </c>
      <c r="AL18" s="25">
        <f t="shared" si="12"/>
        <v>5328696</v>
      </c>
      <c r="AM18" s="28">
        <f t="shared" si="13"/>
        <v>0.65917146277294947</v>
      </c>
      <c r="AN18" s="29">
        <v>35557316</v>
      </c>
      <c r="AO18" s="29">
        <v>1111166.125</v>
      </c>
      <c r="AP18" s="29">
        <v>46580.46875</v>
      </c>
      <c r="AQ18" s="30">
        <v>23438368</v>
      </c>
      <c r="AR18" s="30">
        <v>4055056</v>
      </c>
      <c r="AS18" s="30">
        <v>1273640</v>
      </c>
      <c r="AT18" s="30">
        <v>18109192</v>
      </c>
      <c r="AU18" s="31">
        <v>70.382015624999994</v>
      </c>
      <c r="AV18" s="31">
        <v>73.005503125000004</v>
      </c>
      <c r="AW18" s="31">
        <v>37.274690624999998</v>
      </c>
      <c r="AX18" s="31">
        <v>46.213653125</v>
      </c>
      <c r="AY18" s="31">
        <v>46.780184374999997</v>
      </c>
      <c r="AZ18" s="32">
        <v>4656.6499999999996</v>
      </c>
      <c r="BA18" s="32">
        <v>2235.16</v>
      </c>
      <c r="BB18" s="32">
        <v>10.137</v>
      </c>
      <c r="BC18" s="32">
        <v>30.242999999999999</v>
      </c>
      <c r="BE18" s="33">
        <f t="shared" si="14"/>
        <v>-0.29071078842249187</v>
      </c>
      <c r="BF18" s="33">
        <f t="shared" si="15"/>
        <v>6.7350202890779365E-3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40.938299999999998</v>
      </c>
      <c r="J19" s="38">
        <f t="shared" si="1"/>
        <v>1.2863168004400178</v>
      </c>
      <c r="K19" s="38">
        <f t="shared" si="2"/>
        <v>0.21706389807998286</v>
      </c>
      <c r="L19" s="38">
        <f t="shared" si="3"/>
        <v>0.1787270649532319</v>
      </c>
      <c r="M19" s="38">
        <f t="shared" si="4"/>
        <v>1.06923923428373</v>
      </c>
      <c r="N19" s="35">
        <f t="shared" si="5"/>
        <v>7368824</v>
      </c>
      <c r="O19" s="38">
        <f t="shared" si="6"/>
        <v>0.85420152523243742</v>
      </c>
      <c r="P19" s="39">
        <v>51120864</v>
      </c>
      <c r="Q19" s="39">
        <v>1597527</v>
      </c>
      <c r="R19" s="39">
        <v>525416.09375</v>
      </c>
      <c r="S19" s="40">
        <v>43667520</v>
      </c>
      <c r="T19" s="40">
        <v>6067376</v>
      </c>
      <c r="U19" s="40">
        <v>1301448</v>
      </c>
      <c r="V19" s="40">
        <v>36298232</v>
      </c>
      <c r="W19" s="41">
        <v>71.297503125000006</v>
      </c>
      <c r="X19" s="41">
        <v>74.433740624999999</v>
      </c>
      <c r="Y19" s="41">
        <v>39.525740624999997</v>
      </c>
      <c r="Z19" s="41">
        <v>48.019846874999999</v>
      </c>
      <c r="AA19" s="41">
        <v>48.5891375</v>
      </c>
      <c r="AB19" s="42">
        <v>8452.33</v>
      </c>
      <c r="AC19" s="42">
        <v>2396.2199999999998</v>
      </c>
      <c r="AD19" s="42">
        <v>11.058</v>
      </c>
      <c r="AE19" s="42">
        <v>26.885999999999999</v>
      </c>
      <c r="AG19" s="37">
        <f t="shared" si="7"/>
        <v>39.782197500000002</v>
      </c>
      <c r="AH19" s="38">
        <f t="shared" si="8"/>
        <v>1.2499910597819859</v>
      </c>
      <c r="AI19" s="38">
        <f t="shared" si="9"/>
        <v>0.25350840960797422</v>
      </c>
      <c r="AJ19" s="38">
        <f t="shared" si="10"/>
        <v>0.18329267375203245</v>
      </c>
      <c r="AK19" s="38">
        <f t="shared" si="11"/>
        <v>0.99646851078473075</v>
      </c>
      <c r="AL19" s="35">
        <f t="shared" si="12"/>
        <v>8606032</v>
      </c>
      <c r="AM19" s="38">
        <f t="shared" si="13"/>
        <v>1.2572912464273236</v>
      </c>
      <c r="AN19" s="39">
        <v>33750608</v>
      </c>
      <c r="AO19" s="39">
        <v>1054706.5</v>
      </c>
      <c r="AP19" s="39">
        <v>20504</v>
      </c>
      <c r="AQ19" s="40">
        <v>42434344</v>
      </c>
      <c r="AR19" s="40">
        <v>6222368</v>
      </c>
      <c r="AS19" s="40">
        <v>2383664</v>
      </c>
      <c r="AT19" s="40">
        <v>33827832</v>
      </c>
      <c r="AU19" s="41">
        <v>71.537806250000003</v>
      </c>
      <c r="AV19" s="41">
        <v>75.080746875000003</v>
      </c>
      <c r="AW19" s="41">
        <v>39.354737499999999</v>
      </c>
      <c r="AX19" s="41">
        <v>47.983593749999997</v>
      </c>
      <c r="AY19" s="41">
        <v>48.584184375</v>
      </c>
      <c r="AZ19" s="42">
        <v>4838.05</v>
      </c>
      <c r="BA19" s="42">
        <v>2688.53</v>
      </c>
      <c r="BB19" s="42">
        <v>10.842000000000001</v>
      </c>
      <c r="BC19" s="42">
        <v>35.366</v>
      </c>
      <c r="BE19" s="43">
        <f t="shared" si="14"/>
        <v>-0.30945292504902849</v>
      </c>
      <c r="BF19" s="43">
        <f t="shared" si="15"/>
        <v>3.4059781227950836E-2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5.2790249999999999</v>
      </c>
      <c r="J20" s="28">
        <f t="shared" si="1"/>
        <v>0.10489330788298398</v>
      </c>
      <c r="K20" s="28">
        <f t="shared" si="2"/>
        <v>5.9121673593215546E-2</v>
      </c>
      <c r="L20" s="28">
        <f t="shared" si="3"/>
        <v>2.8246944556324326E-2</v>
      </c>
      <c r="M20" s="28">
        <f t="shared" si="4"/>
        <v>4.5757228665961928E-2</v>
      </c>
      <c r="N20" s="25">
        <f t="shared" si="5"/>
        <v>1904288</v>
      </c>
      <c r="O20" s="28">
        <f t="shared" si="6"/>
        <v>8.2310306358476137E-2</v>
      </c>
      <c r="P20" s="29">
        <v>41046816</v>
      </c>
      <c r="Q20" s="29">
        <v>1282713</v>
      </c>
      <c r="R20" s="29">
        <v>355062.5625</v>
      </c>
      <c r="S20" s="30">
        <v>3378576</v>
      </c>
      <c r="T20" s="30">
        <v>909824</v>
      </c>
      <c r="U20" s="30">
        <v>994464</v>
      </c>
      <c r="V20" s="30">
        <v>1473824</v>
      </c>
      <c r="W20" s="31">
        <v>67.091581250000004</v>
      </c>
      <c r="X20" s="31">
        <v>68.824262500000003</v>
      </c>
      <c r="Y20" s="31">
        <v>30.779678125</v>
      </c>
      <c r="Z20" s="31">
        <v>39.538237500000001</v>
      </c>
      <c r="AA20" s="31">
        <v>38.352403125000002</v>
      </c>
      <c r="AB20" s="32">
        <v>8108.22</v>
      </c>
      <c r="AC20" s="32">
        <v>1370.65</v>
      </c>
      <c r="AD20" s="32">
        <v>9.4589999999999996</v>
      </c>
      <c r="AE20" s="32">
        <v>21.609000000000002</v>
      </c>
      <c r="AG20" s="27">
        <f t="shared" si="7"/>
        <v>5.3381249999999998</v>
      </c>
      <c r="AH20" s="28">
        <f t="shared" si="8"/>
        <v>0.10606761459603883</v>
      </c>
      <c r="AI20" s="28">
        <f t="shared" si="9"/>
        <v>5.9300750399499925E-2</v>
      </c>
      <c r="AJ20" s="28">
        <f t="shared" si="10"/>
        <v>2.9250619139119301E-2</v>
      </c>
      <c r="AK20" s="28">
        <f t="shared" si="11"/>
        <v>4.6751961827083896E-2</v>
      </c>
      <c r="AL20" s="25">
        <f t="shared" si="12"/>
        <v>1910056</v>
      </c>
      <c r="AM20" s="28">
        <f t="shared" si="13"/>
        <v>0.11301192526552212</v>
      </c>
      <c r="AN20" s="29">
        <v>30230438</v>
      </c>
      <c r="AO20" s="29">
        <v>944701.1875</v>
      </c>
      <c r="AP20" s="29">
        <v>27161</v>
      </c>
      <c r="AQ20" s="30">
        <v>3416400</v>
      </c>
      <c r="AR20" s="30">
        <v>942152</v>
      </c>
      <c r="AS20" s="30">
        <v>967904</v>
      </c>
      <c r="AT20" s="30">
        <v>1505864</v>
      </c>
      <c r="AU20" s="31">
        <v>67.065771874999996</v>
      </c>
      <c r="AV20" s="31">
        <v>68.733975000000001</v>
      </c>
      <c r="AW20" s="31">
        <v>30.891359375</v>
      </c>
      <c r="AX20" s="31">
        <v>39.585940624999999</v>
      </c>
      <c r="AY20" s="31">
        <v>38.404590624999997</v>
      </c>
      <c r="AZ20" s="32">
        <v>4833.3999999999996</v>
      </c>
      <c r="BA20" s="32">
        <v>1435.83</v>
      </c>
      <c r="BB20" s="32">
        <v>7.4470000000000001</v>
      </c>
      <c r="BC20" s="32">
        <v>21.244</v>
      </c>
      <c r="BE20" s="33">
        <f t="shared" si="14"/>
        <v>-0.2480550380585238</v>
      </c>
      <c r="BF20" s="33">
        <f t="shared" si="15"/>
        <v>-4.5518611876191883E-3</v>
      </c>
      <c r="BG20" s="33">
        <f t="array" ref="BG20">AVERAGE(AL20:AL24/AQ20:AQ24) - AVERAGE(N20:N24/S20:S24)</f>
        <v>1.152308605985114E-2</v>
      </c>
      <c r="BI20" s="34">
        <f>IF( OR(ISBLANK(N20:N24),ISBLANK(AL20:AL24), ISBLANK(W20:W24),ISBLANK(AU20:AU24)), "·", bdRateExtend( N20:N24,W20:W24, AL20:AL24,AU20:AU24))</f>
        <v>1.066468023381173E-3</v>
      </c>
      <c r="BJ20" s="34">
        <f>IF( OR(ISBLANK(N20:N24),ISBLANK(AL20:AL24), ISBLANK(X20:X24),ISBLANK(AV20:AV24)), "·", bdRateExtend( N20:N24,X20:X24, AL20:AL24,AV20:AV24))</f>
        <v>1.903936213906765E-2</v>
      </c>
      <c r="BK20" s="34">
        <f>IF( OR(ISBLANK(V20:V24),ISBLANK(AT20:AT24), ISBLANK(Y20:Y24),ISBLANK(AW20:AW24)), "·", bdRateExtend( V20:V24,Y20:Y24, AT20:AT24,AW20:AW24))</f>
        <v>-3.1924206451077297E-2</v>
      </c>
      <c r="BL20" s="34">
        <f>IF( OR(ISBLANK(V20:V24),ISBLANK(AT20:AT24), ISBLANK(Z20:Z24),ISBLANK(AX20:AX24)), "·", bdRateExtend( V20:V24,Z20:Z24, AT20:AT24,AX20:AX24))</f>
        <v>-2.7016040242979988E-2</v>
      </c>
      <c r="BM20" s="34">
        <f>IF( OR(ISBLANK(V20:V24),ISBLANK(AT20:AT24), ISBLANK(AA20:AA24),ISBLANK(AY20:AY24)), "·", bdRateExtend( V20:V24,AA20:AA24, AT20:AT24,AY20:AY24))</f>
        <v>-9.8982426271987389E-3</v>
      </c>
      <c r="BO20" s="34">
        <f>IF( OR(ISBLANK(S20:S24),ISBLANK(AQ20:AQ24), ISBLANK(W20:W24),ISBLANK(AU20:AU24)), "·", bdRateExtend( S20:S24,W20:W24, AQ20:AQ24,AU20:AU24))</f>
        <v>-2.4228138096345719E-2</v>
      </c>
      <c r="BP20" s="34">
        <f>IF( OR(ISBLANK(S20:S24),ISBLANK(AQ20:AQ24), ISBLANK(X20:X24),ISBLANK(AV20:AV24)), "·", bdRateExtend( S20:S24,X20:X24, AQ20:AQ24,AV20:AV24))</f>
        <v>1.3453655493921968E-2</v>
      </c>
      <c r="BQ20" s="34">
        <f>IF( OR(ISBLANK(S20:S24),ISBLANK(AQ20:AQ24), ISBLANK(Y20:Y24),ISBLANK(AW20:AW24)), "·", bdRateExtend( S20:S24,Y20:Y24, AQ20:AQ24,AW20:AW24))</f>
        <v>-1.7880554083800293E-2</v>
      </c>
      <c r="BR20" s="34">
        <f>IF( OR(ISBLANK(S20:S24),ISBLANK(AQ20:AQ24), ISBLANK(Z20:Z24),ISBLANK(AX20:AX24)), "·", bdRateExtend( S20:S24,Z20:Z24, AQ20:AQ24,AX20:AX24))</f>
        <v>-1.2514611252834706E-2</v>
      </c>
      <c r="BS20" s="34">
        <f>IF( OR(ISBLANK(S20:S24),ISBLANK(AQ20:AQ24), ISBLANK(AA20:AA24),ISBLANK(AY20:AY24)), "·", bdRateExtend( S20:S24,AA20:AA24, AQ20:AQ24,AY20:AY24))</f>
        <v>1.1609019389340336E-3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8.3966124999999998</v>
      </c>
      <c r="J21" s="18">
        <f t="shared" si="1"/>
        <v>0.16683922886074831</v>
      </c>
      <c r="K21" s="18">
        <f t="shared" si="2"/>
        <v>6.9723467596334424E-2</v>
      </c>
      <c r="L21" s="18">
        <f t="shared" si="3"/>
        <v>3.8848738559443208E-2</v>
      </c>
      <c r="M21" s="18">
        <f t="shared" si="4"/>
        <v>9.7101355640607373E-2</v>
      </c>
      <c r="N21" s="15">
        <f t="shared" si="5"/>
        <v>2245768</v>
      </c>
      <c r="O21" s="18">
        <f t="shared" si="6"/>
        <v>0.13091958216686039</v>
      </c>
      <c r="P21" s="19">
        <v>41046816</v>
      </c>
      <c r="Q21" s="19">
        <v>1282713</v>
      </c>
      <c r="R21" s="19">
        <v>325658.25</v>
      </c>
      <c r="S21" s="20">
        <v>5373832</v>
      </c>
      <c r="T21" s="20">
        <v>1251304</v>
      </c>
      <c r="U21" s="20">
        <v>994464</v>
      </c>
      <c r="V21" s="20">
        <v>3127600</v>
      </c>
      <c r="W21" s="21">
        <v>68.652850000000001</v>
      </c>
      <c r="X21" s="21">
        <v>70.835515624999999</v>
      </c>
      <c r="Y21" s="21">
        <v>32.724262500000002</v>
      </c>
      <c r="Z21" s="21">
        <v>40.686615625000002</v>
      </c>
      <c r="AA21" s="21">
        <v>39.66604375</v>
      </c>
      <c r="AB21" s="22">
        <v>8117.8</v>
      </c>
      <c r="AC21" s="22">
        <v>1511.27</v>
      </c>
      <c r="AD21" s="22">
        <v>9.4</v>
      </c>
      <c r="AE21" s="22">
        <v>22.096</v>
      </c>
      <c r="AG21" s="17">
        <f t="shared" si="7"/>
        <v>8.3959624999999996</v>
      </c>
      <c r="AH21" s="18">
        <f t="shared" si="8"/>
        <v>0.16682631347388729</v>
      </c>
      <c r="AI21" s="18">
        <f t="shared" si="9"/>
        <v>7.0274855266169819E-2</v>
      </c>
      <c r="AJ21" s="18">
        <f t="shared" si="10"/>
        <v>4.0224724005789199E-2</v>
      </c>
      <c r="AK21" s="18">
        <f t="shared" si="11"/>
        <v>9.6536555838262469E-2</v>
      </c>
      <c r="AL21" s="15">
        <f t="shared" si="12"/>
        <v>2263528</v>
      </c>
      <c r="AM21" s="18">
        <f t="shared" si="13"/>
        <v>0.17013815998157469</v>
      </c>
      <c r="AN21" s="19">
        <v>31582662</v>
      </c>
      <c r="AO21" s="19">
        <v>986958.1875</v>
      </c>
      <c r="AP21" s="19">
        <v>32537.78125</v>
      </c>
      <c r="AQ21" s="20">
        <v>5373416</v>
      </c>
      <c r="AR21" s="20">
        <v>1295624</v>
      </c>
      <c r="AS21" s="20">
        <v>967904</v>
      </c>
      <c r="AT21" s="20">
        <v>3109408</v>
      </c>
      <c r="AU21" s="21">
        <v>68.659734374999999</v>
      </c>
      <c r="AV21" s="21">
        <v>70.740428124999994</v>
      </c>
      <c r="AW21" s="21">
        <v>32.783678125000002</v>
      </c>
      <c r="AX21" s="21">
        <v>40.733424999999997</v>
      </c>
      <c r="AY21" s="21">
        <v>39.702150000000003</v>
      </c>
      <c r="AZ21" s="22">
        <v>4828.57</v>
      </c>
      <c r="BA21" s="22">
        <v>1528.92</v>
      </c>
      <c r="BB21" s="22">
        <v>8.0510000000000002</v>
      </c>
      <c r="BC21" s="22">
        <v>23.064</v>
      </c>
      <c r="BE21" s="23">
        <f t="shared" si="14"/>
        <v>-0.22091465580201888</v>
      </c>
      <c r="BF21" s="23">
        <f t="shared" si="15"/>
        <v>3.3375137483730999E-3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14.1377375</v>
      </c>
      <c r="J22" s="28">
        <f t="shared" si="1"/>
        <v>0.28091438331061291</v>
      </c>
      <c r="K22" s="28">
        <f t="shared" si="2"/>
        <v>8.6066399431996191E-2</v>
      </c>
      <c r="L22" s="28">
        <f t="shared" si="3"/>
        <v>5.5191670395104968E-2</v>
      </c>
      <c r="M22" s="28">
        <f t="shared" si="4"/>
        <v>0.19483357825481021</v>
      </c>
      <c r="N22" s="25">
        <f t="shared" si="5"/>
        <v>2772168</v>
      </c>
      <c r="O22" s="28">
        <f t="shared" si="6"/>
        <v>0.2204349297153767</v>
      </c>
      <c r="P22" s="29">
        <v>41046816</v>
      </c>
      <c r="Q22" s="29">
        <v>1282713</v>
      </c>
      <c r="R22" s="29">
        <v>284309.125</v>
      </c>
      <c r="S22" s="30">
        <v>9048152</v>
      </c>
      <c r="T22" s="30">
        <v>1777704</v>
      </c>
      <c r="U22" s="30">
        <v>994464</v>
      </c>
      <c r="V22" s="30">
        <v>6275520</v>
      </c>
      <c r="W22" s="31">
        <v>69.814253124999993</v>
      </c>
      <c r="X22" s="31">
        <v>72.367959374999998</v>
      </c>
      <c r="Y22" s="31">
        <v>34.585431249999999</v>
      </c>
      <c r="Z22" s="31">
        <v>41.722406249999999</v>
      </c>
      <c r="AA22" s="31">
        <v>40.748062500000003</v>
      </c>
      <c r="AB22" s="32">
        <v>8143.59</v>
      </c>
      <c r="AC22" s="32">
        <v>1639.2</v>
      </c>
      <c r="AD22" s="32">
        <v>9.3469999999999995</v>
      </c>
      <c r="AE22" s="32">
        <v>22.690999999999999</v>
      </c>
      <c r="AG22" s="27">
        <f t="shared" si="7"/>
        <v>13.9056125</v>
      </c>
      <c r="AH22" s="28">
        <f t="shared" si="8"/>
        <v>0.27630209996428712</v>
      </c>
      <c r="AI22" s="28">
        <f t="shared" si="9"/>
        <v>8.6776497336527453E-2</v>
      </c>
      <c r="AJ22" s="28">
        <f t="shared" si="10"/>
        <v>5.6726366076146825E-2</v>
      </c>
      <c r="AK22" s="28">
        <f t="shared" si="11"/>
        <v>0.18951070025830463</v>
      </c>
      <c r="AL22" s="25">
        <f t="shared" si="12"/>
        <v>2795040</v>
      </c>
      <c r="AM22" s="28">
        <f t="shared" si="13"/>
        <v>0.2704175605668151</v>
      </c>
      <c r="AN22" s="29">
        <v>32910555</v>
      </c>
      <c r="AO22" s="29">
        <v>1028454.84375</v>
      </c>
      <c r="AP22" s="29">
        <v>34769.59375</v>
      </c>
      <c r="AQ22" s="30">
        <v>8899592</v>
      </c>
      <c r="AR22" s="30">
        <v>1827136</v>
      </c>
      <c r="AS22" s="30">
        <v>967904</v>
      </c>
      <c r="AT22" s="30">
        <v>6104072</v>
      </c>
      <c r="AU22" s="31">
        <v>69.831643749999998</v>
      </c>
      <c r="AV22" s="31">
        <v>72.240359374999997</v>
      </c>
      <c r="AW22" s="31">
        <v>34.627749999999999</v>
      </c>
      <c r="AX22" s="31">
        <v>41.769931249999999</v>
      </c>
      <c r="AY22" s="31">
        <v>40.774081250000002</v>
      </c>
      <c r="AZ22" s="32">
        <v>4978.7299999999996</v>
      </c>
      <c r="BA22" s="32">
        <v>1670.46</v>
      </c>
      <c r="BB22" s="32">
        <v>8.7989999999999995</v>
      </c>
      <c r="BC22" s="32">
        <v>24.809000000000001</v>
      </c>
      <c r="BE22" s="33">
        <f t="shared" si="14"/>
        <v>-0.18783911309360163</v>
      </c>
      <c r="BF22" s="33">
        <f t="shared" si="15"/>
        <v>7.6843673091311904E-3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24.782662500000001</v>
      </c>
      <c r="J23" s="18">
        <f t="shared" si="1"/>
        <v>0.4924271902051196</v>
      </c>
      <c r="K23" s="18">
        <f t="shared" si="2"/>
        <v>0.1141394830113454</v>
      </c>
      <c r="L23" s="18">
        <f t="shared" si="3"/>
        <v>8.3264753974454167E-2</v>
      </c>
      <c r="M23" s="18">
        <f t="shared" si="4"/>
        <v>0.37827330156996775</v>
      </c>
      <c r="N23" s="15">
        <f t="shared" si="5"/>
        <v>3676392</v>
      </c>
      <c r="O23" s="18">
        <f t="shared" si="6"/>
        <v>0.38641009329444698</v>
      </c>
      <c r="P23" s="19">
        <v>41046816</v>
      </c>
      <c r="Q23" s="19">
        <v>1282713</v>
      </c>
      <c r="R23" s="19">
        <v>288699.5</v>
      </c>
      <c r="S23" s="20">
        <v>15860904</v>
      </c>
      <c r="T23" s="20">
        <v>2681928</v>
      </c>
      <c r="U23" s="20">
        <v>994464</v>
      </c>
      <c r="V23" s="20">
        <v>12184048</v>
      </c>
      <c r="W23" s="21">
        <v>70.807821875000002</v>
      </c>
      <c r="X23" s="21">
        <v>73.704053125000002</v>
      </c>
      <c r="Y23" s="21">
        <v>36.234268749999998</v>
      </c>
      <c r="Z23" s="21">
        <v>42.97104375</v>
      </c>
      <c r="AA23" s="21">
        <v>41.927456249999999</v>
      </c>
      <c r="AB23" s="22">
        <v>8105.48</v>
      </c>
      <c r="AC23" s="22">
        <v>1870.02</v>
      </c>
      <c r="AD23" s="22">
        <v>9.4640000000000004</v>
      </c>
      <c r="AE23" s="22">
        <v>23.920999999999999</v>
      </c>
      <c r="AG23" s="17">
        <f t="shared" si="7"/>
        <v>24.2422875</v>
      </c>
      <c r="AH23" s="18">
        <f t="shared" si="8"/>
        <v>0.4816900330127844</v>
      </c>
      <c r="AI23" s="18">
        <f t="shared" si="9"/>
        <v>0.11521593083164566</v>
      </c>
      <c r="AJ23" s="18">
        <f t="shared" si="10"/>
        <v>8.5165799571265036E-2</v>
      </c>
      <c r="AK23" s="18">
        <f t="shared" si="11"/>
        <v>0.36645919981168373</v>
      </c>
      <c r="AL23" s="15">
        <f t="shared" si="12"/>
        <v>3711064</v>
      </c>
      <c r="AM23" s="18">
        <f t="shared" si="13"/>
        <v>0.47079950560035172</v>
      </c>
      <c r="AN23" s="19">
        <v>32954716</v>
      </c>
      <c r="AO23" s="19">
        <v>1029834.875</v>
      </c>
      <c r="AP23" s="19">
        <v>36665.46875</v>
      </c>
      <c r="AQ23" s="20">
        <v>15515064</v>
      </c>
      <c r="AR23" s="20">
        <v>2743160</v>
      </c>
      <c r="AS23" s="20">
        <v>967904</v>
      </c>
      <c r="AT23" s="20">
        <v>11803520</v>
      </c>
      <c r="AU23" s="21">
        <v>70.837203125000002</v>
      </c>
      <c r="AV23" s="21">
        <v>73.567968750000006</v>
      </c>
      <c r="AW23" s="21">
        <v>36.275915625000003</v>
      </c>
      <c r="AX23" s="21">
        <v>42.959853125000002</v>
      </c>
      <c r="AY23" s="21">
        <v>41.852284375000004</v>
      </c>
      <c r="AZ23" s="22">
        <v>4996.58</v>
      </c>
      <c r="BA23" s="22">
        <v>1871.93</v>
      </c>
      <c r="BB23" s="22">
        <v>8.8529999999999998</v>
      </c>
      <c r="BC23" s="22">
        <v>25.102</v>
      </c>
      <c r="BE23" s="23">
        <f t="shared" si="14"/>
        <v>-0.18946619242806639</v>
      </c>
      <c r="BF23" s="23">
        <f t="shared" si="15"/>
        <v>7.4014584997192656E-3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42.799212500000003</v>
      </c>
      <c r="J24" s="48">
        <f t="shared" si="1"/>
        <v>0.85041290274468428</v>
      </c>
      <c r="K24" s="48">
        <f t="shared" si="2"/>
        <v>0.16068007956499239</v>
      </c>
      <c r="L24" s="48">
        <f t="shared" si="3"/>
        <v>0.12980535052810116</v>
      </c>
      <c r="M24" s="48">
        <f t="shared" si="4"/>
        <v>0.68971841755588537</v>
      </c>
      <c r="N24" s="45">
        <f t="shared" si="5"/>
        <v>5175448</v>
      </c>
      <c r="O24" s="48">
        <f t="shared" si="6"/>
        <v>0.66732328276083586</v>
      </c>
      <c r="P24" s="49">
        <v>41046816</v>
      </c>
      <c r="Q24" s="49">
        <v>1282713</v>
      </c>
      <c r="R24" s="49">
        <v>275641.375</v>
      </c>
      <c r="S24" s="50">
        <v>27391496</v>
      </c>
      <c r="T24" s="50">
        <v>4180984</v>
      </c>
      <c r="U24" s="50">
        <v>994464</v>
      </c>
      <c r="V24" s="50">
        <v>22215584</v>
      </c>
      <c r="W24" s="51">
        <v>71.486987499999998</v>
      </c>
      <c r="X24" s="51">
        <v>74.635359374999993</v>
      </c>
      <c r="Y24" s="51">
        <v>37.63425625</v>
      </c>
      <c r="Z24" s="51">
        <v>44.187540624999997</v>
      </c>
      <c r="AA24" s="51">
        <v>42.977643749999999</v>
      </c>
      <c r="AB24" s="52">
        <v>8116.74</v>
      </c>
      <c r="AC24" s="52">
        <v>2086.9</v>
      </c>
      <c r="AD24" s="52">
        <v>9.5860000000000003</v>
      </c>
      <c r="AE24" s="52">
        <v>25.123000000000001</v>
      </c>
      <c r="AG24" s="47">
        <f t="shared" si="7"/>
        <v>41.157175000000002</v>
      </c>
      <c r="AH24" s="48">
        <f t="shared" si="8"/>
        <v>0.81778590343270807</v>
      </c>
      <c r="AI24" s="48">
        <f t="shared" si="9"/>
        <v>0.19028860394385619</v>
      </c>
      <c r="AJ24" s="48">
        <f t="shared" si="10"/>
        <v>0.13218525893006638</v>
      </c>
      <c r="AK24" s="48">
        <f t="shared" si="11"/>
        <v>0.6274823971193968</v>
      </c>
      <c r="AL24" s="45">
        <f t="shared" si="12"/>
        <v>6129128</v>
      </c>
      <c r="AM24" s="48">
        <f t="shared" si="13"/>
        <v>0.8339611488585611</v>
      </c>
      <c r="AN24" s="49">
        <v>31584915</v>
      </c>
      <c r="AO24" s="49">
        <v>987028.59375</v>
      </c>
      <c r="AP24" s="49">
        <v>18072.71875</v>
      </c>
      <c r="AQ24" s="50">
        <v>26340592</v>
      </c>
      <c r="AR24" s="50">
        <v>4257640</v>
      </c>
      <c r="AS24" s="50">
        <v>1871488</v>
      </c>
      <c r="AT24" s="50">
        <v>20210984</v>
      </c>
      <c r="AU24" s="51">
        <v>71.893762499999994</v>
      </c>
      <c r="AV24" s="51">
        <v>75.707471874999996</v>
      </c>
      <c r="AW24" s="51">
        <v>37.304571875000001</v>
      </c>
      <c r="AX24" s="51">
        <v>43.805143749999999</v>
      </c>
      <c r="AY24" s="51">
        <v>42.435971875</v>
      </c>
      <c r="AZ24" s="52">
        <v>4991.53</v>
      </c>
      <c r="BA24" s="52">
        <v>2116.87</v>
      </c>
      <c r="BB24" s="52">
        <v>8.6349999999999998</v>
      </c>
      <c r="BC24" s="52">
        <v>28.317</v>
      </c>
      <c r="BE24" s="53">
        <f t="shared" si="14"/>
        <v>-0.19657913134801741</v>
      </c>
      <c r="BF24" s="53">
        <f t="shared" si="15"/>
        <v>4.3743951929650998E-2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4.7015549999999999</v>
      </c>
      <c r="J25" s="18">
        <f t="shared" si="1"/>
        <v>0.19812386083536579</v>
      </c>
      <c r="K25" s="18">
        <f t="shared" si="2"/>
        <v>6.9244143030564295E-2</v>
      </c>
      <c r="L25" s="18">
        <f t="shared" si="3"/>
        <v>3.6696627203543809E-2</v>
      </c>
      <c r="M25" s="18">
        <f t="shared" si="4"/>
        <v>0.12886138687397897</v>
      </c>
      <c r="N25" s="15">
        <f t="shared" si="5"/>
        <v>1752736</v>
      </c>
      <c r="O25" s="18">
        <f t="shared" si="6"/>
        <v>0.13197836382990191</v>
      </c>
      <c r="P25" s="19">
        <v>37998592</v>
      </c>
      <c r="Q25" s="19">
        <v>1187456</v>
      </c>
      <c r="R25" s="19">
        <v>481455.5625</v>
      </c>
      <c r="S25" s="20">
        <v>5014992</v>
      </c>
      <c r="T25" s="20">
        <v>928880</v>
      </c>
      <c r="U25" s="20">
        <v>823856</v>
      </c>
      <c r="V25" s="20">
        <v>3261792</v>
      </c>
      <c r="W25" s="21">
        <v>66.249878124999995</v>
      </c>
      <c r="X25" s="21">
        <v>68.229446874999994</v>
      </c>
      <c r="Y25" s="21">
        <v>27.478490624999999</v>
      </c>
      <c r="Z25" s="21">
        <v>33.267524999999999</v>
      </c>
      <c r="AA25" s="21">
        <v>32.703674999999997</v>
      </c>
      <c r="AB25" s="22">
        <v>6386.26</v>
      </c>
      <c r="AC25" s="22">
        <v>1406.6</v>
      </c>
      <c r="AD25" s="22">
        <v>8.8070000000000004</v>
      </c>
      <c r="AE25" s="22">
        <v>22.849</v>
      </c>
      <c r="AG25" s="17">
        <f t="shared" si="7"/>
        <v>4.7408099999999997</v>
      </c>
      <c r="AH25" s="18">
        <f t="shared" si="8"/>
        <v>0.19977806931683464</v>
      </c>
      <c r="AI25" s="18">
        <f t="shared" si="9"/>
        <v>6.9763098003161134E-2</v>
      </c>
      <c r="AJ25" s="18">
        <f t="shared" si="10"/>
        <v>3.7842626430484215E-2</v>
      </c>
      <c r="AK25" s="18">
        <f t="shared" si="11"/>
        <v>0.12999600828178812</v>
      </c>
      <c r="AL25" s="15">
        <f t="shared" si="12"/>
        <v>1765872</v>
      </c>
      <c r="AM25" s="18">
        <f t="shared" si="13"/>
        <v>0.21940286799410491</v>
      </c>
      <c r="AN25" s="19">
        <v>23048304</v>
      </c>
      <c r="AO25" s="19">
        <v>720259.5</v>
      </c>
      <c r="AP25" s="19">
        <v>17692.46875</v>
      </c>
      <c r="AQ25" s="20">
        <v>5056864</v>
      </c>
      <c r="AR25" s="20">
        <v>957888</v>
      </c>
      <c r="AS25" s="20">
        <v>807984</v>
      </c>
      <c r="AT25" s="20">
        <v>3290512</v>
      </c>
      <c r="AU25" s="21">
        <v>66.198771875000006</v>
      </c>
      <c r="AV25" s="21">
        <v>68.019659375000003</v>
      </c>
      <c r="AW25" s="21">
        <v>27.512987500000001</v>
      </c>
      <c r="AX25" s="21">
        <v>33.296790625</v>
      </c>
      <c r="AY25" s="21">
        <v>32.741287499999999</v>
      </c>
      <c r="AZ25" s="22">
        <v>3819.07</v>
      </c>
      <c r="BA25" s="22">
        <v>1981.37</v>
      </c>
      <c r="BB25" s="22">
        <v>6.9669999999999996</v>
      </c>
      <c r="BC25" s="22">
        <v>31.007999999999999</v>
      </c>
      <c r="BE25" s="23">
        <f t="shared" si="14"/>
        <v>-0.38088726621333818</v>
      </c>
      <c r="BF25" s="23">
        <f t="shared" si="15"/>
        <v>-2.9627711442331561E-4</v>
      </c>
      <c r="BG25" s="23">
        <f t="array" ref="BG25">AVERAGE(AL25:AL29/AQ25:AQ29) - AVERAGE(N25:N29/S25:S29)</f>
        <v>5.5018915989169248E-3</v>
      </c>
      <c r="BI25" s="24">
        <f>IF( OR(ISBLANK(N25:N29),ISBLANK(AL25:AL29), ISBLANK(W25:W29),ISBLANK(AU25:AU29)), "·", bdRateExtend( N25:N29,W25:W29, AL25:AL29,AU25:AU29))</f>
        <v>1.7428764555977194E-2</v>
      </c>
      <c r="BJ25" s="24">
        <f>IF( OR(ISBLANK(N25:N29),ISBLANK(AL25:AL29), ISBLANK(X25:X29),ISBLANK(AV25:AV29)), "·", bdRateExtend( N25:N29,X25:X29, AL25:AL29,AV25:AV29))</f>
        <v>4.7443492767629269E-2</v>
      </c>
      <c r="BK25" s="24">
        <f>IF( OR(ISBLANK(V25:V29),ISBLANK(AT25:AT29), ISBLANK(Y25:Y29),ISBLANK(AW25:AW29)), "·", bdRateExtend( V25:V29,Y25:Y29, AT25:AT29,AW25:AW29))</f>
        <v>5.489243356322504E-4</v>
      </c>
      <c r="BL25" s="24">
        <f>IF( OR(ISBLANK(V25:V29),ISBLANK(AT25:AT29), ISBLANK(Z25:Z29),ISBLANK(AX25:AX29)), "·", bdRateExtend( V25:V29,Z25:Z29, AT25:AT29,AX25:AX29))</f>
        <v>-3.0515714590095278E-2</v>
      </c>
      <c r="BM25" s="24">
        <f>IF( OR(ISBLANK(V25:V29),ISBLANK(AT25:AT29), ISBLANK(AA25:AA29),ISBLANK(AY25:AY29)), "·", bdRateExtend( V25:V29,AA25:AA29, AT25:AT29,AY25:AY29))</f>
        <v>-3.0754313968605729E-2</v>
      </c>
      <c r="BO25" s="24">
        <f>IF( OR(ISBLANK(S25:S29),ISBLANK(AQ25:AQ29), ISBLANK(W25:W29),ISBLANK(AU25:AU29)), "·", bdRateExtend( S25:S29,W25:W29, AQ25:AQ29,AU25:AU29))</f>
        <v>-3.4439496208782394E-4</v>
      </c>
      <c r="BP25" s="24">
        <f>IF( OR(ISBLANK(S25:S29),ISBLANK(AQ25:AQ29), ISBLANK(X25:X29),ISBLANK(AV25:AV29)), "·", bdRateExtend( S25:S29,X25:X29, AQ25:AQ29,AV25:AV29))</f>
        <v>6.7493627554798596E-2</v>
      </c>
      <c r="BQ25" s="24">
        <f>IF( OR(ISBLANK(S25:S29),ISBLANK(AQ25:AQ29), ISBLANK(Y25:Y29),ISBLANK(AW25:AW29)), "·", bdRateExtend( S25:S29,Y25:Y29, AQ25:AQ29,AW25:AW29))</f>
        <v>4.9696531955025769E-3</v>
      </c>
      <c r="BR25" s="24">
        <f>IF( OR(ISBLANK(S25:S29),ISBLANK(AQ25:AQ29), ISBLANK(Z25:Z29),ISBLANK(AX25:AX29)), "·", bdRateExtend( S25:S29,Z25:Z29, AQ25:AQ29,AX25:AX29))</f>
        <v>-2.3642904355742789E-2</v>
      </c>
      <c r="BS25" s="24">
        <f>IF( OR(ISBLANK(S25:S29),ISBLANK(AQ25:AQ29), ISBLANK(AA25:AA29),ISBLANK(AY25:AY29)), "·", bdRateExtend( S25:S29,AA25:AA29, AQ25:AQ29,AY25:AY29))</f>
        <v>-2.3810940061285923E-2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8.1431924999999996</v>
      </c>
      <c r="J26" s="28">
        <f t="shared" si="1"/>
        <v>0.34315470894748534</v>
      </c>
      <c r="K26" s="28">
        <f t="shared" si="2"/>
        <v>8.3544481425868289E-2</v>
      </c>
      <c r="L26" s="28">
        <f t="shared" si="3"/>
        <v>5.0996965598847803E-2</v>
      </c>
      <c r="M26" s="28">
        <f t="shared" si="4"/>
        <v>0.25959189659079451</v>
      </c>
      <c r="N26" s="25">
        <f t="shared" si="5"/>
        <v>2114712</v>
      </c>
      <c r="O26" s="28">
        <f t="shared" si="6"/>
        <v>0.22858931194082138</v>
      </c>
      <c r="P26" s="29">
        <v>37998592</v>
      </c>
      <c r="Q26" s="29">
        <v>1187456</v>
      </c>
      <c r="R26" s="29">
        <v>426048.375</v>
      </c>
      <c r="S26" s="30">
        <v>8686072</v>
      </c>
      <c r="T26" s="30">
        <v>1290856</v>
      </c>
      <c r="U26" s="30">
        <v>823856</v>
      </c>
      <c r="V26" s="30">
        <v>6570896</v>
      </c>
      <c r="W26" s="31">
        <v>68.061671875000002</v>
      </c>
      <c r="X26" s="31">
        <v>70.180903125</v>
      </c>
      <c r="Y26" s="31">
        <v>29.887959375000001</v>
      </c>
      <c r="Z26" s="31">
        <v>34.449271875000001</v>
      </c>
      <c r="AA26" s="31">
        <v>34.032112499999997</v>
      </c>
      <c r="AB26" s="32">
        <v>6393</v>
      </c>
      <c r="AC26" s="32">
        <v>1524.59</v>
      </c>
      <c r="AD26" s="32">
        <v>8.76</v>
      </c>
      <c r="AE26" s="32">
        <v>24.234999999999999</v>
      </c>
      <c r="AG26" s="27">
        <f t="shared" si="7"/>
        <v>8.1511049999999994</v>
      </c>
      <c r="AH26" s="28">
        <f t="shared" si="8"/>
        <v>0.34348814225813679</v>
      </c>
      <c r="AI26" s="28">
        <f t="shared" si="9"/>
        <v>8.4498637980234825E-2</v>
      </c>
      <c r="AJ26" s="28">
        <f t="shared" si="10"/>
        <v>5.2578166407557907E-2</v>
      </c>
      <c r="AK26" s="28">
        <f t="shared" si="11"/>
        <v>0.25897054124601659</v>
      </c>
      <c r="AL26" s="25">
        <f t="shared" si="12"/>
        <v>2138864</v>
      </c>
      <c r="AM26" s="28">
        <f t="shared" si="13"/>
        <v>0.34832460483169969</v>
      </c>
      <c r="AN26" s="29">
        <v>24960947</v>
      </c>
      <c r="AO26" s="29">
        <v>780029.59375</v>
      </c>
      <c r="AP26" s="29">
        <v>23053.84375</v>
      </c>
      <c r="AQ26" s="30">
        <v>8694512</v>
      </c>
      <c r="AR26" s="30">
        <v>1330880</v>
      </c>
      <c r="AS26" s="30">
        <v>807984</v>
      </c>
      <c r="AT26" s="30">
        <v>6555168</v>
      </c>
      <c r="AU26" s="31">
        <v>68.025103125000001</v>
      </c>
      <c r="AV26" s="31">
        <v>69.987703124999996</v>
      </c>
      <c r="AW26" s="31">
        <v>29.930740624999999</v>
      </c>
      <c r="AX26" s="31">
        <v>34.477449999999997</v>
      </c>
      <c r="AY26" s="31">
        <v>34.066643749999997</v>
      </c>
      <c r="AZ26" s="32">
        <v>3798.95</v>
      </c>
      <c r="BA26" s="32">
        <v>2091.39</v>
      </c>
      <c r="BB26" s="32">
        <v>8.27</v>
      </c>
      <c r="BC26" s="32">
        <v>35.973999999999997</v>
      </c>
      <c r="BE26" s="33">
        <f t="shared" si="14"/>
        <v>-0.32923578449840701</v>
      </c>
      <c r="BF26" s="33">
        <f t="shared" si="15"/>
        <v>2.5415108651209717E-3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14.941252499999999</v>
      </c>
      <c r="J27" s="18">
        <f t="shared" si="1"/>
        <v>0.6296254390336945</v>
      </c>
      <c r="K27" s="18">
        <f t="shared" si="2"/>
        <v>0.10479919571460763</v>
      </c>
      <c r="L27" s="18">
        <f t="shared" si="3"/>
        <v>7.2251679887587142E-2</v>
      </c>
      <c r="M27" s="18">
        <f t="shared" si="4"/>
        <v>0.5248079123882643</v>
      </c>
      <c r="N27" s="15">
        <f t="shared" si="5"/>
        <v>2652720</v>
      </c>
      <c r="O27" s="18">
        <f t="shared" si="6"/>
        <v>0.41941911952948152</v>
      </c>
      <c r="P27" s="19">
        <v>37998592</v>
      </c>
      <c r="Q27" s="19">
        <v>1187456</v>
      </c>
      <c r="R27" s="19">
        <v>420040.90625</v>
      </c>
      <c r="S27" s="20">
        <v>15937336</v>
      </c>
      <c r="T27" s="20">
        <v>1828864</v>
      </c>
      <c r="U27" s="20">
        <v>823856</v>
      </c>
      <c r="V27" s="20">
        <v>13284152</v>
      </c>
      <c r="W27" s="21">
        <v>69.411131249999997</v>
      </c>
      <c r="X27" s="21">
        <v>71.973021875000001</v>
      </c>
      <c r="Y27" s="21">
        <v>32.409696875000002</v>
      </c>
      <c r="Z27" s="21">
        <v>35.714287499999998</v>
      </c>
      <c r="AA27" s="21">
        <v>35.3688875</v>
      </c>
      <c r="AB27" s="22">
        <v>6366.77</v>
      </c>
      <c r="AC27" s="22">
        <v>1660.76</v>
      </c>
      <c r="AD27" s="22">
        <v>8.8520000000000003</v>
      </c>
      <c r="AE27" s="22">
        <v>25.491</v>
      </c>
      <c r="AG27" s="17">
        <f t="shared" si="7"/>
        <v>14.730247500000001</v>
      </c>
      <c r="AH27" s="18">
        <f t="shared" si="8"/>
        <v>0.62073367338263508</v>
      </c>
      <c r="AI27" s="18">
        <f t="shared" si="9"/>
        <v>0.10577895236201945</v>
      </c>
      <c r="AJ27" s="18">
        <f t="shared" si="10"/>
        <v>7.3858480789342526E-2</v>
      </c>
      <c r="AK27" s="18">
        <f t="shared" si="11"/>
        <v>0.51493575798873026</v>
      </c>
      <c r="AL27" s="15">
        <f t="shared" si="12"/>
        <v>2677520</v>
      </c>
      <c r="AM27" s="18">
        <f t="shared" si="13"/>
        <v>0.62021373330341789</v>
      </c>
      <c r="AN27" s="19">
        <v>25333628</v>
      </c>
      <c r="AO27" s="19">
        <v>791675.875</v>
      </c>
      <c r="AP27" s="19">
        <v>24565.9375</v>
      </c>
      <c r="AQ27" s="20">
        <v>15712264</v>
      </c>
      <c r="AR27" s="20">
        <v>1869536</v>
      </c>
      <c r="AS27" s="20">
        <v>807984</v>
      </c>
      <c r="AT27" s="20">
        <v>13034264</v>
      </c>
      <c r="AU27" s="21">
        <v>69.401081250000004</v>
      </c>
      <c r="AV27" s="21">
        <v>71.728734375000002</v>
      </c>
      <c r="AW27" s="21">
        <v>32.427734375</v>
      </c>
      <c r="AX27" s="21">
        <v>35.742928124999999</v>
      </c>
      <c r="AY27" s="21">
        <v>35.408390625000003</v>
      </c>
      <c r="AZ27" s="22">
        <v>3752.8</v>
      </c>
      <c r="BA27" s="22">
        <v>2230.7399999999998</v>
      </c>
      <c r="BB27" s="22">
        <v>7.8470000000000004</v>
      </c>
      <c r="BC27" s="22">
        <v>35.518999999999998</v>
      </c>
      <c r="BE27" s="23">
        <f t="shared" si="14"/>
        <v>-0.32270146762409996</v>
      </c>
      <c r="BF27" s="23">
        <f t="shared" si="15"/>
        <v>3.9626710864462955E-3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28.51416</v>
      </c>
      <c r="J28" s="28">
        <f t="shared" si="1"/>
        <v>1.201588722811358</v>
      </c>
      <c r="K28" s="28">
        <f t="shared" si="2"/>
        <v>0.1399440148088637</v>
      </c>
      <c r="L28" s="28">
        <f t="shared" si="3"/>
        <v>0.10739649898184321</v>
      </c>
      <c r="M28" s="28">
        <f t="shared" si="4"/>
        <v>1.0616263770716716</v>
      </c>
      <c r="N28" s="25">
        <f t="shared" si="5"/>
        <v>3542320</v>
      </c>
      <c r="O28" s="28">
        <f t="shared" si="6"/>
        <v>0.80042713161582413</v>
      </c>
      <c r="P28" s="29">
        <v>37998592</v>
      </c>
      <c r="Q28" s="29">
        <v>1187456</v>
      </c>
      <c r="R28" s="29">
        <v>395378.15625</v>
      </c>
      <c r="S28" s="30">
        <v>30415104</v>
      </c>
      <c r="T28" s="30">
        <v>2718464</v>
      </c>
      <c r="U28" s="30">
        <v>823856</v>
      </c>
      <c r="V28" s="30">
        <v>26872320</v>
      </c>
      <c r="W28" s="31">
        <v>70.484112499999995</v>
      </c>
      <c r="X28" s="31">
        <v>73.313884375000001</v>
      </c>
      <c r="Y28" s="31">
        <v>35.083621874999999</v>
      </c>
      <c r="Z28" s="31">
        <v>37.5407625</v>
      </c>
      <c r="AA28" s="31">
        <v>37.150415625000001</v>
      </c>
      <c r="AB28" s="32">
        <v>6368.23</v>
      </c>
      <c r="AC28" s="32">
        <v>1939.27</v>
      </c>
      <c r="AD28" s="32">
        <v>8.5820000000000007</v>
      </c>
      <c r="AE28" s="32">
        <v>25.53</v>
      </c>
      <c r="AG28" s="27">
        <f t="shared" si="7"/>
        <v>27.905999999999999</v>
      </c>
      <c r="AH28" s="28">
        <f t="shared" si="8"/>
        <v>1.1759608173193163</v>
      </c>
      <c r="AI28" s="28">
        <f t="shared" si="9"/>
        <v>0.14075468442196412</v>
      </c>
      <c r="AJ28" s="28">
        <f t="shared" si="10"/>
        <v>0.1088342128492872</v>
      </c>
      <c r="AK28" s="28">
        <f t="shared" si="11"/>
        <v>1.0351871698654667</v>
      </c>
      <c r="AL28" s="25">
        <f t="shared" si="12"/>
        <v>3562840</v>
      </c>
      <c r="AM28" s="28">
        <f t="shared" si="13"/>
        <v>1.131966007554857</v>
      </c>
      <c r="AN28" s="29">
        <v>26296196</v>
      </c>
      <c r="AO28" s="29">
        <v>821756.125</v>
      </c>
      <c r="AP28" s="29">
        <v>28034.46875</v>
      </c>
      <c r="AQ28" s="30">
        <v>29766400</v>
      </c>
      <c r="AR28" s="30">
        <v>2754856</v>
      </c>
      <c r="AS28" s="30">
        <v>807984</v>
      </c>
      <c r="AT28" s="30">
        <v>26203080</v>
      </c>
      <c r="AU28" s="31">
        <v>70.442003124999999</v>
      </c>
      <c r="AV28" s="31">
        <v>73.004021875000007</v>
      </c>
      <c r="AW28" s="31">
        <v>34.886806249999999</v>
      </c>
      <c r="AX28" s="31">
        <v>37.567675000000001</v>
      </c>
      <c r="AY28" s="31">
        <v>37.177562500000001</v>
      </c>
      <c r="AZ28" s="32">
        <v>3773.17</v>
      </c>
      <c r="BA28" s="32">
        <v>2538.84</v>
      </c>
      <c r="BB28" s="32">
        <v>7.4710000000000001</v>
      </c>
      <c r="BC28" s="32">
        <v>34.53</v>
      </c>
      <c r="BE28" s="33">
        <f t="shared" si="14"/>
        <v>-0.29884704882183677</v>
      </c>
      <c r="BF28" s="33">
        <f t="shared" si="15"/>
        <v>3.2275264293135514E-3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50.824852499999999</v>
      </c>
      <c r="J29" s="38">
        <f t="shared" si="1"/>
        <v>2.141762885617204</v>
      </c>
      <c r="K29" s="38">
        <f t="shared" si="2"/>
        <v>0.19702874574398452</v>
      </c>
      <c r="L29" s="38">
        <f t="shared" si="3"/>
        <v>0.16448122991696404</v>
      </c>
      <c r="M29" s="38">
        <f t="shared" si="4"/>
        <v>1.944715808942397</v>
      </c>
      <c r="N29" s="35">
        <f t="shared" si="5"/>
        <v>4987272</v>
      </c>
      <c r="O29" s="38">
        <f t="shared" si="6"/>
        <v>1.4267153898754985</v>
      </c>
      <c r="P29" s="39">
        <v>37998592</v>
      </c>
      <c r="Q29" s="39">
        <v>1187456</v>
      </c>
      <c r="R29" s="39">
        <v>389193.4375</v>
      </c>
      <c r="S29" s="40">
        <v>54213176</v>
      </c>
      <c r="T29" s="40">
        <v>4163416</v>
      </c>
      <c r="U29" s="40">
        <v>823856</v>
      </c>
      <c r="V29" s="40">
        <v>49225440</v>
      </c>
      <c r="W29" s="41">
        <v>71.342468749999995</v>
      </c>
      <c r="X29" s="41">
        <v>74.434753125</v>
      </c>
      <c r="Y29" s="41">
        <v>36.875468750000003</v>
      </c>
      <c r="Z29" s="41">
        <v>39.690771875000003</v>
      </c>
      <c r="AA29" s="41">
        <v>39.109553124999998</v>
      </c>
      <c r="AB29" s="42">
        <v>6351.23</v>
      </c>
      <c r="AC29" s="42">
        <v>2371.66</v>
      </c>
      <c r="AD29" s="42">
        <v>8.6509999999999998</v>
      </c>
      <c r="AE29" s="42">
        <v>27.009</v>
      </c>
      <c r="AG29" s="37">
        <f t="shared" si="7"/>
        <v>48.775934999999997</v>
      </c>
      <c r="AH29" s="38">
        <f t="shared" si="8"/>
        <v>2.0554213569882407</v>
      </c>
      <c r="AI29" s="38">
        <f t="shared" si="9"/>
        <v>0.22623560745386215</v>
      </c>
      <c r="AJ29" s="38">
        <f t="shared" si="10"/>
        <v>0.16645212103091891</v>
      </c>
      <c r="AK29" s="38">
        <f t="shared" si="11"/>
        <v>1.8291667865024932</v>
      </c>
      <c r="AL29" s="35">
        <f t="shared" si="12"/>
        <v>5726568</v>
      </c>
      <c r="AM29" s="38">
        <f t="shared" si="13"/>
        <v>2.0691871316791901</v>
      </c>
      <c r="AN29" s="39">
        <v>25144011</v>
      </c>
      <c r="AO29" s="39">
        <v>785750.34375</v>
      </c>
      <c r="AP29" s="39">
        <v>12609.28125</v>
      </c>
      <c r="AQ29" s="40">
        <v>52027664</v>
      </c>
      <c r="AR29" s="40">
        <v>4213304</v>
      </c>
      <c r="AS29" s="40">
        <v>1513264</v>
      </c>
      <c r="AT29" s="40">
        <v>46300616</v>
      </c>
      <c r="AU29" s="41">
        <v>71.520856249999994</v>
      </c>
      <c r="AV29" s="41">
        <v>74.912312499999999</v>
      </c>
      <c r="AW29" s="41">
        <v>36.559071875000001</v>
      </c>
      <c r="AX29" s="41">
        <v>39.649643750000003</v>
      </c>
      <c r="AY29" s="41">
        <v>39.047978125</v>
      </c>
      <c r="AZ29" s="42">
        <v>3808.08</v>
      </c>
      <c r="BA29" s="42">
        <v>2896.37</v>
      </c>
      <c r="BB29" s="42">
        <v>7.2649999999999997</v>
      </c>
      <c r="BC29" s="42">
        <v>37.384</v>
      </c>
      <c r="BE29" s="43">
        <f t="shared" si="14"/>
        <v>-0.31170654656643221</v>
      </c>
      <c r="BF29" s="43">
        <f t="shared" si="15"/>
        <v>1.8074026728127218E-2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0.43759504359648388</v>
      </c>
      <c r="K30" s="56">
        <f>AVERAGE(K5:K24)</f>
        <v>0.11691583456005825</v>
      </c>
      <c r="L30" s="56">
        <f>AVERAGE(L5:L24)</f>
        <v>8.2392582255901653E-2</v>
      </c>
      <c r="M30" s="56">
        <f>AVERAGE(M5:M24)</f>
        <v>0.32066242365344666</v>
      </c>
      <c r="AH30" s="56">
        <f>AVERAGE(AH5:AH24)</f>
        <v>0.43164048380355224</v>
      </c>
      <c r="AI30" s="56">
        <f>AVERAGE(AI5:AI24)</f>
        <v>0.12438262588270543</v>
      </c>
      <c r="AJ30" s="56">
        <f>AVERAGE(AJ5:AJ24)</f>
        <v>8.481286734982188E-2</v>
      </c>
      <c r="AK30" s="56">
        <f>AVERAGE(AK5:AK24)</f>
        <v>0.30724049373155815</v>
      </c>
      <c r="BG30" s="8">
        <f>AVERAGE(BG5:BG24)</f>
        <v>9.8004308387576733E-3</v>
      </c>
      <c r="BI30" s="5">
        <f>AVERAGE(BI5:BI24)</f>
        <v>1.3983084753422192E-2</v>
      </c>
      <c r="BJ30" s="5">
        <f>AVERAGE(BJ5:BJ24)</f>
        <v>4.3489687857029113E-2</v>
      </c>
      <c r="BK30" s="5">
        <f>AVERAGE(BK5:BK24)</f>
        <v>-1.5252993347007249E-2</v>
      </c>
      <c r="BL30" s="5">
        <f>AVERAGE(BL5:BL24)</f>
        <v>-3.1498857810787956E-2</v>
      </c>
      <c r="BM30" s="5">
        <f>AVERAGE(BM5:BM24)</f>
        <v>-3.3708209288859203E-2</v>
      </c>
      <c r="BO30" s="5">
        <f>AVERAGE(BO5:BO24)</f>
        <v>-3.3883503072010546E-3</v>
      </c>
      <c r="BP30" s="5">
        <f>AVERAGE(BP5:BP24)</f>
        <v>5.4352481709288136E-2</v>
      </c>
      <c r="BQ30" s="5">
        <f>AVERAGE(BQ5:BQ24)</f>
        <v>-4.1911636905012373E-3</v>
      </c>
      <c r="BR30" s="5">
        <f>AVERAGE(BR5:BR24)</f>
        <v>-1.6933023686949211E-2</v>
      </c>
      <c r="BS30" s="5">
        <f>AVERAGE(BS5:BS24)</f>
        <v>-1.9039048986888324E-2</v>
      </c>
    </row>
    <row r="31" spans="1:71" x14ac:dyDescent="0.3">
      <c r="B31" s="55" t="s">
        <v>287</v>
      </c>
      <c r="J31" s="56">
        <f>AVERAGE(J25:J29)</f>
        <v>0.90285112344902141</v>
      </c>
      <c r="K31" s="56">
        <f>AVERAGE(K25:K29)</f>
        <v>0.11891211614477767</v>
      </c>
      <c r="L31" s="56">
        <f>AVERAGE(L25:L29)</f>
        <v>8.6364600317757209E-2</v>
      </c>
      <c r="M31" s="56">
        <f>AVERAGE(M25:M29)</f>
        <v>0.78392067637342122</v>
      </c>
      <c r="AH31" s="56">
        <f>AVERAGE(AH25:AH29)</f>
        <v>0.87907641185303265</v>
      </c>
      <c r="AI31" s="56">
        <f>AVERAGE(AI25:AI29)</f>
        <v>0.12540619604424835</v>
      </c>
      <c r="AJ31" s="56">
        <f>AVERAGE(AJ25:AJ29)</f>
        <v>8.7913121501518157E-2</v>
      </c>
      <c r="AK31" s="56">
        <f>AVERAGE(AK25:AK29)</f>
        <v>0.75365125277689893</v>
      </c>
      <c r="BG31" s="8">
        <f>AVERAGE(BG25:BG29)</f>
        <v>5.5018915989169248E-3</v>
      </c>
      <c r="BI31" s="5">
        <f>AVERAGE(BI25:BI29)</f>
        <v>1.7428764555977194E-2</v>
      </c>
      <c r="BJ31" s="5">
        <f>AVERAGE(BJ25:BJ29)</f>
        <v>4.7443492767629269E-2</v>
      </c>
      <c r="BK31" s="5">
        <f>AVERAGE(BK25:BK29)</f>
        <v>5.489243356322504E-4</v>
      </c>
      <c r="BL31" s="5">
        <f>AVERAGE(BL25:BL29)</f>
        <v>-3.0515714590095278E-2</v>
      </c>
      <c r="BM31" s="5">
        <f>AVERAGE(BM25:BM29)</f>
        <v>-3.0754313968605729E-2</v>
      </c>
      <c r="BO31" s="5">
        <f>AVERAGE(BO25:BO29)</f>
        <v>-3.4439496208782394E-4</v>
      </c>
      <c r="BP31" s="5">
        <f>AVERAGE(BP25:BP29)</f>
        <v>6.7493627554798596E-2</v>
      </c>
      <c r="BQ31" s="5">
        <f>AVERAGE(BQ25:BQ29)</f>
        <v>4.9696531955025769E-3</v>
      </c>
      <c r="BR31" s="5">
        <f>AVERAGE(BR25:BR29)</f>
        <v>-2.3642904355742789E-2</v>
      </c>
      <c r="BS31" s="5">
        <f>AVERAGE(BS25:BS29)</f>
        <v>-2.3810940061285923E-2</v>
      </c>
    </row>
    <row r="32" spans="1:71" x14ac:dyDescent="0.3">
      <c r="B32" s="55" t="s">
        <v>288</v>
      </c>
      <c r="J32" s="56">
        <f>AVERAGE(J5:J29)</f>
        <v>0.53064625956699141</v>
      </c>
      <c r="K32" s="56">
        <f>AVERAGE(K5:K29)</f>
        <v>0.11731509087700212</v>
      </c>
      <c r="L32" s="56">
        <f>AVERAGE(L5:L29)</f>
        <v>8.3186985868272764E-2</v>
      </c>
      <c r="M32" s="56">
        <f>AVERAGE(M5:M29)</f>
        <v>0.41331407419744165</v>
      </c>
      <c r="AH32" s="56">
        <f>AVERAGE(AH5:AH29)</f>
        <v>0.52112766941344835</v>
      </c>
      <c r="AI32" s="56">
        <f>AVERAGE(AI5:AI29)</f>
        <v>0.12458733991501403</v>
      </c>
      <c r="AJ32" s="56">
        <f>AVERAGE(AJ5:AJ29)</f>
        <v>8.5432918180161133E-2</v>
      </c>
      <c r="AK32" s="56">
        <f>AVERAGE(AK5:AK29)</f>
        <v>0.39652264554062627</v>
      </c>
      <c r="BG32" s="8">
        <f>AVERAGE(BG5:BG29)</f>
        <v>8.9407229907895232E-3</v>
      </c>
      <c r="BI32" s="5">
        <f>AVERAGE(BI5:BI29)</f>
        <v>1.4672220713933194E-2</v>
      </c>
      <c r="BJ32" s="5">
        <f>AVERAGE(BJ5:BJ29)</f>
        <v>4.4280448839149146E-2</v>
      </c>
      <c r="BK32" s="5">
        <f>AVERAGE(BK5:BK29)</f>
        <v>-1.2092609810479349E-2</v>
      </c>
      <c r="BL32" s="5">
        <f>AVERAGE(BL5:BL29)</f>
        <v>-3.1302229166649417E-2</v>
      </c>
      <c r="BM32" s="5">
        <f>AVERAGE(BM5:BM29)</f>
        <v>-3.3117430224808508E-2</v>
      </c>
      <c r="BO32" s="5">
        <f>AVERAGE(BO5:BO29)</f>
        <v>-2.7795592381784084E-3</v>
      </c>
      <c r="BP32" s="5">
        <f>AVERAGE(BP5:BP29)</f>
        <v>5.6980710878390226E-2</v>
      </c>
      <c r="BQ32" s="5">
        <f>AVERAGE(BQ5:BQ29)</f>
        <v>-2.3590003133004745E-3</v>
      </c>
      <c r="BR32" s="5">
        <f>AVERAGE(BR5:BR29)</f>
        <v>-1.8274999820707925E-2</v>
      </c>
      <c r="BS32" s="5">
        <f>AVERAGE(BS5:BS29)</f>
        <v>-1.9993427201767843E-2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174404.77000000002</v>
      </c>
      <c r="AC33" s="57">
        <f>SUM(AC5:AC24,AC25:AC29)</f>
        <v>41021.410000000003</v>
      </c>
      <c r="AD33" s="57">
        <f>SUM(AD5:AD24,AD25:AD29)</f>
        <v>231.59400000000002</v>
      </c>
      <c r="AE33" s="57">
        <f>SUM(AE5:AE24,AE25:AE29)</f>
        <v>581.399</v>
      </c>
      <c r="AZ33" s="57">
        <f>SUM(AZ5:AZ24,AZ25:AZ29)</f>
        <v>106528.33000000002</v>
      </c>
      <c r="BA33" s="57">
        <f>SUM(BA5:BA24,BA25:BA29)</f>
        <v>46577.090000000004</v>
      </c>
      <c r="BB33" s="57">
        <f>SUM(BB5:BB24,BB25:BB29)</f>
        <v>197.45300000000003</v>
      </c>
      <c r="BC33" s="57">
        <f>SUM(BC5:BC24,BC25:BC29)</f>
        <v>686.02900000000011</v>
      </c>
    </row>
    <row r="34" spans="1:55" hidden="1" outlineLevel="2" x14ac:dyDescent="0.3">
      <c r="B34" s="55" t="s">
        <v>291</v>
      </c>
      <c r="AZ34" s="8">
        <f>AZ33/AB33</f>
        <v>0.61081087403744749</v>
      </c>
      <c r="BA34" s="8">
        <f>BA33/AC33</f>
        <v>1.1354336674434156</v>
      </c>
      <c r="BB34" s="8">
        <f>BB33/AD33</f>
        <v>0.85258253668057038</v>
      </c>
      <c r="BC34" s="8">
        <f>BC33/AE33</f>
        <v>1.1799624698356896</v>
      </c>
    </row>
    <row r="35" spans="1:55" hidden="1" outlineLevel="2" x14ac:dyDescent="0.3">
      <c r="B35" s="55" t="s">
        <v>292</v>
      </c>
      <c r="AB35" s="57">
        <f>GEOMEAN(AB5:AB24,AB25:AB29)</f>
        <v>6890.9138165414597</v>
      </c>
      <c r="AC35" s="57">
        <f>GEOMEAN(AC5:AC24,AC25:AC29)</f>
        <v>1612.1168579280125</v>
      </c>
      <c r="AD35" s="57">
        <f>GEOMEAN(AD5:AD24,AD25:AD29)</f>
        <v>9.2166069067884369</v>
      </c>
      <c r="AE35" s="57">
        <f>GEOMEAN(AE5:AE24,AE25:AE29)</f>
        <v>23.171711960936346</v>
      </c>
      <c r="AZ35" s="57">
        <f>GEOMEAN(AZ5:AZ24,AZ25:AZ29)</f>
        <v>4235.259543584918</v>
      </c>
      <c r="BA35" s="57">
        <f>GEOMEAN(BA5:BA24,BA25:BA29)</f>
        <v>1822.520915851838</v>
      </c>
      <c r="BB35" s="57">
        <f>GEOMEAN(BB5:BB24,BB25:BB29)</f>
        <v>7.7808962613730408</v>
      </c>
      <c r="BC35" s="57">
        <f>GEOMEAN(BC5:BC24,BC25:BC29)</f>
        <v>27.004574582412424</v>
      </c>
    </row>
    <row r="36" spans="1:55" outlineLevel="2" collapsed="1" x14ac:dyDescent="0.3">
      <c r="B36" s="55" t="s">
        <v>293</v>
      </c>
      <c r="AZ36" s="8">
        <f>AZ35/AB35</f>
        <v>0.61461507955857575</v>
      </c>
      <c r="BA36" s="8">
        <f>BA35/AC35</f>
        <v>1.1305141478355665</v>
      </c>
      <c r="BB36" s="8">
        <f>BB35/AD35</f>
        <v>0.84422568305935541</v>
      </c>
      <c r="BC36" s="8">
        <f>BC35/AE35</f>
        <v>1.1654112837211876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7" operator="greaterThanOrEqual">
      <formula>0.03</formula>
    </cfRule>
    <cfRule type="cellIs" dxfId="50" priority="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5" operator="greaterThanOrEqual">
      <formula>0.03</formula>
    </cfRule>
    <cfRule type="cellIs" dxfId="48" priority="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1" operator="greaterThanOrEqual">
      <formula>0.03</formula>
    </cfRule>
    <cfRule type="cellIs" dxfId="44" priority="2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15" operator="greaterThanOrEqual">
      <formula>0.03</formula>
    </cfRule>
    <cfRule type="cellIs" dxfId="42" priority="1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9" operator="greaterThanOrEqual">
      <formula>0.03</formula>
    </cfRule>
    <cfRule type="cellIs" dxfId="3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3" operator="greaterThanOrEqual">
      <formula>0.03</formula>
    </cfRule>
    <cfRule type="cellIs" dxfId="34" priority="14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9" operator="greaterThanOrEqual">
      <formula>0.03</formula>
    </cfRule>
    <cfRule type="cellIs" dxfId="32" priority="10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4.4" x14ac:dyDescent="0.3"/>
  <sheetData>
    <row r="1" spans="1:2" x14ac:dyDescent="0.3">
      <c r="A1" t="s">
        <v>93</v>
      </c>
      <c r="B1">
        <v>1</v>
      </c>
    </row>
    <row r="2" spans="1:2" x14ac:dyDescent="0.3">
      <c r="A2" t="s">
        <v>96</v>
      </c>
      <c r="B2">
        <v>2</v>
      </c>
    </row>
    <row r="3" spans="1:2" x14ac:dyDescent="0.3">
      <c r="A3" t="s">
        <v>99</v>
      </c>
      <c r="B3">
        <v>3</v>
      </c>
    </row>
    <row r="4" spans="1:2" x14ac:dyDescent="0.3">
      <c r="A4" t="s">
        <v>102</v>
      </c>
      <c r="B4">
        <v>4</v>
      </c>
    </row>
    <row r="5" spans="1:2" x14ac:dyDescent="0.3">
      <c r="A5" t="s">
        <v>105</v>
      </c>
      <c r="B5">
        <v>5</v>
      </c>
    </row>
    <row r="6" spans="1:2" x14ac:dyDescent="0.3">
      <c r="A6" t="s">
        <v>108</v>
      </c>
      <c r="B6">
        <v>6</v>
      </c>
    </row>
    <row r="7" spans="1:2" x14ac:dyDescent="0.3">
      <c r="A7" t="s">
        <v>111</v>
      </c>
      <c r="B7">
        <v>7</v>
      </c>
    </row>
    <row r="8" spans="1:2" x14ac:dyDescent="0.3">
      <c r="A8" t="s">
        <v>114</v>
      </c>
      <c r="B8">
        <v>9</v>
      </c>
    </row>
    <row r="9" spans="1:2" x14ac:dyDescent="0.3">
      <c r="A9" t="s">
        <v>118</v>
      </c>
      <c r="B9">
        <v>10</v>
      </c>
    </row>
    <row r="10" spans="1:2" x14ac:dyDescent="0.3">
      <c r="A10" t="s">
        <v>121</v>
      </c>
      <c r="B10">
        <v>11</v>
      </c>
    </row>
    <row r="11" spans="1:2" x14ac:dyDescent="0.3">
      <c r="A11" t="s">
        <v>124</v>
      </c>
      <c r="B11">
        <v>12</v>
      </c>
    </row>
    <row r="12" spans="1:2" x14ac:dyDescent="0.3">
      <c r="A12" t="s">
        <v>127</v>
      </c>
      <c r="B12">
        <v>13</v>
      </c>
    </row>
    <row r="13" spans="1:2" x14ac:dyDescent="0.3">
      <c r="A13" t="s">
        <v>130</v>
      </c>
      <c r="B13">
        <v>14</v>
      </c>
    </row>
    <row r="14" spans="1:2" x14ac:dyDescent="0.3">
      <c r="A14" t="s">
        <v>133</v>
      </c>
      <c r="B14">
        <v>15</v>
      </c>
    </row>
    <row r="15" spans="1:2" x14ac:dyDescent="0.3">
      <c r="A15" t="s">
        <v>135</v>
      </c>
      <c r="B15">
        <v>16</v>
      </c>
    </row>
    <row r="16" spans="1:2" x14ac:dyDescent="0.3">
      <c r="A16" t="s">
        <v>137</v>
      </c>
      <c r="B16">
        <v>17</v>
      </c>
    </row>
    <row r="17" spans="1:2" x14ac:dyDescent="0.3">
      <c r="A17" t="s">
        <v>139</v>
      </c>
      <c r="B17">
        <v>18</v>
      </c>
    </row>
    <row r="18" spans="1:2" x14ac:dyDescent="0.3">
      <c r="A18" t="s">
        <v>142</v>
      </c>
      <c r="B18">
        <v>19</v>
      </c>
    </row>
    <row r="19" spans="1:2" x14ac:dyDescent="0.3">
      <c r="A19" t="s">
        <v>144</v>
      </c>
      <c r="B19">
        <v>20</v>
      </c>
    </row>
    <row r="20" spans="1:2" x14ac:dyDescent="0.3">
      <c r="A20" t="s">
        <v>147</v>
      </c>
      <c r="B20">
        <v>21</v>
      </c>
    </row>
    <row r="21" spans="1:2" x14ac:dyDescent="0.3">
      <c r="A21" t="s">
        <v>150</v>
      </c>
      <c r="B21">
        <v>22</v>
      </c>
    </row>
    <row r="22" spans="1:2" x14ac:dyDescent="0.3">
      <c r="A22" t="s">
        <v>154</v>
      </c>
      <c r="B22">
        <v>23</v>
      </c>
    </row>
    <row r="23" spans="1:2" x14ac:dyDescent="0.3">
      <c r="A23" t="s">
        <v>157</v>
      </c>
      <c r="B23">
        <v>24</v>
      </c>
    </row>
    <row r="24" spans="1:2" x14ac:dyDescent="0.3">
      <c r="A24" t="s">
        <v>161</v>
      </c>
      <c r="B24">
        <v>25</v>
      </c>
    </row>
    <row r="25" spans="1:2" x14ac:dyDescent="0.3">
      <c r="A25" t="s">
        <v>164</v>
      </c>
      <c r="B25">
        <v>26</v>
      </c>
    </row>
    <row r="26" spans="1:2" x14ac:dyDescent="0.3">
      <c r="A26" t="s">
        <v>167</v>
      </c>
      <c r="B26">
        <v>27</v>
      </c>
    </row>
    <row r="27" spans="1:2" x14ac:dyDescent="0.3">
      <c r="A27" t="s">
        <v>171</v>
      </c>
      <c r="B27">
        <v>28</v>
      </c>
    </row>
    <row r="28" spans="1:2" x14ac:dyDescent="0.3">
      <c r="A28" t="s">
        <v>174</v>
      </c>
      <c r="B28">
        <v>29</v>
      </c>
    </row>
    <row r="29" spans="1:2" x14ac:dyDescent="0.3">
      <c r="A29" t="s">
        <v>177</v>
      </c>
      <c r="B29">
        <v>30</v>
      </c>
    </row>
    <row r="30" spans="1:2" x14ac:dyDescent="0.3">
      <c r="A30" t="s">
        <v>179</v>
      </c>
      <c r="B30">
        <v>31</v>
      </c>
    </row>
    <row r="31" spans="1:2" x14ac:dyDescent="0.3">
      <c r="A31" t="s">
        <v>181</v>
      </c>
      <c r="B31">
        <v>33</v>
      </c>
    </row>
    <row r="32" spans="1:2" x14ac:dyDescent="0.3">
      <c r="A32" t="s">
        <v>183</v>
      </c>
      <c r="B32">
        <v>34</v>
      </c>
    </row>
    <row r="33" spans="1:2" x14ac:dyDescent="0.3">
      <c r="A33" t="s">
        <v>185</v>
      </c>
      <c r="B33">
        <v>35</v>
      </c>
    </row>
    <row r="34" spans="1:2" x14ac:dyDescent="0.3">
      <c r="A34" t="s">
        <v>187</v>
      </c>
      <c r="B34">
        <v>36</v>
      </c>
    </row>
    <row r="35" spans="1:2" x14ac:dyDescent="0.3">
      <c r="A35" t="s">
        <v>189</v>
      </c>
      <c r="B35">
        <v>37</v>
      </c>
    </row>
    <row r="36" spans="1:2" x14ac:dyDescent="0.3">
      <c r="A36" t="s">
        <v>192</v>
      </c>
      <c r="B36">
        <v>38</v>
      </c>
    </row>
    <row r="37" spans="1:2" x14ac:dyDescent="0.3">
      <c r="A37" t="s">
        <v>194</v>
      </c>
      <c r="B37">
        <v>39</v>
      </c>
    </row>
    <row r="38" spans="1:2" x14ac:dyDescent="0.3">
      <c r="A38" t="s">
        <v>196</v>
      </c>
      <c r="B38">
        <v>40</v>
      </c>
    </row>
    <row r="39" spans="1:2" x14ac:dyDescent="0.3">
      <c r="A39" t="s">
        <v>198</v>
      </c>
      <c r="B39">
        <v>41</v>
      </c>
    </row>
    <row r="40" spans="1:2" x14ac:dyDescent="0.3">
      <c r="A40" t="s">
        <v>200</v>
      </c>
      <c r="B40">
        <v>42</v>
      </c>
    </row>
    <row r="41" spans="1:2" x14ac:dyDescent="0.3">
      <c r="A41" t="s">
        <v>202</v>
      </c>
      <c r="B41">
        <v>43</v>
      </c>
    </row>
    <row r="42" spans="1:2" x14ac:dyDescent="0.3">
      <c r="A42" t="s">
        <v>204</v>
      </c>
      <c r="B42">
        <v>44</v>
      </c>
    </row>
    <row r="43" spans="1:2" x14ac:dyDescent="0.3">
      <c r="A43" t="s">
        <v>206</v>
      </c>
      <c r="B43">
        <v>45</v>
      </c>
    </row>
    <row r="44" spans="1:2" x14ac:dyDescent="0.3">
      <c r="A44" t="s">
        <v>208</v>
      </c>
      <c r="B44">
        <v>46</v>
      </c>
    </row>
    <row r="45" spans="1:2" x14ac:dyDescent="0.3">
      <c r="A45" t="s">
        <v>210</v>
      </c>
      <c r="B45">
        <v>47</v>
      </c>
    </row>
    <row r="46" spans="1:2" x14ac:dyDescent="0.3">
      <c r="A46" t="s">
        <v>212</v>
      </c>
      <c r="B46">
        <v>48</v>
      </c>
    </row>
    <row r="47" spans="1:2" x14ac:dyDescent="0.3">
      <c r="A47" t="s">
        <v>214</v>
      </c>
      <c r="B47">
        <v>49</v>
      </c>
    </row>
    <row r="48" spans="1:2" x14ac:dyDescent="0.3">
      <c r="A48" t="s">
        <v>216</v>
      </c>
      <c r="B48">
        <v>50</v>
      </c>
    </row>
    <row r="49" spans="1:2" x14ac:dyDescent="0.3">
      <c r="A49" t="s">
        <v>218</v>
      </c>
      <c r="B49">
        <v>51</v>
      </c>
    </row>
    <row r="50" spans="1:2" x14ac:dyDescent="0.3">
      <c r="A50" t="s">
        <v>220</v>
      </c>
      <c r="B50">
        <v>52</v>
      </c>
    </row>
    <row r="51" spans="1:2" x14ac:dyDescent="0.3">
      <c r="A51" t="s">
        <v>222</v>
      </c>
      <c r="B51">
        <v>53</v>
      </c>
    </row>
    <row r="52" spans="1:2" x14ac:dyDescent="0.3">
      <c r="A52" t="s">
        <v>224</v>
      </c>
      <c r="B52">
        <v>54</v>
      </c>
    </row>
    <row r="53" spans="1:2" x14ac:dyDescent="0.3">
      <c r="A53" t="s">
        <v>226</v>
      </c>
      <c r="B53">
        <v>55</v>
      </c>
    </row>
    <row r="54" spans="1:2" x14ac:dyDescent="0.3">
      <c r="A54" t="s">
        <v>229</v>
      </c>
      <c r="B54">
        <v>57</v>
      </c>
    </row>
    <row r="55" spans="1:2" x14ac:dyDescent="0.3">
      <c r="A55" t="s">
        <v>232</v>
      </c>
      <c r="B55">
        <v>58</v>
      </c>
    </row>
    <row r="56" spans="1:2" x14ac:dyDescent="0.3">
      <c r="A56" t="s">
        <v>234</v>
      </c>
      <c r="B56">
        <v>59</v>
      </c>
    </row>
    <row r="57" spans="1:2" x14ac:dyDescent="0.3">
      <c r="A57" t="s">
        <v>237</v>
      </c>
      <c r="B57">
        <v>61</v>
      </c>
    </row>
    <row r="58" spans="1:2" x14ac:dyDescent="0.3">
      <c r="A58" t="s">
        <v>239</v>
      </c>
      <c r="B58">
        <v>62</v>
      </c>
    </row>
    <row r="59" spans="1:2" x14ac:dyDescent="0.3">
      <c r="A59" t="s">
        <v>242</v>
      </c>
      <c r="B59">
        <v>63</v>
      </c>
    </row>
    <row r="60" spans="1:2" x14ac:dyDescent="0.3">
      <c r="A60" t="s">
        <v>244</v>
      </c>
      <c r="B60">
        <v>64</v>
      </c>
    </row>
    <row r="61" spans="1:2" x14ac:dyDescent="0.3">
      <c r="A61" t="s">
        <v>246</v>
      </c>
      <c r="B61">
        <v>65</v>
      </c>
    </row>
    <row r="62" spans="1:2" x14ac:dyDescent="0.3">
      <c r="A62" t="s">
        <v>249</v>
      </c>
      <c r="B62">
        <v>67</v>
      </c>
    </row>
    <row r="63" spans="1:2" x14ac:dyDescent="0.3">
      <c r="A63" t="s">
        <v>251</v>
      </c>
      <c r="B63">
        <v>68</v>
      </c>
    </row>
    <row r="64" spans="1:2" x14ac:dyDescent="0.3">
      <c r="A64" t="s">
        <v>254</v>
      </c>
      <c r="B64">
        <v>69</v>
      </c>
    </row>
    <row r="65" spans="1:24" x14ac:dyDescent="0.3">
      <c r="A65" t="s">
        <v>256</v>
      </c>
      <c r="B65">
        <v>70</v>
      </c>
    </row>
    <row r="66" spans="1:24" x14ac:dyDescent="0.3">
      <c r="A66" t="s">
        <v>258</v>
      </c>
      <c r="B66">
        <v>71</v>
      </c>
    </row>
    <row r="67" spans="1:24" x14ac:dyDescent="0.3">
      <c r="A67" t="s">
        <v>260</v>
      </c>
      <c r="B67" t="s">
        <v>261</v>
      </c>
    </row>
    <row r="68" spans="1:24" x14ac:dyDescent="0.3">
      <c r="A68" t="s">
        <v>262</v>
      </c>
      <c r="B68" t="s">
        <v>263</v>
      </c>
    </row>
    <row r="69" spans="1:24" x14ac:dyDescent="0.3">
      <c r="A69" t="s">
        <v>271</v>
      </c>
      <c r="B69" t="s">
        <v>272</v>
      </c>
    </row>
    <row r="70" spans="1:24" x14ac:dyDescent="0.3">
      <c r="A70" t="s">
        <v>274</v>
      </c>
      <c r="B70" t="s">
        <v>275</v>
      </c>
    </row>
    <row r="71" spans="1:24" x14ac:dyDescent="0.3">
      <c r="A71" t="s">
        <v>277</v>
      </c>
      <c r="B71" t="s">
        <v>278</v>
      </c>
    </row>
    <row r="72" spans="1:24" x14ac:dyDescent="0.3">
      <c r="A72" t="s">
        <v>280</v>
      </c>
      <c r="B72" t="s">
        <v>281</v>
      </c>
    </row>
    <row r="73" spans="1:24" x14ac:dyDescent="0.3">
      <c r="A73" t="s">
        <v>284</v>
      </c>
      <c r="B73" t="s">
        <v>285</v>
      </c>
    </row>
    <row r="74" spans="1:24" x14ac:dyDescent="0.3">
      <c r="A74" t="s">
        <v>300</v>
      </c>
      <c r="B74" t="s">
        <v>39</v>
      </c>
      <c r="C74" t="s">
        <v>63</v>
      </c>
      <c r="D74" t="s">
        <v>61</v>
      </c>
      <c r="E74" t="s">
        <v>53</v>
      </c>
      <c r="F74" t="s">
        <v>47</v>
      </c>
      <c r="G74" t="s">
        <v>71</v>
      </c>
      <c r="H74" t="s">
        <v>21</v>
      </c>
      <c r="I74" t="s">
        <v>23</v>
      </c>
      <c r="J74" t="s">
        <v>37</v>
      </c>
      <c r="K74" t="s">
        <v>65</v>
      </c>
      <c r="L74" t="s">
        <v>67</v>
      </c>
      <c r="M74" t="s">
        <v>49</v>
      </c>
      <c r="N74" t="s">
        <v>13</v>
      </c>
      <c r="O74" t="s">
        <v>73</v>
      </c>
      <c r="P74" t="s">
        <v>19</v>
      </c>
      <c r="Q74" t="s">
        <v>17</v>
      </c>
      <c r="R74" t="s">
        <v>69</v>
      </c>
      <c r="S74" t="s">
        <v>45</v>
      </c>
      <c r="T74" t="s">
        <v>43</v>
      </c>
      <c r="U74" t="s">
        <v>5</v>
      </c>
      <c r="V74" t="s">
        <v>59</v>
      </c>
      <c r="W74" t="s">
        <v>9</v>
      </c>
      <c r="X74" t="s">
        <v>57</v>
      </c>
    </row>
    <row r="75" spans="1:24" x14ac:dyDescent="0.3">
      <c r="A75" t="s">
        <v>302</v>
      </c>
      <c r="B75">
        <v>1</v>
      </c>
    </row>
    <row r="76" spans="1:24" x14ac:dyDescent="0.3">
      <c r="A76" t="s">
        <v>303</v>
      </c>
      <c r="B76">
        <v>2</v>
      </c>
    </row>
    <row r="77" spans="1:24" x14ac:dyDescent="0.3">
      <c r="A77" t="s">
        <v>304</v>
      </c>
      <c r="B77">
        <v>3</v>
      </c>
    </row>
    <row r="78" spans="1:24" x14ac:dyDescent="0.3">
      <c r="A78" t="s">
        <v>305</v>
      </c>
      <c r="B78">
        <v>4</v>
      </c>
    </row>
    <row r="79" spans="1:24" x14ac:dyDescent="0.3">
      <c r="A79" t="s">
        <v>306</v>
      </c>
      <c r="B79">
        <v>5</v>
      </c>
    </row>
    <row r="80" spans="1:24" x14ac:dyDescent="0.3">
      <c r="A80" t="s">
        <v>307</v>
      </c>
      <c r="B80">
        <v>6</v>
      </c>
    </row>
    <row r="81" spans="1:2" x14ac:dyDescent="0.3">
      <c r="A81" t="s">
        <v>310</v>
      </c>
      <c r="B81">
        <v>8</v>
      </c>
    </row>
    <row r="82" spans="1:2" x14ac:dyDescent="0.3">
      <c r="A82" t="s">
        <v>311</v>
      </c>
      <c r="B82">
        <v>9</v>
      </c>
    </row>
    <row r="83" spans="1:2" x14ac:dyDescent="0.3">
      <c r="A83" t="s">
        <v>312</v>
      </c>
      <c r="B83">
        <v>10</v>
      </c>
    </row>
    <row r="84" spans="1:2" x14ac:dyDescent="0.3">
      <c r="A84" t="s">
        <v>313</v>
      </c>
      <c r="B84">
        <v>11</v>
      </c>
    </row>
    <row r="85" spans="1:2" x14ac:dyDescent="0.3">
      <c r="A85" t="s">
        <v>314</v>
      </c>
      <c r="B85">
        <v>12</v>
      </c>
    </row>
    <row r="86" spans="1:2" x14ac:dyDescent="0.3">
      <c r="A86" t="s">
        <v>315</v>
      </c>
      <c r="B86">
        <v>13</v>
      </c>
    </row>
    <row r="87" spans="1:2" x14ac:dyDescent="0.3">
      <c r="A87" t="s">
        <v>316</v>
      </c>
      <c r="B87">
        <v>14</v>
      </c>
    </row>
    <row r="88" spans="1:2" x14ac:dyDescent="0.3">
      <c r="A88" t="s">
        <v>317</v>
      </c>
      <c r="B88">
        <v>15</v>
      </c>
    </row>
    <row r="89" spans="1:2" x14ac:dyDescent="0.3">
      <c r="A89" t="s">
        <v>318</v>
      </c>
      <c r="B89">
        <v>16</v>
      </c>
    </row>
    <row r="90" spans="1:2" x14ac:dyDescent="0.3">
      <c r="A90" t="s">
        <v>319</v>
      </c>
      <c r="B90">
        <v>17</v>
      </c>
    </row>
    <row r="91" spans="1:2" x14ac:dyDescent="0.3">
      <c r="A91" t="s">
        <v>320</v>
      </c>
      <c r="B91">
        <v>18</v>
      </c>
    </row>
    <row r="92" spans="1:2" x14ac:dyDescent="0.3">
      <c r="A92" t="s">
        <v>321</v>
      </c>
      <c r="B92">
        <v>19</v>
      </c>
    </row>
    <row r="93" spans="1:2" x14ac:dyDescent="0.3">
      <c r="A93" t="s">
        <v>322</v>
      </c>
      <c r="B93">
        <v>20</v>
      </c>
    </row>
    <row r="94" spans="1:2" x14ac:dyDescent="0.3">
      <c r="A94" t="s">
        <v>323</v>
      </c>
      <c r="B94">
        <v>21</v>
      </c>
    </row>
    <row r="95" spans="1:2" x14ac:dyDescent="0.3">
      <c r="A95" t="s">
        <v>324</v>
      </c>
      <c r="B95">
        <v>22</v>
      </c>
    </row>
    <row r="96" spans="1:2" x14ac:dyDescent="0.3">
      <c r="A96" t="s">
        <v>325</v>
      </c>
      <c r="B96">
        <v>23</v>
      </c>
    </row>
    <row r="97" spans="1:2" x14ac:dyDescent="0.3">
      <c r="A97" t="s">
        <v>326</v>
      </c>
      <c r="B97">
        <v>24</v>
      </c>
    </row>
    <row r="98" spans="1:2" x14ac:dyDescent="0.3">
      <c r="A98" t="s">
        <v>327</v>
      </c>
      <c r="B98">
        <v>25</v>
      </c>
    </row>
    <row r="99" spans="1:2" x14ac:dyDescent="0.3">
      <c r="A99" t="s">
        <v>328</v>
      </c>
      <c r="B99">
        <v>26</v>
      </c>
    </row>
    <row r="100" spans="1:2" x14ac:dyDescent="0.3">
      <c r="A100" t="s">
        <v>329</v>
      </c>
      <c r="B100">
        <v>27</v>
      </c>
    </row>
    <row r="101" spans="1:2" x14ac:dyDescent="0.3">
      <c r="A101" t="s">
        <v>330</v>
      </c>
      <c r="B101">
        <v>28</v>
      </c>
    </row>
    <row r="102" spans="1:2" x14ac:dyDescent="0.3">
      <c r="A102" t="s">
        <v>331</v>
      </c>
      <c r="B102">
        <v>29</v>
      </c>
    </row>
    <row r="103" spans="1:2" x14ac:dyDescent="0.3">
      <c r="A103" t="s">
        <v>333</v>
      </c>
      <c r="B103">
        <v>31</v>
      </c>
    </row>
    <row r="104" spans="1:2" x14ac:dyDescent="0.3">
      <c r="A104" t="s">
        <v>334</v>
      </c>
      <c r="B104">
        <v>32</v>
      </c>
    </row>
    <row r="105" spans="1:2" x14ac:dyDescent="0.3">
      <c r="A105" t="s">
        <v>335</v>
      </c>
      <c r="B105">
        <v>33</v>
      </c>
    </row>
    <row r="106" spans="1:2" x14ac:dyDescent="0.3">
      <c r="A106" t="s">
        <v>336</v>
      </c>
      <c r="B106">
        <v>34</v>
      </c>
    </row>
    <row r="107" spans="1:2" x14ac:dyDescent="0.3">
      <c r="A107" t="s">
        <v>337</v>
      </c>
      <c r="B107">
        <v>35</v>
      </c>
    </row>
    <row r="108" spans="1:2" x14ac:dyDescent="0.3">
      <c r="A108" t="s">
        <v>338</v>
      </c>
      <c r="B108">
        <v>36</v>
      </c>
    </row>
    <row r="109" spans="1:2" x14ac:dyDescent="0.3">
      <c r="A109" t="s">
        <v>339</v>
      </c>
      <c r="B109">
        <v>37</v>
      </c>
    </row>
    <row r="110" spans="1:2" x14ac:dyDescent="0.3">
      <c r="A110" t="s">
        <v>340</v>
      </c>
      <c r="B110">
        <v>38</v>
      </c>
    </row>
    <row r="111" spans="1:2" x14ac:dyDescent="0.3">
      <c r="A111" t="s">
        <v>341</v>
      </c>
      <c r="B111">
        <v>39</v>
      </c>
    </row>
    <row r="112" spans="1:2" x14ac:dyDescent="0.3">
      <c r="A112" t="s">
        <v>342</v>
      </c>
      <c r="B112">
        <v>40</v>
      </c>
    </row>
    <row r="113" spans="1:2" x14ac:dyDescent="0.3">
      <c r="A113" t="s">
        <v>343</v>
      </c>
      <c r="B113">
        <v>41</v>
      </c>
    </row>
    <row r="114" spans="1:2" x14ac:dyDescent="0.3">
      <c r="A114" t="s">
        <v>344</v>
      </c>
      <c r="B114">
        <v>42</v>
      </c>
    </row>
    <row r="115" spans="1:2" x14ac:dyDescent="0.3">
      <c r="A115" t="s">
        <v>345</v>
      </c>
      <c r="B115">
        <v>43</v>
      </c>
    </row>
    <row r="116" spans="1:2" x14ac:dyDescent="0.3">
      <c r="A116" t="s">
        <v>346</v>
      </c>
      <c r="B116">
        <v>44</v>
      </c>
    </row>
    <row r="117" spans="1:2" x14ac:dyDescent="0.3">
      <c r="A117" t="s">
        <v>347</v>
      </c>
      <c r="B117">
        <v>45</v>
      </c>
    </row>
    <row r="118" spans="1:2" x14ac:dyDescent="0.3">
      <c r="A118" t="s">
        <v>348</v>
      </c>
      <c r="B118">
        <v>46</v>
      </c>
    </row>
    <row r="119" spans="1:2" x14ac:dyDescent="0.3">
      <c r="A119" t="s">
        <v>349</v>
      </c>
      <c r="B119">
        <v>47</v>
      </c>
    </row>
    <row r="120" spans="1:2" x14ac:dyDescent="0.3">
      <c r="A120" t="s">
        <v>350</v>
      </c>
      <c r="B120">
        <v>48</v>
      </c>
    </row>
    <row r="121" spans="1:2" x14ac:dyDescent="0.3">
      <c r="A121" t="s">
        <v>351</v>
      </c>
      <c r="B121">
        <v>49</v>
      </c>
    </row>
    <row r="122" spans="1:2" x14ac:dyDescent="0.3">
      <c r="A122" t="s">
        <v>352</v>
      </c>
      <c r="B122">
        <v>50</v>
      </c>
    </row>
    <row r="123" spans="1:2" x14ac:dyDescent="0.3">
      <c r="A123" t="s">
        <v>353</v>
      </c>
      <c r="B123">
        <v>51</v>
      </c>
    </row>
    <row r="124" spans="1:2" x14ac:dyDescent="0.3">
      <c r="A124" t="s">
        <v>354</v>
      </c>
      <c r="B124">
        <v>52</v>
      </c>
    </row>
    <row r="125" spans="1:2" x14ac:dyDescent="0.3">
      <c r="A125" t="s">
        <v>357</v>
      </c>
      <c r="B125">
        <v>54</v>
      </c>
    </row>
    <row r="126" spans="1:2" x14ac:dyDescent="0.3">
      <c r="A126" t="s">
        <v>359</v>
      </c>
      <c r="B126">
        <v>55</v>
      </c>
    </row>
    <row r="127" spans="1:2" x14ac:dyDescent="0.3">
      <c r="A127" t="s">
        <v>361</v>
      </c>
      <c r="B127">
        <v>56</v>
      </c>
    </row>
    <row r="128" spans="1:2" x14ac:dyDescent="0.3">
      <c r="A128" t="s">
        <v>362</v>
      </c>
      <c r="B128">
        <v>57</v>
      </c>
    </row>
    <row r="129" spans="1:23" x14ac:dyDescent="0.3">
      <c r="A129" t="s">
        <v>363</v>
      </c>
      <c r="B129">
        <v>58</v>
      </c>
    </row>
    <row r="130" spans="1:23" x14ac:dyDescent="0.3">
      <c r="A130" t="s">
        <v>365</v>
      </c>
      <c r="B130" t="s">
        <v>366</v>
      </c>
    </row>
    <row r="131" spans="1:23" x14ac:dyDescent="0.3">
      <c r="A131" t="s">
        <v>367</v>
      </c>
      <c r="B131" t="s">
        <v>368</v>
      </c>
    </row>
    <row r="132" spans="1:23" x14ac:dyDescent="0.3">
      <c r="A132" t="s">
        <v>369</v>
      </c>
      <c r="B132" t="s">
        <v>370</v>
      </c>
    </row>
    <row r="133" spans="1:23" x14ac:dyDescent="0.3">
      <c r="A133" t="s">
        <v>371</v>
      </c>
      <c r="B133" t="s">
        <v>372</v>
      </c>
    </row>
    <row r="134" spans="1:23" x14ac:dyDescent="0.3">
      <c r="A134" t="s">
        <v>373</v>
      </c>
      <c r="B134" t="s">
        <v>374</v>
      </c>
    </row>
    <row r="135" spans="1:23" x14ac:dyDescent="0.3">
      <c r="A135" t="s">
        <v>375</v>
      </c>
      <c r="B135" t="s">
        <v>376</v>
      </c>
    </row>
    <row r="136" spans="1:23" x14ac:dyDescent="0.3">
      <c r="A136" t="s">
        <v>377</v>
      </c>
      <c r="B136" t="s">
        <v>378</v>
      </c>
    </row>
    <row r="137" spans="1:23" x14ac:dyDescent="0.3">
      <c r="A137" t="s">
        <v>382</v>
      </c>
      <c r="B137" t="s">
        <v>73</v>
      </c>
      <c r="C137" t="s">
        <v>39</v>
      </c>
      <c r="D137" t="s">
        <v>13</v>
      </c>
      <c r="E137" t="s">
        <v>63</v>
      </c>
      <c r="F137" t="s">
        <v>77</v>
      </c>
      <c r="G137" t="s">
        <v>61</v>
      </c>
      <c r="H137" t="s">
        <v>17</v>
      </c>
      <c r="I137" t="s">
        <v>53</v>
      </c>
      <c r="J137" t="s">
        <v>69</v>
      </c>
      <c r="K137" t="s">
        <v>47</v>
      </c>
      <c r="L137" t="s">
        <v>45</v>
      </c>
      <c r="M137" t="s">
        <v>71</v>
      </c>
      <c r="N137" t="s">
        <v>21</v>
      </c>
      <c r="O137" t="s">
        <v>43</v>
      </c>
      <c r="P137" t="s">
        <v>5</v>
      </c>
      <c r="Q137" t="s">
        <v>49</v>
      </c>
      <c r="R137" t="s">
        <v>37</v>
      </c>
      <c r="S137" t="s">
        <v>65</v>
      </c>
      <c r="T137" t="s">
        <v>59</v>
      </c>
      <c r="U137" t="s">
        <v>9</v>
      </c>
      <c r="V137" t="s">
        <v>67</v>
      </c>
      <c r="W137" t="s">
        <v>57</v>
      </c>
    </row>
    <row r="138" spans="1:23" x14ac:dyDescent="0.3">
      <c r="A138" t="s">
        <v>384</v>
      </c>
      <c r="B138">
        <v>1</v>
      </c>
    </row>
    <row r="139" spans="1:23" x14ac:dyDescent="0.3">
      <c r="A139" t="s">
        <v>385</v>
      </c>
      <c r="B139">
        <v>2</v>
      </c>
    </row>
    <row r="140" spans="1:23" x14ac:dyDescent="0.3">
      <c r="A140" t="s">
        <v>386</v>
      </c>
      <c r="B140">
        <v>3</v>
      </c>
    </row>
    <row r="141" spans="1:23" x14ac:dyDescent="0.3">
      <c r="A141" t="s">
        <v>387</v>
      </c>
      <c r="B141">
        <v>4</v>
      </c>
    </row>
    <row r="142" spans="1:23" x14ac:dyDescent="0.3">
      <c r="A142" t="s">
        <v>388</v>
      </c>
      <c r="B142">
        <v>5</v>
      </c>
    </row>
    <row r="143" spans="1:23" x14ac:dyDescent="0.3">
      <c r="A143" t="s">
        <v>389</v>
      </c>
      <c r="B143">
        <v>6</v>
      </c>
    </row>
    <row r="144" spans="1:23" x14ac:dyDescent="0.3">
      <c r="A144" t="s">
        <v>390</v>
      </c>
      <c r="B144">
        <v>8</v>
      </c>
    </row>
    <row r="145" spans="1:2" x14ac:dyDescent="0.3">
      <c r="A145" t="s">
        <v>391</v>
      </c>
      <c r="B145">
        <v>9</v>
      </c>
    </row>
    <row r="146" spans="1:2" x14ac:dyDescent="0.3">
      <c r="A146" t="s">
        <v>392</v>
      </c>
      <c r="B146">
        <v>10</v>
      </c>
    </row>
    <row r="147" spans="1:2" x14ac:dyDescent="0.3">
      <c r="A147" t="s">
        <v>393</v>
      </c>
      <c r="B147">
        <v>11</v>
      </c>
    </row>
    <row r="148" spans="1:2" x14ac:dyDescent="0.3">
      <c r="A148" t="s">
        <v>394</v>
      </c>
      <c r="B148">
        <v>12</v>
      </c>
    </row>
    <row r="149" spans="1:2" x14ac:dyDescent="0.3">
      <c r="A149" t="s">
        <v>395</v>
      </c>
      <c r="B149">
        <v>13</v>
      </c>
    </row>
    <row r="150" spans="1:2" x14ac:dyDescent="0.3">
      <c r="A150" t="s">
        <v>396</v>
      </c>
      <c r="B150">
        <v>14</v>
      </c>
    </row>
    <row r="151" spans="1:2" x14ac:dyDescent="0.3">
      <c r="A151" t="s">
        <v>397</v>
      </c>
      <c r="B151">
        <v>15</v>
      </c>
    </row>
    <row r="152" spans="1:2" x14ac:dyDescent="0.3">
      <c r="A152" t="s">
        <v>398</v>
      </c>
      <c r="B152">
        <v>16</v>
      </c>
    </row>
    <row r="153" spans="1:2" x14ac:dyDescent="0.3">
      <c r="A153" t="s">
        <v>399</v>
      </c>
      <c r="B153">
        <v>17</v>
      </c>
    </row>
    <row r="154" spans="1:2" x14ac:dyDescent="0.3">
      <c r="A154" t="s">
        <v>400</v>
      </c>
      <c r="B154">
        <v>18</v>
      </c>
    </row>
    <row r="155" spans="1:2" x14ac:dyDescent="0.3">
      <c r="A155" t="s">
        <v>401</v>
      </c>
      <c r="B155">
        <v>19</v>
      </c>
    </row>
    <row r="156" spans="1:2" x14ac:dyDescent="0.3">
      <c r="A156" t="s">
        <v>402</v>
      </c>
      <c r="B156">
        <v>20</v>
      </c>
    </row>
    <row r="157" spans="1:2" x14ac:dyDescent="0.3">
      <c r="A157" t="s">
        <v>403</v>
      </c>
      <c r="B157">
        <v>21</v>
      </c>
    </row>
    <row r="158" spans="1:2" x14ac:dyDescent="0.3">
      <c r="A158" t="s">
        <v>404</v>
      </c>
      <c r="B158">
        <v>22</v>
      </c>
    </row>
    <row r="159" spans="1:2" x14ac:dyDescent="0.3">
      <c r="A159" t="s">
        <v>405</v>
      </c>
      <c r="B159">
        <v>23</v>
      </c>
    </row>
    <row r="160" spans="1:2" x14ac:dyDescent="0.3">
      <c r="A160" t="s">
        <v>406</v>
      </c>
      <c r="B160">
        <v>24</v>
      </c>
    </row>
    <row r="161" spans="1:2" x14ac:dyDescent="0.3">
      <c r="A161" t="s">
        <v>407</v>
      </c>
      <c r="B161">
        <v>25</v>
      </c>
    </row>
    <row r="162" spans="1:2" x14ac:dyDescent="0.3">
      <c r="A162" t="s">
        <v>408</v>
      </c>
      <c r="B162">
        <v>26</v>
      </c>
    </row>
    <row r="163" spans="1:2" x14ac:dyDescent="0.3">
      <c r="A163" t="s">
        <v>409</v>
      </c>
      <c r="B163">
        <v>27</v>
      </c>
    </row>
    <row r="164" spans="1:2" x14ac:dyDescent="0.3">
      <c r="A164" t="s">
        <v>410</v>
      </c>
      <c r="B164">
        <v>28</v>
      </c>
    </row>
    <row r="165" spans="1:2" x14ac:dyDescent="0.3">
      <c r="A165" t="s">
        <v>411</v>
      </c>
      <c r="B165">
        <v>29</v>
      </c>
    </row>
    <row r="166" spans="1:2" x14ac:dyDescent="0.3">
      <c r="A166" t="s">
        <v>412</v>
      </c>
      <c r="B166">
        <v>31</v>
      </c>
    </row>
    <row r="167" spans="1:2" x14ac:dyDescent="0.3">
      <c r="A167" t="s">
        <v>413</v>
      </c>
      <c r="B167">
        <v>32</v>
      </c>
    </row>
    <row r="168" spans="1:2" x14ac:dyDescent="0.3">
      <c r="A168" t="s">
        <v>414</v>
      </c>
      <c r="B168">
        <v>33</v>
      </c>
    </row>
    <row r="169" spans="1:2" x14ac:dyDescent="0.3">
      <c r="A169" t="s">
        <v>415</v>
      </c>
      <c r="B169">
        <v>34</v>
      </c>
    </row>
    <row r="170" spans="1:2" x14ac:dyDescent="0.3">
      <c r="A170" t="s">
        <v>416</v>
      </c>
      <c r="B170">
        <v>35</v>
      </c>
    </row>
    <row r="171" spans="1:2" x14ac:dyDescent="0.3">
      <c r="A171" t="s">
        <v>417</v>
      </c>
      <c r="B171">
        <v>36</v>
      </c>
    </row>
    <row r="172" spans="1:2" x14ac:dyDescent="0.3">
      <c r="A172" t="s">
        <v>418</v>
      </c>
      <c r="B172">
        <v>37</v>
      </c>
    </row>
    <row r="173" spans="1:2" x14ac:dyDescent="0.3">
      <c r="A173" t="s">
        <v>419</v>
      </c>
      <c r="B173">
        <v>38</v>
      </c>
    </row>
    <row r="174" spans="1:2" x14ac:dyDescent="0.3">
      <c r="A174" t="s">
        <v>420</v>
      </c>
      <c r="B174">
        <v>39</v>
      </c>
    </row>
    <row r="175" spans="1:2" x14ac:dyDescent="0.3">
      <c r="A175" t="s">
        <v>421</v>
      </c>
      <c r="B175">
        <v>40</v>
      </c>
    </row>
    <row r="176" spans="1:2" x14ac:dyDescent="0.3">
      <c r="A176" t="s">
        <v>422</v>
      </c>
      <c r="B176">
        <v>41</v>
      </c>
    </row>
    <row r="177" spans="1:2" x14ac:dyDescent="0.3">
      <c r="A177" t="s">
        <v>423</v>
      </c>
      <c r="B177">
        <v>42</v>
      </c>
    </row>
    <row r="178" spans="1:2" x14ac:dyDescent="0.3">
      <c r="A178" t="s">
        <v>424</v>
      </c>
      <c r="B178">
        <v>43</v>
      </c>
    </row>
    <row r="179" spans="1:2" x14ac:dyDescent="0.3">
      <c r="A179" t="s">
        <v>425</v>
      </c>
      <c r="B179">
        <v>44</v>
      </c>
    </row>
    <row r="180" spans="1:2" x14ac:dyDescent="0.3">
      <c r="A180" t="s">
        <v>426</v>
      </c>
      <c r="B180">
        <v>45</v>
      </c>
    </row>
    <row r="181" spans="1:2" x14ac:dyDescent="0.3">
      <c r="A181" t="s">
        <v>427</v>
      </c>
      <c r="B181">
        <v>46</v>
      </c>
    </row>
    <row r="182" spans="1:2" x14ac:dyDescent="0.3">
      <c r="A182" t="s">
        <v>428</v>
      </c>
      <c r="B182">
        <v>47</v>
      </c>
    </row>
    <row r="183" spans="1:2" x14ac:dyDescent="0.3">
      <c r="A183" t="s">
        <v>429</v>
      </c>
      <c r="B183">
        <v>48</v>
      </c>
    </row>
    <row r="184" spans="1:2" x14ac:dyDescent="0.3">
      <c r="A184" t="s">
        <v>430</v>
      </c>
      <c r="B184">
        <v>49</v>
      </c>
    </row>
    <row r="185" spans="1:2" x14ac:dyDescent="0.3">
      <c r="A185" t="s">
        <v>431</v>
      </c>
      <c r="B185">
        <v>50</v>
      </c>
    </row>
    <row r="186" spans="1:2" x14ac:dyDescent="0.3">
      <c r="A186" t="s">
        <v>432</v>
      </c>
      <c r="B186">
        <v>51</v>
      </c>
    </row>
    <row r="187" spans="1:2" x14ac:dyDescent="0.3">
      <c r="A187" t="s">
        <v>433</v>
      </c>
      <c r="B187">
        <v>52</v>
      </c>
    </row>
    <row r="188" spans="1:2" x14ac:dyDescent="0.3">
      <c r="A188" t="s">
        <v>434</v>
      </c>
      <c r="B188">
        <v>54</v>
      </c>
    </row>
    <row r="189" spans="1:2" x14ac:dyDescent="0.3">
      <c r="A189" t="s">
        <v>435</v>
      </c>
      <c r="B189">
        <v>55</v>
      </c>
    </row>
    <row r="190" spans="1:2" x14ac:dyDescent="0.3">
      <c r="A190" t="s">
        <v>436</v>
      </c>
      <c r="B190">
        <v>56</v>
      </c>
    </row>
    <row r="191" spans="1:2" x14ac:dyDescent="0.3">
      <c r="A191" t="s">
        <v>437</v>
      </c>
      <c r="B191">
        <v>57</v>
      </c>
    </row>
    <row r="192" spans="1:2" x14ac:dyDescent="0.3">
      <c r="A192" t="s">
        <v>438</v>
      </c>
      <c r="B192">
        <v>58</v>
      </c>
    </row>
    <row r="193" spans="1:23" x14ac:dyDescent="0.3">
      <c r="A193" t="s">
        <v>440</v>
      </c>
      <c r="B193" t="s">
        <v>441</v>
      </c>
    </row>
    <row r="194" spans="1:23" x14ac:dyDescent="0.3">
      <c r="A194" t="s">
        <v>442</v>
      </c>
      <c r="B194" t="s">
        <v>443</v>
      </c>
    </row>
    <row r="195" spans="1:23" x14ac:dyDescent="0.3">
      <c r="A195" t="s">
        <v>444</v>
      </c>
      <c r="B195" t="s">
        <v>445</v>
      </c>
    </row>
    <row r="196" spans="1:23" x14ac:dyDescent="0.3">
      <c r="A196" t="s">
        <v>446</v>
      </c>
      <c r="B196" t="s">
        <v>447</v>
      </c>
    </row>
    <row r="197" spans="1:23" x14ac:dyDescent="0.3">
      <c r="A197" t="s">
        <v>448</v>
      </c>
      <c r="B197" t="s">
        <v>449</v>
      </c>
    </row>
    <row r="198" spans="1:23" x14ac:dyDescent="0.3">
      <c r="A198" t="s">
        <v>450</v>
      </c>
      <c r="B198" t="s">
        <v>451</v>
      </c>
    </row>
    <row r="199" spans="1:23" x14ac:dyDescent="0.3">
      <c r="A199" t="s">
        <v>452</v>
      </c>
      <c r="B199" t="s">
        <v>453</v>
      </c>
    </row>
    <row r="200" spans="1:23" x14ac:dyDescent="0.3">
      <c r="A200" t="s">
        <v>458</v>
      </c>
      <c r="B200" t="s">
        <v>63</v>
      </c>
      <c r="C200" t="s">
        <v>77</v>
      </c>
      <c r="D200" t="s">
        <v>13</v>
      </c>
      <c r="E200" t="s">
        <v>39</v>
      </c>
      <c r="F200" t="s">
        <v>73</v>
      </c>
      <c r="G200" t="s">
        <v>17</v>
      </c>
      <c r="H200" t="s">
        <v>53</v>
      </c>
      <c r="I200" t="s">
        <v>61</v>
      </c>
      <c r="J200" t="s">
        <v>21</v>
      </c>
      <c r="K200" t="s">
        <v>71</v>
      </c>
      <c r="L200" t="s">
        <v>5</v>
      </c>
      <c r="M200" t="s">
        <v>43</v>
      </c>
      <c r="N200" t="s">
        <v>69</v>
      </c>
      <c r="O200" t="s">
        <v>47</v>
      </c>
      <c r="P200" t="s">
        <v>45</v>
      </c>
      <c r="Q200" t="s">
        <v>65</v>
      </c>
      <c r="R200" t="s">
        <v>49</v>
      </c>
      <c r="S200" t="s">
        <v>37</v>
      </c>
      <c r="T200" t="s">
        <v>59</v>
      </c>
      <c r="U200" t="s">
        <v>9</v>
      </c>
      <c r="V200" t="s">
        <v>67</v>
      </c>
      <c r="W200" t="s">
        <v>57</v>
      </c>
    </row>
    <row r="201" spans="1:23" x14ac:dyDescent="0.3">
      <c r="A201" t="s">
        <v>460</v>
      </c>
      <c r="B201">
        <v>1</v>
      </c>
    </row>
    <row r="202" spans="1:23" x14ac:dyDescent="0.3">
      <c r="A202" t="s">
        <v>461</v>
      </c>
      <c r="B202">
        <v>2</v>
      </c>
    </row>
    <row r="203" spans="1:23" x14ac:dyDescent="0.3">
      <c r="A203" t="s">
        <v>462</v>
      </c>
      <c r="B203">
        <v>3</v>
      </c>
    </row>
    <row r="204" spans="1:23" x14ac:dyDescent="0.3">
      <c r="A204" t="s">
        <v>463</v>
      </c>
      <c r="B204">
        <v>4</v>
      </c>
    </row>
    <row r="205" spans="1:23" x14ac:dyDescent="0.3">
      <c r="A205" t="s">
        <v>464</v>
      </c>
      <c r="B205">
        <v>5</v>
      </c>
    </row>
    <row r="206" spans="1:23" x14ac:dyDescent="0.3">
      <c r="A206" t="s">
        <v>465</v>
      </c>
      <c r="B206">
        <v>6</v>
      </c>
    </row>
    <row r="207" spans="1:23" x14ac:dyDescent="0.3">
      <c r="A207" t="s">
        <v>466</v>
      </c>
      <c r="B207">
        <v>7</v>
      </c>
    </row>
    <row r="208" spans="1:23" x14ac:dyDescent="0.3">
      <c r="A208" t="s">
        <v>467</v>
      </c>
      <c r="B208">
        <v>9</v>
      </c>
    </row>
    <row r="209" spans="1:2" x14ac:dyDescent="0.3">
      <c r="A209" t="s">
        <v>468</v>
      </c>
      <c r="B209">
        <v>10</v>
      </c>
    </row>
    <row r="210" spans="1:2" x14ac:dyDescent="0.3">
      <c r="A210" t="s">
        <v>469</v>
      </c>
      <c r="B210">
        <v>11</v>
      </c>
    </row>
    <row r="211" spans="1:2" x14ac:dyDescent="0.3">
      <c r="A211" t="s">
        <v>470</v>
      </c>
      <c r="B211">
        <v>12</v>
      </c>
    </row>
    <row r="212" spans="1:2" x14ac:dyDescent="0.3">
      <c r="A212" t="s">
        <v>471</v>
      </c>
      <c r="B212">
        <v>13</v>
      </c>
    </row>
    <row r="213" spans="1:2" x14ac:dyDescent="0.3">
      <c r="A213" t="s">
        <v>472</v>
      </c>
      <c r="B213">
        <v>14</v>
      </c>
    </row>
    <row r="214" spans="1:2" x14ac:dyDescent="0.3">
      <c r="A214" t="s">
        <v>473</v>
      </c>
      <c r="B214">
        <v>15</v>
      </c>
    </row>
    <row r="215" spans="1:2" x14ac:dyDescent="0.3">
      <c r="A215" t="s">
        <v>474</v>
      </c>
      <c r="B215">
        <v>16</v>
      </c>
    </row>
    <row r="216" spans="1:2" x14ac:dyDescent="0.3">
      <c r="A216" t="s">
        <v>475</v>
      </c>
      <c r="B216">
        <v>17</v>
      </c>
    </row>
    <row r="217" spans="1:2" x14ac:dyDescent="0.3">
      <c r="A217" t="s">
        <v>476</v>
      </c>
      <c r="B217">
        <v>18</v>
      </c>
    </row>
    <row r="218" spans="1:2" x14ac:dyDescent="0.3">
      <c r="A218" t="s">
        <v>477</v>
      </c>
      <c r="B218">
        <v>19</v>
      </c>
    </row>
    <row r="219" spans="1:2" x14ac:dyDescent="0.3">
      <c r="A219" t="s">
        <v>478</v>
      </c>
      <c r="B219">
        <v>20</v>
      </c>
    </row>
    <row r="220" spans="1:2" x14ac:dyDescent="0.3">
      <c r="A220" t="s">
        <v>479</v>
      </c>
      <c r="B220">
        <v>21</v>
      </c>
    </row>
    <row r="221" spans="1:2" x14ac:dyDescent="0.3">
      <c r="A221" t="s">
        <v>480</v>
      </c>
      <c r="B221">
        <v>22</v>
      </c>
    </row>
    <row r="222" spans="1:2" x14ac:dyDescent="0.3">
      <c r="A222" t="s">
        <v>481</v>
      </c>
      <c r="B222">
        <v>23</v>
      </c>
    </row>
    <row r="223" spans="1:2" x14ac:dyDescent="0.3">
      <c r="A223" t="s">
        <v>482</v>
      </c>
      <c r="B223">
        <v>24</v>
      </c>
    </row>
    <row r="224" spans="1:2" x14ac:dyDescent="0.3">
      <c r="A224" t="s">
        <v>483</v>
      </c>
      <c r="B224">
        <v>25</v>
      </c>
    </row>
    <row r="225" spans="1:2" x14ac:dyDescent="0.3">
      <c r="A225" t="s">
        <v>484</v>
      </c>
      <c r="B225">
        <v>26</v>
      </c>
    </row>
    <row r="226" spans="1:2" x14ac:dyDescent="0.3">
      <c r="A226" t="s">
        <v>485</v>
      </c>
      <c r="B226">
        <v>27</v>
      </c>
    </row>
    <row r="227" spans="1:2" x14ac:dyDescent="0.3">
      <c r="A227" t="s">
        <v>486</v>
      </c>
      <c r="B227">
        <v>28</v>
      </c>
    </row>
    <row r="228" spans="1:2" x14ac:dyDescent="0.3">
      <c r="A228" t="s">
        <v>487</v>
      </c>
      <c r="B228">
        <v>29</v>
      </c>
    </row>
    <row r="229" spans="1:2" x14ac:dyDescent="0.3">
      <c r="A229" t="s">
        <v>488</v>
      </c>
      <c r="B229">
        <v>30</v>
      </c>
    </row>
    <row r="230" spans="1:2" x14ac:dyDescent="0.3">
      <c r="A230" t="s">
        <v>489</v>
      </c>
      <c r="B230">
        <v>31</v>
      </c>
    </row>
    <row r="231" spans="1:2" x14ac:dyDescent="0.3">
      <c r="A231" t="s">
        <v>490</v>
      </c>
      <c r="B231">
        <v>33</v>
      </c>
    </row>
    <row r="232" spans="1:2" x14ac:dyDescent="0.3">
      <c r="A232" t="s">
        <v>491</v>
      </c>
      <c r="B232">
        <v>34</v>
      </c>
    </row>
    <row r="233" spans="1:2" x14ac:dyDescent="0.3">
      <c r="A233" t="s">
        <v>492</v>
      </c>
      <c r="B233">
        <v>35</v>
      </c>
    </row>
    <row r="234" spans="1:2" x14ac:dyDescent="0.3">
      <c r="A234" t="s">
        <v>493</v>
      </c>
      <c r="B234">
        <v>36</v>
      </c>
    </row>
    <row r="235" spans="1:2" x14ac:dyDescent="0.3">
      <c r="A235" t="s">
        <v>494</v>
      </c>
      <c r="B235">
        <v>37</v>
      </c>
    </row>
    <row r="236" spans="1:2" x14ac:dyDescent="0.3">
      <c r="A236" t="s">
        <v>495</v>
      </c>
      <c r="B236">
        <v>38</v>
      </c>
    </row>
    <row r="237" spans="1:2" x14ac:dyDescent="0.3">
      <c r="A237" t="s">
        <v>496</v>
      </c>
      <c r="B237">
        <v>39</v>
      </c>
    </row>
    <row r="238" spans="1:2" x14ac:dyDescent="0.3">
      <c r="A238" t="s">
        <v>497</v>
      </c>
      <c r="B238">
        <v>40</v>
      </c>
    </row>
    <row r="239" spans="1:2" x14ac:dyDescent="0.3">
      <c r="A239" t="s">
        <v>498</v>
      </c>
      <c r="B239">
        <v>41</v>
      </c>
    </row>
    <row r="240" spans="1:2" x14ac:dyDescent="0.3">
      <c r="A240" t="s">
        <v>499</v>
      </c>
      <c r="B240">
        <v>42</v>
      </c>
    </row>
    <row r="241" spans="1:2" x14ac:dyDescent="0.3">
      <c r="A241" t="s">
        <v>500</v>
      </c>
      <c r="B241">
        <v>43</v>
      </c>
    </row>
    <row r="242" spans="1:2" x14ac:dyDescent="0.3">
      <c r="A242" t="s">
        <v>501</v>
      </c>
      <c r="B242">
        <v>44</v>
      </c>
    </row>
    <row r="243" spans="1:2" x14ac:dyDescent="0.3">
      <c r="A243" t="s">
        <v>502</v>
      </c>
      <c r="B243">
        <v>45</v>
      </c>
    </row>
    <row r="244" spans="1:2" x14ac:dyDescent="0.3">
      <c r="A244" t="s">
        <v>503</v>
      </c>
      <c r="B244">
        <v>46</v>
      </c>
    </row>
    <row r="245" spans="1:2" x14ac:dyDescent="0.3">
      <c r="A245" t="s">
        <v>504</v>
      </c>
      <c r="B245">
        <v>47</v>
      </c>
    </row>
    <row r="246" spans="1:2" x14ac:dyDescent="0.3">
      <c r="A246" t="s">
        <v>505</v>
      </c>
      <c r="B246">
        <v>48</v>
      </c>
    </row>
    <row r="247" spans="1:2" x14ac:dyDescent="0.3">
      <c r="A247" t="s">
        <v>506</v>
      </c>
      <c r="B247">
        <v>49</v>
      </c>
    </row>
    <row r="248" spans="1:2" x14ac:dyDescent="0.3">
      <c r="A248" t="s">
        <v>507</v>
      </c>
      <c r="B248">
        <v>50</v>
      </c>
    </row>
    <row r="249" spans="1:2" x14ac:dyDescent="0.3">
      <c r="A249" t="s">
        <v>508</v>
      </c>
      <c r="B249">
        <v>51</v>
      </c>
    </row>
    <row r="250" spans="1:2" x14ac:dyDescent="0.3">
      <c r="A250" t="s">
        <v>509</v>
      </c>
      <c r="B250">
        <v>52</v>
      </c>
    </row>
    <row r="251" spans="1:2" x14ac:dyDescent="0.3">
      <c r="A251" t="s">
        <v>510</v>
      </c>
      <c r="B251">
        <v>53</v>
      </c>
    </row>
    <row r="252" spans="1:2" x14ac:dyDescent="0.3">
      <c r="A252" t="s">
        <v>511</v>
      </c>
      <c r="B252">
        <v>54</v>
      </c>
    </row>
    <row r="253" spans="1:2" x14ac:dyDescent="0.3">
      <c r="A253" t="s">
        <v>512</v>
      </c>
      <c r="B253">
        <v>55</v>
      </c>
    </row>
    <row r="254" spans="1:2" x14ac:dyDescent="0.3">
      <c r="A254" t="s">
        <v>513</v>
      </c>
      <c r="B254">
        <v>57</v>
      </c>
    </row>
    <row r="255" spans="1:2" x14ac:dyDescent="0.3">
      <c r="A255" t="s">
        <v>514</v>
      </c>
      <c r="B255">
        <v>58</v>
      </c>
    </row>
    <row r="256" spans="1:2" x14ac:dyDescent="0.3">
      <c r="A256" t="s">
        <v>515</v>
      </c>
      <c r="B256">
        <v>59</v>
      </c>
    </row>
    <row r="257" spans="1:2" x14ac:dyDescent="0.3">
      <c r="A257" t="s">
        <v>516</v>
      </c>
      <c r="B257">
        <v>61</v>
      </c>
    </row>
    <row r="258" spans="1:2" x14ac:dyDescent="0.3">
      <c r="A258" t="s">
        <v>517</v>
      </c>
      <c r="B258">
        <v>62</v>
      </c>
    </row>
    <row r="259" spans="1:2" x14ac:dyDescent="0.3">
      <c r="A259" t="s">
        <v>518</v>
      </c>
      <c r="B259">
        <v>63</v>
      </c>
    </row>
    <row r="260" spans="1:2" x14ac:dyDescent="0.3">
      <c r="A260" t="s">
        <v>519</v>
      </c>
      <c r="B260">
        <v>64</v>
      </c>
    </row>
    <row r="261" spans="1:2" x14ac:dyDescent="0.3">
      <c r="A261" t="s">
        <v>520</v>
      </c>
      <c r="B261">
        <v>65</v>
      </c>
    </row>
    <row r="262" spans="1:2" x14ac:dyDescent="0.3">
      <c r="A262" t="s">
        <v>521</v>
      </c>
      <c r="B262">
        <v>67</v>
      </c>
    </row>
    <row r="263" spans="1:2" x14ac:dyDescent="0.3">
      <c r="A263" t="s">
        <v>522</v>
      </c>
      <c r="B263">
        <v>68</v>
      </c>
    </row>
    <row r="264" spans="1:2" x14ac:dyDescent="0.3">
      <c r="A264" t="s">
        <v>523</v>
      </c>
      <c r="B264">
        <v>69</v>
      </c>
    </row>
    <row r="265" spans="1:2" x14ac:dyDescent="0.3">
      <c r="A265" t="s">
        <v>524</v>
      </c>
      <c r="B265">
        <v>70</v>
      </c>
    </row>
    <row r="266" spans="1:2" x14ac:dyDescent="0.3">
      <c r="A266" t="s">
        <v>525</v>
      </c>
      <c r="B266">
        <v>71</v>
      </c>
    </row>
    <row r="267" spans="1:2" x14ac:dyDescent="0.3">
      <c r="A267" t="s">
        <v>527</v>
      </c>
      <c r="B267" t="s">
        <v>528</v>
      </c>
    </row>
    <row r="268" spans="1:2" x14ac:dyDescent="0.3">
      <c r="A268" t="s">
        <v>529</v>
      </c>
      <c r="B268" t="s">
        <v>530</v>
      </c>
    </row>
    <row r="269" spans="1:2" x14ac:dyDescent="0.3">
      <c r="A269" t="s">
        <v>531</v>
      </c>
      <c r="B269" t="s">
        <v>532</v>
      </c>
    </row>
    <row r="270" spans="1:2" x14ac:dyDescent="0.3">
      <c r="A270" t="s">
        <v>533</v>
      </c>
      <c r="B270" t="s">
        <v>534</v>
      </c>
    </row>
    <row r="271" spans="1:2" x14ac:dyDescent="0.3">
      <c r="A271" t="s">
        <v>535</v>
      </c>
      <c r="B271" t="s">
        <v>536</v>
      </c>
    </row>
    <row r="272" spans="1:2" x14ac:dyDescent="0.3">
      <c r="A272" t="s">
        <v>537</v>
      </c>
      <c r="B272" t="s">
        <v>538</v>
      </c>
    </row>
    <row r="273" spans="1:24" x14ac:dyDescent="0.3">
      <c r="A273" t="s">
        <v>539</v>
      </c>
      <c r="B273" t="s">
        <v>540</v>
      </c>
    </row>
    <row r="274" spans="1:24" x14ac:dyDescent="0.3">
      <c r="A274" t="s">
        <v>545</v>
      </c>
      <c r="B274" t="s">
        <v>21</v>
      </c>
      <c r="C274" t="s">
        <v>23</v>
      </c>
      <c r="D274" t="s">
        <v>71</v>
      </c>
      <c r="E274" t="s">
        <v>47</v>
      </c>
      <c r="F274" t="s">
        <v>65</v>
      </c>
      <c r="G274" t="s">
        <v>37</v>
      </c>
      <c r="H274" t="s">
        <v>63</v>
      </c>
      <c r="I274" t="s">
        <v>39</v>
      </c>
      <c r="J274" t="s">
        <v>53</v>
      </c>
      <c r="K274" t="s">
        <v>61</v>
      </c>
      <c r="L274" t="s">
        <v>13</v>
      </c>
      <c r="M274" t="s">
        <v>49</v>
      </c>
      <c r="N274" t="s">
        <v>67</v>
      </c>
      <c r="O274" t="s">
        <v>5</v>
      </c>
      <c r="P274" t="s">
        <v>43</v>
      </c>
      <c r="Q274" t="s">
        <v>45</v>
      </c>
      <c r="R274" t="s">
        <v>69</v>
      </c>
      <c r="S274" t="s">
        <v>19</v>
      </c>
      <c r="T274" t="s">
        <v>73</v>
      </c>
      <c r="U274" t="s">
        <v>17</v>
      </c>
      <c r="V274" t="s">
        <v>57</v>
      </c>
      <c r="W274" t="s">
        <v>9</v>
      </c>
      <c r="X274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F16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D1" sqref="AD1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3.5546875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0.33203125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364</v>
      </c>
      <c r="B1" s="68"/>
      <c r="C1" s="68"/>
      <c r="D1" s="68"/>
      <c r="E1" s="68"/>
      <c r="F1" s="68"/>
      <c r="H1" s="64" t="str">
        <f>Summary!C1</f>
        <v>R4.0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R5.0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9.4" thickBot="1" x14ac:dyDescent="0.35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0.30296254432138492</v>
      </c>
      <c r="I5" s="17">
        <f>IF(OR(ISBLANK(Q5),ISBLANK(F5)),"·",Q5*F5/E5/1000000)</f>
        <v>212.71669499999999</v>
      </c>
      <c r="J5" s="18">
        <f>IF(ISBLANK(Q5),"·",Q5/C5)</f>
        <v>9.0888763296415469</v>
      </c>
      <c r="K5" s="18">
        <f>IF(N5="","·",N5/C5)</f>
        <v>1.4042282149566856</v>
      </c>
      <c r="L5" s="18">
        <f>IF(R5="","·",R5/C5)</f>
        <v>1.3246356473018854</v>
      </c>
      <c r="M5" s="18">
        <f>IF(ISBLANK(T5),"·",T5/C5)</f>
        <v>7.6846292077167186</v>
      </c>
      <c r="N5" s="15">
        <f>IF(OR(ISBLANK(R5),ISBLANK(S5)),"",R5+S5)</f>
        <v>35055632</v>
      </c>
      <c r="O5" s="18">
        <f>IF(ISBLANK(Q5),"·",Q5/P5)</f>
        <v>6.281437124753869</v>
      </c>
      <c r="P5" s="19">
        <v>36121958</v>
      </c>
      <c r="Q5" s="20">
        <v>226897808</v>
      </c>
      <c r="R5" s="20">
        <v>33068656</v>
      </c>
      <c r="S5" s="20">
        <v>1986976</v>
      </c>
      <c r="T5" s="20">
        <v>191841704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6215.94</v>
      </c>
      <c r="AA5" s="22">
        <v>5808.02</v>
      </c>
      <c r="AB5" s="22">
        <v>4.7720000000000002</v>
      </c>
      <c r="AC5" s="22">
        <v>22.356999999999999</v>
      </c>
      <c r="AE5" s="23">
        <f>IF(ISBLANK(AN5),"·",AN5/(C5*D5*3))</f>
        <v>0.29534961621191336</v>
      </c>
      <c r="AF5" s="17">
        <f>IF(OR(ISBLANK(AN5),ISBLANK(F5)),"·",AN5*F5/E5/1000000)</f>
        <v>207.37148999999999</v>
      </c>
      <c r="AG5" s="18">
        <f>IF(ISBLANK(AN5),"·",AN5/C5)</f>
        <v>8.8604884863574007</v>
      </c>
      <c r="AH5" s="18">
        <f>IF(AK5="","·",AK5/C5)</f>
        <v>1.3561718292503695</v>
      </c>
      <c r="AI5" s="18">
        <f>IF(AO5="","·",AO5/C5)</f>
        <v>1.275532007834695</v>
      </c>
      <c r="AJ5" s="18">
        <f>IF(ISBLANK(AQ5),"·",AQ5/C5)</f>
        <v>7.5042157131245721</v>
      </c>
      <c r="AK5" s="15">
        <f>IF(OR(ISBLANK(AO5),ISBLANK(AP5)),"",AO5+AP5)</f>
        <v>33855936</v>
      </c>
      <c r="AL5" s="18">
        <f>IF(ISBLANK(AN5),"·",AN5/AM5)</f>
        <v>8.8604884863574007</v>
      </c>
      <c r="AM5" s="19">
        <v>24964341</v>
      </c>
      <c r="AN5" s="20">
        <v>221196256</v>
      </c>
      <c r="AO5" s="20">
        <v>31842816</v>
      </c>
      <c r="AP5" s="20">
        <v>2013120</v>
      </c>
      <c r="AQ5" s="20">
        <v>187337800</v>
      </c>
      <c r="AR5" s="21" t="s">
        <v>547</v>
      </c>
      <c r="AS5" s="21" t="s">
        <v>547</v>
      </c>
      <c r="AT5" s="21" t="s">
        <v>547</v>
      </c>
      <c r="AU5" s="21" t="s">
        <v>547</v>
      </c>
      <c r="AV5" s="21" t="s">
        <v>547</v>
      </c>
      <c r="AW5" s="22">
        <v>2894.73</v>
      </c>
      <c r="AX5" s="22">
        <v>6243.8</v>
      </c>
      <c r="AY5" s="22">
        <v>3.5129999999999999</v>
      </c>
      <c r="AZ5" s="22">
        <v>24.600999999999999</v>
      </c>
      <c r="BB5" s="24">
        <f t="shared" ref="BB5:BB12" si="0">AG5/J5</f>
        <v>0.97487171846102638</v>
      </c>
      <c r="BC5" s="24">
        <f>AI5/L5</f>
        <v>0.96293045595805282</v>
      </c>
      <c r="BD5" s="24">
        <f t="shared" ref="BC5:BD12" si="1">AJ5/M5</f>
        <v>0.97652281070230695</v>
      </c>
      <c r="BE5" s="23">
        <f>(AK5/AN5) - (N5/Q5)</f>
        <v>-1.4412911653321203E-3</v>
      </c>
      <c r="BF5" s="23">
        <f t="array" ref="BF5">AVERAGE(AK5:AK5/AN5:AN5) - AVERAGE(N5:N5/Q5:Q5)</f>
        <v>-1.4412911653321203E-3</v>
      </c>
    </row>
    <row r="6" spans="1:58" collapsed="1" x14ac:dyDescent="0.3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0.43140370894648367</v>
      </c>
      <c r="I6" s="27">
        <f>IF(OR(ISBLANK(Q6),ISBLANK(F6)),"·",Q6*F6/E6/1000000)</f>
        <v>274.87574999999998</v>
      </c>
      <c r="J6" s="28">
        <f>IF(ISBLANK(Q6),"·",Q6/C6)</f>
        <v>12.942111268394511</v>
      </c>
      <c r="K6" s="28">
        <f>IF(N6="","·",N6/C6)</f>
        <v>1.7194948052705323</v>
      </c>
      <c r="L6" s="28">
        <f>IF(R6="","·",R6/C6)</f>
        <v>1.6024560634839724</v>
      </c>
      <c r="M6" s="28">
        <f>IF(ISBLANK(T6),"·",T6/C6)</f>
        <v>11.222595628677009</v>
      </c>
      <c r="N6" s="25">
        <f>IF(OR(ISBLANK(R6),ISBLANK(S6)),"",R6+S6)</f>
        <v>38954792</v>
      </c>
      <c r="O6" s="28">
        <f>IF(ISBLANK(Q6),"·",Q6/P6)</f>
        <v>9.1989747877245094</v>
      </c>
      <c r="P6" s="29">
        <v>31873204</v>
      </c>
      <c r="Q6" s="30">
        <v>293200800</v>
      </c>
      <c r="R6" s="30">
        <v>36303304</v>
      </c>
      <c r="S6" s="30">
        <v>2651488</v>
      </c>
      <c r="T6" s="30">
        <v>254245536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5696.52</v>
      </c>
      <c r="AA6" s="32">
        <v>6218.56</v>
      </c>
      <c r="AB6" s="32">
        <v>4.056</v>
      </c>
      <c r="AC6" s="32">
        <v>24.629000000000001</v>
      </c>
      <c r="AE6" s="33">
        <f>IF(ISBLANK(AN6),"·",AN6/(C6*D6*3))</f>
        <v>0.42494929144267612</v>
      </c>
      <c r="AF6" s="27">
        <f>IF(OR(ISBLANK(AN6),ISBLANK(F6)),"·",AN6*F6/E6/1000000)</f>
        <v>270.763215</v>
      </c>
      <c r="AG6" s="28">
        <f>IF(ISBLANK(AN6),"·",AN6/C6)</f>
        <v>12.748478743280284</v>
      </c>
      <c r="AH6" s="28">
        <f>IF(AK6="","·",AK6/C6)</f>
        <v>1.6686089638707295</v>
      </c>
      <c r="AI6" s="28">
        <f>IF(AO6="","·",AO6/C6)</f>
        <v>1.5278087118798591</v>
      </c>
      <c r="AJ6" s="28">
        <f>IF(ISBLANK(AQ6),"·",AQ6/C6)</f>
        <v>11.079758544650316</v>
      </c>
      <c r="AK6" s="25">
        <f>IF(OR(ISBLANK(AO6),ISBLANK(AP6)),"",AO6+AP6)</f>
        <v>37801984</v>
      </c>
      <c r="AL6" s="28">
        <f>IF(ISBLANK(AN6),"·",AN6/AM6)</f>
        <v>12.748478743280284</v>
      </c>
      <c r="AM6" s="29">
        <v>22654789</v>
      </c>
      <c r="AN6" s="30">
        <v>288814096</v>
      </c>
      <c r="AO6" s="30">
        <v>34612184</v>
      </c>
      <c r="AP6" s="30">
        <v>3189800</v>
      </c>
      <c r="AQ6" s="30">
        <v>251009592</v>
      </c>
      <c r="AR6" s="31" t="s">
        <v>547</v>
      </c>
      <c r="AS6" s="31" t="s">
        <v>547</v>
      </c>
      <c r="AT6" s="31" t="s">
        <v>547</v>
      </c>
      <c r="AU6" s="31" t="s">
        <v>547</v>
      </c>
      <c r="AV6" s="31" t="s">
        <v>547</v>
      </c>
      <c r="AW6" s="32">
        <v>2630.23</v>
      </c>
      <c r="AX6" s="32">
        <v>6454.24</v>
      </c>
      <c r="AY6" s="32">
        <v>3.2080000000000002</v>
      </c>
      <c r="AZ6" s="32">
        <v>25.859000000000002</v>
      </c>
      <c r="BB6" s="34">
        <f t="shared" si="0"/>
        <v>0.98503856742546403</v>
      </c>
      <c r="BC6" s="34">
        <f t="shared" si="1"/>
        <v>0.95341691213560076</v>
      </c>
      <c r="BD6" s="34">
        <f t="shared" si="1"/>
        <v>0.98727236650479477</v>
      </c>
      <c r="BE6" s="33">
        <f>(AK6/AN6) - (N6/Q6)</f>
        <v>-1.973548084844623E-3</v>
      </c>
      <c r="BF6" s="33">
        <f t="array" ref="BF6">AVERAGE(AK6:AK6/AN6:AN6) - AVERAGE(N6:N6/Q6:Q6)</f>
        <v>-1.973548084844623E-3</v>
      </c>
    </row>
    <row r="7" spans="1:58" collapsed="1" x14ac:dyDescent="0.3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0.34571314238755801</v>
      </c>
      <c r="I7" s="17">
        <f>IF(OR(ISBLANK(Q7),ISBLANK(F7)),"·",Q7*F7/E7/1000000)</f>
        <v>330.07984499999998</v>
      </c>
      <c r="J7" s="18">
        <f>IF(ISBLANK(Q7),"·",Q7/C7)</f>
        <v>10.371394271626741</v>
      </c>
      <c r="K7" s="18">
        <f>IF(N7="","·",N7/C7)</f>
        <v>1.6171987760708981</v>
      </c>
      <c r="L7" s="18">
        <f>IF(R7="","·",R7/C7)</f>
        <v>1.5066751762224488</v>
      </c>
      <c r="M7" s="18">
        <f>IF(ISBLANK(T7),"·",T7/C7)</f>
        <v>8.7541815918230501</v>
      </c>
      <c r="N7" s="15">
        <f>IF(OR(ISBLANK(R7),ISBLANK(S7)),"",R7+S7)</f>
        <v>54900208</v>
      </c>
      <c r="O7" s="18">
        <f>IF(ISBLANK(Q7),"·",Q7/P7)</f>
        <v>7.4328752165699852</v>
      </c>
      <c r="P7" s="19">
        <v>47368637</v>
      </c>
      <c r="Q7" s="20">
        <v>352085168</v>
      </c>
      <c r="R7" s="20">
        <v>51148184</v>
      </c>
      <c r="S7" s="20">
        <v>3752024</v>
      </c>
      <c r="T7" s="20">
        <v>297184488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8459.8799999999992</v>
      </c>
      <c r="AA7" s="22">
        <v>8019.24</v>
      </c>
      <c r="AB7" s="22">
        <v>5.2809999999999997</v>
      </c>
      <c r="AC7" s="22">
        <v>26.850999999999999</v>
      </c>
      <c r="AE7" s="23">
        <f>IF(ISBLANK(AN7),"·",AN7/(C7*D7*3))</f>
        <v>0.3254003543527334</v>
      </c>
      <c r="AF7" s="17">
        <f>IF(OR(ISBLANK(AN7),ISBLANK(F7)),"·",AN7*F7/E7/1000000)</f>
        <v>310.68561</v>
      </c>
      <c r="AG7" s="18">
        <f>IF(ISBLANK(AN7),"·",AN7/C7)</f>
        <v>9.7620106305820027</v>
      </c>
      <c r="AH7" s="18">
        <f>IF(AK7="","·",AK7/C7)</f>
        <v>1.4943915817846725</v>
      </c>
      <c r="AI7" s="18">
        <f>IF(AO7="","·",AO7/C7)</f>
        <v>1.3811864467591017</v>
      </c>
      <c r="AJ7" s="18">
        <f>IF(ISBLANK(AQ7),"·",AQ7/C7)</f>
        <v>8.2675448170036052</v>
      </c>
      <c r="AK7" s="15">
        <f>IF(OR(ISBLANK(AO7),ISBLANK(AP7)),"",AO7+AP7)</f>
        <v>50731184</v>
      </c>
      <c r="AL7" s="18">
        <f>IF(ISBLANK(AN7),"·",AN7/AM7)</f>
        <v>9.7620106305820027</v>
      </c>
      <c r="AM7" s="19">
        <v>33947718</v>
      </c>
      <c r="AN7" s="20">
        <v>331397984</v>
      </c>
      <c r="AO7" s="20">
        <v>46888128</v>
      </c>
      <c r="AP7" s="20">
        <v>3843056</v>
      </c>
      <c r="AQ7" s="20">
        <v>280664280</v>
      </c>
      <c r="AR7" s="21" t="s">
        <v>547</v>
      </c>
      <c r="AS7" s="21" t="s">
        <v>547</v>
      </c>
      <c r="AT7" s="21" t="s">
        <v>547</v>
      </c>
      <c r="AU7" s="21" t="s">
        <v>547</v>
      </c>
      <c r="AV7" s="21" t="s">
        <v>547</v>
      </c>
      <c r="AW7" s="22">
        <v>3936.77</v>
      </c>
      <c r="AX7" s="22">
        <v>9039.52</v>
      </c>
      <c r="AY7" s="22">
        <v>4.9269999999999996</v>
      </c>
      <c r="AZ7" s="22">
        <v>31.678999999999998</v>
      </c>
      <c r="BB7" s="24">
        <f t="shared" si="0"/>
        <v>0.94124380723700352</v>
      </c>
      <c r="BC7" s="24">
        <f t="shared" si="1"/>
        <v>0.91671149067579805</v>
      </c>
      <c r="BD7" s="24">
        <f t="shared" si="1"/>
        <v>0.94441093439574131</v>
      </c>
      <c r="BE7" s="23">
        <f>(AK7/AN7) - (N7/Q7)</f>
        <v>-2.8464168207595342E-3</v>
      </c>
      <c r="BF7" s="23">
        <f t="array" ref="BF7">AVERAGE(AK7:AK7/AN7:AN7) - AVERAGE(N7:N7/Q7:Q7)</f>
        <v>-2.8464168207595342E-3</v>
      </c>
    </row>
    <row r="8" spans="1:58" ht="15" collapsed="1" thickBot="1" x14ac:dyDescent="0.35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0.29033210126958975</v>
      </c>
      <c r="I8" s="47">
        <f>IF(OR(ISBLANK(Q8),ISBLANK(F8)),"·",Q8*F8/E8/1000000)</f>
        <v>438.35124999999999</v>
      </c>
      <c r="J8" s="48">
        <f>IF(ISBLANK(Q8),"·",Q8/C8)</f>
        <v>8.7099630380876931</v>
      </c>
      <c r="K8" s="48">
        <f>IF(N8="","·",N8/C8)</f>
        <v>1.1550871271687178</v>
      </c>
      <c r="L8" s="48">
        <f>IF(R8="","·",R8/C8)</f>
        <v>1.0490296958584733</v>
      </c>
      <c r="M8" s="48">
        <f>IF(ISBLANK(T8),"·",T8/C8)</f>
        <v>7.5548612569223446</v>
      </c>
      <c r="N8" s="45">
        <f>IF(OR(ISBLANK(R8),ISBLANK(S8)),"",R8+S8)</f>
        <v>37204944</v>
      </c>
      <c r="O8" s="48">
        <f>IF(ISBLANK(Q8),"·",Q8/P8)</f>
        <v>7.3988736150063277</v>
      </c>
      <c r="P8" s="49">
        <v>37917231</v>
      </c>
      <c r="Q8" s="50">
        <v>280544800</v>
      </c>
      <c r="R8" s="50">
        <v>33788872</v>
      </c>
      <c r="S8" s="50">
        <v>3416072</v>
      </c>
      <c r="T8" s="50">
        <v>243339384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8135.03</v>
      </c>
      <c r="AA8" s="52">
        <v>6254.51</v>
      </c>
      <c r="AB8" s="52">
        <v>4.9880000000000004</v>
      </c>
      <c r="AC8" s="52">
        <v>24.433</v>
      </c>
      <c r="AE8" s="53">
        <f>IF(ISBLANK(AN8),"·",AN8/(C8*D8*3))</f>
        <v>0.25481215464987717</v>
      </c>
      <c r="AF8" s="47">
        <f>IF(OR(ISBLANK(AN8),ISBLANK(F8)),"·",AN8*F8/E8/1000000)</f>
        <v>384.72227500000002</v>
      </c>
      <c r="AG8" s="48">
        <f>IF(ISBLANK(AN8),"·",AN8/C8)</f>
        <v>7.644364639496315</v>
      </c>
      <c r="AH8" s="48">
        <f>IF(AK8="","·",AK8/C8)</f>
        <v>0.9869620721968263</v>
      </c>
      <c r="AI8" s="48">
        <f>IF(AO8="","·",AO8/C8)</f>
        <v>0.8366470873334424</v>
      </c>
      <c r="AJ8" s="48">
        <f>IF(ISBLANK(AQ8),"·",AQ8/C8)</f>
        <v>6.6573243298598497</v>
      </c>
      <c r="AK8" s="45">
        <f>IF(OR(ISBLANK(AO8),ISBLANK(AP8)),"",AO8+AP8)</f>
        <v>31789696</v>
      </c>
      <c r="AL8" s="48">
        <f>IF(ISBLANK(AN8),"·",AN8/AM8)</f>
        <v>7.644364639496315</v>
      </c>
      <c r="AM8" s="49">
        <v>32209643</v>
      </c>
      <c r="AN8" s="50">
        <v>246222256</v>
      </c>
      <c r="AO8" s="50">
        <v>26948104</v>
      </c>
      <c r="AP8" s="50">
        <v>4841592</v>
      </c>
      <c r="AQ8" s="50">
        <v>214430040</v>
      </c>
      <c r="AR8" s="51" t="s">
        <v>547</v>
      </c>
      <c r="AS8" s="51" t="s">
        <v>547</v>
      </c>
      <c r="AT8" s="51" t="s">
        <v>547</v>
      </c>
      <c r="AU8" s="51" t="s">
        <v>547</v>
      </c>
      <c r="AV8" s="51" t="s">
        <v>547</v>
      </c>
      <c r="AW8" s="52">
        <v>3855.89</v>
      </c>
      <c r="AX8" s="52">
        <v>6268.68</v>
      </c>
      <c r="AY8" s="52">
        <v>3.9980000000000002</v>
      </c>
      <c r="AZ8" s="52">
        <v>25.145</v>
      </c>
      <c r="BB8" s="54">
        <f t="shared" si="0"/>
        <v>0.87765752920745632</v>
      </c>
      <c r="BC8" s="54">
        <f t="shared" si="1"/>
        <v>0.79754375937734767</v>
      </c>
      <c r="BD8" s="54">
        <f t="shared" si="1"/>
        <v>0.88119743082772006</v>
      </c>
      <c r="BE8" s="53">
        <f>(AK8/AN8) - (N8/Q8)</f>
        <v>-3.5070072030441435E-3</v>
      </c>
      <c r="BF8" s="53">
        <f t="array" ref="BF8">AVERAGE(AK8:AK8/AN8:AN8) - AVERAGE(N8:N8/Q8:Q8)</f>
        <v>-3.5070072030441435E-3</v>
      </c>
    </row>
    <row r="9" spans="1:58" ht="15" collapsed="1" thickBot="1" x14ac:dyDescent="0.35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0.50584625005517714</v>
      </c>
      <c r="I9" s="37">
        <f>IF(OR(ISBLANK(Q9),ISBLANK(F9)),"·",Q9*F9/E9/1000000)</f>
        <v>360.11775</v>
      </c>
      <c r="J9" s="38">
        <f>IF(ISBLANK(Q9),"·",Q9/C9)</f>
        <v>15.175387501655315</v>
      </c>
      <c r="K9" s="38">
        <f>IF(N9="","·",N9/C9)</f>
        <v>1.5678072192894488</v>
      </c>
      <c r="L9" s="38">
        <f>IF(R9="","·",R9/C9)</f>
        <v>1.4751026453113429</v>
      </c>
      <c r="M9" s="38">
        <f>IF(ISBLANK(T9),"·",T9/C9)</f>
        <v>13.607561635384512</v>
      </c>
      <c r="N9" s="35">
        <f>IF(OR(ISBLANK(R9),ISBLANK(S9)),"",R9+S9)</f>
        <v>39684976</v>
      </c>
      <c r="O9" s="38">
        <f>IF(ISBLANK(Q9),"·",Q9/P9)</f>
        <v>10.744084707084612</v>
      </c>
      <c r="P9" s="39">
        <v>35752287</v>
      </c>
      <c r="Q9" s="40">
        <v>384125600</v>
      </c>
      <c r="R9" s="40">
        <v>37338400</v>
      </c>
      <c r="S9" s="40">
        <v>2346576</v>
      </c>
      <c r="T9" s="40">
        <v>344440152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6358.24</v>
      </c>
      <c r="AA9" s="42">
        <v>6782.49</v>
      </c>
      <c r="AB9" s="42">
        <v>4.8529999999999998</v>
      </c>
      <c r="AC9" s="42">
        <v>28.763000000000002</v>
      </c>
      <c r="AE9" s="43">
        <f>IF(ISBLANK(AN9),"·",AN9/(C9*D9*3))</f>
        <v>0.50131070369388275</v>
      </c>
      <c r="AF9" s="37">
        <f>IF(OR(ISBLANK(AN9),ISBLANK(F9)),"·",AN9*F9/E9/1000000)</f>
        <v>356.88884250000001</v>
      </c>
      <c r="AG9" s="38">
        <f>IF(ISBLANK(AN9),"·",AN9/C9)</f>
        <v>15.039321110816482</v>
      </c>
      <c r="AH9" s="38">
        <f>IF(AK9="","·",AK9/C9)</f>
        <v>1.5141355180431668</v>
      </c>
      <c r="AI9" s="38">
        <f>IF(AO9="","·",AO9/C9)</f>
        <v>1.4138883981326471</v>
      </c>
      <c r="AJ9" s="38">
        <f>IF(ISBLANK(AQ9),"·",AQ9/C9)</f>
        <v>13.525086036855917</v>
      </c>
      <c r="AK9" s="35">
        <f>IF(OR(ISBLANK(AO9),ISBLANK(AP9)),"",AO9+AP9)</f>
        <v>38326416</v>
      </c>
      <c r="AL9" s="38">
        <f>IF(ISBLANK(AN9),"·",AN9/AM9)</f>
        <v>15.039321110816482</v>
      </c>
      <c r="AM9" s="39">
        <v>25312408</v>
      </c>
      <c r="AN9" s="40">
        <v>380681432</v>
      </c>
      <c r="AO9" s="40">
        <v>35788920</v>
      </c>
      <c r="AP9" s="40">
        <v>2537496</v>
      </c>
      <c r="AQ9" s="40">
        <v>342352496</v>
      </c>
      <c r="AR9" s="41" t="s">
        <v>547</v>
      </c>
      <c r="AS9" s="41" t="s">
        <v>547</v>
      </c>
      <c r="AT9" s="41" t="s">
        <v>547</v>
      </c>
      <c r="AU9" s="41" t="s">
        <v>547</v>
      </c>
      <c r="AV9" s="41" t="s">
        <v>547</v>
      </c>
      <c r="AW9" s="42">
        <v>2992.6</v>
      </c>
      <c r="AX9" s="42">
        <v>7963.77</v>
      </c>
      <c r="AY9" s="42">
        <v>3.5739999999999998</v>
      </c>
      <c r="AZ9" s="42">
        <v>32.573</v>
      </c>
      <c r="BB9" s="44">
        <f t="shared" si="0"/>
        <v>0.99103374521250343</v>
      </c>
      <c r="BC9" s="44">
        <f t="shared" si="1"/>
        <v>0.95850170334026097</v>
      </c>
      <c r="BD9" s="44">
        <f t="shared" si="1"/>
        <v>0.99393898769386224</v>
      </c>
      <c r="BE9" s="43">
        <f>(AK9/AN9) - (N9/Q9)</f>
        <v>-2.634051229344736E-3</v>
      </c>
      <c r="BF9" s="43">
        <f t="array" ref="BF9">AVERAGE(AK9:AK9/AN9:AN9) - AVERAGE(N9:N9/Q9:Q9)</f>
        <v>-2.634051229344736E-3</v>
      </c>
    </row>
    <row r="10" spans="1:58" x14ac:dyDescent="0.3">
      <c r="B10" s="55" t="s">
        <v>286</v>
      </c>
      <c r="J10" s="56">
        <f>AVERAGE(J5:J8)</f>
        <v>10.278086226937623</v>
      </c>
      <c r="K10" s="56">
        <f>AVERAGE(K5:K8)</f>
        <v>1.4740022308667085</v>
      </c>
      <c r="L10" s="56">
        <f>AVERAGE(L5:L8)</f>
        <v>1.3706991457166948</v>
      </c>
      <c r="M10" s="56">
        <f>AVERAGE(M5:M8)</f>
        <v>8.8040669212847806</v>
      </c>
      <c r="AG10" s="56">
        <f>AVERAGE(AG5:AG8)</f>
        <v>9.7538356249290015</v>
      </c>
      <c r="AH10" s="56">
        <f>AVERAGE(AH5:AH8)</f>
        <v>1.3765336117756495</v>
      </c>
      <c r="AI10" s="56">
        <f>AVERAGE(AI5:AI8)</f>
        <v>1.2552935634517746</v>
      </c>
      <c r="AJ10" s="56">
        <f>AVERAGE(AJ5:AJ8)</f>
        <v>8.3772108511595853</v>
      </c>
      <c r="BB10" s="5">
        <f t="shared" si="0"/>
        <v>0.94899336409198209</v>
      </c>
      <c r="BC10" s="5">
        <f t="shared" si="1"/>
        <v>0.91580531539284038</v>
      </c>
      <c r="BD10" s="5">
        <f t="shared" si="1"/>
        <v>0.9515160352662444</v>
      </c>
      <c r="BF10" s="8">
        <f>AVERAGE(BF5:BF8)</f>
        <v>-2.4420658184951052E-3</v>
      </c>
    </row>
    <row r="11" spans="1:58" x14ac:dyDescent="0.3">
      <c r="B11" s="55" t="s">
        <v>287</v>
      </c>
      <c r="J11" s="56">
        <f>AVERAGE(J9:J9)</f>
        <v>15.175387501655315</v>
      </c>
      <c r="K11" s="56">
        <f>AVERAGE(K9:K9)</f>
        <v>1.5678072192894488</v>
      </c>
      <c r="L11" s="56">
        <f>AVERAGE(L9:L9)</f>
        <v>1.4751026453113429</v>
      </c>
      <c r="M11" s="56">
        <f>AVERAGE(M9:M9)</f>
        <v>13.607561635384512</v>
      </c>
      <c r="AG11" s="56">
        <f>AVERAGE(AG9:AG9)</f>
        <v>15.039321110816482</v>
      </c>
      <c r="AH11" s="56">
        <f>AVERAGE(AH9:AH9)</f>
        <v>1.5141355180431668</v>
      </c>
      <c r="AI11" s="56">
        <f>AVERAGE(AI9:AI9)</f>
        <v>1.4138883981326471</v>
      </c>
      <c r="AJ11" s="56">
        <f>AVERAGE(AJ9:AJ9)</f>
        <v>13.525086036855917</v>
      </c>
      <c r="BB11" s="5">
        <f t="shared" si="0"/>
        <v>0.99103374521250343</v>
      </c>
      <c r="BC11" s="5">
        <f t="shared" si="1"/>
        <v>0.95850170334026097</v>
      </c>
      <c r="BD11" s="5">
        <f t="shared" si="1"/>
        <v>0.99393898769386224</v>
      </c>
      <c r="BF11" s="8">
        <f>AVERAGE(BF9:BF9)</f>
        <v>-2.634051229344736E-3</v>
      </c>
    </row>
    <row r="12" spans="1:58" x14ac:dyDescent="0.3">
      <c r="B12" s="55" t="s">
        <v>288</v>
      </c>
      <c r="J12" s="56">
        <f>AVERAGE(J5:J9)</f>
        <v>11.25754648188116</v>
      </c>
      <c r="K12" s="56">
        <f>AVERAGE(K5:K9)</f>
        <v>1.4927632285512566</v>
      </c>
      <c r="L12" s="56">
        <f>AVERAGE(L5:L9)</f>
        <v>1.3915798456356243</v>
      </c>
      <c r="M12" s="56">
        <f>AVERAGE(M5:M9)</f>
        <v>9.7647658641047279</v>
      </c>
      <c r="AG12" s="56">
        <f>AVERAGE(AG5:AG9)</f>
        <v>10.810932722106497</v>
      </c>
      <c r="AH12" s="56">
        <f>AVERAGE(AH5:AH9)</f>
        <v>1.4040539930291529</v>
      </c>
      <c r="AI12" s="56">
        <f>AVERAGE(AI5:AI9)</f>
        <v>1.2870125303879489</v>
      </c>
      <c r="AJ12" s="56">
        <f>AVERAGE(AJ5:AJ9)</f>
        <v>9.4067858882988524</v>
      </c>
      <c r="BB12" s="5">
        <f t="shared" si="0"/>
        <v>0.96032761130558231</v>
      </c>
      <c r="BC12" s="5">
        <f t="shared" si="1"/>
        <v>0.92485712151147692</v>
      </c>
      <c r="BD12" s="5">
        <f t="shared" si="1"/>
        <v>0.96333962526210593</v>
      </c>
      <c r="BF12" s="8">
        <f>AVERAGE(BF5:BF9)</f>
        <v>-2.4804629006650314E-3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34865.609999999993</v>
      </c>
      <c r="AA13" s="57">
        <f>SUM(AA5:AA8,AA9:AA9)</f>
        <v>33082.82</v>
      </c>
      <c r="AB13" s="57">
        <f>SUM(AB5:AB8,AB9:AB9)</f>
        <v>23.949999999999996</v>
      </c>
      <c r="AC13" s="57">
        <f>SUM(AC5:AC8,AC9:AC9)</f>
        <v>127.03300000000002</v>
      </c>
      <c r="AW13" s="57">
        <f>SUM(AW5:AW8,AW9:AW9)</f>
        <v>16310.22</v>
      </c>
      <c r="AX13" s="57">
        <f>SUM(AX5:AX8,AX9:AX9)</f>
        <v>35970.01</v>
      </c>
      <c r="AY13" s="57">
        <f>SUM(AY5:AY8,AY9:AY9)</f>
        <v>19.22</v>
      </c>
      <c r="AZ13" s="57">
        <f>SUM(AZ5:AZ8,AZ9:AZ9)</f>
        <v>139.857</v>
      </c>
    </row>
    <row r="14" spans="1:58" hidden="1" outlineLevel="2" x14ac:dyDescent="0.3">
      <c r="B14" s="55" t="s">
        <v>291</v>
      </c>
      <c r="AW14" s="8">
        <f>AW13/Z13</f>
        <v>0.46780251370906756</v>
      </c>
      <c r="AX14" s="8">
        <f>AX13/AA13</f>
        <v>1.0872715808386348</v>
      </c>
      <c r="AY14" s="8">
        <f>AY13/AB13</f>
        <v>0.80250521920668072</v>
      </c>
      <c r="AZ14" s="8">
        <f>AZ13/AC13</f>
        <v>1.1009501468122456</v>
      </c>
    </row>
    <row r="15" spans="1:58" hidden="1" outlineLevel="2" x14ac:dyDescent="0.3">
      <c r="B15" s="55" t="s">
        <v>292</v>
      </c>
      <c r="Z15" s="57">
        <f>GEOMEAN(Z5:Z8,Z9:Z9)</f>
        <v>6887.0834252472769</v>
      </c>
      <c r="AA15" s="57">
        <f>GEOMEAN(AA5:AA8,AA9:AA9)</f>
        <v>6574.8631735711733</v>
      </c>
      <c r="AB15" s="57">
        <f>GEOMEAN(AB5:AB8,AB9:AB9)</f>
        <v>4.771888165970509</v>
      </c>
      <c r="AC15" s="57">
        <f>GEOMEAN(AC5:AC8,AC9:AC9)</f>
        <v>25.311993440898778</v>
      </c>
      <c r="AW15" s="57">
        <f>GEOMEAN(AW5:AW8,AW9:AW9)</f>
        <v>3219.4599571122753</v>
      </c>
      <c r="AX15" s="57">
        <f>GEOMEAN(AX5:AX8,AX9:AX9)</f>
        <v>7111.2648665048482</v>
      </c>
      <c r="AY15" s="57">
        <f>GEOMEAN(AY5:AY8,AY9:AY9)</f>
        <v>3.8010053591322532</v>
      </c>
      <c r="AZ15" s="57">
        <f>GEOMEAN(AZ5:AZ8,AZ9:AZ9)</f>
        <v>27.767007019200783</v>
      </c>
    </row>
    <row r="16" spans="1:58" outlineLevel="2" collapsed="1" x14ac:dyDescent="0.3">
      <c r="B16" s="55" t="s">
        <v>293</v>
      </c>
      <c r="AW16" s="8">
        <f>AW15/Z15</f>
        <v>0.46746347594833765</v>
      </c>
      <c r="AX16" s="8">
        <f>AX15/AA15</f>
        <v>1.0815837042951459</v>
      </c>
      <c r="AY16" s="8">
        <f>AY15/AB15</f>
        <v>0.79654116503361161</v>
      </c>
      <c r="AZ16" s="8">
        <f>AZ15/AC15</f>
        <v>1.0969901317347541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5" operator="greaterThanOrEqual">
      <formula>1.03</formula>
    </cfRule>
    <cfRule type="cellIs" dxfId="30" priority="6" operator="lessThanOrEqual">
      <formula>0.97</formula>
    </cfRule>
  </conditionalFormatting>
  <conditionalFormatting sqref="BC10 BC11 BC12">
    <cfRule type="cellIs" dxfId="29" priority="3" operator="greaterThanOrEqual">
      <formula>1.03</formula>
    </cfRule>
    <cfRule type="cellIs" dxfId="28" priority="4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F16"/>
  <sheetViews>
    <sheetView zoomScale="90" zoomScaleNormal="90" workbookViewId="0">
      <pane xSplit="2" ySplit="4" topLeftCell="O5" activePane="bottomRight" state="frozen"/>
      <selection pane="topRight" activeCell="C1" sqref="C1"/>
      <selection pane="bottomLeft" activeCell="A5" sqref="A5"/>
      <selection pane="bottomRight" activeCell="AD1" sqref="AD1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439</v>
      </c>
      <c r="B1" s="68"/>
      <c r="C1" s="68"/>
      <c r="D1" s="68"/>
      <c r="E1" s="68"/>
      <c r="F1" s="68"/>
      <c r="H1" s="64" t="str">
        <f>Summary!C1</f>
        <v>R4.0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R5.0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8.8" x14ac:dyDescent="0.3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0.2952317307314461</v>
      </c>
      <c r="I5" s="17">
        <f>IF(OR(ISBLANK(Q5),ISBLANK(F5)),"·",Q5*F5/E5/1000000)</f>
        <v>207.28872000000001</v>
      </c>
      <c r="J5" s="18">
        <f>IF(ISBLANK(Q5),"·",Q5/C5)</f>
        <v>8.8569519219433825</v>
      </c>
      <c r="K5" s="18">
        <f>IF(N5="","·",N5/C5)</f>
        <v>1.3983535956346695</v>
      </c>
      <c r="L5" s="18">
        <f>IF(R5="","·",R5/C5)</f>
        <v>1.3161361639788529</v>
      </c>
      <c r="M5" s="18">
        <f>IF(ISBLANK(T5),"·",T5/C5)</f>
        <v>7.4585794193405706</v>
      </c>
      <c r="N5" s="15">
        <f>IF(OR(ISBLANK(R5),ISBLANK(S5)),"",R5+S5)</f>
        <v>34908976</v>
      </c>
      <c r="O5" s="18">
        <f>IF(ISBLANK(Q5),"·",Q5/P5)</f>
        <v>6.1211512399189436</v>
      </c>
      <c r="P5" s="19">
        <v>36121958</v>
      </c>
      <c r="Q5" s="20">
        <v>221107968</v>
      </c>
      <c r="R5" s="20">
        <v>32856472</v>
      </c>
      <c r="S5" s="20">
        <v>2052504</v>
      </c>
      <c r="T5" s="20">
        <v>186198520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6190.4</v>
      </c>
      <c r="AA5" s="22">
        <v>7977.82</v>
      </c>
      <c r="AB5" s="22">
        <v>4.8659999999999997</v>
      </c>
      <c r="AC5" s="22">
        <v>23.35</v>
      </c>
      <c r="AE5" s="23">
        <f>IF(ISBLANK(AN5),"·",AN5/(C5*D5*3))</f>
        <v>0.29286797516505642</v>
      </c>
      <c r="AF5" s="17">
        <f>IF(OR(ISBLANK(AN5),ISBLANK(F5)),"·",AN5*F5/E5/1000000)</f>
        <v>205.629075</v>
      </c>
      <c r="AG5" s="18">
        <f>IF(ISBLANK(AN5),"·",AN5/C5)</f>
        <v>8.7860392549516924</v>
      </c>
      <c r="AH5" s="18">
        <f>IF(AK5="","·",AK5/C5)</f>
        <v>1.3511775055468118</v>
      </c>
      <c r="AI5" s="18">
        <f>IF(AO5="","·",AO5/C5)</f>
        <v>1.2699522090328761</v>
      </c>
      <c r="AJ5" s="18">
        <f>IF(ISBLANK(AQ5),"·",AQ5/C5)</f>
        <v>7.4347608054224219</v>
      </c>
      <c r="AK5" s="15">
        <f>IF(OR(ISBLANK(AO5),ISBLANK(AP5)),"",AO5+AP5)</f>
        <v>33731256</v>
      </c>
      <c r="AL5" s="18">
        <f>IF(ISBLANK(AN5),"·",AN5/AM5)</f>
        <v>8.7860392549516924</v>
      </c>
      <c r="AM5" s="19">
        <v>24964341</v>
      </c>
      <c r="AN5" s="20">
        <v>219337680</v>
      </c>
      <c r="AO5" s="20">
        <v>31703520</v>
      </c>
      <c r="AP5" s="20">
        <v>2027736</v>
      </c>
      <c r="AQ5" s="20">
        <v>185603904</v>
      </c>
      <c r="AR5" s="21" t="s">
        <v>547</v>
      </c>
      <c r="AS5" s="21" t="s">
        <v>547</v>
      </c>
      <c r="AT5" s="21" t="s">
        <v>547</v>
      </c>
      <c r="AU5" s="21" t="s">
        <v>547</v>
      </c>
      <c r="AV5" s="21" t="s">
        <v>547</v>
      </c>
      <c r="AW5" s="22">
        <v>2908.46</v>
      </c>
      <c r="AX5" s="22">
        <v>8144.54</v>
      </c>
      <c r="AY5" s="22">
        <v>3.76</v>
      </c>
      <c r="AZ5" s="22">
        <v>27.579000000000001</v>
      </c>
      <c r="BB5" s="24">
        <f t="shared" ref="BB5:BB12" si="0">AG5/J5</f>
        <v>0.99199355854964033</v>
      </c>
      <c r="BC5" s="24">
        <f t="shared" ref="BC5:BD12" si="1">AI5/L5</f>
        <v>0.96490944006404578</v>
      </c>
      <c r="BD5" s="24">
        <f t="shared" si="1"/>
        <v>0.99680654819383097</v>
      </c>
      <c r="BE5" s="23">
        <f>(AK5/AN5) - (N5/Q5)</f>
        <v>-4.0951619783886894E-3</v>
      </c>
      <c r="BF5" s="23">
        <f t="array" ref="BF5">AVERAGE(AK5:AK5/AN5:AN5) - AVERAGE(N5:N5/Q5:Q5)</f>
        <v>-4.0951619783886894E-3</v>
      </c>
    </row>
    <row r="6" spans="1:58" collapsed="1" x14ac:dyDescent="0.3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0.42533570569413232</v>
      </c>
      <c r="I6" s="27">
        <f>IF(OR(ISBLANK(Q6),ISBLANK(F6)),"·",Q6*F6/E6/1000000)</f>
        <v>271.00942500000002</v>
      </c>
      <c r="J6" s="28">
        <f>IF(ISBLANK(Q6),"·",Q6/C6)</f>
        <v>12.76007117082397</v>
      </c>
      <c r="K6" s="28">
        <f>IF(N6="","·",N6/C6)</f>
        <v>1.7246105448168156</v>
      </c>
      <c r="L6" s="28">
        <f>IF(R6="","·",R6/C6)</f>
        <v>1.6009520989138324</v>
      </c>
      <c r="M6" s="28">
        <f>IF(ISBLANK(T6),"·",T6/C6)</f>
        <v>11.035439791560187</v>
      </c>
      <c r="N6" s="25">
        <f>IF(OR(ISBLANK(R6),ISBLANK(S6)),"",R6+S6)</f>
        <v>39070688</v>
      </c>
      <c r="O6" s="28">
        <f>IF(ISBLANK(Q6),"·",Q6/P6)</f>
        <v>9.0695845952606451</v>
      </c>
      <c r="P6" s="29">
        <v>31873204</v>
      </c>
      <c r="Q6" s="30">
        <v>289076720</v>
      </c>
      <c r="R6" s="30">
        <v>36269232</v>
      </c>
      <c r="S6" s="30">
        <v>2801456</v>
      </c>
      <c r="T6" s="30">
        <v>250005560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5687.87</v>
      </c>
      <c r="AA6" s="32">
        <v>9894.82</v>
      </c>
      <c r="AB6" s="32">
        <v>3.9820000000000002</v>
      </c>
      <c r="AC6" s="32">
        <v>23.766999999999999</v>
      </c>
      <c r="AE6" s="33">
        <f>IF(ISBLANK(AN6),"·",AN6/(C6*D6*3))</f>
        <v>0.42262386111828276</v>
      </c>
      <c r="AF6" s="27">
        <f>IF(OR(ISBLANK(AN6),ISBLANK(F6)),"·",AN6*F6/E6/1000000)</f>
        <v>269.28152999999998</v>
      </c>
      <c r="AG6" s="28">
        <f>IF(ISBLANK(AN6),"·",AN6/C6)</f>
        <v>12.678715833548482</v>
      </c>
      <c r="AH6" s="28">
        <f>IF(AK6="","·",AK6/C6)</f>
        <v>1.675194061617612</v>
      </c>
      <c r="AI6" s="28">
        <f>IF(AO6="","·",AO6/C6)</f>
        <v>1.5267694614149794</v>
      </c>
      <c r="AJ6" s="28">
        <f>IF(ISBLANK(AQ6),"·",AQ6/C6)</f>
        <v>11.003410537171632</v>
      </c>
      <c r="AK6" s="25">
        <f>IF(OR(ISBLANK(AO6),ISBLANK(AP6)),"",AO6+AP6)</f>
        <v>37951168</v>
      </c>
      <c r="AL6" s="28">
        <f>IF(ISBLANK(AN6),"·",AN6/AM6)</f>
        <v>12.678715833548482</v>
      </c>
      <c r="AM6" s="29">
        <v>22654789</v>
      </c>
      <c r="AN6" s="30">
        <v>287233632</v>
      </c>
      <c r="AO6" s="30">
        <v>34588640</v>
      </c>
      <c r="AP6" s="30">
        <v>3362528</v>
      </c>
      <c r="AQ6" s="30">
        <v>249279944</v>
      </c>
      <c r="AR6" s="31" t="s">
        <v>547</v>
      </c>
      <c r="AS6" s="31" t="s">
        <v>547</v>
      </c>
      <c r="AT6" s="31" t="s">
        <v>547</v>
      </c>
      <c r="AU6" s="31" t="s">
        <v>547</v>
      </c>
      <c r="AV6" s="31" t="s">
        <v>547</v>
      </c>
      <c r="AW6" s="32">
        <v>2643.62</v>
      </c>
      <c r="AX6" s="32">
        <v>10962.7</v>
      </c>
      <c r="AY6" s="32">
        <v>3.4430000000000001</v>
      </c>
      <c r="AZ6" s="32">
        <v>31.137</v>
      </c>
      <c r="BB6" s="34">
        <f t="shared" si="0"/>
        <v>0.99362422543053619</v>
      </c>
      <c r="BC6" s="34">
        <f t="shared" si="1"/>
        <v>0.95366342469010645</v>
      </c>
      <c r="BD6" s="34">
        <f t="shared" si="1"/>
        <v>0.99709760054936369</v>
      </c>
      <c r="BE6" s="33">
        <f>(AK6/AN6) - (N6/Q6)</f>
        <v>-3.0303349053433515E-3</v>
      </c>
      <c r="BF6" s="33">
        <f t="array" ref="BF6">AVERAGE(AK6:AK6/AN6:AN6) - AVERAGE(N6:N6/Q6:Q6)</f>
        <v>-3.0303349053433515E-3</v>
      </c>
    </row>
    <row r="7" spans="1:58" collapsed="1" x14ac:dyDescent="0.3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0.32629063314358864</v>
      </c>
      <c r="I7" s="17">
        <f>IF(OR(ISBLANK(Q7),ISBLANK(F7)),"·",Q7*F7/E7/1000000)</f>
        <v>311.53563000000003</v>
      </c>
      <c r="J7" s="18">
        <f>IF(ISBLANK(Q7),"·",Q7/C7)</f>
        <v>9.7887189943076578</v>
      </c>
      <c r="K7" s="18">
        <f>IF(N7="","·",N7/C7)</f>
        <v>1.5783013161591597</v>
      </c>
      <c r="L7" s="18">
        <f>IF(R7="","·",R7/C7)</f>
        <v>1.4656945129566588</v>
      </c>
      <c r="M7" s="18">
        <f>IF(ISBLANK(T7),"·",T7/C7)</f>
        <v>8.2104037744157061</v>
      </c>
      <c r="N7" s="15">
        <f>IF(OR(ISBLANK(R7),ISBLANK(S7)),"",R7+S7)</f>
        <v>53579728</v>
      </c>
      <c r="O7" s="18">
        <f>IF(ISBLANK(Q7),"·",Q7/P7)</f>
        <v>7.0152888714108448</v>
      </c>
      <c r="P7" s="19">
        <v>47368637</v>
      </c>
      <c r="Q7" s="20">
        <v>332304672</v>
      </c>
      <c r="R7" s="20">
        <v>49756984</v>
      </c>
      <c r="S7" s="20">
        <v>3822744</v>
      </c>
      <c r="T7" s="20">
        <v>278724472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8429.7199999999993</v>
      </c>
      <c r="AA7" s="22">
        <v>10471.299999999999</v>
      </c>
      <c r="AB7" s="22">
        <v>5.4969999999999999</v>
      </c>
      <c r="AC7" s="22">
        <v>26.184000000000001</v>
      </c>
      <c r="AE7" s="23">
        <f>IF(ISBLANK(AN7),"·",AN7/(C7*D7*3))</f>
        <v>0.32102602792525453</v>
      </c>
      <c r="AF7" s="17">
        <f>IF(OR(ISBLANK(AN7),ISBLANK(F7)),"·",AN7*F7/E7/1000000)</f>
        <v>306.50909250000001</v>
      </c>
      <c r="AG7" s="18">
        <f>IF(ISBLANK(AN7),"·",AN7/C7)</f>
        <v>9.6307808377576372</v>
      </c>
      <c r="AH7" s="18">
        <f>IF(AK7="","·",AK7/C7)</f>
        <v>1.4772327259228442</v>
      </c>
      <c r="AI7" s="18">
        <f>IF(AO7="","·",AO7/C7)</f>
        <v>1.3633168509294205</v>
      </c>
      <c r="AJ7" s="18">
        <f>IF(ISBLANK(AQ7),"·",AQ7/C7)</f>
        <v>8.1534738800410675</v>
      </c>
      <c r="AK7" s="15">
        <f>IF(OR(ISBLANK(AO7),ISBLANK(AP7)),"",AO7+AP7)</f>
        <v>50148680</v>
      </c>
      <c r="AL7" s="18">
        <f>IF(ISBLANK(AN7),"·",AN7/AM7)</f>
        <v>9.6307808377576372</v>
      </c>
      <c r="AM7" s="19">
        <v>33947718</v>
      </c>
      <c r="AN7" s="20">
        <v>326943032</v>
      </c>
      <c r="AO7" s="20">
        <v>46281496</v>
      </c>
      <c r="AP7" s="20">
        <v>3867184</v>
      </c>
      <c r="AQ7" s="20">
        <v>276791832</v>
      </c>
      <c r="AR7" s="21" t="s">
        <v>547</v>
      </c>
      <c r="AS7" s="21" t="s">
        <v>547</v>
      </c>
      <c r="AT7" s="21" t="s">
        <v>547</v>
      </c>
      <c r="AU7" s="21" t="s">
        <v>547</v>
      </c>
      <c r="AV7" s="21" t="s">
        <v>547</v>
      </c>
      <c r="AW7" s="22">
        <v>3954.31</v>
      </c>
      <c r="AX7" s="22">
        <v>11677.8</v>
      </c>
      <c r="AY7" s="22">
        <v>4.8970000000000002</v>
      </c>
      <c r="AZ7" s="22">
        <v>32.301000000000002</v>
      </c>
      <c r="BB7" s="24">
        <f t="shared" si="0"/>
        <v>0.98386528853858557</v>
      </c>
      <c r="BC7" s="24">
        <f t="shared" si="1"/>
        <v>0.93015075029467231</v>
      </c>
      <c r="BD7" s="24">
        <f t="shared" si="1"/>
        <v>0.99306612732591337</v>
      </c>
      <c r="BE7" s="23">
        <f>(AK7/AN7) - (N7/Q7)</f>
        <v>-7.8501582763168543E-3</v>
      </c>
      <c r="BF7" s="23">
        <f t="array" ref="BF7">AVERAGE(AK7:AK7/AN7:AN7) - AVERAGE(N7:N7/Q7:Q7)</f>
        <v>-7.8501582763168543E-3</v>
      </c>
    </row>
    <row r="8" spans="1:58" collapsed="1" x14ac:dyDescent="0.3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0.2494146820151551</v>
      </c>
      <c r="I8" s="47">
        <f>IF(OR(ISBLANK(Q8),ISBLANK(F8)),"·",Q8*F8/E8/1000000)</f>
        <v>376.57302499999997</v>
      </c>
      <c r="J8" s="48">
        <f>IF(ISBLANK(Q8),"·",Q8/C8)</f>
        <v>7.4824404604546535</v>
      </c>
      <c r="K8" s="48">
        <f>IF(N8="","·",N8/C8)</f>
        <v>1.0311818730806797</v>
      </c>
      <c r="L8" s="48">
        <f>IF(R8="","·",R8/C8)</f>
        <v>0.95260490779112328</v>
      </c>
      <c r="M8" s="48">
        <f>IF(ISBLANK(T8),"·",T8/C8)</f>
        <v>6.4512439333773433</v>
      </c>
      <c r="N8" s="45">
        <f>IF(OR(ISBLANK(R8),ISBLANK(S8)),"",R8+S8)</f>
        <v>33214000</v>
      </c>
      <c r="O8" s="48">
        <f>IF(ISBLANK(Q8),"·",Q8/P8)</f>
        <v>6.3561270072701248</v>
      </c>
      <c r="P8" s="49">
        <v>37917231</v>
      </c>
      <c r="Q8" s="50">
        <v>241006736</v>
      </c>
      <c r="R8" s="50">
        <v>30683064</v>
      </c>
      <c r="S8" s="50">
        <v>2530936</v>
      </c>
      <c r="T8" s="50">
        <v>207792264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8106.51</v>
      </c>
      <c r="AA8" s="52">
        <v>7912.77</v>
      </c>
      <c r="AB8" s="52">
        <v>5.0369999999999999</v>
      </c>
      <c r="AC8" s="52">
        <v>24.433</v>
      </c>
      <c r="AE8" s="53">
        <f>IF(ISBLANK(AN8),"·",AN8/(C8*D8*3))</f>
        <v>0.24075589205795708</v>
      </c>
      <c r="AF8" s="47">
        <f>IF(OR(ISBLANK(AN8),ISBLANK(F8)),"·",AN8*F8/E8/1000000)</f>
        <v>363.49975000000001</v>
      </c>
      <c r="AG8" s="48">
        <f>IF(ISBLANK(AN8),"·",AN8/C8)</f>
        <v>7.2226767617387129</v>
      </c>
      <c r="AH8" s="48">
        <f>IF(AK8="","·",AK8/C8)</f>
        <v>0.88901177824293176</v>
      </c>
      <c r="AI8" s="48">
        <f>IF(AO8="","·",AO8/C8)</f>
        <v>0.78847070735928371</v>
      </c>
      <c r="AJ8" s="48">
        <f>IF(ISBLANK(AQ8),"·",AQ8/C8)</f>
        <v>6.3335867460561426</v>
      </c>
      <c r="AK8" s="45">
        <f>IF(OR(ISBLANK(AO8),ISBLANK(AP8)),"",AO8+AP8)</f>
        <v>28634752</v>
      </c>
      <c r="AL8" s="48">
        <f>IF(ISBLANK(AN8),"·",AN8/AM8)</f>
        <v>7.2226767617387129</v>
      </c>
      <c r="AM8" s="49">
        <v>32209643</v>
      </c>
      <c r="AN8" s="50">
        <v>232639840</v>
      </c>
      <c r="AO8" s="50">
        <v>25396360</v>
      </c>
      <c r="AP8" s="50">
        <v>3238392</v>
      </c>
      <c r="AQ8" s="50">
        <v>204002568</v>
      </c>
      <c r="AR8" s="51" t="s">
        <v>547</v>
      </c>
      <c r="AS8" s="51" t="s">
        <v>547</v>
      </c>
      <c r="AT8" s="51" t="s">
        <v>547</v>
      </c>
      <c r="AU8" s="51" t="s">
        <v>547</v>
      </c>
      <c r="AV8" s="51" t="s">
        <v>547</v>
      </c>
      <c r="AW8" s="52">
        <v>3848.14</v>
      </c>
      <c r="AX8" s="52">
        <v>7455.14</v>
      </c>
      <c r="AY8" s="52">
        <v>4.6070000000000002</v>
      </c>
      <c r="AZ8" s="52">
        <v>30.222999999999999</v>
      </c>
      <c r="BB8" s="54">
        <f t="shared" si="0"/>
        <v>0.96528355954333156</v>
      </c>
      <c r="BC8" s="54">
        <f t="shared" si="1"/>
        <v>0.82769960653212471</v>
      </c>
      <c r="BD8" s="54">
        <f t="shared" si="1"/>
        <v>0.98176209293335381</v>
      </c>
      <c r="BE8" s="53">
        <f>(AK8/AN8) - (N8/Q8)</f>
        <v>-1.4727383524129903E-2</v>
      </c>
      <c r="BF8" s="53">
        <f t="array" ref="BF8">AVERAGE(AK8:AK8/AN8:AN8) - AVERAGE(N8:N8/Q8:Q8)</f>
        <v>-1.4727383524129903E-2</v>
      </c>
    </row>
    <row r="9" spans="1:58" collapsed="1" x14ac:dyDescent="0.3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0.50061010394585925</v>
      </c>
      <c r="I9" s="37">
        <f>IF(OR(ISBLANK(Q9),ISBLANK(F9)),"·",Q9*F9/E9/1000000)</f>
        <v>356.39007750000002</v>
      </c>
      <c r="J9" s="38">
        <f>IF(ISBLANK(Q9),"·",Q9/C9)</f>
        <v>15.018303118375778</v>
      </c>
      <c r="K9" s="38">
        <f>IF(N9="","·",N9/C9)</f>
        <v>1.5756361070033322</v>
      </c>
      <c r="L9" s="38">
        <f>IF(R9="","·",R9/C9)</f>
        <v>1.4761987085543185</v>
      </c>
      <c r="M9" s="38">
        <f>IF(ISBLANK(T9),"·",T9/C9)</f>
        <v>13.442648364391092</v>
      </c>
      <c r="N9" s="35">
        <f>IF(OR(ISBLANK(R9),ISBLANK(S9)),"",R9+S9)</f>
        <v>39883144</v>
      </c>
      <c r="O9" s="38">
        <f>IF(ISBLANK(Q9),"·",Q9/P9)</f>
        <v>10.632869891651966</v>
      </c>
      <c r="P9" s="39">
        <v>35752287</v>
      </c>
      <c r="Q9" s="40">
        <v>380149416</v>
      </c>
      <c r="R9" s="40">
        <v>37366144</v>
      </c>
      <c r="S9" s="40">
        <v>2517000</v>
      </c>
      <c r="T9" s="40">
        <v>340265800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6348.6</v>
      </c>
      <c r="AA9" s="42">
        <v>10712.2</v>
      </c>
      <c r="AB9" s="42">
        <v>4.5679999999999996</v>
      </c>
      <c r="AC9" s="42">
        <v>26.613</v>
      </c>
      <c r="AE9" s="43">
        <f>IF(ISBLANK(AN9),"·",AN9/(C9*D9*3))</f>
        <v>0.49734610261760426</v>
      </c>
      <c r="AF9" s="37">
        <f>IF(OR(ISBLANK(AN9),ISBLANK(F9)),"·",AN9*F9/E9/1000000)</f>
        <v>354.06639749999999</v>
      </c>
      <c r="AG9" s="38">
        <f>IF(ISBLANK(AN9),"·",AN9/C9)</f>
        <v>14.920383078528127</v>
      </c>
      <c r="AH9" s="38">
        <f>IF(AK9="","·",AK9/C9)</f>
        <v>1.5187229915067741</v>
      </c>
      <c r="AI9" s="38">
        <f>IF(AO9="","·",AO9/C9)</f>
        <v>1.4119364700505777</v>
      </c>
      <c r="AJ9" s="38">
        <f>IF(ISBLANK(AQ9),"·",AQ9/C9)</f>
        <v>13.401560531103955</v>
      </c>
      <c r="AK9" s="35">
        <f>IF(OR(ISBLANK(AO9),ISBLANK(AP9)),"",AO9+AP9)</f>
        <v>38442536</v>
      </c>
      <c r="AL9" s="38">
        <f>IF(ISBLANK(AN9),"·",AN9/AM9)</f>
        <v>14.920383078528127</v>
      </c>
      <c r="AM9" s="39">
        <v>25312408</v>
      </c>
      <c r="AN9" s="40">
        <v>377670824</v>
      </c>
      <c r="AO9" s="40">
        <v>35739512</v>
      </c>
      <c r="AP9" s="40">
        <v>2703024</v>
      </c>
      <c r="AQ9" s="40">
        <v>339225768</v>
      </c>
      <c r="AR9" s="41" t="s">
        <v>547</v>
      </c>
      <c r="AS9" s="41" t="s">
        <v>547</v>
      </c>
      <c r="AT9" s="41" t="s">
        <v>547</v>
      </c>
      <c r="AU9" s="41" t="s">
        <v>547</v>
      </c>
      <c r="AV9" s="41" t="s">
        <v>547</v>
      </c>
      <c r="AW9" s="42">
        <v>2987.5</v>
      </c>
      <c r="AX9" s="42">
        <v>11732.1</v>
      </c>
      <c r="AY9" s="42">
        <v>3.903</v>
      </c>
      <c r="AZ9" s="42">
        <v>33.412999999999997</v>
      </c>
      <c r="BB9" s="44">
        <f t="shared" si="0"/>
        <v>0.99347995315610327</v>
      </c>
      <c r="BC9" s="44">
        <f t="shared" si="1"/>
        <v>0.95646775862128031</v>
      </c>
      <c r="BD9" s="44">
        <f t="shared" si="1"/>
        <v>0.99694347183878018</v>
      </c>
      <c r="BE9" s="43">
        <f>(AK9/AN9) - (N9/Q9)</f>
        <v>-3.125918015944279E-3</v>
      </c>
      <c r="BF9" s="43">
        <f t="array" ref="BF9">AVERAGE(AK9:AK9/AN9:AN9) - AVERAGE(N9:N9/Q9:Q9)</f>
        <v>-3.125918015944279E-3</v>
      </c>
    </row>
    <row r="10" spans="1:58" x14ac:dyDescent="0.3">
      <c r="B10" s="55" t="s">
        <v>286</v>
      </c>
      <c r="J10" s="56">
        <f>AVERAGE(J5:J8)</f>
        <v>9.7220456368824166</v>
      </c>
      <c r="K10" s="56">
        <f>AVERAGE(K5:K8)</f>
        <v>1.4331118324228311</v>
      </c>
      <c r="L10" s="56">
        <f>AVERAGE(L5:L8)</f>
        <v>1.3338469209101167</v>
      </c>
      <c r="M10" s="56">
        <f>AVERAGE(M5:M8)</f>
        <v>8.2889167296734509</v>
      </c>
      <c r="AG10" s="56">
        <f>AVERAGE(AG5:AG8)</f>
        <v>9.579553171999132</v>
      </c>
      <c r="AH10" s="56">
        <f>AVERAGE(AH5:AH8)</f>
        <v>1.34815401783255</v>
      </c>
      <c r="AI10" s="56">
        <f>AVERAGE(AI5:AI8)</f>
        <v>1.2371273071841398</v>
      </c>
      <c r="AJ10" s="56">
        <f>AVERAGE(AJ5:AJ8)</f>
        <v>8.2313079921728161</v>
      </c>
      <c r="BB10" s="5">
        <f t="shared" si="0"/>
        <v>0.98534336597405869</v>
      </c>
      <c r="BC10" s="5">
        <f t="shared" si="1"/>
        <v>0.9274882205673326</v>
      </c>
      <c r="BD10" s="5">
        <f t="shared" si="1"/>
        <v>0.99304990755976574</v>
      </c>
      <c r="BF10" s="8">
        <f>AVERAGE(BF5:BF8)</f>
        <v>-7.4257596710446995E-3</v>
      </c>
    </row>
    <row r="11" spans="1:58" x14ac:dyDescent="0.3">
      <c r="B11" s="55" t="s">
        <v>287</v>
      </c>
      <c r="J11" s="56">
        <f>AVERAGE(J9:J9)</f>
        <v>15.018303118375778</v>
      </c>
      <c r="K11" s="56">
        <f>AVERAGE(K9:K9)</f>
        <v>1.5756361070033322</v>
      </c>
      <c r="L11" s="56">
        <f>AVERAGE(L9:L9)</f>
        <v>1.4761987085543185</v>
      </c>
      <c r="M11" s="56">
        <f>AVERAGE(M9:M9)</f>
        <v>13.442648364391092</v>
      </c>
      <c r="AG11" s="56">
        <f>AVERAGE(AG9:AG9)</f>
        <v>14.920383078528127</v>
      </c>
      <c r="AH11" s="56">
        <f>AVERAGE(AH9:AH9)</f>
        <v>1.5187229915067741</v>
      </c>
      <c r="AI11" s="56">
        <f>AVERAGE(AI9:AI9)</f>
        <v>1.4119364700505777</v>
      </c>
      <c r="AJ11" s="56">
        <f>AVERAGE(AJ9:AJ9)</f>
        <v>13.401560531103955</v>
      </c>
      <c r="BB11" s="5">
        <f t="shared" si="0"/>
        <v>0.99347995315610327</v>
      </c>
      <c r="BC11" s="5">
        <f t="shared" si="1"/>
        <v>0.95646775862128031</v>
      </c>
      <c r="BD11" s="5">
        <f t="shared" si="1"/>
        <v>0.99694347183878018</v>
      </c>
      <c r="BF11" s="8">
        <f>AVERAGE(BF9:BF9)</f>
        <v>-3.125918015944279E-3</v>
      </c>
    </row>
    <row r="12" spans="1:58" x14ac:dyDescent="0.3">
      <c r="B12" s="55" t="s">
        <v>288</v>
      </c>
      <c r="J12" s="56">
        <f>AVERAGE(J5:J9)</f>
        <v>10.781297133181088</v>
      </c>
      <c r="K12" s="56">
        <f>AVERAGE(K5:K9)</f>
        <v>1.4616166873389314</v>
      </c>
      <c r="L12" s="56">
        <f>AVERAGE(L5:L9)</f>
        <v>1.362317278438957</v>
      </c>
      <c r="M12" s="56">
        <f>AVERAGE(M5:M9)</f>
        <v>9.319663056616978</v>
      </c>
      <c r="AG12" s="56">
        <f>AVERAGE(AG5:AG9)</f>
        <v>10.64771915330493</v>
      </c>
      <c r="AH12" s="56">
        <f>AVERAGE(AH5:AH9)</f>
        <v>1.3822678125673948</v>
      </c>
      <c r="AI12" s="56">
        <f>AVERAGE(AI5:AI9)</f>
        <v>1.2720891397574274</v>
      </c>
      <c r="AJ12" s="56">
        <f>AVERAGE(AJ5:AJ9)</f>
        <v>9.2653584999590439</v>
      </c>
      <c r="BB12" s="5">
        <f t="shared" si="0"/>
        <v>0.98761021255364057</v>
      </c>
      <c r="BC12" s="5">
        <f t="shared" si="1"/>
        <v>0.93376863076645433</v>
      </c>
      <c r="BD12" s="5">
        <f t="shared" si="1"/>
        <v>0.99417312017311854</v>
      </c>
      <c r="BF12" s="8">
        <f>AVERAGE(BF5:BF9)</f>
        <v>-6.5657913400246157E-3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34763.1</v>
      </c>
      <c r="AA13" s="57">
        <f>SUM(AA5:AA8,AA9:AA9)</f>
        <v>46968.91</v>
      </c>
      <c r="AB13" s="57">
        <f>SUM(AB5:AB8,AB9:AB9)</f>
        <v>23.949999999999996</v>
      </c>
      <c r="AC13" s="57">
        <f>SUM(AC5:AC8,AC9:AC9)</f>
        <v>124.34700000000001</v>
      </c>
      <c r="AW13" s="57">
        <f>SUM(AW5:AW8,AW9:AW9)</f>
        <v>16342.029999999999</v>
      </c>
      <c r="AX13" s="57">
        <f>SUM(AX5:AX8,AX9:AX9)</f>
        <v>49972.28</v>
      </c>
      <c r="AY13" s="57">
        <f>SUM(AY5:AY8,AY9:AY9)</f>
        <v>20.61</v>
      </c>
      <c r="AZ13" s="57">
        <f>SUM(AZ5:AZ8,AZ9:AZ9)</f>
        <v>154.65299999999999</v>
      </c>
    </row>
    <row r="14" spans="1:58" hidden="1" outlineLevel="2" x14ac:dyDescent="0.3">
      <c r="B14" s="55" t="s">
        <v>291</v>
      </c>
      <c r="AW14" s="8">
        <f>AW13/Z13</f>
        <v>0.47009702817067522</v>
      </c>
      <c r="AX14" s="8">
        <f>AX13/AA13</f>
        <v>1.0639437874968782</v>
      </c>
      <c r="AY14" s="8">
        <f>AY13/AB13</f>
        <v>0.86054279749478091</v>
      </c>
      <c r="AZ14" s="8">
        <f>AZ13/AC13</f>
        <v>1.2437211995464303</v>
      </c>
    </row>
    <row r="15" spans="1:58" hidden="1" outlineLevel="2" x14ac:dyDescent="0.3">
      <c r="B15" s="55" t="s">
        <v>292</v>
      </c>
      <c r="Z15" s="57">
        <f>GEOMEAN(Z5:Z8,Z9:Z9)</f>
        <v>6867.500223369314</v>
      </c>
      <c r="AA15" s="57">
        <f>GEOMEAN(AA5:AA8,AA9:AA9)</f>
        <v>9313.2227357199699</v>
      </c>
      <c r="AB15" s="57">
        <f>GEOMEAN(AB5:AB8,AB9:AB9)</f>
        <v>4.7627680179288756</v>
      </c>
      <c r="AC15" s="57">
        <f>GEOMEAN(AC5:AC8,AC9:AC9)</f>
        <v>24.835538121617827</v>
      </c>
      <c r="AW15" s="57">
        <f>GEOMEAN(AW5:AW8,AW9:AW9)</f>
        <v>3226.252269011572</v>
      </c>
      <c r="AX15" s="57">
        <f>GEOMEAN(AX5:AX8,AX9:AX9)</f>
        <v>9817.3740107516005</v>
      </c>
      <c r="AY15" s="57">
        <f>GEOMEAN(AY5:AY8,AY9:AY9)</f>
        <v>4.0867149545400956</v>
      </c>
      <c r="AZ15" s="57">
        <f>GEOMEAN(AZ5:AZ8,AZ9:AZ9)</f>
        <v>30.864898863021455</v>
      </c>
    </row>
    <row r="16" spans="1:58" outlineLevel="2" collapsed="1" x14ac:dyDescent="0.3">
      <c r="B16" s="55" t="s">
        <v>293</v>
      </c>
      <c r="AW16" s="8">
        <f>AW15/Z15</f>
        <v>0.46978553535870393</v>
      </c>
      <c r="AX16" s="8">
        <f>AX15/AA15</f>
        <v>1.0541328484605019</v>
      </c>
      <c r="AY16" s="8">
        <f>AY15/AB15</f>
        <v>0.85805458908688004</v>
      </c>
      <c r="AZ16" s="8">
        <f>AZ15/AC15</f>
        <v>1.2427714959055161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5" operator="greaterThanOrEqual">
      <formula>1.03</formula>
    </cfRule>
    <cfRule type="cellIs" dxfId="24" priority="6" operator="lessThanOrEqual">
      <formula>0.97</formula>
    </cfRule>
  </conditionalFormatting>
  <conditionalFormatting sqref="BC10 BC11 BC12">
    <cfRule type="cellIs" dxfId="23" priority="3" operator="greaterThanOrEqual">
      <formula>1.03</formula>
    </cfRule>
    <cfRule type="cellIs" dxfId="22" priority="4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S36"/>
  <sheetViews>
    <sheetView workbookViewId="0">
      <pane xSplit="2" ySplit="4" topLeftCell="S5" activePane="bottomRight" state="frozen"/>
      <selection pane="topRight" activeCell="C1" sqref="C1"/>
      <selection pane="bottomLeft" activeCell="A5" sqref="A5"/>
      <selection pane="bottomRight" activeCell="AF1" sqref="AF1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526</v>
      </c>
      <c r="B1" s="68"/>
      <c r="C1" s="68"/>
      <c r="D1" s="68"/>
      <c r="E1" s="68"/>
      <c r="F1" s="68"/>
      <c r="G1" s="68"/>
      <c r="I1" s="64" t="str">
        <f>Summary!C1</f>
        <v>R4.0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R5.0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x14ac:dyDescent="0.3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1.3480425</v>
      </c>
      <c r="J5" s="18">
        <f t="shared" ref="J5:J29" si="1">IF(ISBLANK(S5),"·",S5/D5)</f>
        <v>5.7598636391002669E-2</v>
      </c>
      <c r="K5" s="18">
        <f t="shared" ref="K5:K29" si="2">IF(N5="","·",N5/D5)</f>
        <v>4.7206213054051781E-2</v>
      </c>
      <c r="L5" s="18">
        <f t="shared" ref="L5:L29" si="3">IF(T5="","·",T5/D5)</f>
        <v>2.7496499907608215E-2</v>
      </c>
      <c r="M5" s="18">
        <f t="shared" ref="M5:M29" si="4">IF(ISBLANK(V5),"·",V5/D5)</f>
        <v>1.0373836825894983E-2</v>
      </c>
      <c r="N5" s="15">
        <f t="shared" ref="N5:N29" si="5">IF(OR(ISBLANK(T5),ISBLANK(U5)),"",T5+U5)</f>
        <v>1178472</v>
      </c>
      <c r="O5" s="18">
        <f t="shared" ref="O5:O29" si="6">IF(ISBLANK(S5),"·",S5/P5)</f>
        <v>3.7448059123843053E-2</v>
      </c>
      <c r="P5" s="19">
        <v>38397504</v>
      </c>
      <c r="Q5" s="19">
        <v>1199922</v>
      </c>
      <c r="R5" s="19">
        <v>493705.125</v>
      </c>
      <c r="S5" s="20">
        <v>1437912</v>
      </c>
      <c r="T5" s="20">
        <v>686432</v>
      </c>
      <c r="U5" s="20">
        <v>492040</v>
      </c>
      <c r="V5" s="20">
        <v>258976</v>
      </c>
      <c r="W5" s="21">
        <v>66.750818749999993</v>
      </c>
      <c r="X5" s="21">
        <v>68.760862500000002</v>
      </c>
      <c r="Y5" s="21">
        <v>31.406503125</v>
      </c>
      <c r="Z5" s="21">
        <v>43.581578125</v>
      </c>
      <c r="AA5" s="21">
        <v>42.975778124999998</v>
      </c>
      <c r="AB5" s="22">
        <v>6220.44</v>
      </c>
      <c r="AC5" s="22">
        <v>4121</v>
      </c>
      <c r="AD5" s="22">
        <v>8.6120000000000001</v>
      </c>
      <c r="AE5" s="22">
        <v>21.184000000000001</v>
      </c>
      <c r="AG5" s="17">
        <f t="shared" ref="AG5:AG29" si="7">IF(OR(ISBLANK(AQ5),ISBLANK(G5)),"·",AQ5*G5/F5/1000000)</f>
        <v>1.22889</v>
      </c>
      <c r="AH5" s="18">
        <f t="shared" ref="AH5:AH29" si="8">IF(ISBLANK(AQ5),"·",AQ5/D5)</f>
        <v>5.2507534647119262E-2</v>
      </c>
      <c r="AI5" s="18">
        <f t="shared" ref="AI5:AI29" si="9">IF(AL5="","·",AL5/D5)</f>
        <v>4.3744956055519348E-2</v>
      </c>
      <c r="AJ5" s="18">
        <f t="shared" ref="AJ5:AJ29" si="10">IF(AR5="","·",AR5/D5)</f>
        <v>2.6164359796238962E-2</v>
      </c>
      <c r="AK5" s="18">
        <f t="shared" ref="AK5:AK29" si="11">IF(ISBLANK(AT5),"·",AT5/D5)</f>
        <v>8.7433511663696627E-3</v>
      </c>
      <c r="AL5" s="15">
        <f t="shared" ref="AL5:AL29" si="12">IF(OR(ISBLANK(AR5),ISBLANK(AS5)),"",AR5+AS5)</f>
        <v>1092064</v>
      </c>
      <c r="AM5" s="18">
        <f t="shared" ref="AM5:AM29" si="13">IF(ISBLANK(AQ5),"·",AQ5/AN5)</f>
        <v>5.6278783865875058E-2</v>
      </c>
      <c r="AN5" s="19">
        <v>23291477</v>
      </c>
      <c r="AO5" s="19">
        <v>727858.65625</v>
      </c>
      <c r="AP5" s="19">
        <v>16263.4375</v>
      </c>
      <c r="AQ5" s="20">
        <v>1310816</v>
      </c>
      <c r="AR5" s="20">
        <v>653176</v>
      </c>
      <c r="AS5" s="20">
        <v>438888</v>
      </c>
      <c r="AT5" s="20">
        <v>218272</v>
      </c>
      <c r="AU5" s="21">
        <v>66.755174999999994</v>
      </c>
      <c r="AV5" s="21">
        <v>68.482021875000001</v>
      </c>
      <c r="AW5" s="21">
        <v>31.711881250000001</v>
      </c>
      <c r="AX5" s="21">
        <v>44.206637499999999</v>
      </c>
      <c r="AY5" s="21">
        <v>43.811549999999997</v>
      </c>
      <c r="AZ5" s="22">
        <v>4008.22</v>
      </c>
      <c r="BA5" s="22">
        <v>4597.83</v>
      </c>
      <c r="BB5" s="22">
        <v>6.7220000000000004</v>
      </c>
      <c r="BC5" s="22">
        <v>23.445</v>
      </c>
      <c r="BE5" s="23">
        <f t="shared" ref="BE5:BE29" si="14">(AP5/AO5) - (R5/Q5)</f>
        <v>-0.38910345671395213</v>
      </c>
      <c r="BF5" s="23">
        <f t="shared" ref="BF5:BF29" si="15">(AL5/AQ5) - (N5/S5)</f>
        <v>1.3545979259132257E-2</v>
      </c>
      <c r="BG5" s="23">
        <f t="array" ref="BG5">AVERAGE(AL5:AL9/AQ5:AQ9) - AVERAGE(N5:N9/S5:S9)</f>
        <v>3.5046936408302365E-2</v>
      </c>
      <c r="BI5" s="24">
        <f>IF( OR(ISBLANK(N5:N9),ISBLANK(AL5:AL9), ISBLANK(W5:W9),ISBLANK(AU5:AU9)), "·", bdRateExtend( N5:N9,W5:W9, AL5:AL9,AU5:AU9))</f>
        <v>-7.3841626687993878E-2</v>
      </c>
      <c r="BJ5" s="24">
        <f>IF( OR(ISBLANK(N5:N9),ISBLANK(AL5:AL9), ISBLANK(X5:X9),ISBLANK(AV5:AV9)), "·", bdRateExtend( N5:N9,X5:X9, AL5:AL9,AV5:AV9))</f>
        <v>-2.6273689886606388E-2</v>
      </c>
      <c r="BK5" s="24">
        <f>IF( OR(ISBLANK(V5:V9),ISBLANK(AT5:AT9), ISBLANK(Y5:Y9),ISBLANK(AW5:AW9)), "·", bdRateExtend( V5:V9,Y5:Y9, AT5:AT9,AW5:AW9))</f>
        <v>-0.25095102236555444</v>
      </c>
      <c r="BL5" s="24">
        <f>IF( OR(ISBLANK(V5:V9),ISBLANK(AT5:AT9), ISBLANK(Z5:Z9),ISBLANK(AX5:AX9)), "·", bdRateExtend( V5:V9,Z5:Z9, AT5:AT9,AX5:AX9))</f>
        <v>-0.36911880546003939</v>
      </c>
      <c r="BM5" s="24">
        <f>IF( OR(ISBLANK(V5:V9),ISBLANK(AT5:AT9), ISBLANK(AA5:AA9),ISBLANK(AY5:AY9)), "·", bdRateExtend( V5:V9,AA5:AA9, AT5:AT9,AY5:AY9))</f>
        <v>-0.36848509353161407</v>
      </c>
      <c r="BO5" s="24">
        <f>IF( OR(ISBLANK(S5:S9),ISBLANK(AQ5:AQ9), ISBLANK(W5:W9),ISBLANK(AU5:AU9)), "·", bdRateExtend( S5:S9,W5:W9, AQ5:AQ9,AU5:AU9))</f>
        <v>-0.12033312282334396</v>
      </c>
      <c r="BP5" s="24">
        <f>IF( OR(ISBLANK(S5:S9),ISBLANK(AQ5:AQ9), ISBLANK(X5:X9),ISBLANK(AV5:AV9)), "·", bdRateExtend( S5:S9,X5:X9, AQ5:AQ9,AV5:AV9))</f>
        <v>-5.5004809495453166E-2</v>
      </c>
      <c r="BQ5" s="24">
        <f>IF( OR(ISBLANK(S5:S9),ISBLANK(AQ5:AQ9), ISBLANK(Y5:Y9),ISBLANK(AW5:AW9)), "·", bdRateExtend( S5:S9,Y5:Y9, AQ5:AQ9,AW5:AW9))</f>
        <v>-0.14774591975832929</v>
      </c>
      <c r="BR5" s="24">
        <f>IF( OR(ISBLANK(S5:S9),ISBLANK(AQ5:AQ9), ISBLANK(Z5:Z9),ISBLANK(AX5:AX9)), "·", bdRateExtend( S5:S9,Z5:Z9, AQ5:AQ9,AX5:AX9))</f>
        <v>-0.23636486525182876</v>
      </c>
      <c r="BS5" s="24">
        <f>IF( OR(ISBLANK(S5:S9),ISBLANK(AQ5:AQ9), ISBLANK(AA5:AA9),ISBLANK(AY5:AY9)), "·", bdRateExtend( S5:S9,AA5:AA9, AQ5:AQ9,AY5:AY9))</f>
        <v>-0.23577557515031522</v>
      </c>
    </row>
    <row r="6" spans="1:71" outlineLevel="1" x14ac:dyDescent="0.3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1.757385</v>
      </c>
      <c r="J6" s="28">
        <f t="shared" si="1"/>
        <v>7.5088863751700874E-2</v>
      </c>
      <c r="K6" s="28">
        <f t="shared" si="2"/>
        <v>5.6830500753054125E-2</v>
      </c>
      <c r="L6" s="28">
        <f t="shared" si="3"/>
        <v>3.7120787606610563E-2</v>
      </c>
      <c r="M6" s="28">
        <f t="shared" si="4"/>
        <v>1.8239776487590838E-2</v>
      </c>
      <c r="N6" s="25">
        <f t="shared" si="5"/>
        <v>1418736</v>
      </c>
      <c r="O6" s="28">
        <f t="shared" si="6"/>
        <v>4.8819423262512061E-2</v>
      </c>
      <c r="P6" s="29">
        <v>38397504</v>
      </c>
      <c r="Q6" s="29">
        <v>1199922</v>
      </c>
      <c r="R6" s="29">
        <v>447392.5</v>
      </c>
      <c r="S6" s="30">
        <v>1874544</v>
      </c>
      <c r="T6" s="30">
        <v>926696</v>
      </c>
      <c r="U6" s="30">
        <v>492040</v>
      </c>
      <c r="V6" s="30">
        <v>455344</v>
      </c>
      <c r="W6" s="31">
        <v>68.493931250000003</v>
      </c>
      <c r="X6" s="31">
        <v>70.728893749999997</v>
      </c>
      <c r="Y6" s="31">
        <v>33.457825</v>
      </c>
      <c r="Z6" s="31">
        <v>45.121915625</v>
      </c>
      <c r="AA6" s="31">
        <v>44.546796874999998</v>
      </c>
      <c r="AB6" s="32">
        <v>6243.7</v>
      </c>
      <c r="AC6" s="32">
        <v>4458.21</v>
      </c>
      <c r="AD6" s="32">
        <v>8.6929999999999996</v>
      </c>
      <c r="AE6" s="32">
        <v>21.294</v>
      </c>
      <c r="AG6" s="27">
        <f t="shared" si="7"/>
        <v>1.5909150000000001</v>
      </c>
      <c r="AH6" s="28">
        <f t="shared" si="8"/>
        <v>6.7975998244856534E-2</v>
      </c>
      <c r="AI6" s="28">
        <f t="shared" si="9"/>
        <v>5.2830234933900315E-2</v>
      </c>
      <c r="AJ6" s="28">
        <f t="shared" si="10"/>
        <v>3.5249638674619929E-2</v>
      </c>
      <c r="AK6" s="28">
        <f t="shared" si="11"/>
        <v>1.5126535885725965E-2</v>
      </c>
      <c r="AL6" s="25">
        <f t="shared" si="12"/>
        <v>1318872</v>
      </c>
      <c r="AM6" s="28">
        <f t="shared" si="13"/>
        <v>6.8504458302518681E-2</v>
      </c>
      <c r="AN6" s="29">
        <v>24771760</v>
      </c>
      <c r="AO6" s="29">
        <v>774117.5</v>
      </c>
      <c r="AP6" s="29">
        <v>20008.375</v>
      </c>
      <c r="AQ6" s="30">
        <v>1696976</v>
      </c>
      <c r="AR6" s="30">
        <v>879984</v>
      </c>
      <c r="AS6" s="30">
        <v>438888</v>
      </c>
      <c r="AT6" s="30">
        <v>377624</v>
      </c>
      <c r="AU6" s="31">
        <v>68.484087500000001</v>
      </c>
      <c r="AV6" s="31">
        <v>70.470168749999999</v>
      </c>
      <c r="AW6" s="31">
        <v>33.798806249999998</v>
      </c>
      <c r="AX6" s="31">
        <v>45.365068749999999</v>
      </c>
      <c r="AY6" s="31">
        <v>44.907209375000001</v>
      </c>
      <c r="AZ6" s="32">
        <v>4028.19</v>
      </c>
      <c r="BA6" s="32">
        <v>4991.24</v>
      </c>
      <c r="BB6" s="32">
        <v>6.9329999999999998</v>
      </c>
      <c r="BC6" s="32">
        <v>23.92</v>
      </c>
      <c r="BE6" s="33">
        <f t="shared" si="14"/>
        <v>-0.34700462872856619</v>
      </c>
      <c r="BF6" s="33">
        <f t="shared" si="15"/>
        <v>2.0346277585542638E-2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2.4439350000000002</v>
      </c>
      <c r="J7" s="18">
        <f t="shared" si="1"/>
        <v>0.10442350551132112</v>
      </c>
      <c r="K7" s="18">
        <f t="shared" si="2"/>
        <v>6.9048568115617395E-2</v>
      </c>
      <c r="L7" s="18">
        <f t="shared" si="3"/>
        <v>4.9338854969173833E-2</v>
      </c>
      <c r="M7" s="18">
        <f t="shared" si="4"/>
        <v>3.5356350884647829E-2</v>
      </c>
      <c r="N7" s="15">
        <f t="shared" si="5"/>
        <v>1723752</v>
      </c>
      <c r="O7" s="18">
        <f t="shared" si="6"/>
        <v>6.7891496280591573E-2</v>
      </c>
      <c r="P7" s="19">
        <v>38397504</v>
      </c>
      <c r="Q7" s="19">
        <v>1199922</v>
      </c>
      <c r="R7" s="19">
        <v>444743.4375</v>
      </c>
      <c r="S7" s="20">
        <v>2606864</v>
      </c>
      <c r="T7" s="20">
        <v>1231712</v>
      </c>
      <c r="U7" s="20">
        <v>492040</v>
      </c>
      <c r="V7" s="20">
        <v>882648</v>
      </c>
      <c r="W7" s="21">
        <v>69.763634374999995</v>
      </c>
      <c r="X7" s="21">
        <v>72.427296874999996</v>
      </c>
      <c r="Y7" s="21">
        <v>35.883809374999998</v>
      </c>
      <c r="Z7" s="21">
        <v>46.23154375</v>
      </c>
      <c r="AA7" s="21">
        <v>46.073384375000003</v>
      </c>
      <c r="AB7" s="22">
        <v>6217.11</v>
      </c>
      <c r="AC7" s="22">
        <v>4716.82</v>
      </c>
      <c r="AD7" s="22">
        <v>8.5129999999999999</v>
      </c>
      <c r="AE7" s="22">
        <v>21.916</v>
      </c>
      <c r="AG7" s="17">
        <f t="shared" si="7"/>
        <v>2.1844575000000002</v>
      </c>
      <c r="AH7" s="18">
        <f t="shared" si="8"/>
        <v>9.3336651666470982E-2</v>
      </c>
      <c r="AI7" s="18">
        <f t="shared" si="9"/>
        <v>6.4598060088988524E-2</v>
      </c>
      <c r="AJ7" s="18">
        <f t="shared" si="10"/>
        <v>4.7017463829708145E-2</v>
      </c>
      <c r="AK7" s="18">
        <f t="shared" si="11"/>
        <v>2.8719364152252208E-2</v>
      </c>
      <c r="AL7" s="15">
        <f t="shared" si="12"/>
        <v>1612648</v>
      </c>
      <c r="AM7" s="18">
        <f t="shared" si="13"/>
        <v>9.3389076624126002E-2</v>
      </c>
      <c r="AN7" s="19">
        <v>24950327</v>
      </c>
      <c r="AO7" s="19">
        <v>779697.71875</v>
      </c>
      <c r="AP7" s="19">
        <v>21339.03125</v>
      </c>
      <c r="AQ7" s="20">
        <v>2330088</v>
      </c>
      <c r="AR7" s="20">
        <v>1173760</v>
      </c>
      <c r="AS7" s="20">
        <v>438888</v>
      </c>
      <c r="AT7" s="20">
        <v>716960</v>
      </c>
      <c r="AU7" s="21">
        <v>69.813803125000007</v>
      </c>
      <c r="AV7" s="21">
        <v>72.148834375000007</v>
      </c>
      <c r="AW7" s="21">
        <v>36.263181250000002</v>
      </c>
      <c r="AX7" s="21">
        <v>46.865137500000003</v>
      </c>
      <c r="AY7" s="21">
        <v>46.592928125</v>
      </c>
      <c r="AZ7" s="22">
        <v>3908.84</v>
      </c>
      <c r="BA7" s="22">
        <v>5223.46</v>
      </c>
      <c r="BB7" s="22">
        <v>6.9139999999999997</v>
      </c>
      <c r="BC7" s="22">
        <v>24.414000000000001</v>
      </c>
      <c r="BE7" s="23">
        <f t="shared" si="14"/>
        <v>-0.34327528438597171</v>
      </c>
      <c r="BF7" s="23">
        <f t="shared" si="15"/>
        <v>3.0861590097223779E-2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4.0550625</v>
      </c>
      <c r="J8" s="28">
        <f t="shared" si="1"/>
        <v>0.17326313560610312</v>
      </c>
      <c r="K8" s="28">
        <f t="shared" si="2"/>
        <v>9.5791673411286929E-2</v>
      </c>
      <c r="L8" s="28">
        <f t="shared" si="3"/>
        <v>7.608196026484336E-2</v>
      </c>
      <c r="M8" s="28">
        <f t="shared" si="4"/>
        <v>7.7452875683760289E-2</v>
      </c>
      <c r="N8" s="25">
        <f t="shared" si="5"/>
        <v>2391376</v>
      </c>
      <c r="O8" s="28">
        <f t="shared" si="6"/>
        <v>0.11264794711656258</v>
      </c>
      <c r="P8" s="29">
        <v>38397504</v>
      </c>
      <c r="Q8" s="29">
        <v>1199922</v>
      </c>
      <c r="R8" s="29">
        <v>411215.1875</v>
      </c>
      <c r="S8" s="30">
        <v>4325400</v>
      </c>
      <c r="T8" s="30">
        <v>1899336</v>
      </c>
      <c r="U8" s="30">
        <v>492040</v>
      </c>
      <c r="V8" s="30">
        <v>1933560</v>
      </c>
      <c r="W8" s="31">
        <v>70.786365625000002</v>
      </c>
      <c r="X8" s="31">
        <v>73.612215625000005</v>
      </c>
      <c r="Y8" s="31">
        <v>38.450990625000003</v>
      </c>
      <c r="Z8" s="31">
        <v>47.599978125</v>
      </c>
      <c r="AA8" s="31">
        <v>47.384306250000002</v>
      </c>
      <c r="AB8" s="32">
        <v>6238.08</v>
      </c>
      <c r="AC8" s="32">
        <v>5169</v>
      </c>
      <c r="AD8" s="32">
        <v>8.6120000000000001</v>
      </c>
      <c r="AE8" s="32">
        <v>22.346</v>
      </c>
      <c r="AG8" s="27">
        <f t="shared" si="7"/>
        <v>3.5804024999999999</v>
      </c>
      <c r="AH8" s="28">
        <f t="shared" si="8"/>
        <v>0.15298204747323393</v>
      </c>
      <c r="AI8" s="28">
        <f t="shared" si="9"/>
        <v>9.0028252698519065E-2</v>
      </c>
      <c r="AJ8" s="28">
        <f t="shared" si="10"/>
        <v>7.2447656439238672E-2</v>
      </c>
      <c r="AK8" s="28">
        <f t="shared" si="11"/>
        <v>6.2934567349484605E-2</v>
      </c>
      <c r="AL8" s="25">
        <f t="shared" si="12"/>
        <v>2247496</v>
      </c>
      <c r="AM8" s="28">
        <f t="shared" si="13"/>
        <v>0.1466406035128584</v>
      </c>
      <c r="AN8" s="29">
        <v>26043919</v>
      </c>
      <c r="AO8" s="29">
        <v>813872.46875</v>
      </c>
      <c r="AP8" s="29">
        <v>24933.6875</v>
      </c>
      <c r="AQ8" s="30">
        <v>3819096</v>
      </c>
      <c r="AR8" s="30">
        <v>1808608</v>
      </c>
      <c r="AS8" s="30">
        <v>438888</v>
      </c>
      <c r="AT8" s="30">
        <v>1571120</v>
      </c>
      <c r="AU8" s="31">
        <v>70.797706250000005</v>
      </c>
      <c r="AV8" s="31">
        <v>73.331156250000006</v>
      </c>
      <c r="AW8" s="31">
        <v>38.72625</v>
      </c>
      <c r="AX8" s="31">
        <v>48.146503125000002</v>
      </c>
      <c r="AY8" s="31">
        <v>48.046862500000003</v>
      </c>
      <c r="AZ8" s="32">
        <v>4354.07</v>
      </c>
      <c r="BA8" s="32">
        <v>5957.11</v>
      </c>
      <c r="BB8" s="32">
        <v>7.6970000000000001</v>
      </c>
      <c r="BC8" s="32">
        <v>27.004000000000001</v>
      </c>
      <c r="BE8" s="33">
        <f t="shared" si="14"/>
        <v>-0.31206573300432466</v>
      </c>
      <c r="BF8" s="33">
        <f t="shared" si="15"/>
        <v>3.5620829638745022E-2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outlineLevel="1" x14ac:dyDescent="0.3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8.3790449999999996</v>
      </c>
      <c r="J9" s="38">
        <f t="shared" si="1"/>
        <v>0.35801658052980451</v>
      </c>
      <c r="K9" s="38">
        <f t="shared" si="2"/>
        <v>0.14335231200374968</v>
      </c>
      <c r="L9" s="38">
        <f t="shared" si="3"/>
        <v>0.12364259885730611</v>
      </c>
      <c r="M9" s="38">
        <f t="shared" si="4"/>
        <v>0.21464568201499892</v>
      </c>
      <c r="N9" s="35">
        <f t="shared" si="5"/>
        <v>3578696</v>
      </c>
      <c r="O9" s="38">
        <f t="shared" si="6"/>
        <v>0.23276637981468795</v>
      </c>
      <c r="P9" s="39">
        <v>38397504</v>
      </c>
      <c r="Q9" s="39">
        <v>1199922</v>
      </c>
      <c r="R9" s="39">
        <v>405252.71875</v>
      </c>
      <c r="S9" s="40">
        <v>8937648</v>
      </c>
      <c r="T9" s="40">
        <v>3086656</v>
      </c>
      <c r="U9" s="40">
        <v>492040</v>
      </c>
      <c r="V9" s="40">
        <v>5358488</v>
      </c>
      <c r="W9" s="41">
        <v>71.592465625000003</v>
      </c>
      <c r="X9" s="41">
        <v>74.695543749999999</v>
      </c>
      <c r="Y9" s="41">
        <v>41.154290625000002</v>
      </c>
      <c r="Z9" s="41">
        <v>49.258656250000001</v>
      </c>
      <c r="AA9" s="41">
        <v>49.373762499999998</v>
      </c>
      <c r="AB9" s="42">
        <v>6218.89</v>
      </c>
      <c r="AC9" s="42">
        <v>5588.61</v>
      </c>
      <c r="AD9" s="42">
        <v>8.1530000000000005</v>
      </c>
      <c r="AE9" s="42">
        <v>22.79</v>
      </c>
      <c r="AG9" s="37">
        <f t="shared" si="7"/>
        <v>7.5909449999999996</v>
      </c>
      <c r="AH9" s="38">
        <f t="shared" si="8"/>
        <v>0.32434294980989081</v>
      </c>
      <c r="AI9" s="38">
        <f t="shared" si="9"/>
        <v>0.15414947264179735</v>
      </c>
      <c r="AJ9" s="38">
        <f t="shared" si="10"/>
        <v>0.11731164864315866</v>
      </c>
      <c r="AK9" s="38">
        <f t="shared" si="11"/>
        <v>0.17017424974286324</v>
      </c>
      <c r="AL9" s="35">
        <f t="shared" si="12"/>
        <v>3848240</v>
      </c>
      <c r="AM9" s="38">
        <f t="shared" si="13"/>
        <v>0.32335463590132252</v>
      </c>
      <c r="AN9" s="39">
        <v>25040643</v>
      </c>
      <c r="AO9" s="39">
        <v>782520.09375</v>
      </c>
      <c r="AP9" s="39">
        <v>10525.34375</v>
      </c>
      <c r="AQ9" s="40">
        <v>8097008</v>
      </c>
      <c r="AR9" s="40">
        <v>2928608</v>
      </c>
      <c r="AS9" s="40">
        <v>919632</v>
      </c>
      <c r="AT9" s="40">
        <v>4248288</v>
      </c>
      <c r="AU9" s="41">
        <v>72.046912500000005</v>
      </c>
      <c r="AV9" s="41">
        <v>75.239984375000006</v>
      </c>
      <c r="AW9" s="41">
        <v>41.158309375000002</v>
      </c>
      <c r="AX9" s="41">
        <v>49.566081250000003</v>
      </c>
      <c r="AY9" s="41">
        <v>49.604275000000001</v>
      </c>
      <c r="AZ9" s="42">
        <v>4221.8999999999996</v>
      </c>
      <c r="BA9" s="42">
        <v>6280.42</v>
      </c>
      <c r="BB9" s="42">
        <v>7.0359999999999996</v>
      </c>
      <c r="BC9" s="42">
        <v>27.484000000000002</v>
      </c>
      <c r="BE9" s="43">
        <f t="shared" si="14"/>
        <v>-0.32428197843994144</v>
      </c>
      <c r="BF9" s="43">
        <f t="shared" si="15"/>
        <v>7.4860005460867685E-2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2.1251699999999998</v>
      </c>
      <c r="J10" s="28">
        <f t="shared" si="1"/>
        <v>0.1000604331384415</v>
      </c>
      <c r="K10" s="28">
        <f t="shared" si="2"/>
        <v>7.1930398468950649E-2</v>
      </c>
      <c r="L10" s="28">
        <f t="shared" si="3"/>
        <v>3.8202960089365655E-2</v>
      </c>
      <c r="M10" s="28">
        <f t="shared" si="4"/>
        <v>2.8109553348742291E-2</v>
      </c>
      <c r="N10" s="25">
        <f t="shared" si="5"/>
        <v>1629568</v>
      </c>
      <c r="O10" s="28">
        <f t="shared" si="6"/>
        <v>6.607252784151324E-2</v>
      </c>
      <c r="P10" s="29">
        <v>34308480</v>
      </c>
      <c r="Q10" s="29">
        <v>1072140</v>
      </c>
      <c r="R10" s="29">
        <v>438708.59375</v>
      </c>
      <c r="S10" s="30">
        <v>2266848</v>
      </c>
      <c r="T10" s="30">
        <v>865480</v>
      </c>
      <c r="U10" s="30">
        <v>764088</v>
      </c>
      <c r="V10" s="30">
        <v>636816</v>
      </c>
      <c r="W10" s="31">
        <v>65.978640624999997</v>
      </c>
      <c r="X10" s="31">
        <v>68.100650000000002</v>
      </c>
      <c r="Y10" s="31">
        <v>30.762599999999999</v>
      </c>
      <c r="Z10" s="31">
        <v>38.336424999999998</v>
      </c>
      <c r="AA10" s="31">
        <v>29.873790625000002</v>
      </c>
      <c r="AB10" s="32">
        <v>5699.89</v>
      </c>
      <c r="AC10" s="32">
        <v>4863.51</v>
      </c>
      <c r="AD10" s="32">
        <v>8.0839999999999996</v>
      </c>
      <c r="AE10" s="32">
        <v>21.949000000000002</v>
      </c>
      <c r="AG10" s="27">
        <f t="shared" si="7"/>
        <v>2.0946899999999999</v>
      </c>
      <c r="AH10" s="28">
        <f t="shared" si="8"/>
        <v>9.862532818116293E-2</v>
      </c>
      <c r="AI10" s="28">
        <f t="shared" si="9"/>
        <v>7.1739710310257138E-2</v>
      </c>
      <c r="AJ10" s="28">
        <f t="shared" si="10"/>
        <v>3.9494695801404286E-2</v>
      </c>
      <c r="AK10" s="28">
        <f t="shared" si="11"/>
        <v>2.6864430297717627E-2</v>
      </c>
      <c r="AL10" s="25">
        <f t="shared" si="12"/>
        <v>1625248</v>
      </c>
      <c r="AM10" s="28">
        <f t="shared" si="13"/>
        <v>0.10679279258007812</v>
      </c>
      <c r="AN10" s="29">
        <v>20922161</v>
      </c>
      <c r="AO10" s="29">
        <v>653817.53125</v>
      </c>
      <c r="AP10" s="29">
        <v>19494.9375</v>
      </c>
      <c r="AQ10" s="30">
        <v>2234336</v>
      </c>
      <c r="AR10" s="30">
        <v>894744</v>
      </c>
      <c r="AS10" s="30">
        <v>730504</v>
      </c>
      <c r="AT10" s="30">
        <v>608608</v>
      </c>
      <c r="AU10" s="31">
        <v>65.964271874999994</v>
      </c>
      <c r="AV10" s="31">
        <v>67.864968750000003</v>
      </c>
      <c r="AW10" s="31">
        <v>31.110006250000001</v>
      </c>
      <c r="AX10" s="31">
        <v>38.609443749999997</v>
      </c>
      <c r="AY10" s="31">
        <v>30.079318749999999</v>
      </c>
      <c r="AZ10" s="32">
        <v>4520.1400000000003</v>
      </c>
      <c r="BA10" s="32">
        <v>6373.17</v>
      </c>
      <c r="BB10" s="32">
        <v>6.4020000000000001</v>
      </c>
      <c r="BC10" s="32">
        <v>30.184999999999999</v>
      </c>
      <c r="BE10" s="33">
        <f t="shared" si="14"/>
        <v>-0.37937256020774712</v>
      </c>
      <c r="BF10" s="33">
        <f t="shared" si="15"/>
        <v>8.5268673939495887E-3</v>
      </c>
      <c r="BG10" s="33">
        <f t="array" ref="BG10">AVERAGE(AL10:AL14/AQ10:AQ14) - AVERAGE(N10:N14/S10:S14)</f>
        <v>2.5296226122207166E-2</v>
      </c>
      <c r="BI10" s="34">
        <f>IF( OR(ISBLANK(N10:N14),ISBLANK(AL10:AL14), ISBLANK(W10:W14),ISBLANK(AU10:AU14)), "·", bdRateExtend( N10:N14,W10:W14, AL10:AL14,AU10:AU14))</f>
        <v>-1.0339218031181763E-2</v>
      </c>
      <c r="BJ10" s="34">
        <f>IF( OR(ISBLANK(N10:N14),ISBLANK(AL10:AL14), ISBLANK(X10:X14),ISBLANK(AV10:AV14)), "·", bdRateExtend( N10:N14,X10:X14, AL10:AL14,AV10:AV14))</f>
        <v>2.1541235917301726E-2</v>
      </c>
      <c r="BK10" s="34">
        <f>IF( OR(ISBLANK(V10:V14),ISBLANK(AT10:AT14), ISBLANK(Y10:Y14),ISBLANK(AW10:AW14)), "·", bdRateExtend( V10:V14,Y10:Y14, AT10:AT14,AW10:AW14))</f>
        <v>-0.14269230816337974</v>
      </c>
      <c r="BL10" s="34">
        <f>IF( OR(ISBLANK(V10:V14),ISBLANK(AT10:AT14), ISBLANK(Z10:Z14),ISBLANK(AX10:AX14)), "·", bdRateExtend( V10:V14,Z10:Z14, AT10:AT14,AX10:AX14))</f>
        <v>-0.20684951558971554</v>
      </c>
      <c r="BM10" s="34">
        <f>IF( OR(ISBLANK(V10:V14),ISBLANK(AT10:AT14), ISBLANK(AA10:AA14),ISBLANK(AY10:AY14)), "·", bdRateExtend( V10:V14,AA10:AA14, AT10:AT14,AY10:AY14))</f>
        <v>-0.13601435369365</v>
      </c>
      <c r="BO10" s="34">
        <f>IF( OR(ISBLANK(S10:S14),ISBLANK(AQ10:AQ14), ISBLANK(W10:W14),ISBLANK(AU10:AU14)), "·", bdRateExtend( S10:S14,W10:W14, AQ10:AQ14,AU10:AU14))</f>
        <v>-4.8862314884140168E-2</v>
      </c>
      <c r="BP10" s="34">
        <f>IF( OR(ISBLANK(S10:S14),ISBLANK(AQ10:AQ14), ISBLANK(X10:X14),ISBLANK(AV10:AV14)), "·", bdRateExtend( S10:S14,X10:X14, AQ10:AQ14,AV10:AV14))</f>
        <v>-2.9220865195385137E-3</v>
      </c>
      <c r="BQ10" s="34">
        <f>IF( OR(ISBLANK(S10:S14),ISBLANK(AQ10:AQ14), ISBLANK(Y10:Y14),ISBLANK(AW10:AW14)), "·", bdRateExtend( S10:S14,Y10:Y14, AQ10:AQ14,AW10:AW14))</f>
        <v>-8.1582251183259902E-2</v>
      </c>
      <c r="BR10" s="34">
        <f>IF( OR(ISBLANK(S10:S14),ISBLANK(AQ10:AQ14), ISBLANK(Z10:Z14),ISBLANK(AX10:AX14)), "·", bdRateExtend( S10:S14,Z10:Z14, AQ10:AQ14,AX10:AX14))</f>
        <v>-0.13254809659476907</v>
      </c>
      <c r="BS10" s="34">
        <f>IF( OR(ISBLANK(S10:S14),ISBLANK(AQ10:AQ14), ISBLANK(AA10:AA14),ISBLANK(AY10:AY14)), "·", bdRateExtend( S10:S14,AA10:AA14, AQ10:AQ14,AY10:AY14))</f>
        <v>-7.8328333151912011E-2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2.9279475000000001</v>
      </c>
      <c r="J11" s="18">
        <f t="shared" si="1"/>
        <v>0.13785800432747355</v>
      </c>
      <c r="K11" s="18">
        <f t="shared" si="2"/>
        <v>8.7392030003016138E-2</v>
      </c>
      <c r="L11" s="18">
        <f t="shared" si="3"/>
        <v>5.3664591623431145E-2</v>
      </c>
      <c r="M11" s="18">
        <f t="shared" si="4"/>
        <v>5.044549300370884E-2</v>
      </c>
      <c r="N11" s="15">
        <f t="shared" si="5"/>
        <v>1979848</v>
      </c>
      <c r="O11" s="18">
        <f t="shared" si="6"/>
        <v>9.1031255246516313E-2</v>
      </c>
      <c r="P11" s="19">
        <v>34308480</v>
      </c>
      <c r="Q11" s="19">
        <v>1072140</v>
      </c>
      <c r="R11" s="19">
        <v>395187.53125</v>
      </c>
      <c r="S11" s="20">
        <v>3123144</v>
      </c>
      <c r="T11" s="20">
        <v>1215760</v>
      </c>
      <c r="U11" s="20">
        <v>764088</v>
      </c>
      <c r="V11" s="20">
        <v>1142832</v>
      </c>
      <c r="W11" s="21">
        <v>67.702078125</v>
      </c>
      <c r="X11" s="21">
        <v>69.947428125000002</v>
      </c>
      <c r="Y11" s="21">
        <v>32.676840624999997</v>
      </c>
      <c r="Z11" s="21">
        <v>39.478581249999998</v>
      </c>
      <c r="AA11" s="21">
        <v>32.16026875</v>
      </c>
      <c r="AB11" s="22">
        <v>5697.63</v>
      </c>
      <c r="AC11" s="22">
        <v>5237.55</v>
      </c>
      <c r="AD11" s="22">
        <v>7.9569999999999999</v>
      </c>
      <c r="AE11" s="22">
        <v>22.059000000000001</v>
      </c>
      <c r="AG11" s="17">
        <f t="shared" si="7"/>
        <v>2.8417724999999998</v>
      </c>
      <c r="AH11" s="18">
        <f t="shared" si="8"/>
        <v>0.1338005840619394</v>
      </c>
      <c r="AI11" s="18">
        <f t="shared" si="9"/>
        <v>8.668860257316896E-2</v>
      </c>
      <c r="AJ11" s="18">
        <f t="shared" si="10"/>
        <v>5.4443588064316116E-2</v>
      </c>
      <c r="AK11" s="18">
        <f t="shared" si="11"/>
        <v>4.7090793915582262E-2</v>
      </c>
      <c r="AL11" s="15">
        <f t="shared" si="12"/>
        <v>1963912</v>
      </c>
      <c r="AM11" s="18">
        <f t="shared" si="13"/>
        <v>0.13519810567152277</v>
      </c>
      <c r="AN11" s="19">
        <v>22420610</v>
      </c>
      <c r="AO11" s="19">
        <v>700644.0625</v>
      </c>
      <c r="AP11" s="19">
        <v>24865.21875</v>
      </c>
      <c r="AQ11" s="20">
        <v>3031224</v>
      </c>
      <c r="AR11" s="20">
        <v>1233408</v>
      </c>
      <c r="AS11" s="20">
        <v>730504</v>
      </c>
      <c r="AT11" s="20">
        <v>1066832</v>
      </c>
      <c r="AU11" s="21">
        <v>67.688396874999995</v>
      </c>
      <c r="AV11" s="21">
        <v>69.747328124999996</v>
      </c>
      <c r="AW11" s="21">
        <v>32.972578124999998</v>
      </c>
      <c r="AX11" s="21">
        <v>39.676993750000001</v>
      </c>
      <c r="AY11" s="21">
        <v>32.356859374999999</v>
      </c>
      <c r="AZ11" s="22">
        <v>4230.79</v>
      </c>
      <c r="BA11" s="22">
        <v>6891.89</v>
      </c>
      <c r="BB11" s="22">
        <v>6.6609999999999996</v>
      </c>
      <c r="BC11" s="22">
        <v>30.928999999999998</v>
      </c>
      <c r="BE11" s="23">
        <f t="shared" si="14"/>
        <v>-0.33310785951836624</v>
      </c>
      <c r="BF11" s="23">
        <f t="shared" si="15"/>
        <v>1.396618960364604E-2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4.2119625000000003</v>
      </c>
      <c r="J12" s="28">
        <f t="shared" si="1"/>
        <v>0.19831391941015208</v>
      </c>
      <c r="K12" s="28">
        <f t="shared" si="2"/>
        <v>0.10998327991490012</v>
      </c>
      <c r="L12" s="28">
        <f t="shared" si="3"/>
        <v>7.6255841535315116E-2</v>
      </c>
      <c r="M12" s="28">
        <f t="shared" si="4"/>
        <v>8.8310158174503411E-2</v>
      </c>
      <c r="N12" s="25">
        <f t="shared" si="5"/>
        <v>2491648</v>
      </c>
      <c r="O12" s="28">
        <f t="shared" si="6"/>
        <v>0.13095188128416066</v>
      </c>
      <c r="P12" s="29">
        <v>34308480</v>
      </c>
      <c r="Q12" s="29">
        <v>1072140</v>
      </c>
      <c r="R12" s="29">
        <v>387576.71875</v>
      </c>
      <c r="S12" s="30">
        <v>4492760</v>
      </c>
      <c r="T12" s="30">
        <v>1727560</v>
      </c>
      <c r="U12" s="30">
        <v>764088</v>
      </c>
      <c r="V12" s="30">
        <v>2000648</v>
      </c>
      <c r="W12" s="31">
        <v>69.048775000000006</v>
      </c>
      <c r="X12" s="31">
        <v>71.616512499999999</v>
      </c>
      <c r="Y12" s="31">
        <v>34.753162500000002</v>
      </c>
      <c r="Z12" s="31">
        <v>40.447934375000003</v>
      </c>
      <c r="AA12" s="31">
        <v>34.064371874999999</v>
      </c>
      <c r="AB12" s="32">
        <v>5691.03</v>
      </c>
      <c r="AC12" s="32">
        <v>5586.45</v>
      </c>
      <c r="AD12" s="32">
        <v>7.867</v>
      </c>
      <c r="AE12" s="32">
        <v>22.995999999999999</v>
      </c>
      <c r="AG12" s="27">
        <f t="shared" si="7"/>
        <v>4.0162050000000002</v>
      </c>
      <c r="AH12" s="28">
        <f t="shared" si="8"/>
        <v>0.18909697194707928</v>
      </c>
      <c r="AI12" s="28">
        <f t="shared" si="9"/>
        <v>0.10842493390691037</v>
      </c>
      <c r="AJ12" s="28">
        <f t="shared" si="10"/>
        <v>7.6179919398057516E-2</v>
      </c>
      <c r="AK12" s="28">
        <f t="shared" si="11"/>
        <v>8.0650850466980728E-2</v>
      </c>
      <c r="AL12" s="25">
        <f t="shared" si="12"/>
        <v>2456344</v>
      </c>
      <c r="AM12" s="28">
        <f t="shared" si="13"/>
        <v>0.18798461211986006</v>
      </c>
      <c r="AN12" s="29">
        <v>22788844</v>
      </c>
      <c r="AO12" s="29">
        <v>712151.375</v>
      </c>
      <c r="AP12" s="29">
        <v>26439.4375</v>
      </c>
      <c r="AQ12" s="30">
        <v>4283952</v>
      </c>
      <c r="AR12" s="30">
        <v>1725840</v>
      </c>
      <c r="AS12" s="30">
        <v>730504</v>
      </c>
      <c r="AT12" s="30">
        <v>1827128</v>
      </c>
      <c r="AU12" s="31">
        <v>69.049475000000001</v>
      </c>
      <c r="AV12" s="31">
        <v>71.393259375</v>
      </c>
      <c r="AW12" s="31">
        <v>35.019659375000003</v>
      </c>
      <c r="AX12" s="31">
        <v>40.725065624999999</v>
      </c>
      <c r="AY12" s="31">
        <v>34.284574999999997</v>
      </c>
      <c r="AZ12" s="32">
        <v>4266.41</v>
      </c>
      <c r="BA12" s="32">
        <v>7177.05</v>
      </c>
      <c r="BB12" s="32">
        <v>6.7110000000000003</v>
      </c>
      <c r="BC12" s="32">
        <v>31.408999999999999</v>
      </c>
      <c r="BE12" s="33">
        <f t="shared" si="14"/>
        <v>-0.32437208778929777</v>
      </c>
      <c r="BF12" s="33">
        <f t="shared" si="15"/>
        <v>1.8790876110749366E-2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6.9183824999999999</v>
      </c>
      <c r="J13" s="18">
        <f t="shared" si="1"/>
        <v>0.3257416345833104</v>
      </c>
      <c r="K13" s="18">
        <f t="shared" si="2"/>
        <v>0.15037597569326291</v>
      </c>
      <c r="L13" s="18">
        <f t="shared" si="3"/>
        <v>0.11664853731367791</v>
      </c>
      <c r="M13" s="18">
        <f t="shared" si="4"/>
        <v>0.17534517756929893</v>
      </c>
      <c r="N13" s="15">
        <f t="shared" si="5"/>
        <v>3406736</v>
      </c>
      <c r="O13" s="18">
        <f t="shared" si="6"/>
        <v>0.21509574309325274</v>
      </c>
      <c r="P13" s="19">
        <v>34308480</v>
      </c>
      <c r="Q13" s="19">
        <v>1072140</v>
      </c>
      <c r="R13" s="19">
        <v>360032.21875</v>
      </c>
      <c r="S13" s="20">
        <v>7379608</v>
      </c>
      <c r="T13" s="20">
        <v>2642648</v>
      </c>
      <c r="U13" s="20">
        <v>764088</v>
      </c>
      <c r="V13" s="20">
        <v>3972408</v>
      </c>
      <c r="W13" s="21">
        <v>70.040359374999994</v>
      </c>
      <c r="X13" s="21">
        <v>72.801649999999995</v>
      </c>
      <c r="Y13" s="21">
        <v>37.028540624999998</v>
      </c>
      <c r="Z13" s="21">
        <v>41.521828124999999</v>
      </c>
      <c r="AA13" s="21">
        <v>36.086593749999999</v>
      </c>
      <c r="AB13" s="22">
        <v>5728.05</v>
      </c>
      <c r="AC13" s="22">
        <v>6054.2</v>
      </c>
      <c r="AD13" s="22">
        <v>7.9969999999999999</v>
      </c>
      <c r="AE13" s="22">
        <v>24.064</v>
      </c>
      <c r="AG13" s="17">
        <f t="shared" si="7"/>
        <v>6.5089499999999996</v>
      </c>
      <c r="AH13" s="18">
        <f t="shared" si="8"/>
        <v>0.30646412111805588</v>
      </c>
      <c r="AI13" s="18">
        <f t="shared" si="9"/>
        <v>0.14831830921047201</v>
      </c>
      <c r="AJ13" s="18">
        <f t="shared" si="10"/>
        <v>0.11607329470161916</v>
      </c>
      <c r="AK13" s="18">
        <f t="shared" si="11"/>
        <v>0.1581246243343957</v>
      </c>
      <c r="AL13" s="15">
        <f t="shared" si="12"/>
        <v>3360120</v>
      </c>
      <c r="AM13" s="18">
        <f t="shared" si="13"/>
        <v>0.29230050408920444</v>
      </c>
      <c r="AN13" s="19">
        <v>23752542</v>
      </c>
      <c r="AO13" s="19">
        <v>742266.9375</v>
      </c>
      <c r="AP13" s="19">
        <v>30458.15625</v>
      </c>
      <c r="AQ13" s="20">
        <v>6942880</v>
      </c>
      <c r="AR13" s="20">
        <v>2629616</v>
      </c>
      <c r="AS13" s="20">
        <v>730504</v>
      </c>
      <c r="AT13" s="20">
        <v>3582280</v>
      </c>
      <c r="AU13" s="21">
        <v>70.030603124999999</v>
      </c>
      <c r="AV13" s="21">
        <v>72.561171874999999</v>
      </c>
      <c r="AW13" s="21">
        <v>37.213606249999998</v>
      </c>
      <c r="AX13" s="21">
        <v>41.784290624999997</v>
      </c>
      <c r="AY13" s="21">
        <v>36.286212499999998</v>
      </c>
      <c r="AZ13" s="22">
        <v>4472.6899999999996</v>
      </c>
      <c r="BA13" s="22">
        <v>7547.32</v>
      </c>
      <c r="BB13" s="22">
        <v>6.907</v>
      </c>
      <c r="BC13" s="22">
        <v>32.338999999999999</v>
      </c>
      <c r="BE13" s="23">
        <f t="shared" si="14"/>
        <v>-0.29477312895773577</v>
      </c>
      <c r="BF13" s="23">
        <f t="shared" si="15"/>
        <v>2.2324442941899891E-2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outlineLevel="1" x14ac:dyDescent="0.3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13.882574999999999</v>
      </c>
      <c r="J14" s="48">
        <f t="shared" si="1"/>
        <v>0.65364016411717629</v>
      </c>
      <c r="K14" s="48">
        <f t="shared" si="2"/>
        <v>0.22195713233082859</v>
      </c>
      <c r="L14" s="48">
        <f t="shared" si="3"/>
        <v>0.18822969395124359</v>
      </c>
      <c r="M14" s="48">
        <f t="shared" si="4"/>
        <v>0.43166255046559915</v>
      </c>
      <c r="N14" s="45">
        <f t="shared" si="5"/>
        <v>5028392</v>
      </c>
      <c r="O14" s="48">
        <f t="shared" si="6"/>
        <v>0.43161574048165352</v>
      </c>
      <c r="P14" s="49">
        <v>34308480</v>
      </c>
      <c r="Q14" s="49">
        <v>1072140</v>
      </c>
      <c r="R14" s="49">
        <v>355691.5</v>
      </c>
      <c r="S14" s="50">
        <v>14808080</v>
      </c>
      <c r="T14" s="50">
        <v>4264304</v>
      </c>
      <c r="U14" s="50">
        <v>764088</v>
      </c>
      <c r="V14" s="50">
        <v>9779224</v>
      </c>
      <c r="W14" s="51">
        <v>70.889271875000006</v>
      </c>
      <c r="X14" s="51">
        <v>73.918015624999995</v>
      </c>
      <c r="Y14" s="51">
        <v>39.771796875</v>
      </c>
      <c r="Z14" s="51">
        <v>42.946290625000003</v>
      </c>
      <c r="AA14" s="51">
        <v>38.522521875000002</v>
      </c>
      <c r="AB14" s="52">
        <v>5719.64</v>
      </c>
      <c r="AC14" s="52">
        <v>6612.35</v>
      </c>
      <c r="AD14" s="52">
        <v>8.0709999999999997</v>
      </c>
      <c r="AE14" s="52">
        <v>25.46</v>
      </c>
      <c r="AG14" s="47">
        <f t="shared" si="7"/>
        <v>13.180642499999999</v>
      </c>
      <c r="AH14" s="48">
        <f t="shared" si="8"/>
        <v>0.62059072807961269</v>
      </c>
      <c r="AI14" s="48">
        <f t="shared" si="9"/>
        <v>0.2497527564701662</v>
      </c>
      <c r="AJ14" s="48">
        <f t="shared" si="10"/>
        <v>0.1869545551715357</v>
      </c>
      <c r="AK14" s="48">
        <f t="shared" si="11"/>
        <v>0.37081678403625828</v>
      </c>
      <c r="AL14" s="45">
        <f t="shared" si="12"/>
        <v>5658096</v>
      </c>
      <c r="AM14" s="48">
        <f t="shared" si="13"/>
        <v>0.62462489679441591</v>
      </c>
      <c r="AN14" s="49">
        <v>22508472</v>
      </c>
      <c r="AO14" s="49">
        <v>703389.75</v>
      </c>
      <c r="AP14" s="49">
        <v>13989.71875</v>
      </c>
      <c r="AQ14" s="50">
        <v>14059352</v>
      </c>
      <c r="AR14" s="50">
        <v>4235416</v>
      </c>
      <c r="AS14" s="50">
        <v>1422680</v>
      </c>
      <c r="AT14" s="50">
        <v>8400776</v>
      </c>
      <c r="AU14" s="51">
        <v>71.218100000000007</v>
      </c>
      <c r="AV14" s="51">
        <v>74.730703125000005</v>
      </c>
      <c r="AW14" s="51">
        <v>39.646131250000003</v>
      </c>
      <c r="AX14" s="51">
        <v>43.088418750000002</v>
      </c>
      <c r="AY14" s="51">
        <v>38.527559375000003</v>
      </c>
      <c r="AZ14" s="52">
        <v>4167.25</v>
      </c>
      <c r="BA14" s="52">
        <v>8673.83</v>
      </c>
      <c r="BB14" s="52">
        <v>7.3410000000000002</v>
      </c>
      <c r="BC14" s="52">
        <v>40.332000000000001</v>
      </c>
      <c r="BE14" s="53">
        <f t="shared" si="14"/>
        <v>-0.31186944570795599</v>
      </c>
      <c r="BF14" s="53">
        <f t="shared" si="15"/>
        <v>6.2872754560790112E-2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2.1590025000000002</v>
      </c>
      <c r="J15" s="18">
        <f t="shared" si="1"/>
        <v>6.7837726235383478E-2</v>
      </c>
      <c r="K15" s="18">
        <f t="shared" si="2"/>
        <v>5.3821113984745601E-2</v>
      </c>
      <c r="L15" s="18">
        <f t="shared" si="3"/>
        <v>2.7602680097672545E-2</v>
      </c>
      <c r="M15" s="18">
        <f t="shared" si="4"/>
        <v>1.4002944174333015E-2</v>
      </c>
      <c r="N15" s="15">
        <f t="shared" si="5"/>
        <v>1827104</v>
      </c>
      <c r="O15" s="18">
        <f t="shared" si="6"/>
        <v>4.5048847374723554E-2</v>
      </c>
      <c r="P15" s="19">
        <v>51120864</v>
      </c>
      <c r="Q15" s="19">
        <v>1597527</v>
      </c>
      <c r="R15" s="19">
        <v>606958.90625</v>
      </c>
      <c r="S15" s="20">
        <v>2302936</v>
      </c>
      <c r="T15" s="20">
        <v>937048</v>
      </c>
      <c r="U15" s="20">
        <v>890056</v>
      </c>
      <c r="V15" s="20">
        <v>475368</v>
      </c>
      <c r="W15" s="21">
        <v>66.425537500000004</v>
      </c>
      <c r="X15" s="21">
        <v>68.164009375000006</v>
      </c>
      <c r="Y15" s="21">
        <v>28.628343749999999</v>
      </c>
      <c r="Z15" s="21">
        <v>42.734821875000002</v>
      </c>
      <c r="AA15" s="21">
        <v>42.949824999999997</v>
      </c>
      <c r="AB15" s="22">
        <v>8502.92</v>
      </c>
      <c r="AC15" s="22">
        <v>4867.05</v>
      </c>
      <c r="AD15" s="22">
        <v>10.573</v>
      </c>
      <c r="AE15" s="22">
        <v>23.460999999999999</v>
      </c>
      <c r="AG15" s="17">
        <f t="shared" si="7"/>
        <v>2.0009100000000002</v>
      </c>
      <c r="AH15" s="18">
        <f t="shared" si="8"/>
        <v>6.2870323124517527E-2</v>
      </c>
      <c r="AI15" s="18">
        <f t="shared" si="9"/>
        <v>5.0764649335192424E-2</v>
      </c>
      <c r="AJ15" s="18">
        <f t="shared" si="10"/>
        <v>2.6397297161476364E-2</v>
      </c>
      <c r="AK15" s="18">
        <f t="shared" si="11"/>
        <v>1.2091534400044209E-2</v>
      </c>
      <c r="AL15" s="15">
        <f t="shared" si="12"/>
        <v>1723344</v>
      </c>
      <c r="AM15" s="18">
        <f t="shared" si="13"/>
        <v>6.5623046040031857E-2</v>
      </c>
      <c r="AN15" s="19">
        <v>32523696</v>
      </c>
      <c r="AO15" s="19">
        <v>1016365.5</v>
      </c>
      <c r="AP15" s="19">
        <v>34573</v>
      </c>
      <c r="AQ15" s="20">
        <v>2134304</v>
      </c>
      <c r="AR15" s="20">
        <v>896128</v>
      </c>
      <c r="AS15" s="20">
        <v>827216</v>
      </c>
      <c r="AT15" s="20">
        <v>410480</v>
      </c>
      <c r="AU15" s="21">
        <v>66.386921874999999</v>
      </c>
      <c r="AV15" s="21">
        <v>67.997512499999999</v>
      </c>
      <c r="AW15" s="21">
        <v>29.264875</v>
      </c>
      <c r="AX15" s="21">
        <v>43.246731250000003</v>
      </c>
      <c r="AY15" s="21">
        <v>43.583284374999998</v>
      </c>
      <c r="AZ15" s="22">
        <v>5076.72</v>
      </c>
      <c r="BA15" s="22">
        <v>5378.39</v>
      </c>
      <c r="BB15" s="22">
        <v>9.0739999999999998</v>
      </c>
      <c r="BC15" s="22">
        <v>28.274999999999999</v>
      </c>
      <c r="BE15" s="23">
        <f t="shared" si="14"/>
        <v>-0.34592024970354274</v>
      </c>
      <c r="BF15" s="23">
        <f t="shared" si="15"/>
        <v>1.4069833891702799E-2</v>
      </c>
      <c r="BG15" s="23">
        <f t="array" ref="BG15">AVERAGE(AL15:AL19/AQ15:AQ19) - AVERAGE(N15:N19/S15:S19)</f>
        <v>4.1356303919698023E-2</v>
      </c>
      <c r="BI15" s="24">
        <f>IF( OR(ISBLANK(N15:N19),ISBLANK(AL15:AL19), ISBLANK(W15:W19),ISBLANK(AU15:AU19)), "·", bdRateExtend( N15:N19,W15:W19, AL15:AL19,AU15:AU19))</f>
        <v>-7.5438138315560122E-2</v>
      </c>
      <c r="BJ15" s="24">
        <f>IF( OR(ISBLANK(N15:N19),ISBLANK(AL15:AL19), ISBLANK(X15:X19),ISBLANK(AV15:AV19)), "·", bdRateExtend( N15:N19,X15:X19, AL15:AL19,AV15:AV19))</f>
        <v>-5.0720914223292279E-2</v>
      </c>
      <c r="BK15" s="24">
        <f>IF( OR(ISBLANK(V15:V19),ISBLANK(AT15:AT19), ISBLANK(Y15:Y19),ISBLANK(AW15:AW19)), "·", bdRateExtend( V15:V19,Y15:Y19, AT15:AT19,AW15:AW19))</f>
        <v>-0.32125352518011785</v>
      </c>
      <c r="BL15" s="24">
        <f>IF( OR(ISBLANK(V15:V19),ISBLANK(AT15:AT19), ISBLANK(Z15:Z19),ISBLANK(AX15:AX19)), "·", bdRateExtend( V15:V19,Z15:Z19, AT15:AT19,AX15:AX19))</f>
        <v>-0.39769488654499197</v>
      </c>
      <c r="BM15" s="24">
        <f>IF( OR(ISBLANK(V15:V19),ISBLANK(AT15:AT19), ISBLANK(AA15:AA19),ISBLANK(AY15:AY19)), "·", bdRateExtend( V15:V19,AA15:AA19, AT15:AT19,AY15:AY19))</f>
        <v>-0.42097048286494942</v>
      </c>
      <c r="BO15" s="24">
        <f>IF( OR(ISBLANK(S15:S19),ISBLANK(AQ15:AQ19), ISBLANK(W15:W19),ISBLANK(AU15:AU19)), "·", bdRateExtend( S15:S19,W15:W19, AQ15:AQ19,AU15:AU19))</f>
        <v>-0.14295305270119374</v>
      </c>
      <c r="BP15" s="24">
        <f>IF( OR(ISBLANK(S15:S19),ISBLANK(AQ15:AQ19), ISBLANK(X15:X19),ISBLANK(AV15:AV19)), "·", bdRateExtend( S15:S19,X15:X19, AQ15:AQ19,AV15:AV19))</f>
        <v>-0.10220466088566094</v>
      </c>
      <c r="BQ15" s="24">
        <f>IF( OR(ISBLANK(S15:S19),ISBLANK(AQ15:AQ19), ISBLANK(Y15:Y19),ISBLANK(AW15:AW19)), "·", bdRateExtend( S15:S19,Y15:Y19, AQ15:AQ19,AW15:AW19))</f>
        <v>-0.20334249070396371</v>
      </c>
      <c r="BR15" s="24">
        <f>IF( OR(ISBLANK(S15:S19),ISBLANK(AQ15:AQ19), ISBLANK(Z15:Z19),ISBLANK(AX15:AX19)), "·", bdRateExtend( S15:S19,Z15:Z19, AQ15:AQ19,AX15:AX19))</f>
        <v>-0.27421100232783013</v>
      </c>
      <c r="BS15" s="24">
        <f>IF( OR(ISBLANK(S15:S19),ISBLANK(AQ15:AQ19), ISBLANK(AA15:AA19),ISBLANK(AY15:AY19)), "·", bdRateExtend( S15:S19,AA15:AA19, AQ15:AQ19,AY15:AY19))</f>
        <v>-0.2967570535401759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2.8798050000000002</v>
      </c>
      <c r="J16" s="28">
        <f t="shared" si="1"/>
        <v>9.0485964329030888E-2</v>
      </c>
      <c r="K16" s="28">
        <f t="shared" si="2"/>
        <v>6.3376041947797487E-2</v>
      </c>
      <c r="L16" s="28">
        <f t="shared" si="3"/>
        <v>3.7157608060724434E-2</v>
      </c>
      <c r="M16" s="28">
        <f t="shared" si="4"/>
        <v>2.7096254304928537E-2</v>
      </c>
      <c r="N16" s="25">
        <f t="shared" si="5"/>
        <v>2151472</v>
      </c>
      <c r="O16" s="28">
        <f t="shared" si="6"/>
        <v>6.0088812270465537E-2</v>
      </c>
      <c r="P16" s="29">
        <v>51120864</v>
      </c>
      <c r="Q16" s="29">
        <v>1597527</v>
      </c>
      <c r="R16" s="29">
        <v>566602.0625</v>
      </c>
      <c r="S16" s="30">
        <v>3071792</v>
      </c>
      <c r="T16" s="30">
        <v>1261416</v>
      </c>
      <c r="U16" s="30">
        <v>890056</v>
      </c>
      <c r="V16" s="30">
        <v>919856</v>
      </c>
      <c r="W16" s="31">
        <v>68.084424999999996</v>
      </c>
      <c r="X16" s="31">
        <v>70.249306250000004</v>
      </c>
      <c r="Y16" s="31">
        <v>31.034953125000001</v>
      </c>
      <c r="Z16" s="31">
        <v>43.757487500000003</v>
      </c>
      <c r="AA16" s="31">
        <v>44.112868749999997</v>
      </c>
      <c r="AB16" s="32">
        <v>8444.42</v>
      </c>
      <c r="AC16" s="32">
        <v>5245.49</v>
      </c>
      <c r="AD16" s="32">
        <v>10.38</v>
      </c>
      <c r="AE16" s="32">
        <v>23.681000000000001</v>
      </c>
      <c r="AG16" s="27">
        <f t="shared" si="7"/>
        <v>2.5722974999999999</v>
      </c>
      <c r="AH16" s="28">
        <f t="shared" si="8"/>
        <v>8.0823812663932224E-2</v>
      </c>
      <c r="AI16" s="28">
        <f t="shared" si="9"/>
        <v>5.907790326289384E-2</v>
      </c>
      <c r="AJ16" s="28">
        <f t="shared" si="10"/>
        <v>3.4710551089177775E-2</v>
      </c>
      <c r="AK16" s="28">
        <f t="shared" si="11"/>
        <v>2.1731770011757492E-2</v>
      </c>
      <c r="AL16" s="25">
        <f t="shared" si="12"/>
        <v>2005560</v>
      </c>
      <c r="AM16" s="28">
        <f t="shared" si="13"/>
        <v>8.046663058287061E-2</v>
      </c>
      <c r="AN16" s="29">
        <v>34098408</v>
      </c>
      <c r="AO16" s="29">
        <v>1065575.25</v>
      </c>
      <c r="AP16" s="29">
        <v>40281.5</v>
      </c>
      <c r="AQ16" s="30">
        <v>2743784</v>
      </c>
      <c r="AR16" s="30">
        <v>1178344</v>
      </c>
      <c r="AS16" s="30">
        <v>827216</v>
      </c>
      <c r="AT16" s="30">
        <v>737744</v>
      </c>
      <c r="AU16" s="31">
        <v>68.101581249999995</v>
      </c>
      <c r="AV16" s="31">
        <v>70.121399999999994</v>
      </c>
      <c r="AW16" s="31">
        <v>31.679615625</v>
      </c>
      <c r="AX16" s="31">
        <v>43.969490624999999</v>
      </c>
      <c r="AY16" s="31">
        <v>44.250634374999997</v>
      </c>
      <c r="AZ16" s="32">
        <v>4848.84</v>
      </c>
      <c r="BA16" s="32">
        <v>5799.56</v>
      </c>
      <c r="BB16" s="32">
        <v>10.119999999999999</v>
      </c>
      <c r="BC16" s="32">
        <v>29.7</v>
      </c>
      <c r="BE16" s="33">
        <f t="shared" si="14"/>
        <v>-0.3168718968358914</v>
      </c>
      <c r="BF16" s="33">
        <f t="shared" si="15"/>
        <v>3.0550369905457564E-2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4.2141525</v>
      </c>
      <c r="J17" s="18">
        <f t="shared" si="1"/>
        <v>0.13241231708122472</v>
      </c>
      <c r="K17" s="18">
        <f t="shared" si="2"/>
        <v>7.557409308042444E-2</v>
      </c>
      <c r="L17" s="18">
        <f t="shared" si="3"/>
        <v>4.935565919335138E-2</v>
      </c>
      <c r="M17" s="18">
        <f t="shared" si="4"/>
        <v>5.6824555924495423E-2</v>
      </c>
      <c r="N17" s="15">
        <f t="shared" si="5"/>
        <v>2565568</v>
      </c>
      <c r="O17" s="18">
        <f t="shared" si="6"/>
        <v>8.7930751718124325E-2</v>
      </c>
      <c r="P17" s="19">
        <v>51120864</v>
      </c>
      <c r="Q17" s="19">
        <v>1597527</v>
      </c>
      <c r="R17" s="19">
        <v>566627.625</v>
      </c>
      <c r="S17" s="20">
        <v>4495096</v>
      </c>
      <c r="T17" s="20">
        <v>1675512</v>
      </c>
      <c r="U17" s="20">
        <v>890056</v>
      </c>
      <c r="V17" s="20">
        <v>1929064</v>
      </c>
      <c r="W17" s="21">
        <v>69.439965624999999</v>
      </c>
      <c r="X17" s="21">
        <v>72.068056249999998</v>
      </c>
      <c r="Y17" s="21">
        <v>33.56994375</v>
      </c>
      <c r="Z17" s="21">
        <v>44.740665624999998</v>
      </c>
      <c r="AA17" s="21">
        <v>45.127359374999997</v>
      </c>
      <c r="AB17" s="22">
        <v>8487.36</v>
      </c>
      <c r="AC17" s="22">
        <v>5526.94</v>
      </c>
      <c r="AD17" s="22">
        <v>10.898999999999999</v>
      </c>
      <c r="AE17" s="22">
        <v>25.085000000000001</v>
      </c>
      <c r="AG17" s="17">
        <f t="shared" si="7"/>
        <v>3.5621024999999999</v>
      </c>
      <c r="AH17" s="18">
        <f t="shared" si="8"/>
        <v>0.11192434201320985</v>
      </c>
      <c r="AI17" s="18">
        <f t="shared" si="9"/>
        <v>6.9147976308746292E-2</v>
      </c>
      <c r="AJ17" s="18">
        <f t="shared" si="10"/>
        <v>4.4780624135030228E-2</v>
      </c>
      <c r="AK17" s="18">
        <f t="shared" si="11"/>
        <v>4.2762226315182658E-2</v>
      </c>
      <c r="AL17" s="15">
        <f t="shared" si="12"/>
        <v>2347416</v>
      </c>
      <c r="AM17" s="18">
        <f t="shared" si="13"/>
        <v>0.11095576219900548</v>
      </c>
      <c r="AN17" s="19">
        <v>34244062</v>
      </c>
      <c r="AO17" s="19">
        <v>1070126.9375</v>
      </c>
      <c r="AP17" s="19">
        <v>41416.84375</v>
      </c>
      <c r="AQ17" s="20">
        <v>3799576</v>
      </c>
      <c r="AR17" s="20">
        <v>1520200</v>
      </c>
      <c r="AS17" s="20">
        <v>827216</v>
      </c>
      <c r="AT17" s="20">
        <v>1451680</v>
      </c>
      <c r="AU17" s="21">
        <v>69.444721874999999</v>
      </c>
      <c r="AV17" s="21">
        <v>71.859571875</v>
      </c>
      <c r="AW17" s="21">
        <v>34.128753125000003</v>
      </c>
      <c r="AX17" s="21">
        <v>45.224303124999999</v>
      </c>
      <c r="AY17" s="21">
        <v>45.659125000000003</v>
      </c>
      <c r="AZ17" s="22">
        <v>5327.4</v>
      </c>
      <c r="BA17" s="22">
        <v>6260.22</v>
      </c>
      <c r="BB17" s="22">
        <v>11.513999999999999</v>
      </c>
      <c r="BC17" s="22">
        <v>34.412999999999997</v>
      </c>
      <c r="BE17" s="23">
        <f t="shared" si="14"/>
        <v>-0.31598774492594678</v>
      </c>
      <c r="BF17" s="23">
        <f t="shared" si="15"/>
        <v>4.7061776280416412E-2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7.5921750000000001</v>
      </c>
      <c r="J18" s="28">
        <f t="shared" si="1"/>
        <v>0.238552706252597</v>
      </c>
      <c r="K18" s="28">
        <f t="shared" si="2"/>
        <v>0.10534481286783401</v>
      </c>
      <c r="L18" s="28">
        <f t="shared" si="3"/>
        <v>7.9126378980760942E-2</v>
      </c>
      <c r="M18" s="28">
        <f t="shared" si="4"/>
        <v>0.13319422530845815</v>
      </c>
      <c r="N18" s="25">
        <f t="shared" si="5"/>
        <v>3576216</v>
      </c>
      <c r="O18" s="28">
        <f t="shared" si="6"/>
        <v>0.15841516293621327</v>
      </c>
      <c r="P18" s="29">
        <v>51120864</v>
      </c>
      <c r="Q18" s="29">
        <v>1597527</v>
      </c>
      <c r="R18" s="29">
        <v>529089.5</v>
      </c>
      <c r="S18" s="30">
        <v>8098320</v>
      </c>
      <c r="T18" s="30">
        <v>2686160</v>
      </c>
      <c r="U18" s="30">
        <v>890056</v>
      </c>
      <c r="V18" s="30">
        <v>4521640</v>
      </c>
      <c r="W18" s="31">
        <v>70.4699375</v>
      </c>
      <c r="X18" s="31">
        <v>73.352843750000005</v>
      </c>
      <c r="Y18" s="31">
        <v>36.140324999999997</v>
      </c>
      <c r="Z18" s="31">
        <v>46.032003125000003</v>
      </c>
      <c r="AA18" s="31">
        <v>46.388118749999997</v>
      </c>
      <c r="AB18" s="32">
        <v>8449.98</v>
      </c>
      <c r="AC18" s="32">
        <v>6062.68</v>
      </c>
      <c r="AD18" s="32">
        <v>9.9809999999999999</v>
      </c>
      <c r="AE18" s="32">
        <v>24.384</v>
      </c>
      <c r="AG18" s="27">
        <f t="shared" si="7"/>
        <v>6.3922724999999998</v>
      </c>
      <c r="AH18" s="28">
        <f t="shared" si="8"/>
        <v>0.20085073170455817</v>
      </c>
      <c r="AI18" s="28">
        <f t="shared" si="9"/>
        <v>9.6967696031880546E-2</v>
      </c>
      <c r="AJ18" s="28">
        <f t="shared" si="10"/>
        <v>7.2600343858164482E-2</v>
      </c>
      <c r="AK18" s="28">
        <f t="shared" si="11"/>
        <v>0.10386889628339672</v>
      </c>
      <c r="AL18" s="25">
        <f t="shared" si="12"/>
        <v>3291832</v>
      </c>
      <c r="AM18" s="28">
        <f t="shared" si="13"/>
        <v>0.19143619711524881</v>
      </c>
      <c r="AN18" s="29">
        <v>35617214</v>
      </c>
      <c r="AO18" s="29">
        <v>1113037.9375</v>
      </c>
      <c r="AP18" s="29">
        <v>46682.59375</v>
      </c>
      <c r="AQ18" s="30">
        <v>6818424</v>
      </c>
      <c r="AR18" s="30">
        <v>2464616</v>
      </c>
      <c r="AS18" s="30">
        <v>827216</v>
      </c>
      <c r="AT18" s="30">
        <v>3526112</v>
      </c>
      <c r="AU18" s="31">
        <v>70.503553124999996</v>
      </c>
      <c r="AV18" s="31">
        <v>73.141296874999995</v>
      </c>
      <c r="AW18" s="31">
        <v>36.484928125000003</v>
      </c>
      <c r="AX18" s="31">
        <v>46.496287500000001</v>
      </c>
      <c r="AY18" s="31">
        <v>47.021078125000003</v>
      </c>
      <c r="AZ18" s="32">
        <v>4934.75</v>
      </c>
      <c r="BA18" s="32">
        <v>6805.23</v>
      </c>
      <c r="BB18" s="32">
        <v>10.058</v>
      </c>
      <c r="BC18" s="32">
        <v>31.422999999999998</v>
      </c>
      <c r="BE18" s="33">
        <f t="shared" si="14"/>
        <v>-0.28925123582064649</v>
      </c>
      <c r="BF18" s="33">
        <f t="shared" si="15"/>
        <v>4.1185138942626376E-2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outlineLevel="1" x14ac:dyDescent="0.3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17.283194999999999</v>
      </c>
      <c r="J19" s="38">
        <f t="shared" si="1"/>
        <v>0.54305293805021004</v>
      </c>
      <c r="K19" s="38">
        <f t="shared" si="2"/>
        <v>0.15583963552424937</v>
      </c>
      <c r="L19" s="38">
        <f t="shared" si="3"/>
        <v>0.12962120163717633</v>
      </c>
      <c r="M19" s="38">
        <f t="shared" si="4"/>
        <v>0.38719963444965577</v>
      </c>
      <c r="N19" s="35">
        <f t="shared" si="5"/>
        <v>5290400</v>
      </c>
      <c r="O19" s="38">
        <f t="shared" si="6"/>
        <v>0.36062395189564872</v>
      </c>
      <c r="P19" s="39">
        <v>51120864</v>
      </c>
      <c r="Q19" s="39">
        <v>1597527</v>
      </c>
      <c r="R19" s="39">
        <v>526070.71875</v>
      </c>
      <c r="S19" s="40">
        <v>18435408</v>
      </c>
      <c r="T19" s="40">
        <v>4400344</v>
      </c>
      <c r="U19" s="40">
        <v>890056</v>
      </c>
      <c r="V19" s="40">
        <v>13144544</v>
      </c>
      <c r="W19" s="41">
        <v>71.324031250000004</v>
      </c>
      <c r="X19" s="41">
        <v>74.469003125</v>
      </c>
      <c r="Y19" s="41">
        <v>38.806540624999997</v>
      </c>
      <c r="Z19" s="41">
        <v>47.894512499999998</v>
      </c>
      <c r="AA19" s="41">
        <v>48.341228125000001</v>
      </c>
      <c r="AB19" s="42">
        <v>8481.14</v>
      </c>
      <c r="AC19" s="42">
        <v>6839.43</v>
      </c>
      <c r="AD19" s="42">
        <v>10.417999999999999</v>
      </c>
      <c r="AE19" s="42">
        <v>27.588000000000001</v>
      </c>
      <c r="AG19" s="37">
        <f t="shared" si="7"/>
        <v>14.816205</v>
      </c>
      <c r="AH19" s="38">
        <f t="shared" si="8"/>
        <v>0.46553797813449493</v>
      </c>
      <c r="AI19" s="38">
        <f t="shared" si="9"/>
        <v>0.16800516606153026</v>
      </c>
      <c r="AJ19" s="38">
        <f t="shared" si="10"/>
        <v>0.11774057979390544</v>
      </c>
      <c r="AK19" s="38">
        <f t="shared" si="11"/>
        <v>0.29751867268368376</v>
      </c>
      <c r="AL19" s="35">
        <f t="shared" si="12"/>
        <v>5703392</v>
      </c>
      <c r="AM19" s="38">
        <f t="shared" si="13"/>
        <v>0.46935298911851503</v>
      </c>
      <c r="AN19" s="39">
        <v>33671783</v>
      </c>
      <c r="AO19" s="39">
        <v>1052243.21875</v>
      </c>
      <c r="AP19" s="39">
        <v>20401.53125</v>
      </c>
      <c r="AQ19" s="40">
        <v>15803952</v>
      </c>
      <c r="AR19" s="40">
        <v>3997024</v>
      </c>
      <c r="AS19" s="40">
        <v>1706368</v>
      </c>
      <c r="AT19" s="40">
        <v>10100080</v>
      </c>
      <c r="AU19" s="41">
        <v>71.550134374999999</v>
      </c>
      <c r="AV19" s="41">
        <v>75.140709375</v>
      </c>
      <c r="AW19" s="41">
        <v>38.807453125000002</v>
      </c>
      <c r="AX19" s="41">
        <v>48.244996874999998</v>
      </c>
      <c r="AY19" s="41">
        <v>48.837115625000003</v>
      </c>
      <c r="AZ19" s="42">
        <v>4740.05</v>
      </c>
      <c r="BA19" s="42">
        <v>7823.25</v>
      </c>
      <c r="BB19" s="42">
        <v>10.157999999999999</v>
      </c>
      <c r="BC19" s="42">
        <v>37.499000000000002</v>
      </c>
      <c r="BE19" s="43">
        <f t="shared" si="14"/>
        <v>-0.30991457048099802</v>
      </c>
      <c r="BF19" s="43">
        <f t="shared" si="15"/>
        <v>7.3914400578287354E-2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2.7141625</v>
      </c>
      <c r="J20" s="28">
        <f t="shared" si="1"/>
        <v>5.3929936447914058E-2</v>
      </c>
      <c r="K20" s="28">
        <f t="shared" si="2"/>
        <v>3.9823601894625159E-2</v>
      </c>
      <c r="L20" s="28">
        <f t="shared" si="3"/>
        <v>2.1211287563789514E-2</v>
      </c>
      <c r="M20" s="28">
        <f t="shared" si="4"/>
        <v>1.4091928929482392E-2</v>
      </c>
      <c r="N20" s="25">
        <f t="shared" si="5"/>
        <v>1282704</v>
      </c>
      <c r="O20" s="28">
        <f t="shared" si="6"/>
        <v>4.2319092423636462E-2</v>
      </c>
      <c r="P20" s="29">
        <v>41046816</v>
      </c>
      <c r="Q20" s="29">
        <v>1282713</v>
      </c>
      <c r="R20" s="29">
        <v>345533.03125</v>
      </c>
      <c r="S20" s="30">
        <v>1737064</v>
      </c>
      <c r="T20" s="30">
        <v>683208</v>
      </c>
      <c r="U20" s="30">
        <v>599496</v>
      </c>
      <c r="V20" s="30">
        <v>453896</v>
      </c>
      <c r="W20" s="31">
        <v>67.154799999999994</v>
      </c>
      <c r="X20" s="31">
        <v>68.903968750000004</v>
      </c>
      <c r="Y20" s="31">
        <v>29.709675000000001</v>
      </c>
      <c r="Z20" s="31">
        <v>38.940715625000003</v>
      </c>
      <c r="AA20" s="31">
        <v>37.535378125000001</v>
      </c>
      <c r="AB20" s="32">
        <v>8118.94</v>
      </c>
      <c r="AC20" s="32">
        <v>4282.8100000000004</v>
      </c>
      <c r="AD20" s="32">
        <v>9.0429999999999993</v>
      </c>
      <c r="AE20" s="32">
        <v>21.675999999999998</v>
      </c>
      <c r="AG20" s="27">
        <f t="shared" si="7"/>
        <v>2.2681624999999999</v>
      </c>
      <c r="AH20" s="28">
        <f t="shared" si="8"/>
        <v>4.5067994078667684E-2</v>
      </c>
      <c r="AI20" s="28">
        <f t="shared" si="9"/>
        <v>3.3365411718472009E-2</v>
      </c>
      <c r="AJ20" s="28">
        <f t="shared" si="10"/>
        <v>1.8870125322407331E-2</v>
      </c>
      <c r="AK20" s="28">
        <f t="shared" si="11"/>
        <v>1.1687679990740661E-2</v>
      </c>
      <c r="AL20" s="25">
        <f t="shared" si="12"/>
        <v>1074688</v>
      </c>
      <c r="AM20" s="28">
        <f t="shared" si="13"/>
        <v>4.7127885942791797E-2</v>
      </c>
      <c r="AN20" s="29">
        <v>30801806</v>
      </c>
      <c r="AO20" s="29">
        <v>962556.4375</v>
      </c>
      <c r="AP20" s="29">
        <v>28246.0625</v>
      </c>
      <c r="AQ20" s="30">
        <v>1451624</v>
      </c>
      <c r="AR20" s="30">
        <v>607800</v>
      </c>
      <c r="AS20" s="30">
        <v>466888</v>
      </c>
      <c r="AT20" s="30">
        <v>376456</v>
      </c>
      <c r="AU20" s="31">
        <v>67.130621875000003</v>
      </c>
      <c r="AV20" s="31">
        <v>68.790568750000006</v>
      </c>
      <c r="AW20" s="31">
        <v>30.040628125000001</v>
      </c>
      <c r="AX20" s="31">
        <v>39.385453124999998</v>
      </c>
      <c r="AY20" s="31">
        <v>38.009237499999998</v>
      </c>
      <c r="AZ20" s="32">
        <v>5850.08</v>
      </c>
      <c r="BA20" s="32">
        <v>4291.75</v>
      </c>
      <c r="BB20" s="32">
        <v>8.42</v>
      </c>
      <c r="BC20" s="32">
        <v>23.879000000000001</v>
      </c>
      <c r="BE20" s="33">
        <f t="shared" si="14"/>
        <v>-0.24003189050349019</v>
      </c>
      <c r="BF20" s="33">
        <f t="shared" si="15"/>
        <v>1.9027576265743251E-3</v>
      </c>
      <c r="BG20" s="33">
        <f t="array" ref="BG20">AVERAGE(AL20:AL24/AQ20:AQ24) - AVERAGE(N20:N24/S20:S24)</f>
        <v>7.0693114914113231E-3</v>
      </c>
      <c r="BI20" s="34">
        <f>IF( OR(ISBLANK(N20:N24),ISBLANK(AL20:AL24), ISBLANK(W20:W24),ISBLANK(AU20:AU24)), "·", bdRateExtend( N20:N24,W20:W24, AL20:AL24,AU20:AU24))</f>
        <v>-0.17848541304856302</v>
      </c>
      <c r="BJ20" s="34">
        <f>IF( OR(ISBLANK(N20:N24),ISBLANK(AL20:AL24), ISBLANK(X20:X24),ISBLANK(AV20:AV24)), "·", bdRateExtend( N20:N24,X20:X24, AL20:AL24,AV20:AV24))</f>
        <v>-0.16146094367376385</v>
      </c>
      <c r="BK20" s="34">
        <f>IF( OR(ISBLANK(V20:V24),ISBLANK(AT20:AT24), ISBLANK(Y20:Y24),ISBLANK(AW20:AW24)), "·", bdRateExtend( V20:V24,Y20:Y24, AT20:AT24,AW20:AW24))</f>
        <v>-0.2266518630032317</v>
      </c>
      <c r="BL20" s="34">
        <f>IF( OR(ISBLANK(V20:V24),ISBLANK(AT20:AT24), ISBLANK(Z20:Z24),ISBLANK(AX20:AX24)), "·", bdRateExtend( V20:V24,Z20:Z24, AT20:AT24,AX20:AX24))</f>
        <v>-0.26986066287484167</v>
      </c>
      <c r="BM20" s="34">
        <f>IF( OR(ISBLANK(V20:V24),ISBLANK(AT20:AT24), ISBLANK(AA20:AA24),ISBLANK(AY20:AY24)), "·", bdRateExtend( V20:V24,AA20:AA24, AT20:AT24,AY20:AY24))</f>
        <v>-0.25227770861241861</v>
      </c>
      <c r="BO20" s="34">
        <f>IF( OR(ISBLANK(S20:S24),ISBLANK(AQ20:AQ24), ISBLANK(W20:W24),ISBLANK(AU20:AU24)), "·", bdRateExtend( S20:S24,W20:W24, AQ20:AQ24,AU20:AU24))</f>
        <v>-0.19004056717277196</v>
      </c>
      <c r="BP20" s="34">
        <f>IF( OR(ISBLANK(S20:S24),ISBLANK(AQ20:AQ24), ISBLANK(X20:X24),ISBLANK(AV20:AV24)), "·", bdRateExtend( S20:S24,X20:X24, AQ20:AQ24,AV20:AV24))</f>
        <v>-0.15596801989963804</v>
      </c>
      <c r="BQ20" s="34">
        <f>IF( OR(ISBLANK(S20:S24),ISBLANK(AQ20:AQ24), ISBLANK(Y20:Y24),ISBLANK(AW20:AW24)), "·", bdRateExtend( S20:S24,Y20:Y24, AQ20:AQ24,AW20:AW24))</f>
        <v>-0.20083297245553788</v>
      </c>
      <c r="BR20" s="34">
        <f>IF( OR(ISBLANK(S20:S24),ISBLANK(AQ20:AQ24), ISBLANK(Z20:Z24),ISBLANK(AX20:AX24)), "·", bdRateExtend( S20:S24,Z20:Z24, AQ20:AQ24,AX20:AX24))</f>
        <v>-0.23244189104009716</v>
      </c>
      <c r="BS20" s="34">
        <f>IF( OR(ISBLANK(S20:S24),ISBLANK(AQ20:AQ24), ISBLANK(AA20:AA24),ISBLANK(AY20:AY24)), "·", bdRateExtend( S20:S24,AA20:AA24, AQ20:AQ24,AY20:AY24))</f>
        <v>-0.21366149196566286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3.75285</v>
      </c>
      <c r="J21" s="18">
        <f t="shared" si="1"/>
        <v>7.4568476278982665E-2</v>
      </c>
      <c r="K21" s="18">
        <f t="shared" si="2"/>
        <v>4.6838395569922961E-2</v>
      </c>
      <c r="L21" s="18">
        <f t="shared" si="3"/>
        <v>2.8226081239087313E-2</v>
      </c>
      <c r="M21" s="18">
        <f t="shared" si="4"/>
        <v>2.7715675085253196E-2</v>
      </c>
      <c r="N21" s="15">
        <f t="shared" si="5"/>
        <v>1508648</v>
      </c>
      <c r="O21" s="18">
        <f t="shared" si="6"/>
        <v>5.8514258450643286E-2</v>
      </c>
      <c r="P21" s="19">
        <v>41046816</v>
      </c>
      <c r="Q21" s="19">
        <v>1282713</v>
      </c>
      <c r="R21" s="19">
        <v>324984.78125</v>
      </c>
      <c r="S21" s="20">
        <v>2401824</v>
      </c>
      <c r="T21" s="20">
        <v>909152</v>
      </c>
      <c r="U21" s="20">
        <v>599496</v>
      </c>
      <c r="V21" s="20">
        <v>892712</v>
      </c>
      <c r="W21" s="21">
        <v>68.735328124999995</v>
      </c>
      <c r="X21" s="21">
        <v>70.927406250000004</v>
      </c>
      <c r="Y21" s="21">
        <v>31.288103124999999</v>
      </c>
      <c r="Z21" s="21">
        <v>40.322678125000003</v>
      </c>
      <c r="AA21" s="21">
        <v>39.042246874999996</v>
      </c>
      <c r="AB21" s="22">
        <v>8128.12</v>
      </c>
      <c r="AC21" s="22">
        <v>4592.6000000000004</v>
      </c>
      <c r="AD21" s="22">
        <v>8.8970000000000002</v>
      </c>
      <c r="AE21" s="22">
        <v>21.588000000000001</v>
      </c>
      <c r="AG21" s="17">
        <f t="shared" si="7"/>
        <v>3.1077374999999998</v>
      </c>
      <c r="AH21" s="18">
        <f t="shared" si="8"/>
        <v>6.1750203192255188E-2</v>
      </c>
      <c r="AI21" s="18">
        <f t="shared" si="9"/>
        <v>3.8931446709918514E-2</v>
      </c>
      <c r="AJ21" s="18">
        <f t="shared" si="10"/>
        <v>2.4436160313853837E-2</v>
      </c>
      <c r="AK21" s="18">
        <f t="shared" si="11"/>
        <v>2.2803854112881661E-2</v>
      </c>
      <c r="AL21" s="15">
        <f t="shared" si="12"/>
        <v>1253968</v>
      </c>
      <c r="AM21" s="18">
        <f t="shared" si="13"/>
        <v>6.288654699090096E-2</v>
      </c>
      <c r="AN21" s="19">
        <v>31627623</v>
      </c>
      <c r="AO21" s="19">
        <v>988363.21875</v>
      </c>
      <c r="AP21" s="19">
        <v>32272.96875</v>
      </c>
      <c r="AQ21" s="20">
        <v>1988952</v>
      </c>
      <c r="AR21" s="20">
        <v>787080</v>
      </c>
      <c r="AS21" s="20">
        <v>466888</v>
      </c>
      <c r="AT21" s="20">
        <v>734504</v>
      </c>
      <c r="AU21" s="21">
        <v>68.791021874999998</v>
      </c>
      <c r="AV21" s="21">
        <v>70.898106249999998</v>
      </c>
      <c r="AW21" s="21">
        <v>31.562603124999999</v>
      </c>
      <c r="AX21" s="21">
        <v>40.492534374999998</v>
      </c>
      <c r="AY21" s="21">
        <v>39.295643750000004</v>
      </c>
      <c r="AZ21" s="22">
        <v>5453.5</v>
      </c>
      <c r="BA21" s="22">
        <v>4472.05</v>
      </c>
      <c r="BB21" s="22">
        <v>8.2050000000000001</v>
      </c>
      <c r="BC21" s="22">
        <v>23.643999999999998</v>
      </c>
      <c r="BE21" s="23">
        <f t="shared" si="14"/>
        <v>-0.22070441759091872</v>
      </c>
      <c r="BF21" s="23">
        <f t="shared" si="15"/>
        <v>2.3407404344196747E-3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6.0911749999999998</v>
      </c>
      <c r="J22" s="28">
        <f t="shared" si="1"/>
        <v>0.1210305870201666</v>
      </c>
      <c r="K22" s="28">
        <f t="shared" si="2"/>
        <v>5.6166036984638422E-2</v>
      </c>
      <c r="L22" s="28">
        <f t="shared" si="3"/>
        <v>3.7553722653802774E-2</v>
      </c>
      <c r="M22" s="28">
        <f t="shared" si="4"/>
        <v>6.4850144411721669E-2</v>
      </c>
      <c r="N22" s="25">
        <f t="shared" si="5"/>
        <v>1809088</v>
      </c>
      <c r="O22" s="28">
        <f t="shared" si="6"/>
        <v>9.4973310475531161E-2</v>
      </c>
      <c r="P22" s="29">
        <v>41046816</v>
      </c>
      <c r="Q22" s="29">
        <v>1282713</v>
      </c>
      <c r="R22" s="29">
        <v>296825.9375</v>
      </c>
      <c r="S22" s="30">
        <v>3898352</v>
      </c>
      <c r="T22" s="30">
        <v>1209592</v>
      </c>
      <c r="U22" s="30">
        <v>599496</v>
      </c>
      <c r="V22" s="30">
        <v>2088800</v>
      </c>
      <c r="W22" s="31">
        <v>69.972490625000006</v>
      </c>
      <c r="X22" s="31">
        <v>72.571284375000005</v>
      </c>
      <c r="Y22" s="31">
        <v>33.362584374999997</v>
      </c>
      <c r="Z22" s="31">
        <v>41.465003125000003</v>
      </c>
      <c r="AA22" s="31">
        <v>40.3470625</v>
      </c>
      <c r="AB22" s="32">
        <v>8096.99</v>
      </c>
      <c r="AC22" s="32">
        <v>4838.5600000000004</v>
      </c>
      <c r="AD22" s="32">
        <v>9.1620000000000008</v>
      </c>
      <c r="AE22" s="32">
        <v>23.302</v>
      </c>
      <c r="AG22" s="27">
        <f t="shared" si="7"/>
        <v>5.0993250000000003</v>
      </c>
      <c r="AH22" s="28">
        <f t="shared" si="8"/>
        <v>0.10132270016156342</v>
      </c>
      <c r="AI22" s="28">
        <f t="shared" si="9"/>
        <v>4.5931089642937052E-2</v>
      </c>
      <c r="AJ22" s="28">
        <f t="shared" si="10"/>
        <v>3.1435803246872375E-2</v>
      </c>
      <c r="AK22" s="28">
        <f t="shared" si="11"/>
        <v>5.5376708149171353E-2</v>
      </c>
      <c r="AL22" s="25">
        <f t="shared" si="12"/>
        <v>1479424</v>
      </c>
      <c r="AM22" s="28">
        <f t="shared" si="13"/>
        <v>9.966121694391665E-2</v>
      </c>
      <c r="AN22" s="29">
        <v>32746620</v>
      </c>
      <c r="AO22" s="29">
        <v>1023331.875</v>
      </c>
      <c r="AP22" s="29">
        <v>34640.1875</v>
      </c>
      <c r="AQ22" s="30">
        <v>3263568</v>
      </c>
      <c r="AR22" s="30">
        <v>1012536</v>
      </c>
      <c r="AS22" s="30">
        <v>466888</v>
      </c>
      <c r="AT22" s="30">
        <v>1783664</v>
      </c>
      <c r="AU22" s="31">
        <v>70.003465625000004</v>
      </c>
      <c r="AV22" s="31">
        <v>72.449924999999993</v>
      </c>
      <c r="AW22" s="31">
        <v>33.580721875000002</v>
      </c>
      <c r="AX22" s="31">
        <v>41.718596875000003</v>
      </c>
      <c r="AY22" s="31">
        <v>40.583143749999998</v>
      </c>
      <c r="AZ22" s="32">
        <v>5387.3</v>
      </c>
      <c r="BA22" s="32">
        <v>4775.1000000000004</v>
      </c>
      <c r="BB22" s="32">
        <v>8.3360000000000003</v>
      </c>
      <c r="BC22" s="32">
        <v>24.463999999999999</v>
      </c>
      <c r="BE22" s="33">
        <f t="shared" si="14"/>
        <v>-0.19755439964886168</v>
      </c>
      <c r="BF22" s="33">
        <f t="shared" si="15"/>
        <v>-1.0749915559819079E-2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11.1282625</v>
      </c>
      <c r="J23" s="18">
        <f t="shared" si="1"/>
        <v>0.22111663888978839</v>
      </c>
      <c r="K23" s="18">
        <f t="shared" si="2"/>
        <v>7.7792603910574229E-2</v>
      </c>
      <c r="L23" s="18">
        <f t="shared" si="3"/>
        <v>5.9180289579738588E-2</v>
      </c>
      <c r="M23" s="18">
        <f t="shared" si="4"/>
        <v>0.14330962935540764</v>
      </c>
      <c r="N23" s="15">
        <f t="shared" si="5"/>
        <v>2505672</v>
      </c>
      <c r="O23" s="18">
        <f t="shared" si="6"/>
        <v>0.17351133885756206</v>
      </c>
      <c r="P23" s="19">
        <v>41046816</v>
      </c>
      <c r="Q23" s="19">
        <v>1282713</v>
      </c>
      <c r="R23" s="19">
        <v>286773.90625</v>
      </c>
      <c r="S23" s="20">
        <v>7122088</v>
      </c>
      <c r="T23" s="20">
        <v>1906176</v>
      </c>
      <c r="U23" s="20">
        <v>599496</v>
      </c>
      <c r="V23" s="20">
        <v>4615952</v>
      </c>
      <c r="W23" s="21">
        <v>70.874521874999999</v>
      </c>
      <c r="X23" s="21">
        <v>73.780212500000005</v>
      </c>
      <c r="Y23" s="21">
        <v>35.328709375000003</v>
      </c>
      <c r="Z23" s="21">
        <v>42.573974999999997</v>
      </c>
      <c r="AA23" s="21">
        <v>41.526400000000002</v>
      </c>
      <c r="AB23" s="22">
        <v>8103.67</v>
      </c>
      <c r="AC23" s="22">
        <v>5260.08</v>
      </c>
      <c r="AD23" s="22">
        <v>9.1690000000000005</v>
      </c>
      <c r="AE23" s="22">
        <v>23.559000000000001</v>
      </c>
      <c r="AG23" s="17">
        <f t="shared" si="7"/>
        <v>9.4624375000000001</v>
      </c>
      <c r="AH23" s="18">
        <f t="shared" si="8"/>
        <v>0.18801698609326406</v>
      </c>
      <c r="AI23" s="18">
        <f t="shared" si="9"/>
        <v>6.5459651322431603E-2</v>
      </c>
      <c r="AJ23" s="18">
        <f t="shared" si="10"/>
        <v>5.0964364926366926E-2</v>
      </c>
      <c r="AK23" s="18">
        <f t="shared" si="11"/>
        <v>0.12254243240137744</v>
      </c>
      <c r="AL23" s="15">
        <f t="shared" si="12"/>
        <v>2108432</v>
      </c>
      <c r="AM23" s="18">
        <f t="shared" si="13"/>
        <v>0.18323511108066587</v>
      </c>
      <c r="AN23" s="19">
        <v>33050216</v>
      </c>
      <c r="AO23" s="19">
        <v>1032819.25</v>
      </c>
      <c r="AP23" s="19">
        <v>36820.71875</v>
      </c>
      <c r="AQ23" s="20">
        <v>6055960</v>
      </c>
      <c r="AR23" s="20">
        <v>1641544</v>
      </c>
      <c r="AS23" s="20">
        <v>466888</v>
      </c>
      <c r="AT23" s="20">
        <v>3947048</v>
      </c>
      <c r="AU23" s="21">
        <v>70.935637499999999</v>
      </c>
      <c r="AV23" s="21">
        <v>73.669268750000001</v>
      </c>
      <c r="AW23" s="21">
        <v>35.489134374999999</v>
      </c>
      <c r="AX23" s="21">
        <v>42.832921874999997</v>
      </c>
      <c r="AY23" s="21">
        <v>41.608640625</v>
      </c>
      <c r="AZ23" s="22">
        <v>5143.78</v>
      </c>
      <c r="BA23" s="22">
        <v>5089.8999999999996</v>
      </c>
      <c r="BB23" s="22">
        <v>8.0210000000000008</v>
      </c>
      <c r="BC23" s="22">
        <v>24.391999999999999</v>
      </c>
      <c r="BE23" s="23">
        <f t="shared" si="14"/>
        <v>-0.18791756450896535</v>
      </c>
      <c r="BF23" s="23">
        <f t="shared" si="15"/>
        <v>-3.658873344726199E-3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outlineLevel="1" x14ac:dyDescent="0.3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21.935062500000001</v>
      </c>
      <c r="J24" s="48">
        <f t="shared" si="1"/>
        <v>0.4358458738583349</v>
      </c>
      <c r="K24" s="48">
        <f t="shared" si="2"/>
        <v>0.11350190997149519</v>
      </c>
      <c r="L24" s="48">
        <f t="shared" si="3"/>
        <v>9.4889595640659533E-2</v>
      </c>
      <c r="M24" s="48">
        <f t="shared" si="4"/>
        <v>0.32232955826303322</v>
      </c>
      <c r="N24" s="45">
        <f t="shared" si="5"/>
        <v>3655856</v>
      </c>
      <c r="O24" s="48">
        <f t="shared" si="6"/>
        <v>0.34201044972647815</v>
      </c>
      <c r="P24" s="49">
        <v>41046816</v>
      </c>
      <c r="Q24" s="49">
        <v>1282713</v>
      </c>
      <c r="R24" s="49">
        <v>277395.5</v>
      </c>
      <c r="S24" s="50">
        <v>14038440</v>
      </c>
      <c r="T24" s="50">
        <v>3056360</v>
      </c>
      <c r="U24" s="50">
        <v>599496</v>
      </c>
      <c r="V24" s="50">
        <v>10382120</v>
      </c>
      <c r="W24" s="51">
        <v>71.576503125000002</v>
      </c>
      <c r="X24" s="51">
        <v>74.740099999999998</v>
      </c>
      <c r="Y24" s="51">
        <v>37.174565625</v>
      </c>
      <c r="Z24" s="51">
        <v>43.912390625</v>
      </c>
      <c r="AA24" s="51">
        <v>42.686559375000002</v>
      </c>
      <c r="AB24" s="52">
        <v>8123.2</v>
      </c>
      <c r="AC24" s="52">
        <v>5689.26</v>
      </c>
      <c r="AD24" s="52">
        <v>8.6530000000000005</v>
      </c>
      <c r="AE24" s="52">
        <v>23.503</v>
      </c>
      <c r="AG24" s="47">
        <f t="shared" si="7"/>
        <v>18.381325</v>
      </c>
      <c r="AH24" s="48">
        <f t="shared" si="8"/>
        <v>0.36523372829683332</v>
      </c>
      <c r="AI24" s="48">
        <f t="shared" si="9"/>
        <v>0.11173573081825217</v>
      </c>
      <c r="AJ24" s="48">
        <f t="shared" si="10"/>
        <v>8.0884845572488956E-2</v>
      </c>
      <c r="AK24" s="48">
        <f t="shared" si="11"/>
        <v>0.25348309510912614</v>
      </c>
      <c r="AL24" s="45">
        <f t="shared" si="12"/>
        <v>3598968</v>
      </c>
      <c r="AM24" s="48">
        <f t="shared" si="13"/>
        <v>0.37355005837727839</v>
      </c>
      <c r="AN24" s="49">
        <v>31492561</v>
      </c>
      <c r="AO24" s="49">
        <v>984142.53125</v>
      </c>
      <c r="AP24" s="49">
        <v>17732.5</v>
      </c>
      <c r="AQ24" s="50">
        <v>11764048</v>
      </c>
      <c r="AR24" s="50">
        <v>2605272</v>
      </c>
      <c r="AS24" s="50">
        <v>993696</v>
      </c>
      <c r="AT24" s="50">
        <v>8164600</v>
      </c>
      <c r="AU24" s="51">
        <v>71.941287500000001</v>
      </c>
      <c r="AV24" s="51">
        <v>75.855562500000005</v>
      </c>
      <c r="AW24" s="51">
        <v>36.958693750000002</v>
      </c>
      <c r="AX24" s="51">
        <v>43.624099999999999</v>
      </c>
      <c r="AY24" s="51">
        <v>42.268915624999998</v>
      </c>
      <c r="AZ24" s="52">
        <v>5568.03</v>
      </c>
      <c r="BA24" s="52">
        <v>5686.58</v>
      </c>
      <c r="BB24" s="52">
        <v>7.9480000000000004</v>
      </c>
      <c r="BC24" s="52">
        <v>26.501999999999999</v>
      </c>
      <c r="BE24" s="53">
        <f t="shared" si="14"/>
        <v>-0.19823864776378033</v>
      </c>
      <c r="BF24" s="53">
        <f t="shared" si="15"/>
        <v>4.5511848300607838E-2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2.3987775</v>
      </c>
      <c r="J25" s="18">
        <f t="shared" si="1"/>
        <v>0.10108465381879117</v>
      </c>
      <c r="K25" s="18">
        <f t="shared" si="2"/>
        <v>6.3010362348773774E-2</v>
      </c>
      <c r="L25" s="18">
        <f t="shared" si="3"/>
        <v>3.5814846220873178E-2</v>
      </c>
      <c r="M25" s="18">
        <f t="shared" si="4"/>
        <v>3.8055960539194848E-2</v>
      </c>
      <c r="N25" s="15">
        <f t="shared" si="5"/>
        <v>1594944</v>
      </c>
      <c r="O25" s="18">
        <f t="shared" si="6"/>
        <v>6.7336600261399163E-2</v>
      </c>
      <c r="P25" s="19">
        <v>37998592</v>
      </c>
      <c r="Q25" s="19">
        <v>1187456</v>
      </c>
      <c r="R25" s="19">
        <v>476124.75</v>
      </c>
      <c r="S25" s="20">
        <v>2558696</v>
      </c>
      <c r="T25" s="20">
        <v>906560</v>
      </c>
      <c r="U25" s="20">
        <v>688384</v>
      </c>
      <c r="V25" s="20">
        <v>963288</v>
      </c>
      <c r="W25" s="21">
        <v>66.261456249999995</v>
      </c>
      <c r="X25" s="21">
        <v>68.19055625</v>
      </c>
      <c r="Y25" s="21">
        <v>25.717503125</v>
      </c>
      <c r="Z25" s="21">
        <v>32.209056250000003</v>
      </c>
      <c r="AA25" s="21">
        <v>31.386693749999999</v>
      </c>
      <c r="AB25" s="22">
        <v>6389.22</v>
      </c>
      <c r="AC25" s="22">
        <v>5822.62</v>
      </c>
      <c r="AD25" s="22">
        <v>8.734</v>
      </c>
      <c r="AE25" s="22">
        <v>26.606999999999999</v>
      </c>
      <c r="AG25" s="17">
        <f t="shared" si="7"/>
        <v>2.2950149999999998</v>
      </c>
      <c r="AH25" s="18">
        <f t="shared" si="8"/>
        <v>9.6712094716551664E-2</v>
      </c>
      <c r="AI25" s="18">
        <f t="shared" si="9"/>
        <v>6.1812530834679975E-2</v>
      </c>
      <c r="AJ25" s="18">
        <f t="shared" si="10"/>
        <v>3.6407757017823041E-2</v>
      </c>
      <c r="AK25" s="18">
        <f t="shared" si="11"/>
        <v>3.4880600849986301E-2</v>
      </c>
      <c r="AL25" s="15">
        <f t="shared" si="12"/>
        <v>1564624</v>
      </c>
      <c r="AM25" s="18">
        <f t="shared" si="13"/>
        <v>0.10525783076809896</v>
      </c>
      <c r="AN25" s="19">
        <v>23257329</v>
      </c>
      <c r="AO25" s="19">
        <v>726791.53125</v>
      </c>
      <c r="AP25" s="19">
        <v>18230.15625</v>
      </c>
      <c r="AQ25" s="20">
        <v>2448016</v>
      </c>
      <c r="AR25" s="20">
        <v>921568</v>
      </c>
      <c r="AS25" s="20">
        <v>643056</v>
      </c>
      <c r="AT25" s="20">
        <v>882912</v>
      </c>
      <c r="AU25" s="21">
        <v>66.245484375000004</v>
      </c>
      <c r="AV25" s="21">
        <v>68.005643750000004</v>
      </c>
      <c r="AW25" s="21">
        <v>26.014424999999999</v>
      </c>
      <c r="AX25" s="21">
        <v>32.497412500000003</v>
      </c>
      <c r="AY25" s="21">
        <v>31.713718750000002</v>
      </c>
      <c r="AZ25" s="22">
        <v>4179.3100000000004</v>
      </c>
      <c r="BA25" s="22">
        <v>6326.3</v>
      </c>
      <c r="BB25" s="22">
        <v>7.1760000000000002</v>
      </c>
      <c r="BC25" s="22">
        <v>30.731999999999999</v>
      </c>
      <c r="BE25" s="23">
        <f t="shared" si="14"/>
        <v>-0.37587895367871005</v>
      </c>
      <c r="BF25" s="23">
        <f t="shared" si="15"/>
        <v>1.5797098372952845E-2</v>
      </c>
      <c r="BG25" s="23">
        <f t="array" ref="BG25">AVERAGE(AL25:AL29/AQ25:AQ29) - AVERAGE(N25:N29/S25:S29)</f>
        <v>2.0385187364556578E-2</v>
      </c>
      <c r="BI25" s="24">
        <f>IF( OR(ISBLANK(N25:N29),ISBLANK(AL25:AL29), ISBLANK(W25:W29),ISBLANK(AU25:AU29)), "·", bdRateExtend( N25:N29,W25:W29, AL25:AL29,AU25:AU29))</f>
        <v>-1.2639740019754098E-2</v>
      </c>
      <c r="BJ25" s="24">
        <f>IF( OR(ISBLANK(N25:N29),ISBLANK(AL25:AL29), ISBLANK(X25:X29),ISBLANK(AV25:AV29)), "·", bdRateExtend( N25:N29,X25:X29, AL25:AL29,AV25:AV29))</f>
        <v>1.9542711086632414E-2</v>
      </c>
      <c r="BK25" s="24">
        <f>IF( OR(ISBLANK(V25:V29),ISBLANK(AT25:AT29), ISBLANK(Y25:Y29),ISBLANK(AW25:AW29)), "·", bdRateExtend( V25:V29,Y25:Y29, AT25:AT29,AW25:AW29))</f>
        <v>-0.13579480345894157</v>
      </c>
      <c r="BL25" s="24">
        <f>IF( OR(ISBLANK(V25:V29),ISBLANK(AT25:AT29), ISBLANK(Z25:Z29),ISBLANK(AX25:AX29)), "·", bdRateExtend( V25:V29,Z25:Z29, AT25:AT29,AX25:AX29))</f>
        <v>-0.18430423417169184</v>
      </c>
      <c r="BM25" s="24">
        <f>IF( OR(ISBLANK(V25:V29),ISBLANK(AT25:AT29), ISBLANK(AA25:AA29),ISBLANK(AY25:AY29)), "·", bdRateExtend( V25:V29,AA25:AA29, AT25:AT29,AY25:AY29))</f>
        <v>-0.17898251459634495</v>
      </c>
      <c r="BO25" s="24">
        <f>IF( OR(ISBLANK(S25:S29),ISBLANK(AQ25:AQ29), ISBLANK(W25:W29),ISBLANK(AU25:AU29)), "·", bdRateExtend( S25:S29,W25:W29, AQ25:AQ29,AU25:AU29))</f>
        <v>-6.4552200795928161E-2</v>
      </c>
      <c r="BP25" s="24">
        <f>IF( OR(ISBLANK(S25:S29),ISBLANK(AQ25:AQ29), ISBLANK(X25:X29),ISBLANK(AV25:AV29)), "·", bdRateExtend( S25:S29,X25:X29, AQ25:AQ29,AV25:AV29))</f>
        <v>2.2621861170954993E-3</v>
      </c>
      <c r="BQ25" s="24">
        <f>IF( OR(ISBLANK(S25:S29),ISBLANK(AQ25:AQ29), ISBLANK(Y25:Y29),ISBLANK(AW25:AW29)), "·", bdRateExtend( S25:S29,Y25:Y29, AQ25:AQ29,AW25:AW29))</f>
        <v>-9.3307680986114416E-2</v>
      </c>
      <c r="BR25" s="24">
        <f>IF( OR(ISBLANK(S25:S29),ISBLANK(AQ25:AQ29), ISBLANK(Z25:Z29),ISBLANK(AX25:AX29)), "·", bdRateExtend( S25:S29,Z25:Z29, AQ25:AQ29,AX25:AX29))</f>
        <v>-0.13574862391024978</v>
      </c>
      <c r="BS25" s="24">
        <f>IF( OR(ISBLANK(S25:S29),ISBLANK(AQ25:AQ29), ISBLANK(AA25:AA29),ISBLANK(AY25:AY29)), "·", bdRateExtend( S25:S29,AA25:AA29, AQ25:AQ29,AY25:AY29))</f>
        <v>-0.12993696458605175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3.7162875</v>
      </c>
      <c r="J26" s="28">
        <f t="shared" si="1"/>
        <v>0.15660461857283589</v>
      </c>
      <c r="K26" s="28">
        <f t="shared" si="2"/>
        <v>7.6947558683472542E-2</v>
      </c>
      <c r="L26" s="28">
        <f t="shared" si="3"/>
        <v>4.9752042555571953E-2</v>
      </c>
      <c r="M26" s="28">
        <f t="shared" si="4"/>
        <v>7.9638728958540808E-2</v>
      </c>
      <c r="N26" s="25">
        <f t="shared" si="5"/>
        <v>1947728</v>
      </c>
      <c r="O26" s="28">
        <f t="shared" si="6"/>
        <v>0.1043207074620028</v>
      </c>
      <c r="P26" s="29">
        <v>37998592</v>
      </c>
      <c r="Q26" s="29">
        <v>1187456</v>
      </c>
      <c r="R26" s="29">
        <v>427502.71875</v>
      </c>
      <c r="S26" s="30">
        <v>3964040</v>
      </c>
      <c r="T26" s="30">
        <v>1259344</v>
      </c>
      <c r="U26" s="30">
        <v>688384</v>
      </c>
      <c r="V26" s="30">
        <v>2015848</v>
      </c>
      <c r="W26" s="31">
        <v>68.061565625</v>
      </c>
      <c r="X26" s="31">
        <v>70.199990624999998</v>
      </c>
      <c r="Y26" s="31">
        <v>27.793040625</v>
      </c>
      <c r="Z26" s="31">
        <v>33.562824999999997</v>
      </c>
      <c r="AA26" s="31">
        <v>32.940281249999998</v>
      </c>
      <c r="AB26" s="32">
        <v>6398.72</v>
      </c>
      <c r="AC26" s="32">
        <v>6279.35</v>
      </c>
      <c r="AD26" s="32">
        <v>8.6229999999999993</v>
      </c>
      <c r="AE26" s="32">
        <v>27.242000000000001</v>
      </c>
      <c r="AG26" s="27">
        <f t="shared" si="7"/>
        <v>3.4917600000000002</v>
      </c>
      <c r="AH26" s="28">
        <f t="shared" si="8"/>
        <v>0.14714301381362058</v>
      </c>
      <c r="AI26" s="28">
        <f t="shared" si="9"/>
        <v>7.5544610374485108E-2</v>
      </c>
      <c r="AJ26" s="28">
        <f t="shared" si="10"/>
        <v>5.013983655762818E-2</v>
      </c>
      <c r="AK26" s="28">
        <f t="shared" si="11"/>
        <v>7.1579440407250075E-2</v>
      </c>
      <c r="AL26" s="25">
        <f t="shared" si="12"/>
        <v>1912216</v>
      </c>
      <c r="AM26" s="28">
        <f t="shared" si="13"/>
        <v>0.14904149583152929</v>
      </c>
      <c r="AN26" s="29">
        <v>24989980</v>
      </c>
      <c r="AO26" s="29">
        <v>780936.875</v>
      </c>
      <c r="AP26" s="29">
        <v>23153.53125</v>
      </c>
      <c r="AQ26" s="30">
        <v>3724544</v>
      </c>
      <c r="AR26" s="30">
        <v>1269160</v>
      </c>
      <c r="AS26" s="30">
        <v>643056</v>
      </c>
      <c r="AT26" s="30">
        <v>1811848</v>
      </c>
      <c r="AU26" s="31">
        <v>68.037040625000003</v>
      </c>
      <c r="AV26" s="31">
        <v>70.009081249999994</v>
      </c>
      <c r="AW26" s="31">
        <v>28.056684375</v>
      </c>
      <c r="AX26" s="31">
        <v>33.754006250000003</v>
      </c>
      <c r="AY26" s="31">
        <v>33.161700000000003</v>
      </c>
      <c r="AZ26" s="32">
        <v>4206.82</v>
      </c>
      <c r="BA26" s="32">
        <v>6819.18</v>
      </c>
      <c r="BB26" s="32">
        <v>7.5979999999999999</v>
      </c>
      <c r="BC26" s="32">
        <v>30.606999999999999</v>
      </c>
      <c r="BE26" s="33">
        <f t="shared" si="14"/>
        <v>-0.3303672259201938</v>
      </c>
      <c r="BF26" s="33">
        <f t="shared" si="15"/>
        <v>2.2060197190857056E-2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6.3624824999999996</v>
      </c>
      <c r="J27" s="18">
        <f t="shared" si="1"/>
        <v>0.26811546337274589</v>
      </c>
      <c r="K27" s="18">
        <f t="shared" si="2"/>
        <v>9.717795319986941E-2</v>
      </c>
      <c r="L27" s="18">
        <f t="shared" si="3"/>
        <v>6.9982437071968814E-2</v>
      </c>
      <c r="M27" s="18">
        <f t="shared" si="4"/>
        <v>0.17091917924205394</v>
      </c>
      <c r="N27" s="15">
        <f t="shared" si="5"/>
        <v>2459808</v>
      </c>
      <c r="O27" s="18">
        <f t="shared" si="6"/>
        <v>0.17860261769699257</v>
      </c>
      <c r="P27" s="19">
        <v>37998592</v>
      </c>
      <c r="Q27" s="19">
        <v>1187456</v>
      </c>
      <c r="R27" s="19">
        <v>422039.4375</v>
      </c>
      <c r="S27" s="20">
        <v>6786648</v>
      </c>
      <c r="T27" s="20">
        <v>1771424</v>
      </c>
      <c r="U27" s="20">
        <v>688384</v>
      </c>
      <c r="V27" s="20">
        <v>4326376</v>
      </c>
      <c r="W27" s="21">
        <v>69.41819375</v>
      </c>
      <c r="X27" s="21">
        <v>72.005674999999997</v>
      </c>
      <c r="Y27" s="21">
        <v>30.158537500000001</v>
      </c>
      <c r="Z27" s="21">
        <v>34.834140625000003</v>
      </c>
      <c r="AA27" s="21">
        <v>34.338146875</v>
      </c>
      <c r="AB27" s="22">
        <v>6392.17</v>
      </c>
      <c r="AC27" s="22">
        <v>6654.26</v>
      </c>
      <c r="AD27" s="22">
        <v>8.4649999999999999</v>
      </c>
      <c r="AE27" s="22">
        <v>27.148</v>
      </c>
      <c r="AG27" s="17">
        <f t="shared" si="7"/>
        <v>5.9363025</v>
      </c>
      <c r="AH27" s="18">
        <f t="shared" si="8"/>
        <v>0.25015620797515592</v>
      </c>
      <c r="AI27" s="18">
        <f t="shared" si="9"/>
        <v>9.5430193761099305E-2</v>
      </c>
      <c r="AJ27" s="18">
        <f t="shared" si="10"/>
        <v>7.002541994424237E-2</v>
      </c>
      <c r="AK27" s="18">
        <f t="shared" si="11"/>
        <v>0.15470705118217121</v>
      </c>
      <c r="AL27" s="15">
        <f t="shared" si="12"/>
        <v>2415568</v>
      </c>
      <c r="AM27" s="18">
        <f t="shared" si="13"/>
        <v>0.25044062050821592</v>
      </c>
      <c r="AN27" s="19">
        <v>25283662</v>
      </c>
      <c r="AO27" s="19">
        <v>790114.4375</v>
      </c>
      <c r="AP27" s="19">
        <v>24406.4375</v>
      </c>
      <c r="AQ27" s="20">
        <v>6332056</v>
      </c>
      <c r="AR27" s="20">
        <v>1772512</v>
      </c>
      <c r="AS27" s="20">
        <v>643056</v>
      </c>
      <c r="AT27" s="20">
        <v>3916008</v>
      </c>
      <c r="AU27" s="21">
        <v>69.410449999999997</v>
      </c>
      <c r="AV27" s="21">
        <v>71.751656249999996</v>
      </c>
      <c r="AW27" s="21">
        <v>30.356243750000001</v>
      </c>
      <c r="AX27" s="21">
        <v>35.031253124999999</v>
      </c>
      <c r="AY27" s="21">
        <v>34.506406249999998</v>
      </c>
      <c r="AZ27" s="22">
        <v>4001.9</v>
      </c>
      <c r="BA27" s="22">
        <v>7222.49</v>
      </c>
      <c r="BB27" s="22">
        <v>7.2359999999999998</v>
      </c>
      <c r="BC27" s="22">
        <v>31.280999999999999</v>
      </c>
      <c r="BE27" s="23">
        <f t="shared" si="14"/>
        <v>-0.3245250505639718</v>
      </c>
      <c r="BF27" s="23">
        <f t="shared" si="15"/>
        <v>1.9034264475997265E-2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12.807135000000001</v>
      </c>
      <c r="J28" s="28">
        <f t="shared" si="1"/>
        <v>0.53969357636776394</v>
      </c>
      <c r="K28" s="28">
        <f t="shared" si="2"/>
        <v>0.13170868611157027</v>
      </c>
      <c r="L28" s="28">
        <f t="shared" si="3"/>
        <v>0.10451316998366966</v>
      </c>
      <c r="M28" s="28">
        <f t="shared" si="4"/>
        <v>0.40796655932537118</v>
      </c>
      <c r="N28" s="25">
        <f t="shared" si="5"/>
        <v>3333864</v>
      </c>
      <c r="O28" s="28">
        <f t="shared" si="6"/>
        <v>0.35951184717581114</v>
      </c>
      <c r="P28" s="29">
        <v>37998592</v>
      </c>
      <c r="Q28" s="29">
        <v>1187456</v>
      </c>
      <c r="R28" s="29">
        <v>393007.71875</v>
      </c>
      <c r="S28" s="30">
        <v>13660944</v>
      </c>
      <c r="T28" s="30">
        <v>2645480</v>
      </c>
      <c r="U28" s="30">
        <v>688384</v>
      </c>
      <c r="V28" s="30">
        <v>10326616</v>
      </c>
      <c r="W28" s="31">
        <v>70.447346874999994</v>
      </c>
      <c r="X28" s="31">
        <v>73.256937500000006</v>
      </c>
      <c r="Y28" s="31">
        <v>32.760350000000003</v>
      </c>
      <c r="Z28" s="31">
        <v>36.359243749999997</v>
      </c>
      <c r="AA28" s="31">
        <v>35.864890625000001</v>
      </c>
      <c r="AB28" s="32">
        <v>6387.69</v>
      </c>
      <c r="AC28" s="32">
        <v>7206.17</v>
      </c>
      <c r="AD28" s="32">
        <v>8.4269999999999996</v>
      </c>
      <c r="AE28" s="32">
        <v>28.818999999999999</v>
      </c>
      <c r="AG28" s="27">
        <f t="shared" si="7"/>
        <v>11.93412</v>
      </c>
      <c r="AH28" s="28">
        <f t="shared" si="8"/>
        <v>0.50290466240904463</v>
      </c>
      <c r="AI28" s="28">
        <f t="shared" si="9"/>
        <v>0.1295456362745101</v>
      </c>
      <c r="AJ28" s="28">
        <f t="shared" si="10"/>
        <v>0.10414086245765318</v>
      </c>
      <c r="AK28" s="28">
        <f t="shared" si="11"/>
        <v>0.37334006310264911</v>
      </c>
      <c r="AL28" s="25">
        <f t="shared" si="12"/>
        <v>3279112</v>
      </c>
      <c r="AM28" s="28">
        <f t="shared" si="13"/>
        <v>0.48398995089164981</v>
      </c>
      <c r="AN28" s="29">
        <v>26301637</v>
      </c>
      <c r="AO28" s="29">
        <v>821926.15625</v>
      </c>
      <c r="AP28" s="29">
        <v>28152.53125</v>
      </c>
      <c r="AQ28" s="30">
        <v>12729728</v>
      </c>
      <c r="AR28" s="30">
        <v>2636056</v>
      </c>
      <c r="AS28" s="30">
        <v>643056</v>
      </c>
      <c r="AT28" s="30">
        <v>9450136</v>
      </c>
      <c r="AU28" s="31">
        <v>70.434312500000004</v>
      </c>
      <c r="AV28" s="31">
        <v>72.984228125000001</v>
      </c>
      <c r="AW28" s="31">
        <v>32.842012500000003</v>
      </c>
      <c r="AX28" s="31">
        <v>36.576587500000002</v>
      </c>
      <c r="AY28" s="31">
        <v>36.066781249999998</v>
      </c>
      <c r="AZ28" s="32">
        <v>4115.8500000000004</v>
      </c>
      <c r="BA28" s="32">
        <v>7863.46</v>
      </c>
      <c r="BB28" s="32">
        <v>7.649</v>
      </c>
      <c r="BC28" s="32">
        <v>34.905000000000001</v>
      </c>
      <c r="BE28" s="33">
        <f t="shared" si="14"/>
        <v>-0.29671423312170808</v>
      </c>
      <c r="BF28" s="33">
        <f t="shared" si="15"/>
        <v>1.3551363538798267E-2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outlineLevel="1" x14ac:dyDescent="0.3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29.737057499999999</v>
      </c>
      <c r="J29" s="38">
        <f t="shared" si="1"/>
        <v>1.2531217101114995</v>
      </c>
      <c r="K29" s="38">
        <f t="shared" si="2"/>
        <v>0.19025957546196315</v>
      </c>
      <c r="L29" s="38">
        <f t="shared" si="3"/>
        <v>0.16306405933406257</v>
      </c>
      <c r="M29" s="38">
        <f t="shared" si="4"/>
        <v>1.0628438037187138</v>
      </c>
      <c r="N29" s="35">
        <f t="shared" si="5"/>
        <v>4815928</v>
      </c>
      <c r="O29" s="38">
        <f t="shared" si="6"/>
        <v>0.83475535093510833</v>
      </c>
      <c r="P29" s="39">
        <v>37998592</v>
      </c>
      <c r="Q29" s="39">
        <v>1187456</v>
      </c>
      <c r="R29" s="39">
        <v>389633.875</v>
      </c>
      <c r="S29" s="40">
        <v>31719528</v>
      </c>
      <c r="T29" s="40">
        <v>4127544</v>
      </c>
      <c r="U29" s="40">
        <v>688384</v>
      </c>
      <c r="V29" s="40">
        <v>26903136</v>
      </c>
      <c r="W29" s="41">
        <v>71.337231250000002</v>
      </c>
      <c r="X29" s="41">
        <v>74.429903124999996</v>
      </c>
      <c r="Y29" s="41">
        <v>35.761165624999997</v>
      </c>
      <c r="Z29" s="41">
        <v>38.510306249999999</v>
      </c>
      <c r="AA29" s="41">
        <v>37.982206249999997</v>
      </c>
      <c r="AB29" s="42">
        <v>6364.46</v>
      </c>
      <c r="AC29" s="42">
        <v>7970.11</v>
      </c>
      <c r="AD29" s="42">
        <v>7.992</v>
      </c>
      <c r="AE29" s="42">
        <v>28.949000000000002</v>
      </c>
      <c r="AG29" s="37">
        <f t="shared" si="7"/>
        <v>27.586485</v>
      </c>
      <c r="AH29" s="38">
        <f t="shared" si="8"/>
        <v>1.1624964325796265</v>
      </c>
      <c r="AI29" s="38">
        <f t="shared" si="9"/>
        <v>0.21309896711525825</v>
      </c>
      <c r="AJ29" s="38">
        <f t="shared" si="10"/>
        <v>0.16276128292495917</v>
      </c>
      <c r="AK29" s="38">
        <f t="shared" si="11"/>
        <v>0.9493785024324829</v>
      </c>
      <c r="AL29" s="35">
        <f t="shared" si="12"/>
        <v>5394048</v>
      </c>
      <c r="AM29" s="38">
        <f t="shared" si="13"/>
        <v>1.1701495272292068</v>
      </c>
      <c r="AN29" s="39">
        <v>25146858</v>
      </c>
      <c r="AO29" s="39">
        <v>785839.3125</v>
      </c>
      <c r="AP29" s="39">
        <v>12625.625</v>
      </c>
      <c r="AQ29" s="40">
        <v>29425584</v>
      </c>
      <c r="AR29" s="40">
        <v>4119880</v>
      </c>
      <c r="AS29" s="40">
        <v>1274168</v>
      </c>
      <c r="AT29" s="40">
        <v>24031056</v>
      </c>
      <c r="AU29" s="41">
        <v>71.510181250000002</v>
      </c>
      <c r="AV29" s="41">
        <v>74.895196874999996</v>
      </c>
      <c r="AW29" s="41">
        <v>35.532253124999997</v>
      </c>
      <c r="AX29" s="41">
        <v>38.584499999999998</v>
      </c>
      <c r="AY29" s="41">
        <v>38.022281249999999</v>
      </c>
      <c r="AZ29" s="42">
        <v>4154.29</v>
      </c>
      <c r="BA29" s="42">
        <v>8934.94</v>
      </c>
      <c r="BB29" s="42">
        <v>8.5739999999999998</v>
      </c>
      <c r="BC29" s="42">
        <v>40.957000000000001</v>
      </c>
      <c r="BE29" s="43">
        <f t="shared" si="14"/>
        <v>-0.31205847402940889</v>
      </c>
      <c r="BF29" s="43">
        <f t="shared" si="15"/>
        <v>3.1483013244177543E-2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0.20814190209050593</v>
      </c>
      <c r="K30" s="56">
        <f>AVERAGE(K5:K24)</f>
        <v>9.2097316474251262E-2</v>
      </c>
      <c r="L30" s="56">
        <f>AVERAGE(L5:L24)</f>
        <v>6.7530341538266939E-2</v>
      </c>
      <c r="M30" s="56">
        <f>AVERAGE(M5:M24)</f>
        <v>0.11602780023327572</v>
      </c>
      <c r="AH30" s="56">
        <f>AVERAGE(AH5:AH24)</f>
        <v>0.18615608573463591</v>
      </c>
      <c r="AI30" s="56">
        <f>AVERAGE(AI5:AI24)</f>
        <v>9.0483100505097711E-2</v>
      </c>
      <c r="AJ30" s="56">
        <f>AVERAGE(AJ5:AJ24)</f>
        <v>6.3707875796982033E-2</v>
      </c>
      <c r="AK30" s="56">
        <f>AVERAGE(AK5:AK24)</f>
        <v>9.5655621040249605E-2</v>
      </c>
      <c r="BG30" s="8">
        <f>AVERAGE(BG5:BG24)</f>
        <v>2.7192194485404719E-2</v>
      </c>
      <c r="BI30" s="5">
        <f>AVERAGE(BI5:BI24)</f>
        <v>-8.4526099020824697E-2</v>
      </c>
      <c r="BJ30" s="5">
        <f>AVERAGE(BJ5:BJ24)</f>
        <v>-5.4228577966590197E-2</v>
      </c>
      <c r="BK30" s="5">
        <f>AVERAGE(BK5:BK24)</f>
        <v>-0.23538717967807093</v>
      </c>
      <c r="BL30" s="5">
        <f>AVERAGE(BL5:BL24)</f>
        <v>-0.31088096761739714</v>
      </c>
      <c r="BM30" s="5">
        <f>AVERAGE(BM5:BM24)</f>
        <v>-0.29443690967565805</v>
      </c>
      <c r="BO30" s="5">
        <f>AVERAGE(BO5:BO24)</f>
        <v>-0.12554726439536246</v>
      </c>
      <c r="BP30" s="5">
        <f>AVERAGE(BP5:BP24)</f>
        <v>-7.9024894200072665E-2</v>
      </c>
      <c r="BQ30" s="5">
        <f>AVERAGE(BQ5:BQ24)</f>
        <v>-0.1583759085252727</v>
      </c>
      <c r="BR30" s="5">
        <f>AVERAGE(BR5:BR24)</f>
        <v>-0.21889146380363128</v>
      </c>
      <c r="BS30" s="5">
        <f>AVERAGE(BS5:BS24)</f>
        <v>-0.2061306134520165</v>
      </c>
    </row>
    <row r="31" spans="1:71" x14ac:dyDescent="0.3">
      <c r="B31" s="55" t="s">
        <v>287</v>
      </c>
      <c r="J31" s="56">
        <f>AVERAGE(J25:J29)</f>
        <v>0.4637240044487273</v>
      </c>
      <c r="K31" s="56">
        <f>AVERAGE(K25:K29)</f>
        <v>0.11182082716112982</v>
      </c>
      <c r="L31" s="56">
        <f>AVERAGE(L25:L29)</f>
        <v>8.4625311033229234E-2</v>
      </c>
      <c r="M31" s="56">
        <f>AVERAGE(M25:M29)</f>
        <v>0.35188484635677486</v>
      </c>
      <c r="AH31" s="56">
        <f>AVERAGE(AH25:AH29)</f>
        <v>0.43188248229879989</v>
      </c>
      <c r="AI31" s="56">
        <f>AVERAGE(AI25:AI29)</f>
        <v>0.11508638767200655</v>
      </c>
      <c r="AJ31" s="56">
        <f>AVERAGE(AJ25:AJ29)</f>
        <v>8.46950317804612E-2</v>
      </c>
      <c r="AK31" s="56">
        <f>AVERAGE(AK25:AK29)</f>
        <v>0.31677713159490795</v>
      </c>
      <c r="BG31" s="8">
        <f>AVERAGE(BG25:BG29)</f>
        <v>2.0385187364556578E-2</v>
      </c>
      <c r="BI31" s="5">
        <f>AVERAGE(BI25:BI29)</f>
        <v>-1.2639740019754098E-2</v>
      </c>
      <c r="BJ31" s="5">
        <f>AVERAGE(BJ25:BJ29)</f>
        <v>1.9542711086632414E-2</v>
      </c>
      <c r="BK31" s="5">
        <f>AVERAGE(BK25:BK29)</f>
        <v>-0.13579480345894157</v>
      </c>
      <c r="BL31" s="5">
        <f>AVERAGE(BL25:BL29)</f>
        <v>-0.18430423417169184</v>
      </c>
      <c r="BM31" s="5">
        <f>AVERAGE(BM25:BM29)</f>
        <v>-0.17898251459634495</v>
      </c>
      <c r="BO31" s="5">
        <f>AVERAGE(BO25:BO29)</f>
        <v>-6.4552200795928161E-2</v>
      </c>
      <c r="BP31" s="5">
        <f>AVERAGE(BP25:BP29)</f>
        <v>2.2621861170954993E-3</v>
      </c>
      <c r="BQ31" s="5">
        <f>AVERAGE(BQ25:BQ29)</f>
        <v>-9.3307680986114416E-2</v>
      </c>
      <c r="BR31" s="5">
        <f>AVERAGE(BR25:BR29)</f>
        <v>-0.13574862391024978</v>
      </c>
      <c r="BS31" s="5">
        <f>AVERAGE(BS25:BS29)</f>
        <v>-0.12993696458605175</v>
      </c>
    </row>
    <row r="32" spans="1:71" x14ac:dyDescent="0.3">
      <c r="B32" s="55" t="s">
        <v>288</v>
      </c>
      <c r="J32" s="56">
        <f>AVERAGE(J5:J29)</f>
        <v>0.25925832256215026</v>
      </c>
      <c r="K32" s="56">
        <f>AVERAGE(K5:K29)</f>
        <v>9.6042018611626978E-2</v>
      </c>
      <c r="L32" s="56">
        <f>AVERAGE(L5:L29)</f>
        <v>7.0949335437259398E-2</v>
      </c>
      <c r="M32" s="56">
        <f>AVERAGE(M5:M29)</f>
        <v>0.16319920945797556</v>
      </c>
      <c r="AH32" s="56">
        <f>AVERAGE(AH5:AH29)</f>
        <v>0.23530136504746871</v>
      </c>
      <c r="AI32" s="56">
        <f>AVERAGE(AI5:AI29)</f>
        <v>9.540375793847948E-2</v>
      </c>
      <c r="AJ32" s="56">
        <f>AVERAGE(AJ5:AJ29)</f>
        <v>6.7905306993677861E-2</v>
      </c>
      <c r="AK32" s="56">
        <f>AVERAGE(AK5:AK29)</f>
        <v>0.13987992315118128</v>
      </c>
      <c r="BG32" s="8">
        <f>AVERAGE(BG5:BG29)</f>
        <v>2.5830793061235091E-2</v>
      </c>
      <c r="BI32" s="5">
        <f>AVERAGE(BI5:BI29)</f>
        <v>-7.0148827220610582E-2</v>
      </c>
      <c r="BJ32" s="5">
        <f>AVERAGE(BJ5:BJ29)</f>
        <v>-3.9474320155945673E-2</v>
      </c>
      <c r="BK32" s="5">
        <f>AVERAGE(BK5:BK29)</f>
        <v>-0.21546870443424507</v>
      </c>
      <c r="BL32" s="5">
        <f>AVERAGE(BL5:BL29)</f>
        <v>-0.2855656209282561</v>
      </c>
      <c r="BM32" s="5">
        <f>AVERAGE(BM5:BM29)</f>
        <v>-0.27134603065979546</v>
      </c>
      <c r="BO32" s="5">
        <f>AVERAGE(BO5:BO29)</f>
        <v>-0.1133482516754756</v>
      </c>
      <c r="BP32" s="5">
        <f>AVERAGE(BP5:BP29)</f>
        <v>-6.2767478136639035E-2</v>
      </c>
      <c r="BQ32" s="5">
        <f>AVERAGE(BQ5:BQ29)</f>
        <v>-0.14536226301744104</v>
      </c>
      <c r="BR32" s="5">
        <f>AVERAGE(BR5:BR29)</f>
        <v>-0.20226289582495499</v>
      </c>
      <c r="BS32" s="5">
        <f>AVERAGE(BS5:BS29)</f>
        <v>-0.19089188367882354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174543.46000000002</v>
      </c>
      <c r="AC33" s="57">
        <f>SUM(AC5:AC24,AC25:AC29)</f>
        <v>139545.10999999996</v>
      </c>
      <c r="AD33" s="57">
        <f>SUM(AD5:AD24,AD25:AD29)</f>
        <v>221.97499999999999</v>
      </c>
      <c r="AE33" s="57">
        <f>SUM(AE5:AE24,AE25:AE29)</f>
        <v>602.65</v>
      </c>
      <c r="AZ33" s="57">
        <f>SUM(AZ5:AZ24,AZ25:AZ29)</f>
        <v>115167.11999999998</v>
      </c>
      <c r="BA33" s="57">
        <f>SUM(BA5:BA24,BA25:BA29)</f>
        <v>157261.72</v>
      </c>
      <c r="BB33" s="57">
        <f>SUM(BB5:BB24,BB25:BB29)</f>
        <v>199.41100000000003</v>
      </c>
      <c r="BC33" s="57">
        <f>SUM(BC5:BC24,BC25:BC29)</f>
        <v>744.1339999999999</v>
      </c>
    </row>
    <row r="34" spans="1:55" hidden="1" outlineLevel="2" x14ac:dyDescent="0.3">
      <c r="B34" s="55" t="s">
        <v>291</v>
      </c>
      <c r="AZ34" s="8">
        <f>AZ33/AB33</f>
        <v>0.65981916480858105</v>
      </c>
      <c r="BA34" s="8">
        <f>BA33/AC33</f>
        <v>1.1269597336660528</v>
      </c>
      <c r="BB34" s="8">
        <f>BB33/AD33</f>
        <v>0.89834891316589727</v>
      </c>
      <c r="BC34" s="8">
        <f>BC33/AE33</f>
        <v>1.2347697668630215</v>
      </c>
    </row>
    <row r="35" spans="1:55" hidden="1" outlineLevel="2" x14ac:dyDescent="0.3">
      <c r="B35" s="55" t="s">
        <v>292</v>
      </c>
      <c r="AB35" s="57">
        <f>GEOMEAN(AB5:AB24,AB25:AB29)</f>
        <v>6896.983474906714</v>
      </c>
      <c r="AC35" s="57">
        <f>GEOMEAN(AC5:AC24,AC25:AC29)</f>
        <v>5506.1616206065064</v>
      </c>
      <c r="AD35" s="57">
        <f>GEOMEAN(AD5:AD24,AD25:AD29)</f>
        <v>8.8384638846088937</v>
      </c>
      <c r="AE35" s="57">
        <f>GEOMEAN(AE5:AE24,AE25:AE29)</f>
        <v>23.99713672951216</v>
      </c>
      <c r="AZ35" s="57">
        <f>GEOMEAN(AZ5:AZ24,AZ25:AZ29)</f>
        <v>4573.3347673466233</v>
      </c>
      <c r="BA35" s="57">
        <f>GEOMEAN(BA5:BA24,BA25:BA29)</f>
        <v>6164.3672003551728</v>
      </c>
      <c r="BB35" s="57">
        <f>GEOMEAN(BB5:BB24,BB25:BB29)</f>
        <v>7.8811297592832892</v>
      </c>
      <c r="BC35" s="57">
        <f>GEOMEAN(BC5:BC24,BC25:BC29)</f>
        <v>29.366739976660057</v>
      </c>
    </row>
    <row r="36" spans="1:55" outlineLevel="2" collapsed="1" x14ac:dyDescent="0.3">
      <c r="B36" s="55" t="s">
        <v>293</v>
      </c>
      <c r="AZ36" s="8">
        <f>AZ35/AB35</f>
        <v>0.66309202914372367</v>
      </c>
      <c r="BA36" s="8">
        <f>BA35/AC35</f>
        <v>1.1195398219488089</v>
      </c>
      <c r="BB36" s="8">
        <f>BB35/AD35</f>
        <v>0.89168546278808869</v>
      </c>
      <c r="BC36" s="8">
        <f>BC35/AE35</f>
        <v>1.2237601638758948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1" operator="greaterThanOrEqual">
      <formula>0.03</formula>
    </cfRule>
    <cfRule type="cellIs" dxfId="16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5" operator="greaterThanOrEqual">
      <formula>0.03</formula>
    </cfRule>
    <cfRule type="cellIs" dxfId="14" priority="6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19" operator="greaterThanOrEqual">
      <formula>0.03</formula>
    </cfRule>
    <cfRule type="cellIs" dxfId="12" priority="2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1" operator="greaterThanOrEqual">
      <formula>0.03</formula>
    </cfRule>
    <cfRule type="cellIs" dxfId="10" priority="2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9" operator="greaterThanOrEqual">
      <formula>0.03</formula>
    </cfRule>
    <cfRule type="cellIs" dxfId="6" priority="1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15" operator="greaterThanOrEqual">
      <formula>0.03</formula>
    </cfRule>
    <cfRule type="cellIs" dxfId="0" priority="16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N17766</dc:title>
  <dc:creator>Chevet Jean-Claude</dc:creator>
  <cp:lastModifiedBy>Ricard Julien</cp:lastModifiedBy>
  <dcterms:created xsi:type="dcterms:W3CDTF">2018-09-05T00:41:43Z</dcterms:created>
  <dcterms:modified xsi:type="dcterms:W3CDTF">2019-02-12T13:12:02Z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2018-09-05T00:41:43Z</vt:filetime>
  </property>
</Properties>
</file>