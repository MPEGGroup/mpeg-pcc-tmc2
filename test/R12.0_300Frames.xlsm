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1" defaultThemeVersion="124226"/>
  <mc:AlternateContent xmlns:mc="http://schemas.openxmlformats.org/markup-compatibility/2006">
    <mc:Choice Requires="x15">
      <x15ac:absPath xmlns:x15ac="http://schemas.microsoft.com/office/spreadsheetml/2010/11/ac" url="\\renwekasmb01\wp21\PCC\ricardj\gitInt12\tm2_r120_rc13\test\"/>
    </mc:Choice>
  </mc:AlternateContent>
  <xr:revisionPtr revIDLastSave="0" documentId="13_ncr:1_{EE8F68A1-F893-4825-8645-11720CD10425}" xr6:coauthVersionLast="45" xr6:coauthVersionMax="45" xr10:uidLastSave="{00000000-0000-0000-0000-000000000000}"/>
  <bookViews>
    <workbookView xWindow="28680" yWindow="-120" windowWidth="29040" windowHeight="158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C47" i="7" s="1"/>
  <c r="BB46" i="7"/>
  <c r="BB47" i="7" s="1"/>
  <c r="BA46" i="7"/>
  <c r="BA47" i="7" s="1"/>
  <c r="AZ46" i="7"/>
  <c r="AZ47" i="7" s="1"/>
  <c r="C47" i="1" s="1"/>
  <c r="AE46" i="7"/>
  <c r="AD46" i="7"/>
  <c r="AC46" i="7"/>
  <c r="AB46" i="7"/>
  <c r="BA45" i="7"/>
  <c r="BC44" i="7"/>
  <c r="BB44" i="7"/>
  <c r="BA44" i="7"/>
  <c r="AZ44" i="7"/>
  <c r="AZ45" i="7" s="1"/>
  <c r="AE44" i="7"/>
  <c r="AD44" i="7"/>
  <c r="AC44" i="7"/>
  <c r="AB44" i="7"/>
  <c r="AJ41" i="7"/>
  <c r="BF39" i="7"/>
  <c r="AL39" i="7"/>
  <c r="AK39" i="7"/>
  <c r="AJ39" i="7"/>
  <c r="AH39" i="7"/>
  <c r="AG39" i="7"/>
  <c r="N39" i="7"/>
  <c r="K39" i="7" s="1"/>
  <c r="M39" i="7"/>
  <c r="L39" i="7"/>
  <c r="J39" i="7"/>
  <c r="I39" i="7"/>
  <c r="BG38" i="7"/>
  <c r="BF38" i="7"/>
  <c r="AL38" i="7"/>
  <c r="AI38" i="7" s="1"/>
  <c r="BE38" i="7" s="1"/>
  <c r="AK38" i="7"/>
  <c r="AJ38" i="7"/>
  <c r="AH38" i="7"/>
  <c r="AG38" i="7"/>
  <c r="N38" i="7"/>
  <c r="M38" i="7"/>
  <c r="L38" i="7"/>
  <c r="K38" i="7"/>
  <c r="J38" i="7"/>
  <c r="I38" i="7"/>
  <c r="BF37" i="7"/>
  <c r="AL37" i="7"/>
  <c r="AI37" i="7" s="1"/>
  <c r="AK37" i="7"/>
  <c r="AJ37" i="7"/>
  <c r="AH37" i="7"/>
  <c r="AG37" i="7"/>
  <c r="N37" i="7"/>
  <c r="M37" i="7"/>
  <c r="L37" i="7"/>
  <c r="J37" i="7"/>
  <c r="I37" i="7"/>
  <c r="BF36" i="7"/>
  <c r="AL36" i="7"/>
  <c r="AI36" i="7" s="1"/>
  <c r="AK36" i="7"/>
  <c r="AJ36" i="7"/>
  <c r="AH36" i="7"/>
  <c r="AG36" i="7"/>
  <c r="N36" i="7"/>
  <c r="M36" i="7"/>
  <c r="L36" i="7"/>
  <c r="J36" i="7"/>
  <c r="I36" i="7"/>
  <c r="BF35" i="7"/>
  <c r="AL35" i="7"/>
  <c r="AI35" i="7" s="1"/>
  <c r="AK35" i="7"/>
  <c r="AJ35" i="7"/>
  <c r="AH35" i="7"/>
  <c r="AG35" i="7"/>
  <c r="N35" i="7"/>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M32" i="7"/>
  <c r="L32" i="7"/>
  <c r="K32" i="7"/>
  <c r="J32" i="7"/>
  <c r="I32" i="7"/>
  <c r="BF31" i="7"/>
  <c r="AL31" i="7"/>
  <c r="AK31" i="7"/>
  <c r="AJ31" i="7"/>
  <c r="AH31" i="7"/>
  <c r="AG31" i="7"/>
  <c r="N31" i="7"/>
  <c r="K31" i="7" s="1"/>
  <c r="M31" i="7"/>
  <c r="L31" i="7"/>
  <c r="J31" i="7"/>
  <c r="I31" i="7"/>
  <c r="BH30" i="7" a="1"/>
  <c r="BF30" i="7"/>
  <c r="AL30" i="7"/>
  <c r="AI30" i="7" s="1"/>
  <c r="AK30" i="7"/>
  <c r="AJ30" i="7"/>
  <c r="AH30" i="7"/>
  <c r="AG30" i="7"/>
  <c r="N30" i="7"/>
  <c r="M30" i="7"/>
  <c r="M42" i="7" s="1"/>
  <c r="L30" i="7"/>
  <c r="K30" i="7"/>
  <c r="J30" i="7"/>
  <c r="I30" i="7"/>
  <c r="BF29" i="7"/>
  <c r="AL29" i="7"/>
  <c r="AI29" i="7" s="1"/>
  <c r="AK29" i="7"/>
  <c r="AJ29" i="7"/>
  <c r="AH29" i="7"/>
  <c r="AG29" i="7"/>
  <c r="N29" i="7"/>
  <c r="K29" i="7" s="1"/>
  <c r="M29" i="7"/>
  <c r="L29" i="7"/>
  <c r="J29" i="7"/>
  <c r="I29" i="7"/>
  <c r="BG28" i="7"/>
  <c r="BF28" i="7"/>
  <c r="AL28" i="7"/>
  <c r="AI28" i="7" s="1"/>
  <c r="BE28" i="7" s="1"/>
  <c r="AK28" i="7"/>
  <c r="AJ28" i="7"/>
  <c r="AH28" i="7"/>
  <c r="AG28" i="7"/>
  <c r="N28" i="7"/>
  <c r="M28" i="7"/>
  <c r="L28" i="7"/>
  <c r="K28" i="7"/>
  <c r="J28" i="7"/>
  <c r="I28" i="7"/>
  <c r="BF27" i="7"/>
  <c r="AL27" i="7"/>
  <c r="AK27" i="7"/>
  <c r="AJ27" i="7"/>
  <c r="AI27" i="7"/>
  <c r="AH27" i="7"/>
  <c r="AG27" i="7"/>
  <c r="N27" i="7"/>
  <c r="K27" i="7" s="1"/>
  <c r="M27" i="7"/>
  <c r="L27" i="7"/>
  <c r="J27" i="7"/>
  <c r="I27" i="7"/>
  <c r="BF26" i="7"/>
  <c r="AL26" i="7"/>
  <c r="AK26" i="7"/>
  <c r="AJ26" i="7"/>
  <c r="AH26" i="7"/>
  <c r="AG26" i="7"/>
  <c r="N26" i="7"/>
  <c r="M26" i="7"/>
  <c r="L26" i="7"/>
  <c r="K26" i="7"/>
  <c r="J26" i="7"/>
  <c r="I26" i="7"/>
  <c r="BF25" i="7"/>
  <c r="AL25" i="7"/>
  <c r="AK25" i="7"/>
  <c r="AK41" i="7" s="1"/>
  <c r="AJ25" i="7"/>
  <c r="AH25" i="7"/>
  <c r="AH41" i="7" s="1"/>
  <c r="AG25" i="7"/>
  <c r="N25" i="7"/>
  <c r="M25" i="7"/>
  <c r="L25" i="7"/>
  <c r="L41" i="7" s="1"/>
  <c r="K25" i="7"/>
  <c r="J25" i="7"/>
  <c r="I25" i="7"/>
  <c r="BF24" i="7"/>
  <c r="AL24" i="7"/>
  <c r="BG24" i="7" s="1"/>
  <c r="AK24" i="7"/>
  <c r="AJ24" i="7"/>
  <c r="AH24" i="7"/>
  <c r="AG24" i="7"/>
  <c r="N24" i="7"/>
  <c r="M24" i="7"/>
  <c r="L24" i="7"/>
  <c r="K24" i="7"/>
  <c r="J24" i="7"/>
  <c r="I24" i="7"/>
  <c r="BF23" i="7"/>
  <c r="AL23" i="7"/>
  <c r="BG23" i="7" s="1"/>
  <c r="AK23" i="7"/>
  <c r="AJ23" i="7"/>
  <c r="AH23" i="7"/>
  <c r="AG23" i="7"/>
  <c r="N23" i="7"/>
  <c r="K23" i="7" s="1"/>
  <c r="M23" i="7"/>
  <c r="L23" i="7"/>
  <c r="J23" i="7"/>
  <c r="I23" i="7"/>
  <c r="BF22" i="7"/>
  <c r="AL22" i="7"/>
  <c r="BG22" i="7" s="1"/>
  <c r="AK22" i="7"/>
  <c r="AJ22" i="7"/>
  <c r="AI22" i="7"/>
  <c r="BE22" i="7" s="1"/>
  <c r="AH22" i="7"/>
  <c r="AG22" i="7"/>
  <c r="N22" i="7"/>
  <c r="M22" i="7"/>
  <c r="L22" i="7"/>
  <c r="K22" i="7"/>
  <c r="J22" i="7"/>
  <c r="I22" i="7"/>
  <c r="BF21" i="7"/>
  <c r="AL21" i="7"/>
  <c r="AI21" i="7" s="1"/>
  <c r="AK21" i="7"/>
  <c r="AJ21" i="7"/>
  <c r="AH21" i="7"/>
  <c r="AG21" i="7"/>
  <c r="N21" i="7"/>
  <c r="M21" i="7"/>
  <c r="L21" i="7"/>
  <c r="J21" i="7"/>
  <c r="I21" i="7"/>
  <c r="BF20" i="7"/>
  <c r="AL20" i="7"/>
  <c r="BG20" i="7" s="1"/>
  <c r="AK20" i="7"/>
  <c r="AJ20" i="7"/>
  <c r="AI20" i="7"/>
  <c r="AH20" i="7"/>
  <c r="AG20" i="7"/>
  <c r="N20" i="7"/>
  <c r="M20" i="7"/>
  <c r="L20" i="7"/>
  <c r="K20" i="7"/>
  <c r="J20" i="7"/>
  <c r="I20" i="7"/>
  <c r="BF19" i="7"/>
  <c r="AL19" i="7"/>
  <c r="AK19" i="7"/>
  <c r="AJ19" i="7"/>
  <c r="AI19" i="7"/>
  <c r="AH19" i="7"/>
  <c r="AG19" i="7"/>
  <c r="N19" i="7"/>
  <c r="K19" i="7" s="1"/>
  <c r="M19" i="7"/>
  <c r="L19" i="7"/>
  <c r="J19" i="7"/>
  <c r="I19" i="7"/>
  <c r="BF18" i="7"/>
  <c r="AL18" i="7"/>
  <c r="AK18" i="7"/>
  <c r="AJ18" i="7"/>
  <c r="AI18" i="7"/>
  <c r="AH18" i="7"/>
  <c r="AG18" i="7"/>
  <c r="N18" i="7"/>
  <c r="M18" i="7"/>
  <c r="L18" i="7"/>
  <c r="K18" i="7"/>
  <c r="J18" i="7"/>
  <c r="I18" i="7"/>
  <c r="BF17" i="7"/>
  <c r="AL17" i="7"/>
  <c r="AK17" i="7"/>
  <c r="AJ17" i="7"/>
  <c r="AH17" i="7"/>
  <c r="AG17" i="7"/>
  <c r="N17" i="7"/>
  <c r="M17" i="7"/>
  <c r="L17" i="7"/>
  <c r="K17" i="7"/>
  <c r="J17" i="7"/>
  <c r="I17" i="7"/>
  <c r="BF16" i="7"/>
  <c r="AL16" i="7"/>
  <c r="AI16" i="7" s="1"/>
  <c r="AK16" i="7"/>
  <c r="AJ16" i="7"/>
  <c r="AH16" i="7"/>
  <c r="AG16" i="7"/>
  <c r="N16" i="7"/>
  <c r="K16" i="7" s="1"/>
  <c r="M16" i="7"/>
  <c r="L16" i="7"/>
  <c r="J16" i="7"/>
  <c r="I16" i="7"/>
  <c r="BF15" i="7"/>
  <c r="AL15" i="7"/>
  <c r="AI15" i="7" s="1"/>
  <c r="AK15" i="7"/>
  <c r="AJ15" i="7"/>
  <c r="AH15" i="7"/>
  <c r="AG15" i="7"/>
  <c r="N15" i="7"/>
  <c r="M15" i="7"/>
  <c r="L15" i="7"/>
  <c r="J15" i="7"/>
  <c r="I15" i="7"/>
  <c r="BF14" i="7"/>
  <c r="AL14" i="7"/>
  <c r="AI14" i="7" s="1"/>
  <c r="AK14" i="7"/>
  <c r="AJ14" i="7"/>
  <c r="AH14" i="7"/>
  <c r="AG14" i="7"/>
  <c r="N14" i="7"/>
  <c r="K14" i="7" s="1"/>
  <c r="M14" i="7"/>
  <c r="L14" i="7"/>
  <c r="J14" i="7"/>
  <c r="I14" i="7"/>
  <c r="BF13" i="7"/>
  <c r="AL13" i="7"/>
  <c r="AI13" i="7" s="1"/>
  <c r="AK13" i="7"/>
  <c r="AJ13" i="7"/>
  <c r="AJ43" i="7" s="1"/>
  <c r="AH13" i="7"/>
  <c r="AG13" i="7"/>
  <c r="N13" i="7"/>
  <c r="K13" i="7" s="1"/>
  <c r="M13" i="7"/>
  <c r="L13" i="7"/>
  <c r="J13" i="7"/>
  <c r="I13" i="7"/>
  <c r="BF12" i="7"/>
  <c r="AL12" i="7"/>
  <c r="AK12" i="7"/>
  <c r="AJ12" i="7"/>
  <c r="AI12" i="7"/>
  <c r="AH12" i="7"/>
  <c r="AG12" i="7"/>
  <c r="N12" i="7"/>
  <c r="K12" i="7" s="1"/>
  <c r="M12" i="7"/>
  <c r="L12" i="7"/>
  <c r="J12" i="7"/>
  <c r="I12" i="7"/>
  <c r="BF11" i="7"/>
  <c r="AL11" i="7"/>
  <c r="AK11" i="7"/>
  <c r="AJ11" i="7"/>
  <c r="AI11" i="7"/>
  <c r="AH11" i="7"/>
  <c r="AG11" i="7"/>
  <c r="N11" i="7"/>
  <c r="K11" i="7" s="1"/>
  <c r="M11" i="7"/>
  <c r="L11" i="7"/>
  <c r="J11" i="7"/>
  <c r="I11" i="7"/>
  <c r="BF10" i="7"/>
  <c r="AL10" i="7"/>
  <c r="AK10" i="7"/>
  <c r="AJ10" i="7"/>
  <c r="AJ40" i="7" s="1"/>
  <c r="AH10" i="7"/>
  <c r="AG10" i="7"/>
  <c r="N10" i="7"/>
  <c r="M10" i="7"/>
  <c r="L10" i="7"/>
  <c r="J10" i="7"/>
  <c r="I10" i="7"/>
  <c r="BF9" i="7"/>
  <c r="AL9" i="7"/>
  <c r="AK9" i="7"/>
  <c r="AJ9" i="7"/>
  <c r="AI9" i="7"/>
  <c r="AH9" i="7"/>
  <c r="AG9" i="7"/>
  <c r="N9" i="7"/>
  <c r="K9" i="7" s="1"/>
  <c r="M9" i="7"/>
  <c r="L9" i="7"/>
  <c r="J9" i="7"/>
  <c r="I9" i="7"/>
  <c r="BF8" i="7"/>
  <c r="AL8" i="7"/>
  <c r="AK8" i="7"/>
  <c r="AJ8" i="7"/>
  <c r="AI8" i="7"/>
  <c r="AH8" i="7"/>
  <c r="AG8" i="7"/>
  <c r="N8" i="7"/>
  <c r="K8" i="7" s="1"/>
  <c r="M8" i="7"/>
  <c r="L8" i="7"/>
  <c r="J8" i="7"/>
  <c r="I8" i="7"/>
  <c r="BF7" i="7"/>
  <c r="AL7" i="7"/>
  <c r="AK7" i="7"/>
  <c r="AJ7" i="7"/>
  <c r="AI7" i="7"/>
  <c r="AH7" i="7"/>
  <c r="AG7" i="7"/>
  <c r="N7" i="7"/>
  <c r="M7" i="7"/>
  <c r="L7" i="7"/>
  <c r="J7" i="7"/>
  <c r="I7" i="7"/>
  <c r="BF6" i="7"/>
  <c r="AL6" i="7"/>
  <c r="AK6" i="7"/>
  <c r="AJ6" i="7"/>
  <c r="AI6" i="7"/>
  <c r="BE6" i="7" s="1"/>
  <c r="AH6" i="7"/>
  <c r="AG6" i="7"/>
  <c r="N6" i="7"/>
  <c r="K6" i="7" s="1"/>
  <c r="M6" i="7"/>
  <c r="L6" i="7"/>
  <c r="J6" i="7"/>
  <c r="I6" i="7"/>
  <c r="BF5" i="7"/>
  <c r="AL5" i="7"/>
  <c r="AK5" i="7"/>
  <c r="AJ5" i="7"/>
  <c r="AH5" i="7"/>
  <c r="AG5" i="7"/>
  <c r="N5" i="7"/>
  <c r="K5" i="7" s="1"/>
  <c r="M5" i="7"/>
  <c r="L5" i="7"/>
  <c r="J5" i="7"/>
  <c r="I5" i="7"/>
  <c r="AG1" i="7"/>
  <c r="I1" i="7"/>
  <c r="AZ18" i="6"/>
  <c r="AZ19" i="6" s="1"/>
  <c r="AY18" i="6"/>
  <c r="AY19" i="6" s="1"/>
  <c r="AX18" i="6"/>
  <c r="AX19" i="6" s="1"/>
  <c r="AW18" i="6"/>
  <c r="AC18" i="6"/>
  <c r="AB18" i="6"/>
  <c r="AA18" i="6"/>
  <c r="Z18" i="6"/>
  <c r="AZ16" i="6"/>
  <c r="AZ17" i="6" s="1"/>
  <c r="AY16" i="6"/>
  <c r="AY17" i="6" s="1"/>
  <c r="AX16" i="6"/>
  <c r="AX17" i="6" s="1"/>
  <c r="AW16" i="6"/>
  <c r="AC16" i="6"/>
  <c r="AB16" i="6"/>
  <c r="AA16" i="6"/>
  <c r="Z16" i="6"/>
  <c r="AJ14" i="6"/>
  <c r="M13" i="6"/>
  <c r="AK11" i="6"/>
  <c r="BG11" i="6" s="1" a="1"/>
  <c r="AJ11" i="6"/>
  <c r="AI11" i="6"/>
  <c r="AH11" i="6"/>
  <c r="AG11" i="6"/>
  <c r="AF11" i="6"/>
  <c r="AE11" i="6"/>
  <c r="N11" i="6"/>
  <c r="K11" i="6" s="1"/>
  <c r="M11" i="6"/>
  <c r="BE11" i="6" s="1"/>
  <c r="L11" i="6"/>
  <c r="J11" i="6"/>
  <c r="I11" i="6"/>
  <c r="H11" i="6"/>
  <c r="BG10" i="6" a="1"/>
  <c r="AK10" i="6"/>
  <c r="AJ10" i="6"/>
  <c r="AI10" i="6"/>
  <c r="AI14" i="6" s="1"/>
  <c r="AH10" i="6"/>
  <c r="AG10" i="6"/>
  <c r="AG14" i="6" s="1"/>
  <c r="AF10" i="6"/>
  <c r="AE10" i="6"/>
  <c r="N10" i="6"/>
  <c r="K10" i="6" s="1"/>
  <c r="K14" i="6" s="1"/>
  <c r="M10" i="6"/>
  <c r="L10" i="6"/>
  <c r="J10" i="6"/>
  <c r="I10" i="6"/>
  <c r="H10" i="6"/>
  <c r="BG9" i="6" a="1"/>
  <c r="AK9" i="6"/>
  <c r="AH9" i="6" s="1"/>
  <c r="AJ9" i="6"/>
  <c r="BE9" i="6" s="1"/>
  <c r="AI9" i="6"/>
  <c r="AG9" i="6"/>
  <c r="AG13" i="6" s="1"/>
  <c r="AF9" i="6"/>
  <c r="AE9" i="6"/>
  <c r="N9" i="6"/>
  <c r="K9" i="6" s="1"/>
  <c r="K13" i="6" s="1"/>
  <c r="M9" i="6"/>
  <c r="L9" i="6"/>
  <c r="L13" i="6" s="1"/>
  <c r="J9" i="6"/>
  <c r="I9" i="6"/>
  <c r="H9" i="6"/>
  <c r="AK8" i="6"/>
  <c r="BF8" i="6" s="1"/>
  <c r="AJ8" i="6"/>
  <c r="AI8" i="6"/>
  <c r="AG8" i="6"/>
  <c r="BB8" i="6" s="1"/>
  <c r="AF8" i="6"/>
  <c r="AE8" i="6"/>
  <c r="N8" i="6"/>
  <c r="K8" i="6" s="1"/>
  <c r="M8" i="6"/>
  <c r="L8" i="6"/>
  <c r="J8" i="6"/>
  <c r="I8" i="6"/>
  <c r="H8" i="6"/>
  <c r="AK7" i="6"/>
  <c r="BG7" i="6" s="1" a="1"/>
  <c r="BG7" i="6" s="1"/>
  <c r="AJ7" i="6"/>
  <c r="AI7" i="6"/>
  <c r="BD7" i="6" s="1"/>
  <c r="AH7" i="6"/>
  <c r="BC7" i="6" s="1"/>
  <c r="AG7" i="6"/>
  <c r="AF7" i="6"/>
  <c r="AE7" i="6"/>
  <c r="N7" i="6"/>
  <c r="K7" i="6" s="1"/>
  <c r="M7" i="6"/>
  <c r="L7" i="6"/>
  <c r="J7" i="6"/>
  <c r="I7" i="6"/>
  <c r="H7" i="6"/>
  <c r="BG6" i="6" a="1"/>
  <c r="AK6" i="6"/>
  <c r="AH6" i="6" s="1"/>
  <c r="AJ6" i="6"/>
  <c r="AI6" i="6"/>
  <c r="AG6" i="6"/>
  <c r="AF6" i="6"/>
  <c r="AE6" i="6"/>
  <c r="N6" i="6"/>
  <c r="M6" i="6"/>
  <c r="L6" i="6"/>
  <c r="J6" i="6"/>
  <c r="BB6" i="6" s="1"/>
  <c r="I6" i="6"/>
  <c r="H6" i="6"/>
  <c r="AK5" i="6"/>
  <c r="AJ5" i="6"/>
  <c r="AI5" i="6"/>
  <c r="AG5" i="6"/>
  <c r="AG12" i="6" s="1"/>
  <c r="AF5" i="6"/>
  <c r="AE5" i="6"/>
  <c r="N5" i="6"/>
  <c r="K5" i="6" s="1"/>
  <c r="M5" i="6"/>
  <c r="L5" i="6"/>
  <c r="BD5" i="6" s="1"/>
  <c r="J5" i="6"/>
  <c r="BB5" i="6" s="1"/>
  <c r="I5" i="6"/>
  <c r="H5" i="6"/>
  <c r="AE1" i="6"/>
  <c r="H1" i="6"/>
  <c r="AZ18" i="5"/>
  <c r="AY18" i="5"/>
  <c r="AX18" i="5"/>
  <c r="AW18" i="5"/>
  <c r="AC18" i="5"/>
  <c r="AB18" i="5"/>
  <c r="AY19" i="5" s="1"/>
  <c r="AA18" i="5"/>
  <c r="AX19" i="5" s="1"/>
  <c r="Z18" i="5"/>
  <c r="AW19" i="5" s="1"/>
  <c r="AZ16" i="5"/>
  <c r="AY16" i="5"/>
  <c r="AX16" i="5"/>
  <c r="AW16" i="5"/>
  <c r="AC16" i="5"/>
  <c r="AB16" i="5"/>
  <c r="AA16" i="5"/>
  <c r="Z16" i="5"/>
  <c r="AG14" i="5"/>
  <c r="BG11" i="5" a="1"/>
  <c r="AK11" i="5"/>
  <c r="BF11" i="5" s="1"/>
  <c r="AJ11" i="5"/>
  <c r="AI11" i="5"/>
  <c r="AG11" i="5"/>
  <c r="AF11" i="5"/>
  <c r="AE11" i="5"/>
  <c r="N11" i="5"/>
  <c r="K11" i="5" s="1"/>
  <c r="M11" i="5"/>
  <c r="L11" i="5"/>
  <c r="J11" i="5"/>
  <c r="BB11" i="5" s="1"/>
  <c r="I11" i="5"/>
  <c r="H11" i="5"/>
  <c r="AK10" i="5"/>
  <c r="AH10" i="5" s="1"/>
  <c r="AJ10" i="5"/>
  <c r="AJ14" i="5" s="1"/>
  <c r="AI10" i="5"/>
  <c r="AG10" i="5"/>
  <c r="AF10" i="5"/>
  <c r="AE10" i="5"/>
  <c r="N10" i="5"/>
  <c r="K10" i="5" s="1"/>
  <c r="M10" i="5"/>
  <c r="L10" i="5"/>
  <c r="BD10" i="5" s="1"/>
  <c r="J10" i="5"/>
  <c r="BB10" i="5" s="1"/>
  <c r="I10" i="5"/>
  <c r="H10" i="5"/>
  <c r="AK9" i="5"/>
  <c r="AJ9" i="5"/>
  <c r="AJ13" i="5" s="1"/>
  <c r="BE13" i="5" s="1"/>
  <c r="AI9" i="5"/>
  <c r="AG9" i="5"/>
  <c r="BB9" i="5" s="1"/>
  <c r="AF9" i="5"/>
  <c r="AE9" i="5"/>
  <c r="N9" i="5"/>
  <c r="M9" i="5"/>
  <c r="M13" i="5" s="1"/>
  <c r="L9" i="5"/>
  <c r="L13" i="5" s="1"/>
  <c r="K9" i="5"/>
  <c r="K13" i="5" s="1"/>
  <c r="J9" i="5"/>
  <c r="J13" i="5" s="1"/>
  <c r="I9" i="5"/>
  <c r="H9" i="5"/>
  <c r="BG8" i="5" a="1"/>
  <c r="AK8" i="5"/>
  <c r="AH8" i="5" s="1"/>
  <c r="AJ8" i="5"/>
  <c r="BE8" i="5" s="1"/>
  <c r="AI8" i="5"/>
  <c r="AG8" i="5"/>
  <c r="AF8" i="5"/>
  <c r="AE8" i="5"/>
  <c r="N8" i="5"/>
  <c r="M8" i="5"/>
  <c r="L8" i="5"/>
  <c r="J8" i="5"/>
  <c r="BB8" i="5" s="1"/>
  <c r="I8" i="5"/>
  <c r="H8" i="5"/>
  <c r="BG7" i="5" a="1"/>
  <c r="AK7" i="5"/>
  <c r="AJ7" i="5"/>
  <c r="AI7" i="5"/>
  <c r="AH7" i="5"/>
  <c r="AG7" i="5"/>
  <c r="AF7" i="5"/>
  <c r="AE7" i="5"/>
  <c r="N7" i="5"/>
  <c r="K7" i="5" s="1"/>
  <c r="BC7" i="5" s="1"/>
  <c r="M7" i="5"/>
  <c r="BE7" i="5" s="1"/>
  <c r="L7" i="5"/>
  <c r="J7" i="5"/>
  <c r="I7" i="5"/>
  <c r="H7" i="5"/>
  <c r="AK6" i="5"/>
  <c r="AH6" i="5" s="1"/>
  <c r="AJ6" i="5"/>
  <c r="AI6" i="5"/>
  <c r="BD6" i="5" s="1"/>
  <c r="AG6" i="5"/>
  <c r="AF6" i="5"/>
  <c r="AE6" i="5"/>
  <c r="N6" i="5"/>
  <c r="K6" i="5" s="1"/>
  <c r="M6" i="5"/>
  <c r="L6" i="5"/>
  <c r="L12" i="5" s="1"/>
  <c r="J6" i="5"/>
  <c r="I6" i="5"/>
  <c r="H6" i="5"/>
  <c r="BG5" i="5" a="1"/>
  <c r="AK5" i="5"/>
  <c r="AH5" i="5" s="1"/>
  <c r="AH12" i="5" s="1"/>
  <c r="AJ5" i="5"/>
  <c r="AI5" i="5"/>
  <c r="AG5" i="5"/>
  <c r="AF5" i="5"/>
  <c r="AE5" i="5"/>
  <c r="N5" i="5"/>
  <c r="K5" i="5" s="1"/>
  <c r="M5" i="5"/>
  <c r="L5" i="5"/>
  <c r="J5" i="5"/>
  <c r="I5" i="5"/>
  <c r="H5" i="5"/>
  <c r="AE1" i="5"/>
  <c r="H1" i="5"/>
  <c r="BC46" i="3"/>
  <c r="BB46" i="3"/>
  <c r="BB47" i="3" s="1"/>
  <c r="C14" i="1" s="1"/>
  <c r="BA46" i="3"/>
  <c r="AZ46" i="3"/>
  <c r="AE46" i="3"/>
  <c r="AD46" i="3"/>
  <c r="AC46" i="3"/>
  <c r="AB46" i="3"/>
  <c r="BC44" i="3"/>
  <c r="BC45" i="3" s="1"/>
  <c r="BB44" i="3"/>
  <c r="BB45" i="3" s="1"/>
  <c r="BA44" i="3"/>
  <c r="AZ44" i="3"/>
  <c r="AE44" i="3"/>
  <c r="AD44" i="3"/>
  <c r="AC44" i="3"/>
  <c r="AB44" i="3"/>
  <c r="J41" i="3"/>
  <c r="BF39" i="3"/>
  <c r="AL39" i="3"/>
  <c r="AI39" i="3" s="1"/>
  <c r="AK39" i="3"/>
  <c r="AJ39" i="3"/>
  <c r="AH39" i="3"/>
  <c r="AG39" i="3"/>
  <c r="N39" i="3"/>
  <c r="K39" i="3" s="1"/>
  <c r="BE39" i="3" s="1"/>
  <c r="M39" i="3"/>
  <c r="L39" i="3"/>
  <c r="J39" i="3"/>
  <c r="I39" i="3"/>
  <c r="BF38" i="3"/>
  <c r="AL38" i="3"/>
  <c r="BG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K36" i="3"/>
  <c r="AJ36" i="3"/>
  <c r="AH36" i="3"/>
  <c r="AG36" i="3"/>
  <c r="N36" i="3"/>
  <c r="K36" i="3" s="1"/>
  <c r="M36" i="3"/>
  <c r="L36" i="3"/>
  <c r="J36" i="3"/>
  <c r="I36" i="3"/>
  <c r="BF35" i="3"/>
  <c r="AL35" i="3"/>
  <c r="AI35" i="3" s="1"/>
  <c r="AK35" i="3"/>
  <c r="AJ35" i="3"/>
  <c r="AH35" i="3"/>
  <c r="AG35" i="3"/>
  <c r="N35" i="3"/>
  <c r="M35" i="3"/>
  <c r="L35" i="3"/>
  <c r="K35" i="3"/>
  <c r="J35" i="3"/>
  <c r="I35" i="3"/>
  <c r="BF34" i="3"/>
  <c r="AL34" i="3"/>
  <c r="AI34" i="3" s="1"/>
  <c r="AK34" i="3"/>
  <c r="AJ34" i="3"/>
  <c r="AH34" i="3"/>
  <c r="AG34" i="3"/>
  <c r="N34" i="3"/>
  <c r="BG34" i="3" s="1"/>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M32" i="3"/>
  <c r="L32" i="3"/>
  <c r="K32" i="3"/>
  <c r="J32" i="3"/>
  <c r="I32" i="3"/>
  <c r="BF31" i="3"/>
  <c r="AL31" i="3"/>
  <c r="AK31" i="3"/>
  <c r="AK42" i="3" s="1"/>
  <c r="AJ31" i="3"/>
  <c r="AH31" i="3"/>
  <c r="AG31" i="3"/>
  <c r="N31" i="3"/>
  <c r="K31" i="3" s="1"/>
  <c r="M31" i="3"/>
  <c r="L31" i="3"/>
  <c r="J31" i="3"/>
  <c r="I31" i="3"/>
  <c r="BF30" i="3"/>
  <c r="AL30" i="3"/>
  <c r="AI30" i="3" s="1"/>
  <c r="AK30" i="3"/>
  <c r="AJ30" i="3"/>
  <c r="AH30" i="3"/>
  <c r="AH42" i="3" s="1"/>
  <c r="AG30" i="3"/>
  <c r="N30" i="3"/>
  <c r="M30" i="3"/>
  <c r="L30" i="3"/>
  <c r="J30" i="3"/>
  <c r="J42" i="3" s="1"/>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K26" i="3"/>
  <c r="AJ26" i="3"/>
  <c r="AI26" i="3"/>
  <c r="AH26" i="3"/>
  <c r="AG26" i="3"/>
  <c r="N26" i="3"/>
  <c r="BG26" i="3" s="1"/>
  <c r="M26" i="3"/>
  <c r="L26" i="3"/>
  <c r="J26" i="3"/>
  <c r="I26" i="3"/>
  <c r="BF25" i="3"/>
  <c r="AL25" i="3"/>
  <c r="AK25" i="3"/>
  <c r="AJ25" i="3"/>
  <c r="AH25" i="3"/>
  <c r="AG25" i="3"/>
  <c r="N25" i="3"/>
  <c r="K25" i="3" s="1"/>
  <c r="M25" i="3"/>
  <c r="L25" i="3"/>
  <c r="J25" i="3"/>
  <c r="I25" i="3"/>
  <c r="BF24" i="3"/>
  <c r="AL24" i="3"/>
  <c r="AK24" i="3"/>
  <c r="AJ24" i="3"/>
  <c r="AI24" i="3"/>
  <c r="AH24" i="3"/>
  <c r="AG24" i="3"/>
  <c r="N24" i="3"/>
  <c r="K24" i="3" s="1"/>
  <c r="M24" i="3"/>
  <c r="L24" i="3"/>
  <c r="J24" i="3"/>
  <c r="I24" i="3"/>
  <c r="BF23" i="3"/>
  <c r="AL23" i="3"/>
  <c r="AI23" i="3" s="1"/>
  <c r="AK23" i="3"/>
  <c r="AJ23" i="3"/>
  <c r="AH23" i="3"/>
  <c r="AG23" i="3"/>
  <c r="N23" i="3"/>
  <c r="K23" i="3" s="1"/>
  <c r="M23" i="3"/>
  <c r="L23" i="3"/>
  <c r="J23" i="3"/>
  <c r="I23" i="3"/>
  <c r="BF22" i="3"/>
  <c r="AL22" i="3"/>
  <c r="AK22" i="3"/>
  <c r="AJ22" i="3"/>
  <c r="AI22" i="3"/>
  <c r="AH22" i="3"/>
  <c r="AG22" i="3"/>
  <c r="N22" i="3"/>
  <c r="K22" i="3" s="1"/>
  <c r="M22" i="3"/>
  <c r="L22" i="3"/>
  <c r="J22" i="3"/>
  <c r="I22" i="3"/>
  <c r="BF21" i="3"/>
  <c r="AL21" i="3"/>
  <c r="BG21" i="3" s="1"/>
  <c r="AK21" i="3"/>
  <c r="AJ21" i="3"/>
  <c r="AI21" i="3"/>
  <c r="BE21" i="3" s="1"/>
  <c r="AH21" i="3"/>
  <c r="AG21" i="3"/>
  <c r="N21" i="3"/>
  <c r="K21" i="3" s="1"/>
  <c r="M21" i="3"/>
  <c r="L21" i="3"/>
  <c r="J21" i="3"/>
  <c r="I21" i="3"/>
  <c r="BG20" i="3"/>
  <c r="BF20" i="3"/>
  <c r="AL20" i="3"/>
  <c r="AK20" i="3"/>
  <c r="AJ20" i="3"/>
  <c r="AI20" i="3"/>
  <c r="BE20" i="3" s="1"/>
  <c r="AH20" i="3"/>
  <c r="AG20" i="3"/>
  <c r="N20" i="3"/>
  <c r="M20" i="3"/>
  <c r="L20" i="3"/>
  <c r="K20" i="3"/>
  <c r="J20" i="3"/>
  <c r="I20" i="3"/>
  <c r="BF19" i="3"/>
  <c r="AL19" i="3"/>
  <c r="AK19" i="3"/>
  <c r="AJ19" i="3"/>
  <c r="AH19" i="3"/>
  <c r="AG19" i="3"/>
  <c r="N19" i="3"/>
  <c r="M19" i="3"/>
  <c r="L19" i="3"/>
  <c r="K19" i="3"/>
  <c r="J19" i="3"/>
  <c r="I19" i="3"/>
  <c r="BF18" i="3"/>
  <c r="AL18" i="3"/>
  <c r="AK18" i="3"/>
  <c r="AJ18" i="3"/>
  <c r="AI18" i="3"/>
  <c r="AH18" i="3"/>
  <c r="AG18" i="3"/>
  <c r="N18" i="3"/>
  <c r="BG18" i="3" s="1"/>
  <c r="M18" i="3"/>
  <c r="L18" i="3"/>
  <c r="K18" i="3"/>
  <c r="BE18" i="3" s="1"/>
  <c r="J18" i="3"/>
  <c r="I18" i="3"/>
  <c r="BF17" i="3"/>
  <c r="AL17" i="3"/>
  <c r="AK17" i="3"/>
  <c r="AJ17" i="3"/>
  <c r="AH17" i="3"/>
  <c r="AG17" i="3"/>
  <c r="N17" i="3"/>
  <c r="K17" i="3" s="1"/>
  <c r="M17" i="3"/>
  <c r="L17" i="3"/>
  <c r="J17" i="3"/>
  <c r="I17" i="3"/>
  <c r="BF16" i="3"/>
  <c r="AL16" i="3"/>
  <c r="AI16" i="3" s="1"/>
  <c r="AK16" i="3"/>
  <c r="AJ16" i="3"/>
  <c r="AH16" i="3"/>
  <c r="AG16" i="3"/>
  <c r="N16" i="3"/>
  <c r="M16" i="3"/>
  <c r="L16" i="3"/>
  <c r="K16" i="3"/>
  <c r="J16" i="3"/>
  <c r="I16" i="3"/>
  <c r="BH15" i="3" a="1"/>
  <c r="BF15" i="3"/>
  <c r="AL15" i="3"/>
  <c r="AI15" i="3" s="1"/>
  <c r="AK15" i="3"/>
  <c r="AJ15" i="3"/>
  <c r="AH15" i="3"/>
  <c r="AG15" i="3"/>
  <c r="N15" i="3"/>
  <c r="M15" i="3"/>
  <c r="L15" i="3"/>
  <c r="K15" i="3"/>
  <c r="J15" i="3"/>
  <c r="I15" i="3"/>
  <c r="BF14" i="3"/>
  <c r="AL14" i="3"/>
  <c r="BG14" i="3" s="1"/>
  <c r="AK14" i="3"/>
  <c r="AJ14" i="3"/>
  <c r="AI14" i="3"/>
  <c r="AH14" i="3"/>
  <c r="AG14" i="3"/>
  <c r="N14" i="3"/>
  <c r="M14" i="3"/>
  <c r="L14" i="3"/>
  <c r="K14" i="3"/>
  <c r="J14" i="3"/>
  <c r="I14" i="3"/>
  <c r="BF13" i="3"/>
  <c r="AL13" i="3"/>
  <c r="AK13" i="3"/>
  <c r="AJ13" i="3"/>
  <c r="AH13" i="3"/>
  <c r="AG13" i="3"/>
  <c r="N13" i="3"/>
  <c r="K13" i="3" s="1"/>
  <c r="M13" i="3"/>
  <c r="L13" i="3"/>
  <c r="J13" i="3"/>
  <c r="I13" i="3"/>
  <c r="BF12" i="3"/>
  <c r="AL12" i="3"/>
  <c r="AI12" i="3" s="1"/>
  <c r="AK12" i="3"/>
  <c r="AJ12" i="3"/>
  <c r="AH12" i="3"/>
  <c r="AG12" i="3"/>
  <c r="N12" i="3"/>
  <c r="M12" i="3"/>
  <c r="L12" i="3"/>
  <c r="K12" i="3"/>
  <c r="J12" i="3"/>
  <c r="I12" i="3"/>
  <c r="BF11" i="3"/>
  <c r="AL11" i="3"/>
  <c r="AI11" i="3" s="1"/>
  <c r="AK11" i="3"/>
  <c r="AJ11" i="3"/>
  <c r="AH11" i="3"/>
  <c r="AG11" i="3"/>
  <c r="N11" i="3"/>
  <c r="K11" i="3" s="1"/>
  <c r="M11" i="3"/>
  <c r="L11" i="3"/>
  <c r="J11" i="3"/>
  <c r="I11" i="3"/>
  <c r="BF10" i="3"/>
  <c r="AL10" i="3"/>
  <c r="AK10" i="3"/>
  <c r="AJ10" i="3"/>
  <c r="AI10" i="3"/>
  <c r="AH10" i="3"/>
  <c r="AG10" i="3"/>
  <c r="N10" i="3"/>
  <c r="M10" i="3"/>
  <c r="L10" i="3"/>
  <c r="K10" i="3"/>
  <c r="J10" i="3"/>
  <c r="I10" i="3"/>
  <c r="BF9" i="3"/>
  <c r="AL9" i="3"/>
  <c r="AK9" i="3"/>
  <c r="AJ9" i="3"/>
  <c r="AI9" i="3"/>
  <c r="AH9" i="3"/>
  <c r="AG9" i="3"/>
  <c r="N9" i="3"/>
  <c r="K9" i="3" s="1"/>
  <c r="M9" i="3"/>
  <c r="L9" i="3"/>
  <c r="J9" i="3"/>
  <c r="I9" i="3"/>
  <c r="BF8" i="3"/>
  <c r="AL8" i="3"/>
  <c r="AK8" i="3"/>
  <c r="AJ8" i="3"/>
  <c r="AH8" i="3"/>
  <c r="AG8" i="3"/>
  <c r="N8" i="3"/>
  <c r="M8" i="3"/>
  <c r="L8" i="3"/>
  <c r="K8" i="3"/>
  <c r="J8" i="3"/>
  <c r="I8" i="3"/>
  <c r="BF7" i="3"/>
  <c r="AL7" i="3"/>
  <c r="AI7" i="3" s="1"/>
  <c r="AK7" i="3"/>
  <c r="AJ7" i="3"/>
  <c r="AH7" i="3"/>
  <c r="AG7" i="3"/>
  <c r="N7" i="3"/>
  <c r="K7" i="3" s="1"/>
  <c r="BE7" i="3" s="1"/>
  <c r="M7" i="3"/>
  <c r="L7" i="3"/>
  <c r="J7" i="3"/>
  <c r="I7" i="3"/>
  <c r="BF6" i="3"/>
  <c r="AL6" i="3"/>
  <c r="BG6" i="3" s="1"/>
  <c r="AK6" i="3"/>
  <c r="AJ6" i="3"/>
  <c r="AI6" i="3"/>
  <c r="AH6" i="3"/>
  <c r="AG6" i="3"/>
  <c r="N6" i="3"/>
  <c r="K6" i="3" s="1"/>
  <c r="M6" i="3"/>
  <c r="L6" i="3"/>
  <c r="J6" i="3"/>
  <c r="I6" i="3"/>
  <c r="BF5" i="3"/>
  <c r="AL5" i="3"/>
  <c r="AI5" i="3" s="1"/>
  <c r="AK5" i="3"/>
  <c r="AK43" i="3" s="1"/>
  <c r="AJ5" i="3"/>
  <c r="AH5" i="3"/>
  <c r="AG5" i="3"/>
  <c r="N5" i="3"/>
  <c r="K5" i="3" s="1"/>
  <c r="M5" i="3"/>
  <c r="L5" i="3"/>
  <c r="J5" i="3"/>
  <c r="I5" i="3"/>
  <c r="AG1" i="3"/>
  <c r="I1" i="3"/>
  <c r="B2" i="2"/>
  <c r="B1" i="2"/>
  <c r="BT35" i="7"/>
  <c r="BQ30" i="7"/>
  <c r="BN25" i="7"/>
  <c r="BL20" i="7"/>
  <c r="BM15" i="7"/>
  <c r="BT30" i="3"/>
  <c r="BR25" i="3"/>
  <c r="BP20" i="3"/>
  <c r="BQ15" i="3"/>
  <c r="BR10" i="3"/>
  <c r="BS5" i="3"/>
  <c r="BM10" i="3"/>
  <c r="BR20" i="3"/>
  <c r="BS35" i="7"/>
  <c r="BP30" i="7"/>
  <c r="BM25" i="7"/>
  <c r="BL15" i="7"/>
  <c r="BT5" i="7"/>
  <c r="BT35" i="3"/>
  <c r="BS30" i="3"/>
  <c r="BQ25" i="3"/>
  <c r="BN20" i="3"/>
  <c r="BJ20" i="3"/>
  <c r="BP15" i="3"/>
  <c r="BQ10" i="3"/>
  <c r="BJ10" i="3"/>
  <c r="BR5" i="3"/>
  <c r="BL30" i="7"/>
  <c r="BQ5" i="7"/>
  <c r="BP30" i="3"/>
  <c r="BK20" i="3"/>
  <c r="BN5" i="3"/>
  <c r="BP10" i="7"/>
  <c r="BT20" i="3"/>
  <c r="BT30" i="7"/>
  <c r="BN10" i="7"/>
  <c r="BT15" i="3"/>
  <c r="BS30" i="7"/>
  <c r="BT25" i="3"/>
  <c r="BR30" i="7"/>
  <c r="BL10" i="7"/>
  <c r="BQ20" i="3"/>
  <c r="BR35" i="7"/>
  <c r="BN30" i="7"/>
  <c r="BL25" i="7"/>
  <c r="BJ15" i="7"/>
  <c r="BS5" i="7"/>
  <c r="BS35" i="3"/>
  <c r="BR30" i="3"/>
  <c r="BP25" i="3"/>
  <c r="BM20" i="3"/>
  <c r="BN15" i="3"/>
  <c r="BK15" i="3"/>
  <c r="BP10" i="3"/>
  <c r="BQ5" i="3"/>
  <c r="BP35" i="7"/>
  <c r="BT10" i="7"/>
  <c r="BM25" i="3"/>
  <c r="BL15" i="3"/>
  <c r="BS25" i="7"/>
  <c r="BL5" i="7"/>
  <c r="BJ5" i="3"/>
  <c r="BP20" i="7"/>
  <c r="BS20" i="3"/>
  <c r="BQ25" i="7"/>
  <c r="BS15" i="3"/>
  <c r="BP25" i="7"/>
  <c r="BS25" i="3"/>
  <c r="BT5" i="3"/>
  <c r="BQ35" i="7"/>
  <c r="BM30" i="7"/>
  <c r="BR5" i="7"/>
  <c r="BR35" i="3"/>
  <c r="BQ30" i="3"/>
  <c r="BK30" i="3"/>
  <c r="BN25" i="3"/>
  <c r="BL20" i="3"/>
  <c r="BM15" i="3"/>
  <c r="BN10" i="3"/>
  <c r="BP5" i="3"/>
  <c r="BQ35" i="3"/>
  <c r="BR15" i="7"/>
  <c r="BQ15" i="7"/>
  <c r="BM10" i="7"/>
  <c r="BS10" i="3"/>
  <c r="BN35" i="7"/>
  <c r="BT20" i="7"/>
  <c r="BS10" i="7"/>
  <c r="BP5" i="7"/>
  <c r="BP35" i="3"/>
  <c r="BK35" i="3"/>
  <c r="BN30" i="3"/>
  <c r="BL25" i="3"/>
  <c r="BJ15" i="3"/>
  <c r="BL10" i="3"/>
  <c r="BM5" i="3"/>
  <c r="BL35" i="7"/>
  <c r="BR20" i="7"/>
  <c r="BQ10" i="7"/>
  <c r="BM35" i="3"/>
  <c r="BL30" i="3"/>
  <c r="BK5" i="3"/>
  <c r="BL35" i="3"/>
  <c r="BR25" i="7"/>
  <c r="BP15" i="7"/>
  <c r="BT10" i="3"/>
  <c r="BM20" i="7"/>
  <c r="BR15" i="3"/>
  <c r="BM35" i="7"/>
  <c r="BS20" i="7"/>
  <c r="BT15" i="7"/>
  <c r="BR10" i="7"/>
  <c r="BK10" i="7"/>
  <c r="BN5" i="7"/>
  <c r="BN35" i="3"/>
  <c r="BM30" i="3"/>
  <c r="BL5" i="3"/>
  <c r="BT25" i="7"/>
  <c r="BS15" i="7"/>
  <c r="BM5" i="7"/>
  <c r="BQ20" i="7"/>
  <c r="BN20" i="7"/>
  <c r="BN15" i="7"/>
  <c r="BG7" i="7" l="1"/>
  <c r="BE8" i="7"/>
  <c r="BG32" i="7"/>
  <c r="BG33" i="7"/>
  <c r="AI24" i="7"/>
  <c r="BG37" i="7"/>
  <c r="AH42" i="7"/>
  <c r="BC45" i="7"/>
  <c r="BE24" i="7"/>
  <c r="AJ42" i="7"/>
  <c r="BE16" i="7"/>
  <c r="BE5" i="6"/>
  <c r="BE6" i="6"/>
  <c r="BB7" i="6"/>
  <c r="BG6" i="6"/>
  <c r="BB9" i="6"/>
  <c r="BG9" i="6"/>
  <c r="BG13" i="6" s="1"/>
  <c r="BE8" i="6"/>
  <c r="AG15" i="6"/>
  <c r="BE10" i="6"/>
  <c r="BB11" i="6"/>
  <c r="AG12" i="5"/>
  <c r="BE11" i="5"/>
  <c r="AW17" i="5"/>
  <c r="AX17" i="5"/>
  <c r="AJ15" i="5"/>
  <c r="AI15" i="5"/>
  <c r="BB6" i="5"/>
  <c r="BB7" i="5"/>
  <c r="AH11" i="5"/>
  <c r="AH14" i="5" s="1"/>
  <c r="AI38" i="3"/>
  <c r="AJ43" i="3"/>
  <c r="AH41" i="3"/>
  <c r="AK41" i="3"/>
  <c r="BE29" i="3"/>
  <c r="BE14" i="3"/>
  <c r="BG15" i="3"/>
  <c r="BG35" i="3"/>
  <c r="BH15" i="3"/>
  <c r="BG16" i="3"/>
  <c r="BE34" i="3"/>
  <c r="BE35" i="3"/>
  <c r="BC47" i="3"/>
  <c r="BE11" i="7"/>
  <c r="BE12" i="7"/>
  <c r="J41" i="7"/>
  <c r="BH30" i="7"/>
  <c r="BB45" i="7"/>
  <c r="BG9" i="7"/>
  <c r="BG14" i="7"/>
  <c r="L43" i="7"/>
  <c r="BG12" i="7"/>
  <c r="BE18" i="7"/>
  <c r="BG16" i="7"/>
  <c r="BG18" i="7"/>
  <c r="BG19" i="7"/>
  <c r="BE19" i="7"/>
  <c r="L40" i="7"/>
  <c r="BE27" i="7"/>
  <c r="BF6" i="6"/>
  <c r="BF11" i="6"/>
  <c r="K6" i="6"/>
  <c r="BC6" i="6" s="1"/>
  <c r="M12" i="6"/>
  <c r="J13" i="6"/>
  <c r="BB13" i="6" s="1"/>
  <c r="BC11" i="6"/>
  <c r="BF10" i="6"/>
  <c r="BD11" i="6"/>
  <c r="C36" i="1"/>
  <c r="L15" i="6"/>
  <c r="J14" i="6"/>
  <c r="BB14" i="6" s="1"/>
  <c r="E33" i="1" s="1"/>
  <c r="BG10" i="6"/>
  <c r="BG14" i="6" s="1"/>
  <c r="BD6" i="6"/>
  <c r="BG11" i="6"/>
  <c r="L14" i="6"/>
  <c r="C23" i="1"/>
  <c r="AY17" i="5"/>
  <c r="K14" i="5"/>
  <c r="AZ17" i="5"/>
  <c r="BF5" i="5"/>
  <c r="BG11" i="5"/>
  <c r="BG5" i="5"/>
  <c r="BD7" i="5"/>
  <c r="L15" i="5"/>
  <c r="BF7" i="5"/>
  <c r="BD8" i="5"/>
  <c r="BG7" i="5"/>
  <c r="BD9" i="5"/>
  <c r="BG8" i="5"/>
  <c r="K40" i="3"/>
  <c r="BE27" i="3"/>
  <c r="BE32" i="3"/>
  <c r="J43" i="3"/>
  <c r="BE23" i="3"/>
  <c r="J40" i="3"/>
  <c r="BE11" i="3"/>
  <c r="BG13" i="3"/>
  <c r="BG22" i="3"/>
  <c r="BG24" i="3"/>
  <c r="BG27" i="3"/>
  <c r="BE33" i="3"/>
  <c r="AZ47" i="3"/>
  <c r="C13" i="1" s="1"/>
  <c r="M41" i="3"/>
  <c r="L40" i="3"/>
  <c r="BE12" i="3"/>
  <c r="BG28" i="3"/>
  <c r="BG32" i="3"/>
  <c r="BE37" i="3"/>
  <c r="BA47" i="3"/>
  <c r="M43" i="3"/>
  <c r="BG7" i="3"/>
  <c r="BG11" i="3"/>
  <c r="BE9" i="3"/>
  <c r="BE24" i="3"/>
  <c r="BE15" i="3"/>
  <c r="BL40" i="3"/>
  <c r="E9" i="1" s="1"/>
  <c r="BL43" i="3"/>
  <c r="E12" i="1" s="1"/>
  <c r="BM42" i="3"/>
  <c r="F11" i="1" s="1"/>
  <c r="BN40" i="7"/>
  <c r="G43" i="1" s="1"/>
  <c r="BR41" i="7"/>
  <c r="J44" i="1" s="1"/>
  <c r="BL42" i="3"/>
  <c r="E11" i="1" s="1"/>
  <c r="BM43" i="3"/>
  <c r="F12" i="1" s="1"/>
  <c r="BL41" i="3"/>
  <c r="E10" i="1" s="1"/>
  <c r="BN42" i="3"/>
  <c r="G11" i="1" s="1"/>
  <c r="BP43" i="3"/>
  <c r="BP40" i="3"/>
  <c r="BN41" i="3"/>
  <c r="G10" i="1" s="1"/>
  <c r="BK42" i="3"/>
  <c r="D11" i="1" s="1"/>
  <c r="BQ42" i="3"/>
  <c r="BR40" i="7"/>
  <c r="BR43" i="7"/>
  <c r="BM42" i="7"/>
  <c r="F45" i="1" s="1"/>
  <c r="BT43" i="3"/>
  <c r="BT40" i="3"/>
  <c r="BS41" i="3"/>
  <c r="K10" i="1" s="1"/>
  <c r="BP41" i="7"/>
  <c r="BQ41" i="7"/>
  <c r="I44" i="1" s="1"/>
  <c r="BL40" i="7"/>
  <c r="E43" i="1" s="1"/>
  <c r="BS41" i="7"/>
  <c r="BM41" i="3"/>
  <c r="F10" i="1" s="1"/>
  <c r="BP41" i="3"/>
  <c r="BR42" i="3"/>
  <c r="J11" i="1" s="1"/>
  <c r="BS40" i="7"/>
  <c r="BS43" i="7"/>
  <c r="BL41" i="7"/>
  <c r="E44" i="1" s="1"/>
  <c r="BN42" i="7"/>
  <c r="G45" i="1" s="1"/>
  <c r="BR42" i="7"/>
  <c r="BT41" i="3"/>
  <c r="BT42" i="7"/>
  <c r="L45" i="1" s="1"/>
  <c r="BN43" i="3"/>
  <c r="G12" i="1" s="1"/>
  <c r="BP42" i="3"/>
  <c r="BL42" i="7"/>
  <c r="E45" i="1" s="1"/>
  <c r="BQ41" i="3"/>
  <c r="BT43" i="7"/>
  <c r="L46" i="1" s="1"/>
  <c r="BM41" i="7"/>
  <c r="F44" i="1" s="1"/>
  <c r="BP42" i="7"/>
  <c r="BS43" i="3"/>
  <c r="BS40" i="3"/>
  <c r="BT42" i="3"/>
  <c r="BN41" i="7"/>
  <c r="G44" i="1" s="1"/>
  <c r="BQ42" i="7"/>
  <c r="I45" i="1" s="1"/>
  <c r="BE5" i="3"/>
  <c r="AI19" i="3"/>
  <c r="BE19" i="3" s="1"/>
  <c r="BG19" i="3"/>
  <c r="AI31" i="3"/>
  <c r="BE31" i="3" s="1"/>
  <c r="BG31" i="3"/>
  <c r="BG36" i="3"/>
  <c r="BH35" i="3" a="1"/>
  <c r="BH35" i="3" s="1"/>
  <c r="AI36" i="3"/>
  <c r="BE36" i="3" s="1"/>
  <c r="M14" i="5"/>
  <c r="BE14" i="5" s="1"/>
  <c r="BE10" i="5"/>
  <c r="AH5" i="6"/>
  <c r="BG5" i="6" a="1"/>
  <c r="BG5" i="6" s="1"/>
  <c r="BF5" i="6"/>
  <c r="AI13" i="6"/>
  <c r="BD13" i="6" s="1"/>
  <c r="BD9" i="6"/>
  <c r="BH5" i="7" a="1"/>
  <c r="BH5" i="7" s="1"/>
  <c r="BG5" i="7"/>
  <c r="AI5" i="7"/>
  <c r="K7" i="7"/>
  <c r="AI17" i="7"/>
  <c r="BE17" i="7" s="1"/>
  <c r="BG17" i="7"/>
  <c r="BE30" i="7"/>
  <c r="BG34" i="7"/>
  <c r="AI34" i="7"/>
  <c r="BE34" i="7" s="1"/>
  <c r="K37" i="7"/>
  <c r="BE37" i="7" s="1"/>
  <c r="BE6" i="3"/>
  <c r="BR41" i="3"/>
  <c r="BS42" i="3"/>
  <c r="BD8" i="6"/>
  <c r="AI15" i="6"/>
  <c r="BD15" i="6" s="1"/>
  <c r="BH15" i="7" a="1"/>
  <c r="BH15" i="7" s="1"/>
  <c r="BG29" i="7"/>
  <c r="C48" i="1"/>
  <c r="I10" i="1"/>
  <c r="BE10" i="3"/>
  <c r="AI13" i="3"/>
  <c r="BE13" i="3" s="1"/>
  <c r="BE28" i="3"/>
  <c r="L12" i="6"/>
  <c r="AI25" i="7"/>
  <c r="BG25" i="7"/>
  <c r="BH25" i="7" a="1"/>
  <c r="BH25" i="7" s="1"/>
  <c r="BH41" i="7" s="1"/>
  <c r="BG30" i="7"/>
  <c r="BG36" i="7"/>
  <c r="K36" i="7"/>
  <c r="AJ41" i="3"/>
  <c r="H10" i="1"/>
  <c r="L43" i="3"/>
  <c r="M40" i="3"/>
  <c r="BG10" i="3"/>
  <c r="K15" i="5"/>
  <c r="BC5" i="5"/>
  <c r="BF9" i="5"/>
  <c r="BG9" i="5" a="1"/>
  <c r="BG9" i="5" s="1"/>
  <c r="BG13" i="5" s="1"/>
  <c r="AH9" i="5"/>
  <c r="D20" i="1"/>
  <c r="BC10" i="6"/>
  <c r="BJ40" i="3"/>
  <c r="C9" i="1" s="1"/>
  <c r="BM43" i="7"/>
  <c r="F46" i="1" s="1"/>
  <c r="BM40" i="7"/>
  <c r="F43" i="1" s="1"/>
  <c r="BG8" i="3"/>
  <c r="AI8" i="3"/>
  <c r="BE8" i="3" s="1"/>
  <c r="H12" i="1"/>
  <c r="BG21" i="7"/>
  <c r="K21" i="7"/>
  <c r="BE21" i="7" s="1"/>
  <c r="M42" i="3"/>
  <c r="J15" i="5"/>
  <c r="J12" i="5"/>
  <c r="BB12" i="5" s="1"/>
  <c r="BB5" i="5"/>
  <c r="AI13" i="5"/>
  <c r="BD13" i="5" s="1"/>
  <c r="BB10" i="6"/>
  <c r="L42" i="3"/>
  <c r="BD5" i="5"/>
  <c r="BD10" i="6"/>
  <c r="AJ13" i="6"/>
  <c r="BE13" i="6" s="1"/>
  <c r="BG6" i="7"/>
  <c r="BG11" i="7"/>
  <c r="BE32" i="7"/>
  <c r="BG39" i="7"/>
  <c r="AI39" i="7"/>
  <c r="BE39" i="7" s="1"/>
  <c r="AI12" i="5"/>
  <c r="BD12" i="5" s="1"/>
  <c r="BH20" i="3" a="1"/>
  <c r="BH20" i="3" s="1"/>
  <c r="BQ43" i="7"/>
  <c r="BQ40" i="7"/>
  <c r="BG17" i="3"/>
  <c r="AI17" i="3"/>
  <c r="BE17" i="3" s="1"/>
  <c r="C24" i="1"/>
  <c r="BE7" i="6"/>
  <c r="AJ15" i="6"/>
  <c r="BG8" i="7"/>
  <c r="BE14" i="7"/>
  <c r="L42" i="7"/>
  <c r="BG12" i="3"/>
  <c r="BG25" i="3"/>
  <c r="BH25" i="3" a="1"/>
  <c r="BH25" i="3" s="1"/>
  <c r="BH41" i="3" s="1"/>
  <c r="AI25" i="3"/>
  <c r="AJ40" i="3"/>
  <c r="BE38" i="3"/>
  <c r="K9" i="1"/>
  <c r="K8" i="5"/>
  <c r="BC8" i="5" s="1"/>
  <c r="BF8" i="5"/>
  <c r="BG10" i="5" a="1"/>
  <c r="BG10" i="5" s="1"/>
  <c r="BG14" i="5" s="1"/>
  <c r="BD11" i="5"/>
  <c r="AI14" i="5"/>
  <c r="BE14" i="6"/>
  <c r="BG13" i="7"/>
  <c r="BG26" i="7"/>
  <c r="AI26" i="7"/>
  <c r="BE26" i="7" s="1"/>
  <c r="BG31" i="7"/>
  <c r="AI31" i="7"/>
  <c r="BE31" i="7" s="1"/>
  <c r="BD14" i="6"/>
  <c r="BH30" i="3" a="1"/>
  <c r="BH30" i="3" s="1"/>
  <c r="BH42" i="3" s="1"/>
  <c r="BE36" i="7"/>
  <c r="BG23" i="3"/>
  <c r="BE16" i="3"/>
  <c r="AK40" i="3"/>
  <c r="BE22" i="3"/>
  <c r="AK43" i="7"/>
  <c r="AK40" i="7"/>
  <c r="J43" i="7"/>
  <c r="BH10" i="7" a="1"/>
  <c r="BH10" i="7" s="1"/>
  <c r="BG10" i="7"/>
  <c r="AI10" i="7"/>
  <c r="BE10" i="7" s="1"/>
  <c r="BE20" i="7"/>
  <c r="BT41" i="7"/>
  <c r="BS42" i="7"/>
  <c r="BE33" i="7"/>
  <c r="BM40" i="3"/>
  <c r="F9" i="1" s="1"/>
  <c r="BG6" i="5" a="1"/>
  <c r="BG6" i="5" s="1"/>
  <c r="BG12" i="5" s="1"/>
  <c r="AG13" i="5"/>
  <c r="BB13" i="5" s="1"/>
  <c r="AI12" i="6"/>
  <c r="M14" i="6"/>
  <c r="AH43" i="7"/>
  <c r="AH40" i="7"/>
  <c r="K35" i="7"/>
  <c r="K42" i="7" s="1"/>
  <c r="BT40" i="7"/>
  <c r="BH5" i="3" a="1"/>
  <c r="BH5" i="3" s="1"/>
  <c r="BG29" i="3"/>
  <c r="AJ42" i="3"/>
  <c r="BG39" i="3"/>
  <c r="BN40" i="3"/>
  <c r="G9" i="1" s="1"/>
  <c r="L14" i="5"/>
  <c r="BF10" i="5"/>
  <c r="AJ12" i="6"/>
  <c r="BE12" i="6" s="1"/>
  <c r="BP43" i="7"/>
  <c r="BP40" i="7"/>
  <c r="BG15" i="7"/>
  <c r="J42" i="7"/>
  <c r="J40" i="7"/>
  <c r="M12" i="5"/>
  <c r="BC9" i="6"/>
  <c r="AH13" i="6"/>
  <c r="BC13" i="6" s="1"/>
  <c r="BE7" i="7"/>
  <c r="BG9" i="3"/>
  <c r="K30" i="3"/>
  <c r="BG30" i="3"/>
  <c r="BG37" i="3"/>
  <c r="AZ45" i="3"/>
  <c r="BC6" i="5"/>
  <c r="K10" i="7"/>
  <c r="BG27" i="7"/>
  <c r="BH35" i="7" a="1"/>
  <c r="BH35" i="7" s="1"/>
  <c r="BH42" i="7" s="1"/>
  <c r="BG35" i="7"/>
  <c r="BE5" i="5"/>
  <c r="AJ12" i="5"/>
  <c r="J12" i="6"/>
  <c r="BB12" i="6" s="1"/>
  <c r="BG8" i="6" a="1"/>
  <c r="BG8" i="6" s="1"/>
  <c r="AH43" i="3"/>
  <c r="AH40" i="3"/>
  <c r="BA45" i="3"/>
  <c r="M15" i="5"/>
  <c r="BE15" i="5" s="1"/>
  <c r="M15" i="6"/>
  <c r="J15" i="6"/>
  <c r="BB15" i="6" s="1"/>
  <c r="K15" i="7"/>
  <c r="BE15" i="7" s="1"/>
  <c r="K41" i="7"/>
  <c r="BL43" i="7"/>
  <c r="E46" i="1" s="1"/>
  <c r="BQ43" i="3"/>
  <c r="BQ40" i="3"/>
  <c r="BH10" i="3" a="1"/>
  <c r="BH10" i="3" s="1"/>
  <c r="L41" i="3"/>
  <c r="BE9" i="5"/>
  <c r="J14" i="5"/>
  <c r="BB14" i="5" s="1"/>
  <c r="AG15" i="5"/>
  <c r="BB15" i="5" s="1"/>
  <c r="BF7" i="6"/>
  <c r="AW19" i="6"/>
  <c r="BH20" i="7" a="1"/>
  <c r="BH20" i="7" s="1"/>
  <c r="BN43" i="7"/>
  <c r="G46" i="1" s="1"/>
  <c r="BG5" i="3"/>
  <c r="K26" i="3"/>
  <c r="BE26" i="3" s="1"/>
  <c r="BG33" i="3"/>
  <c r="BE6" i="5"/>
  <c r="BC10" i="5"/>
  <c r="AZ19" i="5"/>
  <c r="AH8" i="6"/>
  <c r="BC8" i="6" s="1"/>
  <c r="BF9" i="6"/>
  <c r="AW17" i="6"/>
  <c r="M43" i="7"/>
  <c r="M40" i="7"/>
  <c r="BE13" i="7"/>
  <c r="AI23" i="7"/>
  <c r="BE23" i="7" s="1"/>
  <c r="M41" i="7"/>
  <c r="BE29" i="7"/>
  <c r="BR43" i="3"/>
  <c r="BR40" i="3"/>
  <c r="BF6" i="5"/>
  <c r="AH14" i="6"/>
  <c r="BC14" i="6" s="1"/>
  <c r="BE9" i="7"/>
  <c r="AK42" i="7"/>
  <c r="BJ25" i="3"/>
  <c r="BK35" i="7"/>
  <c r="BJ30" i="7"/>
  <c r="BK5" i="7"/>
  <c r="BK25" i="7"/>
  <c r="BJ20" i="7"/>
  <c r="BJ35" i="7"/>
  <c r="BJ35" i="3"/>
  <c r="BJ25" i="7"/>
  <c r="BJ10" i="7"/>
  <c r="BK20" i="7"/>
  <c r="BJ30" i="3"/>
  <c r="BK30" i="7"/>
  <c r="BJ5" i="7"/>
  <c r="BK10" i="3"/>
  <c r="BK15" i="7"/>
  <c r="BK25" i="3"/>
  <c r="AI42" i="7" l="1"/>
  <c r="BC11" i="5"/>
  <c r="AH15" i="5"/>
  <c r="BC14" i="5"/>
  <c r="C21" i="1" s="1"/>
  <c r="BD15" i="5"/>
  <c r="K43" i="7"/>
  <c r="K12" i="6"/>
  <c r="BE15" i="6"/>
  <c r="K15" i="6"/>
  <c r="BD14" i="5"/>
  <c r="BC15" i="5"/>
  <c r="BE12" i="5"/>
  <c r="D19" i="1" s="1"/>
  <c r="K12" i="5"/>
  <c r="BC12" i="5" s="1"/>
  <c r="C19" i="1" s="1"/>
  <c r="H9" i="1"/>
  <c r="BK41" i="3"/>
  <c r="D10" i="1" s="1"/>
  <c r="BK40" i="3"/>
  <c r="D9" i="1" s="1"/>
  <c r="BK43" i="3"/>
  <c r="D12" i="1" s="1"/>
  <c r="BK42" i="7"/>
  <c r="D45" i="1" s="1"/>
  <c r="BJ42" i="3"/>
  <c r="C11" i="1" s="1"/>
  <c r="BJ41" i="7"/>
  <c r="C44" i="1" s="1"/>
  <c r="BK41" i="7"/>
  <c r="D44" i="1" s="1"/>
  <c r="BJ42" i="7"/>
  <c r="C45" i="1" s="1"/>
  <c r="BJ41" i="3"/>
  <c r="C10" i="1" s="1"/>
  <c r="BJ43" i="3"/>
  <c r="C12" i="1" s="1"/>
  <c r="H44" i="1"/>
  <c r="I11" i="1"/>
  <c r="H11" i="1"/>
  <c r="L9" i="1"/>
  <c r="K46" i="1"/>
  <c r="L11" i="1"/>
  <c r="K43" i="1"/>
  <c r="K44" i="1"/>
  <c r="H45" i="1"/>
  <c r="L12" i="1"/>
  <c r="J46" i="1"/>
  <c r="K12" i="1"/>
  <c r="J45" i="1"/>
  <c r="L10" i="1"/>
  <c r="J43" i="1"/>
  <c r="E21" i="1"/>
  <c r="E34" i="1"/>
  <c r="E19" i="1"/>
  <c r="E31" i="1"/>
  <c r="K45" i="1"/>
  <c r="L43" i="1"/>
  <c r="AI41" i="3"/>
  <c r="BE25" i="3"/>
  <c r="C35" i="1"/>
  <c r="H43" i="1"/>
  <c r="L44" i="1"/>
  <c r="E22" i="1"/>
  <c r="BE42" i="7"/>
  <c r="I46" i="1"/>
  <c r="D21" i="1"/>
  <c r="C32" i="1"/>
  <c r="BD12" i="6"/>
  <c r="K43" i="3"/>
  <c r="AI42" i="3"/>
  <c r="C33" i="1"/>
  <c r="BC9" i="5"/>
  <c r="AH13" i="5"/>
  <c r="BC13" i="5" s="1"/>
  <c r="K42" i="3"/>
  <c r="BE30" i="3"/>
  <c r="BG12" i="6"/>
  <c r="BG15" i="6"/>
  <c r="I43" i="1"/>
  <c r="K11" i="1"/>
  <c r="AI43" i="3"/>
  <c r="BE43" i="3" s="1"/>
  <c r="D22" i="1"/>
  <c r="E20" i="1"/>
  <c r="D32" i="1"/>
  <c r="E32" i="1"/>
  <c r="J10" i="1"/>
  <c r="BE5" i="7"/>
  <c r="AI40" i="7"/>
  <c r="BE40" i="7" s="1"/>
  <c r="AI43" i="7"/>
  <c r="BE43" i="7" s="1"/>
  <c r="AI41" i="7"/>
  <c r="BE41" i="7" s="1"/>
  <c r="BE25" i="7"/>
  <c r="D31" i="1"/>
  <c r="AI40" i="3"/>
  <c r="BE40" i="3" s="1"/>
  <c r="K40" i="7"/>
  <c r="H46" i="1"/>
  <c r="D33" i="1"/>
  <c r="J12" i="1"/>
  <c r="BE35" i="7"/>
  <c r="K41" i="3"/>
  <c r="BH43" i="7"/>
  <c r="BH40" i="7"/>
  <c r="BH40" i="3"/>
  <c r="BH43" i="3"/>
  <c r="J9" i="1"/>
  <c r="BC5" i="6"/>
  <c r="AH15" i="6"/>
  <c r="BC15" i="6" s="1"/>
  <c r="AH12" i="6"/>
  <c r="BC12" i="6" s="1"/>
  <c r="D34" i="1"/>
  <c r="I9" i="1"/>
  <c r="BK43" i="7"/>
  <c r="D46" i="1" s="1"/>
  <c r="BK40" i="7"/>
  <c r="D43" i="1" s="1"/>
  <c r="I12" i="1"/>
  <c r="BG15" i="5"/>
  <c r="BJ43" i="7"/>
  <c r="C46" i="1" s="1"/>
  <c r="BJ40" i="7"/>
  <c r="C43" i="1" s="1"/>
  <c r="C22" i="1" l="1"/>
  <c r="BE42" i="3"/>
  <c r="C31" i="1"/>
  <c r="BE41" i="3"/>
  <c r="C34" i="1"/>
  <c r="C20"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<sst xmlns="http://schemas.openxmlformats.org/spreadsheetml/2006/main" count="1459" uniqueCount="575">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</sst>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ALL_master+r120</c:v>
                </c:pt>
              </c:strCache>
            </c:strRef>
          </c:tx>
          <c:spPr>
            <a:ln>
              <a:prstDash val="solid"/>
            </a:ln>
          </c:spPr>
          <c:marker>
            <c:symbol val="none"/>
          </c:marker>
          <c:xVal>
            <c:numRef>
              <c:f>Graphs!graph_a_x_range_A</c:f>
              <c:numCache>
                <c:formatCode>0.00</c:formatCode>
                <c:ptCount val="5"/>
                <c:pt idx="0">
                  <c:v>3.4603488910314832E-2</c:v>
                </c:pt>
                <c:pt idx="1">
                  <c:v>4.8014130938478089E-2</c:v>
                </c:pt>
                <c:pt idx="2">
                  <c:v>6.7356821712238335E-2</c:v>
                </c:pt>
                <c:pt idx="3">
                  <c:v>0.10022517620264923</c:v>
                </c:pt>
                <c:pt idx="4">
                  <c:v>0.15532832492095167</c:v>
                </c:pt>
              </c:numCache>
            </c:numRef>
          </c:xVal>
          <c:yVal>
            <c:numRef>
              <c:f>Graphs!graph_a_y_range_A</c:f>
              <c:numCache>
                <c:formatCode>0.00</c:formatCode>
                <c:ptCount val="5"/>
                <c:pt idx="0">
                  <c:v>66.306630333333402</c:v>
                </c:pt>
                <c:pt idx="1">
                  <c:v>68.157691333333304</c:v>
                </c:pt>
                <c:pt idx="2">
                  <c:v>69.555052666666597</c:v>
                </c:pt>
                <c:pt idx="3">
                  <c:v>70.687753333333404</c:v>
                </c:pt>
                <c:pt idx="4">
                  <c:v>71.790060999999994</c:v>
                </c:pt>
              </c:numCache>
            </c:numRef>
          </c:yVal>
          <c:smooth val="1"/>
          <c:extLst>
            <c:ext xmlns:c16="http://schemas.microsoft.com/office/drawing/2014/chart" uri="{C3380CC4-5D6E-409C-BE32-E72D297353CC}">
              <c16:uniqueId val="{00000000-3CB9-4356-8A9C-E4244C6FB6C9}"/>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3CB9-4356-8A9C-E4244C6FB6C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ALL_master+r120</c:v>
                </c:pt>
              </c:strCache>
            </c:strRef>
          </c:tx>
          <c:spPr>
            <a:ln>
              <a:prstDash val="solid"/>
            </a:ln>
          </c:spPr>
          <c:marker>
            <c:symbol val="none"/>
          </c:marker>
          <c:xVal>
            <c:numRef>
              <c:f>Graphs!graph_b_x_range_A</c:f>
              <c:numCache>
                <c:formatCode>0.00</c:formatCode>
                <c:ptCount val="5"/>
                <c:pt idx="0">
                  <c:v>3.4603488910314832E-2</c:v>
                </c:pt>
                <c:pt idx="1">
                  <c:v>4.8014130938478089E-2</c:v>
                </c:pt>
                <c:pt idx="2">
                  <c:v>6.7356821712238335E-2</c:v>
                </c:pt>
                <c:pt idx="3">
                  <c:v>0.10022517620264923</c:v>
                </c:pt>
                <c:pt idx="4">
                  <c:v>0.15532832492095167</c:v>
                </c:pt>
              </c:numCache>
            </c:numRef>
          </c:xVal>
          <c:yVal>
            <c:numRef>
              <c:f>Graphs!graph_b_y_range_A</c:f>
              <c:numCache>
                <c:formatCode>0.00</c:formatCode>
                <c:ptCount val="5"/>
                <c:pt idx="0">
                  <c:v>68.366837666666697</c:v>
                </c:pt>
                <c:pt idx="1">
                  <c:v>70.306217666666697</c:v>
                </c:pt>
                <c:pt idx="2">
                  <c:v>71.985662666666698</c:v>
                </c:pt>
                <c:pt idx="3">
                  <c:v>73.255339333333296</c:v>
                </c:pt>
                <c:pt idx="4">
                  <c:v>75.226001333333301</c:v>
                </c:pt>
              </c:numCache>
            </c:numRef>
          </c:yVal>
          <c:smooth val="1"/>
          <c:extLst>
            <c:ext xmlns:c16="http://schemas.microsoft.com/office/drawing/2014/chart" uri="{C3380CC4-5D6E-409C-BE32-E72D297353CC}">
              <c16:uniqueId val="{00000000-5255-4103-A6EE-8F7304BB74B7}"/>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255-4103-A6EE-8F7304BB74B7}"/>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ALL_master+r120</c:v>
                </c:pt>
              </c:strCache>
            </c:strRef>
          </c:tx>
          <c:spPr>
            <a:ln>
              <a:prstDash val="solid"/>
            </a:ln>
          </c:spPr>
          <c:marker>
            <c:symbol val="none"/>
          </c:marker>
          <c:xVal>
            <c:numRef>
              <c:f>Graphs!graph_c_x_range_A</c:f>
              <c:numCache>
                <c:formatCode>0.00</c:formatCode>
                <c:ptCount val="5"/>
                <c:pt idx="0">
                  <c:v>3.4426018238504399E-2</c:v>
                </c:pt>
                <c:pt idx="1">
                  <c:v>7.1788650368419818E-2</c:v>
                </c:pt>
                <c:pt idx="2">
                  <c:v>0.14236943863659055</c:v>
                </c:pt>
                <c:pt idx="3">
                  <c:v>0.26859432020533958</c:v>
                </c:pt>
                <c:pt idx="4">
                  <c:v>0.49378894849596944</c:v>
                </c:pt>
              </c:numCache>
            </c:numRef>
          </c:xVal>
          <c:yVal>
            <c:numRef>
              <c:f>Graphs!graph_c_y_range_A</c:f>
              <c:numCache>
                <c:formatCode>0.00</c:formatCode>
                <c:ptCount val="5"/>
                <c:pt idx="0">
                  <c:v>32.326827999999999</c:v>
                </c:pt>
                <c:pt idx="1">
                  <c:v>34.599119666666603</c:v>
                </c:pt>
                <c:pt idx="2">
                  <c:v>37.138107666666698</c:v>
                </c:pt>
                <c:pt idx="3">
                  <c:v>39.742880999999997</c:v>
                </c:pt>
                <c:pt idx="4">
                  <c:v>42.256128666666697</c:v>
                </c:pt>
              </c:numCache>
            </c:numRef>
          </c:yVal>
          <c:smooth val="1"/>
          <c:extLst>
            <c:ext xmlns:c16="http://schemas.microsoft.com/office/drawing/2014/chart" uri="{C3380CC4-5D6E-409C-BE32-E72D297353CC}">
              <c16:uniqueId val="{00000000-3187-44B8-8D42-6926F25A6E5E}"/>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3187-44B8-8D42-6926F25A6E5E}"/>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ALL_master+r120</c:v>
                </c:pt>
              </c:strCache>
            </c:strRef>
          </c:tx>
          <c:spPr>
            <a:ln>
              <a:prstDash val="solid"/>
            </a:ln>
          </c:spPr>
          <c:marker>
            <c:symbol val="none"/>
          </c:marker>
          <c:xVal>
            <c:numRef>
              <c:f>Graphs!graph_d_x_range_A</c:f>
              <c:numCache>
                <c:formatCode>0.00</c:formatCode>
                <c:ptCount val="5"/>
                <c:pt idx="0">
                  <c:v>3.4426018238504399E-2</c:v>
                </c:pt>
                <c:pt idx="1">
                  <c:v>7.1788650368419818E-2</c:v>
                </c:pt>
                <c:pt idx="2">
                  <c:v>0.14236943863659055</c:v>
                </c:pt>
                <c:pt idx="3">
                  <c:v>0.26859432020533958</c:v>
                </c:pt>
                <c:pt idx="4">
                  <c:v>0.49378894849596944</c:v>
                </c:pt>
              </c:numCache>
            </c:numRef>
          </c:xVal>
          <c:yVal>
            <c:numRef>
              <c:f>Graphs!graph_d_y_range_A</c:f>
              <c:numCache>
                <c:formatCode>0.00</c:formatCode>
                <c:ptCount val="5"/>
                <c:pt idx="0">
                  <c:v>44.152497666666598</c:v>
                </c:pt>
                <c:pt idx="1">
                  <c:v>45.442781666666697</c:v>
                </c:pt>
                <c:pt idx="2">
                  <c:v>46.571839333333301</c:v>
                </c:pt>
                <c:pt idx="3">
                  <c:v>47.911117333333301</c:v>
                </c:pt>
                <c:pt idx="4">
                  <c:v>49.428492333333303</c:v>
                </c:pt>
              </c:numCache>
            </c:numRef>
          </c:yVal>
          <c:smooth val="1"/>
          <c:extLst>
            <c:ext xmlns:c16="http://schemas.microsoft.com/office/drawing/2014/chart" uri="{C3380CC4-5D6E-409C-BE32-E72D297353CC}">
              <c16:uniqueId val="{00000000-D843-4533-A536-2F213C1D18D3}"/>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D843-4533-A536-2F213C1D18D3}"/>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ALL_master+r120</c:v>
                </c:pt>
              </c:strCache>
            </c:strRef>
          </c:tx>
          <c:spPr>
            <a:ln>
              <a:prstDash val="solid"/>
            </a:ln>
          </c:spPr>
          <c:marker>
            <c:symbol val="none"/>
          </c:marker>
          <c:xVal>
            <c:numRef>
              <c:f>Graphs!graph_e_x_range_A</c:f>
              <c:numCache>
                <c:formatCode>0.00</c:formatCode>
                <c:ptCount val="5"/>
                <c:pt idx="0">
                  <c:v>3.4426018238504399E-2</c:v>
                </c:pt>
                <c:pt idx="1">
                  <c:v>7.1788650368419818E-2</c:v>
                </c:pt>
                <c:pt idx="2">
                  <c:v>0.14236943863659055</c:v>
                </c:pt>
                <c:pt idx="3">
                  <c:v>0.26859432020533958</c:v>
                </c:pt>
                <c:pt idx="4">
                  <c:v>0.49378894849596944</c:v>
                </c:pt>
              </c:numCache>
            </c:numRef>
          </c:xVal>
          <c:yVal>
            <c:numRef>
              <c:f>Graphs!graph_e_y_range_A</c:f>
              <c:numCache>
                <c:formatCode>0.00</c:formatCode>
                <c:ptCount val="5"/>
                <c:pt idx="0">
                  <c:v>43.806868999999999</c:v>
                </c:pt>
                <c:pt idx="1">
                  <c:v>45.246439000000002</c:v>
                </c:pt>
                <c:pt idx="2">
                  <c:v>46.483559999999997</c:v>
                </c:pt>
                <c:pt idx="3">
                  <c:v>48.003290999999997</c:v>
                </c:pt>
                <c:pt idx="4">
                  <c:v>49.576217999999997</c:v>
                </c:pt>
              </c:numCache>
            </c:numRef>
          </c:yVal>
          <c:smooth val="1"/>
          <c:extLst>
            <c:ext xmlns:c16="http://schemas.microsoft.com/office/drawing/2014/chart" uri="{C3380CC4-5D6E-409C-BE32-E72D297353CC}">
              <c16:uniqueId val="{00000000-CA1D-4896-9422-9ED1FB17F33F}"/>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CA1D-4896-9422-9ED1FB17F33F}"/>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ALL_master+r120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347-422B-89B6-F87632471EA7}"/>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347-422B-89B6-F87632471EA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G2" sqref="G2"/>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K56" sqref="K56"/>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ALL_master+r120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2.2741896000000001</v>
      </c>
      <c r="J5" s="12">
        <f t="shared" ref="J5:J39" si="1">IF(ISBLANK(S5),"·",S5/D5)</f>
        <v>9.5495446748130652E-2</v>
      </c>
      <c r="K5" s="12">
        <f t="shared" ref="K5:K39" si="2">IF(N5="","·",N5/D5)</f>
        <v>6.1069428509626246E-2</v>
      </c>
      <c r="L5" s="12">
        <f t="shared" ref="L5:L39" si="3">IF(T5="","·",T5/D5)</f>
        <v>3.4603488910314832E-2</v>
      </c>
      <c r="M5" s="12">
        <f t="shared" ref="M5:M39" si="4">IF(ISBLANK(V5),"·",V5/D5)</f>
        <v>3.4426018238504399E-2</v>
      </c>
      <c r="N5" s="54">
        <f t="shared" ref="N5:N39" si="5">IF(OR(ISBLANK(T5),ISBLANK(U5)),"",T5+U5)</f>
        <v>14543464</v>
      </c>
      <c r="O5" s="12">
        <v>16</v>
      </c>
      <c r="P5" s="13">
        <v>210115322</v>
      </c>
      <c r="Q5" s="13">
        <v>700384.40666666697</v>
      </c>
      <c r="R5" s="13">
        <v>14452.59</v>
      </c>
      <c r="S5" s="14">
        <v>22741896</v>
      </c>
      <c r="T5" s="14">
        <v>8240696</v>
      </c>
      <c r="U5" s="14">
        <v>6302768</v>
      </c>
      <c r="V5" s="14">
        <v>8198432</v>
      </c>
      <c r="W5" s="15">
        <v>66.306630333333402</v>
      </c>
      <c r="X5" s="15">
        <v>68.366837666666697</v>
      </c>
      <c r="Y5" s="15">
        <v>32.326827999999999</v>
      </c>
      <c r="Z5" s="15">
        <v>44.152497666666598</v>
      </c>
      <c r="AA5" s="15">
        <v>43.806868999999999</v>
      </c>
      <c r="AB5" s="16">
        <v>22148.9</v>
      </c>
      <c r="AC5" s="16">
        <v>0</v>
      </c>
      <c r="AD5" s="16">
        <v>323.78199999999998</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3.4833368</v>
      </c>
      <c r="J6" s="21">
        <f t="shared" si="1"/>
        <v>0.14626872090620932</v>
      </c>
      <c r="K6" s="21">
        <f t="shared" si="2"/>
        <v>7.4480070537789503E-2</v>
      </c>
      <c r="L6" s="21">
        <f t="shared" si="3"/>
        <v>4.8014130938478089E-2</v>
      </c>
      <c r="M6" s="21">
        <f t="shared" si="4"/>
        <v>7.1788650368419818E-2</v>
      </c>
      <c r="N6" s="18">
        <f t="shared" si="5"/>
        <v>17737160</v>
      </c>
      <c r="O6" s="21">
        <v>16</v>
      </c>
      <c r="P6" s="22">
        <v>230811571</v>
      </c>
      <c r="Q6" s="22">
        <v>769371.90333333297</v>
      </c>
      <c r="R6" s="22">
        <v>19712.3266666667</v>
      </c>
      <c r="S6" s="23">
        <v>34833368</v>
      </c>
      <c r="T6" s="23">
        <v>11434392</v>
      </c>
      <c r="U6" s="23">
        <v>6302768</v>
      </c>
      <c r="V6" s="23">
        <v>17096208</v>
      </c>
      <c r="W6" s="24">
        <v>68.157691333333304</v>
      </c>
      <c r="X6" s="24">
        <v>70.306217666666697</v>
      </c>
      <c r="Y6" s="24">
        <v>34.599119666666603</v>
      </c>
      <c r="Z6" s="24">
        <v>45.442781666666697</v>
      </c>
      <c r="AA6" s="24">
        <v>45.246439000000002</v>
      </c>
      <c r="AB6" s="25">
        <v>22732.2</v>
      </c>
      <c r="AC6" s="25">
        <v>0</v>
      </c>
      <c r="AD6" s="25">
        <v>352.58300000000003</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5.6248319999999996</v>
      </c>
      <c r="J7" s="12">
        <f t="shared" si="1"/>
        <v>0.23619219994814031</v>
      </c>
      <c r="K7" s="12">
        <f t="shared" si="2"/>
        <v>9.3822761311549749E-2</v>
      </c>
      <c r="L7" s="12">
        <f t="shared" si="3"/>
        <v>6.7356821712238335E-2</v>
      </c>
      <c r="M7" s="12">
        <f t="shared" si="4"/>
        <v>0.14236943863659055</v>
      </c>
      <c r="N7" s="54">
        <f t="shared" si="5"/>
        <v>22343552</v>
      </c>
      <c r="O7" s="12">
        <v>16</v>
      </c>
      <c r="P7" s="13">
        <v>236177330</v>
      </c>
      <c r="Q7" s="13">
        <v>787257.76666666695</v>
      </c>
      <c r="R7" s="13">
        <v>21575.1933333333</v>
      </c>
      <c r="S7" s="14">
        <v>56248320</v>
      </c>
      <c r="T7" s="14">
        <v>16040784</v>
      </c>
      <c r="U7" s="14">
        <v>6302768</v>
      </c>
      <c r="V7" s="14">
        <v>33904768</v>
      </c>
      <c r="W7" s="15">
        <v>69.555052666666597</v>
      </c>
      <c r="X7" s="15">
        <v>71.985662666666698</v>
      </c>
      <c r="Y7" s="15">
        <v>37.138107666666698</v>
      </c>
      <c r="Z7" s="15">
        <v>46.571839333333301</v>
      </c>
      <c r="AA7" s="15">
        <v>46.483559999999997</v>
      </c>
      <c r="AB7" s="16">
        <v>23369.200000000001</v>
      </c>
      <c r="AC7" s="16">
        <v>0</v>
      </c>
      <c r="AD7" s="16">
        <v>360.89699999999999</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9.4135799999999996</v>
      </c>
      <c r="J8" s="21">
        <f t="shared" si="1"/>
        <v>0.39528543600730021</v>
      </c>
      <c r="K8" s="21">
        <f t="shared" si="2"/>
        <v>0.12669111580196066</v>
      </c>
      <c r="L8" s="21">
        <f t="shared" si="3"/>
        <v>0.10022517620264923</v>
      </c>
      <c r="M8" s="21">
        <f t="shared" si="4"/>
        <v>0.26859432020533958</v>
      </c>
      <c r="N8" s="18">
        <f t="shared" si="5"/>
        <v>30171032</v>
      </c>
      <c r="O8" s="21">
        <v>16</v>
      </c>
      <c r="P8" s="22">
        <v>245523316</v>
      </c>
      <c r="Q8" s="22">
        <v>818411.05333333299</v>
      </c>
      <c r="R8" s="22">
        <v>24831.51</v>
      </c>
      <c r="S8" s="23">
        <v>94135800</v>
      </c>
      <c r="T8" s="23">
        <v>23868264</v>
      </c>
      <c r="U8" s="23">
        <v>6302768</v>
      </c>
      <c r="V8" s="23">
        <v>63964768</v>
      </c>
      <c r="W8" s="24">
        <v>70.687753333333404</v>
      </c>
      <c r="X8" s="24">
        <v>73.255339333333296</v>
      </c>
      <c r="Y8" s="24">
        <v>39.742880999999997</v>
      </c>
      <c r="Z8" s="24">
        <v>47.911117333333301</v>
      </c>
      <c r="AA8" s="24">
        <v>48.003290999999997</v>
      </c>
      <c r="AB8" s="25">
        <v>24292.7</v>
      </c>
      <c r="AC8" s="25">
        <v>0</v>
      </c>
      <c r="AD8" s="25">
        <v>365.89100000000002</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16.671968</v>
      </c>
      <c r="J9" s="30">
        <f t="shared" si="1"/>
        <v>0.70007225093744962</v>
      </c>
      <c r="K9" s="30">
        <f t="shared" si="2"/>
        <v>0.20628330244148022</v>
      </c>
      <c r="L9" s="30">
        <f t="shared" si="3"/>
        <v>0.15532832492095167</v>
      </c>
      <c r="M9" s="30">
        <f t="shared" si="4"/>
        <v>0.49378894849596944</v>
      </c>
      <c r="N9" s="27">
        <f t="shared" si="5"/>
        <v>49125624</v>
      </c>
      <c r="O9" s="30">
        <v>16</v>
      </c>
      <c r="P9" s="31">
        <v>236240457</v>
      </c>
      <c r="Q9" s="31">
        <v>787468.19</v>
      </c>
      <c r="R9" s="31">
        <v>10954.04</v>
      </c>
      <c r="S9" s="32">
        <v>166719680</v>
      </c>
      <c r="T9" s="32">
        <v>36990880</v>
      </c>
      <c r="U9" s="32">
        <v>12134744</v>
      </c>
      <c r="V9" s="32">
        <v>117594056</v>
      </c>
      <c r="W9" s="33">
        <v>71.790060999999994</v>
      </c>
      <c r="X9" s="33">
        <v>75.226001333333301</v>
      </c>
      <c r="Y9" s="33">
        <v>42.256128666666697</v>
      </c>
      <c r="Z9" s="33">
        <v>49.428492333333303</v>
      </c>
      <c r="AA9" s="33">
        <v>49.576217999999997</v>
      </c>
      <c r="AB9" s="34">
        <v>25769</v>
      </c>
      <c r="AC9" s="34">
        <v>0</v>
      </c>
      <c r="AD9" s="34">
        <v>366.49799999999999</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3.3848312000000003</v>
      </c>
      <c r="J10" s="21">
        <f t="shared" si="1"/>
        <v>0.15518118129916023</v>
      </c>
      <c r="K10" s="21">
        <f t="shared" si="2"/>
        <v>8.1599608716697108E-2</v>
      </c>
      <c r="L10" s="21">
        <f t="shared" si="3"/>
        <v>4.3101350028072923E-2</v>
      </c>
      <c r="M10" s="21">
        <f t="shared" si="4"/>
        <v>7.3581572582463103E-2</v>
      </c>
      <c r="N10" s="18">
        <f t="shared" si="5"/>
        <v>17798608</v>
      </c>
      <c r="O10" s="21">
        <v>16</v>
      </c>
      <c r="P10" s="22">
        <v>199616063</v>
      </c>
      <c r="Q10" s="22">
        <v>665386.87666666706</v>
      </c>
      <c r="R10" s="22">
        <v>19573.676666666699</v>
      </c>
      <c r="S10" s="23">
        <v>33848312</v>
      </c>
      <c r="T10" s="23">
        <v>9401320</v>
      </c>
      <c r="U10" s="23">
        <v>8397288</v>
      </c>
      <c r="V10" s="23">
        <v>16049704</v>
      </c>
      <c r="W10" s="24">
        <v>65.811341000000098</v>
      </c>
      <c r="X10" s="24">
        <v>67.673830666666603</v>
      </c>
      <c r="Y10" s="24">
        <v>32.286147999999997</v>
      </c>
      <c r="Z10" s="24">
        <v>39.167335666666702</v>
      </c>
      <c r="AA10" s="24">
        <v>31.9905896666667</v>
      </c>
      <c r="AB10" s="25">
        <v>22217.7</v>
      </c>
      <c r="AC10" s="25">
        <v>0</v>
      </c>
      <c r="AD10" s="25">
        <v>331.45600000000002</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4.8826744</v>
      </c>
      <c r="J11" s="12">
        <f t="shared" si="1"/>
        <v>0.22385139362080103</v>
      </c>
      <c r="K11" s="12">
        <f t="shared" si="2"/>
        <v>9.9512105290506275E-2</v>
      </c>
      <c r="L11" s="12">
        <f t="shared" si="3"/>
        <v>6.1013846601882082E-2</v>
      </c>
      <c r="M11" s="12">
        <f t="shared" si="4"/>
        <v>0.12433928833029477</v>
      </c>
      <c r="N11" s="54">
        <f t="shared" si="5"/>
        <v>21705704</v>
      </c>
      <c r="O11" s="12">
        <v>16</v>
      </c>
      <c r="P11" s="13">
        <v>213502846</v>
      </c>
      <c r="Q11" s="13">
        <v>711676.15333333297</v>
      </c>
      <c r="R11" s="13">
        <v>24833.8966666667</v>
      </c>
      <c r="S11" s="14">
        <v>48826744</v>
      </c>
      <c r="T11" s="14">
        <v>13308416</v>
      </c>
      <c r="U11" s="14">
        <v>8397288</v>
      </c>
      <c r="V11" s="14">
        <v>27121040</v>
      </c>
      <c r="W11" s="15">
        <v>67.515376000000003</v>
      </c>
      <c r="X11" s="15">
        <v>69.558186000000006</v>
      </c>
      <c r="Y11" s="15">
        <v>34.111228666666698</v>
      </c>
      <c r="Z11" s="15">
        <v>40.019959333333297</v>
      </c>
      <c r="AA11" s="15">
        <v>33.746103666666698</v>
      </c>
      <c r="AB11" s="16">
        <v>22818.2</v>
      </c>
      <c r="AC11" s="16">
        <v>0</v>
      </c>
      <c r="AD11" s="16">
        <v>355.661</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7.5510479999999998</v>
      </c>
      <c r="J12" s="21">
        <f t="shared" si="1"/>
        <v>0.34618581531825315</v>
      </c>
      <c r="K12" s="21">
        <f t="shared" si="2"/>
        <v>0.12700342133573583</v>
      </c>
      <c r="L12" s="21">
        <f t="shared" si="3"/>
        <v>8.850516264711164E-2</v>
      </c>
      <c r="M12" s="21">
        <f t="shared" si="4"/>
        <v>0.21918239398251729</v>
      </c>
      <c r="N12" s="18">
        <f t="shared" si="5"/>
        <v>27702144</v>
      </c>
      <c r="O12" s="21">
        <v>16</v>
      </c>
      <c r="P12" s="22">
        <v>217298403</v>
      </c>
      <c r="Q12" s="22">
        <v>724328.01</v>
      </c>
      <c r="R12" s="22">
        <v>26559.073333333301</v>
      </c>
      <c r="S12" s="23">
        <v>75510480</v>
      </c>
      <c r="T12" s="23">
        <v>19304856</v>
      </c>
      <c r="U12" s="23">
        <v>8397288</v>
      </c>
      <c r="V12" s="23">
        <v>47808336</v>
      </c>
      <c r="W12" s="24">
        <v>68.866378333333401</v>
      </c>
      <c r="X12" s="24">
        <v>71.214300666666702</v>
      </c>
      <c r="Y12" s="24">
        <v>36.198197999999998</v>
      </c>
      <c r="Z12" s="24">
        <v>40.906022</v>
      </c>
      <c r="AA12" s="24">
        <v>35.497234333333303</v>
      </c>
      <c r="AB12" s="25">
        <v>23249.599999999999</v>
      </c>
      <c r="AC12" s="25">
        <v>0</v>
      </c>
      <c r="AD12" s="25">
        <v>360.065</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12.759404</v>
      </c>
      <c r="J13" s="12">
        <f t="shared" si="1"/>
        <v>0.5849684277884315</v>
      </c>
      <c r="K13" s="12">
        <f t="shared" si="2"/>
        <v>0.17472271682736887</v>
      </c>
      <c r="L13" s="12">
        <f t="shared" si="3"/>
        <v>0.1362244581387447</v>
      </c>
      <c r="M13" s="12">
        <f t="shared" si="4"/>
        <v>0.41024571096106266</v>
      </c>
      <c r="N13" s="54">
        <f t="shared" si="5"/>
        <v>38110736</v>
      </c>
      <c r="O13" s="12">
        <v>16</v>
      </c>
      <c r="P13" s="13">
        <v>224949831</v>
      </c>
      <c r="Q13" s="13">
        <v>749832.77</v>
      </c>
      <c r="R13" s="13">
        <v>30098.09</v>
      </c>
      <c r="S13" s="14">
        <v>127594040</v>
      </c>
      <c r="T13" s="14">
        <v>29713448</v>
      </c>
      <c r="U13" s="14">
        <v>8397288</v>
      </c>
      <c r="V13" s="14">
        <v>89483304</v>
      </c>
      <c r="W13" s="15">
        <v>69.942534333333299</v>
      </c>
      <c r="X13" s="15">
        <v>72.471533000000093</v>
      </c>
      <c r="Y13" s="15">
        <v>38.517009000000002</v>
      </c>
      <c r="Z13" s="15">
        <v>42.075518000000002</v>
      </c>
      <c r="AA13" s="15">
        <v>37.5135406666667</v>
      </c>
      <c r="AB13" s="16">
        <v>24478.3</v>
      </c>
      <c r="AC13" s="16">
        <v>0</v>
      </c>
      <c r="AD13" s="16">
        <v>370.47699999999998</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22.902298399999999</v>
      </c>
      <c r="J14" s="40">
        <f t="shared" si="1"/>
        <v>1.0499801940427242</v>
      </c>
      <c r="K14" s="40">
        <f t="shared" si="2"/>
        <v>0.288324380621306</v>
      </c>
      <c r="L14" s="40">
        <f t="shared" si="3"/>
        <v>0.21556073846306084</v>
      </c>
      <c r="M14" s="40">
        <f t="shared" si="4"/>
        <v>0.76165581342141819</v>
      </c>
      <c r="N14" s="37">
        <f t="shared" si="5"/>
        <v>62889672</v>
      </c>
      <c r="O14" s="40">
        <v>16</v>
      </c>
      <c r="P14" s="41">
        <v>212746167</v>
      </c>
      <c r="Q14" s="41">
        <v>709153.89</v>
      </c>
      <c r="R14" s="41">
        <v>14215.776666666699</v>
      </c>
      <c r="S14" s="42">
        <v>229022984</v>
      </c>
      <c r="T14" s="42">
        <v>47018376</v>
      </c>
      <c r="U14" s="42">
        <v>15871296</v>
      </c>
      <c r="V14" s="42">
        <v>166133312</v>
      </c>
      <c r="W14" s="43">
        <v>70.817831333333302</v>
      </c>
      <c r="X14" s="43">
        <v>74.590870999999893</v>
      </c>
      <c r="Y14" s="43">
        <v>40.731774999999999</v>
      </c>
      <c r="Z14" s="43">
        <v>43.387790333333299</v>
      </c>
      <c r="AA14" s="43">
        <v>39.237424666666698</v>
      </c>
      <c r="AB14" s="44">
        <v>26101.7</v>
      </c>
      <c r="AC14" s="44">
        <v>0</v>
      </c>
      <c r="AD14" s="44">
        <v>359.8</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4.3735392000000006</v>
      </c>
      <c r="J15" s="12">
        <f t="shared" si="1"/>
        <v>0.1355759079031239</v>
      </c>
      <c r="K15" s="12">
        <f t="shared" si="2"/>
        <v>7.6964068264249383E-2</v>
      </c>
      <c r="L15" s="12">
        <f t="shared" si="3"/>
        <v>4.1784197799443715E-2</v>
      </c>
      <c r="M15" s="12">
        <f t="shared" si="4"/>
        <v>5.8611839638874529E-2</v>
      </c>
      <c r="N15" s="54">
        <f t="shared" si="5"/>
        <v>24827816</v>
      </c>
      <c r="O15" s="12">
        <v>16</v>
      </c>
      <c r="P15" s="13">
        <v>295680298</v>
      </c>
      <c r="Q15" s="13">
        <v>985600.99333333306</v>
      </c>
      <c r="R15" s="13">
        <v>28254.080000000002</v>
      </c>
      <c r="S15" s="14">
        <v>43735392</v>
      </c>
      <c r="T15" s="14">
        <v>13479152</v>
      </c>
      <c r="U15" s="14">
        <v>11348664</v>
      </c>
      <c r="V15" s="14">
        <v>18907576</v>
      </c>
      <c r="W15" s="15">
        <v>65.952845999999994</v>
      </c>
      <c r="X15" s="15">
        <v>67.740677666666699</v>
      </c>
      <c r="Y15" s="15">
        <v>29.507553999999999</v>
      </c>
      <c r="Z15" s="15">
        <v>43.202369666666598</v>
      </c>
      <c r="AA15" s="15">
        <v>43.416871</v>
      </c>
      <c r="AB15" s="16">
        <v>26498.6</v>
      </c>
      <c r="AC15" s="16">
        <v>0</v>
      </c>
      <c r="AD15" s="16">
        <v>422.00599999999997</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6.9665144000000003</v>
      </c>
      <c r="J16" s="21">
        <f t="shared" si="1"/>
        <v>0.21595588184054379</v>
      </c>
      <c r="K16" s="21">
        <f t="shared" si="2"/>
        <v>9.4261979297392579E-2</v>
      </c>
      <c r="L16" s="21">
        <f t="shared" si="3"/>
        <v>5.9082108832586917E-2</v>
      </c>
      <c r="M16" s="21">
        <f t="shared" si="4"/>
        <v>0.12169390254315123</v>
      </c>
      <c r="N16" s="18">
        <f t="shared" si="5"/>
        <v>30407944</v>
      </c>
      <c r="O16" s="21">
        <v>16</v>
      </c>
      <c r="P16" s="22">
        <v>315642059</v>
      </c>
      <c r="Q16" s="22">
        <v>1052140.19666667</v>
      </c>
      <c r="R16" s="22">
        <v>35006.199999999997</v>
      </c>
      <c r="S16" s="23">
        <v>69665144</v>
      </c>
      <c r="T16" s="23">
        <v>19059280</v>
      </c>
      <c r="U16" s="23">
        <v>11348664</v>
      </c>
      <c r="V16" s="23">
        <v>39257200</v>
      </c>
      <c r="W16" s="24">
        <v>67.752562999999995</v>
      </c>
      <c r="X16" s="24">
        <v>69.809457666666702</v>
      </c>
      <c r="Y16" s="24">
        <v>31.918517666666698</v>
      </c>
      <c r="Z16" s="24">
        <v>44.070264000000002</v>
      </c>
      <c r="AA16" s="24">
        <v>44.381170333333301</v>
      </c>
      <c r="AB16" s="25">
        <v>27313.200000000001</v>
      </c>
      <c r="AC16" s="25">
        <v>0</v>
      </c>
      <c r="AD16" s="25">
        <v>444.33499999999998</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11.5765256</v>
      </c>
      <c r="J17" s="12">
        <f t="shared" si="1"/>
        <v>0.35886221588770856</v>
      </c>
      <c r="K17" s="12">
        <f t="shared" si="2"/>
        <v>0.12021288813359028</v>
      </c>
      <c r="L17" s="12">
        <f t="shared" si="3"/>
        <v>8.5033017668784613E-2</v>
      </c>
      <c r="M17" s="12">
        <f t="shared" si="4"/>
        <v>0.23864932775411829</v>
      </c>
      <c r="N17" s="54">
        <f t="shared" si="5"/>
        <v>38779440</v>
      </c>
      <c r="O17" s="12">
        <v>16</v>
      </c>
      <c r="P17" s="13">
        <v>319970408</v>
      </c>
      <c r="Q17" s="13">
        <v>1066568.0266666701</v>
      </c>
      <c r="R17" s="13">
        <v>36800.493333333303</v>
      </c>
      <c r="S17" s="14">
        <v>115765256</v>
      </c>
      <c r="T17" s="14">
        <v>27430776</v>
      </c>
      <c r="U17" s="14">
        <v>11348664</v>
      </c>
      <c r="V17" s="14">
        <v>76985816</v>
      </c>
      <c r="W17" s="15">
        <v>69.144207333333298</v>
      </c>
      <c r="X17" s="15">
        <v>71.605050000000006</v>
      </c>
      <c r="Y17" s="15">
        <v>34.468964333333297</v>
      </c>
      <c r="Z17" s="15">
        <v>44.928209666666703</v>
      </c>
      <c r="AA17" s="15">
        <v>45.340142</v>
      </c>
      <c r="AB17" s="16">
        <v>28201.8</v>
      </c>
      <c r="AC17" s="16">
        <v>0</v>
      </c>
      <c r="AD17" s="16">
        <v>449.762</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19.951900800000001</v>
      </c>
      <c r="J18" s="21">
        <f t="shared" si="1"/>
        <v>0.61849155607272577</v>
      </c>
      <c r="K18" s="21">
        <f t="shared" si="2"/>
        <v>0.16343569353347992</v>
      </c>
      <c r="L18" s="21">
        <f t="shared" si="3"/>
        <v>0.12825582306867425</v>
      </c>
      <c r="M18" s="21">
        <f t="shared" si="4"/>
        <v>0.45505586253924585</v>
      </c>
      <c r="N18" s="18">
        <f t="shared" si="5"/>
        <v>52722672</v>
      </c>
      <c r="O18" s="21">
        <v>16</v>
      </c>
      <c r="P18" s="22">
        <v>330498614</v>
      </c>
      <c r="Q18" s="22">
        <v>1101662.0466666699</v>
      </c>
      <c r="R18" s="22">
        <v>41195.156666666699</v>
      </c>
      <c r="S18" s="23">
        <v>199519008</v>
      </c>
      <c r="T18" s="23">
        <v>41374008</v>
      </c>
      <c r="U18" s="23">
        <v>11348664</v>
      </c>
      <c r="V18" s="23">
        <v>146796336</v>
      </c>
      <c r="W18" s="24">
        <v>70.367129666666699</v>
      </c>
      <c r="X18" s="24">
        <v>72.960667333333305</v>
      </c>
      <c r="Y18" s="24">
        <v>37.1514046666666</v>
      </c>
      <c r="Z18" s="24">
        <v>46.292694666666698</v>
      </c>
      <c r="AA18" s="24">
        <v>46.804541333333297</v>
      </c>
      <c r="AB18" s="25">
        <v>30046.400000000001</v>
      </c>
      <c r="AC18" s="25">
        <v>0</v>
      </c>
      <c r="AD18" s="25">
        <v>474.01</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35.283192</v>
      </c>
      <c r="J19" s="30">
        <f t="shared" si="1"/>
        <v>1.0937482369245113</v>
      </c>
      <c r="K19" s="30">
        <f t="shared" si="2"/>
        <v>0.26301975217411155</v>
      </c>
      <c r="L19" s="30">
        <f t="shared" si="3"/>
        <v>0.19724694003253124</v>
      </c>
      <c r="M19" s="30">
        <f t="shared" si="4"/>
        <v>0.83072848475039984</v>
      </c>
      <c r="N19" s="27">
        <f t="shared" si="5"/>
        <v>84847464</v>
      </c>
      <c r="O19" s="30">
        <v>16</v>
      </c>
      <c r="P19" s="31">
        <v>314302761</v>
      </c>
      <c r="Q19" s="31">
        <v>1047675.87</v>
      </c>
      <c r="R19" s="31">
        <v>18188.78</v>
      </c>
      <c r="S19" s="32">
        <v>352831920</v>
      </c>
      <c r="T19" s="32">
        <v>63629832</v>
      </c>
      <c r="U19" s="32">
        <v>21217632</v>
      </c>
      <c r="V19" s="32">
        <v>267984456</v>
      </c>
      <c r="W19" s="33">
        <v>71.149855333333406</v>
      </c>
      <c r="X19" s="33">
        <v>75.005084999999994</v>
      </c>
      <c r="Y19" s="33">
        <v>39.630712000000003</v>
      </c>
      <c r="Z19" s="33">
        <v>48.066860666666699</v>
      </c>
      <c r="AA19" s="33">
        <v>48.6485256666667</v>
      </c>
      <c r="AB19" s="34">
        <v>32350.5</v>
      </c>
      <c r="AC19" s="34">
        <v>0</v>
      </c>
      <c r="AD19" s="34">
        <v>435.53500000000003</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4.8367567999999999</v>
      </c>
      <c r="J20" s="21">
        <f t="shared" si="1"/>
        <v>9.6502414251877083E-2</v>
      </c>
      <c r="K20" s="21">
        <f t="shared" si="2"/>
        <v>5.805487694872602E-2</v>
      </c>
      <c r="L20" s="21">
        <f t="shared" si="3"/>
        <v>2.9222743483833153E-2</v>
      </c>
      <c r="M20" s="21">
        <f t="shared" si="4"/>
        <v>3.8447537303151064E-2</v>
      </c>
      <c r="N20" s="18">
        <f t="shared" si="5"/>
        <v>14548720</v>
      </c>
      <c r="O20" s="21">
        <v>16</v>
      </c>
      <c r="P20" s="22">
        <v>234675165</v>
      </c>
      <c r="Q20" s="22">
        <v>938700.66</v>
      </c>
      <c r="R20" s="22">
        <v>27933.984</v>
      </c>
      <c r="S20" s="23">
        <v>24183784</v>
      </c>
      <c r="T20" s="23">
        <v>7323304</v>
      </c>
      <c r="U20" s="23">
        <v>7225416</v>
      </c>
      <c r="V20" s="23">
        <v>9635064</v>
      </c>
      <c r="W20" s="24">
        <v>67.292702000000006</v>
      </c>
      <c r="X20" s="24">
        <v>69.088280800000007</v>
      </c>
      <c r="Y20" s="24">
        <v>31.1167804</v>
      </c>
      <c r="Z20" s="24">
        <v>40.3108492</v>
      </c>
      <c r="AA20" s="24">
        <v>39.112166000000002</v>
      </c>
      <c r="AB20" s="25">
        <v>22354.1</v>
      </c>
      <c r="AC20" s="25">
        <v>0</v>
      </c>
      <c r="AD20" s="25">
        <v>340.80900000000003</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7.1136352</v>
      </c>
      <c r="J21" s="12">
        <f t="shared" si="1"/>
        <v>0.14193042968526648</v>
      </c>
      <c r="K21" s="12">
        <f t="shared" si="2"/>
        <v>6.9018389735974753E-2</v>
      </c>
      <c r="L21" s="12">
        <f t="shared" si="3"/>
        <v>4.0186256271081883E-2</v>
      </c>
      <c r="M21" s="12">
        <f t="shared" si="4"/>
        <v>7.2912039949291726E-2</v>
      </c>
      <c r="N21" s="54">
        <f t="shared" si="5"/>
        <v>17296208</v>
      </c>
      <c r="O21" s="12">
        <v>16</v>
      </c>
      <c r="P21" s="13">
        <v>244372466</v>
      </c>
      <c r="Q21" s="13">
        <v>977489.86399999994</v>
      </c>
      <c r="R21" s="13">
        <v>33347.252</v>
      </c>
      <c r="S21" s="14">
        <v>35568176</v>
      </c>
      <c r="T21" s="14">
        <v>10070792</v>
      </c>
      <c r="U21" s="14">
        <v>7225416</v>
      </c>
      <c r="V21" s="14">
        <v>18271968</v>
      </c>
      <c r="W21" s="15">
        <v>68.879831999999894</v>
      </c>
      <c r="X21" s="15">
        <v>71.013356799999997</v>
      </c>
      <c r="Y21" s="15">
        <v>32.872518800000002</v>
      </c>
      <c r="Z21" s="15">
        <v>41.506481600000001</v>
      </c>
      <c r="AA21" s="15">
        <v>40.447173200000002</v>
      </c>
      <c r="AB21" s="16">
        <v>23120.5</v>
      </c>
      <c r="AC21" s="16">
        <v>0</v>
      </c>
      <c r="AD21" s="16">
        <v>358.089</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11.5011584</v>
      </c>
      <c r="J22" s="21">
        <f t="shared" si="1"/>
        <v>0.22946978692276937</v>
      </c>
      <c r="K22" s="21">
        <f t="shared" si="2"/>
        <v>8.5953326053209822E-2</v>
      </c>
      <c r="L22" s="21">
        <f t="shared" si="3"/>
        <v>5.7121192588316945E-2</v>
      </c>
      <c r="M22" s="21">
        <f t="shared" si="4"/>
        <v>0.14351646086955955</v>
      </c>
      <c r="N22" s="18">
        <f t="shared" si="5"/>
        <v>21540152</v>
      </c>
      <c r="O22" s="21">
        <v>16</v>
      </c>
      <c r="P22" s="22">
        <v>255382334</v>
      </c>
      <c r="Q22" s="22">
        <v>1021529.336</v>
      </c>
      <c r="R22" s="22">
        <v>35812</v>
      </c>
      <c r="S22" s="23">
        <v>57505792</v>
      </c>
      <c r="T22" s="23">
        <v>14314736</v>
      </c>
      <c r="U22" s="23">
        <v>7225416</v>
      </c>
      <c r="V22" s="23">
        <v>35965640</v>
      </c>
      <c r="W22" s="24">
        <v>70.043271599999997</v>
      </c>
      <c r="X22" s="24">
        <v>72.458006400000002</v>
      </c>
      <c r="Y22" s="24">
        <v>34.7814172</v>
      </c>
      <c r="Z22" s="24">
        <v>42.603807199999999</v>
      </c>
      <c r="AA22" s="24">
        <v>41.611138799999999</v>
      </c>
      <c r="AB22" s="25">
        <v>23514.7</v>
      </c>
      <c r="AC22" s="25">
        <v>0</v>
      </c>
      <c r="AD22" s="25">
        <v>364.46199999999999</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20.240052800000001</v>
      </c>
      <c r="J23" s="12">
        <f t="shared" si="1"/>
        <v>0.40382720086018481</v>
      </c>
      <c r="K23" s="12">
        <f t="shared" si="2"/>
        <v>0.11540684101685005</v>
      </c>
      <c r="L23" s="12">
        <f t="shared" si="3"/>
        <v>8.6574707551957175E-2</v>
      </c>
      <c r="M23" s="12">
        <f t="shared" si="4"/>
        <v>0.28842035984333475</v>
      </c>
      <c r="N23" s="54">
        <f t="shared" si="5"/>
        <v>28921288</v>
      </c>
      <c r="O23" s="12">
        <v>16</v>
      </c>
      <c r="P23" s="13">
        <v>255641962</v>
      </c>
      <c r="Q23" s="13">
        <v>1022567.848</v>
      </c>
      <c r="R23" s="13">
        <v>37896.531999999999</v>
      </c>
      <c r="S23" s="14">
        <v>101200264</v>
      </c>
      <c r="T23" s="14">
        <v>21695872</v>
      </c>
      <c r="U23" s="14">
        <v>7225416</v>
      </c>
      <c r="V23" s="14">
        <v>72278976</v>
      </c>
      <c r="W23" s="15">
        <v>71.078891200000001</v>
      </c>
      <c r="X23" s="15">
        <v>73.827556000000101</v>
      </c>
      <c r="Y23" s="15">
        <v>36.324855200000002</v>
      </c>
      <c r="Z23" s="15">
        <v>43.933628400000003</v>
      </c>
      <c r="AA23" s="15">
        <v>42.865189600000001</v>
      </c>
      <c r="AB23" s="16">
        <v>24760.9</v>
      </c>
      <c r="AC23" s="16">
        <v>0</v>
      </c>
      <c r="AD23" s="16">
        <v>366.15199999999999</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35.399096</v>
      </c>
      <c r="J24" s="40">
        <f t="shared" si="1"/>
        <v>0.70627868375229563</v>
      </c>
      <c r="K24" s="40">
        <f t="shared" si="2"/>
        <v>0.19151032060520004</v>
      </c>
      <c r="L24" s="40">
        <f t="shared" si="3"/>
        <v>0.13633199466960658</v>
      </c>
      <c r="M24" s="40">
        <f t="shared" si="4"/>
        <v>0.51476836314709551</v>
      </c>
      <c r="N24" s="37">
        <f t="shared" si="5"/>
        <v>47993040</v>
      </c>
      <c r="O24" s="40">
        <v>16</v>
      </c>
      <c r="P24" s="41">
        <v>245253778</v>
      </c>
      <c r="Q24" s="41">
        <v>981015.11199999996</v>
      </c>
      <c r="R24" s="41">
        <v>18980.276000000002</v>
      </c>
      <c r="S24" s="42">
        <v>176995480</v>
      </c>
      <c r="T24" s="42">
        <v>34165192</v>
      </c>
      <c r="U24" s="42">
        <v>13827848</v>
      </c>
      <c r="V24" s="42">
        <v>129002440</v>
      </c>
      <c r="W24" s="43">
        <v>71.913038799999995</v>
      </c>
      <c r="X24" s="43">
        <v>75.788485600000001</v>
      </c>
      <c r="Y24" s="43">
        <v>37.198903199999997</v>
      </c>
      <c r="Z24" s="43">
        <v>44.905577999999998</v>
      </c>
      <c r="AA24" s="43">
        <v>43.527957200000003</v>
      </c>
      <c r="AB24" s="44">
        <v>26063.3</v>
      </c>
      <c r="AC24" s="44">
        <v>0</v>
      </c>
      <c r="AD24" s="44">
        <v>376.08300000000003</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4.6406375999999998</v>
      </c>
      <c r="J25" s="12">
        <f t="shared" si="1"/>
        <v>0.18540703370079342</v>
      </c>
      <c r="K25" s="12">
        <f t="shared" si="2"/>
        <v>6.399058210536894E-2</v>
      </c>
      <c r="L25" s="12">
        <f t="shared" si="3"/>
        <v>3.6518217561736913E-2</v>
      </c>
      <c r="M25" s="12">
        <f t="shared" si="4"/>
        <v>0.12141645159542447</v>
      </c>
      <c r="N25" s="54">
        <f t="shared" si="5"/>
        <v>16016496</v>
      </c>
      <c r="O25" s="12">
        <v>16</v>
      </c>
      <c r="P25" s="13">
        <v>229813518</v>
      </c>
      <c r="Q25" s="13">
        <v>766045.06</v>
      </c>
      <c r="R25" s="13">
        <v>15663.346666666699</v>
      </c>
      <c r="S25" s="14">
        <v>46406376</v>
      </c>
      <c r="T25" s="14">
        <v>9140312</v>
      </c>
      <c r="U25" s="14">
        <v>6876184</v>
      </c>
      <c r="V25" s="14">
        <v>30389880</v>
      </c>
      <c r="W25" s="15">
        <v>66.287795666666696</v>
      </c>
      <c r="X25" s="15">
        <v>68.082541000000006</v>
      </c>
      <c r="Y25" s="15">
        <v>27.281261666666701</v>
      </c>
      <c r="Z25" s="15">
        <v>33.103212999999997</v>
      </c>
      <c r="AA25" s="15">
        <v>32.536257999999997</v>
      </c>
      <c r="AB25" s="16">
        <v>18542</v>
      </c>
      <c r="AC25" s="16">
        <v>0</v>
      </c>
      <c r="AD25" s="16">
        <v>345.423</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7.9765152000000006</v>
      </c>
      <c r="J26" s="21">
        <f t="shared" si="1"/>
        <v>0.31868509243240428</v>
      </c>
      <c r="K26" s="21">
        <f t="shared" si="2"/>
        <v>7.9041487202467689E-2</v>
      </c>
      <c r="L26" s="21">
        <f t="shared" si="3"/>
        <v>5.1569122658835662E-2</v>
      </c>
      <c r="M26" s="21">
        <f t="shared" si="4"/>
        <v>0.23964360522993661</v>
      </c>
      <c r="N26" s="18">
        <f t="shared" si="5"/>
        <v>19783656</v>
      </c>
      <c r="O26" s="21">
        <v>16</v>
      </c>
      <c r="P26" s="22">
        <v>243596625</v>
      </c>
      <c r="Q26" s="22">
        <v>811988.75</v>
      </c>
      <c r="R26" s="22">
        <v>19477.926666666699</v>
      </c>
      <c r="S26" s="23">
        <v>79765152</v>
      </c>
      <c r="T26" s="23">
        <v>12907472</v>
      </c>
      <c r="U26" s="23">
        <v>6876184</v>
      </c>
      <c r="V26" s="23">
        <v>59981496</v>
      </c>
      <c r="W26" s="24">
        <v>68.006917999999999</v>
      </c>
      <c r="X26" s="24">
        <v>70.038729000000004</v>
      </c>
      <c r="Y26" s="24">
        <v>29.675542</v>
      </c>
      <c r="Z26" s="24">
        <v>34.267609666666701</v>
      </c>
      <c r="AA26" s="24">
        <v>33.851355333333302</v>
      </c>
      <c r="AB26" s="25">
        <v>19181</v>
      </c>
      <c r="AC26" s="25">
        <v>0</v>
      </c>
      <c r="AD26" s="25">
        <v>370.83100000000002</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14.0498864</v>
      </c>
      <c r="J27" s="12">
        <f t="shared" si="1"/>
        <v>0.56133402040640257</v>
      </c>
      <c r="K27" s="12">
        <f t="shared" si="2"/>
        <v>0.10173576989373266</v>
      </c>
      <c r="L27" s="12">
        <f t="shared" si="3"/>
        <v>7.426340535010062E-2</v>
      </c>
      <c r="M27" s="12">
        <f t="shared" si="4"/>
        <v>0.45959825051266989</v>
      </c>
      <c r="N27" s="54">
        <f t="shared" si="5"/>
        <v>25463912</v>
      </c>
      <c r="O27" s="12">
        <v>16</v>
      </c>
      <c r="P27" s="13">
        <v>246292617</v>
      </c>
      <c r="Q27" s="13">
        <v>820975.39</v>
      </c>
      <c r="R27" s="13">
        <v>20455.153333333299</v>
      </c>
      <c r="S27" s="14">
        <v>140498864</v>
      </c>
      <c r="T27" s="14">
        <v>18587728</v>
      </c>
      <c r="U27" s="14">
        <v>6876184</v>
      </c>
      <c r="V27" s="14">
        <v>115034952</v>
      </c>
      <c r="W27" s="15">
        <v>69.315213999999997</v>
      </c>
      <c r="X27" s="15">
        <v>71.735003333333296</v>
      </c>
      <c r="Y27" s="15">
        <v>32.184964000000001</v>
      </c>
      <c r="Z27" s="15">
        <v>35.538663</v>
      </c>
      <c r="AA27" s="15">
        <v>35.188755333333397</v>
      </c>
      <c r="AB27" s="16">
        <v>20038.7</v>
      </c>
      <c r="AC27" s="16">
        <v>0</v>
      </c>
      <c r="AD27" s="16">
        <v>367.44900000000001</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25.977923199999999</v>
      </c>
      <c r="J28" s="21">
        <f t="shared" si="1"/>
        <v>1.0378939484994525</v>
      </c>
      <c r="K28" s="21">
        <f t="shared" si="2"/>
        <v>0.13949294355880223</v>
      </c>
      <c r="L28" s="21">
        <f t="shared" si="3"/>
        <v>0.11202057901517021</v>
      </c>
      <c r="M28" s="21">
        <f t="shared" si="4"/>
        <v>0.89840100494065034</v>
      </c>
      <c r="N28" s="18">
        <f t="shared" si="5"/>
        <v>34914328</v>
      </c>
      <c r="O28" s="21">
        <v>16</v>
      </c>
      <c r="P28" s="22">
        <v>253012627</v>
      </c>
      <c r="Q28" s="22">
        <v>843375.42333333299</v>
      </c>
      <c r="R28" s="22">
        <v>22919.023333333302</v>
      </c>
      <c r="S28" s="23">
        <v>259779232</v>
      </c>
      <c r="T28" s="23">
        <v>28038144</v>
      </c>
      <c r="U28" s="23">
        <v>6876184</v>
      </c>
      <c r="V28" s="23">
        <v>224864904</v>
      </c>
      <c r="W28" s="24">
        <v>70.4547083333334</v>
      </c>
      <c r="X28" s="24">
        <v>73.019470333333402</v>
      </c>
      <c r="Y28" s="24">
        <v>34.865089333333302</v>
      </c>
      <c r="Z28" s="24">
        <v>37.362420666666701</v>
      </c>
      <c r="AA28" s="24">
        <v>36.933310666666699</v>
      </c>
      <c r="AB28" s="25">
        <v>21936.799999999999</v>
      </c>
      <c r="AC28" s="25">
        <v>0</v>
      </c>
      <c r="AD28" s="25">
        <v>399.78100000000001</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46.779981599999999</v>
      </c>
      <c r="J29" s="30">
        <f t="shared" si="1"/>
        <v>1.8689969725353464</v>
      </c>
      <c r="K29" s="30">
        <f t="shared" si="2"/>
        <v>0.22577716045008117</v>
      </c>
      <c r="L29" s="30">
        <f t="shared" si="3"/>
        <v>0.17325322687168673</v>
      </c>
      <c r="M29" s="30">
        <f t="shared" si="4"/>
        <v>1.6432198120852652</v>
      </c>
      <c r="N29" s="27">
        <f t="shared" si="5"/>
        <v>56510800</v>
      </c>
      <c r="O29" s="30">
        <v>16</v>
      </c>
      <c r="P29" s="31">
        <v>243449457</v>
      </c>
      <c r="Q29" s="31">
        <v>811498.19</v>
      </c>
      <c r="R29" s="31">
        <v>10618.35</v>
      </c>
      <c r="S29" s="32">
        <v>467799816</v>
      </c>
      <c r="T29" s="32">
        <v>43364344</v>
      </c>
      <c r="U29" s="32">
        <v>13146456</v>
      </c>
      <c r="V29" s="32">
        <v>411289016</v>
      </c>
      <c r="W29" s="33">
        <v>71.195139333333302</v>
      </c>
      <c r="X29" s="33">
        <v>74.950058666666706</v>
      </c>
      <c r="Y29" s="33">
        <v>37.258425333333399</v>
      </c>
      <c r="Z29" s="33">
        <v>39.4042483333333</v>
      </c>
      <c r="AA29" s="33">
        <v>38.757429666666603</v>
      </c>
      <c r="AB29" s="34">
        <v>24449.5</v>
      </c>
      <c r="AC29" s="34">
        <v>0</v>
      </c>
      <c r="AD29" s="34">
        <v>396.47500000000002</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2.9165887499999998</v>
      </c>
      <c r="J30" s="21">
        <f t="shared" si="1"/>
        <v>3.3146949656104693E-2</v>
      </c>
      <c r="K30" s="21">
        <f t="shared" si="2"/>
        <v>2.0164394018974977E-2</v>
      </c>
      <c r="L30" s="21">
        <f t="shared" si="3"/>
        <v>1.2593617880784723E-2</v>
      </c>
      <c r="M30" s="21">
        <f t="shared" si="4"/>
        <v>1.2982555637129715E-2</v>
      </c>
      <c r="N30" s="18">
        <f t="shared" si="5"/>
        <v>7570168</v>
      </c>
      <c r="O30" s="21">
        <v>16</v>
      </c>
      <c r="P30" s="22">
        <v>169249663</v>
      </c>
      <c r="Q30" s="22">
        <v>2644525.984375</v>
      </c>
      <c r="R30" s="22">
        <v>31572.21875</v>
      </c>
      <c r="S30" s="23">
        <v>12444112</v>
      </c>
      <c r="T30" s="23">
        <v>4727928</v>
      </c>
      <c r="U30" s="23">
        <v>2842240</v>
      </c>
      <c r="V30" s="23">
        <v>4873944</v>
      </c>
      <c r="W30" s="24">
        <v>73.420381250000005</v>
      </c>
      <c r="X30" s="24">
        <v>75.652451562500005</v>
      </c>
      <c r="Y30" s="24">
        <v>34.761785937500001</v>
      </c>
      <c r="Z30" s="24">
        <v>42.259193750000001</v>
      </c>
      <c r="AA30" s="24">
        <v>43.857667187499999</v>
      </c>
      <c r="AB30" s="25">
        <v>11333.1</v>
      </c>
      <c r="AC30" s="25">
        <v>0</v>
      </c>
      <c r="AD30" s="25">
        <v>225.965</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4.1559918749999998</v>
      </c>
      <c r="J31" s="12">
        <f t="shared" si="1"/>
        <v>4.7232731543590138E-2</v>
      </c>
      <c r="K31" s="12">
        <f t="shared" si="2"/>
        <v>2.4799747039162184E-2</v>
      </c>
      <c r="L31" s="12">
        <f t="shared" si="3"/>
        <v>1.7228970900971932E-2</v>
      </c>
      <c r="M31" s="12">
        <f t="shared" si="4"/>
        <v>2.2432984504427957E-2</v>
      </c>
      <c r="N31" s="54">
        <f t="shared" si="5"/>
        <v>9310384</v>
      </c>
      <c r="O31" s="12">
        <v>16</v>
      </c>
      <c r="P31" s="13">
        <v>180376132</v>
      </c>
      <c r="Q31" s="13">
        <v>2818377.0625</v>
      </c>
      <c r="R31" s="13">
        <v>39635.953125</v>
      </c>
      <c r="S31" s="14">
        <v>17732232</v>
      </c>
      <c r="T31" s="14">
        <v>6468144</v>
      </c>
      <c r="U31" s="14">
        <v>2842240</v>
      </c>
      <c r="V31" s="14">
        <v>8421848</v>
      </c>
      <c r="W31" s="15">
        <v>75.126996875000003</v>
      </c>
      <c r="X31" s="15">
        <v>77.554318749999993</v>
      </c>
      <c r="Y31" s="15">
        <v>36.699070312499998</v>
      </c>
      <c r="Z31" s="15">
        <v>42.785546875000001</v>
      </c>
      <c r="AA31" s="15">
        <v>45.095743749999997</v>
      </c>
      <c r="AB31" s="16">
        <v>12225.7</v>
      </c>
      <c r="AC31" s="16">
        <v>0</v>
      </c>
      <c r="AD31" s="16">
        <v>244.59700000000001</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6.4011674999999997</v>
      </c>
      <c r="J32" s="21">
        <f t="shared" si="1"/>
        <v>7.2749089792927962E-2</v>
      </c>
      <c r="K32" s="21">
        <f t="shared" si="2"/>
        <v>3.1505236823301121E-2</v>
      </c>
      <c r="L32" s="21">
        <f t="shared" si="3"/>
        <v>2.3934460685110865E-2</v>
      </c>
      <c r="M32" s="21">
        <f t="shared" si="4"/>
        <v>4.1243852969626842E-2</v>
      </c>
      <c r="N32" s="18">
        <f t="shared" si="5"/>
        <v>11827776</v>
      </c>
      <c r="O32" s="21">
        <v>16</v>
      </c>
      <c r="P32" s="22">
        <v>184125169</v>
      </c>
      <c r="Q32" s="22">
        <v>2876955.765625</v>
      </c>
      <c r="R32" s="22">
        <v>42824.109375</v>
      </c>
      <c r="S32" s="23">
        <v>27311648</v>
      </c>
      <c r="T32" s="23">
        <v>8985536</v>
      </c>
      <c r="U32" s="23">
        <v>2842240</v>
      </c>
      <c r="V32" s="23">
        <v>15483872</v>
      </c>
      <c r="W32" s="24">
        <v>76.4186921875</v>
      </c>
      <c r="X32" s="24">
        <v>79.128403125000006</v>
      </c>
      <c r="Y32" s="24">
        <v>38.443445312500003</v>
      </c>
      <c r="Z32" s="24">
        <v>43.306199999999997</v>
      </c>
      <c r="AA32" s="24">
        <v>46.267962500000003</v>
      </c>
      <c r="AB32" s="25">
        <v>11911.5</v>
      </c>
      <c r="AC32" s="25">
        <v>0</v>
      </c>
      <c r="AD32" s="25">
        <v>234.76499999999999</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10.6682775</v>
      </c>
      <c r="J33" s="12">
        <f t="shared" si="1"/>
        <v>0.12124467572257296</v>
      </c>
      <c r="K33" s="12">
        <f t="shared" si="2"/>
        <v>4.2644557363669636E-2</v>
      </c>
      <c r="L33" s="12">
        <f t="shared" si="3"/>
        <v>3.5073781225479377E-2</v>
      </c>
      <c r="M33" s="12">
        <f t="shared" si="4"/>
        <v>7.860011835890332E-2</v>
      </c>
      <c r="N33" s="54">
        <f t="shared" si="5"/>
        <v>16009728</v>
      </c>
      <c r="O33" s="12">
        <v>16</v>
      </c>
      <c r="P33" s="13">
        <v>188671707</v>
      </c>
      <c r="Q33" s="13">
        <v>2947995.421875</v>
      </c>
      <c r="R33" s="13">
        <v>47562.65625</v>
      </c>
      <c r="S33" s="14">
        <v>45517984</v>
      </c>
      <c r="T33" s="14">
        <v>13167488</v>
      </c>
      <c r="U33" s="14">
        <v>2842240</v>
      </c>
      <c r="V33" s="14">
        <v>29508256</v>
      </c>
      <c r="W33" s="15">
        <v>77.572199999999995</v>
      </c>
      <c r="X33" s="15">
        <v>80.316171874999995</v>
      </c>
      <c r="Y33" s="15">
        <v>40.047817187500002</v>
      </c>
      <c r="Z33" s="15">
        <v>44.019178125000003</v>
      </c>
      <c r="AA33" s="15">
        <v>47.8804203125</v>
      </c>
      <c r="AB33" s="16">
        <v>12990.8</v>
      </c>
      <c r="AC33" s="16">
        <v>0</v>
      </c>
      <c r="AD33" s="16">
        <v>253.47499999999999</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19.987520624999998</v>
      </c>
      <c r="J34" s="40">
        <f t="shared" si="1"/>
        <v>0.22715761346443827</v>
      </c>
      <c r="K34" s="40">
        <f t="shared" si="2"/>
        <v>6.8540860835209466E-2</v>
      </c>
      <c r="L34" s="40">
        <f t="shared" si="3"/>
        <v>5.3327027336523343E-2</v>
      </c>
      <c r="M34" s="40">
        <f t="shared" si="4"/>
        <v>0.15861675262922881</v>
      </c>
      <c r="N34" s="37">
        <f t="shared" si="5"/>
        <v>25731784</v>
      </c>
      <c r="O34" s="40">
        <v>16</v>
      </c>
      <c r="P34" s="41">
        <v>184986686</v>
      </c>
      <c r="Q34" s="41">
        <v>2890416.96875</v>
      </c>
      <c r="R34" s="41">
        <v>18988.484375</v>
      </c>
      <c r="S34" s="42">
        <v>85280088</v>
      </c>
      <c r="T34" s="42">
        <v>20020168</v>
      </c>
      <c r="U34" s="42">
        <v>5711616</v>
      </c>
      <c r="V34" s="42">
        <v>59548304</v>
      </c>
      <c r="W34" s="43">
        <v>78.495457812500007</v>
      </c>
      <c r="X34" s="43">
        <v>81.985414062499999</v>
      </c>
      <c r="Y34" s="43">
        <v>41.53643125</v>
      </c>
      <c r="Z34" s="43">
        <v>44.803509374999997</v>
      </c>
      <c r="AA34" s="43">
        <v>49.259440625000003</v>
      </c>
      <c r="AB34" s="44">
        <v>13875.2</v>
      </c>
      <c r="AC34" s="44">
        <v>0</v>
      </c>
      <c r="AD34" s="44">
        <v>252.52699999999999</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3.0106518750000002</v>
      </c>
      <c r="J35" s="12">
        <f t="shared" si="1"/>
        <v>3.8552842033349854E-2</v>
      </c>
      <c r="K35" s="12">
        <f t="shared" si="2"/>
        <v>2.2889163028202146E-2</v>
      </c>
      <c r="L35" s="12">
        <f t="shared" si="3"/>
        <v>1.4026754511138216E-2</v>
      </c>
      <c r="M35" s="12">
        <f t="shared" si="4"/>
        <v>1.5663679005147708E-2</v>
      </c>
      <c r="N35" s="54">
        <f t="shared" si="5"/>
        <v>7626456</v>
      </c>
      <c r="O35" s="12">
        <v>16</v>
      </c>
      <c r="P35" s="13">
        <v>149475345</v>
      </c>
      <c r="Q35" s="13">
        <v>2335552.265625</v>
      </c>
      <c r="R35" s="13">
        <v>30858.4375</v>
      </c>
      <c r="S35" s="14">
        <v>12845448</v>
      </c>
      <c r="T35" s="14">
        <v>4673584</v>
      </c>
      <c r="U35" s="14">
        <v>2952872</v>
      </c>
      <c r="V35" s="14">
        <v>5218992</v>
      </c>
      <c r="W35" s="15">
        <v>73.203678124999996</v>
      </c>
      <c r="X35" s="15">
        <v>75.427323437499993</v>
      </c>
      <c r="Y35" s="15">
        <v>34.096020312500002</v>
      </c>
      <c r="Z35" s="15">
        <v>42.519103125000001</v>
      </c>
      <c r="AA35" s="15">
        <v>44.023568750000003</v>
      </c>
      <c r="AB35" s="16">
        <v>10944.7</v>
      </c>
      <c r="AC35" s="16">
        <v>0</v>
      </c>
      <c r="AD35" s="16">
        <v>222.316</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4.3041112500000001</v>
      </c>
      <c r="J36" s="21">
        <f t="shared" si="1"/>
        <v>5.5116210045113238E-2</v>
      </c>
      <c r="K36" s="21">
        <f t="shared" si="2"/>
        <v>2.8110077229679127E-2</v>
      </c>
      <c r="L36" s="21">
        <f t="shared" si="3"/>
        <v>1.9247668712615195E-2</v>
      </c>
      <c r="M36" s="21">
        <f t="shared" si="4"/>
        <v>2.7006132815434108E-2</v>
      </c>
      <c r="N36" s="18">
        <f t="shared" si="5"/>
        <v>9366016</v>
      </c>
      <c r="O36" s="21">
        <v>16</v>
      </c>
      <c r="P36" s="22">
        <v>159667518</v>
      </c>
      <c r="Q36" s="22">
        <v>2494804.96875</v>
      </c>
      <c r="R36" s="22">
        <v>39145.453125</v>
      </c>
      <c r="S36" s="23">
        <v>18364208</v>
      </c>
      <c r="T36" s="23">
        <v>6413144</v>
      </c>
      <c r="U36" s="23">
        <v>2952872</v>
      </c>
      <c r="V36" s="23">
        <v>8998192</v>
      </c>
      <c r="W36" s="24">
        <v>74.931957812500002</v>
      </c>
      <c r="X36" s="24">
        <v>77.373424999999997</v>
      </c>
      <c r="Y36" s="24">
        <v>36.170073437500001</v>
      </c>
      <c r="Z36" s="24">
        <v>43.175532812500002</v>
      </c>
      <c r="AA36" s="24">
        <v>45.352903124999997</v>
      </c>
      <c r="AB36" s="25">
        <v>11788.8</v>
      </c>
      <c r="AC36" s="25">
        <v>0</v>
      </c>
      <c r="AD36" s="25">
        <v>240.80699999999999</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6.5807681249999996</v>
      </c>
      <c r="J37" s="12">
        <f t="shared" si="1"/>
        <v>8.4269893868492832E-2</v>
      </c>
      <c r="K37" s="12">
        <f t="shared" si="2"/>
        <v>3.5595784610895895E-2</v>
      </c>
      <c r="L37" s="12">
        <f t="shared" si="3"/>
        <v>2.6733376093831963E-2</v>
      </c>
      <c r="M37" s="12">
        <f t="shared" si="4"/>
        <v>4.867410925759693E-2</v>
      </c>
      <c r="N37" s="54">
        <f t="shared" si="5"/>
        <v>11860184</v>
      </c>
      <c r="O37" s="12">
        <v>16</v>
      </c>
      <c r="P37" s="13">
        <v>163021167</v>
      </c>
      <c r="Q37" s="13">
        <v>2547205.734375</v>
      </c>
      <c r="R37" s="13">
        <v>42107.53125</v>
      </c>
      <c r="S37" s="14">
        <v>28077944</v>
      </c>
      <c r="T37" s="14">
        <v>8907312</v>
      </c>
      <c r="U37" s="14">
        <v>2952872</v>
      </c>
      <c r="V37" s="14">
        <v>16217760</v>
      </c>
      <c r="W37" s="15">
        <v>76.231182812499995</v>
      </c>
      <c r="X37" s="15">
        <v>78.983845312499994</v>
      </c>
      <c r="Y37" s="15">
        <v>38.016212500000002</v>
      </c>
      <c r="Z37" s="15">
        <v>43.728549999999998</v>
      </c>
      <c r="AA37" s="15">
        <v>46.500157812499999</v>
      </c>
      <c r="AB37" s="16">
        <v>12142.4</v>
      </c>
      <c r="AC37" s="16">
        <v>0</v>
      </c>
      <c r="AD37" s="16">
        <v>245.54900000000001</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11.05396125</v>
      </c>
      <c r="J38" s="21">
        <f t="shared" si="1"/>
        <v>0.14155127846324661</v>
      </c>
      <c r="K38" s="21">
        <f t="shared" si="2"/>
        <v>4.8232608324778249E-2</v>
      </c>
      <c r="L38" s="21">
        <f t="shared" si="3"/>
        <v>3.9370199807714314E-2</v>
      </c>
      <c r="M38" s="21">
        <f t="shared" si="4"/>
        <v>9.3318670138468368E-2</v>
      </c>
      <c r="N38" s="18">
        <f t="shared" si="5"/>
        <v>16070656</v>
      </c>
      <c r="O38" s="21">
        <v>16</v>
      </c>
      <c r="P38" s="22">
        <v>167227668</v>
      </c>
      <c r="Q38" s="22">
        <v>2612932.3125</v>
      </c>
      <c r="R38" s="22">
        <v>46854.9375</v>
      </c>
      <c r="S38" s="23">
        <v>47163568</v>
      </c>
      <c r="T38" s="23">
        <v>13117784</v>
      </c>
      <c r="U38" s="23">
        <v>2952872</v>
      </c>
      <c r="V38" s="23">
        <v>31092912</v>
      </c>
      <c r="W38" s="24">
        <v>77.427364062500004</v>
      </c>
      <c r="X38" s="24">
        <v>80.206965624999995</v>
      </c>
      <c r="Y38" s="24">
        <v>39.7853953125</v>
      </c>
      <c r="Z38" s="24">
        <v>44.5117046875</v>
      </c>
      <c r="AA38" s="24">
        <v>47.856745312500003</v>
      </c>
      <c r="AB38" s="25">
        <v>12735</v>
      </c>
      <c r="AC38" s="25">
        <v>0</v>
      </c>
      <c r="AD38" s="25">
        <v>253.37200000000001</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20.274425624999999</v>
      </c>
      <c r="J39" s="30">
        <f t="shared" si="1"/>
        <v>0.25962374957002476</v>
      </c>
      <c r="K39" s="30">
        <f t="shared" si="2"/>
        <v>7.7484926356990724E-2</v>
      </c>
      <c r="L39" s="30">
        <f t="shared" si="3"/>
        <v>5.9757852357032702E-2</v>
      </c>
      <c r="M39" s="30">
        <f t="shared" si="4"/>
        <v>0.18213882321303401</v>
      </c>
      <c r="N39" s="27">
        <f t="shared" si="5"/>
        <v>25817256</v>
      </c>
      <c r="O39" s="30">
        <v>16</v>
      </c>
      <c r="P39" s="31">
        <v>163674339</v>
      </c>
      <c r="Q39" s="31">
        <v>2557411.546875</v>
      </c>
      <c r="R39" s="31">
        <v>18643.625</v>
      </c>
      <c r="S39" s="32">
        <v>86504216</v>
      </c>
      <c r="T39" s="32">
        <v>19910760</v>
      </c>
      <c r="U39" s="32">
        <v>5906496</v>
      </c>
      <c r="V39" s="32">
        <v>60686960</v>
      </c>
      <c r="W39" s="33">
        <v>78.2997765625</v>
      </c>
      <c r="X39" s="33">
        <v>81.903846874999999</v>
      </c>
      <c r="Y39" s="33">
        <v>41.362742187499997</v>
      </c>
      <c r="Z39" s="33">
        <v>45.498707812500001</v>
      </c>
      <c r="AA39" s="33">
        <v>49.189432812500002</v>
      </c>
      <c r="AB39" s="34">
        <v>13611.3</v>
      </c>
      <c r="AC39" s="34">
        <v>0</v>
      </c>
      <c r="AD39" s="34">
        <v>247.46600000000001</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0.39670616903588041</v>
      </c>
      <c r="K40" s="48">
        <f>AVERAGE(K5:K24)</f>
        <v>0.12856735235784025</v>
      </c>
      <c r="L40" s="48">
        <f>AVERAGE(L5:L24)</f>
        <v>9.0538624026516065E-2</v>
      </c>
      <c r="M40" s="48">
        <f>AVERAGE(M5:M24)</f>
        <v>0.26813881667804013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0.79446341351487981</v>
      </c>
      <c r="K41" s="48">
        <f>AVERAGE(K25:K29)</f>
        <v>0.12200758864209056</v>
      </c>
      <c r="L41" s="48">
        <f>AVERAGE(L25:L29)</f>
        <v>8.9524910291506027E-2</v>
      </c>
      <c r="M41" s="48">
        <f>AVERAGE(M25:M29)</f>
        <v>0.67245582487278932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0.10806450341598613</v>
      </c>
      <c r="K42" s="48">
        <f>AVERAGE(K30:K39)</f>
        <v>3.9996735563086354E-2</v>
      </c>
      <c r="L42" s="48">
        <f>AVERAGE(L30:L39)</f>
        <v>3.0129370951120261E-2</v>
      </c>
      <c r="M42" s="48">
        <f>AVERAGE(M30:M39)</f>
        <v>6.806776785289978E-2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0.37105958521291055</v>
      </c>
      <c r="K43" s="48">
        <f>AVERAGE(K5:K39)</f>
        <v>0.10232435274280346</v>
      </c>
      <c r="L43" s="48">
        <f>AVERAGE(L5:L39)</f>
        <v>7.3134021185687251E-2</v>
      </c>
      <c r="M43" s="48">
        <f>AVERAGE(M5:M39)</f>
        <v>0.268735232470107</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729108</v>
      </c>
      <c r="AC44" s="49">
        <f>SUM(AC5:AC24,AC25:AC29,AC30:AC39)</f>
        <v>0</v>
      </c>
      <c r="AD44" s="49">
        <f>SUM(AD5:AD24,AD25:AD29,AD30:AD39)</f>
        <v>11879.151000000003</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19855.427590538246</v>
      </c>
      <c r="AC46" s="49" t="e">
        <f>GEOMEAN(AC5:AC24,AC25:AC29,AC30:AC39)</f>
        <v>#NUM!</v>
      </c>
      <c r="AD46" s="49">
        <f>GEOMEAN(AD5:AD24,AD25:AD29,AD30:AD39)</f>
        <v>331.80911819894806</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I51" sqref="I5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ALL_master+r120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0.16882641207332316</v>
      </c>
      <c r="I5" s="11">
        <f t="shared" ref="I5:I11" si="1">IF(OR(ISBLANK(Q5),ISBLANK(F5)),"·",Q5*F5/E5/1000000)</f>
        <v>217.10916399999999</v>
      </c>
      <c r="J5" s="12">
        <f t="shared" ref="J5:J11" si="2">IF(ISBLANK(Q5),"·",Q5/C5)</f>
        <v>9.1166262519594508</v>
      </c>
      <c r="K5" s="12">
        <f t="shared" ref="K5:K11" si="3">IF(N5="","·",N5/C5)</f>
        <v>1.4349018457306792</v>
      </c>
      <c r="L5" s="12">
        <f t="shared" ref="L5:L11" si="4">IF(R5="","·",R5/C5)</f>
        <v>1.3376869859850196</v>
      </c>
      <c r="M5" s="12">
        <f t="shared" ref="M5:M11" si="5">IF(ISBLANK(T5),"·",T5/C5)</f>
        <v>7.6817244062287724</v>
      </c>
      <c r="N5" s="54">
        <f t="shared" ref="N5:N11" si="6">IF(OR(ISBLANK(R5),ISBLANK(S5)),"",R5+S5)</f>
        <v>341716696</v>
      </c>
      <c r="O5" s="12">
        <v>16</v>
      </c>
      <c r="P5" s="13">
        <v>238146391</v>
      </c>
      <c r="Q5" s="14">
        <v>2171091640</v>
      </c>
      <c r="R5" s="14">
        <v>318565328</v>
      </c>
      <c r="S5" s="14">
        <v>23151368</v>
      </c>
      <c r="T5" s="14">
        <v>1829374944</v>
      </c>
      <c r="U5" s="15" t="s">
        <v>571</v>
      </c>
      <c r="V5" s="15" t="s">
        <v>571</v>
      </c>
      <c r="W5" s="15" t="s">
        <v>571</v>
      </c>
      <c r="X5" s="15" t="s">
        <v>571</v>
      </c>
      <c r="Y5" s="15" t="s">
        <v>571</v>
      </c>
      <c r="Z5" s="16">
        <v>54719.9</v>
      </c>
      <c r="AA5" s="16">
        <v>0</v>
      </c>
      <c r="AB5" s="16">
        <v>325.11500000000001</v>
      </c>
      <c r="AC5" s="16">
        <v>0</v>
      </c>
      <c r="AE5" s="17">
        <f t="shared" ref="AE5:AE11" si="7">IF(ISBLANK(Q5),"·",Q5/(C5*(D5*3+IF(AND(ISNUMBER(T5),T5&gt;0),24,0))))</f>
        <v>0.16882641207332316</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0.24067862085483496</v>
      </c>
      <c r="I6" s="20">
        <f t="shared" si="1"/>
        <v>283.48444639999997</v>
      </c>
      <c r="J6" s="21">
        <f t="shared" si="2"/>
        <v>12.996645526161087</v>
      </c>
      <c r="K6" s="21">
        <f t="shared" si="3"/>
        <v>1.7644243195717728</v>
      </c>
      <c r="L6" s="21">
        <f t="shared" si="4"/>
        <v>1.6028042972540932</v>
      </c>
      <c r="M6" s="21">
        <f t="shared" si="5"/>
        <v>11.232221206589315</v>
      </c>
      <c r="N6" s="18">
        <f t="shared" si="6"/>
        <v>384858424</v>
      </c>
      <c r="O6" s="21">
        <v>16</v>
      </c>
      <c r="P6" s="22">
        <v>218121242</v>
      </c>
      <c r="Q6" s="23">
        <v>2834844464</v>
      </c>
      <c r="R6" s="23">
        <v>349605664</v>
      </c>
      <c r="S6" s="23">
        <v>35252760</v>
      </c>
      <c r="T6" s="23">
        <v>2449986040</v>
      </c>
      <c r="U6" s="24" t="s">
        <v>571</v>
      </c>
      <c r="V6" s="24" t="s">
        <v>571</v>
      </c>
      <c r="W6" s="24" t="s">
        <v>571</v>
      </c>
      <c r="X6" s="24" t="s">
        <v>571</v>
      </c>
      <c r="Y6" s="24" t="s">
        <v>571</v>
      </c>
      <c r="Z6" s="25">
        <v>55096.9</v>
      </c>
      <c r="AA6" s="25">
        <v>0</v>
      </c>
      <c r="AB6" s="25">
        <v>324.47000000000003</v>
      </c>
      <c r="AC6" s="25">
        <v>0</v>
      </c>
      <c r="AE6" s="26">
        <f t="shared" si="7"/>
        <v>0.24067862085483496</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0.18814336000883281</v>
      </c>
      <c r="I7" s="11">
        <f t="shared" si="1"/>
        <v>327.74279839999997</v>
      </c>
      <c r="J7" s="12">
        <f t="shared" si="2"/>
        <v>10.159741440476973</v>
      </c>
      <c r="K7" s="12">
        <f t="shared" si="3"/>
        <v>1.6484763940265124</v>
      </c>
      <c r="L7" s="12">
        <f t="shared" si="4"/>
        <v>1.5286880947694474</v>
      </c>
      <c r="M7" s="12">
        <f t="shared" si="5"/>
        <v>8.5112650464504593</v>
      </c>
      <c r="N7" s="54">
        <f t="shared" si="6"/>
        <v>531781512</v>
      </c>
      <c r="O7" s="12">
        <v>16</v>
      </c>
      <c r="P7" s="13">
        <v>322589704</v>
      </c>
      <c r="Q7" s="14">
        <v>3277427984</v>
      </c>
      <c r="R7" s="14">
        <v>493139040</v>
      </c>
      <c r="S7" s="14">
        <v>38642472</v>
      </c>
      <c r="T7" s="14">
        <v>2745646472</v>
      </c>
      <c r="U7" s="15" t="s">
        <v>571</v>
      </c>
      <c r="V7" s="15" t="s">
        <v>571</v>
      </c>
      <c r="W7" s="15" t="s">
        <v>571</v>
      </c>
      <c r="X7" s="15" t="s">
        <v>571</v>
      </c>
      <c r="Y7" s="15" t="s">
        <v>571</v>
      </c>
      <c r="Z7" s="16">
        <v>76299</v>
      </c>
      <c r="AA7" s="16">
        <v>0</v>
      </c>
      <c r="AB7" s="16">
        <v>404.74</v>
      </c>
      <c r="AC7" s="16">
        <v>0</v>
      </c>
      <c r="AE7" s="17">
        <f t="shared" si="7"/>
        <v>0.18814336000883281</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0.16084695822898842</v>
      </c>
      <c r="I8" s="39">
        <f t="shared" si="1"/>
        <v>435.33409760000001</v>
      </c>
      <c r="J8" s="40">
        <f t="shared" si="2"/>
        <v>8.6857357443653758</v>
      </c>
      <c r="K8" s="40">
        <f t="shared" si="3"/>
        <v>1.2330980172132173</v>
      </c>
      <c r="L8" s="40">
        <f t="shared" si="4"/>
        <v>1.0904327197087282</v>
      </c>
      <c r="M8" s="40">
        <f t="shared" si="5"/>
        <v>7.4526377271521582</v>
      </c>
      <c r="N8" s="37">
        <f t="shared" si="6"/>
        <v>309017928</v>
      </c>
      <c r="O8" s="40">
        <v>16</v>
      </c>
      <c r="P8" s="41">
        <v>250602891</v>
      </c>
      <c r="Q8" s="42">
        <v>2176670488</v>
      </c>
      <c r="R8" s="42">
        <v>273265592</v>
      </c>
      <c r="S8" s="42">
        <v>35752336</v>
      </c>
      <c r="T8" s="42">
        <v>1867652560</v>
      </c>
      <c r="U8" s="43" t="s">
        <v>571</v>
      </c>
      <c r="V8" s="43" t="s">
        <v>571</v>
      </c>
      <c r="W8" s="43" t="s">
        <v>571</v>
      </c>
      <c r="X8" s="43" t="s">
        <v>571</v>
      </c>
      <c r="Y8" s="43" t="s">
        <v>571</v>
      </c>
      <c r="Z8" s="44">
        <v>52141.2</v>
      </c>
      <c r="AA8" s="44">
        <v>0</v>
      </c>
      <c r="AB8" s="44">
        <v>288.57</v>
      </c>
      <c r="AC8" s="44">
        <v>0</v>
      </c>
      <c r="AE8" s="46">
        <f t="shared" si="7"/>
        <v>0.16084695822898842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0.27565910434408164</v>
      </c>
      <c r="I9" s="29">
        <f t="shared" si="1"/>
        <v>372.57829360000005</v>
      </c>
      <c r="J9" s="30">
        <f t="shared" si="2"/>
        <v>14.885591634580408</v>
      </c>
      <c r="K9" s="30">
        <f t="shared" si="3"/>
        <v>1.5220783324826423</v>
      </c>
      <c r="L9" s="30">
        <f t="shared" si="4"/>
        <v>1.4223212870025288</v>
      </c>
      <c r="M9" s="30">
        <f t="shared" si="5"/>
        <v>13.363513302097767</v>
      </c>
      <c r="N9" s="27">
        <f t="shared" si="6"/>
        <v>380967960</v>
      </c>
      <c r="O9" s="30">
        <v>16</v>
      </c>
      <c r="P9" s="31">
        <v>250294582</v>
      </c>
      <c r="Q9" s="32">
        <v>3725782936</v>
      </c>
      <c r="R9" s="32">
        <v>355999312</v>
      </c>
      <c r="S9" s="32">
        <v>24968648</v>
      </c>
      <c r="T9" s="32">
        <v>3344814976</v>
      </c>
      <c r="U9" s="33" t="s">
        <v>571</v>
      </c>
      <c r="V9" s="33" t="s">
        <v>571</v>
      </c>
      <c r="W9" s="33" t="s">
        <v>571</v>
      </c>
      <c r="X9" s="33" t="s">
        <v>571</v>
      </c>
      <c r="Y9" s="33" t="s">
        <v>571</v>
      </c>
      <c r="Z9" s="34">
        <v>56672.3</v>
      </c>
      <c r="AA9" s="34">
        <v>0</v>
      </c>
      <c r="AB9" s="34">
        <v>365.81099999999998</v>
      </c>
      <c r="AC9" s="34">
        <v>0</v>
      </c>
      <c r="AE9" s="36">
        <f t="shared" si="7"/>
        <v>0.27565910434408164</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8.5983007208826595E-2</v>
      </c>
      <c r="I10" s="20">
        <f t="shared" si="1"/>
        <v>431.24007562499997</v>
      </c>
      <c r="J10" s="21">
        <f t="shared" si="2"/>
        <v>4.9010314109031157</v>
      </c>
      <c r="K10" s="21">
        <f t="shared" si="3"/>
        <v>0.56246698603250345</v>
      </c>
      <c r="L10" s="21">
        <f t="shared" si="4"/>
        <v>0.53739198647314035</v>
      </c>
      <c r="M10" s="21">
        <f t="shared" si="5"/>
        <v>4.3385644248706123</v>
      </c>
      <c r="N10" s="18">
        <f t="shared" si="6"/>
        <v>211162784</v>
      </c>
      <c r="O10" s="21">
        <v>16</v>
      </c>
      <c r="P10" s="22">
        <v>186907991</v>
      </c>
      <c r="Q10" s="23">
        <v>1839957656</v>
      </c>
      <c r="R10" s="23">
        <v>201749064</v>
      </c>
      <c r="S10" s="23">
        <v>9413720</v>
      </c>
      <c r="T10" s="23">
        <v>1628794872</v>
      </c>
      <c r="U10" s="24" t="s">
        <v>571</v>
      </c>
      <c r="V10" s="24" t="s">
        <v>571</v>
      </c>
      <c r="W10" s="24" t="s">
        <v>571</v>
      </c>
      <c r="X10" s="24" t="s">
        <v>571</v>
      </c>
      <c r="Y10" s="24" t="s">
        <v>571</v>
      </c>
      <c r="Z10" s="25">
        <v>37155</v>
      </c>
      <c r="AA10" s="25">
        <v>0</v>
      </c>
      <c r="AB10" s="25">
        <v>196.10499999999999</v>
      </c>
      <c r="AC10" s="25">
        <v>0</v>
      </c>
      <c r="AE10" s="26">
        <f t="shared" si="7"/>
        <v>8.5983007208826595E-2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8.7336468472752421E-2</v>
      </c>
      <c r="I11" s="29">
        <f t="shared" si="1"/>
        <v>388.75377937500002</v>
      </c>
      <c r="J11" s="30">
        <f t="shared" si="2"/>
        <v>4.978178702946888</v>
      </c>
      <c r="K11" s="30">
        <f t="shared" si="3"/>
        <v>0.59508560876981764</v>
      </c>
      <c r="L11" s="30">
        <f t="shared" si="4"/>
        <v>0.56623150114497944</v>
      </c>
      <c r="M11" s="30">
        <f t="shared" si="5"/>
        <v>4.3830930941770703</v>
      </c>
      <c r="N11" s="27">
        <f t="shared" si="6"/>
        <v>198276984</v>
      </c>
      <c r="O11" s="30">
        <v>16</v>
      </c>
      <c r="P11" s="31">
        <v>166028718</v>
      </c>
      <c r="Q11" s="32">
        <v>1658682792</v>
      </c>
      <c r="R11" s="32">
        <v>188663064</v>
      </c>
      <c r="S11" s="32">
        <v>9613920</v>
      </c>
      <c r="T11" s="32">
        <v>1460405808</v>
      </c>
      <c r="U11" s="33" t="s">
        <v>571</v>
      </c>
      <c r="V11" s="33" t="s">
        <v>571</v>
      </c>
      <c r="W11" s="33" t="s">
        <v>571</v>
      </c>
      <c r="X11" s="33" t="s">
        <v>571</v>
      </c>
      <c r="Y11" s="33" t="s">
        <v>571</v>
      </c>
      <c r="Z11" s="34">
        <v>33699.699999999997</v>
      </c>
      <c r="AA11" s="34">
        <v>0</v>
      </c>
      <c r="AB11" s="34">
        <v>188.51300000000001</v>
      </c>
      <c r="AC11" s="34">
        <v>0</v>
      </c>
      <c r="AE11" s="36">
        <f t="shared" si="7"/>
        <v>8.7336468472752421E-2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10.239687240740722</v>
      </c>
      <c r="K12" s="48">
        <f>AVERAGE(K5:K8)</f>
        <v>1.5202251441355454</v>
      </c>
      <c r="L12" s="48">
        <f>AVERAGE(L5:L8)</f>
        <v>1.389903024429322</v>
      </c>
      <c r="M12" s="48">
        <f>AVERAGE(M5:M8)</f>
        <v>8.7194620966051772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14.885591634580408</v>
      </c>
      <c r="K13" s="48">
        <f>AVERAGE(K9:K9)</f>
        <v>1.5220783324826423</v>
      </c>
      <c r="L13" s="48">
        <f>AVERAGE(L9:L9)</f>
        <v>1.4223212870025288</v>
      </c>
      <c r="M13" s="48">
        <f>AVERAGE(M9:M9)</f>
        <v>13.363513302097767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4.9396050569250018</v>
      </c>
      <c r="K14" s="48">
        <f>AVERAGE(K10:K11)</f>
        <v>0.57877629740116054</v>
      </c>
      <c r="L14" s="48">
        <f>AVERAGE(L10:L11)</f>
        <v>0.55181174380905995</v>
      </c>
      <c r="M14" s="48">
        <f>AVERAGE(M10:M11)</f>
        <v>4.3608287595238409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9.3890786730561864</v>
      </c>
      <c r="K15" s="48">
        <f>AVERAGE(K5:K11)</f>
        <v>1.2515045005467351</v>
      </c>
      <c r="L15" s="48">
        <f>AVERAGE(L5:L11)</f>
        <v>1.1550795531911338</v>
      </c>
      <c r="M15" s="48">
        <f>AVERAGE(M5:M11)</f>
        <v>8.137574172509451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365784</v>
      </c>
      <c r="AA16" s="49">
        <f>SUM(AA5:AA8,AA9:AA9,AA10:AA11)</f>
        <v>0</v>
      </c>
      <c r="AB16" s="49">
        <f>SUM(AB5:AB8,AB9:AB9,AB10:AB11)</f>
        <v>2093.3240000000001</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50615.529081411187</v>
      </c>
      <c r="AA18" s="49" t="e">
        <f>GEOMEAN(AA5:AA8,AA9:AA9,AA10:AA11)</f>
        <v>#NUM!</v>
      </c>
      <c r="AB18" s="49">
        <f>GEOMEAN(AB5:AB8,AB9:AB9,AB10:AB11)</f>
        <v>288.56689975131764</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Z37" sqref="Z37"/>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ALL_master+r120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0.16737215748635578</v>
      </c>
      <c r="I5" s="11">
        <f t="shared" ref="I5:I11" si="1">IF(OR(ISBLANK(Q5),ISBLANK(F5)),"·",Q5*F5/E5/1000000)</f>
        <v>215.23900639999999</v>
      </c>
      <c r="J5" s="12">
        <f t="shared" ref="J5:J11" si="2">IF(ISBLANK(Q5),"·",Q5/C5)</f>
        <v>9.038096504263212</v>
      </c>
      <c r="K5" s="12">
        <f t="shared" ref="K5:K11" si="3">IF(N5="","·",N5/C5)</f>
        <v>1.4168576167925215</v>
      </c>
      <c r="L5" s="12">
        <f t="shared" ref="L5:L11" si="4">IF(R5="","·",R5/C5)</f>
        <v>1.3191194822683665</v>
      </c>
      <c r="M5" s="12">
        <f t="shared" ref="M5:M11" si="5">IF(ISBLANK(T5),"·",T5/C5)</f>
        <v>7.6212388874706907</v>
      </c>
      <c r="N5" s="54">
        <f t="shared" ref="N5:N11" si="6">IF(OR(ISBLANK(R5),ISBLANK(S5)),"",R5+S5)</f>
        <v>337419528</v>
      </c>
      <c r="O5" s="12">
        <v>16</v>
      </c>
      <c r="P5" s="13">
        <v>238146391</v>
      </c>
      <c r="Q5" s="14">
        <v>2152390064</v>
      </c>
      <c r="R5" s="14">
        <v>314143544</v>
      </c>
      <c r="S5" s="14">
        <v>23275984</v>
      </c>
      <c r="T5" s="14">
        <v>1814970536</v>
      </c>
      <c r="U5" s="15" t="s">
        <v>571</v>
      </c>
      <c r="V5" s="15" t="s">
        <v>571</v>
      </c>
      <c r="W5" s="15" t="s">
        <v>571</v>
      </c>
      <c r="X5" s="15" t="s">
        <v>571</v>
      </c>
      <c r="Y5" s="15" t="s">
        <v>571</v>
      </c>
      <c r="Z5" s="16">
        <v>74127.600000000006</v>
      </c>
      <c r="AA5" s="16">
        <v>0</v>
      </c>
      <c r="AB5" s="16">
        <v>295.94299999999998</v>
      </c>
      <c r="AC5" s="16">
        <v>0</v>
      </c>
      <c r="AE5" s="17">
        <f t="shared" ref="AE5:AE11" si="7">IF(ISBLANK(Q5),"·",Q5/(C5*(D5*3+IF(AND(ISNUMBER(T5),T5&gt;0),24,0))))</f>
        <v>0.16737215748635578</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0.23917719899881967</v>
      </c>
      <c r="I6" s="20">
        <f t="shared" si="1"/>
        <v>281.7159896</v>
      </c>
      <c r="J6" s="21">
        <f t="shared" si="2"/>
        <v>12.915568745936262</v>
      </c>
      <c r="K6" s="21">
        <f t="shared" si="3"/>
        <v>1.7621964210161614</v>
      </c>
      <c r="L6" s="21">
        <f t="shared" si="4"/>
        <v>1.5956397314113955</v>
      </c>
      <c r="M6" s="21">
        <f t="shared" si="5"/>
        <v>11.153372324920101</v>
      </c>
      <c r="N6" s="18">
        <f t="shared" si="6"/>
        <v>384372472</v>
      </c>
      <c r="O6" s="21">
        <v>16</v>
      </c>
      <c r="P6" s="22">
        <v>218121242</v>
      </c>
      <c r="Q6" s="23">
        <v>2817159896</v>
      </c>
      <c r="R6" s="23">
        <v>348042920</v>
      </c>
      <c r="S6" s="23">
        <v>36329552</v>
      </c>
      <c r="T6" s="23">
        <v>2432787424</v>
      </c>
      <c r="U6" s="24" t="s">
        <v>571</v>
      </c>
      <c r="V6" s="24" t="s">
        <v>571</v>
      </c>
      <c r="W6" s="24" t="s">
        <v>571</v>
      </c>
      <c r="X6" s="24" t="s">
        <v>571</v>
      </c>
      <c r="Y6" s="24" t="s">
        <v>571</v>
      </c>
      <c r="Z6" s="25">
        <v>88205.4</v>
      </c>
      <c r="AA6" s="25">
        <v>0</v>
      </c>
      <c r="AB6" s="25">
        <v>325.28899999999999</v>
      </c>
      <c r="AC6" s="25">
        <v>0</v>
      </c>
      <c r="AE6" s="26">
        <f t="shared" si="7"/>
        <v>0.23917719899881967</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0.18407125098564947</v>
      </c>
      <c r="I7" s="11">
        <f t="shared" si="1"/>
        <v>320.649248</v>
      </c>
      <c r="J7" s="12">
        <f t="shared" si="2"/>
        <v>9.9398475532250714</v>
      </c>
      <c r="K7" s="12">
        <f t="shared" si="3"/>
        <v>1.5523784974860821</v>
      </c>
      <c r="L7" s="12">
        <f t="shared" si="4"/>
        <v>1.4373883426856053</v>
      </c>
      <c r="M7" s="12">
        <f t="shared" si="5"/>
        <v>8.3874690557389897</v>
      </c>
      <c r="N7" s="54">
        <f t="shared" si="6"/>
        <v>500781320</v>
      </c>
      <c r="O7" s="12">
        <v>16</v>
      </c>
      <c r="P7" s="13">
        <v>322589704</v>
      </c>
      <c r="Q7" s="14">
        <v>3206492480</v>
      </c>
      <c r="R7" s="14">
        <v>463686680</v>
      </c>
      <c r="S7" s="14">
        <v>37094640</v>
      </c>
      <c r="T7" s="14">
        <v>2705711160</v>
      </c>
      <c r="U7" s="15" t="s">
        <v>571</v>
      </c>
      <c r="V7" s="15" t="s">
        <v>571</v>
      </c>
      <c r="W7" s="15" t="s">
        <v>571</v>
      </c>
      <c r="X7" s="15" t="s">
        <v>571</v>
      </c>
      <c r="Y7" s="15" t="s">
        <v>571</v>
      </c>
      <c r="Z7" s="16">
        <v>97576.9</v>
      </c>
      <c r="AA7" s="16">
        <v>0</v>
      </c>
      <c r="AB7" s="16">
        <v>382.517</v>
      </c>
      <c r="AC7" s="16">
        <v>0</v>
      </c>
      <c r="AE7" s="17">
        <f t="shared" si="7"/>
        <v>0.18407125098564947</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0.1528494512474334</v>
      </c>
      <c r="I8" s="39">
        <f t="shared" si="1"/>
        <v>413.6887552</v>
      </c>
      <c r="J8" s="40">
        <f t="shared" si="2"/>
        <v>8.2538703673614044</v>
      </c>
      <c r="K8" s="40">
        <f t="shared" si="3"/>
        <v>1.0119233301263073</v>
      </c>
      <c r="L8" s="40">
        <f t="shared" si="4"/>
        <v>0.89740331048295852</v>
      </c>
      <c r="M8" s="40">
        <f t="shared" si="5"/>
        <v>7.2419470372350974</v>
      </c>
      <c r="N8" s="37">
        <f t="shared" si="6"/>
        <v>253590912</v>
      </c>
      <c r="O8" s="40">
        <v>16</v>
      </c>
      <c r="P8" s="41">
        <v>250602891</v>
      </c>
      <c r="Q8" s="42">
        <v>2068443776</v>
      </c>
      <c r="R8" s="42">
        <v>224891864</v>
      </c>
      <c r="S8" s="42">
        <v>28699048</v>
      </c>
      <c r="T8" s="42">
        <v>1814852864</v>
      </c>
      <c r="U8" s="43" t="s">
        <v>571</v>
      </c>
      <c r="V8" s="43" t="s">
        <v>571</v>
      </c>
      <c r="W8" s="43" t="s">
        <v>571</v>
      </c>
      <c r="X8" s="43" t="s">
        <v>571</v>
      </c>
      <c r="Y8" s="43" t="s">
        <v>571</v>
      </c>
      <c r="Z8" s="44">
        <v>62178.3</v>
      </c>
      <c r="AA8" s="44">
        <v>0</v>
      </c>
      <c r="AB8" s="44">
        <v>258.67599999999999</v>
      </c>
      <c r="AC8" s="44">
        <v>0</v>
      </c>
      <c r="AE8" s="46">
        <f t="shared" si="7"/>
        <v>0.1528494512474334</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0.27383955118932618</v>
      </c>
      <c r="I9" s="29">
        <f t="shared" si="1"/>
        <v>370.1190024</v>
      </c>
      <c r="J9" s="30">
        <f t="shared" si="2"/>
        <v>14.787335764223615</v>
      </c>
      <c r="K9" s="30">
        <f t="shared" si="3"/>
        <v>1.5160631803048776</v>
      </c>
      <c r="L9" s="30">
        <f t="shared" si="4"/>
        <v>1.4144568578795684</v>
      </c>
      <c r="M9" s="30">
        <f t="shared" si="5"/>
        <v>13.271272583918735</v>
      </c>
      <c r="N9" s="27">
        <f t="shared" si="6"/>
        <v>379462400</v>
      </c>
      <c r="O9" s="30">
        <v>16</v>
      </c>
      <c r="P9" s="31">
        <v>250294582</v>
      </c>
      <c r="Q9" s="32">
        <v>3701190024</v>
      </c>
      <c r="R9" s="32">
        <v>354030888</v>
      </c>
      <c r="S9" s="32">
        <v>25431512</v>
      </c>
      <c r="T9" s="32">
        <v>3321727624</v>
      </c>
      <c r="U9" s="33" t="s">
        <v>571</v>
      </c>
      <c r="V9" s="33" t="s">
        <v>571</v>
      </c>
      <c r="W9" s="33" t="s">
        <v>571</v>
      </c>
      <c r="X9" s="33" t="s">
        <v>571</v>
      </c>
      <c r="Y9" s="33" t="s">
        <v>571</v>
      </c>
      <c r="Z9" s="34">
        <v>86068.5</v>
      </c>
      <c r="AA9" s="34">
        <v>0</v>
      </c>
      <c r="AB9" s="34">
        <v>326.39</v>
      </c>
      <c r="AC9" s="34">
        <v>0</v>
      </c>
      <c r="AE9" s="36">
        <f t="shared" si="7"/>
        <v>0.27383955118932618</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8.595586025336005E-2</v>
      </c>
      <c r="I10" s="20">
        <f t="shared" si="1"/>
        <v>431.10392250000001</v>
      </c>
      <c r="J10" s="21">
        <f t="shared" si="2"/>
        <v>4.8994840344415227</v>
      </c>
      <c r="K10" s="21">
        <f t="shared" si="3"/>
        <v>0.56163317354795261</v>
      </c>
      <c r="L10" s="21">
        <f t="shared" si="4"/>
        <v>0.53592579853070565</v>
      </c>
      <c r="M10" s="21">
        <f t="shared" si="5"/>
        <v>4.3378508608935702</v>
      </c>
      <c r="N10" s="18">
        <f t="shared" si="6"/>
        <v>210849752</v>
      </c>
      <c r="O10" s="21">
        <v>16</v>
      </c>
      <c r="P10" s="22">
        <v>186907991</v>
      </c>
      <c r="Q10" s="23">
        <v>1839376736</v>
      </c>
      <c r="R10" s="23">
        <v>201198624</v>
      </c>
      <c r="S10" s="23">
        <v>9651128</v>
      </c>
      <c r="T10" s="23">
        <v>1628526984</v>
      </c>
      <c r="U10" s="24" t="s">
        <v>571</v>
      </c>
      <c r="V10" s="24" t="s">
        <v>571</v>
      </c>
      <c r="W10" s="24" t="s">
        <v>571</v>
      </c>
      <c r="X10" s="24" t="s">
        <v>571</v>
      </c>
      <c r="Y10" s="24" t="s">
        <v>571</v>
      </c>
      <c r="Z10" s="25">
        <v>62898.9</v>
      </c>
      <c r="AA10" s="25">
        <v>0</v>
      </c>
      <c r="AB10" s="25">
        <v>250.91499999999999</v>
      </c>
      <c r="AC10" s="25">
        <v>0</v>
      </c>
      <c r="AE10" s="26">
        <f t="shared" si="7"/>
        <v>8.595586025336005E-2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8.7314658297353367E-2</v>
      </c>
      <c r="I11" s="29">
        <f t="shared" si="1"/>
        <v>388.65669750000001</v>
      </c>
      <c r="J11" s="30">
        <f t="shared" si="2"/>
        <v>4.9769355229491419</v>
      </c>
      <c r="K11" s="30">
        <f t="shared" si="3"/>
        <v>0.59501031254807968</v>
      </c>
      <c r="L11" s="30">
        <f t="shared" si="4"/>
        <v>0.56530626520598837</v>
      </c>
      <c r="M11" s="30">
        <f t="shared" si="5"/>
        <v>4.3819252104010626</v>
      </c>
      <c r="N11" s="27">
        <f t="shared" si="6"/>
        <v>198251896</v>
      </c>
      <c r="O11" s="30">
        <v>16</v>
      </c>
      <c r="P11" s="31">
        <v>166028718</v>
      </c>
      <c r="Q11" s="32">
        <v>1658268576</v>
      </c>
      <c r="R11" s="32">
        <v>188354784</v>
      </c>
      <c r="S11" s="32">
        <v>9897112</v>
      </c>
      <c r="T11" s="32">
        <v>1460016680</v>
      </c>
      <c r="U11" s="33" t="s">
        <v>571</v>
      </c>
      <c r="V11" s="33" t="s">
        <v>571</v>
      </c>
      <c r="W11" s="33" t="s">
        <v>571</v>
      </c>
      <c r="X11" s="33" t="s">
        <v>571</v>
      </c>
      <c r="Y11" s="33" t="s">
        <v>571</v>
      </c>
      <c r="Z11" s="34">
        <v>61796.4</v>
      </c>
      <c r="AA11" s="34">
        <v>0</v>
      </c>
      <c r="AB11" s="34">
        <v>223.09700000000001</v>
      </c>
      <c r="AC11" s="34">
        <v>0</v>
      </c>
      <c r="AE11" s="36">
        <f t="shared" si="7"/>
        <v>8.7314658297353367E-2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10.036845792696488</v>
      </c>
      <c r="K12" s="48">
        <f>AVERAGE(K5:K8)</f>
        <v>1.435838966355268</v>
      </c>
      <c r="L12" s="48">
        <f>AVERAGE(L5:L8)</f>
        <v>1.3123877167120814</v>
      </c>
      <c r="M12" s="48">
        <f>AVERAGE(M5:M8)</f>
        <v>8.6010068263412194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14.787335764223615</v>
      </c>
      <c r="K13" s="48">
        <f>AVERAGE(K9:K9)</f>
        <v>1.5160631803048776</v>
      </c>
      <c r="L13" s="48">
        <f>AVERAGE(L9:L9)</f>
        <v>1.4144568578795684</v>
      </c>
      <c r="M13" s="48">
        <f>AVERAGE(M9:M9)</f>
        <v>13.271272583918735</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4.9382097786953327</v>
      </c>
      <c r="K14" s="48">
        <f>AVERAGE(K10:K11)</f>
        <v>0.57832174304801609</v>
      </c>
      <c r="L14" s="48">
        <f>AVERAGE(L10:L11)</f>
        <v>0.55061603186834707</v>
      </c>
      <c r="M14" s="48">
        <f>AVERAGE(M10:M11)</f>
        <v>4.359888035647316</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9.2587340703428911</v>
      </c>
      <c r="K15" s="48">
        <f>AVERAGE(K5:K11)</f>
        <v>1.2022946474031404</v>
      </c>
      <c r="L15" s="48">
        <f>AVERAGE(L5:L11)</f>
        <v>1.1093199697806555</v>
      </c>
      <c r="M15" s="48">
        <f>AVERAGE(M5:M11)</f>
        <v>8.05643942293975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532852</v>
      </c>
      <c r="AA16" s="49">
        <f>SUM(AA5:AA8,AA9:AA9,AA10:AA11)</f>
        <v>0</v>
      </c>
      <c r="AB16" s="49">
        <f>SUM(AB5:AB8,AB9:AB9,AB10:AB11)</f>
        <v>2062.8270000000002</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74937.919808627426</v>
      </c>
      <c r="AA18" s="49" t="e">
        <f>GEOMEAN(AA5:AA8,AA9:AA9,AA10:AA11)</f>
        <v>#NUM!</v>
      </c>
      <c r="AB18" s="49">
        <f>GEOMEAN(AB5:AB8,AB9:AB9,AB10:AB11)</f>
        <v>290.36802423083435</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K60" sqref="K60"/>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ALL_master+r120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1.2485784</v>
      </c>
      <c r="J5" s="12">
        <f t="shared" ref="J5:J39" si="1">IF(ISBLANK(S5),"·",S5/D5)</f>
        <v>5.2429028832101848E-2</v>
      </c>
      <c r="K5" s="12">
        <f t="shared" ref="K5:K39" si="2">IF(N5="","·",N5/D5)</f>
        <v>4.4643767034873938E-2</v>
      </c>
      <c r="L5" s="12">
        <f t="shared" ref="L5:L39" si="3">IF(T5="","·",T5/D5)</f>
        <v>2.8070095758872954E-2</v>
      </c>
      <c r="M5" s="12">
        <f t="shared" ref="M5:M39" si="4">IF(ISBLANK(V5),"·",V5/D5)</f>
        <v>7.7852617972279077E-3</v>
      </c>
      <c r="N5" s="54">
        <f t="shared" ref="N5:N39" si="5">IF(OR(ISBLANK(T5),ISBLANK(U5)),"",T5+U5)</f>
        <v>10631752</v>
      </c>
      <c r="O5" s="12">
        <v>16</v>
      </c>
      <c r="P5" s="13">
        <v>222581794</v>
      </c>
      <c r="Q5" s="13">
        <v>741939.313333333</v>
      </c>
      <c r="R5" s="13">
        <v>16882.276666666701</v>
      </c>
      <c r="S5" s="14">
        <v>12485784</v>
      </c>
      <c r="T5" s="14">
        <v>6684792</v>
      </c>
      <c r="U5" s="14">
        <v>3946960</v>
      </c>
      <c r="V5" s="14">
        <v>1854032</v>
      </c>
      <c r="W5" s="15">
        <v>66.611159000000001</v>
      </c>
      <c r="X5" s="15">
        <v>68.398439999999994</v>
      </c>
      <c r="Y5" s="15">
        <v>31.611610666666699</v>
      </c>
      <c r="Z5" s="15">
        <v>44.345006333333401</v>
      </c>
      <c r="AA5" s="15">
        <v>43.901626666666701</v>
      </c>
      <c r="AB5" s="16">
        <v>47968.4</v>
      </c>
      <c r="AC5" s="16">
        <v>0</v>
      </c>
      <c r="AD5" s="16">
        <v>338.43200000000002</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1.651268</v>
      </c>
      <c r="J6" s="21">
        <f t="shared" si="1"/>
        <v>6.9338359194366289E-2</v>
      </c>
      <c r="K6" s="21">
        <f t="shared" si="2"/>
        <v>5.4896922624370154E-2</v>
      </c>
      <c r="L6" s="21">
        <f t="shared" si="3"/>
        <v>3.8323251348369163E-2</v>
      </c>
      <c r="M6" s="21">
        <f t="shared" si="4"/>
        <v>1.4441436569996141E-2</v>
      </c>
      <c r="N6" s="18">
        <f t="shared" si="5"/>
        <v>13073504</v>
      </c>
      <c r="O6" s="21">
        <v>16</v>
      </c>
      <c r="P6" s="22">
        <v>234777655</v>
      </c>
      <c r="Q6" s="22">
        <v>782592.183333333</v>
      </c>
      <c r="R6" s="22">
        <v>20349.43</v>
      </c>
      <c r="S6" s="23">
        <v>16512680</v>
      </c>
      <c r="T6" s="23">
        <v>9126544</v>
      </c>
      <c r="U6" s="23">
        <v>3946960</v>
      </c>
      <c r="V6" s="23">
        <v>3439176</v>
      </c>
      <c r="W6" s="24">
        <v>68.330361999999994</v>
      </c>
      <c r="X6" s="24">
        <v>70.405979333333306</v>
      </c>
      <c r="Y6" s="24">
        <v>33.660092666666699</v>
      </c>
      <c r="Z6" s="24">
        <v>45.417603333333297</v>
      </c>
      <c r="AA6" s="24">
        <v>45.071522000000002</v>
      </c>
      <c r="AB6" s="25">
        <v>50391.199999999997</v>
      </c>
      <c r="AC6" s="25">
        <v>0</v>
      </c>
      <c r="AD6" s="25">
        <v>335.46300000000002</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2.3367504000000001</v>
      </c>
      <c r="J7" s="12">
        <f t="shared" si="1"/>
        <v>9.8122435959988999E-2</v>
      </c>
      <c r="K7" s="12">
        <f t="shared" si="2"/>
        <v>6.9013449798615678E-2</v>
      </c>
      <c r="L7" s="12">
        <f t="shared" si="3"/>
        <v>5.2439778522614687E-2</v>
      </c>
      <c r="M7" s="12">
        <f t="shared" si="4"/>
        <v>2.9108986161373321E-2</v>
      </c>
      <c r="N7" s="54">
        <f t="shared" si="5"/>
        <v>16435304</v>
      </c>
      <c r="O7" s="12">
        <v>16</v>
      </c>
      <c r="P7" s="13">
        <v>237118454</v>
      </c>
      <c r="Q7" s="13">
        <v>790394.84666666703</v>
      </c>
      <c r="R7" s="13">
        <v>21732.823333333301</v>
      </c>
      <c r="S7" s="14">
        <v>23367504</v>
      </c>
      <c r="T7" s="14">
        <v>12488344</v>
      </c>
      <c r="U7" s="14">
        <v>3946960</v>
      </c>
      <c r="V7" s="14">
        <v>6932200</v>
      </c>
      <c r="W7" s="15">
        <v>69.64649</v>
      </c>
      <c r="X7" s="15">
        <v>72.064158000000006</v>
      </c>
      <c r="Y7" s="15">
        <v>36.032889333333301</v>
      </c>
      <c r="Z7" s="15">
        <v>46.674632000000003</v>
      </c>
      <c r="AA7" s="15">
        <v>46.508483666666699</v>
      </c>
      <c r="AB7" s="16">
        <v>52720.2</v>
      </c>
      <c r="AC7" s="16">
        <v>0</v>
      </c>
      <c r="AD7" s="16">
        <v>354.98700000000002</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3.8693063999999997</v>
      </c>
      <c r="J8" s="21">
        <f t="shared" si="1"/>
        <v>0.16247596210685386</v>
      </c>
      <c r="K8" s="21">
        <f t="shared" si="2"/>
        <v>9.9199958062769891E-2</v>
      </c>
      <c r="L8" s="21">
        <f t="shared" si="3"/>
        <v>8.2626286786768893E-2</v>
      </c>
      <c r="M8" s="21">
        <f t="shared" si="4"/>
        <v>6.3276004044083956E-2</v>
      </c>
      <c r="N8" s="18">
        <f t="shared" si="5"/>
        <v>23624112</v>
      </c>
      <c r="O8" s="21">
        <v>16</v>
      </c>
      <c r="P8" s="22">
        <v>246244404</v>
      </c>
      <c r="Q8" s="22">
        <v>820814.68</v>
      </c>
      <c r="R8" s="22">
        <v>24993.200000000001</v>
      </c>
      <c r="S8" s="23">
        <v>38693064</v>
      </c>
      <c r="T8" s="23">
        <v>19677152</v>
      </c>
      <c r="U8" s="23">
        <v>3946960</v>
      </c>
      <c r="V8" s="23">
        <v>15068952</v>
      </c>
      <c r="W8" s="24">
        <v>70.713659333333297</v>
      </c>
      <c r="X8" s="24">
        <v>73.275174333333297</v>
      </c>
      <c r="Y8" s="24">
        <v>38.504783000000003</v>
      </c>
      <c r="Z8" s="24">
        <v>47.933321333333303</v>
      </c>
      <c r="AA8" s="24">
        <v>47.9189163333333</v>
      </c>
      <c r="AB8" s="25">
        <v>56245.599999999999</v>
      </c>
      <c r="AC8" s="25">
        <v>0</v>
      </c>
      <c r="AD8" s="25">
        <v>355.86500000000001</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7.7088815999999998</v>
      </c>
      <c r="J9" s="30">
        <f t="shared" si="1"/>
        <v>0.32370348203177263</v>
      </c>
      <c r="K9" s="30">
        <f t="shared" si="2"/>
        <v>0.17096623563780985</v>
      </c>
      <c r="L9" s="30">
        <f t="shared" si="3"/>
        <v>0.13465636772971293</v>
      </c>
      <c r="M9" s="30">
        <f t="shared" si="4"/>
        <v>0.15273724639396277</v>
      </c>
      <c r="N9" s="27">
        <f t="shared" si="5"/>
        <v>40714992</v>
      </c>
      <c r="O9" s="30">
        <v>16</v>
      </c>
      <c r="P9" s="31">
        <v>236779400</v>
      </c>
      <c r="Q9" s="31">
        <v>789264.66666666698</v>
      </c>
      <c r="R9" s="31">
        <v>10960.3766666667</v>
      </c>
      <c r="S9" s="32">
        <v>77088816</v>
      </c>
      <c r="T9" s="32">
        <v>32067928</v>
      </c>
      <c r="U9" s="32">
        <v>8647064</v>
      </c>
      <c r="V9" s="32">
        <v>36373824</v>
      </c>
      <c r="W9" s="33">
        <v>71.774619999999899</v>
      </c>
      <c r="X9" s="33">
        <v>75.144800666666697</v>
      </c>
      <c r="Y9" s="33">
        <v>41.031328666666703</v>
      </c>
      <c r="Z9" s="33">
        <v>49.426784333333401</v>
      </c>
      <c r="AA9" s="33">
        <v>49.5062066666666</v>
      </c>
      <c r="AB9" s="34">
        <v>61271.8</v>
      </c>
      <c r="AC9" s="34">
        <v>0</v>
      </c>
      <c r="AD9" s="34">
        <v>383.23099999999999</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2.1135007999999997</v>
      </c>
      <c r="J10" s="21">
        <f t="shared" si="1"/>
        <v>9.6895688866469959E-2</v>
      </c>
      <c r="K10" s="21">
        <f t="shared" si="2"/>
        <v>7.2517210405394633E-2</v>
      </c>
      <c r="L10" s="21">
        <f t="shared" si="3"/>
        <v>4.1378565045948161E-2</v>
      </c>
      <c r="M10" s="21">
        <f t="shared" si="4"/>
        <v>2.4378478461075333E-2</v>
      </c>
      <c r="N10" s="18">
        <f t="shared" si="5"/>
        <v>15817544</v>
      </c>
      <c r="O10" s="21">
        <v>16</v>
      </c>
      <c r="P10" s="22">
        <v>203461211</v>
      </c>
      <c r="Q10" s="22">
        <v>678204.03666666697</v>
      </c>
      <c r="R10" s="22">
        <v>20631.416666666701</v>
      </c>
      <c r="S10" s="23">
        <v>21135008</v>
      </c>
      <c r="T10" s="23">
        <v>9025544</v>
      </c>
      <c r="U10" s="23">
        <v>6792000</v>
      </c>
      <c r="V10" s="23">
        <v>5317464</v>
      </c>
      <c r="W10" s="24">
        <v>65.917175333333304</v>
      </c>
      <c r="X10" s="24">
        <v>67.701646666666605</v>
      </c>
      <c r="Y10" s="24">
        <v>30.877272000000001</v>
      </c>
      <c r="Z10" s="24">
        <v>38.666007333333297</v>
      </c>
      <c r="AA10" s="24">
        <v>29.9281786666667</v>
      </c>
      <c r="AB10" s="25">
        <v>55455.5</v>
      </c>
      <c r="AC10" s="25">
        <v>0</v>
      </c>
      <c r="AD10" s="25">
        <v>336.88499999999999</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2.8887776000000001</v>
      </c>
      <c r="J11" s="12">
        <f t="shared" si="1"/>
        <v>0.13243907716241593</v>
      </c>
      <c r="K11" s="12">
        <f t="shared" si="2"/>
        <v>8.9204553493235653E-2</v>
      </c>
      <c r="L11" s="12">
        <f t="shared" si="3"/>
        <v>5.8065908133789187E-2</v>
      </c>
      <c r="M11" s="12">
        <f t="shared" si="4"/>
        <v>4.3234523669180278E-2</v>
      </c>
      <c r="N11" s="54">
        <f t="shared" si="5"/>
        <v>19457408</v>
      </c>
      <c r="O11" s="12">
        <v>16</v>
      </c>
      <c r="P11" s="13">
        <v>214681071</v>
      </c>
      <c r="Q11" s="13">
        <v>715603.57</v>
      </c>
      <c r="R11" s="13">
        <v>25130.1933333333</v>
      </c>
      <c r="S11" s="14">
        <v>28887776</v>
      </c>
      <c r="T11" s="14">
        <v>12665408</v>
      </c>
      <c r="U11" s="14">
        <v>6792000</v>
      </c>
      <c r="V11" s="14">
        <v>9430368</v>
      </c>
      <c r="W11" s="15">
        <v>67.582798333333301</v>
      </c>
      <c r="X11" s="15">
        <v>69.61591</v>
      </c>
      <c r="Y11" s="15">
        <v>32.672796666666699</v>
      </c>
      <c r="Z11" s="15">
        <v>39.633364</v>
      </c>
      <c r="AA11" s="15">
        <v>32.110768666666701</v>
      </c>
      <c r="AB11" s="16">
        <v>58653</v>
      </c>
      <c r="AC11" s="16">
        <v>0</v>
      </c>
      <c r="AD11" s="16">
        <v>334.04500000000002</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4.1239167999999999</v>
      </c>
      <c r="J12" s="21">
        <f t="shared" si="1"/>
        <v>0.18906534559343835</v>
      </c>
      <c r="K12" s="21">
        <f t="shared" si="2"/>
        <v>0.11422957146007816</v>
      </c>
      <c r="L12" s="21">
        <f t="shared" si="3"/>
        <v>8.3090926100631679E-2</v>
      </c>
      <c r="M12" s="21">
        <f t="shared" si="4"/>
        <v>7.4835774133360192E-2</v>
      </c>
      <c r="N12" s="18">
        <f t="shared" si="5"/>
        <v>24915896</v>
      </c>
      <c r="O12" s="21">
        <v>16</v>
      </c>
      <c r="P12" s="22">
        <v>217346670</v>
      </c>
      <c r="Q12" s="22">
        <v>724488.9</v>
      </c>
      <c r="R12" s="22">
        <v>26590.356666666699</v>
      </c>
      <c r="S12" s="23">
        <v>41239168</v>
      </c>
      <c r="T12" s="23">
        <v>18123896</v>
      </c>
      <c r="U12" s="23">
        <v>6792000</v>
      </c>
      <c r="V12" s="23">
        <v>16323272</v>
      </c>
      <c r="W12" s="24">
        <v>68.892213333333302</v>
      </c>
      <c r="X12" s="24">
        <v>71.244129333333305</v>
      </c>
      <c r="Y12" s="24">
        <v>34.683160666666701</v>
      </c>
      <c r="Z12" s="24">
        <v>40.575319999999998</v>
      </c>
      <c r="AA12" s="24">
        <v>33.988087666666701</v>
      </c>
      <c r="AB12" s="25">
        <v>61733.2</v>
      </c>
      <c r="AC12" s="25">
        <v>0</v>
      </c>
      <c r="AD12" s="25">
        <v>392.53699999999998</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6.7119080000000002</v>
      </c>
      <c r="J13" s="12">
        <f t="shared" si="1"/>
        <v>0.30771455079097709</v>
      </c>
      <c r="K13" s="12">
        <f t="shared" si="2"/>
        <v>0.16163197897066806</v>
      </c>
      <c r="L13" s="12">
        <f t="shared" si="3"/>
        <v>0.13049333361122159</v>
      </c>
      <c r="M13" s="12">
        <f t="shared" si="4"/>
        <v>0.14608257182030901</v>
      </c>
      <c r="N13" s="54">
        <f t="shared" si="5"/>
        <v>35255368</v>
      </c>
      <c r="O13" s="12">
        <v>16</v>
      </c>
      <c r="P13" s="13">
        <v>225273150</v>
      </c>
      <c r="Q13" s="13">
        <v>750910.5</v>
      </c>
      <c r="R13" s="13">
        <v>30217.506666666701</v>
      </c>
      <c r="S13" s="14">
        <v>67119080</v>
      </c>
      <c r="T13" s="14">
        <v>28463368</v>
      </c>
      <c r="U13" s="14">
        <v>6792000</v>
      </c>
      <c r="V13" s="14">
        <v>31863712</v>
      </c>
      <c r="W13" s="15">
        <v>69.955510666666598</v>
      </c>
      <c r="X13" s="15">
        <v>72.484590333333301</v>
      </c>
      <c r="Y13" s="15">
        <v>36.874988000000002</v>
      </c>
      <c r="Z13" s="15">
        <v>41.624049333333303</v>
      </c>
      <c r="AA13" s="15">
        <v>35.920564666666699</v>
      </c>
      <c r="AB13" s="16">
        <v>65708.5</v>
      </c>
      <c r="AC13" s="16">
        <v>0</v>
      </c>
      <c r="AD13" s="16">
        <v>420.35</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13.211277599999999</v>
      </c>
      <c r="J14" s="40">
        <f t="shared" si="1"/>
        <v>0.60568505290282548</v>
      </c>
      <c r="K14" s="40">
        <f t="shared" si="2"/>
        <v>0.27222265679195062</v>
      </c>
      <c r="L14" s="40">
        <f t="shared" si="3"/>
        <v>0.21060063466904339</v>
      </c>
      <c r="M14" s="40">
        <f t="shared" si="4"/>
        <v>0.33346239611087486</v>
      </c>
      <c r="N14" s="37">
        <f t="shared" si="5"/>
        <v>59377544</v>
      </c>
      <c r="O14" s="40">
        <v>16</v>
      </c>
      <c r="P14" s="41">
        <v>212987324</v>
      </c>
      <c r="Q14" s="41">
        <v>709957.74666666705</v>
      </c>
      <c r="R14" s="41">
        <v>14295.5133333333</v>
      </c>
      <c r="S14" s="42">
        <v>132112776</v>
      </c>
      <c r="T14" s="42">
        <v>45936472</v>
      </c>
      <c r="U14" s="42">
        <v>13441072</v>
      </c>
      <c r="V14" s="42">
        <v>72735232</v>
      </c>
      <c r="W14" s="43">
        <v>70.810179666666698</v>
      </c>
      <c r="X14" s="43">
        <v>74.571420333333407</v>
      </c>
      <c r="Y14" s="43">
        <v>39.265802999999998</v>
      </c>
      <c r="Z14" s="43">
        <v>42.906339666666703</v>
      </c>
      <c r="AA14" s="43">
        <v>38.031539333333399</v>
      </c>
      <c r="AB14" s="44">
        <v>72001.8</v>
      </c>
      <c r="AC14" s="44">
        <v>0</v>
      </c>
      <c r="AD14" s="44">
        <v>415.38</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1.8676536000000001</v>
      </c>
      <c r="J15" s="12">
        <f t="shared" si="1"/>
        <v>5.7895635751598569E-2</v>
      </c>
      <c r="K15" s="12">
        <f t="shared" si="2"/>
        <v>4.8029406418997181E-2</v>
      </c>
      <c r="L15" s="12">
        <f t="shared" si="3"/>
        <v>2.6806385612356681E-2</v>
      </c>
      <c r="M15" s="12">
        <f t="shared" si="4"/>
        <v>9.8662293326013898E-3</v>
      </c>
      <c r="N15" s="54">
        <f t="shared" si="5"/>
        <v>15493792</v>
      </c>
      <c r="O15" s="12">
        <v>16</v>
      </c>
      <c r="P15" s="13">
        <v>308145434</v>
      </c>
      <c r="Q15" s="13">
        <v>1027151.44666667</v>
      </c>
      <c r="R15" s="13">
        <v>31456.026666666701</v>
      </c>
      <c r="S15" s="14">
        <v>18676536</v>
      </c>
      <c r="T15" s="14">
        <v>8647464</v>
      </c>
      <c r="U15" s="14">
        <v>6846328</v>
      </c>
      <c r="V15" s="14">
        <v>3182744</v>
      </c>
      <c r="W15" s="15">
        <v>66.292227999999994</v>
      </c>
      <c r="X15" s="15">
        <v>67.888007333333405</v>
      </c>
      <c r="Y15" s="15">
        <v>29.036032333333299</v>
      </c>
      <c r="Z15" s="15">
        <v>43.364131333333297</v>
      </c>
      <c r="AA15" s="15">
        <v>43.615042666666703</v>
      </c>
      <c r="AB15" s="16">
        <v>54601.3</v>
      </c>
      <c r="AC15" s="16">
        <v>0</v>
      </c>
      <c r="AD15" s="16">
        <v>434.36500000000001</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2.4925287999999997</v>
      </c>
      <c r="J16" s="21">
        <f t="shared" si="1"/>
        <v>7.7266222979019819E-2</v>
      </c>
      <c r="K16" s="21">
        <f t="shared" si="2"/>
        <v>5.8359159534738282E-2</v>
      </c>
      <c r="L16" s="21">
        <f t="shared" si="3"/>
        <v>3.7136138728097783E-2</v>
      </c>
      <c r="M16" s="21">
        <f t="shared" si="4"/>
        <v>1.8907063444281533E-2</v>
      </c>
      <c r="N16" s="18">
        <f t="shared" si="5"/>
        <v>18826064</v>
      </c>
      <c r="O16" s="21">
        <v>16</v>
      </c>
      <c r="P16" s="22">
        <v>320652972</v>
      </c>
      <c r="Q16" s="22">
        <v>1068843.24</v>
      </c>
      <c r="R16" s="22">
        <v>36376.533333333296</v>
      </c>
      <c r="S16" s="23">
        <v>24925288</v>
      </c>
      <c r="T16" s="23">
        <v>11979736</v>
      </c>
      <c r="U16" s="23">
        <v>6846328</v>
      </c>
      <c r="V16" s="23">
        <v>6099224</v>
      </c>
      <c r="W16" s="24">
        <v>68.000196333333406</v>
      </c>
      <c r="X16" s="24">
        <v>70.009976666666603</v>
      </c>
      <c r="Y16" s="24">
        <v>31.342805666666699</v>
      </c>
      <c r="Z16" s="24">
        <v>44.051116</v>
      </c>
      <c r="AA16" s="24">
        <v>44.304453666666703</v>
      </c>
      <c r="AB16" s="25">
        <v>57060.7</v>
      </c>
      <c r="AC16" s="25">
        <v>0</v>
      </c>
      <c r="AD16" s="25">
        <v>431.35599999999999</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3.5887983999999999</v>
      </c>
      <c r="J17" s="12">
        <f t="shared" si="1"/>
        <v>0.11124962624349598</v>
      </c>
      <c r="K17" s="12">
        <f t="shared" si="2"/>
        <v>7.2452206968143043E-2</v>
      </c>
      <c r="L17" s="12">
        <f t="shared" si="3"/>
        <v>5.1229186161502537E-2</v>
      </c>
      <c r="M17" s="12">
        <f t="shared" si="4"/>
        <v>3.8797419275352941E-2</v>
      </c>
      <c r="N17" s="54">
        <f t="shared" si="5"/>
        <v>23372336</v>
      </c>
      <c r="O17" s="12">
        <v>16</v>
      </c>
      <c r="P17" s="13">
        <v>321688548</v>
      </c>
      <c r="Q17" s="13">
        <v>1072295.1599999999</v>
      </c>
      <c r="R17" s="13">
        <v>37372.206666666701</v>
      </c>
      <c r="S17" s="14">
        <v>35887984</v>
      </c>
      <c r="T17" s="14">
        <v>16526008</v>
      </c>
      <c r="U17" s="14">
        <v>6846328</v>
      </c>
      <c r="V17" s="14">
        <v>12515648</v>
      </c>
      <c r="W17" s="15">
        <v>69.320560999999998</v>
      </c>
      <c r="X17" s="15">
        <v>71.779154000000005</v>
      </c>
      <c r="Y17" s="15">
        <v>33.743637</v>
      </c>
      <c r="Z17" s="15">
        <v>45.188645999999999</v>
      </c>
      <c r="AA17" s="15">
        <v>45.585973666666703</v>
      </c>
      <c r="AB17" s="16">
        <v>60123</v>
      </c>
      <c r="AC17" s="16">
        <v>0</v>
      </c>
      <c r="AD17" s="16">
        <v>492.48700000000002</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6.2331655999999995</v>
      </c>
      <c r="J18" s="21">
        <f t="shared" si="1"/>
        <v>0.1932227074426405</v>
      </c>
      <c r="K18" s="21">
        <f t="shared" si="2"/>
        <v>0.10641658916677638</v>
      </c>
      <c r="L18" s="21">
        <f t="shared" si="3"/>
        <v>8.5193568360135877E-2</v>
      </c>
      <c r="M18" s="21">
        <f t="shared" si="4"/>
        <v>8.6806118275864125E-2</v>
      </c>
      <c r="N18" s="18">
        <f t="shared" si="5"/>
        <v>34328896</v>
      </c>
      <c r="O18" s="21">
        <v>16</v>
      </c>
      <c r="P18" s="22">
        <v>331674418</v>
      </c>
      <c r="Q18" s="22">
        <v>1105581.3933333301</v>
      </c>
      <c r="R18" s="22">
        <v>41725.743333333303</v>
      </c>
      <c r="S18" s="23">
        <v>62331656</v>
      </c>
      <c r="T18" s="23">
        <v>27482568</v>
      </c>
      <c r="U18" s="23">
        <v>6846328</v>
      </c>
      <c r="V18" s="23">
        <v>28002760</v>
      </c>
      <c r="W18" s="24">
        <v>70.482167333333294</v>
      </c>
      <c r="X18" s="24">
        <v>73.086578000000003</v>
      </c>
      <c r="Y18" s="24">
        <v>36.164740000000002</v>
      </c>
      <c r="Z18" s="24">
        <v>46.497300000000003</v>
      </c>
      <c r="AA18" s="24">
        <v>46.986649999999997</v>
      </c>
      <c r="AB18" s="25">
        <v>64243.9</v>
      </c>
      <c r="AC18" s="25">
        <v>0</v>
      </c>
      <c r="AD18" s="25">
        <v>537.58500000000004</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13.080850400000001</v>
      </c>
      <c r="J19" s="30">
        <f t="shared" si="1"/>
        <v>0.4054949751279105</v>
      </c>
      <c r="K19" s="30">
        <f t="shared" si="2"/>
        <v>0.18406216709259884</v>
      </c>
      <c r="L19" s="30">
        <f t="shared" si="3"/>
        <v>0.13899238396027666</v>
      </c>
      <c r="M19" s="30">
        <f t="shared" si="4"/>
        <v>0.22143280803531162</v>
      </c>
      <c r="N19" s="27">
        <f t="shared" si="5"/>
        <v>59376560</v>
      </c>
      <c r="O19" s="30">
        <v>16</v>
      </c>
      <c r="P19" s="31">
        <v>314091887</v>
      </c>
      <c r="Q19" s="31">
        <v>1046972.95666667</v>
      </c>
      <c r="R19" s="31">
        <v>18170.926666666699</v>
      </c>
      <c r="S19" s="32">
        <v>130808504</v>
      </c>
      <c r="T19" s="32">
        <v>44837512</v>
      </c>
      <c r="U19" s="32">
        <v>14539048</v>
      </c>
      <c r="V19" s="32">
        <v>71431944</v>
      </c>
      <c r="W19" s="33">
        <v>71.164296666666701</v>
      </c>
      <c r="X19" s="33">
        <v>75.031103666666695</v>
      </c>
      <c r="Y19" s="33">
        <v>38.639652666666599</v>
      </c>
      <c r="Z19" s="33">
        <v>48.274778333333302</v>
      </c>
      <c r="AA19" s="33">
        <v>48.826051333333297</v>
      </c>
      <c r="AB19" s="34">
        <v>71515.399999999994</v>
      </c>
      <c r="AC19" s="34">
        <v>0</v>
      </c>
      <c r="AD19" s="34">
        <v>518.04499999999996</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2.1688239999999999</v>
      </c>
      <c r="J20" s="21">
        <f t="shared" si="1"/>
        <v>4.3272126497535097E-2</v>
      </c>
      <c r="K20" s="21">
        <f t="shared" si="2"/>
        <v>3.4820316578071719E-2</v>
      </c>
      <c r="L20" s="21">
        <f t="shared" si="3"/>
        <v>2.0254419171884173E-2</v>
      </c>
      <c r="M20" s="21">
        <f t="shared" si="4"/>
        <v>8.4518099194633798E-3</v>
      </c>
      <c r="N20" s="18">
        <f t="shared" si="5"/>
        <v>8726072</v>
      </c>
      <c r="O20" s="21">
        <v>16</v>
      </c>
      <c r="P20" s="22">
        <v>236505512</v>
      </c>
      <c r="Q20" s="22">
        <v>946022.04799999995</v>
      </c>
      <c r="R20" s="22">
        <v>29061.547999999999</v>
      </c>
      <c r="S20" s="23">
        <v>10844120</v>
      </c>
      <c r="T20" s="23">
        <v>5075816</v>
      </c>
      <c r="U20" s="23">
        <v>3650256</v>
      </c>
      <c r="V20" s="23">
        <v>2118048</v>
      </c>
      <c r="W20" s="24">
        <v>67.503926399999997</v>
      </c>
      <c r="X20" s="24">
        <v>69.267345199999994</v>
      </c>
      <c r="Y20" s="24">
        <v>30.3323748</v>
      </c>
      <c r="Z20" s="24">
        <v>40.329280799999999</v>
      </c>
      <c r="AA20" s="24">
        <v>38.869372400000003</v>
      </c>
      <c r="AB20" s="25">
        <v>42920</v>
      </c>
      <c r="AC20" s="25">
        <v>0</v>
      </c>
      <c r="AD20" s="25">
        <v>346.88799999999998</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2.8857119999999998</v>
      </c>
      <c r="J21" s="12">
        <f t="shared" si="1"/>
        <v>5.7575393254341987E-2</v>
      </c>
      <c r="K21" s="12">
        <f t="shared" si="2"/>
        <v>4.1627771963732053E-2</v>
      </c>
      <c r="L21" s="12">
        <f t="shared" si="3"/>
        <v>2.706187455754451E-2</v>
      </c>
      <c r="M21" s="12">
        <f t="shared" si="4"/>
        <v>1.5947621290609931E-2</v>
      </c>
      <c r="N21" s="54">
        <f t="shared" si="5"/>
        <v>10432040</v>
      </c>
      <c r="O21" s="12">
        <v>16</v>
      </c>
      <c r="P21" s="13">
        <v>245501029</v>
      </c>
      <c r="Q21" s="13">
        <v>982004.11600000004</v>
      </c>
      <c r="R21" s="13">
        <v>33622.584000000003</v>
      </c>
      <c r="S21" s="14">
        <v>14428560</v>
      </c>
      <c r="T21" s="14">
        <v>6781784</v>
      </c>
      <c r="U21" s="14">
        <v>3650256</v>
      </c>
      <c r="V21" s="14">
        <v>3996520</v>
      </c>
      <c r="W21" s="15">
        <v>69.072584000000006</v>
      </c>
      <c r="X21" s="15">
        <v>71.232650000000007</v>
      </c>
      <c r="Y21" s="15">
        <v>31.865727199999998</v>
      </c>
      <c r="Z21" s="15">
        <v>41.445658799999997</v>
      </c>
      <c r="AA21" s="15">
        <v>40.152037200000002</v>
      </c>
      <c r="AB21" s="16">
        <v>44781.8</v>
      </c>
      <c r="AC21" s="16">
        <v>0</v>
      </c>
      <c r="AD21" s="16">
        <v>344.36799999999999</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4.2685360000000001</v>
      </c>
      <c r="J22" s="21">
        <f t="shared" si="1"/>
        <v>8.5165338336021038E-2</v>
      </c>
      <c r="K22" s="21">
        <f t="shared" si="2"/>
        <v>4.943942965127246E-2</v>
      </c>
      <c r="L22" s="21">
        <f t="shared" si="3"/>
        <v>3.4873532245084916E-2</v>
      </c>
      <c r="M22" s="21">
        <f t="shared" si="4"/>
        <v>3.5725908684748571E-2</v>
      </c>
      <c r="N22" s="18">
        <f t="shared" si="5"/>
        <v>12389664</v>
      </c>
      <c r="O22" s="21">
        <v>16</v>
      </c>
      <c r="P22" s="22">
        <v>252577924</v>
      </c>
      <c r="Q22" s="22">
        <v>1010311.696</v>
      </c>
      <c r="R22" s="22">
        <v>35648.660000000003</v>
      </c>
      <c r="S22" s="23">
        <v>21342680</v>
      </c>
      <c r="T22" s="23">
        <v>8739408</v>
      </c>
      <c r="U22" s="23">
        <v>3650256</v>
      </c>
      <c r="V22" s="23">
        <v>8953016</v>
      </c>
      <c r="W22" s="24">
        <v>70.267569199999997</v>
      </c>
      <c r="X22" s="24">
        <v>72.751233999999997</v>
      </c>
      <c r="Y22" s="24">
        <v>33.745186400000001</v>
      </c>
      <c r="Z22" s="24">
        <v>42.661064000000003</v>
      </c>
      <c r="AA22" s="24">
        <v>41.468544000000001</v>
      </c>
      <c r="AB22" s="25">
        <v>46354.5</v>
      </c>
      <c r="AC22" s="25">
        <v>0</v>
      </c>
      <c r="AD22" s="25">
        <v>347.66500000000002</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7.8571744000000008</v>
      </c>
      <c r="J23" s="12">
        <f t="shared" si="1"/>
        <v>0.15676543811300245</v>
      </c>
      <c r="K23" s="12">
        <f t="shared" si="2"/>
        <v>7.2369827529244271E-2</v>
      </c>
      <c r="L23" s="12">
        <f t="shared" si="3"/>
        <v>5.7803930123056721E-2</v>
      </c>
      <c r="M23" s="12">
        <f t="shared" si="4"/>
        <v>8.439561058375819E-2</v>
      </c>
      <c r="N23" s="54">
        <f t="shared" si="5"/>
        <v>18136088</v>
      </c>
      <c r="O23" s="12">
        <v>16</v>
      </c>
      <c r="P23" s="13">
        <v>255742270</v>
      </c>
      <c r="Q23" s="13">
        <v>1022969.08</v>
      </c>
      <c r="R23" s="13">
        <v>37974.735999999997</v>
      </c>
      <c r="S23" s="14">
        <v>39285872</v>
      </c>
      <c r="T23" s="14">
        <v>14485832</v>
      </c>
      <c r="U23" s="14">
        <v>3650256</v>
      </c>
      <c r="V23" s="14">
        <v>21149784</v>
      </c>
      <c r="W23" s="15">
        <v>71.212266400000004</v>
      </c>
      <c r="X23" s="15">
        <v>73.995277200000004</v>
      </c>
      <c r="Y23" s="15">
        <v>35.646979199999997</v>
      </c>
      <c r="Z23" s="15">
        <v>43.827658800000002</v>
      </c>
      <c r="AA23" s="15">
        <v>42.612523600000003</v>
      </c>
      <c r="AB23" s="16">
        <v>49358.2</v>
      </c>
      <c r="AC23" s="16">
        <v>0</v>
      </c>
      <c r="AD23" s="16">
        <v>359.93200000000002</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15.762776000000001</v>
      </c>
      <c r="J24" s="40">
        <f t="shared" si="1"/>
        <v>0.31449709013931526</v>
      </c>
      <c r="K24" s="40">
        <f t="shared" si="2"/>
        <v>0.12508107897286788</v>
      </c>
      <c r="L24" s="40">
        <f t="shared" si="3"/>
        <v>9.283452360491723E-2</v>
      </c>
      <c r="M24" s="40">
        <f t="shared" si="4"/>
        <v>0.18941601116644741</v>
      </c>
      <c r="N24" s="37">
        <f t="shared" si="5"/>
        <v>31345680</v>
      </c>
      <c r="O24" s="40">
        <v>16</v>
      </c>
      <c r="P24" s="41">
        <v>244679090</v>
      </c>
      <c r="Q24" s="41">
        <v>978716.36</v>
      </c>
      <c r="R24" s="41">
        <v>18784.592000000001</v>
      </c>
      <c r="S24" s="42">
        <v>78813880</v>
      </c>
      <c r="T24" s="42">
        <v>23264600</v>
      </c>
      <c r="U24" s="42">
        <v>8081080</v>
      </c>
      <c r="V24" s="42">
        <v>47468200</v>
      </c>
      <c r="W24" s="43">
        <v>71.975070799999997</v>
      </c>
      <c r="X24" s="43">
        <v>75.9569568</v>
      </c>
      <c r="Y24" s="43">
        <v>36.859941599999999</v>
      </c>
      <c r="Z24" s="43">
        <v>44.779499999999999</v>
      </c>
      <c r="AA24" s="43">
        <v>43.3600116</v>
      </c>
      <c r="AB24" s="44">
        <v>53171.6</v>
      </c>
      <c r="AC24" s="44">
        <v>0</v>
      </c>
      <c r="AD24" s="44">
        <v>354.92200000000003</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2.1606200000000002</v>
      </c>
      <c r="J25" s="12">
        <f t="shared" si="1"/>
        <v>8.632308309414384E-2</v>
      </c>
      <c r="K25" s="12">
        <f t="shared" si="2"/>
        <v>5.564157197777457E-2</v>
      </c>
      <c r="L25" s="12">
        <f t="shared" si="3"/>
        <v>3.4204272148407912E-2</v>
      </c>
      <c r="M25" s="12">
        <f t="shared" si="4"/>
        <v>3.068151111636927E-2</v>
      </c>
      <c r="N25" s="54">
        <f t="shared" si="5"/>
        <v>13926784</v>
      </c>
      <c r="O25" s="12">
        <v>16</v>
      </c>
      <c r="P25" s="13">
        <v>232353009</v>
      </c>
      <c r="Q25" s="13">
        <v>774510.03</v>
      </c>
      <c r="R25" s="13">
        <v>16137.72</v>
      </c>
      <c r="S25" s="14">
        <v>21606200</v>
      </c>
      <c r="T25" s="14">
        <v>8561144</v>
      </c>
      <c r="U25" s="14">
        <v>5365640</v>
      </c>
      <c r="V25" s="14">
        <v>7679416</v>
      </c>
      <c r="W25" s="15">
        <v>66.376499666666703</v>
      </c>
      <c r="X25" s="15">
        <v>68.128640666666598</v>
      </c>
      <c r="Y25" s="15">
        <v>25.848741</v>
      </c>
      <c r="Z25" s="15">
        <v>32.411542666666698</v>
      </c>
      <c r="AA25" s="15">
        <v>31.5784493333333</v>
      </c>
      <c r="AB25" s="16">
        <v>49731.1</v>
      </c>
      <c r="AC25" s="16">
        <v>0</v>
      </c>
      <c r="AD25" s="16">
        <v>337.90699999999998</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3.3296472000000001</v>
      </c>
      <c r="J26" s="21">
        <f t="shared" si="1"/>
        <v>0.13302913604418332</v>
      </c>
      <c r="K26" s="21">
        <f t="shared" si="2"/>
        <v>6.9718712488950327E-2</v>
      </c>
      <c r="L26" s="21">
        <f t="shared" si="3"/>
        <v>4.8281412659583661E-2</v>
      </c>
      <c r="M26" s="21">
        <f t="shared" si="4"/>
        <v>6.3310423555233003E-2</v>
      </c>
      <c r="N26" s="18">
        <f t="shared" si="5"/>
        <v>17450216</v>
      </c>
      <c r="O26" s="21">
        <v>16</v>
      </c>
      <c r="P26" s="22">
        <v>243827425</v>
      </c>
      <c r="Q26" s="22">
        <v>812758.08333333302</v>
      </c>
      <c r="R26" s="22">
        <v>19402.91</v>
      </c>
      <c r="S26" s="23">
        <v>33296472</v>
      </c>
      <c r="T26" s="23">
        <v>12084576</v>
      </c>
      <c r="U26" s="23">
        <v>5365640</v>
      </c>
      <c r="V26" s="23">
        <v>15846256</v>
      </c>
      <c r="W26" s="24">
        <v>68.070007666666697</v>
      </c>
      <c r="X26" s="24">
        <v>70.119842666666599</v>
      </c>
      <c r="Y26" s="24">
        <v>27.886997999999998</v>
      </c>
      <c r="Z26" s="24">
        <v>33.600436999999999</v>
      </c>
      <c r="AA26" s="24">
        <v>32.9698383333333</v>
      </c>
      <c r="AB26" s="25">
        <v>53143.199999999997</v>
      </c>
      <c r="AC26" s="25">
        <v>0</v>
      </c>
      <c r="AD26" s="25">
        <v>368.56299999999999</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5.6175527999999995</v>
      </c>
      <c r="J27" s="12">
        <f t="shared" si="1"/>
        <v>0.2244376508317707</v>
      </c>
      <c r="K27" s="12">
        <f t="shared" si="2"/>
        <v>9.0485794055262456E-2</v>
      </c>
      <c r="L27" s="12">
        <f t="shared" si="3"/>
        <v>6.904849422589579E-2</v>
      </c>
      <c r="M27" s="12">
        <f t="shared" si="4"/>
        <v>0.13395185677650825</v>
      </c>
      <c r="N27" s="54">
        <f t="shared" si="5"/>
        <v>22648104</v>
      </c>
      <c r="O27" s="12">
        <v>16</v>
      </c>
      <c r="P27" s="13">
        <v>246299259</v>
      </c>
      <c r="Q27" s="13">
        <v>820997.53</v>
      </c>
      <c r="R27" s="13">
        <v>20420.32</v>
      </c>
      <c r="S27" s="14">
        <v>56175528</v>
      </c>
      <c r="T27" s="14">
        <v>17282464</v>
      </c>
      <c r="U27" s="14">
        <v>5365640</v>
      </c>
      <c r="V27" s="14">
        <v>33527424</v>
      </c>
      <c r="W27" s="15">
        <v>69.362086333333394</v>
      </c>
      <c r="X27" s="15">
        <v>71.795333666666707</v>
      </c>
      <c r="Y27" s="15">
        <v>30.187622666666599</v>
      </c>
      <c r="Z27" s="15">
        <v>34.844738333333297</v>
      </c>
      <c r="AA27" s="15">
        <v>34.305074333333401</v>
      </c>
      <c r="AB27" s="16">
        <v>56418.6</v>
      </c>
      <c r="AC27" s="16">
        <v>0</v>
      </c>
      <c r="AD27" s="16">
        <v>359.18099999999998</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10.851436</v>
      </c>
      <c r="J28" s="21">
        <f t="shared" si="1"/>
        <v>0.43354657992556944</v>
      </c>
      <c r="K28" s="21">
        <f t="shared" si="2"/>
        <v>0.12766949945404732</v>
      </c>
      <c r="L28" s="21">
        <f t="shared" si="3"/>
        <v>0.10623219962468065</v>
      </c>
      <c r="M28" s="21">
        <f t="shared" si="4"/>
        <v>0.30587708047152218</v>
      </c>
      <c r="N28" s="18">
        <f t="shared" si="5"/>
        <v>31954984</v>
      </c>
      <c r="O28" s="21">
        <v>16</v>
      </c>
      <c r="P28" s="22">
        <v>253079582</v>
      </c>
      <c r="Q28" s="22">
        <v>843598.60666666704</v>
      </c>
      <c r="R28" s="22">
        <v>22905.0766666667</v>
      </c>
      <c r="S28" s="23">
        <v>108514360</v>
      </c>
      <c r="T28" s="23">
        <v>26589344</v>
      </c>
      <c r="U28" s="23">
        <v>5365640</v>
      </c>
      <c r="V28" s="23">
        <v>76559376</v>
      </c>
      <c r="W28" s="24">
        <v>70.483457000000001</v>
      </c>
      <c r="X28" s="24">
        <v>73.037995333333399</v>
      </c>
      <c r="Y28" s="24">
        <v>32.697953333333302</v>
      </c>
      <c r="Z28" s="24">
        <v>36.403407999999999</v>
      </c>
      <c r="AA28" s="24">
        <v>35.851236999999998</v>
      </c>
      <c r="AB28" s="25">
        <v>60719.1</v>
      </c>
      <c r="AC28" s="25">
        <v>0</v>
      </c>
      <c r="AD28" s="25">
        <v>406.916</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25.0582432</v>
      </c>
      <c r="J29" s="30">
        <f t="shared" si="1"/>
        <v>1.0011500448699284</v>
      </c>
      <c r="K29" s="30">
        <f t="shared" si="2"/>
        <v>0.21113639607268847</v>
      </c>
      <c r="L29" s="30">
        <f t="shared" si="3"/>
        <v>0.16757498969753967</v>
      </c>
      <c r="M29" s="30">
        <f t="shared" si="4"/>
        <v>0.79001364879724001</v>
      </c>
      <c r="N29" s="27">
        <f t="shared" si="5"/>
        <v>52846296</v>
      </c>
      <c r="O29" s="30">
        <v>16</v>
      </c>
      <c r="P29" s="31">
        <v>243597521</v>
      </c>
      <c r="Q29" s="31">
        <v>811991.73666666704</v>
      </c>
      <c r="R29" s="31">
        <v>10639.8266666667</v>
      </c>
      <c r="S29" s="32">
        <v>250582432</v>
      </c>
      <c r="T29" s="32">
        <v>41943112</v>
      </c>
      <c r="U29" s="32">
        <v>10903184</v>
      </c>
      <c r="V29" s="32">
        <v>197736136</v>
      </c>
      <c r="W29" s="33">
        <v>71.191947999999996</v>
      </c>
      <c r="X29" s="33">
        <v>74.931579333333403</v>
      </c>
      <c r="Y29" s="33">
        <v>35.701129666666702</v>
      </c>
      <c r="Z29" s="33">
        <v>38.378785999999998</v>
      </c>
      <c r="AA29" s="33">
        <v>37.766298999999997</v>
      </c>
      <c r="AB29" s="34">
        <v>68659.7</v>
      </c>
      <c r="AC29" s="34">
        <v>0</v>
      </c>
      <c r="AD29" s="34">
        <v>430.46800000000002</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1.9755225000000001</v>
      </c>
      <c r="J30" s="21">
        <f t="shared" si="1"/>
        <v>2.2451758017650612E-2</v>
      </c>
      <c r="K30" s="21">
        <f t="shared" si="2"/>
        <v>1.7530178176116379E-2</v>
      </c>
      <c r="L30" s="21">
        <f t="shared" si="3"/>
        <v>1.1180596698271225E-2</v>
      </c>
      <c r="M30" s="21">
        <f t="shared" si="4"/>
        <v>4.9215798415342344E-3</v>
      </c>
      <c r="N30" s="18">
        <f t="shared" si="5"/>
        <v>6581224</v>
      </c>
      <c r="O30" s="21">
        <v>16</v>
      </c>
      <c r="P30" s="22">
        <v>172282944</v>
      </c>
      <c r="Q30" s="22">
        <v>2691921</v>
      </c>
      <c r="R30" s="22">
        <v>32558.9375</v>
      </c>
      <c r="S30" s="23">
        <v>8428896</v>
      </c>
      <c r="T30" s="23">
        <v>4197448</v>
      </c>
      <c r="U30" s="23">
        <v>2383776</v>
      </c>
      <c r="V30" s="23">
        <v>1847672</v>
      </c>
      <c r="W30" s="24">
        <v>73.532006249999995</v>
      </c>
      <c r="X30" s="24">
        <v>75.624973437500003</v>
      </c>
      <c r="Y30" s="24">
        <v>32.967700000000001</v>
      </c>
      <c r="Z30" s="24">
        <v>41.8452359375</v>
      </c>
      <c r="AA30" s="24">
        <v>43.152859374999998</v>
      </c>
      <c r="AB30" s="25">
        <v>41380.6</v>
      </c>
      <c r="AC30" s="25">
        <v>0</v>
      </c>
      <c r="AD30" s="25">
        <v>247.28700000000001</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2.6475843750000001</v>
      </c>
      <c r="J31" s="12">
        <f t="shared" si="1"/>
        <v>3.0089722450041819E-2</v>
      </c>
      <c r="K31" s="12">
        <f t="shared" si="2"/>
        <v>2.1682363615360876E-2</v>
      </c>
      <c r="L31" s="12">
        <f t="shared" si="3"/>
        <v>1.5332782137515724E-2</v>
      </c>
      <c r="M31" s="12">
        <f t="shared" si="4"/>
        <v>8.4073588346809409E-3</v>
      </c>
      <c r="N31" s="54">
        <f t="shared" si="5"/>
        <v>8140048</v>
      </c>
      <c r="O31" s="12">
        <v>16</v>
      </c>
      <c r="P31" s="13">
        <v>181468038</v>
      </c>
      <c r="Q31" s="13">
        <v>2835438.09375</v>
      </c>
      <c r="R31" s="13">
        <v>39839.03125</v>
      </c>
      <c r="S31" s="14">
        <v>11296360</v>
      </c>
      <c r="T31" s="14">
        <v>5756272</v>
      </c>
      <c r="U31" s="14">
        <v>2383776</v>
      </c>
      <c r="V31" s="14">
        <v>3156312</v>
      </c>
      <c r="W31" s="15">
        <v>75.180059374999999</v>
      </c>
      <c r="X31" s="15">
        <v>77.545574999999999</v>
      </c>
      <c r="Y31" s="15">
        <v>35.004589062500003</v>
      </c>
      <c r="Z31" s="15">
        <v>42.517737500000003</v>
      </c>
      <c r="AA31" s="15">
        <v>44.413856250000002</v>
      </c>
      <c r="AB31" s="16">
        <v>43252.1</v>
      </c>
      <c r="AC31" s="16">
        <v>0</v>
      </c>
      <c r="AD31" s="16">
        <v>254.702</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3.82431375</v>
      </c>
      <c r="J32" s="21">
        <f t="shared" si="1"/>
        <v>4.3463218919842207E-2</v>
      </c>
      <c r="K32" s="21">
        <f t="shared" si="2"/>
        <v>2.7832425905574092E-2</v>
      </c>
      <c r="L32" s="21">
        <f t="shared" si="3"/>
        <v>2.1482844427728937E-2</v>
      </c>
      <c r="M32" s="21">
        <f t="shared" si="4"/>
        <v>1.5630793014268118E-2</v>
      </c>
      <c r="N32" s="18">
        <f t="shared" si="5"/>
        <v>10448920</v>
      </c>
      <c r="O32" s="21">
        <v>16</v>
      </c>
      <c r="P32" s="22">
        <v>184191159</v>
      </c>
      <c r="Q32" s="22">
        <v>2877986.859375</v>
      </c>
      <c r="R32" s="22">
        <v>42690.109375</v>
      </c>
      <c r="S32" s="23">
        <v>16317072</v>
      </c>
      <c r="T32" s="23">
        <v>8065144</v>
      </c>
      <c r="U32" s="23">
        <v>2383776</v>
      </c>
      <c r="V32" s="23">
        <v>5868152</v>
      </c>
      <c r="W32" s="24">
        <v>76.422514062499999</v>
      </c>
      <c r="X32" s="24">
        <v>79.111964062499993</v>
      </c>
      <c r="Y32" s="24">
        <v>36.8806625</v>
      </c>
      <c r="Z32" s="24">
        <v>43.149374999999999</v>
      </c>
      <c r="AA32" s="24">
        <v>45.882734374999998</v>
      </c>
      <c r="AB32" s="25">
        <v>45106</v>
      </c>
      <c r="AC32" s="25">
        <v>0</v>
      </c>
      <c r="AD32" s="25">
        <v>254.232</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6.3159187499999998</v>
      </c>
      <c r="J33" s="12">
        <f t="shared" si="1"/>
        <v>7.1780240130974129E-2</v>
      </c>
      <c r="K33" s="12">
        <f t="shared" si="2"/>
        <v>3.8592014316966732E-2</v>
      </c>
      <c r="L33" s="12">
        <f t="shared" si="3"/>
        <v>3.2242432839121572E-2</v>
      </c>
      <c r="M33" s="12">
        <f t="shared" si="4"/>
        <v>3.3188225814007398E-2</v>
      </c>
      <c r="N33" s="54">
        <f t="shared" si="5"/>
        <v>14488312</v>
      </c>
      <c r="O33" s="12">
        <v>16</v>
      </c>
      <c r="P33" s="13">
        <v>188805786</v>
      </c>
      <c r="Q33" s="13">
        <v>2950090.40625</v>
      </c>
      <c r="R33" s="13">
        <v>47691.640625</v>
      </c>
      <c r="S33" s="14">
        <v>26947920</v>
      </c>
      <c r="T33" s="14">
        <v>12104536</v>
      </c>
      <c r="U33" s="14">
        <v>2383776</v>
      </c>
      <c r="V33" s="14">
        <v>12459608</v>
      </c>
      <c r="W33" s="15">
        <v>77.551254687500006</v>
      </c>
      <c r="X33" s="15">
        <v>80.268199999999993</v>
      </c>
      <c r="Y33" s="15">
        <v>38.690759374999999</v>
      </c>
      <c r="Z33" s="15">
        <v>43.742721875000001</v>
      </c>
      <c r="AA33" s="15">
        <v>47.246101562500002</v>
      </c>
      <c r="AB33" s="16">
        <v>47254</v>
      </c>
      <c r="AC33" s="16">
        <v>0</v>
      </c>
      <c r="AD33" s="16">
        <v>260.63499999999999</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12.779557499999999</v>
      </c>
      <c r="J34" s="40">
        <f t="shared" si="1"/>
        <v>0.14523931393474487</v>
      </c>
      <c r="K34" s="40">
        <f t="shared" si="2"/>
        <v>6.4187558009137002E-2</v>
      </c>
      <c r="L34" s="40">
        <f t="shared" si="3"/>
        <v>5.1059140058716611E-2</v>
      </c>
      <c r="M34" s="40">
        <f t="shared" si="4"/>
        <v>8.1051755925607871E-2</v>
      </c>
      <c r="N34" s="37">
        <f t="shared" si="5"/>
        <v>24097456</v>
      </c>
      <c r="O34" s="40">
        <v>16</v>
      </c>
      <c r="P34" s="41">
        <v>185070962</v>
      </c>
      <c r="Q34" s="41">
        <v>2891733.78125</v>
      </c>
      <c r="R34" s="41">
        <v>18923.84375</v>
      </c>
      <c r="S34" s="42">
        <v>54526112</v>
      </c>
      <c r="T34" s="42">
        <v>19168752</v>
      </c>
      <c r="U34" s="42">
        <v>4928704</v>
      </c>
      <c r="V34" s="42">
        <v>30428656</v>
      </c>
      <c r="W34" s="43">
        <v>78.460587500000003</v>
      </c>
      <c r="X34" s="43">
        <v>81.916062499999995</v>
      </c>
      <c r="Y34" s="43">
        <v>40.520587499999998</v>
      </c>
      <c r="Z34" s="43">
        <v>44.454376562500002</v>
      </c>
      <c r="AA34" s="43">
        <v>48.732424999999999</v>
      </c>
      <c r="AB34" s="44">
        <v>50433.7</v>
      </c>
      <c r="AC34" s="44">
        <v>0</v>
      </c>
      <c r="AD34" s="44">
        <v>262.89</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2.1692212500000001</v>
      </c>
      <c r="J35" s="12">
        <f t="shared" si="1"/>
        <v>2.7777919088249191E-2</v>
      </c>
      <c r="K35" s="12">
        <f t="shared" si="2"/>
        <v>2.1365735103119884E-2</v>
      </c>
      <c r="L35" s="12">
        <f t="shared" si="3"/>
        <v>1.3706865620125417E-2</v>
      </c>
      <c r="M35" s="12">
        <f t="shared" si="4"/>
        <v>6.4121839851293081E-3</v>
      </c>
      <c r="N35" s="54">
        <f t="shared" si="5"/>
        <v>7118864</v>
      </c>
      <c r="O35" s="12">
        <v>16</v>
      </c>
      <c r="P35" s="13">
        <v>149903109</v>
      </c>
      <c r="Q35" s="13">
        <v>2342236.078125</v>
      </c>
      <c r="R35" s="13">
        <v>30822.421875</v>
      </c>
      <c r="S35" s="14">
        <v>9255344</v>
      </c>
      <c r="T35" s="14">
        <v>4567000</v>
      </c>
      <c r="U35" s="14">
        <v>2551864</v>
      </c>
      <c r="V35" s="14">
        <v>2136480</v>
      </c>
      <c r="W35" s="15">
        <v>73.214260937500001</v>
      </c>
      <c r="X35" s="15">
        <v>75.410712500000002</v>
      </c>
      <c r="Y35" s="15">
        <v>31.890817187500001</v>
      </c>
      <c r="Z35" s="15">
        <v>42.161456250000001</v>
      </c>
      <c r="AA35" s="15">
        <v>43.430073437499999</v>
      </c>
      <c r="AB35" s="16">
        <v>35680.5</v>
      </c>
      <c r="AC35" s="16">
        <v>0</v>
      </c>
      <c r="AD35" s="16">
        <v>223.952</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2.9221293749999999</v>
      </c>
      <c r="J36" s="21">
        <f t="shared" si="1"/>
        <v>3.7419268940015307E-2</v>
      </c>
      <c r="K36" s="21">
        <f t="shared" si="2"/>
        <v>2.6482708825035624E-2</v>
      </c>
      <c r="L36" s="21">
        <f t="shared" si="3"/>
        <v>1.8823839342041158E-2</v>
      </c>
      <c r="M36" s="21">
        <f t="shared" si="4"/>
        <v>1.0936560114979683E-2</v>
      </c>
      <c r="N36" s="18">
        <f t="shared" si="5"/>
        <v>8823792</v>
      </c>
      <c r="O36" s="21">
        <v>16</v>
      </c>
      <c r="P36" s="22">
        <v>159704490</v>
      </c>
      <c r="Q36" s="22">
        <v>2495382.65625</v>
      </c>
      <c r="R36" s="22">
        <v>38648.109375</v>
      </c>
      <c r="S36" s="23">
        <v>12467752</v>
      </c>
      <c r="T36" s="23">
        <v>6271928</v>
      </c>
      <c r="U36" s="23">
        <v>2551864</v>
      </c>
      <c r="V36" s="23">
        <v>3643960</v>
      </c>
      <c r="W36" s="24">
        <v>74.935856250000001</v>
      </c>
      <c r="X36" s="24">
        <v>77.368337499999996</v>
      </c>
      <c r="Y36" s="24">
        <v>34.107881249999998</v>
      </c>
      <c r="Z36" s="24">
        <v>42.934337499999998</v>
      </c>
      <c r="AA36" s="24">
        <v>44.760273437499997</v>
      </c>
      <c r="AB36" s="25">
        <v>37729.4</v>
      </c>
      <c r="AC36" s="25">
        <v>0</v>
      </c>
      <c r="AD36" s="25">
        <v>231.95400000000001</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4.2069862499999999</v>
      </c>
      <c r="J37" s="12">
        <f t="shared" si="1"/>
        <v>5.3872477811047113E-2</v>
      </c>
      <c r="K37" s="12">
        <f t="shared" si="2"/>
        <v>3.388913427889937E-2</v>
      </c>
      <c r="L37" s="12">
        <f t="shared" si="3"/>
        <v>2.6230264795904908E-2</v>
      </c>
      <c r="M37" s="12">
        <f t="shared" si="4"/>
        <v>1.9983343532147743E-2</v>
      </c>
      <c r="N37" s="54">
        <f t="shared" si="5"/>
        <v>11291544</v>
      </c>
      <c r="O37" s="12">
        <v>16</v>
      </c>
      <c r="P37" s="13">
        <v>163111890</v>
      </c>
      <c r="Q37" s="13">
        <v>2548623.28125</v>
      </c>
      <c r="R37" s="13">
        <v>41930.65625</v>
      </c>
      <c r="S37" s="14">
        <v>17949808</v>
      </c>
      <c r="T37" s="14">
        <v>8739680</v>
      </c>
      <c r="U37" s="14">
        <v>2551864</v>
      </c>
      <c r="V37" s="14">
        <v>6658264</v>
      </c>
      <c r="W37" s="15">
        <v>76.245132812500003</v>
      </c>
      <c r="X37" s="15">
        <v>78.983754687499996</v>
      </c>
      <c r="Y37" s="15">
        <v>36.187356250000001</v>
      </c>
      <c r="Z37" s="15">
        <v>43.521146874999999</v>
      </c>
      <c r="AA37" s="15">
        <v>46.115310937499999</v>
      </c>
      <c r="AB37" s="16">
        <v>39393</v>
      </c>
      <c r="AC37" s="16">
        <v>0</v>
      </c>
      <c r="AD37" s="16">
        <v>226.697</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6.8889168749999996</v>
      </c>
      <c r="J38" s="21">
        <f t="shared" si="1"/>
        <v>8.8215886488952872E-2</v>
      </c>
      <c r="K38" s="21">
        <f t="shared" si="2"/>
        <v>4.6616620790384693E-2</v>
      </c>
      <c r="L38" s="21">
        <f t="shared" si="3"/>
        <v>3.8957751307390223E-2</v>
      </c>
      <c r="M38" s="21">
        <f t="shared" si="4"/>
        <v>4.1599265698568186E-2</v>
      </c>
      <c r="N38" s="18">
        <f t="shared" si="5"/>
        <v>15532224</v>
      </c>
      <c r="O38" s="21">
        <v>16</v>
      </c>
      <c r="P38" s="22">
        <v>167401320</v>
      </c>
      <c r="Q38" s="22">
        <v>2615645.625</v>
      </c>
      <c r="R38" s="22">
        <v>46927.796875</v>
      </c>
      <c r="S38" s="23">
        <v>29392712</v>
      </c>
      <c r="T38" s="23">
        <v>12980360</v>
      </c>
      <c r="U38" s="23">
        <v>2551864</v>
      </c>
      <c r="V38" s="23">
        <v>13860488</v>
      </c>
      <c r="W38" s="24">
        <v>77.4305796875</v>
      </c>
      <c r="X38" s="24">
        <v>80.1885328125</v>
      </c>
      <c r="Y38" s="24">
        <v>38.161762500000002</v>
      </c>
      <c r="Z38" s="24">
        <v>44.137128124999997</v>
      </c>
      <c r="AA38" s="24">
        <v>47.279484375000003</v>
      </c>
      <c r="AB38" s="25">
        <v>41204.6</v>
      </c>
      <c r="AC38" s="25">
        <v>0</v>
      </c>
      <c r="AD38" s="25">
        <v>233.09399999999999</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13.711955625</v>
      </c>
      <c r="J39" s="30">
        <f t="shared" si="1"/>
        <v>0.17558817197319701</v>
      </c>
      <c r="K39" s="30">
        <f t="shared" si="2"/>
        <v>7.5659377144239467E-2</v>
      </c>
      <c r="L39" s="30">
        <f t="shared" si="3"/>
        <v>6.0066216316146816E-2</v>
      </c>
      <c r="M39" s="30">
        <f t="shared" si="4"/>
        <v>9.9928794828957543E-2</v>
      </c>
      <c r="N39" s="27">
        <f t="shared" si="5"/>
        <v>25209000</v>
      </c>
      <c r="O39" s="30">
        <v>16</v>
      </c>
      <c r="P39" s="31">
        <v>163642533</v>
      </c>
      <c r="Q39" s="31">
        <v>2556914.578125</v>
      </c>
      <c r="R39" s="31">
        <v>18550.34375</v>
      </c>
      <c r="S39" s="32">
        <v>58504344</v>
      </c>
      <c r="T39" s="32">
        <v>20013504</v>
      </c>
      <c r="U39" s="32">
        <v>5195496</v>
      </c>
      <c r="V39" s="32">
        <v>33295344</v>
      </c>
      <c r="W39" s="33">
        <v>78.287287500000005</v>
      </c>
      <c r="X39" s="33">
        <v>81.886876562500007</v>
      </c>
      <c r="Y39" s="33">
        <v>40.240209374999999</v>
      </c>
      <c r="Z39" s="33">
        <v>45.062545312499999</v>
      </c>
      <c r="AA39" s="33">
        <v>48.671223437499997</v>
      </c>
      <c r="AB39" s="34">
        <v>44203.6</v>
      </c>
      <c r="AC39" s="34">
        <v>0</v>
      </c>
      <c r="AD39" s="34">
        <v>228.911</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0.17701367686630459</v>
      </c>
      <c r="K40" s="48">
        <f>AVERAGE(K5:K24)</f>
        <v>9.7059212907810444E-2</v>
      </c>
      <c r="L40" s="48">
        <f>AVERAGE(L5:L24)</f>
        <v>7.1596554511591484E-2</v>
      </c>
      <c r="M40" s="48">
        <f>AVERAGE(M5:M24)</f>
        <v>7.9954463958494149E-2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0.37569729895311915</v>
      </c>
      <c r="K41" s="48">
        <f>AVERAGE(K25:K29)</f>
        <v>0.11093039480974462</v>
      </c>
      <c r="L41" s="48">
        <f>AVERAGE(L25:L29)</f>
        <v>8.5068273671221536E-2</v>
      </c>
      <c r="M41" s="48">
        <f>AVERAGE(M25:M29)</f>
        <v>0.26476690414337456</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6.9589797775471501E-2</v>
      </c>
      <c r="K42" s="48">
        <f>AVERAGE(K30:K39)</f>
        <v>3.7383811616483416E-2</v>
      </c>
      <c r="L42" s="48">
        <f>AVERAGE(L30:L39)</f>
        <v>2.8908273354296261E-2</v>
      </c>
      <c r="M42" s="48">
        <f>AVERAGE(M30:M39)</f>
        <v>3.2205986158988106E-2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0.17470451456704006</v>
      </c>
      <c r="K43" s="48">
        <f>AVERAGE(K5:K39)</f>
        <v>8.19906956677076E-2</v>
      </c>
      <c r="L43" s="48">
        <f>AVERAGE(L5:L39)</f>
        <v>6.1324434060882838E-2</v>
      </c>
      <c r="M43" s="48">
        <f>AVERAGE(M5:M39)</f>
        <v>9.2713818899332515E-2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1840588.8000000007</v>
      </c>
      <c r="AC44" s="49">
        <f>SUM(AC5:AC24,AC25:AC29,AC30:AC39)</f>
        <v>0</v>
      </c>
      <c r="AD44" s="49">
        <f>SUM(AD5:AD24,AD25:AD29,AD30:AD39)</f>
        <v>12162.176999999998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51749.499399502813</v>
      </c>
      <c r="AC46" s="49" t="e">
        <f>GEOMEAN(AC5:AC24,AC25:AC29,AC30:AC39)</f>
        <v>#NUM!</v>
      </c>
      <c r="AD46" s="49">
        <f>GEOMEAN(AD5:AD24,AD25:AD29,AD30:AD39)</f>
        <v>337.60840346638588</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2020-12-11T10:22:27Z</dcterms:modified>
</cp:coreProperties>
</file>