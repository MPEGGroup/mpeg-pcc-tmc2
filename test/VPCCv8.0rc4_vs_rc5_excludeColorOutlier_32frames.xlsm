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louise\code\PCC\mpeg-pcc-tmc2-m50667\test\"/>
    </mc:Choice>
  </mc:AlternateContent>
  <bookViews>
    <workbookView xWindow="-105" yWindow="-105" windowWidth="23258" windowHeight="12765" firstSheet="2" activeTab="2"/>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BA45" i="7" s="1"/>
  <c r="AZ44" i="7"/>
  <c r="AE44" i="7"/>
  <c r="AD44" i="7"/>
  <c r="AC44" i="7"/>
  <c r="AB44" i="7"/>
  <c r="BF39" i="7"/>
  <c r="AL39" i="7"/>
  <c r="AK39" i="7"/>
  <c r="AJ39" i="7"/>
  <c r="AI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K35" i="7"/>
  <c r="AJ35" i="7"/>
  <c r="AI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K26" i="7"/>
  <c r="AJ26" i="7"/>
  <c r="AI26" i="7"/>
  <c r="AH26" i="7"/>
  <c r="AG26" i="7"/>
  <c r="N26" i="7"/>
  <c r="BG26" i="7" s="1"/>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BG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J13" i="6"/>
  <c r="AK11" i="6"/>
  <c r="BG11" i="6" s="1" a="1"/>
  <c r="AJ11" i="6"/>
  <c r="AI11" i="6"/>
  <c r="BD11" i="6" s="1"/>
  <c r="AG11" i="6"/>
  <c r="AF11" i="6"/>
  <c r="AE11" i="6"/>
  <c r="N11" i="6"/>
  <c r="K11" i="6" s="1"/>
  <c r="M11" i="6"/>
  <c r="BE11" i="6" s="1"/>
  <c r="L11" i="6"/>
  <c r="J11" i="6"/>
  <c r="I11" i="6"/>
  <c r="H11" i="6"/>
  <c r="AK10" i="6"/>
  <c r="AH10" i="6" s="1"/>
  <c r="AJ10" i="6"/>
  <c r="BE10" i="6" s="1"/>
  <c r="AI10" i="6"/>
  <c r="AG10" i="6"/>
  <c r="AF10" i="6"/>
  <c r="AE10" i="6"/>
  <c r="N10" i="6"/>
  <c r="BG10" i="6" s="1" a="1"/>
  <c r="M10" i="6"/>
  <c r="M14" i="6" s="1"/>
  <c r="L10" i="6"/>
  <c r="J10" i="6"/>
  <c r="I10" i="6"/>
  <c r="H10" i="6"/>
  <c r="AK9" i="6"/>
  <c r="BF9" i="6" s="1"/>
  <c r="AJ9" i="6"/>
  <c r="AI9" i="6"/>
  <c r="AI13" i="6" s="1"/>
  <c r="AG9" i="6"/>
  <c r="BB9" i="6" s="1"/>
  <c r="AF9" i="6"/>
  <c r="AE9" i="6"/>
  <c r="N9" i="6"/>
  <c r="M9" i="6"/>
  <c r="BE9" i="6" s="1"/>
  <c r="L9" i="6"/>
  <c r="L13" i="6" s="1"/>
  <c r="K9" i="6"/>
  <c r="K13" i="6" s="1"/>
  <c r="J9" i="6"/>
  <c r="J13" i="6" s="1"/>
  <c r="I9" i="6"/>
  <c r="H9" i="6"/>
  <c r="BG8" i="6" a="1"/>
  <c r="AK8" i="6"/>
  <c r="AH8" i="6" s="1"/>
  <c r="AJ8" i="6"/>
  <c r="BE8" i="6" s="1"/>
  <c r="AI8" i="6"/>
  <c r="AG8" i="6"/>
  <c r="AF8" i="6"/>
  <c r="AE8" i="6"/>
  <c r="N8" i="6"/>
  <c r="K8" i="6" s="1"/>
  <c r="M8" i="6"/>
  <c r="L8" i="6"/>
  <c r="BD8" i="6" s="1"/>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AE1" i="6"/>
  <c r="H1" i="6"/>
  <c r="AZ18" i="5"/>
  <c r="AY18" i="5"/>
  <c r="AX18" i="5"/>
  <c r="AW18" i="5"/>
  <c r="AC18" i="5"/>
  <c r="AB18" i="5"/>
  <c r="AA18" i="5"/>
  <c r="Z18" i="5"/>
  <c r="AZ16" i="5"/>
  <c r="AY16" i="5"/>
  <c r="AX16" i="5"/>
  <c r="AW16" i="5"/>
  <c r="AC16" i="5"/>
  <c r="AB16" i="5"/>
  <c r="AA16" i="5"/>
  <c r="Z16" i="5"/>
  <c r="AK11" i="5"/>
  <c r="AJ11" i="5"/>
  <c r="BE11" i="5" s="1"/>
  <c r="AI11" i="5"/>
  <c r="AH11" i="5"/>
  <c r="AG11" i="5"/>
  <c r="AF11" i="5"/>
  <c r="AE11" i="5"/>
  <c r="N11" i="5"/>
  <c r="BG11" i="5" s="1" a="1"/>
  <c r="BG11" i="5" s="1"/>
  <c r="M11" i="5"/>
  <c r="L11" i="5"/>
  <c r="BD11" i="5" s="1"/>
  <c r="J11" i="5"/>
  <c r="BB11" i="5" s="1"/>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BB9" i="5" s="1"/>
  <c r="I9" i="5"/>
  <c r="H9" i="5"/>
  <c r="AK8" i="5"/>
  <c r="BG8" i="5" s="1" a="1"/>
  <c r="AJ8" i="5"/>
  <c r="AI8" i="5"/>
  <c r="AG8" i="5"/>
  <c r="AF8" i="5"/>
  <c r="AE8" i="5"/>
  <c r="N8" i="5"/>
  <c r="K8" i="5" s="1"/>
  <c r="M8" i="5"/>
  <c r="L8" i="5"/>
  <c r="J8" i="5"/>
  <c r="I8" i="5"/>
  <c r="H8" i="5"/>
  <c r="AK7" i="5"/>
  <c r="AJ7" i="5"/>
  <c r="AI7" i="5"/>
  <c r="AH7" i="5"/>
  <c r="AG7" i="5"/>
  <c r="AF7" i="5"/>
  <c r="AE7" i="5"/>
  <c r="N7" i="5"/>
  <c r="BG7" i="5" s="1" a="1"/>
  <c r="BG7" i="5" s="1"/>
  <c r="M7" i="5"/>
  <c r="L7" i="5"/>
  <c r="BD7" i="5" s="1"/>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AE1"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K30" i="3"/>
  <c r="AJ30" i="3"/>
  <c r="AJ42" i="3" s="1"/>
  <c r="AI30" i="3"/>
  <c r="AH30" i="3"/>
  <c r="AG30" i="3"/>
  <c r="N30" i="3"/>
  <c r="K30" i="3" s="1"/>
  <c r="M30" i="3"/>
  <c r="L30" i="3"/>
  <c r="J30" i="3"/>
  <c r="I30" i="3"/>
  <c r="BF29" i="3"/>
  <c r="AL29" i="3"/>
  <c r="AK29" i="3"/>
  <c r="AJ29" i="3"/>
  <c r="AH29" i="3"/>
  <c r="AG29" i="3"/>
  <c r="N29" i="3"/>
  <c r="K29" i="3" s="1"/>
  <c r="M29" i="3"/>
  <c r="L29" i="3"/>
  <c r="J29" i="3"/>
  <c r="I29" i="3"/>
  <c r="BF28" i="3"/>
  <c r="AL28" i="3"/>
  <c r="AK28" i="3"/>
  <c r="AJ28" i="3"/>
  <c r="AI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K20" i="3"/>
  <c r="AJ20" i="3"/>
  <c r="AI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J5" i="3"/>
  <c r="AH5" i="3"/>
  <c r="AG5" i="3"/>
  <c r="N5" i="3"/>
  <c r="M5" i="3"/>
  <c r="L5" i="3"/>
  <c r="J5" i="3"/>
  <c r="I5" i="3"/>
  <c r="AG1" i="3"/>
  <c r="I1" i="3"/>
  <c r="B2" i="2"/>
  <c r="B1" i="2"/>
  <c r="BP35" i="7"/>
  <c r="BN25" i="7"/>
  <c r="BQ15" i="7"/>
  <c r="BJ10" i="7"/>
  <c r="BT30" i="7"/>
  <c r="BN15" i="7"/>
  <c r="BS30" i="7"/>
  <c r="BP25" i="7"/>
  <c r="BN5" i="7"/>
  <c r="BL30" i="7"/>
  <c r="BS20" i="7"/>
  <c r="BP15" i="7"/>
  <c r="BL5" i="7"/>
  <c r="BR20" i="7"/>
  <c r="BL35" i="7"/>
  <c r="BS5" i="7"/>
  <c r="BS25" i="7"/>
  <c r="BR35" i="7"/>
  <c r="BQ35" i="7"/>
  <c r="BJ25" i="7"/>
  <c r="BQ25" i="7"/>
  <c r="BR30" i="7"/>
  <c r="BT20" i="7"/>
  <c r="BL15" i="7"/>
  <c r="BR5" i="7"/>
  <c r="BK30" i="7"/>
  <c r="BM10" i="7"/>
  <c r="BN30" i="7"/>
  <c r="BQ20" i="7"/>
  <c r="BS35" i="7"/>
  <c r="BR25" i="7"/>
  <c r="BN20" i="7"/>
  <c r="BS10" i="7"/>
  <c r="BM35" i="7"/>
  <c r="BS15" i="7"/>
  <c r="BL20" i="7"/>
  <c r="BT35" i="7"/>
  <c r="BP10" i="7"/>
  <c r="BT25" i="7"/>
  <c r="BQ30" i="7"/>
  <c r="BQ5" i="7"/>
  <c r="BQ10" i="7"/>
  <c r="BM30" i="7"/>
  <c r="BP20" i="7"/>
  <c r="BT10" i="7"/>
  <c r="BM5" i="7"/>
  <c r="BL25" i="7"/>
  <c r="BP5" i="7"/>
  <c r="BJ30" i="7"/>
  <c r="BR15" i="7"/>
  <c r="BN35" i="7"/>
  <c r="BM25" i="7"/>
  <c r="BN10" i="7"/>
  <c r="BP30" i="7"/>
  <c r="BR10" i="7"/>
  <c r="BM15" i="7"/>
  <c r="BK20" i="7"/>
  <c r="BM20" i="7"/>
  <c r="BL10" i="7"/>
  <c r="BT15" i="7"/>
  <c r="BT5" i="7"/>
  <c r="BQ30" i="3"/>
  <c r="BT20" i="3"/>
  <c r="BL15" i="3"/>
  <c r="BT5" i="3"/>
  <c r="BR5" i="3"/>
  <c r="BQ35" i="3"/>
  <c r="BM15" i="3"/>
  <c r="BN35" i="3"/>
  <c r="BM25" i="3"/>
  <c r="BT15" i="3"/>
  <c r="BS5" i="3"/>
  <c r="BN30" i="3"/>
  <c r="BM20" i="3"/>
  <c r="BL35" i="3"/>
  <c r="BR15" i="3"/>
  <c r="BN10" i="3"/>
  <c r="BQ15" i="3"/>
  <c r="BP10" i="3"/>
  <c r="BS35" i="3"/>
  <c r="BL10" i="3"/>
  <c r="BR20" i="3"/>
  <c r="BK5" i="3"/>
  <c r="BL30" i="3"/>
  <c r="BP20" i="3"/>
  <c r="BR10" i="3"/>
  <c r="BP5" i="3"/>
  <c r="BM5" i="3"/>
  <c r="BR30" i="3"/>
  <c r="BS10" i="3"/>
  <c r="BT30" i="3"/>
  <c r="BS20" i="3"/>
  <c r="BP15" i="3"/>
  <c r="BN5" i="3"/>
  <c r="BR35" i="3"/>
  <c r="BQ25" i="3"/>
  <c r="BS15" i="3"/>
  <c r="BM30" i="3"/>
  <c r="BJ15" i="3"/>
  <c r="BP35" i="3"/>
  <c r="BJ10" i="3"/>
  <c r="BR25" i="3"/>
  <c r="BS30" i="3"/>
  <c r="BT35" i="3"/>
  <c r="BS25" i="3"/>
  <c r="BK20" i="3"/>
  <c r="BM10" i="3"/>
  <c r="BT10" i="3"/>
  <c r="BP25" i="3"/>
  <c r="BL5" i="3"/>
  <c r="BP30" i="3"/>
  <c r="BN20" i="3"/>
  <c r="BQ10" i="3"/>
  <c r="BM35" i="3"/>
  <c r="BL25" i="3"/>
  <c r="BN15" i="3"/>
  <c r="BT25" i="3"/>
  <c r="BQ5" i="3"/>
  <c r="BK25" i="3"/>
  <c r="BN25" i="3"/>
  <c r="BL20" i="3"/>
  <c r="BJ20" i="3"/>
  <c r="BQ20" i="3"/>
  <c r="AK42" i="7" l="1"/>
  <c r="BG10" i="3"/>
  <c r="AK40" i="3"/>
  <c r="BG38" i="3"/>
  <c r="BE39" i="7"/>
  <c r="BG37" i="7"/>
  <c r="AJ41" i="7"/>
  <c r="BG5" i="7"/>
  <c r="BG8" i="7"/>
  <c r="BG36" i="7"/>
  <c r="BG14" i="7"/>
  <c r="AJ42" i="7"/>
  <c r="BG6" i="6"/>
  <c r="BG10" i="6"/>
  <c r="AG14" i="6"/>
  <c r="AJ12" i="6"/>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E24" i="3" s="1"/>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E12" i="6"/>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P41" i="7"/>
  <c r="BT41" i="7"/>
  <c r="BN42" i="7"/>
  <c r="G45" i="1" s="1"/>
  <c r="BM43" i="3"/>
  <c r="F12" i="1" s="1"/>
  <c r="BL41" i="7"/>
  <c r="E44" i="1" s="1"/>
  <c r="BP40" i="3"/>
  <c r="BT40" i="3"/>
  <c r="L9" i="1" s="1"/>
  <c r="BN41" i="3"/>
  <c r="G10" i="1" s="1"/>
  <c r="BL42" i="3"/>
  <c r="E11" i="1" s="1"/>
  <c r="BN41" i="7"/>
  <c r="G44" i="1" s="1"/>
  <c r="BM42" i="7"/>
  <c r="F45" i="1" s="1"/>
  <c r="BS41" i="3"/>
  <c r="K10" i="1" s="1"/>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5" i="3"/>
  <c r="AK43" i="3"/>
  <c r="BP43" i="3"/>
  <c r="BT43" i="3"/>
  <c r="AI15" i="3"/>
  <c r="K25" i="3"/>
  <c r="K41" i="3" s="1"/>
  <c r="AI35" i="3"/>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J20" i="7"/>
  <c r="BK5" i="7"/>
  <c r="BK35" i="7"/>
  <c r="BJ5" i="7"/>
  <c r="BK10" i="7"/>
  <c r="BJ35" i="7"/>
  <c r="BK15" i="7"/>
  <c r="BJ15" i="7"/>
  <c r="BK25" i="7"/>
  <c r="BK30" i="3"/>
  <c r="BK35" i="3"/>
  <c r="BJ5" i="3"/>
  <c r="BK10" i="3"/>
  <c r="BJ35" i="3"/>
  <c r="BJ30" i="3"/>
  <c r="BJ25" i="3"/>
  <c r="BK15" i="3"/>
  <c r="AI40" i="7" l="1"/>
  <c r="BJ42" i="3"/>
  <c r="C11" i="1" s="1"/>
  <c r="BE35" i="3"/>
  <c r="BG14" i="6"/>
  <c r="AI42" i="3"/>
  <c r="H9" i="1"/>
  <c r="BE15" i="5"/>
  <c r="K41" i="7"/>
  <c r="BH42" i="7"/>
  <c r="BH43" i="7"/>
  <c r="K15" i="5"/>
  <c r="BH42" i="3"/>
  <c r="K42" i="3"/>
  <c r="BE42" i="3" s="1"/>
  <c r="C47" i="1"/>
  <c r="C48" i="1"/>
  <c r="K43" i="7"/>
  <c r="K40" i="7"/>
  <c r="BE40" i="7" s="1"/>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D22"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E31" i="1" l="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<sst xmlns="http://schemas.openxmlformats.org/spreadsheetml/2006/main" count="1459" uniqueCount="575">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</sst>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一般"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xmlns:c16r2="http://schemas.microsoft.com/office/drawing/2015/06/char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66.354628125000005</c:v>
                </c:pt>
                <c:pt idx="1">
                  <c:v>68.255978124999999</c:v>
                </c:pt>
                <c:pt idx="2">
                  <c:v>69.683724999999995</c:v>
                </c:pt>
                <c:pt idx="3">
                  <c:v>70.836840624999994</c:v>
                </c:pt>
                <c:pt idx="4">
                  <c:v>71.945243750000003</c:v>
                </c:pt>
              </c:numCache>
            </c:numRef>
          </c:yVal>
          <c:smooth val="1"/>
          <c:extLst xmlns:c16r2="http://schemas.microsoft.com/office/drawing/2015/06/char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482084064"/>
        <c:axId val="482089504"/>
      </c:scatterChart>
      <c:valAx>
        <c:axId val="482084064"/>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482089504"/>
        <c:crosses val="autoZero"/>
        <c:crossBetween val="midCat"/>
      </c:valAx>
      <c:valAx>
        <c:axId val="482089504"/>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4820840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xmlns:c16r2="http://schemas.microsoft.com/office/drawing/2015/06/char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70.438459374999994</c:v>
                </c:pt>
                <c:pt idx="2">
                  <c:v>72.129403124999996</c:v>
                </c:pt>
                <c:pt idx="3">
                  <c:v>73.406981250000001</c:v>
                </c:pt>
                <c:pt idx="4">
                  <c:v>75.319240625000006</c:v>
                </c:pt>
              </c:numCache>
            </c:numRef>
          </c:yVal>
          <c:smooth val="1"/>
          <c:extLst xmlns:c16r2="http://schemas.microsoft.com/office/drawing/2015/06/char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482079712"/>
        <c:axId val="482082432"/>
      </c:scatterChart>
      <c:valAx>
        <c:axId val="482079712"/>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482082432"/>
        <c:crosses val="autoZero"/>
        <c:crossBetween val="midCat"/>
      </c:valAx>
      <c:valAx>
        <c:axId val="48208243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4820797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32.104728125000001</c:v>
                </c:pt>
                <c:pt idx="1">
                  <c:v>34.355628125000003</c:v>
                </c:pt>
                <c:pt idx="2">
                  <c:v>36.897065625000003</c:v>
                </c:pt>
                <c:pt idx="3">
                  <c:v>39.525215625000001</c:v>
                </c:pt>
                <c:pt idx="4">
                  <c:v>42.1278875</c:v>
                </c:pt>
              </c:numCache>
            </c:numRef>
          </c:yVal>
          <c:smooth val="1"/>
          <c:extLst xmlns:c16r2="http://schemas.microsoft.com/office/drawing/2015/06/char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Graphs!graph_c_y_range_B</c:f>
              <c:numCache>
                <c:formatCode>0.00</c:formatCode>
                <c:ptCount val="5"/>
                <c:pt idx="0">
                  <c:v>32.117525000000001</c:v>
                </c:pt>
                <c:pt idx="1">
                  <c:v>34.371565625000002</c:v>
                </c:pt>
                <c:pt idx="2">
                  <c:v>36.922725</c:v>
                </c:pt>
                <c:pt idx="3">
                  <c:v>39.559746875000002</c:v>
                </c:pt>
                <c:pt idx="4">
                  <c:v>42.155315625</c:v>
                </c:pt>
              </c:numCache>
            </c:numRef>
          </c:yVal>
          <c:smooth val="1"/>
          <c:extLst xmlns:c16r2="http://schemas.microsoft.com/office/drawing/2015/06/char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482082976"/>
        <c:axId val="482084608"/>
      </c:scatterChart>
      <c:valAx>
        <c:axId val="482082976"/>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482084608"/>
        <c:crosses val="autoZero"/>
        <c:crossBetween val="midCat"/>
      </c:valAx>
      <c:valAx>
        <c:axId val="48208460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48208297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44.160262500000002</c:v>
                </c:pt>
                <c:pt idx="1">
                  <c:v>45.457171875</c:v>
                </c:pt>
                <c:pt idx="2">
                  <c:v>46.589962499999999</c:v>
                </c:pt>
                <c:pt idx="3">
                  <c:v>47.905425000000001</c:v>
                </c:pt>
                <c:pt idx="4">
                  <c:v>49.411659374999999</c:v>
                </c:pt>
              </c:numCache>
            </c:numRef>
          </c:yVal>
          <c:smooth val="1"/>
          <c:extLst xmlns:c16r2="http://schemas.microsoft.com/office/drawing/2015/06/char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Graphs!graph_d_y_range_B</c:f>
              <c:numCache>
                <c:formatCode>0.00</c:formatCode>
                <c:ptCount val="5"/>
                <c:pt idx="0">
                  <c:v>44.213237499999998</c:v>
                </c:pt>
                <c:pt idx="1">
                  <c:v>45.462262500000001</c:v>
                </c:pt>
                <c:pt idx="2">
                  <c:v>46.558806250000004</c:v>
                </c:pt>
                <c:pt idx="3">
                  <c:v>47.916690625000001</c:v>
                </c:pt>
                <c:pt idx="4">
                  <c:v>49.426884375</c:v>
                </c:pt>
              </c:numCache>
            </c:numRef>
          </c:yVal>
          <c:smooth val="1"/>
          <c:extLst xmlns:c16r2="http://schemas.microsoft.com/office/drawing/2015/06/char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482087328"/>
        <c:axId val="482087872"/>
      </c:scatterChart>
      <c:valAx>
        <c:axId val="482087328"/>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482087872"/>
        <c:crosses val="autoZero"/>
        <c:crossBetween val="midCat"/>
      </c:valAx>
      <c:valAx>
        <c:axId val="48208787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48208732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43.841843750000002</c:v>
                </c:pt>
                <c:pt idx="1">
                  <c:v>45.25540625</c:v>
                </c:pt>
                <c:pt idx="2">
                  <c:v>46.485678125</c:v>
                </c:pt>
                <c:pt idx="3">
                  <c:v>47.942124999999997</c:v>
                </c:pt>
                <c:pt idx="4">
                  <c:v>49.554578124999999</c:v>
                </c:pt>
              </c:numCache>
            </c:numRef>
          </c:yVal>
          <c:smooth val="1"/>
          <c:extLst xmlns:c16r2="http://schemas.microsoft.com/office/drawing/2015/06/char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Graphs!graph_e_y_range_B</c:f>
              <c:numCache>
                <c:formatCode>0.00</c:formatCode>
                <c:ptCount val="5"/>
                <c:pt idx="0">
                  <c:v>43.812393749999998</c:v>
                </c:pt>
                <c:pt idx="1">
                  <c:v>45.220356250000002</c:v>
                </c:pt>
                <c:pt idx="2">
                  <c:v>46.450678125000003</c:v>
                </c:pt>
                <c:pt idx="3">
                  <c:v>47.940028124999998</c:v>
                </c:pt>
                <c:pt idx="4">
                  <c:v>49.554021874999997</c:v>
                </c:pt>
              </c:numCache>
            </c:numRef>
          </c:yVal>
          <c:smooth val="1"/>
          <c:extLst xmlns:c16r2="http://schemas.microsoft.com/office/drawing/2015/06/char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482090048"/>
        <c:axId val="562689744"/>
      </c:scatterChart>
      <c:valAx>
        <c:axId val="482090048"/>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62689744"/>
        <c:crosses val="autoZero"/>
        <c:crossBetween val="midCat"/>
      </c:valAx>
      <c:valAx>
        <c:axId val="562689744"/>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48209004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562687568"/>
        <c:axId val="562690832"/>
      </c:scatterChart>
      <c:valAx>
        <c:axId val="562687568"/>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62690832"/>
        <c:crosses val="autoZero"/>
        <c:crossBetween val="midCat"/>
      </c:valAx>
      <c:valAx>
        <c:axId val="56269083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6268756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1" sqref="C1:E1"/>
    </sheetView>
  </sheetViews>
  <sheetFormatPr defaultRowHeight="14.25" x14ac:dyDescent="0.45"/>
  <cols>
    <col min="2" max="2" width="16.6640625" style="53" customWidth="1"/>
    <col min="3" max="12" width="24.6640625" style="53" customWidth="1"/>
  </cols>
  <sheetData>
    <row r="1" spans="2:12" x14ac:dyDescent="0.45">
      <c r="B1" t="s">
        <v>0</v>
      </c>
      <c r="C1" s="67" t="s">
        <v>574</v>
      </c>
      <c r="D1" s="59"/>
      <c r="E1" s="59"/>
    </row>
    <row r="2" spans="2:12" x14ac:dyDescent="0.45">
      <c r="B2" t="s">
        <v>1</v>
      </c>
      <c r="C2" s="68"/>
      <c r="D2" s="59"/>
      <c r="E2" s="59"/>
    </row>
    <row r="4" spans="2:12" s="1" customFormat="1" x14ac:dyDescent="0.45">
      <c r="B4" s="1" t="s">
        <v>2</v>
      </c>
    </row>
    <row r="6" spans="2:12" x14ac:dyDescent="0.45">
      <c r="B6" s="62" t="s">
        <v>3</v>
      </c>
      <c r="C6" s="63" t="s">
        <v>4</v>
      </c>
      <c r="D6" s="64"/>
      <c r="E6" s="64"/>
      <c r="F6" s="64"/>
      <c r="G6" s="64"/>
      <c r="H6" s="64"/>
      <c r="I6" s="64"/>
      <c r="J6" s="64"/>
      <c r="K6" s="64"/>
      <c r="L6" s="64"/>
    </row>
    <row r="7" spans="2:12" x14ac:dyDescent="0.45">
      <c r="B7" s="59"/>
      <c r="C7" s="65" t="s">
        <v>5</v>
      </c>
      <c r="D7" s="59"/>
      <c r="E7" s="66" t="s">
        <v>6</v>
      </c>
      <c r="F7" s="59"/>
      <c r="G7" s="59"/>
      <c r="H7" s="65" t="s">
        <v>7</v>
      </c>
      <c r="I7" s="59"/>
      <c r="J7" s="66" t="s">
        <v>8</v>
      </c>
      <c r="K7" s="59"/>
      <c r="L7" s="59"/>
    </row>
    <row r="8" spans="2:12" x14ac:dyDescent="0.45">
      <c r="B8" s="61"/>
      <c r="C8" s="2" t="s">
        <v>9</v>
      </c>
      <c r="D8" s="2" t="s">
        <v>10</v>
      </c>
      <c r="E8" s="3" t="s">
        <v>11</v>
      </c>
      <c r="F8" s="3" t="s">
        <v>12</v>
      </c>
      <c r="G8" s="3" t="s">
        <v>13</v>
      </c>
      <c r="H8" s="2" t="s">
        <v>9</v>
      </c>
      <c r="I8" s="2" t="s">
        <v>10</v>
      </c>
      <c r="J8" s="3" t="s">
        <v>11</v>
      </c>
      <c r="K8" s="3" t="s">
        <v>12</v>
      </c>
      <c r="L8" s="3" t="s">
        <v>13</v>
      </c>
    </row>
    <row r="9" spans="2:12" x14ac:dyDescent="0.45">
      <c r="B9" t="s">
        <v>14</v>
      </c>
      <c r="C9" s="52">
        <f>'C2 lossyG,lossyA,intra'!$BJ$40:$BJ$40</f>
        <v>0</v>
      </c>
      <c r="D9" s="52">
        <f>'C2 lossyG,lossyA,intra'!$BK$40:$BK$40</f>
        <v>0</v>
      </c>
      <c r="E9" s="52">
        <f>'C2 lossyG,lossyA,intra'!$BL$40:$BL$40</f>
        <v>5.0508776353472284E-4</v>
      </c>
      <c r="F9" s="52">
        <f>'C2 lossyG,lossyA,intra'!$BM$40:$BM$40</f>
        <v>6.4300460974662244E-3</v>
      </c>
      <c r="G9" s="52">
        <f>'C2 lossyG,lossyA,intra'!$BN$40:$BN$40</f>
        <v>8.7292905501730189E-3</v>
      </c>
      <c r="H9" s="52">
        <f>'C2 lossyG,lossyA,intra'!$BP$40:$BP$40</f>
        <v>4.2336556852810014E-3</v>
      </c>
      <c r="I9" s="52">
        <f>'C2 lossyG,lossyA,intra'!$BQ$40:$BQ$40</f>
        <v>4.5585247512471838E-3</v>
      </c>
      <c r="J9" s="52">
        <f>'C2 lossyG,lossyA,intra'!$BR$40:$BR$40</f>
        <v>-6.7706963056468616E-4</v>
      </c>
      <c r="K9" s="52">
        <f>'C2 lossyG,lossyA,intra'!$BS$40:$BS$40</f>
        <v>4.2443033495127014E-3</v>
      </c>
      <c r="L9" s="52">
        <f>'C2 lossyG,lossyA,intra'!$BT$40:$BT$40</f>
        <v>5.6064260253847753E-3</v>
      </c>
    </row>
    <row r="10" spans="2:12" x14ac:dyDescent="0.45">
      <c r="B10" t="s">
        <v>15</v>
      </c>
      <c r="C10" s="52">
        <f>'C2 lossyG,lossyA,intra'!$BJ$41:$BJ$41</f>
        <v>0</v>
      </c>
      <c r="D10" s="52">
        <f>'C2 lossyG,lossyA,intra'!$BK$41:$BK$41</f>
        <v>0</v>
      </c>
      <c r="E10" s="52">
        <f>'C2 lossyG,lossyA,intra'!$BL$41:$BL$41</f>
        <v>-4.2627268860506717E-5</v>
      </c>
      <c r="F10" s="52">
        <f>'C2 lossyG,lossyA,intra'!$BM$41:$BM$41</f>
        <v>2.2523168737151877E-3</v>
      </c>
      <c r="G10" s="52">
        <f>'C2 lossyG,lossyA,intra'!$BN$41:$BN$41</f>
        <v>6.2729185260801401E-4</v>
      </c>
      <c r="H10" s="52">
        <f>'C2 lossyG,lossyA,intra'!$BP$41:$BP$41</f>
        <v>4.4122765557503829E-3</v>
      </c>
      <c r="I10" s="52">
        <f>'C2 lossyG,lossyA,intra'!$BQ$41:$BQ$41</f>
        <v>4.6004008220366099E-3</v>
      </c>
      <c r="J10" s="52">
        <f>'C2 lossyG,lossyA,intra'!$BR$41:$BR$41</f>
        <v>-5.468876114985699E-4</v>
      </c>
      <c r="K10" s="52">
        <f>'C2 lossyG,lossyA,intra'!$BS$41:$BS$41</f>
        <v>1.6047521376547635E-3</v>
      </c>
      <c r="L10" s="52">
        <f>'C2 lossyG,lossyA,intra'!$BT$41:$BT$41</f>
        <v>1.0912990838862768E-4</v>
      </c>
    </row>
    <row r="11" spans="2:12" x14ac:dyDescent="0.45">
      <c r="B11" t="s">
        <v>16</v>
      </c>
      <c r="C11" s="52">
        <f>'C2 lossyG,lossyA,intra'!$BJ$42:$BJ$42</f>
        <v>0</v>
      </c>
      <c r="D11" s="52">
        <f>'C2 lossyG,lossyA,intra'!$BK$42:$BK$42</f>
        <v>0</v>
      </c>
      <c r="E11" s="52">
        <f>'C2 lossyG,lossyA,intra'!$BL$42:$BL$42</f>
        <v>-8.5901120289549882E-4</v>
      </c>
      <c r="F11" s="52">
        <f>'C2 lossyG,lossyA,intra'!$BM$42:$BM$42</f>
        <v>1.9453445607297004E-3</v>
      </c>
      <c r="G11" s="52">
        <f>'C2 lossyG,lossyA,intra'!$BN$42:$BN$42</f>
        <v>3.0011962119421698E-3</v>
      </c>
      <c r="H11" s="52">
        <f>'C2 lossyG,lossyA,intra'!$BP$42:$BP$42</f>
        <v>1.8047569619988879E-3</v>
      </c>
      <c r="I11" s="52">
        <f>'C2 lossyG,lossyA,intra'!$BQ$42:$BQ$42</f>
        <v>2.0053115028162427E-3</v>
      </c>
      <c r="J11" s="52">
        <f>'C2 lossyG,lossyA,intra'!$BR$42:$BR$42</f>
        <v>-1.3030738959201038E-3</v>
      </c>
      <c r="K11" s="52">
        <f>'C2 lossyG,lossyA,intra'!$BS$42:$BS$42</f>
        <v>1.1716789171266617E-3</v>
      </c>
      <c r="L11" s="52">
        <f>'C2 lossyG,lossyA,intra'!$BT$42:$BT$42</f>
        <v>1.4523407263760668E-3</v>
      </c>
    </row>
    <row r="12" spans="2:12" x14ac:dyDescent="0.45">
      <c r="B12" s="4" t="s">
        <v>17</v>
      </c>
      <c r="C12" s="5">
        <f>'C2 lossyG,lossyA,intra'!$BJ$43:$BJ$43</f>
        <v>0</v>
      </c>
      <c r="D12" s="5">
        <f>'C2 lossyG,lossyA,intra'!$BK$43:$BK$43</f>
        <v>0</v>
      </c>
      <c r="E12" s="5">
        <f>'C2 lossyG,lossyA,intra'!$BL$43:$BL$43</f>
        <v>3.7100197069626718E-5</v>
      </c>
      <c r="F12" s="5">
        <f>'C2 lossyG,lossyA,intra'!$BM$43:$BM$43</f>
        <v>4.5518843407199262E-3</v>
      </c>
      <c r="G12" s="5">
        <f>'C2 lossyG,lossyA,intra'!$BN$43:$BN$43</f>
        <v>5.9352637824549182E-3</v>
      </c>
      <c r="H12" s="5">
        <f>'C2 lossyG,lossyA,intra'!$BP$43:$BP$43</f>
        <v>3.5652018886960235E-3</v>
      </c>
      <c r="I12" s="5">
        <f>'C2 lossyG,lossyA,intra'!$BQ$43:$BQ$43</f>
        <v>3.8350175475225473E-3</v>
      </c>
      <c r="J12" s="5">
        <f>'C2 lossyG,lossyA,intra'!$BR$43:$BR$43</f>
        <v>-8.3733056079964604E-4</v>
      </c>
      <c r="K12" s="5">
        <f>'C2 lossyG,lossyA,intra'!$BS$43:$BS$43</f>
        <v>2.9893319099941274E-3</v>
      </c>
      <c r="L12" s="5">
        <f>'C2 lossyG,lossyA,intra'!$BT$43:$BT$43</f>
        <v>3.6342164946685518E-3</v>
      </c>
    </row>
    <row r="13" spans="2:12" x14ac:dyDescent="0.45">
      <c r="B13" t="s">
        <v>18</v>
      </c>
      <c r="C13" s="58">
        <f>'C2 lossyG,lossyA,intra'!AZ47</f>
        <v>0.96711949505531303</v>
      </c>
      <c r="D13" s="59"/>
      <c r="E13" s="59"/>
      <c r="F13" s="59"/>
      <c r="G13" s="59"/>
      <c r="H13" s="59"/>
      <c r="I13" s="59"/>
      <c r="J13" s="59"/>
      <c r="K13" s="59"/>
      <c r="L13" s="59"/>
    </row>
    <row r="14" spans="2:12" x14ac:dyDescent="0.45">
      <c r="B14" s="6" t="s">
        <v>19</v>
      </c>
      <c r="C14" s="60">
        <f>'C2 lossyG,lossyA,intra'!BB47</f>
        <v>1.0595112939944669</v>
      </c>
      <c r="D14" s="61"/>
      <c r="E14" s="61"/>
      <c r="F14" s="61"/>
      <c r="G14" s="61"/>
      <c r="H14" s="61"/>
      <c r="I14" s="61"/>
      <c r="J14" s="61"/>
      <c r="K14" s="61"/>
      <c r="L14" s="61"/>
    </row>
    <row r="16" spans="2:12" x14ac:dyDescent="0.45">
      <c r="B16" s="62" t="s">
        <v>20</v>
      </c>
      <c r="C16" s="63" t="s">
        <v>21</v>
      </c>
      <c r="D16" s="64"/>
      <c r="E16" s="64"/>
    </row>
    <row r="17" spans="2:5" x14ac:dyDescent="0.45">
      <c r="B17" s="59"/>
      <c r="C17" s="65" t="s">
        <v>22</v>
      </c>
      <c r="D17" s="59"/>
      <c r="E17" s="59"/>
    </row>
    <row r="18" spans="2:5" x14ac:dyDescent="0.45">
      <c r="B18" s="61"/>
      <c r="C18" s="2" t="s">
        <v>23</v>
      </c>
      <c r="D18" s="2" t="s">
        <v>24</v>
      </c>
      <c r="E18" s="2" t="s">
        <v>25</v>
      </c>
    </row>
    <row r="19" spans="2:5" x14ac:dyDescent="0.45">
      <c r="B19" t="s">
        <v>14</v>
      </c>
      <c r="C19" s="52" t="e">
        <f>'CW losslG,losslA,intra'!BC12</f>
        <v>#DIV/0!</v>
      </c>
      <c r="D19" s="52" t="e">
        <f>'CW losslG,losslA,intra'!BE12</f>
        <v>#DIV/0!</v>
      </c>
      <c r="E19" s="52" t="e">
        <f>'CW losslG,losslA,intra'!BB12</f>
        <v>#DIV/0!</v>
      </c>
    </row>
    <row r="20" spans="2:5" x14ac:dyDescent="0.45">
      <c r="B20" t="s">
        <v>15</v>
      </c>
      <c r="C20" s="52" t="e">
        <f>'CW losslG,losslA,intra'!BC13</f>
        <v>#DIV/0!</v>
      </c>
      <c r="D20" s="52" t="e">
        <f>'CW losslG,losslA,intra'!BE13</f>
        <v>#DIV/0!</v>
      </c>
      <c r="E20" s="52" t="e">
        <f>'CW losslG,losslA,intra'!BB13</f>
        <v>#DIV/0!</v>
      </c>
    </row>
    <row r="21" spans="2:5" x14ac:dyDescent="0.45">
      <c r="B21" t="s">
        <v>16</v>
      </c>
      <c r="C21" s="52" t="e">
        <f>'CW losslG,losslA,intra'!BC14</f>
        <v>#DIV/0!</v>
      </c>
      <c r="D21" s="52" t="e">
        <f>'CW losslG,losslA,intra'!BE14</f>
        <v>#DIV/0!</v>
      </c>
      <c r="E21" s="52" t="e">
        <f>'CW losslG,losslA,intra'!BB14</f>
        <v>#DIV/0!</v>
      </c>
    </row>
    <row r="22" spans="2:5" x14ac:dyDescent="0.45">
      <c r="B22" s="4" t="s">
        <v>17</v>
      </c>
      <c r="C22" s="5" t="e">
        <f>'CW losslG,losslA,intra'!BC15</f>
        <v>#DIV/0!</v>
      </c>
      <c r="D22" s="5" t="e">
        <f>'CW losslG,losslA,intra'!BE15</f>
        <v>#DIV/0!</v>
      </c>
      <c r="E22" s="5" t="e">
        <f>'CW losslG,losslA,intra'!BB15</f>
        <v>#DIV/0!</v>
      </c>
    </row>
    <row r="23" spans="2:5" x14ac:dyDescent="0.45">
      <c r="B23" t="s">
        <v>18</v>
      </c>
      <c r="C23" s="58" t="e">
        <f>'CW losslG,losslA,intra'!AW19</f>
        <v>#NUM!</v>
      </c>
      <c r="D23" s="59"/>
      <c r="E23" s="59"/>
    </row>
    <row r="24" spans="2:5" x14ac:dyDescent="0.45">
      <c r="B24" s="6" t="s">
        <v>19</v>
      </c>
      <c r="C24" s="60" t="e">
        <f>'CW losslG,losslA,intra'!AY19</f>
        <v>#NUM!</v>
      </c>
      <c r="D24" s="61"/>
      <c r="E24" s="61"/>
    </row>
    <row r="26" spans="2:5" s="1" customFormat="1" x14ac:dyDescent="0.45">
      <c r="B26" s="1" t="s">
        <v>26</v>
      </c>
    </row>
    <row r="28" spans="2:5" x14ac:dyDescent="0.45">
      <c r="B28" s="62" t="s">
        <v>27</v>
      </c>
      <c r="C28" s="63" t="s">
        <v>28</v>
      </c>
      <c r="D28" s="64"/>
      <c r="E28" s="64"/>
    </row>
    <row r="29" spans="2:5" x14ac:dyDescent="0.45">
      <c r="B29" s="59"/>
      <c r="C29" s="65" t="s">
        <v>22</v>
      </c>
      <c r="D29" s="59"/>
      <c r="E29" s="59"/>
    </row>
    <row r="30" spans="2:5" x14ac:dyDescent="0.45">
      <c r="B30" s="61"/>
      <c r="C30" s="2" t="s">
        <v>23</v>
      </c>
      <c r="D30" s="2" t="s">
        <v>24</v>
      </c>
      <c r="E30" s="2" t="s">
        <v>25</v>
      </c>
    </row>
    <row r="31" spans="2:5" x14ac:dyDescent="0.45">
      <c r="B31" t="s">
        <v>14</v>
      </c>
      <c r="C31" s="52" t="e">
        <f>'CW losslG,losslA,interLD'!BC12</f>
        <v>#DIV/0!</v>
      </c>
      <c r="D31" s="52" t="e">
        <f>'CW losslG,losslA,interLD'!BE12</f>
        <v>#DIV/0!</v>
      </c>
      <c r="E31" s="52" t="e">
        <f>'CW losslG,losslA,interLD'!BB12</f>
        <v>#DIV/0!</v>
      </c>
    </row>
    <row r="32" spans="2:5" x14ac:dyDescent="0.45">
      <c r="B32" t="s">
        <v>15</v>
      </c>
      <c r="C32" s="52" t="e">
        <f>'CW losslG,losslA,interLD'!BC13</f>
        <v>#DIV/0!</v>
      </c>
      <c r="D32" s="52" t="e">
        <f>'CW losslG,losslA,interLD'!BE13</f>
        <v>#DIV/0!</v>
      </c>
      <c r="E32" s="52" t="e">
        <f>'CW losslG,losslA,interLD'!BB13</f>
        <v>#DIV/0!</v>
      </c>
    </row>
    <row r="33" spans="2:12" x14ac:dyDescent="0.45">
      <c r="B33" t="s">
        <v>16</v>
      </c>
      <c r="C33" s="52" t="e">
        <f>'CW losslG,losslA,interLD'!BC14</f>
        <v>#DIV/0!</v>
      </c>
      <c r="D33" s="52" t="e">
        <f>'CW losslG,losslA,interLD'!BE14</f>
        <v>#DIV/0!</v>
      </c>
      <c r="E33" s="52" t="e">
        <f>'CW losslG,losslA,interLD'!BB14</f>
        <v>#DIV/0!</v>
      </c>
    </row>
    <row r="34" spans="2:12" x14ac:dyDescent="0.45">
      <c r="B34" s="4" t="s">
        <v>17</v>
      </c>
      <c r="C34" s="5" t="e">
        <f>'CW losslG,losslA,interLD'!BC15</f>
        <v>#DIV/0!</v>
      </c>
      <c r="D34" s="5" t="e">
        <f>'CW losslG,losslA,interLD'!BE15</f>
        <v>#DIV/0!</v>
      </c>
      <c r="E34" s="5" t="e">
        <f>'CW losslG,losslA,interLD'!BB15</f>
        <v>#DIV/0!</v>
      </c>
    </row>
    <row r="35" spans="2:12" x14ac:dyDescent="0.45">
      <c r="B35" t="s">
        <v>18</v>
      </c>
      <c r="C35" s="58" t="e">
        <f>'CW losslG,losslA,interLD'!AW19</f>
        <v>#NUM!</v>
      </c>
      <c r="D35" s="59"/>
      <c r="E35" s="59"/>
    </row>
    <row r="36" spans="2:12" x14ac:dyDescent="0.45">
      <c r="B36" s="6" t="s">
        <v>19</v>
      </c>
      <c r="C36" s="60" t="e">
        <f>'CW losslG,losslA,interLD'!AY19</f>
        <v>#NUM!</v>
      </c>
      <c r="D36" s="61"/>
      <c r="E36" s="61"/>
    </row>
    <row r="38" spans="2:12" s="1" customFormat="1" x14ac:dyDescent="0.45">
      <c r="B38" s="1" t="s">
        <v>29</v>
      </c>
    </row>
    <row r="40" spans="2:12" x14ac:dyDescent="0.45">
      <c r="B40" s="62" t="s">
        <v>30</v>
      </c>
      <c r="C40" s="63" t="s">
        <v>31</v>
      </c>
      <c r="D40" s="64"/>
      <c r="E40" s="64"/>
      <c r="F40" s="64"/>
      <c r="G40" s="64"/>
      <c r="H40" s="64"/>
      <c r="I40" s="64"/>
      <c r="J40" s="64"/>
      <c r="K40" s="64"/>
      <c r="L40" s="64"/>
    </row>
    <row r="41" spans="2:12" x14ac:dyDescent="0.45">
      <c r="B41" s="59"/>
      <c r="C41" s="65" t="s">
        <v>5</v>
      </c>
      <c r="D41" s="59"/>
      <c r="E41" s="66" t="s">
        <v>6</v>
      </c>
      <c r="F41" s="59"/>
      <c r="G41" s="59"/>
      <c r="H41" s="65" t="s">
        <v>7</v>
      </c>
      <c r="I41" s="59"/>
      <c r="J41" s="66" t="s">
        <v>8</v>
      </c>
      <c r="K41" s="59"/>
      <c r="L41" s="59"/>
    </row>
    <row r="42" spans="2:12" x14ac:dyDescent="0.45">
      <c r="B42" s="61"/>
      <c r="C42" s="2" t="s">
        <v>9</v>
      </c>
      <c r="D42" s="2" t="s">
        <v>10</v>
      </c>
      <c r="E42" s="3" t="s">
        <v>11</v>
      </c>
      <c r="F42" s="3" t="s">
        <v>12</v>
      </c>
      <c r="G42" s="3" t="s">
        <v>13</v>
      </c>
      <c r="H42" s="2" t="s">
        <v>9</v>
      </c>
      <c r="I42" s="2" t="s">
        <v>10</v>
      </c>
      <c r="J42" s="3" t="s">
        <v>11</v>
      </c>
      <c r="K42" s="3" t="s">
        <v>12</v>
      </c>
      <c r="L42" s="3" t="s">
        <v>13</v>
      </c>
    </row>
    <row r="43" spans="2:12" x14ac:dyDescent="0.45">
      <c r="B43" t="s">
        <v>14</v>
      </c>
      <c r="C43" s="52">
        <f>'C2 lossyG,lossyA,interRA'!$BJ$40:$BJ$40</f>
        <v>0</v>
      </c>
      <c r="D43" s="52">
        <f>'C2 lossyG,lossyA,interRA'!$BK$40:$BK$40</f>
        <v>0</v>
      </c>
      <c r="E43" s="52">
        <f>'C2 lossyG,lossyA,interRA'!$BL$40:$BL$40</f>
        <v>6.1086989786465762E-4</v>
      </c>
      <c r="F43" s="52">
        <f>'C2 lossyG,lossyA,interRA'!$BM$40:$BM$40</f>
        <v>1.338394973081819E-2</v>
      </c>
      <c r="G43" s="52">
        <f>'C2 lossyG,lossyA,interRA'!$BN$40:$BN$40</f>
        <v>2.9200637512694833E-2</v>
      </c>
      <c r="H43" s="52">
        <f>'C2 lossyG,lossyA,interRA'!$BP$40:$BP$40</f>
        <v>2.3901147261097266E-3</v>
      </c>
      <c r="I43" s="52">
        <f>'C2 lossyG,lossyA,interRA'!$BQ$40:$BQ$40</f>
        <v>2.9336832352804265E-3</v>
      </c>
      <c r="J43" s="52">
        <f>'C2 lossyG,lossyA,interRA'!$BR$40:$BR$40</f>
        <v>-1.3959582552632577E-3</v>
      </c>
      <c r="K43" s="52">
        <f>'C2 lossyG,lossyA,interRA'!$BS$40:$BS$40</f>
        <v>5.7645570136291568E-3</v>
      </c>
      <c r="L43" s="52">
        <f>'C2 lossyG,lossyA,interRA'!$BT$40:$BT$40</f>
        <v>1.4194021717210431E-2</v>
      </c>
    </row>
    <row r="44" spans="2:12" x14ac:dyDescent="0.45">
      <c r="B44" t="s">
        <v>15</v>
      </c>
      <c r="C44" s="52">
        <f>'C2 lossyG,lossyA,interRA'!$BJ$41:$BJ$41</f>
        <v>0</v>
      </c>
      <c r="D44" s="52">
        <f>'C2 lossyG,lossyA,interRA'!$BK$41:$BK$41</f>
        <v>0</v>
      </c>
      <c r="E44" s="52">
        <f>'C2 lossyG,lossyA,interRA'!$BL$41:$BL$41</f>
        <v>5.8935627471123908E-4</v>
      </c>
      <c r="F44" s="52">
        <f>'C2 lossyG,lossyA,interRA'!$BM$41:$BM$41</f>
        <v>-1.2060574422575465E-3</v>
      </c>
      <c r="G44" s="52">
        <f>'C2 lossyG,lossyA,interRA'!$BN$41:$BN$41</f>
        <v>3.7351995529482096E-3</v>
      </c>
      <c r="H44" s="52">
        <f>'C2 lossyG,lossyA,interRA'!$BP$41:$BP$41</f>
        <v>2.6668742671245305E-3</v>
      </c>
      <c r="I44" s="52">
        <f>'C2 lossyG,lossyA,interRA'!$BQ$41:$BQ$41</f>
        <v>2.9435761200147237E-3</v>
      </c>
      <c r="J44" s="52">
        <f>'C2 lossyG,lossyA,interRA'!$BR$41:$BR$41</f>
        <v>-3.716424926388795E-4</v>
      </c>
      <c r="K44" s="52">
        <f>'C2 lossyG,lossyA,interRA'!$BS$41:$BS$41</f>
        <v>-1.9734036865882709E-3</v>
      </c>
      <c r="L44" s="52">
        <f>'C2 lossyG,lossyA,interRA'!$BT$41:$BT$41</f>
        <v>1.826772431520185E-3</v>
      </c>
    </row>
    <row r="45" spans="2:12" x14ac:dyDescent="0.45">
      <c r="B45" t="s">
        <v>16</v>
      </c>
      <c r="C45" s="52">
        <f>'C2 lossyG,lossyA,interRA'!$BJ$42:$BJ$42</f>
        <v>0</v>
      </c>
      <c r="D45" s="52">
        <f>'C2 lossyG,lossyA,interRA'!$BK$42:$BK$42</f>
        <v>0</v>
      </c>
      <c r="E45" s="52">
        <f>'C2 lossyG,lossyA,interRA'!$BL$42:$BL$42</f>
        <v>6.1185081538972508E-4</v>
      </c>
      <c r="F45" s="52">
        <f>'C2 lossyG,lossyA,interRA'!$BM$42:$BM$42</f>
        <v>1.1030278893286449E-2</v>
      </c>
      <c r="G45" s="52">
        <f>'C2 lossyG,lossyA,interRA'!$BN$42:$BN$42</f>
        <v>2.0280472033838981E-3</v>
      </c>
      <c r="H45" s="52">
        <f>'C2 lossyG,lossyA,interRA'!$BP$42:$BP$42</f>
        <v>1.0418792568351876E-3</v>
      </c>
      <c r="I45" s="52">
        <f>'C2 lossyG,lossyA,interRA'!$BQ$42:$BQ$42</f>
        <v>1.1299981488793742E-3</v>
      </c>
      <c r="J45" s="52">
        <f>'C2 lossyG,lossyA,interRA'!$BR$42:$BR$42</f>
        <v>-2.5191414176328752E-4</v>
      </c>
      <c r="K45" s="52">
        <f>'C2 lossyG,lossyA,interRA'!$BS$42:$BS$42</f>
        <v>5.3782660689378203E-3</v>
      </c>
      <c r="L45" s="52">
        <f>'C2 lossyG,lossyA,interRA'!$BT$42:$BT$42</f>
        <v>4.0600000138008019E-4</v>
      </c>
    </row>
    <row r="46" spans="2:12" x14ac:dyDescent="0.45">
      <c r="B46" s="4" t="s">
        <v>17</v>
      </c>
      <c r="C46" s="5">
        <f>'C2 lossyG,lossyA,interRA'!$BJ$43:$BJ$43</f>
        <v>0</v>
      </c>
      <c r="D46" s="5">
        <f>'C2 lossyG,lossyA,interRA'!$BK$43:$BK$43</f>
        <v>0</v>
      </c>
      <c r="E46" s="5">
        <f>'C2 lossyG,lossyA,interRA'!$BL$43:$BL$43</f>
        <v>6.0807678527847423E-4</v>
      </c>
      <c r="F46" s="5">
        <f>'C2 lossyG,lossyA,interRA'!$BM$43:$BM$43</f>
        <v>1.0627185609655445E-2</v>
      </c>
      <c r="G46" s="5">
        <f>'C2 lossyG,lossyA,interRA'!$BN$43:$BN$43</f>
        <v>1.7799120572927905E-2</v>
      </c>
      <c r="H46" s="5">
        <f>'C2 lossyG,lossyA,interRA'!$BP$43:$BP$43</f>
        <v>2.0444416693191159E-3</v>
      </c>
      <c r="I46" s="5">
        <f>'C2 lossyG,lossyA,interRA'!$BQ$43:$BQ$43</f>
        <v>2.4197579084135968E-3</v>
      </c>
      <c r="J46" s="5">
        <f>'C2 lossyG,lossyA,interRA'!$BR$43:$BR$43</f>
        <v>-9.2275768531692643E-4</v>
      </c>
      <c r="K46" s="5">
        <f>'C2 lossyG,lossyA,interRA'!$BS$43:$BS$43</f>
        <v>4.5487652151148571E-3</v>
      </c>
      <c r="L46" s="5">
        <f>'C2 lossyG,lossyA,interRA'!$BT$43:$BT$43</f>
        <v>8.4878370433031525E-3</v>
      </c>
    </row>
    <row r="47" spans="2:12" x14ac:dyDescent="0.45">
      <c r="B47" t="s">
        <v>18</v>
      </c>
      <c r="C47" s="58">
        <f>'C2 lossyG,lossyA,interRA'!AZ47</f>
        <v>0.96091797556134151</v>
      </c>
      <c r="D47" s="59"/>
      <c r="E47" s="59"/>
      <c r="F47" s="59"/>
      <c r="G47" s="59"/>
      <c r="H47" s="59"/>
      <c r="I47" s="59"/>
      <c r="J47" s="59"/>
      <c r="K47" s="59"/>
      <c r="L47" s="59"/>
    </row>
    <row r="48" spans="2:12" x14ac:dyDescent="0.45">
      <c r="B48" s="6" t="s">
        <v>19</v>
      </c>
      <c r="C48" s="60">
        <f>'C2 lossyG,lossyA,interRA'!BB47</f>
        <v>1.0177309818704867</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25" x14ac:dyDescent="0.45"/>
  <cols>
    <col min="1" max="1" width="12.6640625" style="53" customWidth="1"/>
    <col min="2" max="2" width="24.6640625" style="53" customWidth="1"/>
    <col min="4" max="4" width="24.6640625" style="53" customWidth="1"/>
    <col min="9" max="9" width="16.6640625" style="53" customWidth="1"/>
  </cols>
  <sheetData>
    <row r="1" spans="1:16" x14ac:dyDescent="0.45">
      <c r="A1" t="s">
        <v>32</v>
      </c>
      <c r="B1" s="7" t="str">
        <f>M1</f>
        <v>C2 lossyG,lossyA,intra</v>
      </c>
      <c r="C1" t="s">
        <v>33</v>
      </c>
      <c r="I1" t="s">
        <v>34</v>
      </c>
      <c r="M1" t="s">
        <v>35</v>
      </c>
      <c r="N1" t="s">
        <v>36</v>
      </c>
      <c r="O1" t="s">
        <v>37</v>
      </c>
      <c r="P1" t="s">
        <v>38</v>
      </c>
    </row>
    <row r="2" spans="1:16" x14ac:dyDescent="0.45">
      <c r="A2" t="s">
        <v>39</v>
      </c>
      <c r="B2" s="7" t="str">
        <f>HLOOKUP(B1,M1:ZZ3,3,0)</f>
        <v>8ivfbv2_loot_vox10</v>
      </c>
      <c r="C2" t="s">
        <v>40</v>
      </c>
      <c r="I2" t="s">
        <v>41</v>
      </c>
      <c r="J2" t="s">
        <v>42</v>
      </c>
      <c r="M2" t="s">
        <v>43</v>
      </c>
      <c r="N2" t="s">
        <v>44</v>
      </c>
      <c r="O2" t="s">
        <v>45</v>
      </c>
      <c r="P2" t="s">
        <v>46</v>
      </c>
    </row>
    <row r="3" spans="1:16" x14ac:dyDescent="0.45">
      <c r="I3" t="s">
        <v>47</v>
      </c>
      <c r="J3" t="s">
        <v>48</v>
      </c>
      <c r="M3" t="s">
        <v>49</v>
      </c>
      <c r="N3" t="s">
        <v>49</v>
      </c>
      <c r="O3" t="s">
        <v>49</v>
      </c>
      <c r="P3" t="s">
        <v>49</v>
      </c>
    </row>
    <row r="4" spans="1:16" x14ac:dyDescent="0.45">
      <c r="A4" t="s">
        <v>50</v>
      </c>
      <c r="B4" s="7" t="s">
        <v>51</v>
      </c>
      <c r="C4" t="s">
        <v>52</v>
      </c>
      <c r="D4" s="7" t="s">
        <v>53</v>
      </c>
      <c r="E4" t="s">
        <v>54</v>
      </c>
      <c r="I4" t="s">
        <v>55</v>
      </c>
      <c r="J4" t="s">
        <v>56</v>
      </c>
      <c r="M4" t="s">
        <v>57</v>
      </c>
      <c r="N4" t="s">
        <v>57</v>
      </c>
      <c r="O4" t="s">
        <v>57</v>
      </c>
      <c r="P4" t="s">
        <v>57</v>
      </c>
    </row>
    <row r="5" spans="1:16" x14ac:dyDescent="0.45">
      <c r="A5" t="s">
        <v>50</v>
      </c>
      <c r="B5" s="7" t="s">
        <v>51</v>
      </c>
      <c r="C5" t="s">
        <v>52</v>
      </c>
      <c r="D5" s="7" t="s">
        <v>58</v>
      </c>
      <c r="E5" t="s">
        <v>59</v>
      </c>
      <c r="I5" t="s">
        <v>60</v>
      </c>
      <c r="J5" t="s">
        <v>61</v>
      </c>
      <c r="M5" t="s">
        <v>62</v>
      </c>
      <c r="N5" t="s">
        <v>62</v>
      </c>
      <c r="O5" t="s">
        <v>62</v>
      </c>
      <c r="P5" t="s">
        <v>62</v>
      </c>
    </row>
    <row r="6" spans="1:16" x14ac:dyDescent="0.45">
      <c r="A6" t="s">
        <v>50</v>
      </c>
      <c r="B6" s="7" t="s">
        <v>63</v>
      </c>
      <c r="C6" t="s">
        <v>52</v>
      </c>
      <c r="D6" s="7" t="s">
        <v>64</v>
      </c>
      <c r="E6" t="s">
        <v>65</v>
      </c>
      <c r="I6" t="s">
        <v>66</v>
      </c>
      <c r="J6" t="s">
        <v>67</v>
      </c>
      <c r="M6" t="s">
        <v>68</v>
      </c>
      <c r="N6" t="s">
        <v>68</v>
      </c>
      <c r="O6" t="s">
        <v>68</v>
      </c>
      <c r="P6" t="s">
        <v>68</v>
      </c>
    </row>
    <row r="7" spans="1:16" x14ac:dyDescent="0.45">
      <c r="A7" t="s">
        <v>50</v>
      </c>
      <c r="B7" s="7" t="s">
        <v>63</v>
      </c>
      <c r="C7" t="s">
        <v>52</v>
      </c>
      <c r="D7" s="7" t="s">
        <v>47</v>
      </c>
      <c r="E7" t="s">
        <v>69</v>
      </c>
      <c r="I7" t="s">
        <v>53</v>
      </c>
      <c r="J7" t="s">
        <v>70</v>
      </c>
      <c r="M7" t="s">
        <v>71</v>
      </c>
      <c r="N7" t="s">
        <v>71</v>
      </c>
      <c r="O7" t="s">
        <v>71</v>
      </c>
      <c r="P7" t="s">
        <v>71</v>
      </c>
    </row>
    <row r="8" spans="1:16" x14ac:dyDescent="0.45">
      <c r="A8" t="s">
        <v>50</v>
      </c>
      <c r="B8" s="7" t="s">
        <v>63</v>
      </c>
      <c r="C8" t="s">
        <v>52</v>
      </c>
      <c r="D8" s="7" t="s">
        <v>60</v>
      </c>
      <c r="E8" t="s">
        <v>72</v>
      </c>
      <c r="I8" t="s">
        <v>73</v>
      </c>
      <c r="J8" t="s">
        <v>74</v>
      </c>
      <c r="M8" t="s">
        <v>75</v>
      </c>
      <c r="N8" t="s">
        <v>75</v>
      </c>
      <c r="O8" t="s">
        <v>75</v>
      </c>
      <c r="P8" t="s">
        <v>75</v>
      </c>
    </row>
    <row r="9" spans="1:16" x14ac:dyDescent="0.45">
      <c r="A9" t="s">
        <v>50</v>
      </c>
      <c r="B9" s="7" t="s">
        <v>76</v>
      </c>
      <c r="C9" t="s">
        <v>52</v>
      </c>
      <c r="D9" s="7" t="s">
        <v>77</v>
      </c>
      <c r="E9" t="s">
        <v>78</v>
      </c>
      <c r="I9" t="s">
        <v>58</v>
      </c>
      <c r="J9" t="s">
        <v>79</v>
      </c>
      <c r="M9" t="s">
        <v>80</v>
      </c>
      <c r="N9" t="s">
        <v>80</v>
      </c>
      <c r="O9" t="s">
        <v>80</v>
      </c>
      <c r="P9" t="s">
        <v>80</v>
      </c>
    </row>
    <row r="10" spans="1:16" x14ac:dyDescent="0.45">
      <c r="I10" t="s">
        <v>81</v>
      </c>
      <c r="J10" t="s">
        <v>82</v>
      </c>
    </row>
    <row r="11" spans="1:16" x14ac:dyDescent="0.45">
      <c r="I11" t="s">
        <v>83</v>
      </c>
      <c r="J11" t="s">
        <v>84</v>
      </c>
    </row>
    <row r="12" spans="1:16" x14ac:dyDescent="0.45">
      <c r="I12" t="s">
        <v>85</v>
      </c>
      <c r="J12" t="s">
        <v>86</v>
      </c>
    </row>
    <row r="13" spans="1:16" x14ac:dyDescent="0.45">
      <c r="I13" t="s">
        <v>87</v>
      </c>
      <c r="J13" t="s">
        <v>88</v>
      </c>
    </row>
    <row r="14" spans="1:16" x14ac:dyDescent="0.45">
      <c r="I14" t="s">
        <v>89</v>
      </c>
      <c r="J14" t="s">
        <v>90</v>
      </c>
    </row>
    <row r="15" spans="1:16" x14ac:dyDescent="0.45">
      <c r="I15" t="s">
        <v>91</v>
      </c>
      <c r="J15" t="s">
        <v>92</v>
      </c>
    </row>
    <row r="16" spans="1:16" x14ac:dyDescent="0.45">
      <c r="I16" t="s">
        <v>93</v>
      </c>
      <c r="J16" t="s">
        <v>94</v>
      </c>
    </row>
    <row r="17" spans="9:10" x14ac:dyDescent="0.45">
      <c r="I17" t="s">
        <v>77</v>
      </c>
      <c r="J17" t="s">
        <v>95</v>
      </c>
    </row>
    <row r="18" spans="9:10" x14ac:dyDescent="0.45">
      <c r="I18" t="s">
        <v>96</v>
      </c>
      <c r="J18" t="s">
        <v>97</v>
      </c>
    </row>
    <row r="19" spans="9:10" x14ac:dyDescent="0.45">
      <c r="I19" t="s">
        <v>98</v>
      </c>
      <c r="J19" t="s">
        <v>99</v>
      </c>
    </row>
    <row r="20" spans="9:10" x14ac:dyDescent="0.45">
      <c r="I20" t="s">
        <v>100</v>
      </c>
      <c r="J20" t="s">
        <v>101</v>
      </c>
    </row>
    <row r="21" spans="9:10" x14ac:dyDescent="0.45">
      <c r="I21" t="s">
        <v>102</v>
      </c>
      <c r="J21" t="s">
        <v>103</v>
      </c>
    </row>
    <row r="22" spans="9:10" x14ac:dyDescent="0.45">
      <c r="I22" t="s">
        <v>64</v>
      </c>
      <c r="J22" t="s">
        <v>104</v>
      </c>
    </row>
    <row r="23" spans="9:10" x14ac:dyDescent="0.45">
      <c r="I23" t="s">
        <v>105</v>
      </c>
      <c r="J23" t="s">
        <v>106</v>
      </c>
    </row>
    <row r="24" spans="9:10" x14ac:dyDescent="0.45">
      <c r="I24" t="s">
        <v>107</v>
      </c>
      <c r="J24" t="s">
        <v>108</v>
      </c>
    </row>
    <row r="25" spans="9:10" x14ac:dyDescent="0.45">
      <c r="I25" t="s">
        <v>109</v>
      </c>
      <c r="J25" t="s">
        <v>110</v>
      </c>
    </row>
    <row r="26" spans="9:10" x14ac:dyDescent="0.45">
      <c r="I26" t="s">
        <v>111</v>
      </c>
      <c r="J26" t="s">
        <v>112</v>
      </c>
    </row>
    <row r="27" spans="9:10" x14ac:dyDescent="0.45">
      <c r="I27" t="s">
        <v>113</v>
      </c>
      <c r="J27" t="s">
        <v>114</v>
      </c>
    </row>
    <row r="28" spans="9:10" x14ac:dyDescent="0.45">
      <c r="I28" t="s">
        <v>115</v>
      </c>
      <c r="J28" t="s">
        <v>116</v>
      </c>
    </row>
    <row r="29" spans="9:10" x14ac:dyDescent="0.45">
      <c r="I29" t="s">
        <v>117</v>
      </c>
      <c r="J29" t="s">
        <v>118</v>
      </c>
    </row>
    <row r="30" spans="9:10" x14ac:dyDescent="0.45">
      <c r="I30" t="s">
        <v>119</v>
      </c>
      <c r="J30" t="s">
        <v>120</v>
      </c>
    </row>
    <row r="31" spans="9:10" x14ac:dyDescent="0.45">
      <c r="I31" t="s">
        <v>121</v>
      </c>
      <c r="J31" t="s">
        <v>122</v>
      </c>
    </row>
    <row r="32" spans="9:10" x14ac:dyDescent="0.45">
      <c r="I32" t="s">
        <v>123</v>
      </c>
      <c r="J32" t="s">
        <v>124</v>
      </c>
    </row>
    <row r="33" spans="9:10" x14ac:dyDescent="0.45">
      <c r="I33" t="s">
        <v>125</v>
      </c>
      <c r="J33" t="s">
        <v>126</v>
      </c>
    </row>
    <row r="34" spans="9:10" x14ac:dyDescent="0.45">
      <c r="I34" t="s">
        <v>127</v>
      </c>
      <c r="J34" t="s">
        <v>128</v>
      </c>
    </row>
    <row r="35" spans="9:10" x14ac:dyDescent="0.45">
      <c r="I35" t="s">
        <v>63</v>
      </c>
      <c r="J35" t="s">
        <v>129</v>
      </c>
    </row>
    <row r="36" spans="9:10" x14ac:dyDescent="0.45">
      <c r="I36" t="s">
        <v>51</v>
      </c>
      <c r="J36" t="s">
        <v>130</v>
      </c>
    </row>
    <row r="37" spans="9:10" x14ac:dyDescent="0.45">
      <c r="I37" t="s">
        <v>131</v>
      </c>
      <c r="J37" t="s">
        <v>132</v>
      </c>
    </row>
    <row r="38" spans="9:10" x14ac:dyDescent="0.45">
      <c r="I38" t="s">
        <v>76</v>
      </c>
      <c r="J38" t="s">
        <v>133</v>
      </c>
    </row>
    <row r="39" spans="9:10" x14ac:dyDescent="0.4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tabSelected="1" zoomScale="55" zoomScaleNormal="55" workbookViewId="0">
      <pane xSplit="2" ySplit="4" topLeftCell="AT5" activePane="bottomRight" state="frozen"/>
      <selection pane="topRight" activeCell="C1" sqref="C1"/>
      <selection pane="bottomLeft" activeCell="A5" sqref="A5"/>
      <selection pane="bottomRight" activeCell="AN5" sqref="AN5:BC39"/>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1" t="s">
        <v>136</v>
      </c>
      <c r="B1" s="59"/>
      <c r="C1" s="59"/>
      <c r="D1" s="59"/>
      <c r="E1" s="59"/>
      <c r="F1" s="59"/>
      <c r="G1" s="59"/>
      <c r="I1" s="67" t="str">
        <f>Summary!$C$1</f>
        <v>Master+r7.0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4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2.1856575</v>
      </c>
      <c r="J5" s="12">
        <f t="shared" ref="J5:J39" si="1">IF(ISBLANK(S5),"·",S5/D5)</f>
        <v>9.7896423716956511E-3</v>
      </c>
      <c r="K5" s="12">
        <f t="shared" ref="K5:K39" si="2">IF(N5="","·",N5/D5)</f>
        <v>6.211103992753768E-3</v>
      </c>
      <c r="L5" s="12">
        <f t="shared" ref="L5:L39" si="3">IF(T5="","·",T5/D5)</f>
        <v>3.5272086067430685E-3</v>
      </c>
      <c r="M5" s="12">
        <f t="shared" ref="M5:M39" si="4">IF(ISBLANK(V5),"·",V5/D5)</f>
        <v>3.5785383789418835E-3</v>
      </c>
      <c r="N5" s="54">
        <f t="shared" ref="N5:N39" si="5">IF(OR(ISBLANK(T5),ISBLANK(U5)),"",T5+U5)</f>
        <v>1479152</v>
      </c>
      <c r="O5" s="12">
        <v>16</v>
      </c>
      <c r="P5" s="13">
        <v>21785839</v>
      </c>
      <c r="Q5" s="13">
        <v>680807.46875</v>
      </c>
      <c r="R5" s="13">
        <v>13493.8125</v>
      </c>
      <c r="S5" s="14">
        <v>2331368</v>
      </c>
      <c r="T5" s="14">
        <v>839992</v>
      </c>
      <c r="U5" s="14">
        <v>639160</v>
      </c>
      <c r="V5" s="14">
        <v>852216</v>
      </c>
      <c r="W5" s="15">
        <v>66.354628125000005</v>
      </c>
      <c r="X5" s="15">
        <v>68.478525000000005</v>
      </c>
      <c r="Y5" s="15">
        <v>32.104728125000001</v>
      </c>
      <c r="Z5" s="15">
        <v>44.160262500000002</v>
      </c>
      <c r="AA5" s="15">
        <v>43.841843750000002</v>
      </c>
      <c r="AB5" s="16">
        <v>4008.95</v>
      </c>
      <c r="AC5" s="16">
        <v>1232.0999999999999</v>
      </c>
      <c r="AD5" s="16">
        <v>62.377000000000002</v>
      </c>
      <c r="AE5" s="16">
        <v>29.841999999999999</v>
      </c>
      <c r="AG5" s="11">
        <f t="shared" ref="AG5:AG39" si="6">IF(OR(ISBLANK(AQ5),ISBLANK(G5)),"·",AQ5*G5/F5/1000000)</f>
        <v>2.1877274999999998</v>
      </c>
      <c r="AH5" s="12">
        <f t="shared" ref="AH5:AH39" si="7">IF(ISBLANK(AQ5),"·",AQ5/D5)</f>
        <v>9.7989139797629767E-3</v>
      </c>
      <c r="AI5" s="12">
        <f t="shared" ref="AI5:AI39" si="8">IF(AL5="","·",AL5/D5)</f>
        <v>6.211103992753768E-3</v>
      </c>
      <c r="AJ5" s="12">
        <f t="shared" ref="AJ5:AJ39" si="9">IF(AR5="","·",AR5/D5)</f>
        <v>3.5272086067430685E-3</v>
      </c>
      <c r="AK5" s="12">
        <f t="shared" ref="AK5:AK39" si="10">IF(ISBLANK(AT5),"·",AT5/D5)</f>
        <v>3.5878099870092091E-3</v>
      </c>
      <c r="AL5" s="54">
        <f t="shared" ref="AL5:AL39" si="11">IF(OR(ISBLANK(AR5),ISBLANK(AS5)),"",AR5+AS5)</f>
        <v>1479152</v>
      </c>
      <c r="AM5" s="12">
        <v>16</v>
      </c>
      <c r="AN5" s="13">
        <v>21785839</v>
      </c>
      <c r="AO5" s="13">
        <v>680807.46875</v>
      </c>
      <c r="AP5" s="13">
        <v>13493.8125</v>
      </c>
      <c r="AQ5" s="14">
        <v>2333576</v>
      </c>
      <c r="AR5" s="14">
        <v>839992</v>
      </c>
      <c r="AS5" s="14">
        <v>639160</v>
      </c>
      <c r="AT5" s="14">
        <v>854424</v>
      </c>
      <c r="AU5" s="15">
        <v>66.354628125000005</v>
      </c>
      <c r="AV5" s="15">
        <v>68.478525000000005</v>
      </c>
      <c r="AW5" s="15">
        <v>32.117525000000001</v>
      </c>
      <c r="AX5" s="15">
        <v>44.213237499999998</v>
      </c>
      <c r="AY5" s="15">
        <v>43.812393749999998</v>
      </c>
      <c r="AZ5" s="16">
        <v>4755.2299999999996</v>
      </c>
      <c r="BA5" s="16">
        <v>2289.62</v>
      </c>
      <c r="BB5" s="16">
        <v>60.792000000000002</v>
      </c>
      <c r="BC5" s="16">
        <v>30.28</v>
      </c>
      <c r="BE5" s="51">
        <f t="shared" ref="BE5:BE43" si="12">AI5/K5</f>
        <v>1</v>
      </c>
      <c r="BF5" s="17">
        <f t="shared" ref="BF5:BF39" si="13">(AP5/AO5) - (R5/Q5)</f>
        <v>0</v>
      </c>
      <c r="BG5" s="17">
        <f t="shared" ref="BG5:BG39" si="14">(AL5/AQ5) - (N5/S5)</f>
        <v>-6.0031485940981177E-4</v>
      </c>
      <c r="BH5" s="17">
        <f t="array" ref="BH5">AVERAGE(AL5:AL9/AQ5:AQ9) - AVERAGE(N5:N9/S5:S9)</f>
        <v>-1.1184313361923826E-3</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-1.159012719007313E-3</v>
      </c>
      <c r="BM5" s="51">
        <f>IF( OR(ISBLANK(V5:V9),ISBLANK(AT5:AT9), ISBLANK(Z5:Z9),ISBLANK(AX5:AX9)), "·", bdRateExtend( V5:V9,Z5:Z9, AT5:AT9,AX5:AX9))</f>
        <v>3.0324367101934868E-3</v>
      </c>
      <c r="BN5" s="51">
        <f>IF( OR(ISBLANK(V5:V9),ISBLANK(AT5:AT9), ISBLANK(AA5:AA9),ISBLANK(AY5:AY9)), "·", bdRateExtend( V5:V9,AA5:AA9, AT5:AT9,AY5:AY9))</f>
        <v>1.6222570207846898E-2</v>
      </c>
      <c r="BP5" s="51">
        <f>IF( OR(ISBLANK(S5:S9),ISBLANK(AQ5:AQ9), ISBLANK(W5:W9),ISBLANK(AU5:AU9)), "·", bdRateExtend( S5:S9,W5:W9, AQ5:AQ9,AU5:AU9))</f>
        <v>2.9753446546478823E-3</v>
      </c>
      <c r="BQ5" s="51">
        <f>IF( OR(ISBLANK(S5:S9),ISBLANK(AQ5:AQ9), ISBLANK(X5:X9),ISBLANK(AV5:AV9)), "·", bdRateExtend( S5:S9,X5:X9, AQ5:AQ9,AV5:AV9))</f>
        <v>3.2061567345971209E-3</v>
      </c>
      <c r="BR5" s="51">
        <f>IF( OR(ISBLANK(S5:S9),ISBLANK(AQ5:AQ9), ISBLANK(Y5:Y9),ISBLANK(AW5:AW9)), "·", bdRateExtend( S5:S9,Y5:Y9, AQ5:AQ9,AW5:AW9))</f>
        <v>-1.78206239069989E-3</v>
      </c>
      <c r="BS5" s="51">
        <f>IF( OR(ISBLANK(S5:S9),ISBLANK(AQ5:AQ9), ISBLANK(Z5:Z9),ISBLANK(AX5:AX9)), "·", bdRateExtend( S5:S9,Z5:Z9, AQ5:AQ9,AX5:AX9))</f>
        <v>2.0327153662118569E-3</v>
      </c>
      <c r="BT5" s="51">
        <f>IF( OR(ISBLANK(S5:S9),ISBLANK(AQ5:AQ9), ISBLANK(AA5:AA9),ISBLANK(AY5:AY9)), "·", bdRateExtend( S5:S9,AA5:AA9, AQ5:AQ9,AY5:AY9))</f>
        <v>1.0656415874234826E-2</v>
      </c>
    </row>
    <row r="6" spans="1:72" outlineLevel="1" x14ac:dyDescent="0.45">
      <c r="A6" s="18"/>
      <c r="B6" s="18" t="s">
        <v>49</v>
      </c>
      <c r="C6" s="19" t="s">
        <v>231</v>
      </c>
      <c r="D6" s="18">
        <v>238146391</v>
      </c>
      <c r="E6" s="19">
        <v>10</v>
      </c>
      <c r="F6" s="19">
        <v>32</v>
      </c>
      <c r="G6" s="19">
        <v>30</v>
      </c>
      <c r="I6" s="20">
        <f t="shared" si="0"/>
        <v>3.4014674999999999</v>
      </c>
      <c r="J6" s="21">
        <f t="shared" si="1"/>
        <v>1.5235301214369442E-2</v>
      </c>
      <c r="K6" s="21">
        <f t="shared" si="2"/>
        <v>7.5753069043989841E-3</v>
      </c>
      <c r="L6" s="21">
        <f t="shared" si="3"/>
        <v>4.8914115183882837E-3</v>
      </c>
      <c r="M6" s="21">
        <f t="shared" si="4"/>
        <v>7.6599943099704589E-3</v>
      </c>
      <c r="N6" s="18">
        <f t="shared" si="5"/>
        <v>1804032</v>
      </c>
      <c r="O6" s="21">
        <v>16</v>
      </c>
      <c r="P6" s="22">
        <v>24191962</v>
      </c>
      <c r="Q6" s="22">
        <v>755998.8125</v>
      </c>
      <c r="R6" s="22">
        <v>19085.96875</v>
      </c>
      <c r="S6" s="23">
        <v>3628232</v>
      </c>
      <c r="T6" s="23">
        <v>1164872</v>
      </c>
      <c r="U6" s="23">
        <v>639160</v>
      </c>
      <c r="V6" s="23">
        <v>1824200</v>
      </c>
      <c r="W6" s="24">
        <v>68.255978124999999</v>
      </c>
      <c r="X6" s="24">
        <v>70.438459374999994</v>
      </c>
      <c r="Y6" s="24">
        <v>34.355628125000003</v>
      </c>
      <c r="Z6" s="24">
        <v>45.457171875</v>
      </c>
      <c r="AA6" s="24">
        <v>45.25540625</v>
      </c>
      <c r="AB6" s="25">
        <v>3013.3</v>
      </c>
      <c r="AC6" s="25">
        <v>1475.98</v>
      </c>
      <c r="AD6" s="25">
        <v>82.941999999999993</v>
      </c>
      <c r="AE6" s="25">
        <v>37.209000000000003</v>
      </c>
      <c r="AG6" s="20">
        <f t="shared" si="6"/>
        <v>3.4089299999999998</v>
      </c>
      <c r="AH6" s="21">
        <f t="shared" si="7"/>
        <v>1.5268726033307808E-2</v>
      </c>
      <c r="AI6" s="21">
        <f t="shared" si="8"/>
        <v>7.5753069043989841E-3</v>
      </c>
      <c r="AJ6" s="21">
        <f t="shared" si="9"/>
        <v>4.8914115183882837E-3</v>
      </c>
      <c r="AK6" s="21">
        <f t="shared" si="10"/>
        <v>7.6934191289088228E-3</v>
      </c>
      <c r="AL6" s="18">
        <f t="shared" si="11"/>
        <v>1804032</v>
      </c>
      <c r="AM6" s="21">
        <v>16</v>
      </c>
      <c r="AN6" s="22">
        <v>24191962</v>
      </c>
      <c r="AO6" s="22">
        <v>755998.8125</v>
      </c>
      <c r="AP6" s="22">
        <v>19085.96875</v>
      </c>
      <c r="AQ6" s="23">
        <v>3636192</v>
      </c>
      <c r="AR6" s="23">
        <v>1164872</v>
      </c>
      <c r="AS6" s="23">
        <v>639160</v>
      </c>
      <c r="AT6" s="23">
        <v>1832160</v>
      </c>
      <c r="AU6" s="24">
        <v>68.255978124999999</v>
      </c>
      <c r="AV6" s="24">
        <v>70.438459374999994</v>
      </c>
      <c r="AW6" s="24">
        <v>34.371565625000002</v>
      </c>
      <c r="AX6" s="24">
        <v>45.462262500000001</v>
      </c>
      <c r="AY6" s="24">
        <v>45.220356250000002</v>
      </c>
      <c r="AZ6" s="25">
        <v>4933.5600000000004</v>
      </c>
      <c r="BA6" s="25">
        <v>1491</v>
      </c>
      <c r="BB6" s="25">
        <v>81.558999999999997</v>
      </c>
      <c r="BC6" s="25">
        <v>37.314</v>
      </c>
      <c r="BE6" s="50">
        <f t="shared" si="12"/>
        <v>1</v>
      </c>
      <c r="BF6" s="26">
        <f t="shared" si="13"/>
        <v>0</v>
      </c>
      <c r="BG6" s="26">
        <f t="shared" si="14"/>
        <v>-1.088467454900266E-3</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5.5771199999999999</v>
      </c>
      <c r="J7" s="12">
        <f t="shared" si="1"/>
        <v>2.498013081373969E-2</v>
      </c>
      <c r="K7" s="12">
        <f t="shared" si="2"/>
        <v>9.522613340800113E-3</v>
      </c>
      <c r="L7" s="12">
        <f t="shared" si="3"/>
        <v>6.8387179547894136E-3</v>
      </c>
      <c r="M7" s="12">
        <f t="shared" si="4"/>
        <v>1.5457517472939575E-2</v>
      </c>
      <c r="N7" s="54">
        <f t="shared" si="5"/>
        <v>2267776</v>
      </c>
      <c r="O7" s="12">
        <v>16</v>
      </c>
      <c r="P7" s="13">
        <v>24808216</v>
      </c>
      <c r="Q7" s="13">
        <v>775256.75</v>
      </c>
      <c r="R7" s="13">
        <v>20954.78125</v>
      </c>
      <c r="S7" s="14">
        <v>5948928</v>
      </c>
      <c r="T7" s="14">
        <v>1628616</v>
      </c>
      <c r="U7" s="14">
        <v>639160</v>
      </c>
      <c r="V7" s="14">
        <v>3681152</v>
      </c>
      <c r="W7" s="15">
        <v>69.683724999999995</v>
      </c>
      <c r="X7" s="15">
        <v>72.129403124999996</v>
      </c>
      <c r="Y7" s="15">
        <v>36.897065625000003</v>
      </c>
      <c r="Z7" s="15">
        <v>46.589962499999999</v>
      </c>
      <c r="AA7" s="15">
        <v>46.485678125</v>
      </c>
      <c r="AB7" s="16">
        <v>2940.07</v>
      </c>
      <c r="AC7" s="16">
        <v>1487.87</v>
      </c>
      <c r="AD7" s="16">
        <v>82.927999999999997</v>
      </c>
      <c r="AE7" s="16">
        <v>37.287999999999997</v>
      </c>
      <c r="AG7" s="11">
        <f t="shared" si="6"/>
        <v>5.5950375000000001</v>
      </c>
      <c r="AH7" s="12">
        <f t="shared" si="7"/>
        <v>2.5060383971974617E-2</v>
      </c>
      <c r="AI7" s="12">
        <f t="shared" si="8"/>
        <v>9.522613340800113E-3</v>
      </c>
      <c r="AJ7" s="12">
        <f t="shared" si="9"/>
        <v>6.8387179547894136E-3</v>
      </c>
      <c r="AK7" s="12">
        <f t="shared" si="10"/>
        <v>1.5537770631174503E-2</v>
      </c>
      <c r="AL7" s="54">
        <f t="shared" si="11"/>
        <v>2267776</v>
      </c>
      <c r="AM7" s="12">
        <v>16</v>
      </c>
      <c r="AN7" s="13">
        <v>24808216</v>
      </c>
      <c r="AO7" s="13">
        <v>775256.75</v>
      </c>
      <c r="AP7" s="13">
        <v>20954.78125</v>
      </c>
      <c r="AQ7" s="14">
        <v>5968040</v>
      </c>
      <c r="AR7" s="14">
        <v>1628616</v>
      </c>
      <c r="AS7" s="14">
        <v>639160</v>
      </c>
      <c r="AT7" s="14">
        <v>3700264</v>
      </c>
      <c r="AU7" s="15">
        <v>69.683724999999995</v>
      </c>
      <c r="AV7" s="15">
        <v>72.129403124999996</v>
      </c>
      <c r="AW7" s="15">
        <v>36.922725</v>
      </c>
      <c r="AX7" s="15">
        <v>46.558806250000004</v>
      </c>
      <c r="AY7" s="15">
        <v>46.450678125000003</v>
      </c>
      <c r="AZ7" s="16">
        <v>4281.9399999999996</v>
      </c>
      <c r="BA7" s="16">
        <v>2464.7199999999998</v>
      </c>
      <c r="BB7" s="16">
        <v>80.786000000000001</v>
      </c>
      <c r="BC7" s="16">
        <v>35.387</v>
      </c>
      <c r="BE7" s="51">
        <f t="shared" si="12"/>
        <v>1</v>
      </c>
      <c r="BF7" s="17">
        <f t="shared" si="13"/>
        <v>0</v>
      </c>
      <c r="BG7" s="17">
        <f t="shared" si="14"/>
        <v>-1.2207756373250334E-3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9.4412924999999994</v>
      </c>
      <c r="J8" s="21">
        <f t="shared" si="1"/>
        <v>4.2287905173419155E-2</v>
      </c>
      <c r="K8" s="21">
        <f t="shared" si="2"/>
        <v>1.2784640519704538E-2</v>
      </c>
      <c r="L8" s="21">
        <f t="shared" si="3"/>
        <v>1.0100745133693839E-2</v>
      </c>
      <c r="M8" s="21">
        <f t="shared" si="4"/>
        <v>2.9503264653714615E-2</v>
      </c>
      <c r="N8" s="18">
        <f t="shared" si="5"/>
        <v>3044616</v>
      </c>
      <c r="O8" s="21">
        <v>16</v>
      </c>
      <c r="P8" s="22">
        <v>25797809</v>
      </c>
      <c r="Q8" s="22">
        <v>806181.53125</v>
      </c>
      <c r="R8" s="22">
        <v>24199.8125</v>
      </c>
      <c r="S8" s="23">
        <v>10070712</v>
      </c>
      <c r="T8" s="23">
        <v>2405456</v>
      </c>
      <c r="U8" s="23">
        <v>639160</v>
      </c>
      <c r="V8" s="23">
        <v>7026096</v>
      </c>
      <c r="W8" s="24">
        <v>70.836840624999994</v>
      </c>
      <c r="X8" s="24">
        <v>73.406981250000001</v>
      </c>
      <c r="Y8" s="24">
        <v>39.525215625000001</v>
      </c>
      <c r="Z8" s="24">
        <v>47.905425000000001</v>
      </c>
      <c r="AA8" s="24">
        <v>47.942124999999997</v>
      </c>
      <c r="AB8" s="25">
        <v>4089.32</v>
      </c>
      <c r="AC8" s="25">
        <v>2462.58</v>
      </c>
      <c r="AD8" s="25">
        <v>57.444000000000003</v>
      </c>
      <c r="AE8" s="25">
        <v>24.931999999999999</v>
      </c>
      <c r="AG8" s="20">
        <f t="shared" si="6"/>
        <v>9.4850849999999998</v>
      </c>
      <c r="AH8" s="21">
        <f t="shared" si="7"/>
        <v>4.2484053432495644E-2</v>
      </c>
      <c r="AI8" s="21">
        <f t="shared" si="8"/>
        <v>1.2784640519704538E-2</v>
      </c>
      <c r="AJ8" s="21">
        <f t="shared" si="9"/>
        <v>1.0100745133693839E-2</v>
      </c>
      <c r="AK8" s="21">
        <f t="shared" si="10"/>
        <v>2.9699412912791108E-2</v>
      </c>
      <c r="AL8" s="18">
        <f t="shared" si="11"/>
        <v>3044616</v>
      </c>
      <c r="AM8" s="21">
        <v>16</v>
      </c>
      <c r="AN8" s="22">
        <v>25797809</v>
      </c>
      <c r="AO8" s="22">
        <v>806181.53125</v>
      </c>
      <c r="AP8" s="22">
        <v>24199.8125</v>
      </c>
      <c r="AQ8" s="23">
        <v>10117424</v>
      </c>
      <c r="AR8" s="23">
        <v>2405456</v>
      </c>
      <c r="AS8" s="23">
        <v>639160</v>
      </c>
      <c r="AT8" s="23">
        <v>7072808</v>
      </c>
      <c r="AU8" s="24">
        <v>70.836840624999994</v>
      </c>
      <c r="AV8" s="24">
        <v>73.406981250000001</v>
      </c>
      <c r="AW8" s="24">
        <v>39.559746875000002</v>
      </c>
      <c r="AX8" s="24">
        <v>47.916690625000001</v>
      </c>
      <c r="AY8" s="24">
        <v>47.940028124999998</v>
      </c>
      <c r="AZ8" s="25">
        <v>4563.7700000000004</v>
      </c>
      <c r="BA8" s="25">
        <v>2752.18</v>
      </c>
      <c r="BB8" s="25">
        <v>75.450999999999993</v>
      </c>
      <c r="BC8" s="25">
        <v>32.017000000000003</v>
      </c>
      <c r="BE8" s="50">
        <f t="shared" si="12"/>
        <v>1</v>
      </c>
      <c r="BF8" s="26">
        <f t="shared" si="13"/>
        <v>0</v>
      </c>
      <c r="BG8" s="26">
        <f t="shared" si="14"/>
        <v>-1.3958246401595265E-3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16.818832499999999</v>
      </c>
      <c r="J9" s="30">
        <f t="shared" si="1"/>
        <v>7.5332185067629259E-2</v>
      </c>
      <c r="K9" s="30">
        <f t="shared" si="2"/>
        <v>2.068986214449918E-2</v>
      </c>
      <c r="L9" s="30">
        <f t="shared" si="3"/>
        <v>1.5547781280464586E-2</v>
      </c>
      <c r="M9" s="30">
        <f t="shared" si="4"/>
        <v>5.4642322923130086E-2</v>
      </c>
      <c r="N9" s="27">
        <f t="shared" si="5"/>
        <v>4927216</v>
      </c>
      <c r="O9" s="30">
        <v>16</v>
      </c>
      <c r="P9" s="31">
        <v>24868389</v>
      </c>
      <c r="Q9" s="31">
        <v>777137.15625</v>
      </c>
      <c r="R9" s="31">
        <v>10635.96875</v>
      </c>
      <c r="S9" s="32">
        <v>17940088</v>
      </c>
      <c r="T9" s="32">
        <v>3702648</v>
      </c>
      <c r="U9" s="32">
        <v>1224568</v>
      </c>
      <c r="V9" s="32">
        <v>13012872</v>
      </c>
      <c r="W9" s="33">
        <v>71.945243750000003</v>
      </c>
      <c r="X9" s="33">
        <v>75.319240625000006</v>
      </c>
      <c r="Y9" s="33">
        <v>42.1278875</v>
      </c>
      <c r="Z9" s="33">
        <v>49.411659374999999</v>
      </c>
      <c r="AA9" s="33">
        <v>49.554578124999999</v>
      </c>
      <c r="AB9" s="34">
        <v>3642</v>
      </c>
      <c r="AC9" s="34">
        <v>1972.52</v>
      </c>
      <c r="AD9" s="34">
        <v>47.82</v>
      </c>
      <c r="AE9" s="34">
        <v>23.7</v>
      </c>
      <c r="AG9" s="29">
        <f t="shared" si="6"/>
        <v>16.8980025</v>
      </c>
      <c r="AH9" s="30">
        <f t="shared" si="7"/>
        <v>7.5686790483421598E-2</v>
      </c>
      <c r="AI9" s="30">
        <f t="shared" si="8"/>
        <v>2.068986214449918E-2</v>
      </c>
      <c r="AJ9" s="30">
        <f t="shared" si="9"/>
        <v>1.5547781280464586E-2</v>
      </c>
      <c r="AK9" s="30">
        <f t="shared" si="10"/>
        <v>5.4996928338922425E-2</v>
      </c>
      <c r="AL9" s="27">
        <f t="shared" si="11"/>
        <v>4927216</v>
      </c>
      <c r="AM9" s="30">
        <v>16</v>
      </c>
      <c r="AN9" s="31">
        <v>24868389</v>
      </c>
      <c r="AO9" s="31">
        <v>777137.15625</v>
      </c>
      <c r="AP9" s="31">
        <v>10635.96875</v>
      </c>
      <c r="AQ9" s="32">
        <v>18024536</v>
      </c>
      <c r="AR9" s="32">
        <v>3702648</v>
      </c>
      <c r="AS9" s="32">
        <v>1224568</v>
      </c>
      <c r="AT9" s="32">
        <v>13097320</v>
      </c>
      <c r="AU9" s="33">
        <v>71.945243750000003</v>
      </c>
      <c r="AV9" s="33">
        <v>75.319240625000006</v>
      </c>
      <c r="AW9" s="33">
        <v>42.155315625</v>
      </c>
      <c r="AX9" s="33">
        <v>49.426884375</v>
      </c>
      <c r="AY9" s="33">
        <v>49.554021874999997</v>
      </c>
      <c r="AZ9" s="34">
        <v>4171.7</v>
      </c>
      <c r="BA9" s="34">
        <v>2698.92</v>
      </c>
      <c r="BB9" s="34">
        <v>74.457999999999998</v>
      </c>
      <c r="BC9" s="34">
        <v>36.073999999999998</v>
      </c>
      <c r="BE9" s="35">
        <f t="shared" si="12"/>
        <v>1</v>
      </c>
      <c r="BF9" s="36">
        <f t="shared" si="13"/>
        <v>0</v>
      </c>
      <c r="BG9" s="36">
        <f t="shared" si="14"/>
        <v>-1.2867740891672197E-3</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3.2118150000000001</v>
      </c>
      <c r="J10" s="21">
        <f t="shared" si="1"/>
        <v>1.5706567451142607E-2</v>
      </c>
      <c r="K10" s="21">
        <f t="shared" si="2"/>
        <v>8.1856126603203558E-3</v>
      </c>
      <c r="L10" s="21">
        <f t="shared" si="3"/>
        <v>4.2806284772576161E-3</v>
      </c>
      <c r="M10" s="21">
        <f t="shared" si="4"/>
        <v>7.520954790822253E-3</v>
      </c>
      <c r="N10" s="18">
        <f t="shared" si="5"/>
        <v>1785456</v>
      </c>
      <c r="O10" s="21">
        <v>16</v>
      </c>
      <c r="P10" s="22">
        <v>20666971</v>
      </c>
      <c r="Q10" s="22">
        <v>645842.84375</v>
      </c>
      <c r="R10" s="22">
        <v>18163.46875</v>
      </c>
      <c r="S10" s="23">
        <v>3425936</v>
      </c>
      <c r="T10" s="23">
        <v>933696</v>
      </c>
      <c r="U10" s="23">
        <v>851760</v>
      </c>
      <c r="V10" s="23">
        <v>1640480</v>
      </c>
      <c r="W10" s="24">
        <v>65.904412500000007</v>
      </c>
      <c r="X10" s="24">
        <v>67.822759375000004</v>
      </c>
      <c r="Y10" s="24">
        <v>32.386865624999999</v>
      </c>
      <c r="Z10" s="24">
        <v>39.175778125000001</v>
      </c>
      <c r="AA10" s="24">
        <v>32.086631250000003</v>
      </c>
      <c r="AB10" s="25">
        <v>3708.01</v>
      </c>
      <c r="AC10" s="25">
        <v>2088.61</v>
      </c>
      <c r="AD10" s="25">
        <v>39.152000000000001</v>
      </c>
      <c r="AE10" s="25">
        <v>20.655999999999999</v>
      </c>
      <c r="AG10" s="20">
        <f t="shared" si="6"/>
        <v>3.2184075000000001</v>
      </c>
      <c r="AH10" s="21">
        <f t="shared" si="7"/>
        <v>1.5738806401991788E-2</v>
      </c>
      <c r="AI10" s="21">
        <f t="shared" si="8"/>
        <v>8.1856126603203558E-3</v>
      </c>
      <c r="AJ10" s="21">
        <f t="shared" si="9"/>
        <v>4.2806284772576161E-3</v>
      </c>
      <c r="AK10" s="21">
        <f t="shared" si="10"/>
        <v>7.5531937416714323E-3</v>
      </c>
      <c r="AL10" s="18">
        <f t="shared" si="11"/>
        <v>1785456</v>
      </c>
      <c r="AM10" s="21">
        <v>16</v>
      </c>
      <c r="AN10" s="22">
        <v>20666971</v>
      </c>
      <c r="AO10" s="22">
        <v>645842.84375</v>
      </c>
      <c r="AP10" s="22">
        <v>18163.46875</v>
      </c>
      <c r="AQ10" s="23">
        <v>3432968</v>
      </c>
      <c r="AR10" s="23">
        <v>933696</v>
      </c>
      <c r="AS10" s="23">
        <v>851760</v>
      </c>
      <c r="AT10" s="23">
        <v>1647512</v>
      </c>
      <c r="AU10" s="24">
        <v>65.904412500000007</v>
      </c>
      <c r="AV10" s="24">
        <v>67.822759375000004</v>
      </c>
      <c r="AW10" s="24">
        <v>32.397840625000001</v>
      </c>
      <c r="AX10" s="24">
        <v>39.151975</v>
      </c>
      <c r="AY10" s="24">
        <v>32.105259375000003</v>
      </c>
      <c r="AZ10" s="25">
        <v>3270.76</v>
      </c>
      <c r="BA10" s="25">
        <v>1777.95</v>
      </c>
      <c r="BB10" s="25">
        <v>68.766000000000005</v>
      </c>
      <c r="BC10" s="25">
        <v>39.165999999999997</v>
      </c>
      <c r="BE10" s="50">
        <f t="shared" si="12"/>
        <v>1</v>
      </c>
      <c r="BF10" s="26">
        <f t="shared" si="13"/>
        <v>0</v>
      </c>
      <c r="BG10" s="26">
        <f t="shared" si="14"/>
        <v>-1.0675273570286414E-3</v>
      </c>
      <c r="BH10" s="26">
        <f t="array" ref="BH10">AVERAGE(AL10:AL14/AQ10:AQ14) - AVERAGE(N10:N14/S10:S14)</f>
        <v>-1.4445252624194493E-3</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8.590458631592135E-4</v>
      </c>
      <c r="BM10" s="50">
        <f>IF( OR(ISBLANK(V10:V14),ISBLANK(AT10:AT14), ISBLANK(Z10:Z14),ISBLANK(AX10:AX14)), "·", bdRateExtend( V10:V14,Z10:Z14, AT10:AT14,AX10:AX14))</f>
        <v>6.2390751744019202E-3</v>
      </c>
      <c r="BN10" s="50">
        <f>IF( OR(ISBLANK(V10:V14),ISBLANK(AT10:AT14), ISBLANK(AA10:AA14),ISBLANK(AY10:AY14)), "·", bdRateExtend( V10:V14,AA10:AA14, AT10:AT14,AY10:AY14))</f>
        <v>-1.3469709312705636E-3</v>
      </c>
      <c r="BP10" s="50">
        <f>IF( OR(ISBLANK(S10:S14),ISBLANK(AQ10:AQ14), ISBLANK(W10:W14),ISBLANK(AU10:AU14)), "·", bdRateExtend( S10:S14,W10:W14, AQ10:AQ14,AU10:AU14))</f>
        <v>4.118024673654519E-3</v>
      </c>
      <c r="BQ10" s="50">
        <f>IF( OR(ISBLANK(S10:S14),ISBLANK(AQ10:AQ14), ISBLANK(X10:X14),ISBLANK(AV10:AV14)), "·", bdRateExtend( S10:S14,X10:X14, AQ10:AQ14,AV10:AV14))</f>
        <v>4.4894942420485862E-3</v>
      </c>
      <c r="BR10" s="50">
        <f>IF( OR(ISBLANK(S10:S14),ISBLANK(AQ10:AQ14), ISBLANK(Y10:Y14),ISBLANK(AW10:AW14)), "·", bdRateExtend( S10:S14,Y10:Y14, AQ10:AQ14,AW10:AW14))</f>
        <v>-6.2170584882037527E-4</v>
      </c>
      <c r="BS10" s="50">
        <f>IF( OR(ISBLANK(S10:S14),ISBLANK(AQ10:AQ14), ISBLANK(Z10:Z14),ISBLANK(AX10:AX14)), "·", bdRateExtend( S10:S14,Z10:Z14, AQ10:AQ14,AX10:AX14))</f>
        <v>3.6453467108192861E-3</v>
      </c>
      <c r="BT10" s="50">
        <f>IF( OR(ISBLANK(S10:S14),ISBLANK(AQ10:AQ14), ISBLANK(AA10:AA14),ISBLANK(AY10:AY14)), "·", bdRateExtend( S10:S14,AA10:AA14, AQ10:AQ14,AY10:AY14))</f>
        <v>-2.2138425480487944E-3</v>
      </c>
    </row>
    <row r="11" spans="1:72" outlineLevel="1" x14ac:dyDescent="0.45">
      <c r="A11" s="54"/>
      <c r="B11" s="54" t="s">
        <v>57</v>
      </c>
      <c r="C11" s="10" t="s">
        <v>231</v>
      </c>
      <c r="D11" s="54">
        <v>218121242</v>
      </c>
      <c r="E11" s="10">
        <v>10</v>
      </c>
      <c r="F11" s="10">
        <v>32</v>
      </c>
      <c r="G11" s="10">
        <v>30</v>
      </c>
      <c r="I11" s="11">
        <f t="shared" si="0"/>
        <v>4.6275075000000001</v>
      </c>
      <c r="J11" s="12">
        <f t="shared" si="1"/>
        <v>2.2629652915693556E-2</v>
      </c>
      <c r="K11" s="12">
        <f t="shared" si="2"/>
        <v>9.9355385111918621E-3</v>
      </c>
      <c r="L11" s="12">
        <f t="shared" si="3"/>
        <v>6.0305543281291233E-3</v>
      </c>
      <c r="M11" s="12">
        <f t="shared" si="4"/>
        <v>1.2694114404501694E-2</v>
      </c>
      <c r="N11" s="54">
        <f t="shared" si="5"/>
        <v>2167152</v>
      </c>
      <c r="O11" s="12">
        <v>16</v>
      </c>
      <c r="P11" s="13">
        <v>22097663</v>
      </c>
      <c r="Q11" s="13">
        <v>690551.96875</v>
      </c>
      <c r="R11" s="13">
        <v>22957.28125</v>
      </c>
      <c r="S11" s="14">
        <v>4936008</v>
      </c>
      <c r="T11" s="14">
        <v>1315392</v>
      </c>
      <c r="U11" s="14">
        <v>851760</v>
      </c>
      <c r="V11" s="14">
        <v>2768856</v>
      </c>
      <c r="W11" s="15">
        <v>67.607918749999996</v>
      </c>
      <c r="X11" s="15">
        <v>69.699943750000003</v>
      </c>
      <c r="Y11" s="15">
        <v>34.247959375000001</v>
      </c>
      <c r="Z11" s="15">
        <v>40.027190625000003</v>
      </c>
      <c r="AA11" s="15">
        <v>33.861478124999998</v>
      </c>
      <c r="AB11" s="16">
        <v>4154.45</v>
      </c>
      <c r="AC11" s="16">
        <v>2537.4899999999998</v>
      </c>
      <c r="AD11" s="16">
        <v>74.427000000000007</v>
      </c>
      <c r="AE11" s="16">
        <v>38.497999999999998</v>
      </c>
      <c r="AG11" s="11">
        <f t="shared" si="6"/>
        <v>4.6444124999999996</v>
      </c>
      <c r="AH11" s="12">
        <f t="shared" si="7"/>
        <v>2.2712322534822169E-2</v>
      </c>
      <c r="AI11" s="12">
        <f t="shared" si="8"/>
        <v>9.9355385111918621E-3</v>
      </c>
      <c r="AJ11" s="12">
        <f t="shared" si="9"/>
        <v>6.0305543281291233E-3</v>
      </c>
      <c r="AK11" s="12">
        <f t="shared" si="10"/>
        <v>1.2776784023630307E-2</v>
      </c>
      <c r="AL11" s="54">
        <f t="shared" si="11"/>
        <v>2167152</v>
      </c>
      <c r="AM11" s="12">
        <v>16</v>
      </c>
      <c r="AN11" s="13">
        <v>22097663</v>
      </c>
      <c r="AO11" s="13">
        <v>690551.96875</v>
      </c>
      <c r="AP11" s="13">
        <v>22957.28125</v>
      </c>
      <c r="AQ11" s="14">
        <v>4954040</v>
      </c>
      <c r="AR11" s="14">
        <v>1315392</v>
      </c>
      <c r="AS11" s="14">
        <v>851760</v>
      </c>
      <c r="AT11" s="14">
        <v>2786888</v>
      </c>
      <c r="AU11" s="15">
        <v>67.607918749999996</v>
      </c>
      <c r="AV11" s="15">
        <v>69.699943750000003</v>
      </c>
      <c r="AW11" s="15">
        <v>34.264274999999998</v>
      </c>
      <c r="AX11" s="15">
        <v>40.02691875</v>
      </c>
      <c r="AY11" s="15">
        <v>33.899643750000003</v>
      </c>
      <c r="AZ11" s="16">
        <v>3770.41</v>
      </c>
      <c r="BA11" s="16">
        <v>2308.4</v>
      </c>
      <c r="BB11" s="16">
        <v>76.001999999999995</v>
      </c>
      <c r="BC11" s="16">
        <v>39.131999999999998</v>
      </c>
      <c r="BE11" s="51">
        <f t="shared" si="12"/>
        <v>1</v>
      </c>
      <c r="BF11" s="17">
        <f t="shared" si="13"/>
        <v>0</v>
      </c>
      <c r="BG11" s="17">
        <f t="shared" si="14"/>
        <v>-1.5980777612706887E-3</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7.1472224999999998</v>
      </c>
      <c r="J12" s="21">
        <f t="shared" si="1"/>
        <v>3.495168068041718E-2</v>
      </c>
      <c r="K12" s="21">
        <f t="shared" si="2"/>
        <v>1.2619110246951556E-2</v>
      </c>
      <c r="L12" s="21">
        <f t="shared" si="3"/>
        <v>8.714126063888817E-3</v>
      </c>
      <c r="M12" s="21">
        <f t="shared" si="4"/>
        <v>2.2332570433465624E-2</v>
      </c>
      <c r="N12" s="18">
        <f t="shared" si="5"/>
        <v>2752496</v>
      </c>
      <c r="O12" s="21">
        <v>16</v>
      </c>
      <c r="P12" s="22">
        <v>22510846</v>
      </c>
      <c r="Q12" s="22">
        <v>703463.9375</v>
      </c>
      <c r="R12" s="22">
        <v>24709.6875</v>
      </c>
      <c r="S12" s="23">
        <v>7623704</v>
      </c>
      <c r="T12" s="23">
        <v>1900736</v>
      </c>
      <c r="U12" s="23">
        <v>851760</v>
      </c>
      <c r="V12" s="23">
        <v>4871208</v>
      </c>
      <c r="W12" s="24">
        <v>68.956062500000002</v>
      </c>
      <c r="X12" s="24">
        <v>71.331965624999995</v>
      </c>
      <c r="Y12" s="24">
        <v>36.351884374999997</v>
      </c>
      <c r="Z12" s="24">
        <v>40.928596874999997</v>
      </c>
      <c r="AA12" s="24">
        <v>35.641468750000001</v>
      </c>
      <c r="AB12" s="25">
        <v>3848.01</v>
      </c>
      <c r="AC12" s="25">
        <v>2596.4499999999998</v>
      </c>
      <c r="AD12" s="25">
        <v>76.984999999999999</v>
      </c>
      <c r="AE12" s="25">
        <v>38.805</v>
      </c>
      <c r="AG12" s="20">
        <f t="shared" si="6"/>
        <v>7.1737875000000004</v>
      </c>
      <c r="AH12" s="21">
        <f t="shared" si="7"/>
        <v>3.5081590081904999E-2</v>
      </c>
      <c r="AI12" s="21">
        <f t="shared" si="8"/>
        <v>1.2619110246951556E-2</v>
      </c>
      <c r="AJ12" s="21">
        <f t="shared" si="9"/>
        <v>8.714126063888817E-3</v>
      </c>
      <c r="AK12" s="21">
        <f t="shared" si="10"/>
        <v>2.2462479834953444E-2</v>
      </c>
      <c r="AL12" s="18">
        <f t="shared" si="11"/>
        <v>2752496</v>
      </c>
      <c r="AM12" s="21">
        <v>16</v>
      </c>
      <c r="AN12" s="22">
        <v>22510846</v>
      </c>
      <c r="AO12" s="22">
        <v>703463.9375</v>
      </c>
      <c r="AP12" s="22">
        <v>24709.6875</v>
      </c>
      <c r="AQ12" s="23">
        <v>7652040</v>
      </c>
      <c r="AR12" s="23">
        <v>1900736</v>
      </c>
      <c r="AS12" s="23">
        <v>851760</v>
      </c>
      <c r="AT12" s="23">
        <v>4899544</v>
      </c>
      <c r="AU12" s="24">
        <v>68.956062500000002</v>
      </c>
      <c r="AV12" s="24">
        <v>71.331965624999995</v>
      </c>
      <c r="AW12" s="24">
        <v>36.370928124999999</v>
      </c>
      <c r="AX12" s="24">
        <v>40.934415625</v>
      </c>
      <c r="AY12" s="24">
        <v>35.657540625000003</v>
      </c>
      <c r="AZ12" s="25">
        <v>2989.75</v>
      </c>
      <c r="BA12" s="25">
        <v>1520.59</v>
      </c>
      <c r="BB12" s="25">
        <v>62.521999999999998</v>
      </c>
      <c r="BC12" s="25">
        <v>31.524999999999999</v>
      </c>
      <c r="BE12" s="50">
        <f t="shared" si="12"/>
        <v>1</v>
      </c>
      <c r="BF12" s="26">
        <f t="shared" si="13"/>
        <v>0</v>
      </c>
      <c r="BG12" s="26">
        <f t="shared" si="14"/>
        <v>-1.3369709867727675E-3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12.03003</v>
      </c>
      <c r="J13" s="12">
        <f t="shared" si="1"/>
        <v>5.8829813558461216E-2</v>
      </c>
      <c r="K13" s="12">
        <f t="shared" si="2"/>
        <v>1.730054333726928E-2</v>
      </c>
      <c r="L13" s="12">
        <f t="shared" si="3"/>
        <v>1.3395559154206539E-2</v>
      </c>
      <c r="M13" s="12">
        <f t="shared" si="4"/>
        <v>4.152927022119194E-2</v>
      </c>
      <c r="N13" s="54">
        <f t="shared" si="5"/>
        <v>3773616</v>
      </c>
      <c r="O13" s="12">
        <v>16</v>
      </c>
      <c r="P13" s="13">
        <v>23291739</v>
      </c>
      <c r="Q13" s="13">
        <v>727866.84375</v>
      </c>
      <c r="R13" s="13">
        <v>28062.03125</v>
      </c>
      <c r="S13" s="14">
        <v>12832032</v>
      </c>
      <c r="T13" s="14">
        <v>2921856</v>
      </c>
      <c r="U13" s="14">
        <v>851760</v>
      </c>
      <c r="V13" s="14">
        <v>9058416</v>
      </c>
      <c r="W13" s="15">
        <v>70.072275000000005</v>
      </c>
      <c r="X13" s="15">
        <v>72.590206249999994</v>
      </c>
      <c r="Y13" s="15">
        <v>38.665965624999998</v>
      </c>
      <c r="Z13" s="15">
        <v>42.107503125000001</v>
      </c>
      <c r="AA13" s="15">
        <v>37.689275000000002</v>
      </c>
      <c r="AB13" s="16">
        <v>3708.41</v>
      </c>
      <c r="AC13" s="16">
        <v>2645.38</v>
      </c>
      <c r="AD13" s="16">
        <v>75.165999999999997</v>
      </c>
      <c r="AE13" s="16">
        <v>35.700000000000003</v>
      </c>
      <c r="AG13" s="11">
        <f t="shared" si="6"/>
        <v>12.105907500000001</v>
      </c>
      <c r="AH13" s="12">
        <f t="shared" si="7"/>
        <v>5.9200873246448869E-2</v>
      </c>
      <c r="AI13" s="12">
        <f t="shared" si="8"/>
        <v>1.730054333726928E-2</v>
      </c>
      <c r="AJ13" s="12">
        <f t="shared" si="9"/>
        <v>1.3395559154206539E-2</v>
      </c>
      <c r="AK13" s="12">
        <f t="shared" si="10"/>
        <v>4.1900329909179593E-2</v>
      </c>
      <c r="AL13" s="54">
        <f t="shared" si="11"/>
        <v>3773616</v>
      </c>
      <c r="AM13" s="12">
        <v>16</v>
      </c>
      <c r="AN13" s="13">
        <v>23291739</v>
      </c>
      <c r="AO13" s="13">
        <v>727866.84375</v>
      </c>
      <c r="AP13" s="13">
        <v>28062.03125</v>
      </c>
      <c r="AQ13" s="14">
        <v>12912968</v>
      </c>
      <c r="AR13" s="14">
        <v>2921856</v>
      </c>
      <c r="AS13" s="14">
        <v>851760</v>
      </c>
      <c r="AT13" s="14">
        <v>9139352</v>
      </c>
      <c r="AU13" s="15">
        <v>70.072275000000005</v>
      </c>
      <c r="AV13" s="15">
        <v>72.590206249999994</v>
      </c>
      <c r="AW13" s="15">
        <v>38.699421874999999</v>
      </c>
      <c r="AX13" s="15">
        <v>42.111221874999998</v>
      </c>
      <c r="AY13" s="15">
        <v>37.718271874999999</v>
      </c>
      <c r="AZ13" s="16">
        <v>3588.67</v>
      </c>
      <c r="BA13" s="16">
        <v>1972.7</v>
      </c>
      <c r="BB13" s="16">
        <v>69.700999999999993</v>
      </c>
      <c r="BC13" s="16">
        <v>35.08</v>
      </c>
      <c r="BE13" s="51">
        <f t="shared" si="12"/>
        <v>1</v>
      </c>
      <c r="BF13" s="17">
        <f t="shared" si="13"/>
        <v>0</v>
      </c>
      <c r="BG13" s="17">
        <f t="shared" si="14"/>
        <v>-1.8432232202653664E-3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21.587354999999999</v>
      </c>
      <c r="J14" s="40">
        <f t="shared" si="1"/>
        <v>0.10556748984585371</v>
      </c>
      <c r="K14" s="40">
        <f t="shared" si="2"/>
        <v>2.838032620408424E-2</v>
      </c>
      <c r="L14" s="40">
        <f t="shared" si="3"/>
        <v>2.1154363315059429E-2</v>
      </c>
      <c r="M14" s="40">
        <f t="shared" si="4"/>
        <v>7.7187163641769474E-2</v>
      </c>
      <c r="N14" s="37">
        <f t="shared" si="5"/>
        <v>6190352</v>
      </c>
      <c r="O14" s="40">
        <v>16</v>
      </c>
      <c r="P14" s="41">
        <v>22124056</v>
      </c>
      <c r="Q14" s="41">
        <v>691376.75</v>
      </c>
      <c r="R14" s="41">
        <v>13278.71875</v>
      </c>
      <c r="S14" s="42">
        <v>23026512</v>
      </c>
      <c r="T14" s="42">
        <v>4614216</v>
      </c>
      <c r="U14" s="42">
        <v>1576136</v>
      </c>
      <c r="V14" s="42">
        <v>16836160</v>
      </c>
      <c r="W14" s="43">
        <v>70.923046874999997</v>
      </c>
      <c r="X14" s="43">
        <v>74.675603124999995</v>
      </c>
      <c r="Y14" s="43">
        <v>40.962909375000002</v>
      </c>
      <c r="Z14" s="43">
        <v>43.423146875</v>
      </c>
      <c r="AA14" s="43">
        <v>39.504384375000001</v>
      </c>
      <c r="AB14" s="44">
        <v>3879.29</v>
      </c>
      <c r="AC14" s="44">
        <v>3161.9</v>
      </c>
      <c r="AD14" s="44">
        <v>61.24</v>
      </c>
      <c r="AE14" s="44">
        <v>33.700000000000003</v>
      </c>
      <c r="AG14" s="39">
        <f t="shared" si="6"/>
        <v>21.698482500000001</v>
      </c>
      <c r="AH14" s="40">
        <f t="shared" si="7"/>
        <v>0.10611093072723289</v>
      </c>
      <c r="AI14" s="40">
        <f t="shared" si="8"/>
        <v>2.838032620408424E-2</v>
      </c>
      <c r="AJ14" s="40">
        <f t="shared" si="9"/>
        <v>2.1154363315059429E-2</v>
      </c>
      <c r="AK14" s="40">
        <f t="shared" si="10"/>
        <v>7.7730604523148644E-2</v>
      </c>
      <c r="AL14" s="37">
        <f t="shared" si="11"/>
        <v>6190352</v>
      </c>
      <c r="AM14" s="40">
        <v>16</v>
      </c>
      <c r="AN14" s="41">
        <v>22124056</v>
      </c>
      <c r="AO14" s="41">
        <v>691376.75</v>
      </c>
      <c r="AP14" s="41">
        <v>13278.71875</v>
      </c>
      <c r="AQ14" s="42">
        <v>23145048</v>
      </c>
      <c r="AR14" s="42">
        <v>4614216</v>
      </c>
      <c r="AS14" s="42">
        <v>1576136</v>
      </c>
      <c r="AT14" s="42">
        <v>16954696</v>
      </c>
      <c r="AU14" s="43">
        <v>70.923046874999997</v>
      </c>
      <c r="AV14" s="43">
        <v>74.675603124999995</v>
      </c>
      <c r="AW14" s="43">
        <v>40.985253125</v>
      </c>
      <c r="AX14" s="43">
        <v>43.433809375000003</v>
      </c>
      <c r="AY14" s="43">
        <v>39.520375000000001</v>
      </c>
      <c r="AZ14" s="44">
        <v>2981.16</v>
      </c>
      <c r="BA14" s="44">
        <v>2321</v>
      </c>
      <c r="BB14" s="44">
        <v>68.837999999999994</v>
      </c>
      <c r="BC14" s="44">
        <v>37.991999999999997</v>
      </c>
      <c r="BE14" s="45">
        <f t="shared" si="12"/>
        <v>1</v>
      </c>
      <c r="BF14" s="46">
        <f t="shared" si="13"/>
        <v>0</v>
      </c>
      <c r="BG14" s="46">
        <f t="shared" si="14"/>
        <v>-1.3768269867598937E-3</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4.4272425000000002</v>
      </c>
      <c r="J15" s="12">
        <f t="shared" si="1"/>
        <v>1.4639004101631216E-2</v>
      </c>
      <c r="K15" s="12">
        <f t="shared" si="2"/>
        <v>8.3179096131350792E-3</v>
      </c>
      <c r="L15" s="12">
        <f t="shared" si="3"/>
        <v>4.3923534521734149E-3</v>
      </c>
      <c r="M15" s="12">
        <f t="shared" si="4"/>
        <v>6.3210944884961361E-3</v>
      </c>
      <c r="N15" s="54">
        <f t="shared" si="5"/>
        <v>2683272</v>
      </c>
      <c r="O15" s="12">
        <v>16</v>
      </c>
      <c r="P15" s="13">
        <v>31086837</v>
      </c>
      <c r="Q15" s="13">
        <v>971463.65625</v>
      </c>
      <c r="R15" s="13">
        <v>27944.21875</v>
      </c>
      <c r="S15" s="14">
        <v>4722392</v>
      </c>
      <c r="T15" s="14">
        <v>1416928</v>
      </c>
      <c r="U15" s="14">
        <v>1266344</v>
      </c>
      <c r="V15" s="14">
        <v>2039120</v>
      </c>
      <c r="W15" s="15">
        <v>65.923106250000004</v>
      </c>
      <c r="X15" s="15">
        <v>67.661793750000001</v>
      </c>
      <c r="Y15" s="15">
        <v>29.414640625000001</v>
      </c>
      <c r="Z15" s="15">
        <v>43.125696875000003</v>
      </c>
      <c r="AA15" s="15">
        <v>43.263359375</v>
      </c>
      <c r="AB15" s="16">
        <v>5323.24</v>
      </c>
      <c r="AC15" s="16">
        <v>1559.8</v>
      </c>
      <c r="AD15" s="16">
        <v>99.5</v>
      </c>
      <c r="AE15" s="16">
        <v>39.231000000000002</v>
      </c>
      <c r="AG15" s="11">
        <f t="shared" si="6"/>
        <v>4.44231</v>
      </c>
      <c r="AH15" s="12">
        <f t="shared" si="7"/>
        <v>1.4688825902515475E-2</v>
      </c>
      <c r="AI15" s="12">
        <f t="shared" si="8"/>
        <v>8.3179096131350792E-3</v>
      </c>
      <c r="AJ15" s="12">
        <f t="shared" si="9"/>
        <v>4.3923534521734149E-3</v>
      </c>
      <c r="AK15" s="12">
        <f t="shared" si="10"/>
        <v>6.3709162893803954E-3</v>
      </c>
      <c r="AL15" s="54">
        <f t="shared" si="11"/>
        <v>2683272</v>
      </c>
      <c r="AM15" s="12">
        <v>16</v>
      </c>
      <c r="AN15" s="13">
        <v>31086837</v>
      </c>
      <c r="AO15" s="13">
        <v>971463.65625</v>
      </c>
      <c r="AP15" s="13">
        <v>27944.21875</v>
      </c>
      <c r="AQ15" s="14">
        <v>4738464</v>
      </c>
      <c r="AR15" s="14">
        <v>1416928</v>
      </c>
      <c r="AS15" s="14">
        <v>1266344</v>
      </c>
      <c r="AT15" s="14">
        <v>2055192</v>
      </c>
      <c r="AU15" s="15">
        <v>65.923106250000004</v>
      </c>
      <c r="AV15" s="15">
        <v>67.661793750000001</v>
      </c>
      <c r="AW15" s="15">
        <v>29.435475</v>
      </c>
      <c r="AX15" s="15">
        <v>43.120581250000001</v>
      </c>
      <c r="AY15" s="15">
        <v>43.302034374999998</v>
      </c>
      <c r="AZ15" s="16">
        <v>4474.67</v>
      </c>
      <c r="BA15" s="16">
        <v>1451.24</v>
      </c>
      <c r="BB15" s="16">
        <v>103.745</v>
      </c>
      <c r="BC15" s="16">
        <v>36.493000000000002</v>
      </c>
      <c r="BE15" s="51">
        <f t="shared" si="12"/>
        <v>1</v>
      </c>
      <c r="BF15" s="17">
        <f t="shared" si="13"/>
        <v>0</v>
      </c>
      <c r="BG15" s="17">
        <f t="shared" si="14"/>
        <v>-1.9272364573896805E-3</v>
      </c>
      <c r="BH15" s="17">
        <f t="array" ref="BH15">AVERAGE(AL15:AL19/AQ15:AQ19) - AVERAGE(N15:N19/S15:S19)</f>
        <v>-1.907157727079889E-3</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-7.2533573095101556E-4</v>
      </c>
      <c r="BM15" s="51">
        <f>IF( OR(ISBLANK(V15:V19),ISBLANK(AT15:AT19), ISBLANK(Z15:Z19),ISBLANK(AX15:AX19)), "·", bdRateExtend( V15:V19,Z15:Z19, AT15:AT19,AX15:AX19))</f>
        <v>1.1953810899741235E-2</v>
      </c>
      <c r="BN15" s="51">
        <f>IF( OR(ISBLANK(V15:V19),ISBLANK(AT15:AT19), ISBLANK(AA15:AA19),ISBLANK(AY15:AY19)), "·", bdRateExtend( V15:V19,AA15:AA19, AT15:AT19,AY15:AY19))</f>
        <v>1.2511572127702264E-2</v>
      </c>
      <c r="BP15" s="51">
        <f>IF( OR(ISBLANK(S15:S19),ISBLANK(AQ15:AQ19), ISBLANK(W15:W19),ISBLANK(AU15:AU19)), "·", bdRateExtend( S15:S19,W15:W19, AQ15:AQ19,AU15:AU19))</f>
        <v>5.5913321784499814E-3</v>
      </c>
      <c r="BQ15" s="51">
        <f>IF( OR(ISBLANK(S15:S19),ISBLANK(AQ15:AQ19), ISBLANK(X15:X19),ISBLANK(AV15:AV19)), "·", bdRateExtend( S15:S19,X15:X19, AQ15:AQ19,AV15:AV19))</f>
        <v>5.8518328772003692E-3</v>
      </c>
      <c r="BR15" s="51">
        <f>IF( OR(ISBLANK(S15:S19),ISBLANK(AQ15:AQ19), ISBLANK(Y15:Y19),ISBLANK(AW15:AW19)), "·", bdRateExtend( S15:S19,Y15:Y19, AQ15:AQ19,AW15:AW19))</f>
        <v>-1.9337324141465162E-3</v>
      </c>
      <c r="BS15" s="51">
        <f>IF( OR(ISBLANK(S15:S19),ISBLANK(AQ15:AQ19), ISBLANK(Z15:Z19),ISBLANK(AX15:AX19)), "·", bdRateExtend( S15:S19,Z15:Z19, AQ15:AQ19,AX15:AX19))</f>
        <v>8.2259919484526378E-3</v>
      </c>
      <c r="BT15" s="51">
        <f>IF( OR(ISBLANK(S15:S19),ISBLANK(AQ15:AQ19), ISBLANK(AA15:AA19),ISBLANK(AY15:AY19)), "·", bdRateExtend( S15:S19,AA15:AA19, AQ15:AQ19,AY15:AY19))</f>
        <v>8.9575364552012537E-3</v>
      </c>
    </row>
    <row r="16" spans="1:72" outlineLevel="1" x14ac:dyDescent="0.45">
      <c r="A16" s="18"/>
      <c r="B16" s="18" t="s">
        <v>62</v>
      </c>
      <c r="C16" s="19" t="s">
        <v>231</v>
      </c>
      <c r="D16" s="18">
        <v>322589704</v>
      </c>
      <c r="E16" s="19">
        <v>10</v>
      </c>
      <c r="F16" s="19">
        <v>32</v>
      </c>
      <c r="G16" s="19">
        <v>30</v>
      </c>
      <c r="I16" s="20">
        <f t="shared" si="0"/>
        <v>7.0232849999999996</v>
      </c>
      <c r="J16" s="21">
        <f t="shared" si="1"/>
        <v>2.3223010242137177E-2</v>
      </c>
      <c r="K16" s="21">
        <f t="shared" si="2"/>
        <v>1.0123298913470592E-2</v>
      </c>
      <c r="L16" s="21">
        <f t="shared" si="3"/>
        <v>6.1977427525089267E-3</v>
      </c>
      <c r="M16" s="21">
        <f t="shared" si="4"/>
        <v>1.3099711328666584E-2</v>
      </c>
      <c r="N16" s="18">
        <f t="shared" si="5"/>
        <v>3265672</v>
      </c>
      <c r="O16" s="21">
        <v>16</v>
      </c>
      <c r="P16" s="22">
        <v>33185472</v>
      </c>
      <c r="Q16" s="22">
        <v>1037046</v>
      </c>
      <c r="R16" s="22">
        <v>34748.59375</v>
      </c>
      <c r="S16" s="23">
        <v>7491504</v>
      </c>
      <c r="T16" s="23">
        <v>1999328</v>
      </c>
      <c r="U16" s="23">
        <v>1266344</v>
      </c>
      <c r="V16" s="23">
        <v>4225832</v>
      </c>
      <c r="W16" s="24">
        <v>67.712850000000003</v>
      </c>
      <c r="X16" s="24">
        <v>69.741403125000005</v>
      </c>
      <c r="Y16" s="24">
        <v>31.808309375</v>
      </c>
      <c r="Z16" s="24">
        <v>43.976703125</v>
      </c>
      <c r="AA16" s="24">
        <v>44.262890624999997</v>
      </c>
      <c r="AB16" s="25">
        <v>6128.13</v>
      </c>
      <c r="AC16" s="25">
        <v>1916.85</v>
      </c>
      <c r="AD16" s="25">
        <v>107.68300000000001</v>
      </c>
      <c r="AE16" s="25">
        <v>37.671999999999997</v>
      </c>
      <c r="AG16" s="20">
        <f t="shared" si="6"/>
        <v>7.0557675</v>
      </c>
      <c r="AH16" s="21">
        <f t="shared" si="7"/>
        <v>2.3330416025924994E-2</v>
      </c>
      <c r="AI16" s="21">
        <f t="shared" si="8"/>
        <v>1.0123298913470592E-2</v>
      </c>
      <c r="AJ16" s="21">
        <f t="shared" si="9"/>
        <v>6.1977427525089267E-3</v>
      </c>
      <c r="AK16" s="21">
        <f t="shared" si="10"/>
        <v>1.3207117112454401E-2</v>
      </c>
      <c r="AL16" s="18">
        <f t="shared" si="11"/>
        <v>3265672</v>
      </c>
      <c r="AM16" s="21">
        <v>16</v>
      </c>
      <c r="AN16" s="22">
        <v>33185472</v>
      </c>
      <c r="AO16" s="22">
        <v>1037046</v>
      </c>
      <c r="AP16" s="22">
        <v>34748.59375</v>
      </c>
      <c r="AQ16" s="23">
        <v>7526152</v>
      </c>
      <c r="AR16" s="23">
        <v>1999328</v>
      </c>
      <c r="AS16" s="23">
        <v>1266344</v>
      </c>
      <c r="AT16" s="23">
        <v>4260480</v>
      </c>
      <c r="AU16" s="24">
        <v>67.712850000000003</v>
      </c>
      <c r="AV16" s="24">
        <v>69.741403125000005</v>
      </c>
      <c r="AW16" s="24">
        <v>31.841221874999999</v>
      </c>
      <c r="AX16" s="24">
        <v>43.962768750000002</v>
      </c>
      <c r="AY16" s="24">
        <v>44.242490625000002</v>
      </c>
      <c r="AZ16" s="25">
        <v>4979.08</v>
      </c>
      <c r="BA16" s="25">
        <v>1335.05</v>
      </c>
      <c r="BB16" s="25">
        <v>92</v>
      </c>
      <c r="BC16" s="25">
        <v>32.128</v>
      </c>
      <c r="BE16" s="50">
        <f t="shared" si="12"/>
        <v>1</v>
      </c>
      <c r="BF16" s="26">
        <f t="shared" si="13"/>
        <v>0</v>
      </c>
      <c r="BG16" s="26">
        <f t="shared" si="14"/>
        <v>-2.0068214409105223E-3</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11.709877499999999</v>
      </c>
      <c r="J17" s="12">
        <f t="shared" si="1"/>
        <v>3.8719574261427761E-2</v>
      </c>
      <c r="K17" s="12">
        <f t="shared" si="2"/>
        <v>1.2882643024465529E-2</v>
      </c>
      <c r="L17" s="12">
        <f t="shared" si="3"/>
        <v>8.9570868635038652E-3</v>
      </c>
      <c r="M17" s="12">
        <f t="shared" si="4"/>
        <v>2.5836931236962232E-2</v>
      </c>
      <c r="N17" s="54">
        <f t="shared" si="5"/>
        <v>4155808</v>
      </c>
      <c r="O17" s="12">
        <v>16</v>
      </c>
      <c r="P17" s="13">
        <v>33604345</v>
      </c>
      <c r="Q17" s="13">
        <v>1050135.78125</v>
      </c>
      <c r="R17" s="13">
        <v>36572.96875</v>
      </c>
      <c r="S17" s="14">
        <v>12490536</v>
      </c>
      <c r="T17" s="14">
        <v>2889464</v>
      </c>
      <c r="U17" s="14">
        <v>1266344</v>
      </c>
      <c r="V17" s="14">
        <v>8334728</v>
      </c>
      <c r="W17" s="15">
        <v>69.134437500000004</v>
      </c>
      <c r="X17" s="15">
        <v>71.597096875000005</v>
      </c>
      <c r="Y17" s="15">
        <v>34.352062500000002</v>
      </c>
      <c r="Z17" s="15">
        <v>44.796078125000001</v>
      </c>
      <c r="AA17" s="15">
        <v>45.206768750000002</v>
      </c>
      <c r="AB17" s="16">
        <v>6051.7</v>
      </c>
      <c r="AC17" s="16">
        <v>1965.08</v>
      </c>
      <c r="AD17" s="16">
        <v>107.41200000000001</v>
      </c>
      <c r="AE17" s="16">
        <v>37.32</v>
      </c>
      <c r="AG17" s="11">
        <f t="shared" si="6"/>
        <v>11.7848325</v>
      </c>
      <c r="AH17" s="12">
        <f t="shared" si="7"/>
        <v>3.8967418501366674E-2</v>
      </c>
      <c r="AI17" s="12">
        <f t="shared" si="8"/>
        <v>1.2882643024465529E-2</v>
      </c>
      <c r="AJ17" s="12">
        <f t="shared" si="9"/>
        <v>8.9570868635038652E-3</v>
      </c>
      <c r="AK17" s="12">
        <f t="shared" si="10"/>
        <v>2.6084775476901148E-2</v>
      </c>
      <c r="AL17" s="54">
        <f t="shared" si="11"/>
        <v>4155808</v>
      </c>
      <c r="AM17" s="12">
        <v>16</v>
      </c>
      <c r="AN17" s="13">
        <v>33604345</v>
      </c>
      <c r="AO17" s="13">
        <v>1050135.78125</v>
      </c>
      <c r="AP17" s="13">
        <v>36572.96875</v>
      </c>
      <c r="AQ17" s="14">
        <v>12570488</v>
      </c>
      <c r="AR17" s="14">
        <v>2889464</v>
      </c>
      <c r="AS17" s="14">
        <v>1266344</v>
      </c>
      <c r="AT17" s="14">
        <v>8414680</v>
      </c>
      <c r="AU17" s="15">
        <v>69.134437500000004</v>
      </c>
      <c r="AV17" s="15">
        <v>71.597096875000005</v>
      </c>
      <c r="AW17" s="15">
        <v>34.392003125000002</v>
      </c>
      <c r="AX17" s="15">
        <v>44.806274999999999</v>
      </c>
      <c r="AY17" s="15">
        <v>45.18413125</v>
      </c>
      <c r="AZ17" s="16">
        <v>5704.36</v>
      </c>
      <c r="BA17" s="16">
        <v>2448.7199999999998</v>
      </c>
      <c r="BB17" s="16">
        <v>97.873999999999995</v>
      </c>
      <c r="BC17" s="16">
        <v>33.936999999999998</v>
      </c>
      <c r="BE17" s="51">
        <f t="shared" si="12"/>
        <v>1</v>
      </c>
      <c r="BF17" s="17">
        <f t="shared" si="13"/>
        <v>0</v>
      </c>
      <c r="BG17" s="17">
        <f t="shared" si="14"/>
        <v>-2.116175069249604E-3</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20.196885000000002</v>
      </c>
      <c r="J18" s="21">
        <f t="shared" si="1"/>
        <v>6.6782490987375098E-2</v>
      </c>
      <c r="K18" s="21">
        <f t="shared" si="2"/>
        <v>1.7385626169891647E-2</v>
      </c>
      <c r="L18" s="21">
        <f t="shared" si="3"/>
        <v>1.3460070008929981E-2</v>
      </c>
      <c r="M18" s="21">
        <f t="shared" si="4"/>
        <v>4.9396864817483448E-2</v>
      </c>
      <c r="N18" s="18">
        <f t="shared" si="5"/>
        <v>5608424</v>
      </c>
      <c r="O18" s="21">
        <v>16</v>
      </c>
      <c r="P18" s="22">
        <v>34799418</v>
      </c>
      <c r="Q18" s="22">
        <v>1087481.8125</v>
      </c>
      <c r="R18" s="22">
        <v>40860.15625</v>
      </c>
      <c r="S18" s="23">
        <v>21543344</v>
      </c>
      <c r="T18" s="23">
        <v>4342080</v>
      </c>
      <c r="U18" s="23">
        <v>1266344</v>
      </c>
      <c r="V18" s="23">
        <v>15934920</v>
      </c>
      <c r="W18" s="24">
        <v>70.372874999999993</v>
      </c>
      <c r="X18" s="24">
        <v>72.951281249999994</v>
      </c>
      <c r="Y18" s="24">
        <v>37.033181249999998</v>
      </c>
      <c r="Z18" s="24">
        <v>46.138034374999997</v>
      </c>
      <c r="AA18" s="24">
        <v>46.638800000000003</v>
      </c>
      <c r="AB18" s="25">
        <v>5388.16</v>
      </c>
      <c r="AC18" s="25">
        <v>2404.83</v>
      </c>
      <c r="AD18" s="25">
        <v>107.158</v>
      </c>
      <c r="AE18" s="25">
        <v>38.098999999999997</v>
      </c>
      <c r="AG18" s="20">
        <f t="shared" si="6"/>
        <v>20.350529999999999</v>
      </c>
      <c r="AH18" s="21">
        <f t="shared" si="7"/>
        <v>6.7290529520433795E-2</v>
      </c>
      <c r="AI18" s="21">
        <f t="shared" si="8"/>
        <v>1.7385626169891647E-2</v>
      </c>
      <c r="AJ18" s="21">
        <f t="shared" si="9"/>
        <v>1.3460070008929981E-2</v>
      </c>
      <c r="AK18" s="21">
        <f t="shared" si="10"/>
        <v>4.9904903350542151E-2</v>
      </c>
      <c r="AL18" s="18">
        <f t="shared" si="11"/>
        <v>5608424</v>
      </c>
      <c r="AM18" s="21">
        <v>16</v>
      </c>
      <c r="AN18" s="22">
        <v>34799418</v>
      </c>
      <c r="AO18" s="22">
        <v>1087481.8125</v>
      </c>
      <c r="AP18" s="22">
        <v>40860.15625</v>
      </c>
      <c r="AQ18" s="23">
        <v>21707232</v>
      </c>
      <c r="AR18" s="23">
        <v>4342080</v>
      </c>
      <c r="AS18" s="23">
        <v>1266344</v>
      </c>
      <c r="AT18" s="23">
        <v>16098808</v>
      </c>
      <c r="AU18" s="24">
        <v>70.372874999999993</v>
      </c>
      <c r="AV18" s="24">
        <v>72.951281249999994</v>
      </c>
      <c r="AW18" s="24">
        <v>37.082190625000003</v>
      </c>
      <c r="AX18" s="24">
        <v>46.1313125</v>
      </c>
      <c r="AY18" s="24">
        <v>46.645865624999999</v>
      </c>
      <c r="AZ18" s="25">
        <v>6048.07</v>
      </c>
      <c r="BA18" s="25">
        <v>1889.83</v>
      </c>
      <c r="BB18" s="25">
        <v>101.392</v>
      </c>
      <c r="BC18" s="25">
        <v>35.491999999999997</v>
      </c>
      <c r="BE18" s="50">
        <f t="shared" si="12"/>
        <v>1</v>
      </c>
      <c r="BF18" s="26">
        <f t="shared" si="13"/>
        <v>0</v>
      </c>
      <c r="BG18" s="26">
        <f t="shared" si="14"/>
        <v>-1.965488152630035E-3</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35.713687499999999</v>
      </c>
      <c r="J19" s="30">
        <f t="shared" si="1"/>
        <v>0.11808994375096361</v>
      </c>
      <c r="K19" s="30">
        <f t="shared" si="2"/>
        <v>2.7855396153623056E-2</v>
      </c>
      <c r="L19" s="30">
        <f t="shared" si="3"/>
        <v>2.0647974555319349E-2</v>
      </c>
      <c r="M19" s="30">
        <f t="shared" si="4"/>
        <v>9.023454759734055E-2</v>
      </c>
      <c r="N19" s="27">
        <f t="shared" si="5"/>
        <v>8985864</v>
      </c>
      <c r="O19" s="30">
        <v>16</v>
      </c>
      <c r="P19" s="31">
        <v>33039030</v>
      </c>
      <c r="Q19" s="31">
        <v>1032469.6875</v>
      </c>
      <c r="R19" s="31">
        <v>17754.53125</v>
      </c>
      <c r="S19" s="32">
        <v>38094600</v>
      </c>
      <c r="T19" s="32">
        <v>6660824</v>
      </c>
      <c r="U19" s="32">
        <v>2325040</v>
      </c>
      <c r="V19" s="32">
        <v>29108736</v>
      </c>
      <c r="W19" s="33">
        <v>71.149228124999993</v>
      </c>
      <c r="X19" s="33">
        <v>75.004365625000005</v>
      </c>
      <c r="Y19" s="33">
        <v>39.53954375</v>
      </c>
      <c r="Z19" s="33">
        <v>47.871559374999997</v>
      </c>
      <c r="AA19" s="33">
        <v>48.474975000000001</v>
      </c>
      <c r="AB19" s="34">
        <v>5659.22</v>
      </c>
      <c r="AC19" s="34">
        <v>2403.88</v>
      </c>
      <c r="AD19" s="34">
        <v>65.78</v>
      </c>
      <c r="AE19" s="34">
        <v>25.231999999999999</v>
      </c>
      <c r="AG19" s="29">
        <f t="shared" si="6"/>
        <v>35.945324999999997</v>
      </c>
      <c r="AH19" s="30">
        <f t="shared" si="7"/>
        <v>0.11885587024190952</v>
      </c>
      <c r="AI19" s="30">
        <f t="shared" si="8"/>
        <v>2.7855396153623056E-2</v>
      </c>
      <c r="AJ19" s="30">
        <f t="shared" si="9"/>
        <v>2.0647974555319349E-2</v>
      </c>
      <c r="AK19" s="30">
        <f t="shared" si="10"/>
        <v>9.1000474088286459E-2</v>
      </c>
      <c r="AL19" s="27">
        <f t="shared" si="11"/>
        <v>8985864</v>
      </c>
      <c r="AM19" s="30">
        <v>16</v>
      </c>
      <c r="AN19" s="31">
        <v>33039030</v>
      </c>
      <c r="AO19" s="31">
        <v>1032469.6875</v>
      </c>
      <c r="AP19" s="31">
        <v>17754.53125</v>
      </c>
      <c r="AQ19" s="32">
        <v>38341680</v>
      </c>
      <c r="AR19" s="32">
        <v>6660824</v>
      </c>
      <c r="AS19" s="32">
        <v>2325040</v>
      </c>
      <c r="AT19" s="32">
        <v>29355816</v>
      </c>
      <c r="AU19" s="33">
        <v>71.149228124999993</v>
      </c>
      <c r="AV19" s="33">
        <v>75.004365625000005</v>
      </c>
      <c r="AW19" s="33">
        <v>39.570878125</v>
      </c>
      <c r="AX19" s="33">
        <v>47.870215625</v>
      </c>
      <c r="AY19" s="33">
        <v>48.464046875000001</v>
      </c>
      <c r="AZ19" s="34">
        <v>4931.4399999999996</v>
      </c>
      <c r="BA19" s="34">
        <v>3565.45</v>
      </c>
      <c r="BB19" s="34">
        <v>95.388000000000005</v>
      </c>
      <c r="BC19" s="34">
        <v>37.191000000000003</v>
      </c>
      <c r="BE19" s="35">
        <f t="shared" si="12"/>
        <v>1</v>
      </c>
      <c r="BF19" s="36">
        <f t="shared" si="13"/>
        <v>0</v>
      </c>
      <c r="BG19" s="36">
        <f t="shared" si="14"/>
        <v>-1.52006751521927E-3</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5.1414875000000002</v>
      </c>
      <c r="J20" s="21">
        <f t="shared" si="1"/>
        <v>1.3130542855549101E-2</v>
      </c>
      <c r="K20" s="21">
        <f t="shared" si="2"/>
        <v>7.7059286598573197E-3</v>
      </c>
      <c r="L20" s="21">
        <f t="shared" si="3"/>
        <v>3.7835477324960308E-3</v>
      </c>
      <c r="M20" s="21">
        <f t="shared" si="4"/>
        <v>5.4246141956917808E-3</v>
      </c>
      <c r="N20" s="18">
        <f t="shared" si="5"/>
        <v>1931128</v>
      </c>
      <c r="O20" s="21">
        <v>16</v>
      </c>
      <c r="P20" s="22">
        <v>30274532</v>
      </c>
      <c r="Q20" s="22">
        <v>946079.125</v>
      </c>
      <c r="R20" s="22">
        <v>27842.25</v>
      </c>
      <c r="S20" s="23">
        <v>3290552</v>
      </c>
      <c r="T20" s="23">
        <v>948168</v>
      </c>
      <c r="U20" s="23">
        <v>982960</v>
      </c>
      <c r="V20" s="23">
        <v>1359424</v>
      </c>
      <c r="W20" s="24">
        <v>67.105800000000002</v>
      </c>
      <c r="X20" s="24">
        <v>68.817099999999996</v>
      </c>
      <c r="Y20" s="24">
        <v>30.700693749999999</v>
      </c>
      <c r="Z20" s="24">
        <v>39.522634375000003</v>
      </c>
      <c r="AA20" s="24">
        <v>38.268193750000002</v>
      </c>
      <c r="AB20" s="25">
        <v>4705.47</v>
      </c>
      <c r="AC20" s="25">
        <v>2510.3000000000002</v>
      </c>
      <c r="AD20" s="25">
        <v>59.488</v>
      </c>
      <c r="AE20" s="25">
        <v>23.904</v>
      </c>
      <c r="AG20" s="20">
        <f t="shared" si="6"/>
        <v>5.1492624999999999</v>
      </c>
      <c r="AH20" s="21">
        <f t="shared" si="7"/>
        <v>1.3150398971255283E-2</v>
      </c>
      <c r="AI20" s="21">
        <f t="shared" si="8"/>
        <v>7.7059286598573197E-3</v>
      </c>
      <c r="AJ20" s="21">
        <f t="shared" si="9"/>
        <v>3.7835477324960308E-3</v>
      </c>
      <c r="AK20" s="21">
        <f t="shared" si="10"/>
        <v>5.4444703113979637E-3</v>
      </c>
      <c r="AL20" s="18">
        <f t="shared" si="11"/>
        <v>1931128</v>
      </c>
      <c r="AM20" s="21">
        <v>16</v>
      </c>
      <c r="AN20" s="22">
        <v>30274532</v>
      </c>
      <c r="AO20" s="22">
        <v>946079.125</v>
      </c>
      <c r="AP20" s="22">
        <v>27842.25</v>
      </c>
      <c r="AQ20" s="23">
        <v>3295528</v>
      </c>
      <c r="AR20" s="23">
        <v>948168</v>
      </c>
      <c r="AS20" s="23">
        <v>982960</v>
      </c>
      <c r="AT20" s="23">
        <v>1364400</v>
      </c>
      <c r="AU20" s="24">
        <v>67.105800000000002</v>
      </c>
      <c r="AV20" s="24">
        <v>68.817099999999996</v>
      </c>
      <c r="AW20" s="24">
        <v>30.711725000000001</v>
      </c>
      <c r="AX20" s="24">
        <v>39.539409374999998</v>
      </c>
      <c r="AY20" s="24">
        <v>38.273934375000003</v>
      </c>
      <c r="AZ20" s="25">
        <v>5722.98</v>
      </c>
      <c r="BA20" s="25">
        <v>2751.45</v>
      </c>
      <c r="BB20" s="25">
        <v>84.796000000000006</v>
      </c>
      <c r="BC20" s="25">
        <v>33.216000000000001</v>
      </c>
      <c r="BE20" s="50">
        <f t="shared" si="12"/>
        <v>1</v>
      </c>
      <c r="BF20" s="26">
        <f t="shared" si="13"/>
        <v>0</v>
      </c>
      <c r="BG20" s="26">
        <f t="shared" si="14"/>
        <v>-8.861304661884617E-4</v>
      </c>
      <c r="BH20" s="26">
        <f t="array" ref="BH20">AVERAGE(AL20:AL24/AQ20:AQ24) - AVERAGE(N20:N24/S20:S24)</f>
        <v>-1.446952092343301E-3</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3.0456536409380064E-3</v>
      </c>
      <c r="BM20" s="50">
        <f>IF( OR(ISBLANK(V20:V24),ISBLANK(AT20:AT24), ISBLANK(Z20:Z24),ISBLANK(AX20:AX24)), "·", bdRateExtend( V20:V24,Z20:Z24, AT20:AT24,AX20:AX24))</f>
        <v>4.4948616055282553E-3</v>
      </c>
      <c r="BN20" s="50">
        <f>IF( OR(ISBLANK(V20:V24),ISBLANK(AT20:AT24), ISBLANK(AA20:AA24),ISBLANK(AY20:AY24)), "·", bdRateExtend( V20:V24,AA20:AA24, AT20:AT24,AY20:AY24))</f>
        <v>7.5299907964134771E-3</v>
      </c>
      <c r="BP20" s="50">
        <f>IF( OR(ISBLANK(S20:S24),ISBLANK(AQ20:AQ24), ISBLANK(W20:W24),ISBLANK(AU20:AU24)), "·", bdRateExtend( S20:S24,W20:W24, AQ20:AQ24,AU20:AU24))</f>
        <v>4.2499212343716231E-3</v>
      </c>
      <c r="BQ20" s="50">
        <f>IF( OR(ISBLANK(S20:S24),ISBLANK(AQ20:AQ24), ISBLANK(X20:X24),ISBLANK(AV20:AV24)), "·", bdRateExtend( S20:S24,X20:X24, AQ20:AQ24,AV20:AV24))</f>
        <v>4.686615151142659E-3</v>
      </c>
      <c r="BR20" s="50">
        <f>IF( OR(ISBLANK(S20:S24),ISBLANK(AQ20:AQ24), ISBLANK(Y20:Y24),ISBLANK(AW20:AW24)), "·", bdRateExtend( S20:S24,Y20:Y24, AQ20:AQ24,AW20:AW24))</f>
        <v>1.6292221314080368E-3</v>
      </c>
      <c r="BS20" s="50">
        <f>IF( OR(ISBLANK(S20:S24),ISBLANK(AQ20:AQ24), ISBLANK(Z20:Z24),ISBLANK(AX20:AX24)), "·", bdRateExtend( S20:S24,Z20:Z24, AQ20:AQ24,AX20:AX24))</f>
        <v>3.0731593725670248E-3</v>
      </c>
      <c r="BT20" s="50">
        <f>IF( OR(ISBLANK(S20:S24),ISBLANK(AQ20:AQ24), ISBLANK(AA20:AA24),ISBLANK(AY20:AY24)), "·", bdRateExtend( S20:S24,AA20:AA24, AQ20:AQ24,AY20:AY24))</f>
        <v>5.0255943201518161E-3</v>
      </c>
    </row>
    <row r="21" spans="1:72" outlineLevel="1" x14ac:dyDescent="0.45">
      <c r="A21" s="54"/>
      <c r="B21" s="54" t="s">
        <v>68</v>
      </c>
      <c r="C21" s="10" t="s">
        <v>231</v>
      </c>
      <c r="D21" s="54">
        <v>250602891</v>
      </c>
      <c r="E21" s="10">
        <v>10</v>
      </c>
      <c r="F21" s="10">
        <v>32</v>
      </c>
      <c r="G21" s="10">
        <v>50</v>
      </c>
      <c r="I21" s="11">
        <f t="shared" si="0"/>
        <v>7.6273375000000003</v>
      </c>
      <c r="J21" s="12">
        <f t="shared" si="1"/>
        <v>1.9479009122843678E-2</v>
      </c>
      <c r="K21" s="12">
        <f t="shared" si="2"/>
        <v>9.149295887412567E-3</v>
      </c>
      <c r="L21" s="12">
        <f t="shared" si="3"/>
        <v>5.226914960051279E-3</v>
      </c>
      <c r="M21" s="12">
        <f t="shared" si="4"/>
        <v>1.0329713235431111E-2</v>
      </c>
      <c r="N21" s="54">
        <f t="shared" si="5"/>
        <v>2292840</v>
      </c>
      <c r="O21" s="12">
        <v>16</v>
      </c>
      <c r="P21" s="13">
        <v>31505484</v>
      </c>
      <c r="Q21" s="13">
        <v>984546.375</v>
      </c>
      <c r="R21" s="13">
        <v>33029.375</v>
      </c>
      <c r="S21" s="14">
        <v>4881496</v>
      </c>
      <c r="T21" s="14">
        <v>1309880</v>
      </c>
      <c r="U21" s="14">
        <v>982960</v>
      </c>
      <c r="V21" s="14">
        <v>2588656</v>
      </c>
      <c r="W21" s="15">
        <v>68.686528124999995</v>
      </c>
      <c r="X21" s="15">
        <v>70.761815624999997</v>
      </c>
      <c r="Y21" s="15">
        <v>32.514737500000003</v>
      </c>
      <c r="Z21" s="15">
        <v>40.675965625000003</v>
      </c>
      <c r="AA21" s="15">
        <v>39.602231250000003</v>
      </c>
      <c r="AB21" s="16">
        <v>5588.69</v>
      </c>
      <c r="AC21" s="16">
        <v>2930.78</v>
      </c>
      <c r="AD21" s="16">
        <v>104.321</v>
      </c>
      <c r="AE21" s="16">
        <v>39.399000000000001</v>
      </c>
      <c r="AG21" s="11">
        <f t="shared" si="6"/>
        <v>7.6436124999999997</v>
      </c>
      <c r="AH21" s="12">
        <f t="shared" si="7"/>
        <v>1.9520572889161123E-2</v>
      </c>
      <c r="AI21" s="12">
        <f t="shared" si="8"/>
        <v>9.149295887412567E-3</v>
      </c>
      <c r="AJ21" s="12">
        <f t="shared" si="9"/>
        <v>5.226914960051279E-3</v>
      </c>
      <c r="AK21" s="12">
        <f t="shared" si="10"/>
        <v>1.0371277001748556E-2</v>
      </c>
      <c r="AL21" s="54">
        <f t="shared" si="11"/>
        <v>2292840</v>
      </c>
      <c r="AM21" s="12">
        <v>16</v>
      </c>
      <c r="AN21" s="13">
        <v>31505484</v>
      </c>
      <c r="AO21" s="13">
        <v>984546.375</v>
      </c>
      <c r="AP21" s="13">
        <v>33029.375</v>
      </c>
      <c r="AQ21" s="14">
        <v>4891912</v>
      </c>
      <c r="AR21" s="14">
        <v>1309880</v>
      </c>
      <c r="AS21" s="14">
        <v>982960</v>
      </c>
      <c r="AT21" s="14">
        <v>2599072</v>
      </c>
      <c r="AU21" s="15">
        <v>68.686528124999995</v>
      </c>
      <c r="AV21" s="15">
        <v>70.761815624999997</v>
      </c>
      <c r="AW21" s="15">
        <v>32.524156249999997</v>
      </c>
      <c r="AX21" s="15">
        <v>40.691143750000002</v>
      </c>
      <c r="AY21" s="15">
        <v>39.604012500000003</v>
      </c>
      <c r="AZ21" s="16">
        <v>5699.48</v>
      </c>
      <c r="BA21" s="16">
        <v>3026.13</v>
      </c>
      <c r="BB21" s="16">
        <v>101.408</v>
      </c>
      <c r="BC21" s="16">
        <v>40.622</v>
      </c>
      <c r="BE21" s="51">
        <f t="shared" si="12"/>
        <v>1</v>
      </c>
      <c r="BF21" s="17">
        <f t="shared" si="13"/>
        <v>0</v>
      </c>
      <c r="BG21" s="17">
        <f t="shared" si="14"/>
        <v>-1.0000993548854309E-3</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12.386075</v>
      </c>
      <c r="J22" s="21">
        <f t="shared" si="1"/>
        <v>3.1632069240573928E-2</v>
      </c>
      <c r="K22" s="21">
        <f t="shared" si="2"/>
        <v>1.1394345805851058E-2</v>
      </c>
      <c r="L22" s="21">
        <f t="shared" si="3"/>
        <v>7.4719648784897699E-3</v>
      </c>
      <c r="M22" s="21">
        <f t="shared" si="4"/>
        <v>2.0237723434722864E-2</v>
      </c>
      <c r="N22" s="18">
        <f t="shared" si="5"/>
        <v>2855456</v>
      </c>
      <c r="O22" s="21">
        <v>16</v>
      </c>
      <c r="P22" s="22">
        <v>32735750</v>
      </c>
      <c r="Q22" s="22">
        <v>1022992.1875</v>
      </c>
      <c r="R22" s="22">
        <v>35066.4375</v>
      </c>
      <c r="S22" s="23">
        <v>7927088</v>
      </c>
      <c r="T22" s="23">
        <v>1872496</v>
      </c>
      <c r="U22" s="23">
        <v>982960</v>
      </c>
      <c r="V22" s="23">
        <v>5071632</v>
      </c>
      <c r="W22" s="24">
        <v>69.861821875000004</v>
      </c>
      <c r="X22" s="24">
        <v>72.258756250000005</v>
      </c>
      <c r="Y22" s="24">
        <v>34.267000000000003</v>
      </c>
      <c r="Z22" s="24">
        <v>41.728212499999998</v>
      </c>
      <c r="AA22" s="24">
        <v>40.647271875000001</v>
      </c>
      <c r="AB22" s="25">
        <v>6131.64</v>
      </c>
      <c r="AC22" s="25">
        <v>3199.32</v>
      </c>
      <c r="AD22" s="25">
        <v>105.718</v>
      </c>
      <c r="AE22" s="25">
        <v>40.012</v>
      </c>
      <c r="AG22" s="20">
        <f t="shared" si="6"/>
        <v>12.454337499999999</v>
      </c>
      <c r="AH22" s="21">
        <f t="shared" si="7"/>
        <v>3.1806400828791714E-2</v>
      </c>
      <c r="AI22" s="21">
        <f t="shared" si="8"/>
        <v>1.1394345805851058E-2</v>
      </c>
      <c r="AJ22" s="21">
        <f t="shared" si="9"/>
        <v>7.4719648784897699E-3</v>
      </c>
      <c r="AK22" s="21">
        <f t="shared" si="10"/>
        <v>2.0412055022940658E-2</v>
      </c>
      <c r="AL22" s="18">
        <f t="shared" si="11"/>
        <v>2855456</v>
      </c>
      <c r="AM22" s="21">
        <v>16</v>
      </c>
      <c r="AN22" s="22">
        <v>32735750</v>
      </c>
      <c r="AO22" s="22">
        <v>1022992.1875</v>
      </c>
      <c r="AP22" s="22">
        <v>35066.4375</v>
      </c>
      <c r="AQ22" s="23">
        <v>7970776</v>
      </c>
      <c r="AR22" s="23">
        <v>1872496</v>
      </c>
      <c r="AS22" s="23">
        <v>982960</v>
      </c>
      <c r="AT22" s="23">
        <v>5115320</v>
      </c>
      <c r="AU22" s="24">
        <v>69.861821875000004</v>
      </c>
      <c r="AV22" s="24">
        <v>72.258756250000005</v>
      </c>
      <c r="AW22" s="24">
        <v>34.280906250000001</v>
      </c>
      <c r="AX22" s="24">
        <v>41.722065624999999</v>
      </c>
      <c r="AY22" s="24">
        <v>40.639362499999997</v>
      </c>
      <c r="AZ22" s="25">
        <v>5053.0200000000004</v>
      </c>
      <c r="BA22" s="25">
        <v>1747.06</v>
      </c>
      <c r="BB22" s="25">
        <v>96.334000000000003</v>
      </c>
      <c r="BC22" s="25">
        <v>35.526000000000003</v>
      </c>
      <c r="BE22" s="50">
        <f t="shared" si="12"/>
        <v>1</v>
      </c>
      <c r="BF22" s="26">
        <f t="shared" si="13"/>
        <v>0</v>
      </c>
      <c r="BG22" s="26">
        <f t="shared" si="14"/>
        <v>-1.974346399697624E-3</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22.036375</v>
      </c>
      <c r="J23" s="12">
        <f t="shared" si="1"/>
        <v>5.6277403439850979E-2</v>
      </c>
      <c r="K23" s="12">
        <f t="shared" si="2"/>
        <v>1.532240902999E-2</v>
      </c>
      <c r="L23" s="12">
        <f t="shared" si="3"/>
        <v>1.1400028102628712E-2</v>
      </c>
      <c r="M23" s="12">
        <f t="shared" si="4"/>
        <v>4.095499440986098E-2</v>
      </c>
      <c r="N23" s="54">
        <f t="shared" si="5"/>
        <v>3839840</v>
      </c>
      <c r="O23" s="12">
        <v>16</v>
      </c>
      <c r="P23" s="13">
        <v>32798890</v>
      </c>
      <c r="Q23" s="13">
        <v>1024965.3125</v>
      </c>
      <c r="R23" s="13">
        <v>36962.65625</v>
      </c>
      <c r="S23" s="14">
        <v>14103280</v>
      </c>
      <c r="T23" s="14">
        <v>2856880</v>
      </c>
      <c r="U23" s="14">
        <v>982960</v>
      </c>
      <c r="V23" s="14">
        <v>10263440</v>
      </c>
      <c r="W23" s="15">
        <v>70.888134375000007</v>
      </c>
      <c r="X23" s="15">
        <v>73.610840624999994</v>
      </c>
      <c r="Y23" s="15">
        <v>35.678378125000002</v>
      </c>
      <c r="Z23" s="15">
        <v>42.882853124999997</v>
      </c>
      <c r="AA23" s="15">
        <v>41.708515624999997</v>
      </c>
      <c r="AB23" s="16">
        <v>5739.89</v>
      </c>
      <c r="AC23" s="16">
        <v>3705.82</v>
      </c>
      <c r="AD23" s="16">
        <v>103.27200000000001</v>
      </c>
      <c r="AE23" s="16">
        <v>40.122999999999998</v>
      </c>
      <c r="AG23" s="11">
        <f t="shared" si="6"/>
        <v>22.212262500000001</v>
      </c>
      <c r="AH23" s="12">
        <f t="shared" si="7"/>
        <v>5.6726592192426067E-2</v>
      </c>
      <c r="AI23" s="12">
        <f t="shared" si="8"/>
        <v>1.532240902999E-2</v>
      </c>
      <c r="AJ23" s="12">
        <f t="shared" si="9"/>
        <v>1.1400028102628712E-2</v>
      </c>
      <c r="AK23" s="12">
        <f t="shared" si="10"/>
        <v>4.1404183162436062E-2</v>
      </c>
      <c r="AL23" s="54">
        <f t="shared" si="11"/>
        <v>3839840</v>
      </c>
      <c r="AM23" s="12">
        <v>16</v>
      </c>
      <c r="AN23" s="13">
        <v>32798890</v>
      </c>
      <c r="AO23" s="13">
        <v>1024965.3125</v>
      </c>
      <c r="AP23" s="13">
        <v>36962.65625</v>
      </c>
      <c r="AQ23" s="14">
        <v>14215848</v>
      </c>
      <c r="AR23" s="14">
        <v>2856880</v>
      </c>
      <c r="AS23" s="14">
        <v>982960</v>
      </c>
      <c r="AT23" s="14">
        <v>10376008</v>
      </c>
      <c r="AU23" s="15">
        <v>70.888134375000007</v>
      </c>
      <c r="AV23" s="15">
        <v>73.610840624999994</v>
      </c>
      <c r="AW23" s="15">
        <v>35.686143749999999</v>
      </c>
      <c r="AX23" s="15">
        <v>42.881425</v>
      </c>
      <c r="AY23" s="15">
        <v>41.70745625</v>
      </c>
      <c r="AZ23" s="16">
        <v>4388.76</v>
      </c>
      <c r="BA23" s="16">
        <v>2999.77</v>
      </c>
      <c r="BB23" s="16">
        <v>97.317999999999998</v>
      </c>
      <c r="BC23" s="16">
        <v>37.613999999999997</v>
      </c>
      <c r="BE23" s="51">
        <f t="shared" si="12"/>
        <v>1</v>
      </c>
      <c r="BF23" s="17">
        <f t="shared" si="13"/>
        <v>0</v>
      </c>
      <c r="BG23" s="17">
        <f t="shared" si="14"/>
        <v>-2.1559325968224519E-3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38.637037499999998</v>
      </c>
      <c r="J24" s="40">
        <f t="shared" si="1"/>
        <v>9.8672860082847175E-2</v>
      </c>
      <c r="K24" s="40">
        <f t="shared" si="2"/>
        <v>2.5344895163240556E-2</v>
      </c>
      <c r="L24" s="40">
        <f t="shared" si="3"/>
        <v>1.7906609066213844E-2</v>
      </c>
      <c r="M24" s="40">
        <f t="shared" si="4"/>
        <v>7.3327964919606609E-2</v>
      </c>
      <c r="N24" s="37">
        <f t="shared" si="5"/>
        <v>6351504</v>
      </c>
      <c r="O24" s="40">
        <v>16</v>
      </c>
      <c r="P24" s="41">
        <v>31426902</v>
      </c>
      <c r="Q24" s="41">
        <v>982090.6875</v>
      </c>
      <c r="R24" s="41">
        <v>18270.09375</v>
      </c>
      <c r="S24" s="42">
        <v>24727704</v>
      </c>
      <c r="T24" s="42">
        <v>4487448</v>
      </c>
      <c r="U24" s="42">
        <v>1864056</v>
      </c>
      <c r="V24" s="42">
        <v>18376200</v>
      </c>
      <c r="W24" s="43">
        <v>71.730803124999994</v>
      </c>
      <c r="X24" s="43">
        <v>75.625753125000003</v>
      </c>
      <c r="Y24" s="43">
        <v>36.930334375000001</v>
      </c>
      <c r="Z24" s="43">
        <v>43.832703125000002</v>
      </c>
      <c r="AA24" s="43">
        <v>42.397631250000003</v>
      </c>
      <c r="AB24" s="44">
        <v>5157.57</v>
      </c>
      <c r="AC24" s="44">
        <v>3615.62</v>
      </c>
      <c r="AD24" s="44">
        <v>65.497</v>
      </c>
      <c r="AE24" s="44">
        <v>26.800999999999998</v>
      </c>
      <c r="AG24" s="39">
        <f t="shared" si="6"/>
        <v>38.8211625</v>
      </c>
      <c r="AH24" s="40">
        <f t="shared" si="7"/>
        <v>9.9143086102705807E-2</v>
      </c>
      <c r="AI24" s="40">
        <f t="shared" si="8"/>
        <v>2.5344895163240556E-2</v>
      </c>
      <c r="AJ24" s="40">
        <f t="shared" si="9"/>
        <v>1.7906609066213844E-2</v>
      </c>
      <c r="AK24" s="40">
        <f t="shared" si="10"/>
        <v>7.3798190939465255E-2</v>
      </c>
      <c r="AL24" s="37">
        <f t="shared" si="11"/>
        <v>6351504</v>
      </c>
      <c r="AM24" s="40">
        <v>16</v>
      </c>
      <c r="AN24" s="41">
        <v>31426902</v>
      </c>
      <c r="AO24" s="41">
        <v>982090.6875</v>
      </c>
      <c r="AP24" s="41">
        <v>18270.09375</v>
      </c>
      <c r="AQ24" s="42">
        <v>24845544</v>
      </c>
      <c r="AR24" s="42">
        <v>4487448</v>
      </c>
      <c r="AS24" s="42">
        <v>1864056</v>
      </c>
      <c r="AT24" s="42">
        <v>18494040</v>
      </c>
      <c r="AU24" s="43">
        <v>71.730803124999994</v>
      </c>
      <c r="AV24" s="43">
        <v>75.625753125000003</v>
      </c>
      <c r="AW24" s="43">
        <v>36.92651875</v>
      </c>
      <c r="AX24" s="43">
        <v>43.837521875</v>
      </c>
      <c r="AY24" s="43">
        <v>42.3986625</v>
      </c>
      <c r="AZ24" s="44">
        <v>3660.41</v>
      </c>
      <c r="BA24" s="44">
        <v>2076.98</v>
      </c>
      <c r="BB24" s="44">
        <v>94.828999999999994</v>
      </c>
      <c r="BC24" s="44">
        <v>40.409999999999997</v>
      </c>
      <c r="BE24" s="45">
        <f t="shared" si="12"/>
        <v>1</v>
      </c>
      <c r="BF24" s="46">
        <f t="shared" si="13"/>
        <v>0</v>
      </c>
      <c r="BG24" s="46">
        <f t="shared" si="14"/>
        <v>-1.2182516441224811E-3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4.3893674999999996</v>
      </c>
      <c r="J25" s="12">
        <f t="shared" si="1"/>
        <v>1.8705926283294459E-2</v>
      </c>
      <c r="K25" s="12">
        <f t="shared" si="2"/>
        <v>6.5750684127872973E-3</v>
      </c>
      <c r="L25" s="12">
        <f t="shared" si="3"/>
        <v>3.7261054256460093E-3</v>
      </c>
      <c r="M25" s="12">
        <f t="shared" si="4"/>
        <v>1.2130857870507161E-2</v>
      </c>
      <c r="N25" s="54">
        <f t="shared" si="5"/>
        <v>1645704</v>
      </c>
      <c r="O25" s="12">
        <v>16</v>
      </c>
      <c r="P25" s="13">
        <v>23156910</v>
      </c>
      <c r="Q25" s="13">
        <v>723653.4375</v>
      </c>
      <c r="R25" s="13">
        <v>14060.625</v>
      </c>
      <c r="S25" s="14">
        <v>4681992</v>
      </c>
      <c r="T25" s="14">
        <v>932624</v>
      </c>
      <c r="U25" s="14">
        <v>713080</v>
      </c>
      <c r="V25" s="14">
        <v>3036288</v>
      </c>
      <c r="W25" s="15">
        <v>66.208681249999998</v>
      </c>
      <c r="X25" s="15">
        <v>67.982928125000001</v>
      </c>
      <c r="Y25" s="15">
        <v>27.335812499999999</v>
      </c>
      <c r="Z25" s="15">
        <v>33.167050000000003</v>
      </c>
      <c r="AA25" s="15">
        <v>32.594690624999998</v>
      </c>
      <c r="AB25" s="16">
        <v>1773.35</v>
      </c>
      <c r="AC25" s="16">
        <v>2038.43</v>
      </c>
      <c r="AD25" s="16">
        <v>45.420999999999999</v>
      </c>
      <c r="AE25" s="16">
        <v>22.582999999999998</v>
      </c>
      <c r="AG25" s="11">
        <f t="shared" si="6"/>
        <v>4.405125</v>
      </c>
      <c r="AH25" s="12">
        <f t="shared" si="7"/>
        <v>1.8773079155185227E-2</v>
      </c>
      <c r="AI25" s="12">
        <f t="shared" si="8"/>
        <v>6.5750684127872973E-3</v>
      </c>
      <c r="AJ25" s="12">
        <f t="shared" si="9"/>
        <v>3.7261054256460093E-3</v>
      </c>
      <c r="AK25" s="12">
        <f t="shared" si="10"/>
        <v>1.2198010742397932E-2</v>
      </c>
      <c r="AL25" s="54">
        <f t="shared" si="11"/>
        <v>1645704</v>
      </c>
      <c r="AM25" s="12">
        <v>16</v>
      </c>
      <c r="AN25" s="13">
        <v>23156910</v>
      </c>
      <c r="AO25" s="13">
        <v>723653.4375</v>
      </c>
      <c r="AP25" s="13">
        <v>14060.625</v>
      </c>
      <c r="AQ25" s="14">
        <v>4698800</v>
      </c>
      <c r="AR25" s="14">
        <v>932624</v>
      </c>
      <c r="AS25" s="14">
        <v>713080</v>
      </c>
      <c r="AT25" s="14">
        <v>3053096</v>
      </c>
      <c r="AU25" s="15">
        <v>66.208681249999998</v>
      </c>
      <c r="AV25" s="15">
        <v>67.982928125000001</v>
      </c>
      <c r="AW25" s="15">
        <v>27.34820625</v>
      </c>
      <c r="AX25" s="15">
        <v>33.171106250000001</v>
      </c>
      <c r="AY25" s="15">
        <v>32.602646874999998</v>
      </c>
      <c r="AZ25" s="16">
        <v>2108.75</v>
      </c>
      <c r="BA25" s="16">
        <v>2447.0300000000002</v>
      </c>
      <c r="BB25" s="16">
        <v>77.828999999999994</v>
      </c>
      <c r="BC25" s="16">
        <v>36.875</v>
      </c>
      <c r="BE25" s="51">
        <f t="shared" si="12"/>
        <v>1</v>
      </c>
      <c r="BF25" s="17">
        <f t="shared" si="13"/>
        <v>0</v>
      </c>
      <c r="BG25" s="17">
        <f t="shared" si="14"/>
        <v>-1.2573324862293345E-3</v>
      </c>
      <c r="BH25" s="17">
        <f t="array" ref="BH25">AVERAGE(AL25:AL29/AQ25:AQ29) - AVERAGE(N25:N29/S25:S29)</f>
        <v>-8.6963889685320872E-4</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-4.2627268860506717E-5</v>
      </c>
      <c r="BM25" s="51">
        <f>IF( OR(ISBLANK(V25:V29),ISBLANK(AT25:AT29), ISBLANK(Z25:Z29),ISBLANK(AX25:AX29)), "·", bdRateExtend( V25:V29,Z25:Z29, AT25:AT29,AX25:AX29))</f>
        <v>2.2523168737151877E-3</v>
      </c>
      <c r="BN25" s="51">
        <f>IF( OR(ISBLANK(V25:V29),ISBLANK(AT25:AT29), ISBLANK(AA25:AA29),ISBLANK(AY25:AY29)), "·", bdRateExtend( V25:V29,AA25:AA29, AT25:AT29,AY25:AY29))</f>
        <v>6.2729185260801401E-4</v>
      </c>
      <c r="BP25" s="51">
        <f>IF( OR(ISBLANK(S25:S29),ISBLANK(AQ25:AQ29), ISBLANK(W25:W29),ISBLANK(AU25:AU29)), "·", bdRateExtend( S25:S29,W25:W29, AQ25:AQ29,AU25:AU29))</f>
        <v>4.4122765557503829E-3</v>
      </c>
      <c r="BQ25" s="51">
        <f>IF( OR(ISBLANK(S25:S29),ISBLANK(AQ25:AQ29), ISBLANK(X25:X29),ISBLANK(AV25:AV29)), "·", bdRateExtend( S25:S29,X25:X29, AQ25:AQ29,AV25:AV29))</f>
        <v>4.6004008220366099E-3</v>
      </c>
      <c r="BR25" s="51">
        <f>IF( OR(ISBLANK(S25:S29),ISBLANK(AQ25:AQ29), ISBLANK(Y25:Y29),ISBLANK(AW25:AW29)), "·", bdRateExtend( S25:S29,Y25:Y29, AQ25:AQ29,AW25:AW29))</f>
        <v>-5.468876114985699E-4</v>
      </c>
      <c r="BS25" s="51">
        <f>IF( OR(ISBLANK(S25:S29),ISBLANK(AQ25:AQ29), ISBLANK(Z25:Z29),ISBLANK(AX25:AX29)), "·", bdRateExtend( S25:S29,Z25:Z29, AQ25:AQ29,AX25:AX29))</f>
        <v>1.6047521376547635E-3</v>
      </c>
      <c r="BT25" s="51">
        <f>IF( OR(ISBLANK(S25:S29),ISBLANK(AQ25:AQ29), ISBLANK(AA25:AA29),ISBLANK(AY25:AY29)), "·", bdRateExtend( S25:S29,AA25:AA29, AQ25:AQ29,AY25:AY29))</f>
        <v>1.0912990838862768E-4</v>
      </c>
    </row>
    <row r="26" spans="1:72" outlineLevel="1" x14ac:dyDescent="0.45">
      <c r="A26" s="18"/>
      <c r="B26" s="18" t="s">
        <v>71</v>
      </c>
      <c r="C26" s="19" t="s">
        <v>231</v>
      </c>
      <c r="D26" s="18">
        <v>250294582</v>
      </c>
      <c r="E26" s="19">
        <v>10</v>
      </c>
      <c r="F26" s="19">
        <v>32</v>
      </c>
      <c r="G26" s="19">
        <v>30</v>
      </c>
      <c r="I26" s="20">
        <f t="shared" si="0"/>
        <v>7.5169949999999996</v>
      </c>
      <c r="J26" s="21">
        <f t="shared" si="1"/>
        <v>3.2034764539969146E-2</v>
      </c>
      <c r="K26" s="21">
        <f t="shared" si="2"/>
        <v>8.1015577077093899E-3</v>
      </c>
      <c r="L26" s="21">
        <f t="shared" si="3"/>
        <v>5.2525947205681028E-3</v>
      </c>
      <c r="M26" s="21">
        <f t="shared" si="4"/>
        <v>2.3933206832259756E-2</v>
      </c>
      <c r="N26" s="18">
        <f t="shared" si="5"/>
        <v>2027776</v>
      </c>
      <c r="O26" s="21">
        <v>16</v>
      </c>
      <c r="P26" s="22">
        <v>24564301</v>
      </c>
      <c r="Q26" s="22">
        <v>767634.40625</v>
      </c>
      <c r="R26" s="22">
        <v>17714.59375</v>
      </c>
      <c r="S26" s="23">
        <v>8018128</v>
      </c>
      <c r="T26" s="23">
        <v>1314696</v>
      </c>
      <c r="U26" s="23">
        <v>713080</v>
      </c>
      <c r="V26" s="23">
        <v>5990352</v>
      </c>
      <c r="W26" s="24">
        <v>67.941556250000005</v>
      </c>
      <c r="X26" s="24">
        <v>69.941896874999998</v>
      </c>
      <c r="Y26" s="24">
        <v>29.713653125</v>
      </c>
      <c r="Z26" s="24">
        <v>34.339921875000002</v>
      </c>
      <c r="AA26" s="24">
        <v>33.891993749999997</v>
      </c>
      <c r="AB26" s="25">
        <v>1922.58</v>
      </c>
      <c r="AC26" s="25">
        <v>2338.39</v>
      </c>
      <c r="AD26" s="25">
        <v>78.897999999999996</v>
      </c>
      <c r="AE26" s="25">
        <v>34.768000000000001</v>
      </c>
      <c r="AG26" s="20">
        <f t="shared" si="6"/>
        <v>7.5477524999999996</v>
      </c>
      <c r="AH26" s="21">
        <f t="shared" si="7"/>
        <v>3.2165842087624574E-2</v>
      </c>
      <c r="AI26" s="21">
        <f t="shared" si="8"/>
        <v>8.1015577077093899E-3</v>
      </c>
      <c r="AJ26" s="21">
        <f t="shared" si="9"/>
        <v>5.2525947205681028E-3</v>
      </c>
      <c r="AK26" s="21">
        <f t="shared" si="10"/>
        <v>2.4064284379915184E-2</v>
      </c>
      <c r="AL26" s="18">
        <f t="shared" si="11"/>
        <v>2027776</v>
      </c>
      <c r="AM26" s="21">
        <v>16</v>
      </c>
      <c r="AN26" s="22">
        <v>24564301</v>
      </c>
      <c r="AO26" s="22">
        <v>767634.40625</v>
      </c>
      <c r="AP26" s="22">
        <v>17714.59375</v>
      </c>
      <c r="AQ26" s="23">
        <v>8050936</v>
      </c>
      <c r="AR26" s="23">
        <v>1314696</v>
      </c>
      <c r="AS26" s="23">
        <v>713080</v>
      </c>
      <c r="AT26" s="23">
        <v>6023160</v>
      </c>
      <c r="AU26" s="24">
        <v>67.941556250000005</v>
      </c>
      <c r="AV26" s="24">
        <v>69.941896874999998</v>
      </c>
      <c r="AW26" s="24">
        <v>29.733437500000001</v>
      </c>
      <c r="AX26" s="24">
        <v>34.350265624999999</v>
      </c>
      <c r="AY26" s="24">
        <v>33.904121875000001</v>
      </c>
      <c r="AZ26" s="25">
        <v>1740.12</v>
      </c>
      <c r="BA26" s="25">
        <v>2146.87</v>
      </c>
      <c r="BB26" s="25">
        <v>70.712000000000003</v>
      </c>
      <c r="BC26" s="25">
        <v>32.472000000000001</v>
      </c>
      <c r="BE26" s="50">
        <f t="shared" si="12"/>
        <v>1</v>
      </c>
      <c r="BF26" s="26">
        <f t="shared" si="13"/>
        <v>0</v>
      </c>
      <c r="BG26" s="26">
        <f t="shared" si="14"/>
        <v>-1.0305768334240573E-3</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13.216447499999999</v>
      </c>
      <c r="J27" s="12">
        <f t="shared" si="1"/>
        <v>5.6323808079872861E-2</v>
      </c>
      <c r="K27" s="12">
        <f t="shared" si="2"/>
        <v>1.0397987759878878E-2</v>
      </c>
      <c r="L27" s="12">
        <f t="shared" si="3"/>
        <v>7.5490247727375897E-3</v>
      </c>
      <c r="M27" s="12">
        <f t="shared" si="4"/>
        <v>4.5925820319993982E-2</v>
      </c>
      <c r="N27" s="54">
        <f t="shared" si="5"/>
        <v>2602560</v>
      </c>
      <c r="O27" s="12">
        <v>16</v>
      </c>
      <c r="P27" s="13">
        <v>24852477</v>
      </c>
      <c r="Q27" s="13">
        <v>776639.90625</v>
      </c>
      <c r="R27" s="13">
        <v>18688.75</v>
      </c>
      <c r="S27" s="14">
        <v>14097544</v>
      </c>
      <c r="T27" s="14">
        <v>1889480</v>
      </c>
      <c r="U27" s="14">
        <v>713080</v>
      </c>
      <c r="V27" s="14">
        <v>11494984</v>
      </c>
      <c r="W27" s="15">
        <v>69.263743750000003</v>
      </c>
      <c r="X27" s="15">
        <v>71.649234375000006</v>
      </c>
      <c r="Y27" s="15">
        <v>32.212887500000001</v>
      </c>
      <c r="Z27" s="15">
        <v>35.580181250000003</v>
      </c>
      <c r="AA27" s="15">
        <v>35.204984375000002</v>
      </c>
      <c r="AB27" s="16">
        <v>1819.07</v>
      </c>
      <c r="AC27" s="16">
        <v>2527.79</v>
      </c>
      <c r="AD27" s="16">
        <v>70.519000000000005</v>
      </c>
      <c r="AE27" s="16">
        <v>32.767000000000003</v>
      </c>
      <c r="AG27" s="11">
        <f t="shared" si="6"/>
        <v>13.268520000000001</v>
      </c>
      <c r="AH27" s="12">
        <f t="shared" si="7"/>
        <v>5.654572259178986E-2</v>
      </c>
      <c r="AI27" s="12">
        <f t="shared" si="8"/>
        <v>1.0397987759878878E-2</v>
      </c>
      <c r="AJ27" s="12">
        <f t="shared" si="9"/>
        <v>7.5490247727375897E-3</v>
      </c>
      <c r="AK27" s="12">
        <f t="shared" si="10"/>
        <v>4.6147734831910987E-2</v>
      </c>
      <c r="AL27" s="54">
        <f t="shared" si="11"/>
        <v>2602560</v>
      </c>
      <c r="AM27" s="12">
        <v>16</v>
      </c>
      <c r="AN27" s="13">
        <v>24852477</v>
      </c>
      <c r="AO27" s="13">
        <v>776639.90625</v>
      </c>
      <c r="AP27" s="13">
        <v>18688.75</v>
      </c>
      <c r="AQ27" s="14">
        <v>14153088</v>
      </c>
      <c r="AR27" s="14">
        <v>1889480</v>
      </c>
      <c r="AS27" s="14">
        <v>713080</v>
      </c>
      <c r="AT27" s="14">
        <v>11550528</v>
      </c>
      <c r="AU27" s="15">
        <v>69.263743750000003</v>
      </c>
      <c r="AV27" s="15">
        <v>71.649234375000006</v>
      </c>
      <c r="AW27" s="15">
        <v>32.235374999999998</v>
      </c>
      <c r="AX27" s="15">
        <v>35.59055</v>
      </c>
      <c r="AY27" s="15">
        <v>35.215415624999999</v>
      </c>
      <c r="AZ27" s="16">
        <v>1859.35</v>
      </c>
      <c r="BA27" s="16">
        <v>2542.9299999999998</v>
      </c>
      <c r="BB27" s="16">
        <v>72.745000000000005</v>
      </c>
      <c r="BC27" s="16">
        <v>34.576999999999998</v>
      </c>
      <c r="BE27" s="51">
        <f t="shared" si="12"/>
        <v>1</v>
      </c>
      <c r="BF27" s="17">
        <f t="shared" si="13"/>
        <v>0</v>
      </c>
      <c r="BG27" s="17">
        <f t="shared" si="14"/>
        <v>-7.2450808644911047E-4</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24.485197500000002</v>
      </c>
      <c r="J28" s="21">
        <f t="shared" si="1"/>
        <v>0.10434722074807037</v>
      </c>
      <c r="K28" s="21">
        <f t="shared" si="2"/>
        <v>1.4255106808504548E-2</v>
      </c>
      <c r="L28" s="21">
        <f t="shared" si="3"/>
        <v>1.1406143821363261E-2</v>
      </c>
      <c r="M28" s="21">
        <f t="shared" si="4"/>
        <v>9.0092113939565815E-2</v>
      </c>
      <c r="N28" s="18">
        <f t="shared" si="5"/>
        <v>3567976</v>
      </c>
      <c r="O28" s="21">
        <v>16</v>
      </c>
      <c r="P28" s="22">
        <v>25521142</v>
      </c>
      <c r="Q28" s="22">
        <v>797535.6875</v>
      </c>
      <c r="R28" s="22">
        <v>20922.53125</v>
      </c>
      <c r="S28" s="23">
        <v>26117544</v>
      </c>
      <c r="T28" s="23">
        <v>2854896</v>
      </c>
      <c r="U28" s="23">
        <v>713080</v>
      </c>
      <c r="V28" s="23">
        <v>22549568</v>
      </c>
      <c r="W28" s="24">
        <v>70.432471875000005</v>
      </c>
      <c r="X28" s="24">
        <v>72.970200000000006</v>
      </c>
      <c r="Y28" s="24">
        <v>34.910971875000001</v>
      </c>
      <c r="Z28" s="24">
        <v>37.373078124999999</v>
      </c>
      <c r="AA28" s="24">
        <v>36.936612500000003</v>
      </c>
      <c r="AB28" s="25">
        <v>2034.24</v>
      </c>
      <c r="AC28" s="25">
        <v>3123.08</v>
      </c>
      <c r="AD28" s="25">
        <v>56.253999999999998</v>
      </c>
      <c r="AE28" s="25">
        <v>27.501000000000001</v>
      </c>
      <c r="AG28" s="20">
        <f t="shared" si="6"/>
        <v>24.635467500000001</v>
      </c>
      <c r="AH28" s="21">
        <f t="shared" si="7"/>
        <v>0.10498761814988068</v>
      </c>
      <c r="AI28" s="21">
        <f t="shared" si="8"/>
        <v>1.4255106808504548E-2</v>
      </c>
      <c r="AJ28" s="21">
        <f t="shared" si="9"/>
        <v>1.1406143821363261E-2</v>
      </c>
      <c r="AK28" s="21">
        <f t="shared" si="10"/>
        <v>9.0732511341376137E-2</v>
      </c>
      <c r="AL28" s="18">
        <f t="shared" si="11"/>
        <v>3567976</v>
      </c>
      <c r="AM28" s="21">
        <v>16</v>
      </c>
      <c r="AN28" s="22">
        <v>25521142</v>
      </c>
      <c r="AO28" s="22">
        <v>797535.6875</v>
      </c>
      <c r="AP28" s="22">
        <v>20922.53125</v>
      </c>
      <c r="AQ28" s="23">
        <v>26277832</v>
      </c>
      <c r="AR28" s="23">
        <v>2854896</v>
      </c>
      <c r="AS28" s="23">
        <v>713080</v>
      </c>
      <c r="AT28" s="23">
        <v>22709856</v>
      </c>
      <c r="AU28" s="24">
        <v>70.432471875000005</v>
      </c>
      <c r="AV28" s="24">
        <v>72.970200000000006</v>
      </c>
      <c r="AW28" s="24">
        <v>34.940509374999998</v>
      </c>
      <c r="AX28" s="24">
        <v>37.379768749999997</v>
      </c>
      <c r="AY28" s="24">
        <v>36.952684374999997</v>
      </c>
      <c r="AZ28" s="25">
        <v>2088.9299999999998</v>
      </c>
      <c r="BA28" s="25">
        <v>3013</v>
      </c>
      <c r="BB28" s="25">
        <v>77.427999999999997</v>
      </c>
      <c r="BC28" s="25">
        <v>37.375999999999998</v>
      </c>
      <c r="BE28" s="50">
        <f t="shared" si="12"/>
        <v>1</v>
      </c>
      <c r="BF28" s="26">
        <f t="shared" si="13"/>
        <v>0</v>
      </c>
      <c r="BG28" s="26">
        <f t="shared" si="14"/>
        <v>-8.3329939716272894E-4</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44.199554999999997</v>
      </c>
      <c r="J29" s="30">
        <f t="shared" si="1"/>
        <v>0.18836281482113743</v>
      </c>
      <c r="K29" s="30">
        <f t="shared" si="2"/>
        <v>2.2993258399816262E-2</v>
      </c>
      <c r="L29" s="30">
        <f t="shared" si="3"/>
        <v>1.7641772205840237E-2</v>
      </c>
      <c r="M29" s="30">
        <f t="shared" si="4"/>
        <v>0.16536955642132117</v>
      </c>
      <c r="N29" s="27">
        <f t="shared" si="5"/>
        <v>5755088</v>
      </c>
      <c r="O29" s="30">
        <v>16</v>
      </c>
      <c r="P29" s="31">
        <v>24571358</v>
      </c>
      <c r="Q29" s="31">
        <v>767854.9375</v>
      </c>
      <c r="R29" s="31">
        <v>9744.125</v>
      </c>
      <c r="S29" s="32">
        <v>47146192</v>
      </c>
      <c r="T29" s="32">
        <v>4415640</v>
      </c>
      <c r="U29" s="32">
        <v>1339448</v>
      </c>
      <c r="V29" s="32">
        <v>41391104</v>
      </c>
      <c r="W29" s="33">
        <v>71.152737500000001</v>
      </c>
      <c r="X29" s="33">
        <v>74.9055125</v>
      </c>
      <c r="Y29" s="33">
        <v>37.369268750000003</v>
      </c>
      <c r="Z29" s="33">
        <v>39.408925000000004</v>
      </c>
      <c r="AA29" s="33">
        <v>38.766100000000002</v>
      </c>
      <c r="AB29" s="34">
        <v>1877.98</v>
      </c>
      <c r="AC29" s="34">
        <v>3257.7</v>
      </c>
      <c r="AD29" s="34">
        <v>61.280999999999999</v>
      </c>
      <c r="AE29" s="34">
        <v>37.616</v>
      </c>
      <c r="AG29" s="29">
        <f t="shared" si="6"/>
        <v>44.382247499999998</v>
      </c>
      <c r="AH29" s="30">
        <f t="shared" si="7"/>
        <v>0.18914138540961306</v>
      </c>
      <c r="AI29" s="30">
        <f t="shared" si="8"/>
        <v>2.2993258399816262E-2</v>
      </c>
      <c r="AJ29" s="30">
        <f t="shared" si="9"/>
        <v>1.7641772205840237E-2</v>
      </c>
      <c r="AK29" s="30">
        <f t="shared" si="10"/>
        <v>0.16614812700979681</v>
      </c>
      <c r="AL29" s="27">
        <f t="shared" si="11"/>
        <v>5755088</v>
      </c>
      <c r="AM29" s="30">
        <v>16</v>
      </c>
      <c r="AN29" s="31">
        <v>24571358</v>
      </c>
      <c r="AO29" s="31">
        <v>767854.9375</v>
      </c>
      <c r="AP29" s="31">
        <v>9744.125</v>
      </c>
      <c r="AQ29" s="32">
        <v>47341064</v>
      </c>
      <c r="AR29" s="32">
        <v>4415640</v>
      </c>
      <c r="AS29" s="32">
        <v>1339448</v>
      </c>
      <c r="AT29" s="32">
        <v>41585976</v>
      </c>
      <c r="AU29" s="33">
        <v>71.152737500000001</v>
      </c>
      <c r="AV29" s="33">
        <v>74.9055125</v>
      </c>
      <c r="AW29" s="33">
        <v>37.385565624999998</v>
      </c>
      <c r="AX29" s="33">
        <v>39.418503125000001</v>
      </c>
      <c r="AY29" s="33">
        <v>38.77510625</v>
      </c>
      <c r="AZ29" s="34">
        <v>1315.32</v>
      </c>
      <c r="BA29" s="34">
        <v>2116.69</v>
      </c>
      <c r="BB29" s="34">
        <v>73.081999999999994</v>
      </c>
      <c r="BC29" s="34">
        <v>37.950000000000003</v>
      </c>
      <c r="BE29" s="35">
        <f t="shared" si="12"/>
        <v>1</v>
      </c>
      <c r="BF29" s="36">
        <f t="shared" si="13"/>
        <v>0</v>
      </c>
      <c r="BG29" s="36">
        <f t="shared" si="14"/>
        <v>-5.0247768100078471E-4</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5.7329774999999996</v>
      </c>
      <c r="J30" s="21">
        <f t="shared" si="1"/>
        <v>1.6288782277933504E-2</v>
      </c>
      <c r="K30" s="21">
        <f t="shared" si="2"/>
        <v>9.9774936528251434E-3</v>
      </c>
      <c r="L30" s="21">
        <f t="shared" si="3"/>
        <v>6.1752286002199775E-3</v>
      </c>
      <c r="M30" s="21">
        <f t="shared" si="4"/>
        <v>6.3112886251083609E-3</v>
      </c>
      <c r="N30" s="18">
        <f t="shared" si="5"/>
        <v>3745776</v>
      </c>
      <c r="O30" s="21">
        <v>16</v>
      </c>
      <c r="P30" s="22">
        <v>84258322</v>
      </c>
      <c r="Q30" s="22">
        <v>2633072.5625</v>
      </c>
      <c r="R30" s="22">
        <v>32425.28125</v>
      </c>
      <c r="S30" s="23">
        <v>6115176</v>
      </c>
      <c r="T30" s="23">
        <v>2318320</v>
      </c>
      <c r="U30" s="23">
        <v>1427456</v>
      </c>
      <c r="V30" s="23">
        <v>2369400</v>
      </c>
      <c r="W30" s="24">
        <v>73.460731249999995</v>
      </c>
      <c r="X30" s="24">
        <v>75.713606249999998</v>
      </c>
      <c r="Y30" s="24">
        <v>34.745109374999998</v>
      </c>
      <c r="Z30" s="24">
        <v>42.167359374999997</v>
      </c>
      <c r="AA30" s="24">
        <v>43.793906249999999</v>
      </c>
      <c r="AB30" s="25">
        <v>4591.45</v>
      </c>
      <c r="AC30" s="25">
        <v>7783.07</v>
      </c>
      <c r="AD30" s="25">
        <v>278.63400000000001</v>
      </c>
      <c r="AE30" s="25">
        <v>108.386</v>
      </c>
      <c r="AG30" s="20">
        <f t="shared" si="6"/>
        <v>5.7356474999999998</v>
      </c>
      <c r="AH30" s="21">
        <f t="shared" si="7"/>
        <v>1.6296368396783976E-2</v>
      </c>
      <c r="AI30" s="21">
        <f t="shared" si="8"/>
        <v>9.9774936528251434E-3</v>
      </c>
      <c r="AJ30" s="21">
        <f t="shared" si="9"/>
        <v>6.1752286002199775E-3</v>
      </c>
      <c r="AK30" s="21">
        <f t="shared" si="10"/>
        <v>6.3188747439588333E-3</v>
      </c>
      <c r="AL30" s="18">
        <f t="shared" si="11"/>
        <v>3745776</v>
      </c>
      <c r="AM30" s="21">
        <v>16</v>
      </c>
      <c r="AN30" s="22">
        <v>84258322</v>
      </c>
      <c r="AO30" s="22">
        <v>2633072.5625</v>
      </c>
      <c r="AP30" s="22">
        <v>32425.28125</v>
      </c>
      <c r="AQ30" s="23">
        <v>6118024</v>
      </c>
      <c r="AR30" s="23">
        <v>2318320</v>
      </c>
      <c r="AS30" s="23">
        <v>1427456</v>
      </c>
      <c r="AT30" s="23">
        <v>2372248</v>
      </c>
      <c r="AU30" s="24">
        <v>73.460731249999995</v>
      </c>
      <c r="AV30" s="24">
        <v>75.713606249999998</v>
      </c>
      <c r="AW30" s="24">
        <v>34.751096875000002</v>
      </c>
      <c r="AX30" s="24">
        <v>42.152103124999996</v>
      </c>
      <c r="AY30" s="24">
        <v>43.815918750000002</v>
      </c>
      <c r="AZ30" s="25">
        <v>3869.65</v>
      </c>
      <c r="BA30" s="25">
        <v>5097.4399999999996</v>
      </c>
      <c r="BB30" s="25">
        <v>280.79000000000002</v>
      </c>
      <c r="BC30" s="25">
        <v>114.586</v>
      </c>
      <c r="BE30" s="50">
        <f t="shared" si="12"/>
        <v>1</v>
      </c>
      <c r="BF30" s="26">
        <f t="shared" si="13"/>
        <v>0</v>
      </c>
      <c r="BG30" s="26">
        <f t="shared" si="14"/>
        <v>-2.8514230135778806E-4</v>
      </c>
      <c r="BH30" s="26">
        <f t="array" ref="BH30">AVERAGE(AL30:AL34/AQ30:AQ34) - AVERAGE(N30:N34/S30:S34)</f>
        <v>-8.1280870446465148E-4</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-4.6153611312760301E-4</v>
      </c>
      <c r="BM30" s="50">
        <f>IF( OR(ISBLANK(V30:V34),ISBLANK(AT30:AT34), ISBLANK(Z30:Z34),ISBLANK(AX30:AX34)), "·", bdRateExtend( V30:V34,Z30:Z34, AT30:AT34,AX30:AX34))</f>
        <v>2.1617153516706455E-3</v>
      </c>
      <c r="BN30" s="50">
        <f>IF( OR(ISBLANK(V30:V34),ISBLANK(AT30:AT34), ISBLANK(AA30:AA34),ISBLANK(AY30:AY34)), "·", bdRateExtend( V30:V34,AA30:AA34, AT30:AT34,AY30:AY34))</f>
        <v>9.4561438020177579E-3</v>
      </c>
      <c r="BP30" s="50">
        <f>IF( OR(ISBLANK(S30:S34),ISBLANK(AQ30:AQ34), ISBLANK(W30:W34),ISBLANK(AU30:AU34)), "·", bdRateExtend( S30:S34,W30:W34, AQ30:AQ34,AU30:AU34))</f>
        <v>1.9915259067897484E-3</v>
      </c>
      <c r="BQ30" s="50">
        <f>IF( OR(ISBLANK(S30:S34),ISBLANK(AQ30:AQ34), ISBLANK(X30:X34),ISBLANK(AV30:AV34)), "·", bdRateExtend( S30:S34,X30:X34, AQ30:AQ34,AV30:AV34))</f>
        <v>2.1670188939573176E-3</v>
      </c>
      <c r="BR30" s="50">
        <f>IF( OR(ISBLANK(S30:S34),ISBLANK(AQ30:AQ34), ISBLANK(Y30:Y34),ISBLANK(AW30:AW34)), "·", bdRateExtend( S30:S34,Y30:Y34, AQ30:AQ34,AW30:AW34))</f>
        <v>-1.0822531071583708E-3</v>
      </c>
      <c r="BS30" s="50">
        <f>IF( OR(ISBLANK(S30:S34),ISBLANK(AQ30:AQ34), ISBLANK(Z30:Z34),ISBLANK(AX30:AX34)), "·", bdRateExtend( S30:S34,Z30:Z34, AQ30:AQ34,AX30:AX34))</f>
        <v>1.0977007911086023E-3</v>
      </c>
      <c r="BT30" s="50">
        <f>IF( OR(ISBLANK(S30:S34),ISBLANK(AQ30:AQ34), ISBLANK(AA30:AA34),ISBLANK(AY30:AY34)), "·", bdRateExtend( S30:S34,AA30:AA34, AQ30:AQ34,AY30:AY34))</f>
        <v>5.7421693422772258E-3</v>
      </c>
    </row>
    <row r="31" spans="1:72" outlineLevel="1" x14ac:dyDescent="0.45">
      <c r="A31" s="54"/>
      <c r="B31" s="54" t="s">
        <v>75</v>
      </c>
      <c r="C31" s="10" t="s">
        <v>231</v>
      </c>
      <c r="D31" s="54">
        <v>375422539</v>
      </c>
      <c r="E31" s="10">
        <v>11</v>
      </c>
      <c r="F31" s="10">
        <v>32</v>
      </c>
      <c r="G31" s="10">
        <v>30</v>
      </c>
      <c r="I31" s="11">
        <f t="shared" si="0"/>
        <v>8.1752775</v>
      </c>
      <c r="J31" s="12">
        <f t="shared" si="1"/>
        <v>2.3227950093854116E-2</v>
      </c>
      <c r="K31" s="12">
        <f t="shared" si="2"/>
        <v>1.2273274833933185E-2</v>
      </c>
      <c r="L31" s="12">
        <f t="shared" si="3"/>
        <v>8.4710097813280195E-3</v>
      </c>
      <c r="M31" s="12">
        <f t="shared" si="4"/>
        <v>1.0954675259920929E-2</v>
      </c>
      <c r="N31" s="54">
        <f t="shared" si="5"/>
        <v>4607664</v>
      </c>
      <c r="O31" s="12">
        <v>16</v>
      </c>
      <c r="P31" s="13">
        <v>89857639</v>
      </c>
      <c r="Q31" s="13">
        <v>2808051.21875</v>
      </c>
      <c r="R31" s="13">
        <v>41097.03125</v>
      </c>
      <c r="S31" s="14">
        <v>8720296</v>
      </c>
      <c r="T31" s="14">
        <v>3180208</v>
      </c>
      <c r="U31" s="14">
        <v>1427456</v>
      </c>
      <c r="V31" s="14">
        <v>4112632</v>
      </c>
      <c r="W31" s="15">
        <v>75.170684374999993</v>
      </c>
      <c r="X31" s="15">
        <v>77.575240625000006</v>
      </c>
      <c r="Y31" s="15">
        <v>36.650725000000001</v>
      </c>
      <c r="Z31" s="15">
        <v>42.678503124999999</v>
      </c>
      <c r="AA31" s="15">
        <v>45.052521874999996</v>
      </c>
      <c r="AB31" s="16">
        <v>4616.8500000000004</v>
      </c>
      <c r="AC31" s="16">
        <v>8125.32</v>
      </c>
      <c r="AD31" s="16">
        <v>223.06200000000001</v>
      </c>
      <c r="AE31" s="16">
        <v>110.372</v>
      </c>
      <c r="AG31" s="11">
        <f t="shared" si="6"/>
        <v>8.1918000000000006</v>
      </c>
      <c r="AH31" s="12">
        <f t="shared" si="7"/>
        <v>2.3274894531572065E-2</v>
      </c>
      <c r="AI31" s="12">
        <f t="shared" si="8"/>
        <v>1.2273274833933185E-2</v>
      </c>
      <c r="AJ31" s="12">
        <f t="shared" si="9"/>
        <v>8.4710097813280195E-3</v>
      </c>
      <c r="AK31" s="12">
        <f t="shared" si="10"/>
        <v>1.1001619697638878E-2</v>
      </c>
      <c r="AL31" s="54">
        <f t="shared" si="11"/>
        <v>4607664</v>
      </c>
      <c r="AM31" s="12">
        <v>16</v>
      </c>
      <c r="AN31" s="13">
        <v>89857639</v>
      </c>
      <c r="AO31" s="13">
        <v>2808051.21875</v>
      </c>
      <c r="AP31" s="13">
        <v>41097.03125</v>
      </c>
      <c r="AQ31" s="14">
        <v>8737920</v>
      </c>
      <c r="AR31" s="14">
        <v>3180208</v>
      </c>
      <c r="AS31" s="14">
        <v>1427456</v>
      </c>
      <c r="AT31" s="14">
        <v>4130256</v>
      </c>
      <c r="AU31" s="15">
        <v>75.170684374999993</v>
      </c>
      <c r="AV31" s="15">
        <v>77.575240625000006</v>
      </c>
      <c r="AW31" s="15">
        <v>36.664065624999999</v>
      </c>
      <c r="AX31" s="15">
        <v>42.685299999999998</v>
      </c>
      <c r="AY31" s="15">
        <v>44.981831249999999</v>
      </c>
      <c r="AZ31" s="16">
        <v>4452.0600000000004</v>
      </c>
      <c r="BA31" s="16">
        <v>5695.84</v>
      </c>
      <c r="BB31" s="16">
        <v>222.00299999999999</v>
      </c>
      <c r="BC31" s="16">
        <v>111.30200000000001</v>
      </c>
      <c r="BE31" s="51">
        <f t="shared" si="12"/>
        <v>1</v>
      </c>
      <c r="BF31" s="17">
        <f t="shared" si="13"/>
        <v>0</v>
      </c>
      <c r="BG31" s="17">
        <f t="shared" si="14"/>
        <v>-1.0657270648081196E-3</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12.6639</v>
      </c>
      <c r="J32" s="21">
        <f t="shared" si="1"/>
        <v>3.5981217419660573E-2</v>
      </c>
      <c r="K32" s="21">
        <f t="shared" si="2"/>
        <v>1.5579735877285728E-2</v>
      </c>
      <c r="L32" s="21">
        <f t="shared" si="3"/>
        <v>1.1777470824680562E-2</v>
      </c>
      <c r="M32" s="21">
        <f t="shared" si="4"/>
        <v>2.0401481542374846E-2</v>
      </c>
      <c r="N32" s="18">
        <f t="shared" si="5"/>
        <v>5848984</v>
      </c>
      <c r="O32" s="21">
        <v>16</v>
      </c>
      <c r="P32" s="22">
        <v>91814344</v>
      </c>
      <c r="Q32" s="22">
        <v>2869198.25</v>
      </c>
      <c r="R32" s="22">
        <v>44687.40625</v>
      </c>
      <c r="S32" s="23">
        <v>13508160</v>
      </c>
      <c r="T32" s="23">
        <v>4421528</v>
      </c>
      <c r="U32" s="23">
        <v>1427456</v>
      </c>
      <c r="V32" s="23">
        <v>7659176</v>
      </c>
      <c r="W32" s="24">
        <v>76.466315624999993</v>
      </c>
      <c r="X32" s="24">
        <v>79.123750000000001</v>
      </c>
      <c r="Y32" s="24">
        <v>38.406484374999998</v>
      </c>
      <c r="Z32" s="24">
        <v>43.205109374999999</v>
      </c>
      <c r="AA32" s="24">
        <v>46.226287499999998</v>
      </c>
      <c r="AB32" s="25">
        <v>3603.36</v>
      </c>
      <c r="AC32" s="25">
        <v>4735.41</v>
      </c>
      <c r="AD32" s="25">
        <v>233.76400000000001</v>
      </c>
      <c r="AE32" s="25">
        <v>114.426</v>
      </c>
      <c r="AG32" s="20">
        <f t="shared" si="6"/>
        <v>12.679080000000001</v>
      </c>
      <c r="AH32" s="21">
        <f t="shared" si="7"/>
        <v>3.6024347488630669E-2</v>
      </c>
      <c r="AI32" s="21">
        <f t="shared" si="8"/>
        <v>1.5579735877285728E-2</v>
      </c>
      <c r="AJ32" s="21">
        <f t="shared" si="9"/>
        <v>1.1777470824680562E-2</v>
      </c>
      <c r="AK32" s="21">
        <f t="shared" si="10"/>
        <v>2.0444611611344945E-2</v>
      </c>
      <c r="AL32" s="18">
        <f t="shared" si="11"/>
        <v>5848984</v>
      </c>
      <c r="AM32" s="21">
        <v>16</v>
      </c>
      <c r="AN32" s="22">
        <v>91814344</v>
      </c>
      <c r="AO32" s="22">
        <v>2869198.25</v>
      </c>
      <c r="AP32" s="22">
        <v>44687.40625</v>
      </c>
      <c r="AQ32" s="23">
        <v>13524352</v>
      </c>
      <c r="AR32" s="23">
        <v>4421528</v>
      </c>
      <c r="AS32" s="23">
        <v>1427456</v>
      </c>
      <c r="AT32" s="23">
        <v>7675368</v>
      </c>
      <c r="AU32" s="24">
        <v>76.466315624999993</v>
      </c>
      <c r="AV32" s="24">
        <v>79.123750000000001</v>
      </c>
      <c r="AW32" s="24">
        <v>38.414309375000002</v>
      </c>
      <c r="AX32" s="24">
        <v>43.212278124999997</v>
      </c>
      <c r="AY32" s="24">
        <v>46.236871874999999</v>
      </c>
      <c r="AZ32" s="25">
        <v>4316.93</v>
      </c>
      <c r="BA32" s="25">
        <v>6261.02</v>
      </c>
      <c r="BB32" s="25">
        <v>196.57900000000001</v>
      </c>
      <c r="BC32" s="25">
        <v>97.463999999999999</v>
      </c>
      <c r="BE32" s="50">
        <f t="shared" si="12"/>
        <v>1</v>
      </c>
      <c r="BF32" s="26">
        <f t="shared" si="13"/>
        <v>0</v>
      </c>
      <c r="BG32" s="26">
        <f t="shared" si="14"/>
        <v>-5.1840390792162738E-4</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21.163305000000001</v>
      </c>
      <c r="J33" s="12">
        <f t="shared" si="1"/>
        <v>6.0130092508910341E-2</v>
      </c>
      <c r="K33" s="12">
        <f t="shared" si="2"/>
        <v>2.1049370187121344E-2</v>
      </c>
      <c r="L33" s="12">
        <f t="shared" si="3"/>
        <v>1.7247105134516178E-2</v>
      </c>
      <c r="M33" s="12">
        <f t="shared" si="4"/>
        <v>3.9080722321788997E-2</v>
      </c>
      <c r="N33" s="54">
        <f t="shared" si="5"/>
        <v>7902408</v>
      </c>
      <c r="O33" s="12">
        <v>16</v>
      </c>
      <c r="P33" s="13">
        <v>93918250</v>
      </c>
      <c r="Q33" s="13">
        <v>2934945.3125</v>
      </c>
      <c r="R33" s="13">
        <v>49412.375</v>
      </c>
      <c r="S33" s="14">
        <v>22574192</v>
      </c>
      <c r="T33" s="14">
        <v>6474952</v>
      </c>
      <c r="U33" s="14">
        <v>1427456</v>
      </c>
      <c r="V33" s="14">
        <v>14671784</v>
      </c>
      <c r="W33" s="15">
        <v>77.598421875</v>
      </c>
      <c r="X33" s="15">
        <v>80.328506250000004</v>
      </c>
      <c r="Y33" s="15">
        <v>40.000678125</v>
      </c>
      <c r="Z33" s="15">
        <v>43.908221875000002</v>
      </c>
      <c r="AA33" s="15">
        <v>47.816415624999998</v>
      </c>
      <c r="AB33" s="16">
        <v>4613.6499999999996</v>
      </c>
      <c r="AC33" s="16">
        <v>7186.68</v>
      </c>
      <c r="AD33" s="16">
        <v>209.30199999999999</v>
      </c>
      <c r="AE33" s="16">
        <v>88.016999999999996</v>
      </c>
      <c r="AG33" s="11">
        <f t="shared" si="6"/>
        <v>21.227242499999999</v>
      </c>
      <c r="AH33" s="12">
        <f t="shared" si="7"/>
        <v>6.0311754484192008E-2</v>
      </c>
      <c r="AI33" s="12">
        <f t="shared" si="8"/>
        <v>2.1049370187121344E-2</v>
      </c>
      <c r="AJ33" s="12">
        <f t="shared" si="9"/>
        <v>1.7247105134516178E-2</v>
      </c>
      <c r="AK33" s="12">
        <f t="shared" si="10"/>
        <v>3.9262384297070664E-2</v>
      </c>
      <c r="AL33" s="54">
        <f t="shared" si="11"/>
        <v>7902408</v>
      </c>
      <c r="AM33" s="12">
        <v>16</v>
      </c>
      <c r="AN33" s="13">
        <v>93918250</v>
      </c>
      <c r="AO33" s="13">
        <v>2934945.3125</v>
      </c>
      <c r="AP33" s="13">
        <v>49412.375</v>
      </c>
      <c r="AQ33" s="14">
        <v>22642392</v>
      </c>
      <c r="AR33" s="14">
        <v>6474952</v>
      </c>
      <c r="AS33" s="14">
        <v>1427456</v>
      </c>
      <c r="AT33" s="14">
        <v>14739984</v>
      </c>
      <c r="AU33" s="15">
        <v>77.598421875</v>
      </c>
      <c r="AV33" s="15">
        <v>80.328506250000004</v>
      </c>
      <c r="AW33" s="15">
        <v>40.013334374999999</v>
      </c>
      <c r="AX33" s="15">
        <v>43.906796874999998</v>
      </c>
      <c r="AY33" s="15">
        <v>47.824928125</v>
      </c>
      <c r="AZ33" s="16">
        <v>3561.33</v>
      </c>
      <c r="BA33" s="16">
        <v>5045.54</v>
      </c>
      <c r="BB33" s="16">
        <v>210.137</v>
      </c>
      <c r="BC33" s="16">
        <v>105.259</v>
      </c>
      <c r="BE33" s="51">
        <f t="shared" si="12"/>
        <v>1</v>
      </c>
      <c r="BF33" s="17">
        <f t="shared" si="13"/>
        <v>0</v>
      </c>
      <c r="BG33" s="17">
        <f t="shared" si="14"/>
        <v>-1.0544094842821483E-3</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39.830572500000002</v>
      </c>
      <c r="J34" s="40">
        <f t="shared" si="1"/>
        <v>0.11316833590537301</v>
      </c>
      <c r="K34" s="40">
        <f t="shared" si="2"/>
        <v>3.3717187129246921E-2</v>
      </c>
      <c r="L34" s="40">
        <f t="shared" si="3"/>
        <v>2.6181230424207429E-2</v>
      </c>
      <c r="M34" s="40">
        <f t="shared" si="4"/>
        <v>7.9451148776126093E-2</v>
      </c>
      <c r="N34" s="37">
        <f t="shared" si="5"/>
        <v>12658192</v>
      </c>
      <c r="O34" s="40">
        <v>16</v>
      </c>
      <c r="P34" s="41">
        <v>92079625</v>
      </c>
      <c r="Q34" s="41">
        <v>2877488.28125</v>
      </c>
      <c r="R34" s="41">
        <v>21318.28125</v>
      </c>
      <c r="S34" s="42">
        <v>42485944</v>
      </c>
      <c r="T34" s="42">
        <v>9829024</v>
      </c>
      <c r="U34" s="42">
        <v>2829168</v>
      </c>
      <c r="V34" s="42">
        <v>29827752</v>
      </c>
      <c r="W34" s="43">
        <v>78.535987500000005</v>
      </c>
      <c r="X34" s="43">
        <v>81.998384375000001</v>
      </c>
      <c r="Y34" s="43">
        <v>41.515903125000001</v>
      </c>
      <c r="Z34" s="43">
        <v>44.700215624999998</v>
      </c>
      <c r="AA34" s="43">
        <v>49.230596875000003</v>
      </c>
      <c r="AB34" s="44">
        <v>3893.06</v>
      </c>
      <c r="AC34" s="44">
        <v>6921.28</v>
      </c>
      <c r="AD34" s="44">
        <v>304.40800000000002</v>
      </c>
      <c r="AE34" s="44">
        <v>148.80000000000001</v>
      </c>
      <c r="AG34" s="39">
        <f t="shared" si="6"/>
        <v>39.983609999999999</v>
      </c>
      <c r="AH34" s="40">
        <f t="shared" si="7"/>
        <v>0.11360315263330527</v>
      </c>
      <c r="AI34" s="40">
        <f t="shared" si="8"/>
        <v>3.3717187129246921E-2</v>
      </c>
      <c r="AJ34" s="40">
        <f t="shared" si="9"/>
        <v>2.6181230424207429E-2</v>
      </c>
      <c r="AK34" s="40">
        <f t="shared" si="10"/>
        <v>7.9885965504058354E-2</v>
      </c>
      <c r="AL34" s="37">
        <f t="shared" si="11"/>
        <v>12658192</v>
      </c>
      <c r="AM34" s="40">
        <v>16</v>
      </c>
      <c r="AN34" s="41">
        <v>92079625</v>
      </c>
      <c r="AO34" s="41">
        <v>2877488.28125</v>
      </c>
      <c r="AP34" s="41">
        <v>21318.28125</v>
      </c>
      <c r="AQ34" s="42">
        <v>42649184</v>
      </c>
      <c r="AR34" s="42">
        <v>9829024</v>
      </c>
      <c r="AS34" s="42">
        <v>2829168</v>
      </c>
      <c r="AT34" s="42">
        <v>29990992</v>
      </c>
      <c r="AU34" s="43">
        <v>78.535987500000005</v>
      </c>
      <c r="AV34" s="43">
        <v>81.998384375000001</v>
      </c>
      <c r="AW34" s="43">
        <v>41.526306249999998</v>
      </c>
      <c r="AX34" s="43">
        <v>44.698471875000003</v>
      </c>
      <c r="AY34" s="43">
        <v>49.232475000000001</v>
      </c>
      <c r="AZ34" s="44">
        <v>4044.29</v>
      </c>
      <c r="BA34" s="44">
        <v>8326.36</v>
      </c>
      <c r="BB34" s="44">
        <v>202.43</v>
      </c>
      <c r="BC34" s="44">
        <v>108.461</v>
      </c>
      <c r="BE34" s="45">
        <f t="shared" si="12"/>
        <v>1</v>
      </c>
      <c r="BF34" s="46">
        <f t="shared" si="13"/>
        <v>0</v>
      </c>
      <c r="BG34" s="46">
        <f t="shared" si="14"/>
        <v>-1.1403607639536295E-3</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6.3759674999999998</v>
      </c>
      <c r="J35" s="12">
        <f t="shared" si="1"/>
        <v>2.0411830896030832E-2</v>
      </c>
      <c r="K35" s="12">
        <f t="shared" si="2"/>
        <v>1.1829190100807409E-2</v>
      </c>
      <c r="L35" s="12">
        <f t="shared" si="3"/>
        <v>7.2102134882886838E-3</v>
      </c>
      <c r="M35" s="12">
        <f t="shared" si="4"/>
        <v>8.5826407952234226E-3</v>
      </c>
      <c r="N35" s="54">
        <f t="shared" si="5"/>
        <v>3941376</v>
      </c>
      <c r="O35" s="12">
        <v>16</v>
      </c>
      <c r="P35" s="13">
        <v>74688855</v>
      </c>
      <c r="Q35" s="13">
        <v>2334026.71875</v>
      </c>
      <c r="R35" s="13">
        <v>31011.90625</v>
      </c>
      <c r="S35" s="14">
        <v>6801032</v>
      </c>
      <c r="T35" s="14">
        <v>2402376</v>
      </c>
      <c r="U35" s="14">
        <v>1539000</v>
      </c>
      <c r="V35" s="14">
        <v>2859656</v>
      </c>
      <c r="W35" s="15">
        <v>73.191281250000003</v>
      </c>
      <c r="X35" s="15">
        <v>75.430568750000006</v>
      </c>
      <c r="Y35" s="15">
        <v>33.996271874999998</v>
      </c>
      <c r="Z35" s="15">
        <v>42.563065625</v>
      </c>
      <c r="AA35" s="15">
        <v>44.049106250000001</v>
      </c>
      <c r="AB35" s="16">
        <v>4133.6000000000004</v>
      </c>
      <c r="AC35" s="16">
        <v>10829.8</v>
      </c>
      <c r="AD35" s="16">
        <v>159.81700000000001</v>
      </c>
      <c r="AE35" s="16">
        <v>107.131</v>
      </c>
      <c r="AG35" s="11">
        <f t="shared" si="6"/>
        <v>6.3806174999999996</v>
      </c>
      <c r="AH35" s="12">
        <f t="shared" si="7"/>
        <v>2.0426717266399962E-2</v>
      </c>
      <c r="AI35" s="12">
        <f t="shared" si="8"/>
        <v>1.1829190100807409E-2</v>
      </c>
      <c r="AJ35" s="12">
        <f t="shared" si="9"/>
        <v>7.2102134882886838E-3</v>
      </c>
      <c r="AK35" s="12">
        <f t="shared" si="10"/>
        <v>8.5975271655925542E-3</v>
      </c>
      <c r="AL35" s="54">
        <f t="shared" si="11"/>
        <v>3941376</v>
      </c>
      <c r="AM35" s="12">
        <v>16</v>
      </c>
      <c r="AN35" s="13">
        <v>74688855</v>
      </c>
      <c r="AO35" s="13">
        <v>2334026.71875</v>
      </c>
      <c r="AP35" s="13">
        <v>31011.90625</v>
      </c>
      <c r="AQ35" s="14">
        <v>6805992</v>
      </c>
      <c r="AR35" s="14">
        <v>2402376</v>
      </c>
      <c r="AS35" s="14">
        <v>1539000</v>
      </c>
      <c r="AT35" s="14">
        <v>2864616</v>
      </c>
      <c r="AU35" s="15">
        <v>73.191281250000003</v>
      </c>
      <c r="AV35" s="15">
        <v>75.430568750000006</v>
      </c>
      <c r="AW35" s="15">
        <v>34.000996874999998</v>
      </c>
      <c r="AX35" s="15">
        <v>42.592015625000002</v>
      </c>
      <c r="AY35" s="15">
        <v>44.047090625000003</v>
      </c>
      <c r="AZ35" s="16">
        <v>3610.77</v>
      </c>
      <c r="BA35" s="16">
        <v>8899.83</v>
      </c>
      <c r="BB35" s="16">
        <v>264.233</v>
      </c>
      <c r="BC35" s="16">
        <v>164.18799999999999</v>
      </c>
      <c r="BE35" s="51">
        <f t="shared" si="12"/>
        <v>1</v>
      </c>
      <c r="BF35" s="17">
        <f t="shared" si="13"/>
        <v>0</v>
      </c>
      <c r="BG35" s="17">
        <f t="shared" si="14"/>
        <v>-4.22341046463659E-4</v>
      </c>
      <c r="BH35" s="17">
        <f t="array" ref="BH35">AVERAGE(AL35:AL39/AQ35:AQ39) - AVERAGE(N35:N39/S35:S39)</f>
        <v>-7.0664338872572507E-4</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-1.2564862926633946E-3</v>
      </c>
      <c r="BM35" s="51">
        <f>IF( OR(ISBLANK(V35:V39),ISBLANK(AT35:AT39), ISBLANK(Z35:Z39),ISBLANK(AX35:AX39)), "·", bdRateExtend( V35:V39,Z35:Z39, AT35:AT39,AX35:AX39))</f>
        <v>1.7289737697887553E-3</v>
      </c>
      <c r="BN35" s="51">
        <f>IF( OR(ISBLANK(V35:V39),ISBLANK(AT35:AT39), ISBLANK(AA35:AA39),ISBLANK(AY35:AY39)), "·", bdRateExtend( V35:V39,AA35:AA39, AT35:AT39,AY35:AY39))</f>
        <v>-3.4537513781334184E-3</v>
      </c>
      <c r="BP35" s="51">
        <f>IF( OR(ISBLANK(S35:S39),ISBLANK(AQ35:AQ39), ISBLANK(W35:W39),ISBLANK(AU35:AU39)), "·", bdRateExtend( S35:S39,W35:W39, AQ35:AQ39,AU35:AU39))</f>
        <v>1.6179880172080274E-3</v>
      </c>
      <c r="BQ35" s="51">
        <f>IF( OR(ISBLANK(S35:S39),ISBLANK(AQ35:AQ39), ISBLANK(X35:X39),ISBLANK(AV35:AV39)), "·", bdRateExtend( S35:S39,X35:X39, AQ35:AQ39,AV35:AV39))</f>
        <v>1.8436041116751678E-3</v>
      </c>
      <c r="BR35" s="51">
        <f>IF( OR(ISBLANK(S35:S39),ISBLANK(AQ35:AQ39), ISBLANK(Y35:Y39),ISBLANK(AW35:AW39)), "·", bdRateExtend( S35:S39,Y35:Y39, AQ35:AQ39,AW35:AW39))</f>
        <v>-1.5238946846818369E-3</v>
      </c>
      <c r="BS35" s="51">
        <f>IF( OR(ISBLANK(S35:S39),ISBLANK(AQ35:AQ39), ISBLANK(Z35:Z39),ISBLANK(AX35:AX39)), "·", bdRateExtend( S35:S39,Z35:Z39, AQ35:AQ39,AX35:AX39))</f>
        <v>1.2456570431447211E-3</v>
      </c>
      <c r="BT35" s="51">
        <f>IF( OR(ISBLANK(S35:S39),ISBLANK(AQ35:AQ39), ISBLANK(AA35:AA39),ISBLANK(AY35:AY39)), "·", bdRateExtend( S35:S39,AA35:AA39, AQ35:AQ39,AY35:AY39))</f>
        <v>-2.8374878895250921E-3</v>
      </c>
    </row>
    <row r="36" spans="1:72" outlineLevel="1" x14ac:dyDescent="0.45">
      <c r="A36" s="18"/>
      <c r="B36" s="18" t="s">
        <v>80</v>
      </c>
      <c r="C36" s="19" t="s">
        <v>231</v>
      </c>
      <c r="D36" s="18">
        <v>333190689</v>
      </c>
      <c r="E36" s="19">
        <v>11</v>
      </c>
      <c r="F36" s="19">
        <v>32</v>
      </c>
      <c r="G36" s="19">
        <v>30</v>
      </c>
      <c r="I36" s="20">
        <f t="shared" si="0"/>
        <v>9.0721050000000005</v>
      </c>
      <c r="J36" s="21">
        <f t="shared" si="1"/>
        <v>2.9043164528526184E-2</v>
      </c>
      <c r="K36" s="21">
        <f t="shared" si="2"/>
        <v>1.4424772836314163E-2</v>
      </c>
      <c r="L36" s="21">
        <f t="shared" si="3"/>
        <v>9.8057962237954373E-3</v>
      </c>
      <c r="M36" s="21">
        <f t="shared" si="4"/>
        <v>1.4618391692212023E-2</v>
      </c>
      <c r="N36" s="18">
        <f t="shared" si="5"/>
        <v>4806200</v>
      </c>
      <c r="O36" s="21">
        <v>16</v>
      </c>
      <c r="P36" s="22">
        <v>79945808</v>
      </c>
      <c r="Q36" s="22">
        <v>2498306.5</v>
      </c>
      <c r="R36" s="22">
        <v>39523.15625</v>
      </c>
      <c r="S36" s="23">
        <v>9676912</v>
      </c>
      <c r="T36" s="23">
        <v>3267200</v>
      </c>
      <c r="U36" s="23">
        <v>1539000</v>
      </c>
      <c r="V36" s="23">
        <v>4870712</v>
      </c>
      <c r="W36" s="24">
        <v>74.930581250000003</v>
      </c>
      <c r="X36" s="24">
        <v>77.358815625000005</v>
      </c>
      <c r="Y36" s="24">
        <v>36.098925000000001</v>
      </c>
      <c r="Z36" s="24">
        <v>43.168593749999999</v>
      </c>
      <c r="AA36" s="24">
        <v>45.335743749999999</v>
      </c>
      <c r="AB36" s="25">
        <v>4150.1499999999996</v>
      </c>
      <c r="AC36" s="25">
        <v>10798</v>
      </c>
      <c r="AD36" s="25">
        <v>200.20500000000001</v>
      </c>
      <c r="AE36" s="25">
        <v>134.99199999999999</v>
      </c>
      <c r="AG36" s="20">
        <f t="shared" si="6"/>
        <v>9.0767175000000009</v>
      </c>
      <c r="AH36" s="21">
        <f t="shared" si="7"/>
        <v>2.9057930847521372E-2</v>
      </c>
      <c r="AI36" s="21">
        <f t="shared" si="8"/>
        <v>1.4424772836314163E-2</v>
      </c>
      <c r="AJ36" s="21">
        <f t="shared" si="9"/>
        <v>9.8057962237954373E-3</v>
      </c>
      <c r="AK36" s="21">
        <f t="shared" si="10"/>
        <v>1.4633158011207211E-2</v>
      </c>
      <c r="AL36" s="18">
        <f t="shared" si="11"/>
        <v>4806200</v>
      </c>
      <c r="AM36" s="21">
        <v>16</v>
      </c>
      <c r="AN36" s="22">
        <v>79945808</v>
      </c>
      <c r="AO36" s="22">
        <v>2498306.5</v>
      </c>
      <c r="AP36" s="22">
        <v>39523.15625</v>
      </c>
      <c r="AQ36" s="23">
        <v>9681832</v>
      </c>
      <c r="AR36" s="23">
        <v>3267200</v>
      </c>
      <c r="AS36" s="23">
        <v>1539000</v>
      </c>
      <c r="AT36" s="23">
        <v>4875632</v>
      </c>
      <c r="AU36" s="24">
        <v>74.930581250000003</v>
      </c>
      <c r="AV36" s="24">
        <v>77.358815625000005</v>
      </c>
      <c r="AW36" s="24">
        <v>36.107750000000003</v>
      </c>
      <c r="AX36" s="24">
        <v>43.168268750000003</v>
      </c>
      <c r="AY36" s="24">
        <v>45.375653124999999</v>
      </c>
      <c r="AZ36" s="25">
        <v>4166.9799999999996</v>
      </c>
      <c r="BA36" s="25">
        <v>9542.7099999999991</v>
      </c>
      <c r="BB36" s="25">
        <v>169.642</v>
      </c>
      <c r="BC36" s="25">
        <v>122.85299999999999</v>
      </c>
      <c r="BE36" s="50">
        <f t="shared" si="12"/>
        <v>1</v>
      </c>
      <c r="BF36" s="26">
        <f t="shared" si="13"/>
        <v>0</v>
      </c>
      <c r="BG36" s="26">
        <f t="shared" si="14"/>
        <v>-2.5239026971474177E-4</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13.780492499999999</v>
      </c>
      <c r="J37" s="12">
        <f t="shared" si="1"/>
        <v>4.411645488688911E-2</v>
      </c>
      <c r="K37" s="12">
        <f t="shared" si="2"/>
        <v>1.8223870595615595E-2</v>
      </c>
      <c r="L37" s="12">
        <f t="shared" si="3"/>
        <v>1.3604893983096869E-2</v>
      </c>
      <c r="M37" s="12">
        <f t="shared" si="4"/>
        <v>2.5892584291273519E-2</v>
      </c>
      <c r="N37" s="54">
        <f t="shared" si="5"/>
        <v>6072024</v>
      </c>
      <c r="O37" s="12">
        <v>16</v>
      </c>
      <c r="P37" s="13">
        <v>81780101</v>
      </c>
      <c r="Q37" s="13">
        <v>2555628.15625</v>
      </c>
      <c r="R37" s="13">
        <v>43014.71875</v>
      </c>
      <c r="S37" s="14">
        <v>14699192</v>
      </c>
      <c r="T37" s="14">
        <v>4533024</v>
      </c>
      <c r="U37" s="14">
        <v>1539000</v>
      </c>
      <c r="V37" s="14">
        <v>8627168</v>
      </c>
      <c r="W37" s="15">
        <v>76.238812499999995</v>
      </c>
      <c r="X37" s="15">
        <v>78.941209375</v>
      </c>
      <c r="Y37" s="15">
        <v>37.928059374999997</v>
      </c>
      <c r="Z37" s="15">
        <v>43.745262500000003</v>
      </c>
      <c r="AA37" s="15">
        <v>46.49266875</v>
      </c>
      <c r="AB37" s="16">
        <v>3500.16</v>
      </c>
      <c r="AC37" s="16">
        <v>8223.7800000000007</v>
      </c>
      <c r="AD37" s="16">
        <v>203.53</v>
      </c>
      <c r="AE37" s="16">
        <v>144.18100000000001</v>
      </c>
      <c r="AG37" s="11">
        <f t="shared" si="6"/>
        <v>13.8038325</v>
      </c>
      <c r="AH37" s="12">
        <f t="shared" si="7"/>
        <v>4.4191174862032237E-2</v>
      </c>
      <c r="AI37" s="12">
        <f t="shared" si="8"/>
        <v>1.8223870595615595E-2</v>
      </c>
      <c r="AJ37" s="12">
        <f t="shared" si="9"/>
        <v>1.3604893983096869E-2</v>
      </c>
      <c r="AK37" s="12">
        <f t="shared" si="10"/>
        <v>2.5967304266416639E-2</v>
      </c>
      <c r="AL37" s="54">
        <f t="shared" si="11"/>
        <v>6072024</v>
      </c>
      <c r="AM37" s="12">
        <v>16</v>
      </c>
      <c r="AN37" s="13">
        <v>81780101</v>
      </c>
      <c r="AO37" s="13">
        <v>2555628.15625</v>
      </c>
      <c r="AP37" s="13">
        <v>43014.71875</v>
      </c>
      <c r="AQ37" s="14">
        <v>14724088</v>
      </c>
      <c r="AR37" s="14">
        <v>4533024</v>
      </c>
      <c r="AS37" s="14">
        <v>1539000</v>
      </c>
      <c r="AT37" s="14">
        <v>8652064</v>
      </c>
      <c r="AU37" s="15">
        <v>76.238812499999995</v>
      </c>
      <c r="AV37" s="15">
        <v>78.941209375</v>
      </c>
      <c r="AW37" s="15">
        <v>37.943987499999999</v>
      </c>
      <c r="AX37" s="15">
        <v>43.749690624999999</v>
      </c>
      <c r="AY37" s="15">
        <v>46.487137500000003</v>
      </c>
      <c r="AZ37" s="16">
        <v>4189.3599999999997</v>
      </c>
      <c r="BA37" s="16">
        <v>10574.3</v>
      </c>
      <c r="BB37" s="16">
        <v>196.85900000000001</v>
      </c>
      <c r="BC37" s="16">
        <v>151.38900000000001</v>
      </c>
      <c r="BE37" s="51">
        <f t="shared" si="12"/>
        <v>1</v>
      </c>
      <c r="BF37" s="17">
        <f t="shared" si="13"/>
        <v>0</v>
      </c>
      <c r="BG37" s="17">
        <f t="shared" si="14"/>
        <v>-6.9845943405294486E-4</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23.020612499999999</v>
      </c>
      <c r="J38" s="21">
        <f t="shared" si="1"/>
        <v>7.3697497591236713E-2</v>
      </c>
      <c r="K38" s="21">
        <f t="shared" si="2"/>
        <v>2.4418401439783331E-2</v>
      </c>
      <c r="L38" s="21">
        <f t="shared" si="3"/>
        <v>1.9799424827264607E-2</v>
      </c>
      <c r="M38" s="21">
        <f t="shared" si="4"/>
        <v>4.9279096151453379E-2</v>
      </c>
      <c r="N38" s="18">
        <f t="shared" si="5"/>
        <v>8135984</v>
      </c>
      <c r="O38" s="21">
        <v>16</v>
      </c>
      <c r="P38" s="22">
        <v>83963908</v>
      </c>
      <c r="Q38" s="22">
        <v>2623872.125</v>
      </c>
      <c r="R38" s="22">
        <v>48278.125</v>
      </c>
      <c r="S38" s="23">
        <v>24555320</v>
      </c>
      <c r="T38" s="23">
        <v>6596984</v>
      </c>
      <c r="U38" s="23">
        <v>1539000</v>
      </c>
      <c r="V38" s="23">
        <v>16419336</v>
      </c>
      <c r="W38" s="24">
        <v>77.418415624999994</v>
      </c>
      <c r="X38" s="24">
        <v>80.140518749999998</v>
      </c>
      <c r="Y38" s="24">
        <v>39.696712499999997</v>
      </c>
      <c r="Z38" s="24">
        <v>44.531153125000003</v>
      </c>
      <c r="AA38" s="24">
        <v>47.804796875000001</v>
      </c>
      <c r="AB38" s="25">
        <v>4109.07</v>
      </c>
      <c r="AC38" s="25">
        <v>10479.700000000001</v>
      </c>
      <c r="AD38" s="25">
        <v>185.49600000000001</v>
      </c>
      <c r="AE38" s="25">
        <v>116.152</v>
      </c>
      <c r="AG38" s="20">
        <f t="shared" si="6"/>
        <v>23.0959875</v>
      </c>
      <c r="AH38" s="21">
        <f t="shared" si="7"/>
        <v>7.3938800852865375E-2</v>
      </c>
      <c r="AI38" s="21">
        <f t="shared" si="8"/>
        <v>2.4418401439783331E-2</v>
      </c>
      <c r="AJ38" s="21">
        <f t="shared" si="9"/>
        <v>1.9799424827264607E-2</v>
      </c>
      <c r="AK38" s="21">
        <f t="shared" si="10"/>
        <v>4.952039941308204E-2</v>
      </c>
      <c r="AL38" s="18">
        <f t="shared" si="11"/>
        <v>8135984</v>
      </c>
      <c r="AM38" s="21">
        <v>16</v>
      </c>
      <c r="AN38" s="22">
        <v>83963908</v>
      </c>
      <c r="AO38" s="22">
        <v>2623872.125</v>
      </c>
      <c r="AP38" s="22">
        <v>48278.125</v>
      </c>
      <c r="AQ38" s="23">
        <v>24635720</v>
      </c>
      <c r="AR38" s="23">
        <v>6596984</v>
      </c>
      <c r="AS38" s="23">
        <v>1539000</v>
      </c>
      <c r="AT38" s="23">
        <v>16499736</v>
      </c>
      <c r="AU38" s="24">
        <v>77.418415624999994</v>
      </c>
      <c r="AV38" s="24">
        <v>80.140518749999998</v>
      </c>
      <c r="AW38" s="24">
        <v>39.711562499999999</v>
      </c>
      <c r="AX38" s="24">
        <v>44.529131249999999</v>
      </c>
      <c r="AY38" s="24">
        <v>47.82036875</v>
      </c>
      <c r="AZ38" s="25">
        <v>3997.62</v>
      </c>
      <c r="BA38" s="25">
        <v>12083.9</v>
      </c>
      <c r="BB38" s="25">
        <v>186.29900000000001</v>
      </c>
      <c r="BC38" s="25">
        <v>133.36199999999999</v>
      </c>
      <c r="BE38" s="50">
        <f t="shared" si="12"/>
        <v>1</v>
      </c>
      <c r="BF38" s="26">
        <f t="shared" si="13"/>
        <v>0</v>
      </c>
      <c r="BG38" s="26">
        <f t="shared" si="14"/>
        <v>-1.0813225926342707E-3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42.391522500000001</v>
      </c>
      <c r="J39" s="30">
        <f t="shared" si="1"/>
        <v>0.13571094719276505</v>
      </c>
      <c r="K39" s="30">
        <f t="shared" si="2"/>
        <v>3.9490059099460607E-2</v>
      </c>
      <c r="L39" s="30">
        <f t="shared" si="3"/>
        <v>3.0117168130109423E-2</v>
      </c>
      <c r="M39" s="30">
        <f t="shared" si="4"/>
        <v>9.6220888093304438E-2</v>
      </c>
      <c r="N39" s="27">
        <f t="shared" si="5"/>
        <v>13157720</v>
      </c>
      <c r="O39" s="30">
        <v>16</v>
      </c>
      <c r="P39" s="31">
        <v>82025858</v>
      </c>
      <c r="Q39" s="31">
        <v>2563308.0625</v>
      </c>
      <c r="R39" s="31">
        <v>19366.5625</v>
      </c>
      <c r="S39" s="32">
        <v>45217624</v>
      </c>
      <c r="T39" s="32">
        <v>10034760</v>
      </c>
      <c r="U39" s="32">
        <v>3122960</v>
      </c>
      <c r="V39" s="32">
        <v>32059904</v>
      </c>
      <c r="W39" s="33">
        <v>78.318231249999997</v>
      </c>
      <c r="X39" s="33">
        <v>81.877509375000002</v>
      </c>
      <c r="Y39" s="33">
        <v>41.297906249999997</v>
      </c>
      <c r="Z39" s="33">
        <v>45.537006249999997</v>
      </c>
      <c r="AA39" s="33">
        <v>49.137196875000001</v>
      </c>
      <c r="AB39" s="34">
        <v>4113.72</v>
      </c>
      <c r="AC39" s="34">
        <v>11496.5</v>
      </c>
      <c r="AD39" s="34">
        <v>271.024</v>
      </c>
      <c r="AE39" s="34">
        <v>216.45599999999999</v>
      </c>
      <c r="AG39" s="29">
        <f t="shared" si="6"/>
        <v>42.549255000000002</v>
      </c>
      <c r="AH39" s="30">
        <f t="shared" si="7"/>
        <v>0.13621590728185085</v>
      </c>
      <c r="AI39" s="30">
        <f t="shared" si="8"/>
        <v>3.9490059099460607E-2</v>
      </c>
      <c r="AJ39" s="30">
        <f t="shared" si="9"/>
        <v>3.0117168130109423E-2</v>
      </c>
      <c r="AK39" s="30">
        <f t="shared" si="10"/>
        <v>9.6725848182390231E-2</v>
      </c>
      <c r="AL39" s="27">
        <f t="shared" si="11"/>
        <v>13157720</v>
      </c>
      <c r="AM39" s="30">
        <v>16</v>
      </c>
      <c r="AN39" s="31">
        <v>82025858</v>
      </c>
      <c r="AO39" s="31">
        <v>2563308.0625</v>
      </c>
      <c r="AP39" s="31">
        <v>19366.5625</v>
      </c>
      <c r="AQ39" s="32">
        <v>45385872</v>
      </c>
      <c r="AR39" s="32">
        <v>10034760</v>
      </c>
      <c r="AS39" s="32">
        <v>3122960</v>
      </c>
      <c r="AT39" s="32">
        <v>32228152</v>
      </c>
      <c r="AU39" s="33">
        <v>78.318231249999997</v>
      </c>
      <c r="AV39" s="33">
        <v>81.877509375000002</v>
      </c>
      <c r="AW39" s="33">
        <v>41.310825000000001</v>
      </c>
      <c r="AX39" s="33">
        <v>45.534234374999997</v>
      </c>
      <c r="AY39" s="33">
        <v>49.129768749999997</v>
      </c>
      <c r="AZ39" s="34">
        <v>3463.79</v>
      </c>
      <c r="BA39" s="34">
        <v>8653.4500000000007</v>
      </c>
      <c r="BB39" s="34">
        <v>184.94300000000001</v>
      </c>
      <c r="BC39" s="34">
        <v>145.792</v>
      </c>
      <c r="BE39" s="35">
        <f t="shared" si="12"/>
        <v>1</v>
      </c>
      <c r="BF39" s="36">
        <f t="shared" si="13"/>
        <v>0</v>
      </c>
      <c r="BG39" s="36">
        <f t="shared" si="14"/>
        <v>-1.0787036007630646E-3</v>
      </c>
      <c r="BH39" s="36"/>
      <c r="BJ39" s="35"/>
      <c r="BK39" s="35"/>
      <c r="BL39" s="35"/>
      <c r="BM39" s="35"/>
      <c r="BN39" s="35"/>
      <c r="BP39" s="35"/>
      <c r="BQ39" s="35"/>
      <c r="BR39" s="35"/>
      <c r="BS39" s="35"/>
      <c r="BT39" s="35"/>
    </row>
    <row r="40" spans="1:72" x14ac:dyDescent="0.45">
      <c r="B40" s="47" t="s">
        <v>14</v>
      </c>
      <c r="J40" s="48">
        <f>AVERAGE(J5:J24)</f>
        <v>4.4297813858881062E-2</v>
      </c>
      <c r="K40" s="48">
        <f>AVERAGE(K5:K24)</f>
        <v>1.3934320314145566E-2</v>
      </c>
      <c r="L40" s="48">
        <f>AVERAGE(L5:L24)</f>
        <v>9.696269410246797E-3</v>
      </c>
      <c r="M40" s="48">
        <f>AVERAGE(M5:M24)</f>
        <v>3.0363493544735498E-2</v>
      </c>
      <c r="AH40" s="48">
        <f>AVERAGE(AH5:AH24)</f>
        <v>4.4531175103492693E-2</v>
      </c>
      <c r="AI40" s="48">
        <f>AVERAGE(AI5:AI24)</f>
        <v>1.3934320314145566E-2</v>
      </c>
      <c r="AJ40" s="48">
        <f>AVERAGE(AJ5:AJ24)</f>
        <v>9.696269410246797E-3</v>
      </c>
      <c r="AK40" s="48">
        <f>AVERAGE(AK5:AK24)</f>
        <v>3.0596854789347129E-2</v>
      </c>
      <c r="BE40" s="52">
        <f t="shared" si="12"/>
        <v>1</v>
      </c>
      <c r="BH40" s="55">
        <f>AVERAGE(BH5:BH24)</f>
        <v>-1.4792666045087555E-3</v>
      </c>
      <c r="BJ40" s="52">
        <f>AVERAGE(BJ5:BJ24)</f>
        <v>0</v>
      </c>
      <c r="BK40" s="52">
        <f>AVERAGE(BK5:BK24)</f>
        <v>0</v>
      </c>
      <c r="BL40" s="52">
        <f>AVERAGE(BL5:BL24)</f>
        <v>5.0508776353472284E-4</v>
      </c>
      <c r="BM40" s="52">
        <f>AVERAGE(BM5:BM24)</f>
        <v>6.4300460974662244E-3</v>
      </c>
      <c r="BN40" s="52">
        <f>AVERAGE(BN5:BN24)</f>
        <v>8.7292905501730189E-3</v>
      </c>
      <c r="BP40" s="52">
        <f>AVERAGE(BP5:BP24)</f>
        <v>4.2336556852810014E-3</v>
      </c>
      <c r="BQ40" s="52">
        <f>AVERAGE(BQ5:BQ24)</f>
        <v>4.5585247512471838E-3</v>
      </c>
      <c r="BR40" s="52">
        <f>AVERAGE(BR5:BR24)</f>
        <v>-6.7706963056468616E-4</v>
      </c>
      <c r="BS40" s="52">
        <f>AVERAGE(BS5:BS24)</f>
        <v>4.2443033495127014E-3</v>
      </c>
      <c r="BT40" s="52">
        <f>AVERAGE(BT5:BT24)</f>
        <v>5.6064260253847753E-3</v>
      </c>
    </row>
    <row r="41" spans="1:72" x14ac:dyDescent="0.45">
      <c r="B41" s="47" t="s">
        <v>15</v>
      </c>
      <c r="J41" s="48">
        <f>AVERAGE(J25:J29)</f>
        <v>7.9954906894468852E-2</v>
      </c>
      <c r="K41" s="48">
        <f>AVERAGE(K25:K29)</f>
        <v>1.2464595817739278E-2</v>
      </c>
      <c r="L41" s="48">
        <f>AVERAGE(L25:L29)</f>
        <v>9.1151281892310389E-3</v>
      </c>
      <c r="M41" s="48">
        <f>AVERAGE(M25:M29)</f>
        <v>6.7490311076729578E-2</v>
      </c>
      <c r="AH41" s="48">
        <f>AVERAGE(AH25:AH29)</f>
        <v>8.0322729478818675E-2</v>
      </c>
      <c r="AI41" s="48">
        <f>AVERAGE(AI25:AI29)</f>
        <v>1.2464595817739278E-2</v>
      </c>
      <c r="AJ41" s="48">
        <f>AVERAGE(AJ25:AJ29)</f>
        <v>9.1151281892310389E-3</v>
      </c>
      <c r="AK41" s="48">
        <f>AVERAGE(AK25:AK29)</f>
        <v>6.7858133661079414E-2</v>
      </c>
      <c r="BE41" s="52">
        <f t="shared" si="12"/>
        <v>1</v>
      </c>
      <c r="BH41" s="55">
        <f>AVERAGE(BH25:BH29)</f>
        <v>-8.6963889685320872E-4</v>
      </c>
      <c r="BJ41" s="52">
        <f>AVERAGE(BJ25:BJ29)</f>
        <v>0</v>
      </c>
      <c r="BK41" s="52">
        <f>AVERAGE(BK25:BK29)</f>
        <v>0</v>
      </c>
      <c r="BL41" s="52">
        <f>AVERAGE(BL25:BL29)</f>
        <v>-4.2627268860506717E-5</v>
      </c>
      <c r="BM41" s="52">
        <f>AVERAGE(BM25:BM29)</f>
        <v>2.2523168737151877E-3</v>
      </c>
      <c r="BN41" s="52">
        <f>AVERAGE(BN25:BN29)</f>
        <v>6.2729185260801401E-4</v>
      </c>
      <c r="BP41" s="52">
        <f>AVERAGE(BP25:BP29)</f>
        <v>4.4122765557503829E-3</v>
      </c>
      <c r="BQ41" s="52">
        <f>AVERAGE(BQ25:BQ29)</f>
        <v>4.6004008220366099E-3</v>
      </c>
      <c r="BR41" s="52">
        <f>AVERAGE(BR25:BR29)</f>
        <v>-5.468876114985699E-4</v>
      </c>
      <c r="BS41" s="52">
        <f>AVERAGE(BS25:BS29)</f>
        <v>1.6047521376547635E-3</v>
      </c>
      <c r="BT41" s="52">
        <f>AVERAGE(BT25:BT29)</f>
        <v>1.0912990838862768E-4</v>
      </c>
    </row>
    <row r="42" spans="1:72" x14ac:dyDescent="0.45">
      <c r="B42" s="47" t="s">
        <v>16</v>
      </c>
      <c r="J42" s="48">
        <f>AVERAGE(J30:J39)</f>
        <v>5.517762733011794E-2</v>
      </c>
      <c r="K42" s="48">
        <f>AVERAGE(K30:K39)</f>
        <v>2.0098335575239341E-2</v>
      </c>
      <c r="L42" s="48">
        <f>AVERAGE(L30:L39)</f>
        <v>1.5038954141750719E-2</v>
      </c>
      <c r="M42" s="48">
        <f>AVERAGE(M30:M39)</f>
        <v>3.5079291754878603E-2</v>
      </c>
      <c r="AH42" s="48">
        <f>AVERAGE(AH30:AH39)</f>
        <v>5.5334104864515378E-2</v>
      </c>
      <c r="AI42" s="48">
        <f>AVERAGE(AI30:AI39)</f>
        <v>2.0098335575239341E-2</v>
      </c>
      <c r="AJ42" s="48">
        <f>AVERAGE(AJ30:AJ39)</f>
        <v>1.5038954141750719E-2</v>
      </c>
      <c r="AK42" s="48">
        <f>AVERAGE(AK30:AK39)</f>
        <v>3.5235769289276034E-2</v>
      </c>
      <c r="BE42" s="52">
        <f t="shared" si="12"/>
        <v>1</v>
      </c>
      <c r="BH42" s="55">
        <f>AVERAGE(BH30:BH39)</f>
        <v>-7.5972604659518828E-4</v>
      </c>
      <c r="BJ42" s="52">
        <f>AVERAGE(BJ30:BJ39)</f>
        <v>0</v>
      </c>
      <c r="BK42" s="52">
        <f>AVERAGE(BK30:BK39)</f>
        <v>0</v>
      </c>
      <c r="BL42" s="52">
        <f>AVERAGE(BL30:BL39)</f>
        <v>-8.5901120289549882E-4</v>
      </c>
      <c r="BM42" s="52">
        <f>AVERAGE(BM30:BM39)</f>
        <v>1.9453445607297004E-3</v>
      </c>
      <c r="BN42" s="52">
        <f>AVERAGE(BN30:BN39)</f>
        <v>3.0011962119421698E-3</v>
      </c>
      <c r="BP42" s="52">
        <f>AVERAGE(BP30:BP39)</f>
        <v>1.8047569619988879E-3</v>
      </c>
      <c r="BQ42" s="52">
        <f>AVERAGE(BQ30:BQ39)</f>
        <v>2.0053115028162427E-3</v>
      </c>
      <c r="BR42" s="52">
        <f>AVERAGE(BR30:BR39)</f>
        <v>-1.3030738959201038E-3</v>
      </c>
      <c r="BS42" s="52">
        <f>AVERAGE(BS30:BS39)</f>
        <v>1.1716789171266617E-3</v>
      </c>
      <c r="BT42" s="52">
        <f>AVERAGE(BT30:BT39)</f>
        <v>1.4523407263760668E-3</v>
      </c>
    </row>
    <row r="43" spans="1:72" collapsed="1" x14ac:dyDescent="0.45">
      <c r="B43" s="47" t="s">
        <v>17</v>
      </c>
      <c r="J43" s="48">
        <f>AVERAGE(J5:J39)</f>
        <v>5.2500202427175569E-2</v>
      </c>
      <c r="K43" s="48">
        <f>AVERAGE(K5:K39)</f>
        <v>1.5485506889257174E-2</v>
      </c>
      <c r="L43" s="48">
        <f>AVERAGE(L5:L39)</f>
        <v>1.1139730587674238E-2</v>
      </c>
      <c r="M43" s="48">
        <f>AVERAGE(M5:M39)</f>
        <v>3.7014695537918391E-2</v>
      </c>
      <c r="AH43" s="48">
        <f>AVERAGE(AH5:AH39)</f>
        <v>5.273080566026004E-2</v>
      </c>
      <c r="AI43" s="48">
        <f>AVERAGE(AI5:AI39)</f>
        <v>1.5485506889257174E-2</v>
      </c>
      <c r="AJ43" s="48">
        <f>AVERAGE(AJ5:AJ39)</f>
        <v>1.1139730587674238E-2</v>
      </c>
      <c r="AK43" s="48">
        <f>AVERAGE(AK5:AK39)</f>
        <v>3.7245298771002855E-2</v>
      </c>
      <c r="BE43" s="52">
        <f t="shared" si="12"/>
        <v>1</v>
      </c>
      <c r="BH43" s="55">
        <f>AVERAGE(BH5:BH39)</f>
        <v>-1.1865939154398011E-3</v>
      </c>
      <c r="BJ43" s="52">
        <f>AVERAGE(BJ5:BJ39)</f>
        <v>0</v>
      </c>
      <c r="BK43" s="52">
        <f>AVERAGE(BK5:BK39)</f>
        <v>0</v>
      </c>
      <c r="BL43" s="52">
        <f>AVERAGE(BL5:BL39)</f>
        <v>3.7100197069626718E-5</v>
      </c>
      <c r="BM43" s="52">
        <f>AVERAGE(BM5:BM39)</f>
        <v>4.5518843407199262E-3</v>
      </c>
      <c r="BN43" s="52">
        <f>AVERAGE(BN5:BN39)</f>
        <v>5.9352637824549182E-3</v>
      </c>
      <c r="BP43" s="52">
        <f>AVERAGE(BP5:BP39)</f>
        <v>3.5652018886960235E-3</v>
      </c>
      <c r="BQ43" s="52">
        <f>AVERAGE(BQ5:BQ39)</f>
        <v>3.8350175475225473E-3</v>
      </c>
      <c r="BR43" s="52">
        <f>AVERAGE(BR5:BR39)</f>
        <v>-8.3733056079964604E-4</v>
      </c>
      <c r="BS43" s="52">
        <f>AVERAGE(BS5:BS39)</f>
        <v>2.9893319099941274E-3</v>
      </c>
      <c r="BT43" s="52">
        <f>AVERAGE(BT5:BT39)</f>
        <v>3.6342164946685518E-3</v>
      </c>
    </row>
    <row r="44" spans="1:72" hidden="1" outlineLevel="2" x14ac:dyDescent="0.45">
      <c r="A44" s="47" t="s">
        <v>237</v>
      </c>
      <c r="B44" s="47" t="s">
        <v>238</v>
      </c>
      <c r="AB44" s="49">
        <f>SUM(AB5:AB24,AB25:AB29,AB30:AB39)</f>
        <v>143617.81000000003</v>
      </c>
      <c r="AC44" s="49">
        <f>SUM(AC5:AC24,AC25:AC29,AC30:AC39)</f>
        <v>147738.09</v>
      </c>
      <c r="AD44" s="49">
        <f>SUM(AD5:AD24,AD25:AD29,AD30:AD39)</f>
        <v>4167.9250000000002</v>
      </c>
      <c r="AE44" s="49">
        <f>SUM(AE5:AE24,AE25:AE29,AE30:AE39)</f>
        <v>2112.2710000000002</v>
      </c>
      <c r="AZ44" s="49">
        <f>SUM(AZ5:AZ24,AZ25:AZ29,AZ30:AZ39)</f>
        <v>138754.46999999997</v>
      </c>
      <c r="BA44" s="49">
        <f>SUM(BA5:BA24,BA25:BA29,BA30:BA39)</f>
        <v>137335.67000000001</v>
      </c>
      <c r="BB44" s="49">
        <f>SUM(BB5:BB24,BB25:BB29,BB30:BB39)</f>
        <v>4169.67</v>
      </c>
      <c r="BC44" s="49">
        <f>SUM(BC5:BC24,BC25:BC29,BC30:BC39)</f>
        <v>2150.502</v>
      </c>
    </row>
    <row r="45" spans="1:72" hidden="1" outlineLevel="2" x14ac:dyDescent="0.45">
      <c r="B45" s="47" t="s">
        <v>239</v>
      </c>
      <c r="AZ45" s="55">
        <f>AZ44/AB44</f>
        <v>0.9661369296746688</v>
      </c>
      <c r="BA45" s="55">
        <f>BA44/AC44</f>
        <v>0.92958877429645947</v>
      </c>
      <c r="BB45" s="55">
        <f>BB44/AD44</f>
        <v>1.0004186735605847</v>
      </c>
      <c r="BC45" s="55">
        <f>BC44/AE44</f>
        <v>1.0180994768190255</v>
      </c>
    </row>
    <row r="46" spans="1:72" hidden="1" outlineLevel="2" x14ac:dyDescent="0.45">
      <c r="B46" s="47" t="s">
        <v>240</v>
      </c>
      <c r="AB46" s="49">
        <f>GEOMEAN(AB5:AB24,AB25:AB29,AB30:AB39)</f>
        <v>3885.6140304755459</v>
      </c>
      <c r="AC46" s="49">
        <f>GEOMEAN(AC5:AC24,AC25:AC29,AC30:AC39)</f>
        <v>3385.1240305130195</v>
      </c>
      <c r="AD46" s="49">
        <f>GEOMEAN(AD5:AD24,AD25:AD29,AD30:AD39)</f>
        <v>100.41691518475201</v>
      </c>
      <c r="AE46" s="49">
        <f>GEOMEAN(AE5:AE24,AE25:AE29,AE30:AE39)</f>
        <v>47.513322527396042</v>
      </c>
      <c r="AZ46" s="49">
        <f>GEOMEAN(AZ5:AZ24,AZ25:AZ29,AZ30:AZ39)</f>
        <v>3757.8530791333496</v>
      </c>
      <c r="BA46" s="49">
        <f>GEOMEAN(BA5:BA24,BA25:BA29,BA30:BA39)</f>
        <v>3162.2568239696548</v>
      </c>
      <c r="BB46" s="49">
        <f>GEOMEAN(BB5:BB24,BB25:BB29,BB30:BB39)</f>
        <v>106.39285574632923</v>
      </c>
      <c r="BC46" s="49">
        <f>GEOMEAN(BC5:BC24,BC25:BC29,BC30:BC39)</f>
        <v>50.951703115969195</v>
      </c>
    </row>
    <row r="47" spans="1:72" outlineLevel="2" collapsed="1" x14ac:dyDescent="0.45">
      <c r="B47" s="47" t="s">
        <v>241</v>
      </c>
      <c r="AZ47" s="55">
        <f>AZ46/AB46</f>
        <v>0.96711949505531303</v>
      </c>
      <c r="BA47" s="55">
        <f>BA46/AC46</f>
        <v>0.93416276492841266</v>
      </c>
      <c r="BB47" s="55">
        <f>BB46/AD46</f>
        <v>1.0595112939944669</v>
      </c>
      <c r="BC47" s="55">
        <f>BC46/AE46</f>
        <v>1.0723666627731747</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25" x14ac:dyDescent="0.45"/>
  <sheetData>
    <row r="1" spans="1:2" x14ac:dyDescent="0.45">
      <c r="A1" t="s">
        <v>242</v>
      </c>
      <c r="B1">
        <v>1</v>
      </c>
    </row>
    <row r="2" spans="1:2" x14ac:dyDescent="0.45">
      <c r="A2" t="s">
        <v>243</v>
      </c>
      <c r="B2">
        <v>2</v>
      </c>
    </row>
    <row r="3" spans="1:2" x14ac:dyDescent="0.45">
      <c r="A3" t="s">
        <v>244</v>
      </c>
      <c r="B3">
        <v>3</v>
      </c>
    </row>
    <row r="4" spans="1:2" x14ac:dyDescent="0.45">
      <c r="A4" t="s">
        <v>245</v>
      </c>
      <c r="B4">
        <v>4</v>
      </c>
    </row>
    <row r="5" spans="1:2" x14ac:dyDescent="0.45">
      <c r="A5" t="s">
        <v>246</v>
      </c>
      <c r="B5">
        <v>5</v>
      </c>
    </row>
    <row r="6" spans="1:2" x14ac:dyDescent="0.45">
      <c r="A6" t="s">
        <v>247</v>
      </c>
      <c r="B6">
        <v>6</v>
      </c>
    </row>
    <row r="7" spans="1:2" x14ac:dyDescent="0.45">
      <c r="A7" t="s">
        <v>248</v>
      </c>
      <c r="B7">
        <v>7</v>
      </c>
    </row>
    <row r="8" spans="1:2" x14ac:dyDescent="0.45">
      <c r="A8" t="s">
        <v>249</v>
      </c>
      <c r="B8">
        <v>9</v>
      </c>
    </row>
    <row r="9" spans="1:2" x14ac:dyDescent="0.45">
      <c r="A9" t="s">
        <v>250</v>
      </c>
      <c r="B9">
        <v>10</v>
      </c>
    </row>
    <row r="10" spans="1:2" x14ac:dyDescent="0.45">
      <c r="A10" t="s">
        <v>251</v>
      </c>
      <c r="B10">
        <v>11</v>
      </c>
    </row>
    <row r="11" spans="1:2" x14ac:dyDescent="0.45">
      <c r="A11" t="s">
        <v>252</v>
      </c>
      <c r="B11">
        <v>12</v>
      </c>
    </row>
    <row r="12" spans="1:2" x14ac:dyDescent="0.45">
      <c r="A12" t="s">
        <v>253</v>
      </c>
      <c r="B12">
        <v>13</v>
      </c>
    </row>
    <row r="13" spans="1:2" x14ac:dyDescent="0.45">
      <c r="A13" t="s">
        <v>254</v>
      </c>
      <c r="B13">
        <v>14</v>
      </c>
    </row>
    <row r="14" spans="1:2" x14ac:dyDescent="0.45">
      <c r="A14" t="s">
        <v>255</v>
      </c>
      <c r="B14">
        <v>15</v>
      </c>
    </row>
    <row r="15" spans="1:2" x14ac:dyDescent="0.45">
      <c r="A15" t="s">
        <v>256</v>
      </c>
      <c r="B15">
        <v>16</v>
      </c>
    </row>
    <row r="16" spans="1:2" x14ac:dyDescent="0.45">
      <c r="A16" t="s">
        <v>257</v>
      </c>
      <c r="B16">
        <v>17</v>
      </c>
    </row>
    <row r="17" spans="1:2" x14ac:dyDescent="0.45">
      <c r="A17" t="s">
        <v>258</v>
      </c>
      <c r="B17">
        <v>18</v>
      </c>
    </row>
    <row r="18" spans="1:2" x14ac:dyDescent="0.45">
      <c r="A18" t="s">
        <v>259</v>
      </c>
      <c r="B18">
        <v>19</v>
      </c>
    </row>
    <row r="19" spans="1:2" x14ac:dyDescent="0.45">
      <c r="A19" t="s">
        <v>260</v>
      </c>
      <c r="B19">
        <v>20</v>
      </c>
    </row>
    <row r="20" spans="1:2" x14ac:dyDescent="0.45">
      <c r="A20" t="s">
        <v>261</v>
      </c>
      <c r="B20">
        <v>21</v>
      </c>
    </row>
    <row r="21" spans="1:2" x14ac:dyDescent="0.45">
      <c r="A21" t="s">
        <v>262</v>
      </c>
      <c r="B21">
        <v>22</v>
      </c>
    </row>
    <row r="22" spans="1:2" x14ac:dyDescent="0.45">
      <c r="A22" t="s">
        <v>263</v>
      </c>
      <c r="B22">
        <v>23</v>
      </c>
    </row>
    <row r="23" spans="1:2" x14ac:dyDescent="0.45">
      <c r="A23" t="s">
        <v>264</v>
      </c>
      <c r="B23">
        <v>24</v>
      </c>
    </row>
    <row r="24" spans="1:2" x14ac:dyDescent="0.45">
      <c r="A24" t="s">
        <v>265</v>
      </c>
      <c r="B24">
        <v>25</v>
      </c>
    </row>
    <row r="25" spans="1:2" x14ac:dyDescent="0.45">
      <c r="A25" t="s">
        <v>266</v>
      </c>
      <c r="B25">
        <v>26</v>
      </c>
    </row>
    <row r="26" spans="1:2" x14ac:dyDescent="0.45">
      <c r="A26" t="s">
        <v>267</v>
      </c>
      <c r="B26">
        <v>27</v>
      </c>
    </row>
    <row r="27" spans="1:2" x14ac:dyDescent="0.45">
      <c r="A27" t="s">
        <v>268</v>
      </c>
      <c r="B27">
        <v>28</v>
      </c>
    </row>
    <row r="28" spans="1:2" x14ac:dyDescent="0.45">
      <c r="A28" t="s">
        <v>269</v>
      </c>
      <c r="B28">
        <v>29</v>
      </c>
    </row>
    <row r="29" spans="1:2" x14ac:dyDescent="0.45">
      <c r="A29" t="s">
        <v>270</v>
      </c>
      <c r="B29">
        <v>30</v>
      </c>
    </row>
    <row r="30" spans="1:2" x14ac:dyDescent="0.45">
      <c r="A30" t="s">
        <v>271</v>
      </c>
      <c r="B30">
        <v>31</v>
      </c>
    </row>
    <row r="31" spans="1:2" x14ac:dyDescent="0.45">
      <c r="A31" t="s">
        <v>272</v>
      </c>
      <c r="B31">
        <v>33</v>
      </c>
    </row>
    <row r="32" spans="1:2" x14ac:dyDescent="0.45">
      <c r="A32" t="s">
        <v>273</v>
      </c>
      <c r="B32">
        <v>34</v>
      </c>
    </row>
    <row r="33" spans="1:2" x14ac:dyDescent="0.45">
      <c r="A33" t="s">
        <v>274</v>
      </c>
      <c r="B33">
        <v>35</v>
      </c>
    </row>
    <row r="34" spans="1:2" x14ac:dyDescent="0.45">
      <c r="A34" t="s">
        <v>275</v>
      </c>
      <c r="B34">
        <v>36</v>
      </c>
    </row>
    <row r="35" spans="1:2" x14ac:dyDescent="0.45">
      <c r="A35" t="s">
        <v>276</v>
      </c>
      <c r="B35">
        <v>37</v>
      </c>
    </row>
    <row r="36" spans="1:2" x14ac:dyDescent="0.45">
      <c r="A36" t="s">
        <v>277</v>
      </c>
      <c r="B36">
        <v>38</v>
      </c>
    </row>
    <row r="37" spans="1:2" x14ac:dyDescent="0.45">
      <c r="A37" t="s">
        <v>278</v>
      </c>
      <c r="B37">
        <v>39</v>
      </c>
    </row>
    <row r="38" spans="1:2" x14ac:dyDescent="0.45">
      <c r="A38" t="s">
        <v>279</v>
      </c>
      <c r="B38">
        <v>40</v>
      </c>
    </row>
    <row r="39" spans="1:2" x14ac:dyDescent="0.45">
      <c r="A39" t="s">
        <v>280</v>
      </c>
      <c r="B39">
        <v>41</v>
      </c>
    </row>
    <row r="40" spans="1:2" x14ac:dyDescent="0.45">
      <c r="A40" t="s">
        <v>281</v>
      </c>
      <c r="B40">
        <v>42</v>
      </c>
    </row>
    <row r="41" spans="1:2" x14ac:dyDescent="0.45">
      <c r="A41" t="s">
        <v>282</v>
      </c>
      <c r="B41">
        <v>43</v>
      </c>
    </row>
    <row r="42" spans="1:2" x14ac:dyDescent="0.45">
      <c r="A42" t="s">
        <v>283</v>
      </c>
      <c r="B42">
        <v>44</v>
      </c>
    </row>
    <row r="43" spans="1:2" x14ac:dyDescent="0.45">
      <c r="A43" t="s">
        <v>284</v>
      </c>
      <c r="B43">
        <v>45</v>
      </c>
    </row>
    <row r="44" spans="1:2" x14ac:dyDescent="0.45">
      <c r="A44" t="s">
        <v>285</v>
      </c>
      <c r="B44">
        <v>46</v>
      </c>
    </row>
    <row r="45" spans="1:2" x14ac:dyDescent="0.45">
      <c r="A45" t="s">
        <v>286</v>
      </c>
      <c r="B45">
        <v>47</v>
      </c>
    </row>
    <row r="46" spans="1:2" x14ac:dyDescent="0.45">
      <c r="A46" t="s">
        <v>287</v>
      </c>
      <c r="B46">
        <v>48</v>
      </c>
    </row>
    <row r="47" spans="1:2" x14ac:dyDescent="0.45">
      <c r="A47" t="s">
        <v>288</v>
      </c>
      <c r="B47">
        <v>49</v>
      </c>
    </row>
    <row r="48" spans="1:2" x14ac:dyDescent="0.45">
      <c r="A48" t="s">
        <v>289</v>
      </c>
      <c r="B48">
        <v>50</v>
      </c>
    </row>
    <row r="49" spans="1:2" x14ac:dyDescent="0.45">
      <c r="A49" t="s">
        <v>290</v>
      </c>
      <c r="B49">
        <v>51</v>
      </c>
    </row>
    <row r="50" spans="1:2" x14ac:dyDescent="0.45">
      <c r="A50" t="s">
        <v>291</v>
      </c>
      <c r="B50">
        <v>52</v>
      </c>
    </row>
    <row r="51" spans="1:2" x14ac:dyDescent="0.45">
      <c r="A51" t="s">
        <v>292</v>
      </c>
      <c r="B51">
        <v>53</v>
      </c>
    </row>
    <row r="52" spans="1:2" x14ac:dyDescent="0.45">
      <c r="A52" t="s">
        <v>293</v>
      </c>
      <c r="B52">
        <v>54</v>
      </c>
    </row>
    <row r="53" spans="1:2" x14ac:dyDescent="0.45">
      <c r="A53" t="s">
        <v>294</v>
      </c>
      <c r="B53">
        <v>55</v>
      </c>
    </row>
    <row r="54" spans="1:2" x14ac:dyDescent="0.45">
      <c r="A54" t="s">
        <v>295</v>
      </c>
      <c r="B54">
        <v>57</v>
      </c>
    </row>
    <row r="55" spans="1:2" x14ac:dyDescent="0.45">
      <c r="A55" t="s">
        <v>296</v>
      </c>
      <c r="B55">
        <v>58</v>
      </c>
    </row>
    <row r="56" spans="1:2" x14ac:dyDescent="0.45">
      <c r="A56" t="s">
        <v>297</v>
      </c>
      <c r="B56">
        <v>59</v>
      </c>
    </row>
    <row r="57" spans="1:2" x14ac:dyDescent="0.45">
      <c r="A57" t="s">
        <v>298</v>
      </c>
      <c r="B57">
        <v>60</v>
      </c>
    </row>
    <row r="58" spans="1:2" x14ac:dyDescent="0.45">
      <c r="A58" t="s">
        <v>299</v>
      </c>
      <c r="B58">
        <v>62</v>
      </c>
    </row>
    <row r="59" spans="1:2" x14ac:dyDescent="0.45">
      <c r="A59" t="s">
        <v>300</v>
      </c>
      <c r="B59">
        <v>63</v>
      </c>
    </row>
    <row r="60" spans="1:2" x14ac:dyDescent="0.45">
      <c r="A60" t="s">
        <v>301</v>
      </c>
      <c r="B60">
        <v>64</v>
      </c>
    </row>
    <row r="61" spans="1:2" x14ac:dyDescent="0.45">
      <c r="A61" t="s">
        <v>302</v>
      </c>
      <c r="B61">
        <v>65</v>
      </c>
    </row>
    <row r="62" spans="1:2" x14ac:dyDescent="0.45">
      <c r="A62" t="s">
        <v>303</v>
      </c>
      <c r="B62">
        <v>66</v>
      </c>
    </row>
    <row r="63" spans="1:2" x14ac:dyDescent="0.45">
      <c r="A63" t="s">
        <v>304</v>
      </c>
      <c r="B63">
        <v>68</v>
      </c>
    </row>
    <row r="64" spans="1:2" x14ac:dyDescent="0.45">
      <c r="A64" t="s">
        <v>305</v>
      </c>
      <c r="B64">
        <v>69</v>
      </c>
    </row>
    <row r="65" spans="1:24" x14ac:dyDescent="0.45">
      <c r="A65" t="s">
        <v>306</v>
      </c>
      <c r="B65">
        <v>70</v>
      </c>
    </row>
    <row r="66" spans="1:24" x14ac:dyDescent="0.45">
      <c r="A66" t="s">
        <v>307</v>
      </c>
      <c r="B66">
        <v>71</v>
      </c>
    </row>
    <row r="67" spans="1:24" x14ac:dyDescent="0.45">
      <c r="A67" t="s">
        <v>308</v>
      </c>
      <c r="B67">
        <v>72</v>
      </c>
    </row>
    <row r="68" spans="1:24" x14ac:dyDescent="0.45">
      <c r="A68" t="s">
        <v>309</v>
      </c>
      <c r="B68" t="s">
        <v>310</v>
      </c>
    </row>
    <row r="69" spans="1:24" x14ac:dyDescent="0.45">
      <c r="A69" t="s">
        <v>311</v>
      </c>
      <c r="B69" t="s">
        <v>312</v>
      </c>
    </row>
    <row r="70" spans="1:24" x14ac:dyDescent="0.45">
      <c r="A70" t="s">
        <v>313</v>
      </c>
      <c r="B70" t="s">
        <v>314</v>
      </c>
    </row>
    <row r="71" spans="1:24" x14ac:dyDescent="0.45">
      <c r="A71" t="s">
        <v>315</v>
      </c>
      <c r="B71" t="s">
        <v>316</v>
      </c>
    </row>
    <row r="72" spans="1:24" x14ac:dyDescent="0.45">
      <c r="A72" t="s">
        <v>317</v>
      </c>
      <c r="B72" t="s">
        <v>318</v>
      </c>
    </row>
    <row r="73" spans="1:24" x14ac:dyDescent="0.45">
      <c r="A73" t="s">
        <v>319</v>
      </c>
      <c r="B73" t="s">
        <v>320</v>
      </c>
    </row>
    <row r="74" spans="1:24" x14ac:dyDescent="0.45">
      <c r="A74" t="s">
        <v>321</v>
      </c>
      <c r="B74" t="s">
        <v>322</v>
      </c>
    </row>
    <row r="75" spans="1:24" x14ac:dyDescent="0.45">
      <c r="A75" t="s">
        <v>323</v>
      </c>
      <c r="B75" t="s">
        <v>324</v>
      </c>
    </row>
    <row r="76" spans="1:24" x14ac:dyDescent="0.45">
      <c r="A76" t="s">
        <v>325</v>
      </c>
      <c r="B76" t="s">
        <v>326</v>
      </c>
    </row>
    <row r="77" spans="1:24" x14ac:dyDescent="0.4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45">
      <c r="A78" t="s">
        <v>328</v>
      </c>
      <c r="B78">
        <v>1</v>
      </c>
    </row>
    <row r="79" spans="1:24" x14ac:dyDescent="0.45">
      <c r="A79" t="s">
        <v>329</v>
      </c>
      <c r="B79">
        <v>2</v>
      </c>
    </row>
    <row r="80" spans="1:24" x14ac:dyDescent="0.45">
      <c r="A80" t="s">
        <v>330</v>
      </c>
      <c r="B80">
        <v>3</v>
      </c>
    </row>
    <row r="81" spans="1:2" x14ac:dyDescent="0.45">
      <c r="A81" t="s">
        <v>331</v>
      </c>
      <c r="B81">
        <v>4</v>
      </c>
    </row>
    <row r="82" spans="1:2" x14ac:dyDescent="0.45">
      <c r="A82" t="s">
        <v>332</v>
      </c>
      <c r="B82">
        <v>5</v>
      </c>
    </row>
    <row r="83" spans="1:2" x14ac:dyDescent="0.45">
      <c r="A83" t="s">
        <v>333</v>
      </c>
      <c r="B83">
        <v>6</v>
      </c>
    </row>
    <row r="84" spans="1:2" x14ac:dyDescent="0.45">
      <c r="A84" t="s">
        <v>334</v>
      </c>
      <c r="B84">
        <v>8</v>
      </c>
    </row>
    <row r="85" spans="1:2" x14ac:dyDescent="0.45">
      <c r="A85" t="s">
        <v>335</v>
      </c>
      <c r="B85">
        <v>9</v>
      </c>
    </row>
    <row r="86" spans="1:2" x14ac:dyDescent="0.45">
      <c r="A86" t="s">
        <v>336</v>
      </c>
      <c r="B86">
        <v>10</v>
      </c>
    </row>
    <row r="87" spans="1:2" x14ac:dyDescent="0.45">
      <c r="A87" t="s">
        <v>337</v>
      </c>
      <c r="B87">
        <v>11</v>
      </c>
    </row>
    <row r="88" spans="1:2" x14ac:dyDescent="0.45">
      <c r="A88" t="s">
        <v>338</v>
      </c>
      <c r="B88">
        <v>12</v>
      </c>
    </row>
    <row r="89" spans="1:2" x14ac:dyDescent="0.45">
      <c r="A89" t="s">
        <v>339</v>
      </c>
      <c r="B89">
        <v>13</v>
      </c>
    </row>
    <row r="90" spans="1:2" x14ac:dyDescent="0.45">
      <c r="A90" t="s">
        <v>340</v>
      </c>
      <c r="B90">
        <v>14</v>
      </c>
    </row>
    <row r="91" spans="1:2" x14ac:dyDescent="0.45">
      <c r="A91" t="s">
        <v>341</v>
      </c>
      <c r="B91">
        <v>15</v>
      </c>
    </row>
    <row r="92" spans="1:2" x14ac:dyDescent="0.45">
      <c r="A92" t="s">
        <v>342</v>
      </c>
      <c r="B92">
        <v>16</v>
      </c>
    </row>
    <row r="93" spans="1:2" x14ac:dyDescent="0.45">
      <c r="A93" t="s">
        <v>343</v>
      </c>
      <c r="B93">
        <v>17</v>
      </c>
    </row>
    <row r="94" spans="1:2" x14ac:dyDescent="0.45">
      <c r="A94" t="s">
        <v>344</v>
      </c>
      <c r="B94">
        <v>18</v>
      </c>
    </row>
    <row r="95" spans="1:2" x14ac:dyDescent="0.45">
      <c r="A95" t="s">
        <v>345</v>
      </c>
      <c r="B95">
        <v>19</v>
      </c>
    </row>
    <row r="96" spans="1:2" x14ac:dyDescent="0.45">
      <c r="A96" t="s">
        <v>346</v>
      </c>
      <c r="B96">
        <v>20</v>
      </c>
    </row>
    <row r="97" spans="1:2" x14ac:dyDescent="0.45">
      <c r="A97" t="s">
        <v>347</v>
      </c>
      <c r="B97">
        <v>21</v>
      </c>
    </row>
    <row r="98" spans="1:2" x14ac:dyDescent="0.45">
      <c r="A98" t="s">
        <v>348</v>
      </c>
      <c r="B98">
        <v>22</v>
      </c>
    </row>
    <row r="99" spans="1:2" x14ac:dyDescent="0.45">
      <c r="A99" t="s">
        <v>349</v>
      </c>
      <c r="B99">
        <v>23</v>
      </c>
    </row>
    <row r="100" spans="1:2" x14ac:dyDescent="0.45">
      <c r="A100" t="s">
        <v>350</v>
      </c>
      <c r="B100">
        <v>24</v>
      </c>
    </row>
    <row r="101" spans="1:2" x14ac:dyDescent="0.45">
      <c r="A101" t="s">
        <v>351</v>
      </c>
      <c r="B101">
        <v>25</v>
      </c>
    </row>
    <row r="102" spans="1:2" x14ac:dyDescent="0.45">
      <c r="A102" t="s">
        <v>352</v>
      </c>
      <c r="B102">
        <v>26</v>
      </c>
    </row>
    <row r="103" spans="1:2" x14ac:dyDescent="0.45">
      <c r="A103" t="s">
        <v>353</v>
      </c>
      <c r="B103">
        <v>27</v>
      </c>
    </row>
    <row r="104" spans="1:2" x14ac:dyDescent="0.45">
      <c r="A104" t="s">
        <v>354</v>
      </c>
      <c r="B104">
        <v>28</v>
      </c>
    </row>
    <row r="105" spans="1:2" x14ac:dyDescent="0.45">
      <c r="A105" t="s">
        <v>355</v>
      </c>
      <c r="B105">
        <v>29</v>
      </c>
    </row>
    <row r="106" spans="1:2" x14ac:dyDescent="0.45">
      <c r="A106" t="s">
        <v>356</v>
      </c>
      <c r="B106">
        <v>31</v>
      </c>
    </row>
    <row r="107" spans="1:2" x14ac:dyDescent="0.45">
      <c r="A107" t="s">
        <v>357</v>
      </c>
      <c r="B107">
        <v>32</v>
      </c>
    </row>
    <row r="108" spans="1:2" x14ac:dyDescent="0.45">
      <c r="A108" t="s">
        <v>358</v>
      </c>
      <c r="B108">
        <v>33</v>
      </c>
    </row>
    <row r="109" spans="1:2" x14ac:dyDescent="0.45">
      <c r="A109" t="s">
        <v>359</v>
      </c>
      <c r="B109">
        <v>34</v>
      </c>
    </row>
    <row r="110" spans="1:2" x14ac:dyDescent="0.45">
      <c r="A110" t="s">
        <v>360</v>
      </c>
      <c r="B110">
        <v>35</v>
      </c>
    </row>
    <row r="111" spans="1:2" x14ac:dyDescent="0.45">
      <c r="A111" t="s">
        <v>361</v>
      </c>
      <c r="B111">
        <v>36</v>
      </c>
    </row>
    <row r="112" spans="1:2" x14ac:dyDescent="0.45">
      <c r="A112" t="s">
        <v>362</v>
      </c>
      <c r="B112">
        <v>37</v>
      </c>
    </row>
    <row r="113" spans="1:2" x14ac:dyDescent="0.45">
      <c r="A113" t="s">
        <v>363</v>
      </c>
      <c r="B113">
        <v>38</v>
      </c>
    </row>
    <row r="114" spans="1:2" x14ac:dyDescent="0.45">
      <c r="A114" t="s">
        <v>364</v>
      </c>
      <c r="B114">
        <v>39</v>
      </c>
    </row>
    <row r="115" spans="1:2" x14ac:dyDescent="0.45">
      <c r="A115" t="s">
        <v>365</v>
      </c>
      <c r="B115">
        <v>40</v>
      </c>
    </row>
    <row r="116" spans="1:2" x14ac:dyDescent="0.45">
      <c r="A116" t="s">
        <v>366</v>
      </c>
      <c r="B116">
        <v>41</v>
      </c>
    </row>
    <row r="117" spans="1:2" x14ac:dyDescent="0.45">
      <c r="A117" t="s">
        <v>367</v>
      </c>
      <c r="B117">
        <v>42</v>
      </c>
    </row>
    <row r="118" spans="1:2" x14ac:dyDescent="0.45">
      <c r="A118" t="s">
        <v>368</v>
      </c>
      <c r="B118">
        <v>43</v>
      </c>
    </row>
    <row r="119" spans="1:2" x14ac:dyDescent="0.45">
      <c r="A119" t="s">
        <v>369</v>
      </c>
      <c r="B119">
        <v>44</v>
      </c>
    </row>
    <row r="120" spans="1:2" x14ac:dyDescent="0.45">
      <c r="A120" t="s">
        <v>370</v>
      </c>
      <c r="B120">
        <v>45</v>
      </c>
    </row>
    <row r="121" spans="1:2" x14ac:dyDescent="0.45">
      <c r="A121" t="s">
        <v>371</v>
      </c>
      <c r="B121">
        <v>46</v>
      </c>
    </row>
    <row r="122" spans="1:2" x14ac:dyDescent="0.45">
      <c r="A122" t="s">
        <v>372</v>
      </c>
      <c r="B122">
        <v>47</v>
      </c>
    </row>
    <row r="123" spans="1:2" x14ac:dyDescent="0.45">
      <c r="A123" t="s">
        <v>373</v>
      </c>
      <c r="B123">
        <v>48</v>
      </c>
    </row>
    <row r="124" spans="1:2" x14ac:dyDescent="0.45">
      <c r="A124" t="s">
        <v>374</v>
      </c>
      <c r="B124">
        <v>49</v>
      </c>
    </row>
    <row r="125" spans="1:2" x14ac:dyDescent="0.45">
      <c r="A125" t="s">
        <v>375</v>
      </c>
      <c r="B125">
        <v>50</v>
      </c>
    </row>
    <row r="126" spans="1:2" x14ac:dyDescent="0.45">
      <c r="A126" t="s">
        <v>376</v>
      </c>
      <c r="B126">
        <v>51</v>
      </c>
    </row>
    <row r="127" spans="1:2" x14ac:dyDescent="0.45">
      <c r="A127" t="s">
        <v>377</v>
      </c>
      <c r="B127">
        <v>52</v>
      </c>
    </row>
    <row r="128" spans="1:2" x14ac:dyDescent="0.45">
      <c r="A128" t="s">
        <v>378</v>
      </c>
      <c r="B128">
        <v>54</v>
      </c>
    </row>
    <row r="129" spans="1:23" x14ac:dyDescent="0.45">
      <c r="A129" t="s">
        <v>379</v>
      </c>
      <c r="B129">
        <v>55</v>
      </c>
    </row>
    <row r="130" spans="1:23" x14ac:dyDescent="0.45">
      <c r="A130" t="s">
        <v>380</v>
      </c>
      <c r="B130">
        <v>56</v>
      </c>
    </row>
    <row r="131" spans="1:23" x14ac:dyDescent="0.45">
      <c r="A131" t="s">
        <v>381</v>
      </c>
      <c r="B131">
        <v>57</v>
      </c>
    </row>
    <row r="132" spans="1:23" x14ac:dyDescent="0.45">
      <c r="A132" t="s">
        <v>382</v>
      </c>
      <c r="B132">
        <v>58</v>
      </c>
    </row>
    <row r="133" spans="1:23" x14ac:dyDescent="0.45">
      <c r="A133" t="s">
        <v>383</v>
      </c>
      <c r="B133">
        <v>59</v>
      </c>
    </row>
    <row r="134" spans="1:23" x14ac:dyDescent="0.45">
      <c r="A134" t="s">
        <v>384</v>
      </c>
      <c r="B134" t="s">
        <v>385</v>
      </c>
    </row>
    <row r="135" spans="1:23" x14ac:dyDescent="0.45">
      <c r="A135" t="s">
        <v>386</v>
      </c>
      <c r="B135" t="s">
        <v>387</v>
      </c>
    </row>
    <row r="136" spans="1:23" x14ac:dyDescent="0.45">
      <c r="A136" t="s">
        <v>388</v>
      </c>
      <c r="B136" t="s">
        <v>389</v>
      </c>
    </row>
    <row r="137" spans="1:23" x14ac:dyDescent="0.45">
      <c r="A137" t="s">
        <v>390</v>
      </c>
      <c r="B137" t="s">
        <v>391</v>
      </c>
    </row>
    <row r="138" spans="1:23" x14ac:dyDescent="0.45">
      <c r="A138" t="s">
        <v>392</v>
      </c>
      <c r="B138" t="s">
        <v>393</v>
      </c>
    </row>
    <row r="139" spans="1:23" x14ac:dyDescent="0.45">
      <c r="A139" t="s">
        <v>394</v>
      </c>
      <c r="B139" t="s">
        <v>395</v>
      </c>
    </row>
    <row r="140" spans="1:23" x14ac:dyDescent="0.45">
      <c r="A140" t="s">
        <v>396</v>
      </c>
      <c r="B140" t="s">
        <v>397</v>
      </c>
    </row>
    <row r="141" spans="1:23" x14ac:dyDescent="0.45">
      <c r="A141" t="s">
        <v>398</v>
      </c>
      <c r="B141" t="s">
        <v>399</v>
      </c>
    </row>
    <row r="142" spans="1:23" x14ac:dyDescent="0.45">
      <c r="A142" t="s">
        <v>400</v>
      </c>
      <c r="B142" t="s">
        <v>401</v>
      </c>
    </row>
    <row r="143" spans="1:23" x14ac:dyDescent="0.4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45">
      <c r="A144" t="s">
        <v>403</v>
      </c>
      <c r="B144">
        <v>1</v>
      </c>
    </row>
    <row r="145" spans="1:2" x14ac:dyDescent="0.45">
      <c r="A145" t="s">
        <v>404</v>
      </c>
      <c r="B145">
        <v>2</v>
      </c>
    </row>
    <row r="146" spans="1:2" x14ac:dyDescent="0.45">
      <c r="A146" t="s">
        <v>405</v>
      </c>
      <c r="B146">
        <v>3</v>
      </c>
    </row>
    <row r="147" spans="1:2" x14ac:dyDescent="0.45">
      <c r="A147" t="s">
        <v>406</v>
      </c>
      <c r="B147">
        <v>4</v>
      </c>
    </row>
    <row r="148" spans="1:2" x14ac:dyDescent="0.45">
      <c r="A148" t="s">
        <v>407</v>
      </c>
      <c r="B148">
        <v>5</v>
      </c>
    </row>
    <row r="149" spans="1:2" x14ac:dyDescent="0.45">
      <c r="A149" t="s">
        <v>408</v>
      </c>
      <c r="B149">
        <v>6</v>
      </c>
    </row>
    <row r="150" spans="1:2" x14ac:dyDescent="0.45">
      <c r="A150" t="s">
        <v>409</v>
      </c>
      <c r="B150">
        <v>8</v>
      </c>
    </row>
    <row r="151" spans="1:2" x14ac:dyDescent="0.45">
      <c r="A151" t="s">
        <v>410</v>
      </c>
      <c r="B151">
        <v>9</v>
      </c>
    </row>
    <row r="152" spans="1:2" x14ac:dyDescent="0.45">
      <c r="A152" t="s">
        <v>411</v>
      </c>
      <c r="B152">
        <v>10</v>
      </c>
    </row>
    <row r="153" spans="1:2" x14ac:dyDescent="0.45">
      <c r="A153" t="s">
        <v>412</v>
      </c>
      <c r="B153">
        <v>11</v>
      </c>
    </row>
    <row r="154" spans="1:2" x14ac:dyDescent="0.45">
      <c r="A154" t="s">
        <v>413</v>
      </c>
      <c r="B154">
        <v>12</v>
      </c>
    </row>
    <row r="155" spans="1:2" x14ac:dyDescent="0.45">
      <c r="A155" t="s">
        <v>414</v>
      </c>
      <c r="B155">
        <v>13</v>
      </c>
    </row>
    <row r="156" spans="1:2" x14ac:dyDescent="0.45">
      <c r="A156" t="s">
        <v>415</v>
      </c>
      <c r="B156">
        <v>14</v>
      </c>
    </row>
    <row r="157" spans="1:2" x14ac:dyDescent="0.45">
      <c r="A157" t="s">
        <v>416</v>
      </c>
      <c r="B157">
        <v>15</v>
      </c>
    </row>
    <row r="158" spans="1:2" x14ac:dyDescent="0.45">
      <c r="A158" t="s">
        <v>417</v>
      </c>
      <c r="B158">
        <v>16</v>
      </c>
    </row>
    <row r="159" spans="1:2" x14ac:dyDescent="0.45">
      <c r="A159" t="s">
        <v>418</v>
      </c>
      <c r="B159">
        <v>17</v>
      </c>
    </row>
    <row r="160" spans="1:2" x14ac:dyDescent="0.45">
      <c r="A160" t="s">
        <v>419</v>
      </c>
      <c r="B160">
        <v>18</v>
      </c>
    </row>
    <row r="161" spans="1:2" x14ac:dyDescent="0.45">
      <c r="A161" t="s">
        <v>420</v>
      </c>
      <c r="B161">
        <v>19</v>
      </c>
    </row>
    <row r="162" spans="1:2" x14ac:dyDescent="0.45">
      <c r="A162" t="s">
        <v>421</v>
      </c>
      <c r="B162">
        <v>20</v>
      </c>
    </row>
    <row r="163" spans="1:2" x14ac:dyDescent="0.45">
      <c r="A163" t="s">
        <v>422</v>
      </c>
      <c r="B163">
        <v>21</v>
      </c>
    </row>
    <row r="164" spans="1:2" x14ac:dyDescent="0.45">
      <c r="A164" t="s">
        <v>423</v>
      </c>
      <c r="B164">
        <v>22</v>
      </c>
    </row>
    <row r="165" spans="1:2" x14ac:dyDescent="0.45">
      <c r="A165" t="s">
        <v>424</v>
      </c>
      <c r="B165">
        <v>23</v>
      </c>
    </row>
    <row r="166" spans="1:2" x14ac:dyDescent="0.45">
      <c r="A166" t="s">
        <v>425</v>
      </c>
      <c r="B166">
        <v>24</v>
      </c>
    </row>
    <row r="167" spans="1:2" x14ac:dyDescent="0.45">
      <c r="A167" t="s">
        <v>426</v>
      </c>
      <c r="B167">
        <v>25</v>
      </c>
    </row>
    <row r="168" spans="1:2" x14ac:dyDescent="0.45">
      <c r="A168" t="s">
        <v>427</v>
      </c>
      <c r="B168">
        <v>26</v>
      </c>
    </row>
    <row r="169" spans="1:2" x14ac:dyDescent="0.45">
      <c r="A169" t="s">
        <v>428</v>
      </c>
      <c r="B169">
        <v>27</v>
      </c>
    </row>
    <row r="170" spans="1:2" x14ac:dyDescent="0.45">
      <c r="A170" t="s">
        <v>429</v>
      </c>
      <c r="B170">
        <v>28</v>
      </c>
    </row>
    <row r="171" spans="1:2" x14ac:dyDescent="0.45">
      <c r="A171" t="s">
        <v>430</v>
      </c>
      <c r="B171">
        <v>29</v>
      </c>
    </row>
    <row r="172" spans="1:2" x14ac:dyDescent="0.45">
      <c r="A172" t="s">
        <v>431</v>
      </c>
      <c r="B172">
        <v>31</v>
      </c>
    </row>
    <row r="173" spans="1:2" x14ac:dyDescent="0.45">
      <c r="A173" t="s">
        <v>432</v>
      </c>
      <c r="B173">
        <v>32</v>
      </c>
    </row>
    <row r="174" spans="1:2" x14ac:dyDescent="0.45">
      <c r="A174" t="s">
        <v>433</v>
      </c>
      <c r="B174">
        <v>33</v>
      </c>
    </row>
    <row r="175" spans="1:2" x14ac:dyDescent="0.45">
      <c r="A175" t="s">
        <v>434</v>
      </c>
      <c r="B175">
        <v>34</v>
      </c>
    </row>
    <row r="176" spans="1:2" x14ac:dyDescent="0.45">
      <c r="A176" t="s">
        <v>435</v>
      </c>
      <c r="B176">
        <v>35</v>
      </c>
    </row>
    <row r="177" spans="1:2" x14ac:dyDescent="0.45">
      <c r="A177" t="s">
        <v>436</v>
      </c>
      <c r="B177">
        <v>36</v>
      </c>
    </row>
    <row r="178" spans="1:2" x14ac:dyDescent="0.45">
      <c r="A178" t="s">
        <v>437</v>
      </c>
      <c r="B178">
        <v>37</v>
      </c>
    </row>
    <row r="179" spans="1:2" x14ac:dyDescent="0.45">
      <c r="A179" t="s">
        <v>438</v>
      </c>
      <c r="B179">
        <v>38</v>
      </c>
    </row>
    <row r="180" spans="1:2" x14ac:dyDescent="0.45">
      <c r="A180" t="s">
        <v>439</v>
      </c>
      <c r="B180">
        <v>39</v>
      </c>
    </row>
    <row r="181" spans="1:2" x14ac:dyDescent="0.45">
      <c r="A181" t="s">
        <v>440</v>
      </c>
      <c r="B181">
        <v>40</v>
      </c>
    </row>
    <row r="182" spans="1:2" x14ac:dyDescent="0.45">
      <c r="A182" t="s">
        <v>441</v>
      </c>
      <c r="B182">
        <v>41</v>
      </c>
    </row>
    <row r="183" spans="1:2" x14ac:dyDescent="0.45">
      <c r="A183" t="s">
        <v>442</v>
      </c>
      <c r="B183">
        <v>42</v>
      </c>
    </row>
    <row r="184" spans="1:2" x14ac:dyDescent="0.45">
      <c r="A184" t="s">
        <v>443</v>
      </c>
      <c r="B184">
        <v>43</v>
      </c>
    </row>
    <row r="185" spans="1:2" x14ac:dyDescent="0.45">
      <c r="A185" t="s">
        <v>444</v>
      </c>
      <c r="B185">
        <v>44</v>
      </c>
    </row>
    <row r="186" spans="1:2" x14ac:dyDescent="0.45">
      <c r="A186" t="s">
        <v>445</v>
      </c>
      <c r="B186">
        <v>45</v>
      </c>
    </row>
    <row r="187" spans="1:2" x14ac:dyDescent="0.45">
      <c r="A187" t="s">
        <v>446</v>
      </c>
      <c r="B187">
        <v>46</v>
      </c>
    </row>
    <row r="188" spans="1:2" x14ac:dyDescent="0.45">
      <c r="A188" t="s">
        <v>447</v>
      </c>
      <c r="B188">
        <v>47</v>
      </c>
    </row>
    <row r="189" spans="1:2" x14ac:dyDescent="0.45">
      <c r="A189" t="s">
        <v>448</v>
      </c>
      <c r="B189">
        <v>48</v>
      </c>
    </row>
    <row r="190" spans="1:2" x14ac:dyDescent="0.45">
      <c r="A190" t="s">
        <v>449</v>
      </c>
      <c r="B190">
        <v>49</v>
      </c>
    </row>
    <row r="191" spans="1:2" x14ac:dyDescent="0.45">
      <c r="A191" t="s">
        <v>450</v>
      </c>
      <c r="B191">
        <v>50</v>
      </c>
    </row>
    <row r="192" spans="1:2" x14ac:dyDescent="0.45">
      <c r="A192" t="s">
        <v>451</v>
      </c>
      <c r="B192">
        <v>51</v>
      </c>
    </row>
    <row r="193" spans="1:2" x14ac:dyDescent="0.45">
      <c r="A193" t="s">
        <v>452</v>
      </c>
      <c r="B193">
        <v>52</v>
      </c>
    </row>
    <row r="194" spans="1:2" x14ac:dyDescent="0.45">
      <c r="A194" t="s">
        <v>453</v>
      </c>
      <c r="B194">
        <v>54</v>
      </c>
    </row>
    <row r="195" spans="1:2" x14ac:dyDescent="0.45">
      <c r="A195" t="s">
        <v>454</v>
      </c>
      <c r="B195">
        <v>55</v>
      </c>
    </row>
    <row r="196" spans="1:2" x14ac:dyDescent="0.45">
      <c r="A196" t="s">
        <v>455</v>
      </c>
      <c r="B196">
        <v>56</v>
      </c>
    </row>
    <row r="197" spans="1:2" x14ac:dyDescent="0.45">
      <c r="A197" t="s">
        <v>456</v>
      </c>
      <c r="B197">
        <v>57</v>
      </c>
    </row>
    <row r="198" spans="1:2" x14ac:dyDescent="0.45">
      <c r="A198" t="s">
        <v>457</v>
      </c>
      <c r="B198">
        <v>58</v>
      </c>
    </row>
    <row r="199" spans="1:2" x14ac:dyDescent="0.45">
      <c r="A199" t="s">
        <v>458</v>
      </c>
      <c r="B199">
        <v>59</v>
      </c>
    </row>
    <row r="200" spans="1:2" x14ac:dyDescent="0.45">
      <c r="A200" t="s">
        <v>459</v>
      </c>
      <c r="B200" t="s">
        <v>460</v>
      </c>
    </row>
    <row r="201" spans="1:2" x14ac:dyDescent="0.45">
      <c r="A201" t="s">
        <v>461</v>
      </c>
      <c r="B201" t="s">
        <v>462</v>
      </c>
    </row>
    <row r="202" spans="1:2" x14ac:dyDescent="0.45">
      <c r="A202" t="s">
        <v>463</v>
      </c>
      <c r="B202" t="s">
        <v>464</v>
      </c>
    </row>
    <row r="203" spans="1:2" x14ac:dyDescent="0.45">
      <c r="A203" t="s">
        <v>465</v>
      </c>
      <c r="B203" t="s">
        <v>466</v>
      </c>
    </row>
    <row r="204" spans="1:2" x14ac:dyDescent="0.45">
      <c r="A204" t="s">
        <v>467</v>
      </c>
      <c r="B204" t="s">
        <v>468</v>
      </c>
    </row>
    <row r="205" spans="1:2" x14ac:dyDescent="0.45">
      <c r="A205" t="s">
        <v>469</v>
      </c>
      <c r="B205" t="s">
        <v>470</v>
      </c>
    </row>
    <row r="206" spans="1:2" x14ac:dyDescent="0.45">
      <c r="A206" t="s">
        <v>471</v>
      </c>
      <c r="B206" t="s">
        <v>472</v>
      </c>
    </row>
    <row r="207" spans="1:2" x14ac:dyDescent="0.45">
      <c r="A207" t="s">
        <v>473</v>
      </c>
      <c r="B207" t="s">
        <v>474</v>
      </c>
    </row>
    <row r="208" spans="1:2" x14ac:dyDescent="0.45">
      <c r="A208" t="s">
        <v>475</v>
      </c>
      <c r="B208" t="s">
        <v>476</v>
      </c>
    </row>
    <row r="209" spans="1:23" x14ac:dyDescent="0.4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45">
      <c r="A210" t="s">
        <v>478</v>
      </c>
      <c r="B210">
        <v>1</v>
      </c>
    </row>
    <row r="211" spans="1:23" x14ac:dyDescent="0.45">
      <c r="A211" t="s">
        <v>479</v>
      </c>
      <c r="B211">
        <v>2</v>
      </c>
    </row>
    <row r="212" spans="1:23" x14ac:dyDescent="0.45">
      <c r="A212" t="s">
        <v>480</v>
      </c>
      <c r="B212">
        <v>3</v>
      </c>
    </row>
    <row r="213" spans="1:23" x14ac:dyDescent="0.45">
      <c r="A213" t="s">
        <v>481</v>
      </c>
      <c r="B213">
        <v>4</v>
      </c>
    </row>
    <row r="214" spans="1:23" x14ac:dyDescent="0.45">
      <c r="A214" t="s">
        <v>482</v>
      </c>
      <c r="B214">
        <v>5</v>
      </c>
    </row>
    <row r="215" spans="1:23" x14ac:dyDescent="0.45">
      <c r="A215" t="s">
        <v>483</v>
      </c>
      <c r="B215">
        <v>6</v>
      </c>
    </row>
    <row r="216" spans="1:23" x14ac:dyDescent="0.45">
      <c r="A216" t="s">
        <v>484</v>
      </c>
      <c r="B216">
        <v>7</v>
      </c>
    </row>
    <row r="217" spans="1:23" x14ac:dyDescent="0.45">
      <c r="A217" t="s">
        <v>485</v>
      </c>
      <c r="B217">
        <v>9</v>
      </c>
    </row>
    <row r="218" spans="1:23" x14ac:dyDescent="0.45">
      <c r="A218" t="s">
        <v>486</v>
      </c>
      <c r="B218">
        <v>10</v>
      </c>
    </row>
    <row r="219" spans="1:23" x14ac:dyDescent="0.45">
      <c r="A219" t="s">
        <v>487</v>
      </c>
      <c r="B219">
        <v>11</v>
      </c>
    </row>
    <row r="220" spans="1:23" x14ac:dyDescent="0.45">
      <c r="A220" t="s">
        <v>488</v>
      </c>
      <c r="B220">
        <v>12</v>
      </c>
    </row>
    <row r="221" spans="1:23" x14ac:dyDescent="0.45">
      <c r="A221" t="s">
        <v>489</v>
      </c>
      <c r="B221">
        <v>13</v>
      </c>
    </row>
    <row r="222" spans="1:23" x14ac:dyDescent="0.45">
      <c r="A222" t="s">
        <v>490</v>
      </c>
      <c r="B222">
        <v>14</v>
      </c>
    </row>
    <row r="223" spans="1:23" x14ac:dyDescent="0.45">
      <c r="A223" t="s">
        <v>491</v>
      </c>
      <c r="B223">
        <v>15</v>
      </c>
    </row>
    <row r="224" spans="1:23" x14ac:dyDescent="0.45">
      <c r="A224" t="s">
        <v>492</v>
      </c>
      <c r="B224">
        <v>16</v>
      </c>
    </row>
    <row r="225" spans="1:2" x14ac:dyDescent="0.45">
      <c r="A225" t="s">
        <v>493</v>
      </c>
      <c r="B225">
        <v>17</v>
      </c>
    </row>
    <row r="226" spans="1:2" x14ac:dyDescent="0.45">
      <c r="A226" t="s">
        <v>494</v>
      </c>
      <c r="B226">
        <v>18</v>
      </c>
    </row>
    <row r="227" spans="1:2" x14ac:dyDescent="0.45">
      <c r="A227" t="s">
        <v>495</v>
      </c>
      <c r="B227">
        <v>19</v>
      </c>
    </row>
    <row r="228" spans="1:2" x14ac:dyDescent="0.45">
      <c r="A228" t="s">
        <v>496</v>
      </c>
      <c r="B228">
        <v>20</v>
      </c>
    </row>
    <row r="229" spans="1:2" x14ac:dyDescent="0.45">
      <c r="A229" t="s">
        <v>497</v>
      </c>
      <c r="B229">
        <v>21</v>
      </c>
    </row>
    <row r="230" spans="1:2" x14ac:dyDescent="0.45">
      <c r="A230" t="s">
        <v>498</v>
      </c>
      <c r="B230">
        <v>22</v>
      </c>
    </row>
    <row r="231" spans="1:2" x14ac:dyDescent="0.45">
      <c r="A231" t="s">
        <v>499</v>
      </c>
      <c r="B231">
        <v>23</v>
      </c>
    </row>
    <row r="232" spans="1:2" x14ac:dyDescent="0.45">
      <c r="A232" t="s">
        <v>500</v>
      </c>
      <c r="B232">
        <v>24</v>
      </c>
    </row>
    <row r="233" spans="1:2" x14ac:dyDescent="0.45">
      <c r="A233" t="s">
        <v>501</v>
      </c>
      <c r="B233">
        <v>25</v>
      </c>
    </row>
    <row r="234" spans="1:2" x14ac:dyDescent="0.45">
      <c r="A234" t="s">
        <v>502</v>
      </c>
      <c r="B234">
        <v>26</v>
      </c>
    </row>
    <row r="235" spans="1:2" x14ac:dyDescent="0.45">
      <c r="A235" t="s">
        <v>503</v>
      </c>
      <c r="B235">
        <v>27</v>
      </c>
    </row>
    <row r="236" spans="1:2" x14ac:dyDescent="0.45">
      <c r="A236" t="s">
        <v>504</v>
      </c>
      <c r="B236">
        <v>28</v>
      </c>
    </row>
    <row r="237" spans="1:2" x14ac:dyDescent="0.45">
      <c r="A237" t="s">
        <v>505</v>
      </c>
      <c r="B237">
        <v>29</v>
      </c>
    </row>
    <row r="238" spans="1:2" x14ac:dyDescent="0.45">
      <c r="A238" t="s">
        <v>506</v>
      </c>
      <c r="B238">
        <v>30</v>
      </c>
    </row>
    <row r="239" spans="1:2" x14ac:dyDescent="0.45">
      <c r="A239" t="s">
        <v>507</v>
      </c>
      <c r="B239">
        <v>31</v>
      </c>
    </row>
    <row r="240" spans="1:2" x14ac:dyDescent="0.45">
      <c r="A240" t="s">
        <v>508</v>
      </c>
      <c r="B240">
        <v>33</v>
      </c>
    </row>
    <row r="241" spans="1:2" x14ac:dyDescent="0.45">
      <c r="A241" t="s">
        <v>509</v>
      </c>
      <c r="B241">
        <v>34</v>
      </c>
    </row>
    <row r="242" spans="1:2" x14ac:dyDescent="0.45">
      <c r="A242" t="s">
        <v>510</v>
      </c>
      <c r="B242">
        <v>35</v>
      </c>
    </row>
    <row r="243" spans="1:2" x14ac:dyDescent="0.45">
      <c r="A243" t="s">
        <v>511</v>
      </c>
      <c r="B243">
        <v>36</v>
      </c>
    </row>
    <row r="244" spans="1:2" x14ac:dyDescent="0.45">
      <c r="A244" t="s">
        <v>512</v>
      </c>
      <c r="B244">
        <v>37</v>
      </c>
    </row>
    <row r="245" spans="1:2" x14ac:dyDescent="0.45">
      <c r="A245" t="s">
        <v>513</v>
      </c>
      <c r="B245">
        <v>38</v>
      </c>
    </row>
    <row r="246" spans="1:2" x14ac:dyDescent="0.45">
      <c r="A246" t="s">
        <v>514</v>
      </c>
      <c r="B246">
        <v>39</v>
      </c>
    </row>
    <row r="247" spans="1:2" x14ac:dyDescent="0.45">
      <c r="A247" t="s">
        <v>515</v>
      </c>
      <c r="B247">
        <v>40</v>
      </c>
    </row>
    <row r="248" spans="1:2" x14ac:dyDescent="0.45">
      <c r="A248" t="s">
        <v>516</v>
      </c>
      <c r="B248">
        <v>41</v>
      </c>
    </row>
    <row r="249" spans="1:2" x14ac:dyDescent="0.45">
      <c r="A249" t="s">
        <v>517</v>
      </c>
      <c r="B249">
        <v>42</v>
      </c>
    </row>
    <row r="250" spans="1:2" x14ac:dyDescent="0.45">
      <c r="A250" t="s">
        <v>518</v>
      </c>
      <c r="B250">
        <v>43</v>
      </c>
    </row>
    <row r="251" spans="1:2" x14ac:dyDescent="0.45">
      <c r="A251" t="s">
        <v>519</v>
      </c>
      <c r="B251">
        <v>44</v>
      </c>
    </row>
    <row r="252" spans="1:2" x14ac:dyDescent="0.45">
      <c r="A252" t="s">
        <v>520</v>
      </c>
      <c r="B252">
        <v>45</v>
      </c>
    </row>
    <row r="253" spans="1:2" x14ac:dyDescent="0.45">
      <c r="A253" t="s">
        <v>521</v>
      </c>
      <c r="B253">
        <v>46</v>
      </c>
    </row>
    <row r="254" spans="1:2" x14ac:dyDescent="0.45">
      <c r="A254" t="s">
        <v>522</v>
      </c>
      <c r="B254">
        <v>47</v>
      </c>
    </row>
    <row r="255" spans="1:2" x14ac:dyDescent="0.45">
      <c r="A255" t="s">
        <v>523</v>
      </c>
      <c r="B255">
        <v>48</v>
      </c>
    </row>
    <row r="256" spans="1:2" x14ac:dyDescent="0.45">
      <c r="A256" t="s">
        <v>524</v>
      </c>
      <c r="B256">
        <v>49</v>
      </c>
    </row>
    <row r="257" spans="1:2" x14ac:dyDescent="0.45">
      <c r="A257" t="s">
        <v>525</v>
      </c>
      <c r="B257">
        <v>50</v>
      </c>
    </row>
    <row r="258" spans="1:2" x14ac:dyDescent="0.45">
      <c r="A258" t="s">
        <v>526</v>
      </c>
      <c r="B258">
        <v>51</v>
      </c>
    </row>
    <row r="259" spans="1:2" x14ac:dyDescent="0.45">
      <c r="A259" t="s">
        <v>527</v>
      </c>
      <c r="B259">
        <v>52</v>
      </c>
    </row>
    <row r="260" spans="1:2" x14ac:dyDescent="0.45">
      <c r="A260" t="s">
        <v>528</v>
      </c>
      <c r="B260">
        <v>53</v>
      </c>
    </row>
    <row r="261" spans="1:2" x14ac:dyDescent="0.45">
      <c r="A261" t="s">
        <v>529</v>
      </c>
      <c r="B261">
        <v>54</v>
      </c>
    </row>
    <row r="262" spans="1:2" x14ac:dyDescent="0.45">
      <c r="A262" t="s">
        <v>530</v>
      </c>
      <c r="B262">
        <v>55</v>
      </c>
    </row>
    <row r="263" spans="1:2" x14ac:dyDescent="0.45">
      <c r="A263" t="s">
        <v>531</v>
      </c>
      <c r="B263">
        <v>57</v>
      </c>
    </row>
    <row r="264" spans="1:2" x14ac:dyDescent="0.45">
      <c r="A264" t="s">
        <v>532</v>
      </c>
      <c r="B264">
        <v>58</v>
      </c>
    </row>
    <row r="265" spans="1:2" x14ac:dyDescent="0.45">
      <c r="A265" t="s">
        <v>533</v>
      </c>
      <c r="B265">
        <v>59</v>
      </c>
    </row>
    <row r="266" spans="1:2" x14ac:dyDescent="0.45">
      <c r="A266" t="s">
        <v>534</v>
      </c>
      <c r="B266">
        <v>60</v>
      </c>
    </row>
    <row r="267" spans="1:2" x14ac:dyDescent="0.45">
      <c r="A267" t="s">
        <v>535</v>
      </c>
      <c r="B267">
        <v>62</v>
      </c>
    </row>
    <row r="268" spans="1:2" x14ac:dyDescent="0.45">
      <c r="A268" t="s">
        <v>536</v>
      </c>
      <c r="B268">
        <v>63</v>
      </c>
    </row>
    <row r="269" spans="1:2" x14ac:dyDescent="0.45">
      <c r="A269" t="s">
        <v>537</v>
      </c>
      <c r="B269">
        <v>64</v>
      </c>
    </row>
    <row r="270" spans="1:2" x14ac:dyDescent="0.45">
      <c r="A270" t="s">
        <v>538</v>
      </c>
      <c r="B270">
        <v>65</v>
      </c>
    </row>
    <row r="271" spans="1:2" x14ac:dyDescent="0.45">
      <c r="A271" t="s">
        <v>539</v>
      </c>
      <c r="B271">
        <v>66</v>
      </c>
    </row>
    <row r="272" spans="1:2" x14ac:dyDescent="0.45">
      <c r="A272" t="s">
        <v>540</v>
      </c>
      <c r="B272">
        <v>68</v>
      </c>
    </row>
    <row r="273" spans="1:24" x14ac:dyDescent="0.45">
      <c r="A273" t="s">
        <v>541</v>
      </c>
      <c r="B273">
        <v>69</v>
      </c>
    </row>
    <row r="274" spans="1:24" x14ac:dyDescent="0.45">
      <c r="A274" t="s">
        <v>542</v>
      </c>
      <c r="B274">
        <v>70</v>
      </c>
    </row>
    <row r="275" spans="1:24" x14ac:dyDescent="0.45">
      <c r="A275" t="s">
        <v>543</v>
      </c>
      <c r="B275">
        <v>71</v>
      </c>
    </row>
    <row r="276" spans="1:24" x14ac:dyDescent="0.45">
      <c r="A276" t="s">
        <v>544</v>
      </c>
      <c r="B276">
        <v>72</v>
      </c>
    </row>
    <row r="277" spans="1:24" x14ac:dyDescent="0.45">
      <c r="A277" t="s">
        <v>545</v>
      </c>
      <c r="B277" t="s">
        <v>546</v>
      </c>
    </row>
    <row r="278" spans="1:24" x14ac:dyDescent="0.45">
      <c r="A278" t="s">
        <v>547</v>
      </c>
      <c r="B278" t="s">
        <v>548</v>
      </c>
    </row>
    <row r="279" spans="1:24" x14ac:dyDescent="0.45">
      <c r="A279" t="s">
        <v>549</v>
      </c>
      <c r="B279" t="s">
        <v>550</v>
      </c>
    </row>
    <row r="280" spans="1:24" x14ac:dyDescent="0.45">
      <c r="A280" t="s">
        <v>551</v>
      </c>
      <c r="B280" t="s">
        <v>552</v>
      </c>
    </row>
    <row r="281" spans="1:24" x14ac:dyDescent="0.45">
      <c r="A281" t="s">
        <v>553</v>
      </c>
      <c r="B281" t="s">
        <v>554</v>
      </c>
    </row>
    <row r="282" spans="1:24" x14ac:dyDescent="0.45">
      <c r="A282" t="s">
        <v>555</v>
      </c>
      <c r="B282" t="s">
        <v>556</v>
      </c>
    </row>
    <row r="283" spans="1:24" x14ac:dyDescent="0.45">
      <c r="A283" t="s">
        <v>557</v>
      </c>
      <c r="B283" t="s">
        <v>558</v>
      </c>
    </row>
    <row r="284" spans="1:24" x14ac:dyDescent="0.45">
      <c r="A284" t="s">
        <v>559</v>
      </c>
      <c r="B284" t="s">
        <v>560</v>
      </c>
    </row>
    <row r="285" spans="1:24" x14ac:dyDescent="0.45">
      <c r="A285" t="s">
        <v>561</v>
      </c>
      <c r="B285" t="s">
        <v>562</v>
      </c>
    </row>
    <row r="286" spans="1:24" x14ac:dyDescent="0.4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1" t="s">
        <v>564</v>
      </c>
      <c r="B1" s="59"/>
      <c r="C1" s="59"/>
      <c r="D1" s="59"/>
      <c r="E1" s="59"/>
      <c r="F1" s="59"/>
      <c r="H1" s="67" t="str">
        <f>Summary!$C$1</f>
        <v>Master+r7.0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8" customHeight="1" x14ac:dyDescent="0.4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1.0859381857076333</v>
      </c>
      <c r="K12" s="48">
        <f>AVERAGE(K5:K8)</f>
        <v>0.164933655500591</v>
      </c>
      <c r="L12" s="48">
        <f>AVERAGE(L5:L8)</f>
        <v>0.15052109274881903</v>
      </c>
      <c r="M12" s="48">
        <f>AVERAGE(M5:M8)</f>
        <v>0.92100453020704232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1.5083376595023539</v>
      </c>
      <c r="K13" s="48">
        <f>AVERAGE(K9:K9)</f>
        <v>0.15215971394858238</v>
      </c>
      <c r="L13" s="48">
        <f>AVERAGE(L9:L9)</f>
        <v>0.14248046328066341</v>
      </c>
      <c r="M13" s="48">
        <f>AVERAGE(M9:M9)</f>
        <v>1.3561779455537715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2.4514032682556768</v>
      </c>
      <c r="K14" s="48">
        <f>AVERAGE(K10:K11)</f>
        <v>0.28563839595288176</v>
      </c>
      <c r="L14" s="48">
        <f>AVERAGE(L10:L11)</f>
        <v>0.27232374830951822</v>
      </c>
      <c r="M14" s="48">
        <f>AVERAGE(M10:M11)</f>
        <v>2.1657648723027951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collapsed="1" x14ac:dyDescent="0.45">
      <c r="B15" s="47" t="s">
        <v>17</v>
      </c>
      <c r="J15" s="48">
        <f>AVERAGE(J5:J11)</f>
        <v>1.5364138484063203</v>
      </c>
      <c r="K15" s="48">
        <f>AVERAGE(K5:K11)</f>
        <v>0.19759587540810139</v>
      </c>
      <c r="L15" s="48">
        <f>AVERAGE(L5:L11)</f>
        <v>0.18417319012785374</v>
      </c>
      <c r="M15" s="48">
        <f>AVERAGE(M5:M11)</f>
        <v>1.3388179729982188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1" t="s">
        <v>572</v>
      </c>
      <c r="B1" s="59"/>
      <c r="C1" s="59"/>
      <c r="D1" s="59"/>
      <c r="E1" s="59"/>
      <c r="F1" s="59"/>
      <c r="H1" s="67" t="str">
        <f>Summary!$C$1</f>
        <v>Master+r7.0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8" customHeight="1" x14ac:dyDescent="0.4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1.0478823870758216</v>
      </c>
      <c r="K12" s="48">
        <f>AVERAGE(K5:K8)</f>
        <v>0.14881517523979948</v>
      </c>
      <c r="L12" s="48">
        <f>AVERAGE(L5:L8)</f>
        <v>0.13600121020998429</v>
      </c>
      <c r="M12" s="48">
        <f>AVERAGE(M5:M8)</f>
        <v>0.89906721183602201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1.4991582358742388</v>
      </c>
      <c r="K13" s="48">
        <f>AVERAGE(K9:K9)</f>
        <v>0.15212171072884031</v>
      </c>
      <c r="L13" s="48">
        <f>AVERAGE(L9:L9)</f>
        <v>0.14210963623655265</v>
      </c>
      <c r="M13" s="48">
        <f>AVERAGE(M9:M9)</f>
        <v>1.3470365251453984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2.4506281351000925</v>
      </c>
      <c r="K14" s="48">
        <f>AVERAGE(K10:K11)</f>
        <v>0.28541758596136163</v>
      </c>
      <c r="L14" s="48">
        <f>AVERAGE(L10:L11)</f>
        <v>0.27167241432631806</v>
      </c>
      <c r="M14" s="48">
        <f>AVERAGE(M10:M11)</f>
        <v>2.165210549138731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45">
      <c r="B15" s="47" t="s">
        <v>17</v>
      </c>
      <c r="J15" s="48">
        <f>AVERAGE(J5:J11)</f>
        <v>1.5131348649111014</v>
      </c>
      <c r="K15" s="48">
        <f>AVERAGE(K5:K11)</f>
        <v>0.1883167976586802</v>
      </c>
      <c r="L15" s="48">
        <f>AVERAGE(L5:L11)</f>
        <v>0.17563704367558941</v>
      </c>
      <c r="M15" s="48">
        <f>AVERAGE(M5:M11)</f>
        <v>1.3248180672524212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zoomScale="55" zoomScaleNormal="55" workbookViewId="0">
      <pane xSplit="2" ySplit="4" topLeftCell="AT5" activePane="bottomRight" state="frozen"/>
      <selection pane="topRight" activeCell="C1" sqref="C1"/>
      <selection pane="bottomLeft" activeCell="A5" sqref="A5"/>
      <selection pane="bottomRight" activeCell="AN5" sqref="AN5:BC39"/>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1" t="s">
        <v>573</v>
      </c>
      <c r="B1" s="59"/>
      <c r="C1" s="59"/>
      <c r="D1" s="59"/>
      <c r="E1" s="59"/>
      <c r="F1" s="59"/>
      <c r="G1" s="59"/>
      <c r="I1" s="67" t="str">
        <f>Summary!$C$1</f>
        <v>Master+r7.0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4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1.0426424999999999</v>
      </c>
      <c r="J5" s="12">
        <f t="shared" ref="J5:J39" si="1">IF(ISBLANK(S5),"·",S5/D5)</f>
        <v>4.6700350793894667E-3</v>
      </c>
      <c r="K5" s="12">
        <f t="shared" ref="K5:K39" si="2">IF(N5="","·",N5/D5)</f>
        <v>4.0576386479860621E-3</v>
      </c>
      <c r="L5" s="12">
        <f t="shared" ref="L5:L39" si="3">IF(T5="","·",T5/D5)</f>
        <v>2.5510359298285567E-3</v>
      </c>
      <c r="M5" s="12">
        <f t="shared" ref="M5:M39" si="4">IF(ISBLANK(V5),"·",V5/D5)</f>
        <v>6.1239643140340516E-4</v>
      </c>
      <c r="N5" s="54">
        <f t="shared" ref="N5:N39" si="5">IF(OR(ISBLANK(T5),ISBLANK(U5)),"",T5+U5)</f>
        <v>966312</v>
      </c>
      <c r="O5" s="12">
        <v>16</v>
      </c>
      <c r="P5" s="13">
        <v>23582209</v>
      </c>
      <c r="Q5" s="13">
        <v>736944.03125</v>
      </c>
      <c r="R5" s="13">
        <v>16984.9375</v>
      </c>
      <c r="S5" s="14">
        <v>1112152</v>
      </c>
      <c r="T5" s="14">
        <v>607520</v>
      </c>
      <c r="U5" s="14">
        <v>358792</v>
      </c>
      <c r="V5" s="14">
        <v>145840</v>
      </c>
      <c r="W5" s="15">
        <v>66.845706250000006</v>
      </c>
      <c r="X5" s="15">
        <v>68.619974999999997</v>
      </c>
      <c r="Y5" s="15">
        <v>31.719309375000002</v>
      </c>
      <c r="Z5" s="15">
        <v>44.569031250000002</v>
      </c>
      <c r="AA5" s="15">
        <v>44.236403125000002</v>
      </c>
      <c r="AB5" s="16">
        <v>4977.5600000000004</v>
      </c>
      <c r="AC5" s="16">
        <v>7081.09</v>
      </c>
      <c r="AD5" s="16">
        <v>75.308000000000007</v>
      </c>
      <c r="AE5" s="16">
        <v>34.433</v>
      </c>
      <c r="AG5" s="11">
        <f t="shared" ref="AG5:AG39" si="6">IF(OR(ISBLANK(AQ5),ISBLANK(G5)),"·",AQ5*G5/F5/1000000)</f>
        <v>1.0446975000000001</v>
      </c>
      <c r="AH5" s="12">
        <f t="shared" ref="AH5:AH39" si="7">IF(ISBLANK(AQ5),"·",AQ5/D5)</f>
        <v>4.6792395018910868E-3</v>
      </c>
      <c r="AI5" s="12">
        <f t="shared" ref="AI5:AI39" si="8">IF(AL5="","·",AL5/D5)</f>
        <v>4.0576386479860621E-3</v>
      </c>
      <c r="AJ5" s="12">
        <f t="shared" ref="AJ5:AJ39" si="9">IF(AR5="","·",AR5/D5)</f>
        <v>2.5510359298285567E-3</v>
      </c>
      <c r="AK5" s="12">
        <f t="shared" ref="AK5:AK39" si="10">IF(ISBLANK(AT5),"·",AT5/D5)</f>
        <v>6.2160085390502518E-4</v>
      </c>
      <c r="AL5" s="54">
        <f t="shared" ref="AL5:AL39" si="11">IF(OR(ISBLANK(AR5),ISBLANK(AS5)),"",AR5+AS5)</f>
        <v>966312</v>
      </c>
      <c r="AM5" s="12">
        <v>16</v>
      </c>
      <c r="AN5" s="13">
        <v>23582209</v>
      </c>
      <c r="AO5" s="13">
        <v>736944.03125</v>
      </c>
      <c r="AP5" s="13">
        <v>16984.9375</v>
      </c>
      <c r="AQ5" s="14">
        <v>1114344</v>
      </c>
      <c r="AR5" s="14">
        <v>607520</v>
      </c>
      <c r="AS5" s="14">
        <v>358792</v>
      </c>
      <c r="AT5" s="14">
        <v>148032</v>
      </c>
      <c r="AU5" s="15">
        <v>66.845706250000006</v>
      </c>
      <c r="AV5" s="15">
        <v>68.619974999999997</v>
      </c>
      <c r="AW5" s="15">
        <v>31.74000625</v>
      </c>
      <c r="AX5" s="15">
        <v>44.573209374999998</v>
      </c>
      <c r="AY5" s="15">
        <v>44.115353124999999</v>
      </c>
      <c r="AZ5" s="16">
        <v>3432.69</v>
      </c>
      <c r="BA5" s="16">
        <v>3850.94</v>
      </c>
      <c r="BB5" s="16">
        <v>66.968000000000004</v>
      </c>
      <c r="BC5" s="16">
        <v>29.391999999999999</v>
      </c>
      <c r="BE5" s="51">
        <f t="shared" ref="BE5:BE43" si="12">AI5/K5</f>
        <v>1</v>
      </c>
      <c r="BF5" s="17">
        <f t="shared" ref="BF5:BF39" si="13">(AP5/AO5) - (R5/Q5)</f>
        <v>0</v>
      </c>
      <c r="BG5" s="17">
        <f t="shared" ref="BG5:BG39" si="14">(AL5/AQ5) - (N5/S5)</f>
        <v>-1.7091276351124396E-3</v>
      </c>
      <c r="BH5" s="17">
        <f t="array" ref="BH5">AVERAGE(AL5:AL9/AQ5:AQ9) - AVERAGE(N5:N9/S5:S9)</f>
        <v>-1.5248071688827025E-3</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-2.1342330766289663E-3</v>
      </c>
      <c r="BM5" s="51">
        <f>IF( OR(ISBLANK(V5:V9),ISBLANK(AT5:AT9), ISBLANK(Z5:Z9),ISBLANK(AX5:AX9)), "·", bdRateExtend( V5:V9,Z5:Z9, AT5:AT9,AX5:AX9))</f>
        <v>1.7403550982598492E-2</v>
      </c>
      <c r="BN5" s="51">
        <f>IF( OR(ISBLANK(V5:V9),ISBLANK(AT5:AT9), ISBLANK(AA5:AA9),ISBLANK(AY5:AY9)), "·", bdRateExtend( V5:V9,AA5:AA9, AT5:AT9,AY5:AY9))</f>
        <v>6.1415883510452129E-2</v>
      </c>
      <c r="BP5" s="51">
        <f>IF( OR(ISBLANK(S5:S9),ISBLANK(AQ5:AQ9), ISBLANK(W5:W9),ISBLANK(AU5:AU9)), "·", bdRateExtend( S5:S9,W5:W9, AQ5:AQ9,AU5:AU9))</f>
        <v>1.6780635463982119E-3</v>
      </c>
      <c r="BQ5" s="51">
        <f>IF( OR(ISBLANK(S5:S9),ISBLANK(AQ5:AQ9), ISBLANK(X5:X9),ISBLANK(AV5:AV9)), "·", bdRateExtend( S5:S9,X5:X9, AQ5:AQ9,AV5:AV9))</f>
        <v>1.903797531375151E-3</v>
      </c>
      <c r="BR5" s="51">
        <f>IF( OR(ISBLANK(S5:S9),ISBLANK(AQ5:AQ9), ISBLANK(Y5:Y9),ISBLANK(AW5:AW9)), "·", bdRateExtend( S5:S9,Y5:Y9, AQ5:AQ9,AW5:AW9))</f>
        <v>-2.8975736805633145E-3</v>
      </c>
      <c r="BS5" s="51">
        <f>IF( OR(ISBLANK(S5:S9),ISBLANK(AQ5:AQ9), ISBLANK(Z5:Z9),ISBLANK(AX5:AX9)), "·", bdRateExtend( S5:S9,Z5:Z9, AQ5:AQ9,AX5:AX9))</f>
        <v>7.7179814467343011E-3</v>
      </c>
      <c r="BT5" s="51">
        <f>IF( OR(ISBLANK(S5:S9),ISBLANK(AQ5:AQ9), ISBLANK(AA5:AA9),ISBLANK(AY5:AY9)), "·", bdRateExtend( S5:S9,AA5:AA9, AQ5:AQ9,AY5:AY9))</f>
        <v>3.2465779682077756E-2</v>
      </c>
    </row>
    <row r="6" spans="1:72" outlineLevel="1" x14ac:dyDescent="0.45">
      <c r="A6" s="18"/>
      <c r="B6" s="18" t="s">
        <v>49</v>
      </c>
      <c r="C6" s="19" t="s">
        <v>231</v>
      </c>
      <c r="D6" s="18">
        <v>238146391</v>
      </c>
      <c r="E6" s="19">
        <v>10</v>
      </c>
      <c r="F6" s="19">
        <v>32</v>
      </c>
      <c r="G6" s="19">
        <v>30</v>
      </c>
      <c r="I6" s="20">
        <f t="shared" si="0"/>
        <v>1.3552575</v>
      </c>
      <c r="J6" s="21">
        <f t="shared" si="1"/>
        <v>6.0702494542526995E-3</v>
      </c>
      <c r="K6" s="21">
        <f t="shared" si="2"/>
        <v>4.9478809863635516E-3</v>
      </c>
      <c r="L6" s="21">
        <f t="shared" si="3"/>
        <v>3.4412782682060462E-3</v>
      </c>
      <c r="M6" s="21">
        <f t="shared" si="4"/>
        <v>1.1223684678891481E-3</v>
      </c>
      <c r="N6" s="18">
        <f t="shared" si="5"/>
        <v>1178320</v>
      </c>
      <c r="O6" s="21">
        <v>16</v>
      </c>
      <c r="P6" s="22">
        <v>24777501</v>
      </c>
      <c r="Q6" s="22">
        <v>774296.90625</v>
      </c>
      <c r="R6" s="22">
        <v>19924.3125</v>
      </c>
      <c r="S6" s="23">
        <v>1445608</v>
      </c>
      <c r="T6" s="23">
        <v>819528</v>
      </c>
      <c r="U6" s="23">
        <v>358792</v>
      </c>
      <c r="V6" s="23">
        <v>267288</v>
      </c>
      <c r="W6" s="24">
        <v>68.552896875000002</v>
      </c>
      <c r="X6" s="24">
        <v>70.622062499999998</v>
      </c>
      <c r="Y6" s="24">
        <v>33.797456250000003</v>
      </c>
      <c r="Z6" s="24">
        <v>45.493312500000002</v>
      </c>
      <c r="AA6" s="24">
        <v>45.153953125000001</v>
      </c>
      <c r="AB6" s="25">
        <v>3707.79</v>
      </c>
      <c r="AC6" s="25">
        <v>4647.2299999999996</v>
      </c>
      <c r="AD6" s="25">
        <v>76.376000000000005</v>
      </c>
      <c r="AE6" s="25">
        <v>30.899000000000001</v>
      </c>
      <c r="AG6" s="20">
        <f t="shared" si="6"/>
        <v>1.35504</v>
      </c>
      <c r="AH6" s="21">
        <f t="shared" si="7"/>
        <v>6.0692752635499734E-3</v>
      </c>
      <c r="AI6" s="21">
        <f t="shared" si="8"/>
        <v>4.9478809863635516E-3</v>
      </c>
      <c r="AJ6" s="21">
        <f t="shared" si="9"/>
        <v>3.4412782682060462E-3</v>
      </c>
      <c r="AK6" s="21">
        <f t="shared" si="10"/>
        <v>1.1213942771864218E-3</v>
      </c>
      <c r="AL6" s="18">
        <f t="shared" si="11"/>
        <v>1178320</v>
      </c>
      <c r="AM6" s="21">
        <v>16</v>
      </c>
      <c r="AN6" s="22">
        <v>24777501</v>
      </c>
      <c r="AO6" s="22">
        <v>774296.90625</v>
      </c>
      <c r="AP6" s="22">
        <v>19924.3125</v>
      </c>
      <c r="AQ6" s="23">
        <v>1445376</v>
      </c>
      <c r="AR6" s="23">
        <v>819528</v>
      </c>
      <c r="AS6" s="23">
        <v>358792</v>
      </c>
      <c r="AT6" s="23">
        <v>267056</v>
      </c>
      <c r="AU6" s="24">
        <v>68.552896875000002</v>
      </c>
      <c r="AV6" s="24">
        <v>70.622062499999998</v>
      </c>
      <c r="AW6" s="24">
        <v>33.824081249999999</v>
      </c>
      <c r="AX6" s="24">
        <v>45.468453125000003</v>
      </c>
      <c r="AY6" s="24">
        <v>45.097787500000003</v>
      </c>
      <c r="AZ6" s="25">
        <v>4384.82</v>
      </c>
      <c r="BA6" s="25">
        <v>6986.07</v>
      </c>
      <c r="BB6" s="25">
        <v>84.594999999999999</v>
      </c>
      <c r="BC6" s="25">
        <v>35.954999999999998</v>
      </c>
      <c r="BE6" s="50">
        <f t="shared" si="12"/>
        <v>1</v>
      </c>
      <c r="BF6" s="26">
        <f t="shared" si="13"/>
        <v>0</v>
      </c>
      <c r="BG6" s="26">
        <f t="shared" si="14"/>
        <v>1.3083376883471498E-4</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1.8754875</v>
      </c>
      <c r="J7" s="12">
        <f t="shared" si="1"/>
        <v>8.4003792440423761E-3</v>
      </c>
      <c r="K7" s="12">
        <f t="shared" si="2"/>
        <v>6.1465050713281648E-3</v>
      </c>
      <c r="L7" s="12">
        <f t="shared" si="3"/>
        <v>4.6399023531706598E-3</v>
      </c>
      <c r="M7" s="12">
        <f t="shared" si="4"/>
        <v>2.2538741727142109E-3</v>
      </c>
      <c r="N7" s="54">
        <f t="shared" si="5"/>
        <v>1463768</v>
      </c>
      <c r="O7" s="12">
        <v>16</v>
      </c>
      <c r="P7" s="13">
        <v>24923704</v>
      </c>
      <c r="Q7" s="13">
        <v>778865.75</v>
      </c>
      <c r="R7" s="13">
        <v>21104.875</v>
      </c>
      <c r="S7" s="14">
        <v>2000520</v>
      </c>
      <c r="T7" s="14">
        <v>1104976</v>
      </c>
      <c r="U7" s="14">
        <v>358792</v>
      </c>
      <c r="V7" s="14">
        <v>536752</v>
      </c>
      <c r="W7" s="15">
        <v>69.837434375000001</v>
      </c>
      <c r="X7" s="15">
        <v>72.274171874999993</v>
      </c>
      <c r="Y7" s="15">
        <v>36.189746874999997</v>
      </c>
      <c r="Z7" s="15">
        <v>46.884203124999999</v>
      </c>
      <c r="AA7" s="15">
        <v>46.664578124999998</v>
      </c>
      <c r="AB7" s="16">
        <v>4261.97</v>
      </c>
      <c r="AC7" s="16">
        <v>7229.06</v>
      </c>
      <c r="AD7" s="16">
        <v>80.679000000000002</v>
      </c>
      <c r="AE7" s="16">
        <v>35.210999999999999</v>
      </c>
      <c r="AG7" s="11">
        <f t="shared" si="6"/>
        <v>1.87809</v>
      </c>
      <c r="AH7" s="12">
        <f t="shared" si="7"/>
        <v>8.4120359396922372E-3</v>
      </c>
      <c r="AI7" s="12">
        <f t="shared" si="8"/>
        <v>6.1465050713281648E-3</v>
      </c>
      <c r="AJ7" s="12">
        <f t="shared" si="9"/>
        <v>4.6399023531706598E-3</v>
      </c>
      <c r="AK7" s="12">
        <f t="shared" si="10"/>
        <v>2.2655308683640729E-3</v>
      </c>
      <c r="AL7" s="54">
        <f t="shared" si="11"/>
        <v>1463768</v>
      </c>
      <c r="AM7" s="12">
        <v>16</v>
      </c>
      <c r="AN7" s="13">
        <v>24923704</v>
      </c>
      <c r="AO7" s="13">
        <v>778865.75</v>
      </c>
      <c r="AP7" s="13">
        <v>21104.875</v>
      </c>
      <c r="AQ7" s="14">
        <v>2003296</v>
      </c>
      <c r="AR7" s="14">
        <v>1104976</v>
      </c>
      <c r="AS7" s="14">
        <v>358792</v>
      </c>
      <c r="AT7" s="14">
        <v>539528</v>
      </c>
      <c r="AU7" s="15">
        <v>69.837434375000001</v>
      </c>
      <c r="AV7" s="15">
        <v>72.274171874999993</v>
      </c>
      <c r="AW7" s="15">
        <v>36.218712500000002</v>
      </c>
      <c r="AX7" s="15">
        <v>46.842521875000003</v>
      </c>
      <c r="AY7" s="15">
        <v>46.449624999999997</v>
      </c>
      <c r="AZ7" s="16">
        <v>3565.7</v>
      </c>
      <c r="BA7" s="16">
        <v>4759.51</v>
      </c>
      <c r="BB7" s="16">
        <v>71.349999999999994</v>
      </c>
      <c r="BC7" s="16">
        <v>30.585999999999999</v>
      </c>
      <c r="BE7" s="51">
        <f t="shared" si="12"/>
        <v>1</v>
      </c>
      <c r="BF7" s="17">
        <f t="shared" si="13"/>
        <v>0</v>
      </c>
      <c r="BG7" s="17">
        <f t="shared" si="14"/>
        <v>-1.0139199981989977E-3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3.0929700000000002</v>
      </c>
      <c r="J8" s="21">
        <f t="shared" si="1"/>
        <v>1.3853529277292302E-2</v>
      </c>
      <c r="K8" s="21">
        <f t="shared" si="2"/>
        <v>8.8610034825176084E-3</v>
      </c>
      <c r="L8" s="21">
        <f t="shared" si="3"/>
        <v>7.3544007643601035E-3</v>
      </c>
      <c r="M8" s="21">
        <f t="shared" si="4"/>
        <v>4.9925257947746942E-3</v>
      </c>
      <c r="N8" s="18">
        <f t="shared" si="5"/>
        <v>2110216</v>
      </c>
      <c r="O8" s="21">
        <v>16</v>
      </c>
      <c r="P8" s="22">
        <v>25894561</v>
      </c>
      <c r="Q8" s="22">
        <v>809205.03125</v>
      </c>
      <c r="R8" s="22">
        <v>24362.65625</v>
      </c>
      <c r="S8" s="23">
        <v>3299168</v>
      </c>
      <c r="T8" s="23">
        <v>1751424</v>
      </c>
      <c r="U8" s="23">
        <v>358792</v>
      </c>
      <c r="V8" s="23">
        <v>1188952</v>
      </c>
      <c r="W8" s="24">
        <v>70.899381250000005</v>
      </c>
      <c r="X8" s="24">
        <v>73.460274999999996</v>
      </c>
      <c r="Y8" s="24">
        <v>38.671903125</v>
      </c>
      <c r="Z8" s="24">
        <v>48.122496875000003</v>
      </c>
      <c r="AA8" s="24">
        <v>48.141521875000002</v>
      </c>
      <c r="AB8" s="25">
        <v>4315.7</v>
      </c>
      <c r="AC8" s="25">
        <v>8109.73</v>
      </c>
      <c r="AD8" s="25">
        <v>82.325000000000003</v>
      </c>
      <c r="AE8" s="25">
        <v>32.662999999999997</v>
      </c>
      <c r="AG8" s="20">
        <f t="shared" si="6"/>
        <v>3.1035750000000002</v>
      </c>
      <c r="AH8" s="21">
        <f t="shared" si="7"/>
        <v>1.3901029472245918E-2</v>
      </c>
      <c r="AI8" s="21">
        <f t="shared" si="8"/>
        <v>8.8610034825176084E-3</v>
      </c>
      <c r="AJ8" s="21">
        <f t="shared" si="9"/>
        <v>7.3544007643601035E-3</v>
      </c>
      <c r="AK8" s="21">
        <f t="shared" si="10"/>
        <v>5.0400259897283098E-3</v>
      </c>
      <c r="AL8" s="18">
        <f t="shared" si="11"/>
        <v>2110216</v>
      </c>
      <c r="AM8" s="21">
        <v>16</v>
      </c>
      <c r="AN8" s="22">
        <v>25894561</v>
      </c>
      <c r="AO8" s="22">
        <v>809205.03125</v>
      </c>
      <c r="AP8" s="22">
        <v>24362.65625</v>
      </c>
      <c r="AQ8" s="23">
        <v>3310480</v>
      </c>
      <c r="AR8" s="23">
        <v>1751424</v>
      </c>
      <c r="AS8" s="23">
        <v>358792</v>
      </c>
      <c r="AT8" s="23">
        <v>1200264</v>
      </c>
      <c r="AU8" s="24">
        <v>70.899381250000005</v>
      </c>
      <c r="AV8" s="24">
        <v>73.460274999999996</v>
      </c>
      <c r="AW8" s="24">
        <v>38.700724999999998</v>
      </c>
      <c r="AX8" s="24">
        <v>48.105612499999999</v>
      </c>
      <c r="AY8" s="24">
        <v>48.074634375000002</v>
      </c>
      <c r="AZ8" s="25">
        <v>4223.7299999999996</v>
      </c>
      <c r="BA8" s="25">
        <v>7537.15</v>
      </c>
      <c r="BB8" s="25">
        <v>72.441999999999993</v>
      </c>
      <c r="BC8" s="25">
        <v>28.204999999999998</v>
      </c>
      <c r="BE8" s="50">
        <f t="shared" si="12"/>
        <v>1</v>
      </c>
      <c r="BF8" s="26">
        <f t="shared" si="13"/>
        <v>0</v>
      </c>
      <c r="BG8" s="26">
        <f t="shared" si="14"/>
        <v>-2.1856011391857555E-3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6.3083549999999997</v>
      </c>
      <c r="J9" s="30">
        <f t="shared" si="1"/>
        <v>2.8255359956305195E-2</v>
      </c>
      <c r="K9" s="30">
        <f t="shared" si="2"/>
        <v>1.5570053295495878E-2</v>
      </c>
      <c r="L9" s="30">
        <f t="shared" si="3"/>
        <v>1.2147654171253009E-2</v>
      </c>
      <c r="M9" s="30">
        <f t="shared" si="4"/>
        <v>1.2685306660809317E-2</v>
      </c>
      <c r="N9" s="27">
        <f t="shared" si="5"/>
        <v>3707952</v>
      </c>
      <c r="O9" s="30">
        <v>16</v>
      </c>
      <c r="P9" s="31">
        <v>24903158</v>
      </c>
      <c r="Q9" s="31">
        <v>778223.6875</v>
      </c>
      <c r="R9" s="31">
        <v>10582.96875</v>
      </c>
      <c r="S9" s="32">
        <v>6728912</v>
      </c>
      <c r="T9" s="32">
        <v>2892920</v>
      </c>
      <c r="U9" s="32">
        <v>815032</v>
      </c>
      <c r="V9" s="32">
        <v>3020960</v>
      </c>
      <c r="W9" s="33">
        <v>71.932043750000005</v>
      </c>
      <c r="X9" s="33">
        <v>75.246165625000003</v>
      </c>
      <c r="Y9" s="33">
        <v>41.135640625000001</v>
      </c>
      <c r="Z9" s="33">
        <v>49.545462499999999</v>
      </c>
      <c r="AA9" s="33">
        <v>49.686587500000002</v>
      </c>
      <c r="AB9" s="34">
        <v>4191.9799999999996</v>
      </c>
      <c r="AC9" s="34">
        <v>8366</v>
      </c>
      <c r="AD9" s="34">
        <v>71.912000000000006</v>
      </c>
      <c r="AE9" s="34">
        <v>33.292000000000002</v>
      </c>
      <c r="AG9" s="29">
        <f t="shared" si="6"/>
        <v>6.3411074999999997</v>
      </c>
      <c r="AH9" s="30">
        <f t="shared" si="7"/>
        <v>2.840205963902262E-2</v>
      </c>
      <c r="AI9" s="30">
        <f t="shared" si="8"/>
        <v>1.5570053295495878E-2</v>
      </c>
      <c r="AJ9" s="30">
        <f t="shared" si="9"/>
        <v>1.2147654171253009E-2</v>
      </c>
      <c r="AK9" s="30">
        <f t="shared" si="10"/>
        <v>1.2832006343526743E-2</v>
      </c>
      <c r="AL9" s="27">
        <f t="shared" si="11"/>
        <v>3707952</v>
      </c>
      <c r="AM9" s="30">
        <v>16</v>
      </c>
      <c r="AN9" s="31">
        <v>24903158</v>
      </c>
      <c r="AO9" s="31">
        <v>778223.6875</v>
      </c>
      <c r="AP9" s="31">
        <v>10582.96875</v>
      </c>
      <c r="AQ9" s="32">
        <v>6763848</v>
      </c>
      <c r="AR9" s="32">
        <v>2892920</v>
      </c>
      <c r="AS9" s="32">
        <v>815032</v>
      </c>
      <c r="AT9" s="32">
        <v>3055896</v>
      </c>
      <c r="AU9" s="33">
        <v>71.932043750000005</v>
      </c>
      <c r="AV9" s="33">
        <v>75.246165625000003</v>
      </c>
      <c r="AW9" s="33">
        <v>41.150412500000002</v>
      </c>
      <c r="AX9" s="33">
        <v>49.569440624999999</v>
      </c>
      <c r="AY9" s="33">
        <v>49.664578124999998</v>
      </c>
      <c r="AZ9" s="34">
        <v>4410.6400000000003</v>
      </c>
      <c r="BA9" s="34">
        <v>9169.7000000000007</v>
      </c>
      <c r="BB9" s="34">
        <v>75.730999999999995</v>
      </c>
      <c r="BC9" s="34">
        <v>34.692</v>
      </c>
      <c r="BE9" s="35">
        <f t="shared" si="12"/>
        <v>1</v>
      </c>
      <c r="BF9" s="36">
        <f t="shared" si="13"/>
        <v>0</v>
      </c>
      <c r="BG9" s="36">
        <f t="shared" si="14"/>
        <v>-2.8462208407517009E-3</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1.9765725000000001</v>
      </c>
      <c r="J10" s="21">
        <f t="shared" si="1"/>
        <v>9.6659269893575976E-3</v>
      </c>
      <c r="K10" s="21">
        <f t="shared" si="2"/>
        <v>7.2509765004914106E-3</v>
      </c>
      <c r="L10" s="21">
        <f t="shared" si="3"/>
        <v>4.1104845716952226E-3</v>
      </c>
      <c r="M10" s="21">
        <f t="shared" si="4"/>
        <v>2.4149504888661875E-3</v>
      </c>
      <c r="N10" s="18">
        <f t="shared" si="5"/>
        <v>1581592</v>
      </c>
      <c r="O10" s="21">
        <v>16</v>
      </c>
      <c r="P10" s="22">
        <v>20942558</v>
      </c>
      <c r="Q10" s="22">
        <v>654454.9375</v>
      </c>
      <c r="R10" s="22">
        <v>18943.59375</v>
      </c>
      <c r="S10" s="23">
        <v>2108344</v>
      </c>
      <c r="T10" s="23">
        <v>896584</v>
      </c>
      <c r="U10" s="23">
        <v>685008</v>
      </c>
      <c r="V10" s="23">
        <v>526752</v>
      </c>
      <c r="W10" s="24">
        <v>65.984046875000004</v>
      </c>
      <c r="X10" s="24">
        <v>67.859693750000005</v>
      </c>
      <c r="Y10" s="24">
        <v>31.012543749999999</v>
      </c>
      <c r="Z10" s="24">
        <v>38.769037500000003</v>
      </c>
      <c r="AA10" s="24">
        <v>30.066781249999998</v>
      </c>
      <c r="AB10" s="25">
        <v>4565.99</v>
      </c>
      <c r="AC10" s="25">
        <v>8443.76</v>
      </c>
      <c r="AD10" s="25">
        <v>70.611999999999995</v>
      </c>
      <c r="AE10" s="25">
        <v>39.197000000000003</v>
      </c>
      <c r="AG10" s="20">
        <f t="shared" si="6"/>
        <v>1.9778024999999999</v>
      </c>
      <c r="AH10" s="21">
        <f t="shared" si="7"/>
        <v>9.6719419927014712E-3</v>
      </c>
      <c r="AI10" s="21">
        <f t="shared" si="8"/>
        <v>7.2509765004914106E-3</v>
      </c>
      <c r="AJ10" s="21">
        <f t="shared" si="9"/>
        <v>4.1104845716952226E-3</v>
      </c>
      <c r="AK10" s="21">
        <f t="shared" si="10"/>
        <v>2.420965492210062E-3</v>
      </c>
      <c r="AL10" s="18">
        <f t="shared" si="11"/>
        <v>1581592</v>
      </c>
      <c r="AM10" s="21">
        <v>16</v>
      </c>
      <c r="AN10" s="22">
        <v>20942558</v>
      </c>
      <c r="AO10" s="22">
        <v>654454.9375</v>
      </c>
      <c r="AP10" s="22">
        <v>18943.59375</v>
      </c>
      <c r="AQ10" s="23">
        <v>2109656</v>
      </c>
      <c r="AR10" s="23">
        <v>896584</v>
      </c>
      <c r="AS10" s="23">
        <v>685008</v>
      </c>
      <c r="AT10" s="23">
        <v>528064</v>
      </c>
      <c r="AU10" s="24">
        <v>65.984046875000004</v>
      </c>
      <c r="AV10" s="24">
        <v>67.859693750000005</v>
      </c>
      <c r="AW10" s="24">
        <v>31.037890624999999</v>
      </c>
      <c r="AX10" s="24">
        <v>38.735006249999998</v>
      </c>
      <c r="AY10" s="24">
        <v>30.077762499999999</v>
      </c>
      <c r="AZ10" s="25">
        <v>4511.92</v>
      </c>
      <c r="BA10" s="25">
        <v>8932.93</v>
      </c>
      <c r="BB10" s="25">
        <v>67.531000000000006</v>
      </c>
      <c r="BC10" s="25">
        <v>33.088000000000001</v>
      </c>
      <c r="BE10" s="50">
        <f t="shared" si="12"/>
        <v>1</v>
      </c>
      <c r="BF10" s="26">
        <f t="shared" si="13"/>
        <v>0</v>
      </c>
      <c r="BG10" s="26">
        <f t="shared" si="14"/>
        <v>-4.6652527456625403E-4</v>
      </c>
      <c r="BH10" s="26">
        <f t="array" ref="BH10">AVERAGE(AL10:AL14/AQ10:AQ14) - AVERAGE(N10:N14/S10:S14)</f>
        <v>-1.0493102375185304E-3</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-5.6545412056296929E-4</v>
      </c>
      <c r="BM10" s="50">
        <f>IF( OR(ISBLANK(V10:V14),ISBLANK(AT10:AT14), ISBLANK(Z10:Z14),ISBLANK(AX10:AX14)), "·", bdRateExtend( V10:V14,Z10:Z14, AT10:AT14,AX10:AX14))</f>
        <v>3.5262341651105533E-3</v>
      </c>
      <c r="BN10" s="50">
        <f>IF( OR(ISBLANK(V10:V14),ISBLANK(AT10:AT14), ISBLANK(AA10:AA14),ISBLANK(AY10:AY14)), "·", bdRateExtend( V10:V14,AA10:AA14, AT10:AT14,AY10:AY14))</f>
        <v>-1.9370153471237606E-3</v>
      </c>
      <c r="BP10" s="50">
        <f>IF( OR(ISBLANK(S10:S14),ISBLANK(AQ10:AQ14), ISBLANK(W10:W14),ISBLANK(AU10:AU14)), "·", bdRateExtend( S10:S14,W10:W14, AQ10:AQ14,AU10:AU14))</f>
        <v>1.522795743574834E-3</v>
      </c>
      <c r="BQ10" s="50">
        <f>IF( OR(ISBLANK(S10:S14),ISBLANK(AQ10:AQ14), ISBLANK(X10:X14),ISBLANK(AV10:AV14)), "·", bdRateExtend( S10:S14,X10:X14, AQ10:AQ14,AV10:AV14))</f>
        <v>1.9003540719355616E-3</v>
      </c>
      <c r="BR10" s="50">
        <f>IF( OR(ISBLANK(S10:S14),ISBLANK(AQ10:AQ14), ISBLANK(Y10:Y14),ISBLANK(AW10:AW14)), "·", bdRateExtend( S10:S14,Y10:Y14, AQ10:AQ14,AW10:AW14))</f>
        <v>-1.5238971717140837E-3</v>
      </c>
      <c r="BS10" s="50">
        <f>IF( OR(ISBLANK(S10:S14),ISBLANK(AQ10:AQ14), ISBLANK(Z10:Z14),ISBLANK(AX10:AX14)), "·", bdRateExtend( S10:S14,Z10:Z14, AQ10:AQ14,AX10:AX14))</f>
        <v>5.528142821020765E-4</v>
      </c>
      <c r="BT10" s="50">
        <f>IF( OR(ISBLANK(S10:S14),ISBLANK(AQ10:AQ14), ISBLANK(AA10:AA14),ISBLANK(AY10:AY14)), "·", bdRateExtend( S10:S14,AA10:AA14, AQ10:AQ14,AY10:AY14))</f>
        <v>-2.4190959503430642E-3</v>
      </c>
    </row>
    <row r="11" spans="1:72" outlineLevel="1" x14ac:dyDescent="0.45">
      <c r="A11" s="54"/>
      <c r="B11" s="54" t="s">
        <v>57</v>
      </c>
      <c r="C11" s="10" t="s">
        <v>231</v>
      </c>
      <c r="D11" s="54">
        <v>218121242</v>
      </c>
      <c r="E11" s="10">
        <v>10</v>
      </c>
      <c r="F11" s="10">
        <v>32</v>
      </c>
      <c r="G11" s="10">
        <v>30</v>
      </c>
      <c r="I11" s="11">
        <f t="shared" si="0"/>
        <v>2.6997675000000001</v>
      </c>
      <c r="J11" s="12">
        <f t="shared" si="1"/>
        <v>1.3202528894457699E-2</v>
      </c>
      <c r="K11" s="12">
        <f t="shared" si="2"/>
        <v>8.8998576305557627E-3</v>
      </c>
      <c r="L11" s="12">
        <f t="shared" si="3"/>
        <v>5.7593657017595747E-3</v>
      </c>
      <c r="M11" s="12">
        <f t="shared" si="4"/>
        <v>4.302671263901936E-3</v>
      </c>
      <c r="N11" s="54">
        <f t="shared" si="5"/>
        <v>1941248</v>
      </c>
      <c r="O11" s="12">
        <v>16</v>
      </c>
      <c r="P11" s="13">
        <v>22233167</v>
      </c>
      <c r="Q11" s="13">
        <v>694786.46875</v>
      </c>
      <c r="R11" s="13">
        <v>23204.09375</v>
      </c>
      <c r="S11" s="14">
        <v>2879752</v>
      </c>
      <c r="T11" s="14">
        <v>1256240</v>
      </c>
      <c r="U11" s="14">
        <v>685008</v>
      </c>
      <c r="V11" s="14">
        <v>938504</v>
      </c>
      <c r="W11" s="15">
        <v>67.674731249999994</v>
      </c>
      <c r="X11" s="15">
        <v>69.753456249999999</v>
      </c>
      <c r="Y11" s="15">
        <v>32.861965625000003</v>
      </c>
      <c r="Z11" s="15">
        <v>39.685718749999999</v>
      </c>
      <c r="AA11" s="15">
        <v>32.24159375</v>
      </c>
      <c r="AB11" s="16">
        <v>3954.91</v>
      </c>
      <c r="AC11" s="16">
        <v>8491.89</v>
      </c>
      <c r="AD11" s="16">
        <v>75.751999999999995</v>
      </c>
      <c r="AE11" s="16">
        <v>39.911999999999999</v>
      </c>
      <c r="AG11" s="11">
        <f t="shared" si="6"/>
        <v>2.7000600000000001</v>
      </c>
      <c r="AH11" s="12">
        <f t="shared" si="7"/>
        <v>1.3203959291594351E-2</v>
      </c>
      <c r="AI11" s="12">
        <f t="shared" si="8"/>
        <v>8.8998576305557627E-3</v>
      </c>
      <c r="AJ11" s="12">
        <f t="shared" si="9"/>
        <v>5.7593657017595747E-3</v>
      </c>
      <c r="AK11" s="12">
        <f t="shared" si="10"/>
        <v>4.3041016610385887E-3</v>
      </c>
      <c r="AL11" s="54">
        <f t="shared" si="11"/>
        <v>1941248</v>
      </c>
      <c r="AM11" s="12">
        <v>16</v>
      </c>
      <c r="AN11" s="13">
        <v>22233167</v>
      </c>
      <c r="AO11" s="13">
        <v>694786.46875</v>
      </c>
      <c r="AP11" s="13">
        <v>23204.09375</v>
      </c>
      <c r="AQ11" s="14">
        <v>2880064</v>
      </c>
      <c r="AR11" s="14">
        <v>1256240</v>
      </c>
      <c r="AS11" s="14">
        <v>685008</v>
      </c>
      <c r="AT11" s="14">
        <v>938816</v>
      </c>
      <c r="AU11" s="15">
        <v>67.674731249999994</v>
      </c>
      <c r="AV11" s="15">
        <v>69.753456249999999</v>
      </c>
      <c r="AW11" s="15">
        <v>32.867721875000001</v>
      </c>
      <c r="AX11" s="15">
        <v>39.679071874999998</v>
      </c>
      <c r="AY11" s="15">
        <v>32.265928125000002</v>
      </c>
      <c r="AZ11" s="16">
        <v>3833.59</v>
      </c>
      <c r="BA11" s="16">
        <v>8090.42</v>
      </c>
      <c r="BB11" s="16">
        <v>63.631</v>
      </c>
      <c r="BC11" s="16">
        <v>33.86</v>
      </c>
      <c r="BE11" s="51">
        <f t="shared" si="12"/>
        <v>1</v>
      </c>
      <c r="BF11" s="17">
        <f t="shared" si="13"/>
        <v>0</v>
      </c>
      <c r="BG11" s="17">
        <f t="shared" si="14"/>
        <v>-7.3026147180632606E-5</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3.8493075000000001</v>
      </c>
      <c r="J12" s="21">
        <f t="shared" si="1"/>
        <v>1.8824062995203374E-2</v>
      </c>
      <c r="K12" s="21">
        <f t="shared" si="2"/>
        <v>1.141757665216302E-2</v>
      </c>
      <c r="L12" s="21">
        <f t="shared" si="3"/>
        <v>8.2770847233668322E-3</v>
      </c>
      <c r="M12" s="21">
        <f t="shared" si="4"/>
        <v>7.4064863430403534E-3</v>
      </c>
      <c r="N12" s="18">
        <f t="shared" si="5"/>
        <v>2490416</v>
      </c>
      <c r="O12" s="21">
        <v>16</v>
      </c>
      <c r="P12" s="22">
        <v>22569901</v>
      </c>
      <c r="Q12" s="22">
        <v>705309.40625</v>
      </c>
      <c r="R12" s="22">
        <v>24721.9375</v>
      </c>
      <c r="S12" s="23">
        <v>4105928</v>
      </c>
      <c r="T12" s="23">
        <v>1805408</v>
      </c>
      <c r="U12" s="23">
        <v>685008</v>
      </c>
      <c r="V12" s="23">
        <v>1615512</v>
      </c>
      <c r="W12" s="24">
        <v>69.009450000000001</v>
      </c>
      <c r="X12" s="24">
        <v>71.379971874999995</v>
      </c>
      <c r="Y12" s="24">
        <v>34.860587500000001</v>
      </c>
      <c r="Z12" s="24">
        <v>40.655971874999999</v>
      </c>
      <c r="AA12" s="24">
        <v>34.140081250000001</v>
      </c>
      <c r="AB12" s="25">
        <v>3873.43</v>
      </c>
      <c r="AC12" s="25">
        <v>8580.48</v>
      </c>
      <c r="AD12" s="25">
        <v>75.58</v>
      </c>
      <c r="AE12" s="25">
        <v>39.393000000000001</v>
      </c>
      <c r="AG12" s="20">
        <f t="shared" si="6"/>
        <v>3.8571749999999998</v>
      </c>
      <c r="AH12" s="21">
        <f t="shared" si="7"/>
        <v>1.8862537010494375E-2</v>
      </c>
      <c r="AI12" s="21">
        <f t="shared" si="8"/>
        <v>1.141757665216302E-2</v>
      </c>
      <c r="AJ12" s="21">
        <f t="shared" si="9"/>
        <v>8.2770847233668322E-3</v>
      </c>
      <c r="AK12" s="21">
        <f t="shared" si="10"/>
        <v>7.4449603583313538E-3</v>
      </c>
      <c r="AL12" s="18">
        <f t="shared" si="11"/>
        <v>2490416</v>
      </c>
      <c r="AM12" s="21">
        <v>16</v>
      </c>
      <c r="AN12" s="22">
        <v>22569901</v>
      </c>
      <c r="AO12" s="22">
        <v>705309.40625</v>
      </c>
      <c r="AP12" s="22">
        <v>24721.9375</v>
      </c>
      <c r="AQ12" s="23">
        <v>4114320</v>
      </c>
      <c r="AR12" s="23">
        <v>1805408</v>
      </c>
      <c r="AS12" s="23">
        <v>685008</v>
      </c>
      <c r="AT12" s="23">
        <v>1623904</v>
      </c>
      <c r="AU12" s="24">
        <v>69.009450000000001</v>
      </c>
      <c r="AV12" s="24">
        <v>71.379971874999995</v>
      </c>
      <c r="AW12" s="24">
        <v>34.883459375000001</v>
      </c>
      <c r="AX12" s="24">
        <v>40.651171875000003</v>
      </c>
      <c r="AY12" s="24">
        <v>34.151353125</v>
      </c>
      <c r="AZ12" s="25">
        <v>3900.11</v>
      </c>
      <c r="BA12" s="25">
        <v>9259.26</v>
      </c>
      <c r="BB12" s="25">
        <v>65.483000000000004</v>
      </c>
      <c r="BC12" s="25">
        <v>32.731999999999999</v>
      </c>
      <c r="BE12" s="50">
        <f t="shared" si="12"/>
        <v>1</v>
      </c>
      <c r="BF12" s="26">
        <f t="shared" si="13"/>
        <v>0</v>
      </c>
      <c r="BG12" s="26">
        <f t="shared" si="14"/>
        <v>-1.2371660016501362E-3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6.2049824999999998</v>
      </c>
      <c r="J13" s="12">
        <f t="shared" si="1"/>
        <v>3.0343894704212258E-2</v>
      </c>
      <c r="K13" s="12">
        <f t="shared" si="2"/>
        <v>1.5919990039301168E-2</v>
      </c>
      <c r="L13" s="12">
        <f t="shared" si="3"/>
        <v>1.2779498110504982E-2</v>
      </c>
      <c r="M13" s="12">
        <f t="shared" si="4"/>
        <v>1.4423904664911086E-2</v>
      </c>
      <c r="N13" s="54">
        <f t="shared" si="5"/>
        <v>3472488</v>
      </c>
      <c r="O13" s="12">
        <v>16</v>
      </c>
      <c r="P13" s="13">
        <v>23308443</v>
      </c>
      <c r="Q13" s="13">
        <v>728388.84375</v>
      </c>
      <c r="R13" s="13">
        <v>27991.21875</v>
      </c>
      <c r="S13" s="14">
        <v>6618648</v>
      </c>
      <c r="T13" s="14">
        <v>2787480</v>
      </c>
      <c r="U13" s="14">
        <v>685008</v>
      </c>
      <c r="V13" s="14">
        <v>3146160</v>
      </c>
      <c r="W13" s="15">
        <v>70.060287500000001</v>
      </c>
      <c r="X13" s="15">
        <v>72.567171875</v>
      </c>
      <c r="Y13" s="15">
        <v>37.05066875</v>
      </c>
      <c r="Z13" s="15">
        <v>41.679996875000001</v>
      </c>
      <c r="AA13" s="15">
        <v>36.076628124999999</v>
      </c>
      <c r="AB13" s="16">
        <v>3929.26</v>
      </c>
      <c r="AC13" s="16">
        <v>9029.7199999999993</v>
      </c>
      <c r="AD13" s="16">
        <v>78.597999999999999</v>
      </c>
      <c r="AE13" s="16">
        <v>40.573</v>
      </c>
      <c r="AG13" s="11">
        <f t="shared" si="6"/>
        <v>6.2258325000000001</v>
      </c>
      <c r="AH13" s="12">
        <f t="shared" si="7"/>
        <v>3.0445856346260857E-2</v>
      </c>
      <c r="AI13" s="12">
        <f t="shared" si="8"/>
        <v>1.5919990039301168E-2</v>
      </c>
      <c r="AJ13" s="12">
        <f t="shared" si="9"/>
        <v>1.2779498110504982E-2</v>
      </c>
      <c r="AK13" s="12">
        <f t="shared" si="10"/>
        <v>1.4525866306959687E-2</v>
      </c>
      <c r="AL13" s="54">
        <f t="shared" si="11"/>
        <v>3472488</v>
      </c>
      <c r="AM13" s="12">
        <v>16</v>
      </c>
      <c r="AN13" s="13">
        <v>23308443</v>
      </c>
      <c r="AO13" s="13">
        <v>728388.84375</v>
      </c>
      <c r="AP13" s="13">
        <v>27991.21875</v>
      </c>
      <c r="AQ13" s="14">
        <v>6640888</v>
      </c>
      <c r="AR13" s="14">
        <v>2787480</v>
      </c>
      <c r="AS13" s="14">
        <v>685008</v>
      </c>
      <c r="AT13" s="14">
        <v>3168400</v>
      </c>
      <c r="AU13" s="15">
        <v>70.060287500000001</v>
      </c>
      <c r="AV13" s="15">
        <v>72.567171875</v>
      </c>
      <c r="AW13" s="15">
        <v>37.068125000000002</v>
      </c>
      <c r="AX13" s="15">
        <v>41.697484375000002</v>
      </c>
      <c r="AY13" s="15">
        <v>36.097859374999999</v>
      </c>
      <c r="AZ13" s="16">
        <v>3977.25</v>
      </c>
      <c r="BA13" s="16">
        <v>9966.7900000000009</v>
      </c>
      <c r="BB13" s="16">
        <v>72.183000000000007</v>
      </c>
      <c r="BC13" s="16">
        <v>36.119</v>
      </c>
      <c r="BE13" s="51">
        <f t="shared" si="12"/>
        <v>1</v>
      </c>
      <c r="BF13" s="17">
        <f t="shared" si="13"/>
        <v>0</v>
      </c>
      <c r="BG13" s="17">
        <f t="shared" si="14"/>
        <v>-1.7570337191282759E-3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12.240539999999999</v>
      </c>
      <c r="J14" s="40">
        <f t="shared" si="1"/>
        <v>5.9859259374655492E-2</v>
      </c>
      <c r="K14" s="40">
        <f t="shared" si="2"/>
        <v>2.6824237503654046E-2</v>
      </c>
      <c r="L14" s="40">
        <f t="shared" si="3"/>
        <v>2.0741492018461916E-2</v>
      </c>
      <c r="M14" s="40">
        <f t="shared" si="4"/>
        <v>3.3035021871001449E-2</v>
      </c>
      <c r="N14" s="37">
        <f t="shared" si="5"/>
        <v>5850936</v>
      </c>
      <c r="O14" s="40">
        <v>16</v>
      </c>
      <c r="P14" s="41">
        <v>22150010</v>
      </c>
      <c r="Q14" s="41">
        <v>692187.8125</v>
      </c>
      <c r="R14" s="41">
        <v>13331.5625</v>
      </c>
      <c r="S14" s="42">
        <v>13056576</v>
      </c>
      <c r="T14" s="42">
        <v>4524160</v>
      </c>
      <c r="U14" s="42">
        <v>1326776</v>
      </c>
      <c r="V14" s="42">
        <v>7205640</v>
      </c>
      <c r="W14" s="43">
        <v>70.920671874999996</v>
      </c>
      <c r="X14" s="43">
        <v>74.632662499999995</v>
      </c>
      <c r="Y14" s="43">
        <v>39.477800000000002</v>
      </c>
      <c r="Z14" s="43">
        <v>42.980525</v>
      </c>
      <c r="AA14" s="43">
        <v>38.260321875000002</v>
      </c>
      <c r="AB14" s="44">
        <v>3690.14</v>
      </c>
      <c r="AC14" s="44">
        <v>9967.5400000000009</v>
      </c>
      <c r="AD14" s="44">
        <v>61.530999999999999</v>
      </c>
      <c r="AE14" s="44">
        <v>36.116999999999997</v>
      </c>
      <c r="AG14" s="39">
        <f t="shared" si="6"/>
        <v>12.287504999999999</v>
      </c>
      <c r="AH14" s="40">
        <f t="shared" si="7"/>
        <v>6.0088929807212449E-2</v>
      </c>
      <c r="AI14" s="40">
        <f t="shared" si="8"/>
        <v>2.6824237503654046E-2</v>
      </c>
      <c r="AJ14" s="40">
        <f t="shared" si="9"/>
        <v>2.0741492018461916E-2</v>
      </c>
      <c r="AK14" s="40">
        <f t="shared" si="10"/>
        <v>3.3264692303558406E-2</v>
      </c>
      <c r="AL14" s="37">
        <f t="shared" si="11"/>
        <v>5850936</v>
      </c>
      <c r="AM14" s="40">
        <v>16</v>
      </c>
      <c r="AN14" s="41">
        <v>22150010</v>
      </c>
      <c r="AO14" s="41">
        <v>692187.8125</v>
      </c>
      <c r="AP14" s="41">
        <v>13331.5625</v>
      </c>
      <c r="AQ14" s="42">
        <v>13106672</v>
      </c>
      <c r="AR14" s="42">
        <v>4524160</v>
      </c>
      <c r="AS14" s="42">
        <v>1326776</v>
      </c>
      <c r="AT14" s="42">
        <v>7255736</v>
      </c>
      <c r="AU14" s="43">
        <v>70.920671874999996</v>
      </c>
      <c r="AV14" s="43">
        <v>74.632662499999995</v>
      </c>
      <c r="AW14" s="43">
        <v>39.494956250000001</v>
      </c>
      <c r="AX14" s="43">
        <v>42.987596875000001</v>
      </c>
      <c r="AY14" s="43">
        <v>38.281765624999998</v>
      </c>
      <c r="AZ14" s="44">
        <v>4498.0200000000004</v>
      </c>
      <c r="BA14" s="44">
        <v>11579.6</v>
      </c>
      <c r="BB14" s="44">
        <v>67.542000000000002</v>
      </c>
      <c r="BC14" s="44">
        <v>37.578000000000003</v>
      </c>
      <c r="BE14" s="45">
        <f t="shared" si="12"/>
        <v>1</v>
      </c>
      <c r="BF14" s="46">
        <f t="shared" si="13"/>
        <v>0</v>
      </c>
      <c r="BG14" s="46">
        <f t="shared" si="14"/>
        <v>-1.712800045066909E-3</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1.6267125</v>
      </c>
      <c r="J15" s="12">
        <f t="shared" si="1"/>
        <v>5.3788449491246008E-3</v>
      </c>
      <c r="K15" s="12">
        <f t="shared" si="2"/>
        <v>4.5265920824305046E-3</v>
      </c>
      <c r="L15" s="12">
        <f t="shared" si="3"/>
        <v>2.3656551667253461E-3</v>
      </c>
      <c r="M15" s="12">
        <f t="shared" si="4"/>
        <v>8.5225286669409633E-4</v>
      </c>
      <c r="N15" s="54">
        <f t="shared" si="5"/>
        <v>1460232</v>
      </c>
      <c r="O15" s="12">
        <v>16</v>
      </c>
      <c r="P15" s="13">
        <v>32415907</v>
      </c>
      <c r="Q15" s="13">
        <v>1012997.09375</v>
      </c>
      <c r="R15" s="13">
        <v>32038.09375</v>
      </c>
      <c r="S15" s="14">
        <v>1735160</v>
      </c>
      <c r="T15" s="14">
        <v>763136</v>
      </c>
      <c r="U15" s="14">
        <v>697096</v>
      </c>
      <c r="V15" s="14">
        <v>274928</v>
      </c>
      <c r="W15" s="15">
        <v>66.298768749999994</v>
      </c>
      <c r="X15" s="15">
        <v>67.850190624999996</v>
      </c>
      <c r="Y15" s="15">
        <v>29.251728125</v>
      </c>
      <c r="Z15" s="15">
        <v>43.4881125</v>
      </c>
      <c r="AA15" s="15">
        <v>43.716256250000001</v>
      </c>
      <c r="AB15" s="16">
        <v>6704.89</v>
      </c>
      <c r="AC15" s="16">
        <v>7000</v>
      </c>
      <c r="AD15" s="16">
        <v>65.510000000000005</v>
      </c>
      <c r="AE15" s="16">
        <v>21.077000000000002</v>
      </c>
      <c r="AG15" s="11">
        <f t="shared" si="6"/>
        <v>1.627035</v>
      </c>
      <c r="AH15" s="12">
        <f t="shared" si="7"/>
        <v>5.3799113191783706E-3</v>
      </c>
      <c r="AI15" s="12">
        <f t="shared" si="8"/>
        <v>4.5265920824305046E-3</v>
      </c>
      <c r="AJ15" s="12">
        <f t="shared" si="9"/>
        <v>2.3656551667253461E-3</v>
      </c>
      <c r="AK15" s="12">
        <f t="shared" si="10"/>
        <v>8.5331923674786595E-4</v>
      </c>
      <c r="AL15" s="54">
        <f t="shared" si="11"/>
        <v>1460232</v>
      </c>
      <c r="AM15" s="12">
        <v>16</v>
      </c>
      <c r="AN15" s="13">
        <v>32415907</v>
      </c>
      <c r="AO15" s="13">
        <v>1012997.09375</v>
      </c>
      <c r="AP15" s="13">
        <v>32038.09375</v>
      </c>
      <c r="AQ15" s="14">
        <v>1735504</v>
      </c>
      <c r="AR15" s="14">
        <v>763136</v>
      </c>
      <c r="AS15" s="14">
        <v>697096</v>
      </c>
      <c r="AT15" s="14">
        <v>275272</v>
      </c>
      <c r="AU15" s="15">
        <v>66.298768749999994</v>
      </c>
      <c r="AV15" s="15">
        <v>67.850190624999996</v>
      </c>
      <c r="AW15" s="15">
        <v>29.238484374999999</v>
      </c>
      <c r="AX15" s="15">
        <v>43.497871875000001</v>
      </c>
      <c r="AY15" s="15">
        <v>43.612340625000002</v>
      </c>
      <c r="AZ15" s="16">
        <v>4444.53</v>
      </c>
      <c r="BA15" s="16">
        <v>4878.43</v>
      </c>
      <c r="BB15" s="16">
        <v>104.286</v>
      </c>
      <c r="BC15" s="16">
        <v>34.994999999999997</v>
      </c>
      <c r="BE15" s="51">
        <f t="shared" si="12"/>
        <v>1</v>
      </c>
      <c r="BF15" s="17">
        <f t="shared" si="13"/>
        <v>0</v>
      </c>
      <c r="BG15" s="17">
        <f t="shared" si="14"/>
        <v>-1.6680734025542598E-4</v>
      </c>
      <c r="BH15" s="17">
        <f t="array" ref="BH15">AVERAGE(AL15:AL19/AQ15:AQ19) - AVERAGE(N15:N19/S15:S19)</f>
        <v>-2.4688531172709638E-3</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2.0247039349232665E-3</v>
      </c>
      <c r="BM15" s="51">
        <f>IF( OR(ISBLANK(V15:V19),ISBLANK(AT15:AT19), ISBLANK(Z15:Z19),ISBLANK(AX15:AX19)), "·", bdRateExtend( V15:V19,Z15:Z19, AT15:AT19,AX15:AX19))</f>
        <v>2.2431483555991338E-2</v>
      </c>
      <c r="BN15" s="51">
        <f>IF( OR(ISBLANK(V15:V19),ISBLANK(AT15:AT19), ISBLANK(AA15:AA19),ISBLANK(AY15:AY19)), "·", bdRateExtend( V15:V19,AA15:AA19, AT15:AT19,AY15:AY19))</f>
        <v>3.6644943420865106E-2</v>
      </c>
      <c r="BP15" s="51">
        <f>IF( OR(ISBLANK(S15:S19),ISBLANK(AQ15:AQ19), ISBLANK(W15:W19),ISBLANK(AU15:AU19)), "·", bdRateExtend( S15:S19,W15:W19, AQ15:AQ19,AU15:AU19))</f>
        <v>3.6198996754936985E-3</v>
      </c>
      <c r="BQ15" s="51">
        <f>IF( OR(ISBLANK(S15:S19),ISBLANK(AQ15:AQ19), ISBLANK(X15:X19),ISBLANK(AV15:AV19)), "·", bdRateExtend( S15:S19,X15:X19, AQ15:AQ19,AV15:AV19))</f>
        <v>4.3483339625902673E-3</v>
      </c>
      <c r="BR15" s="51">
        <f>IF( OR(ISBLANK(S15:S19),ISBLANK(AQ15:AQ19), ISBLANK(Y15:Y19),ISBLANK(AW15:AW19)), "·", bdRateExtend( S15:S19,Y15:Y19, AQ15:AQ19,AW15:AW19))</f>
        <v>-2.0083790758972375E-3</v>
      </c>
      <c r="BS15" s="51">
        <f>IF( OR(ISBLANK(S15:S19),ISBLANK(AQ15:AQ19), ISBLANK(Z15:Z19),ISBLANK(AX15:AX19)), "·", bdRateExtend( S15:S19,Z15:Z19, AQ15:AQ19,AX15:AX19))</f>
        <v>1.0769312850386736E-2</v>
      </c>
      <c r="BT15" s="51">
        <f>IF( OR(ISBLANK(S15:S19),ISBLANK(AQ15:AQ19), ISBLANK(AA15:AA19),ISBLANK(AY15:AY19)), "·", bdRateExtend( S15:S19,AA15:AA19, AQ15:AQ19,AY15:AY19))</f>
        <v>1.5347839977100541E-2</v>
      </c>
    </row>
    <row r="16" spans="1:72" outlineLevel="1" x14ac:dyDescent="0.45">
      <c r="A16" s="18"/>
      <c r="B16" s="18" t="s">
        <v>62</v>
      </c>
      <c r="C16" s="19" t="s">
        <v>231</v>
      </c>
      <c r="D16" s="18">
        <v>322589704</v>
      </c>
      <c r="E16" s="19">
        <v>10</v>
      </c>
      <c r="F16" s="19">
        <v>32</v>
      </c>
      <c r="G16" s="19">
        <v>30</v>
      </c>
      <c r="I16" s="20">
        <f t="shared" si="0"/>
        <v>2.1293625</v>
      </c>
      <c r="J16" s="21">
        <f t="shared" si="1"/>
        <v>7.040894274790618E-3</v>
      </c>
      <c r="K16" s="21">
        <f t="shared" si="2"/>
        <v>5.4569131567819657E-3</v>
      </c>
      <c r="L16" s="21">
        <f t="shared" si="3"/>
        <v>3.2959762410768078E-3</v>
      </c>
      <c r="M16" s="21">
        <f t="shared" si="4"/>
        <v>1.5839811180086516E-3</v>
      </c>
      <c r="N16" s="18">
        <f t="shared" si="5"/>
        <v>1760344</v>
      </c>
      <c r="O16" s="21">
        <v>16</v>
      </c>
      <c r="P16" s="22">
        <v>33874164</v>
      </c>
      <c r="Q16" s="22">
        <v>1058567.625</v>
      </c>
      <c r="R16" s="22">
        <v>36864.21875</v>
      </c>
      <c r="S16" s="23">
        <v>2271320</v>
      </c>
      <c r="T16" s="23">
        <v>1063248</v>
      </c>
      <c r="U16" s="23">
        <v>697096</v>
      </c>
      <c r="V16" s="23">
        <v>510976</v>
      </c>
      <c r="W16" s="24">
        <v>68.029634375000001</v>
      </c>
      <c r="X16" s="24">
        <v>70.006815625000002</v>
      </c>
      <c r="Y16" s="24">
        <v>31.568781250000001</v>
      </c>
      <c r="Z16" s="24">
        <v>44.070134375000002</v>
      </c>
      <c r="AA16" s="24">
        <v>44.4230625</v>
      </c>
      <c r="AB16" s="25">
        <v>5821.87</v>
      </c>
      <c r="AC16" s="25">
        <v>6790.05</v>
      </c>
      <c r="AD16" s="25">
        <v>64.253</v>
      </c>
      <c r="AE16" s="25">
        <v>20.393999999999998</v>
      </c>
      <c r="AG16" s="20">
        <f t="shared" si="6"/>
        <v>2.1340949999999999</v>
      </c>
      <c r="AH16" s="21">
        <f t="shared" si="7"/>
        <v>7.0565426353470968E-3</v>
      </c>
      <c r="AI16" s="21">
        <f t="shared" si="8"/>
        <v>5.4569131567819657E-3</v>
      </c>
      <c r="AJ16" s="21">
        <f t="shared" si="9"/>
        <v>3.2959762410768078E-3</v>
      </c>
      <c r="AK16" s="21">
        <f t="shared" si="10"/>
        <v>1.5996294785651311E-3</v>
      </c>
      <c r="AL16" s="18">
        <f t="shared" si="11"/>
        <v>1760344</v>
      </c>
      <c r="AM16" s="21">
        <v>16</v>
      </c>
      <c r="AN16" s="22">
        <v>33874164</v>
      </c>
      <c r="AO16" s="22">
        <v>1058567.625</v>
      </c>
      <c r="AP16" s="22">
        <v>36864.21875</v>
      </c>
      <c r="AQ16" s="23">
        <v>2276368</v>
      </c>
      <c r="AR16" s="23">
        <v>1063248</v>
      </c>
      <c r="AS16" s="23">
        <v>697096</v>
      </c>
      <c r="AT16" s="23">
        <v>516024</v>
      </c>
      <c r="AU16" s="24">
        <v>68.029634375000001</v>
      </c>
      <c r="AV16" s="24">
        <v>70.006815625000002</v>
      </c>
      <c r="AW16" s="24">
        <v>31.59100625</v>
      </c>
      <c r="AX16" s="24">
        <v>44.047665625</v>
      </c>
      <c r="AY16" s="24">
        <v>44.270018749999998</v>
      </c>
      <c r="AZ16" s="25">
        <v>5616.74</v>
      </c>
      <c r="BA16" s="25">
        <v>6422.16</v>
      </c>
      <c r="BB16" s="25">
        <v>76.510999999999996</v>
      </c>
      <c r="BC16" s="25">
        <v>24.17</v>
      </c>
      <c r="BE16" s="50">
        <f t="shared" si="12"/>
        <v>1</v>
      </c>
      <c r="BF16" s="26">
        <f t="shared" si="13"/>
        <v>0</v>
      </c>
      <c r="BG16" s="26">
        <f t="shared" si="14"/>
        <v>-1.7186842361287535E-3</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2.9996174999999998</v>
      </c>
      <c r="J17" s="12">
        <f t="shared" si="1"/>
        <v>9.9184566659325252E-3</v>
      </c>
      <c r="K17" s="12">
        <f t="shared" si="2"/>
        <v>6.6616633245058562E-3</v>
      </c>
      <c r="L17" s="12">
        <f t="shared" si="3"/>
        <v>4.5007264088006973E-3</v>
      </c>
      <c r="M17" s="12">
        <f t="shared" si="4"/>
        <v>3.2567933414266686E-3</v>
      </c>
      <c r="N17" s="54">
        <f t="shared" si="5"/>
        <v>2148984</v>
      </c>
      <c r="O17" s="12">
        <v>16</v>
      </c>
      <c r="P17" s="13">
        <v>33778649</v>
      </c>
      <c r="Q17" s="13">
        <v>1055582.78125</v>
      </c>
      <c r="R17" s="13">
        <v>37421.1875</v>
      </c>
      <c r="S17" s="14">
        <v>3199592</v>
      </c>
      <c r="T17" s="14">
        <v>1451888</v>
      </c>
      <c r="U17" s="14">
        <v>697096</v>
      </c>
      <c r="V17" s="14">
        <v>1050608</v>
      </c>
      <c r="W17" s="15">
        <v>69.351503124999994</v>
      </c>
      <c r="X17" s="15">
        <v>71.840315625000002</v>
      </c>
      <c r="Y17" s="15">
        <v>33.95168125</v>
      </c>
      <c r="Z17" s="15">
        <v>45.159981250000001</v>
      </c>
      <c r="AA17" s="15">
        <v>45.5388375</v>
      </c>
      <c r="AB17" s="16">
        <v>5600.35</v>
      </c>
      <c r="AC17" s="16">
        <v>7345.84</v>
      </c>
      <c r="AD17" s="16">
        <v>95.096000000000004</v>
      </c>
      <c r="AE17" s="16">
        <v>30.071999999999999</v>
      </c>
      <c r="AG17" s="11">
        <f t="shared" si="6"/>
        <v>3.0106875</v>
      </c>
      <c r="AH17" s="12">
        <f t="shared" si="7"/>
        <v>9.9550604380107561E-3</v>
      </c>
      <c r="AI17" s="12">
        <f t="shared" si="8"/>
        <v>6.6616633245058562E-3</v>
      </c>
      <c r="AJ17" s="12">
        <f t="shared" si="9"/>
        <v>4.5007264088006973E-3</v>
      </c>
      <c r="AK17" s="12">
        <f t="shared" si="10"/>
        <v>3.2933971135048999E-3</v>
      </c>
      <c r="AL17" s="54">
        <f t="shared" si="11"/>
        <v>2148984</v>
      </c>
      <c r="AM17" s="12">
        <v>16</v>
      </c>
      <c r="AN17" s="13">
        <v>33778649</v>
      </c>
      <c r="AO17" s="13">
        <v>1055582.78125</v>
      </c>
      <c r="AP17" s="13">
        <v>37421.1875</v>
      </c>
      <c r="AQ17" s="14">
        <v>3211400</v>
      </c>
      <c r="AR17" s="14">
        <v>1451888</v>
      </c>
      <c r="AS17" s="14">
        <v>697096</v>
      </c>
      <c r="AT17" s="14">
        <v>1062416</v>
      </c>
      <c r="AU17" s="15">
        <v>69.351503124999994</v>
      </c>
      <c r="AV17" s="15">
        <v>71.840315625000002</v>
      </c>
      <c r="AW17" s="15">
        <v>33.994587500000002</v>
      </c>
      <c r="AX17" s="15">
        <v>45.147171874999998</v>
      </c>
      <c r="AY17" s="15">
        <v>45.570756250000002</v>
      </c>
      <c r="AZ17" s="16">
        <v>5604.56</v>
      </c>
      <c r="BA17" s="16">
        <v>6781.05</v>
      </c>
      <c r="BB17" s="16">
        <v>93.786000000000001</v>
      </c>
      <c r="BC17" s="16">
        <v>29.654</v>
      </c>
      <c r="BE17" s="51">
        <f t="shared" si="12"/>
        <v>1</v>
      </c>
      <c r="BF17" s="17">
        <f t="shared" si="13"/>
        <v>0</v>
      </c>
      <c r="BG17" s="17">
        <f t="shared" si="14"/>
        <v>-2.4695653397808215E-3</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5.2765500000000003</v>
      </c>
      <c r="J18" s="21">
        <f t="shared" si="1"/>
        <v>1.7447302037885252E-2</v>
      </c>
      <c r="K18" s="21">
        <f t="shared" si="2"/>
        <v>9.9237637168977967E-3</v>
      </c>
      <c r="L18" s="21">
        <f t="shared" si="3"/>
        <v>7.7628268011926379E-3</v>
      </c>
      <c r="M18" s="21">
        <f t="shared" si="4"/>
        <v>7.5235383209874551E-3</v>
      </c>
      <c r="N18" s="18">
        <f t="shared" si="5"/>
        <v>3201304</v>
      </c>
      <c r="O18" s="21">
        <v>16</v>
      </c>
      <c r="P18" s="22">
        <v>34914325</v>
      </c>
      <c r="Q18" s="22">
        <v>1091072.65625</v>
      </c>
      <c r="R18" s="22">
        <v>41603.21875</v>
      </c>
      <c r="S18" s="23">
        <v>5628320</v>
      </c>
      <c r="T18" s="23">
        <v>2504208</v>
      </c>
      <c r="U18" s="23">
        <v>697096</v>
      </c>
      <c r="V18" s="23">
        <v>2427016</v>
      </c>
      <c r="W18" s="24">
        <v>70.529849999999996</v>
      </c>
      <c r="X18" s="24">
        <v>73.133384375000006</v>
      </c>
      <c r="Y18" s="24">
        <v>36.284100000000002</v>
      </c>
      <c r="Z18" s="24">
        <v>46.412684374999998</v>
      </c>
      <c r="AA18" s="24">
        <v>47.006612500000003</v>
      </c>
      <c r="AB18" s="25">
        <v>6462.36</v>
      </c>
      <c r="AC18" s="25">
        <v>9127.16</v>
      </c>
      <c r="AD18" s="25">
        <v>111.696</v>
      </c>
      <c r="AE18" s="25">
        <v>37.165999999999997</v>
      </c>
      <c r="AG18" s="20">
        <f t="shared" si="6"/>
        <v>5.3171249999999999</v>
      </c>
      <c r="AH18" s="21">
        <f t="shared" si="7"/>
        <v>1.7581466270231612E-2</v>
      </c>
      <c r="AI18" s="21">
        <f t="shared" si="8"/>
        <v>9.9237637168977967E-3</v>
      </c>
      <c r="AJ18" s="21">
        <f t="shared" si="9"/>
        <v>7.7628268011926379E-3</v>
      </c>
      <c r="AK18" s="21">
        <f t="shared" si="10"/>
        <v>7.657702553333816E-3</v>
      </c>
      <c r="AL18" s="18">
        <f t="shared" si="11"/>
        <v>3201304</v>
      </c>
      <c r="AM18" s="21">
        <v>16</v>
      </c>
      <c r="AN18" s="22">
        <v>34914325</v>
      </c>
      <c r="AO18" s="22">
        <v>1091072.65625</v>
      </c>
      <c r="AP18" s="22">
        <v>41603.21875</v>
      </c>
      <c r="AQ18" s="23">
        <v>5671600</v>
      </c>
      <c r="AR18" s="23">
        <v>2504208</v>
      </c>
      <c r="AS18" s="23">
        <v>697096</v>
      </c>
      <c r="AT18" s="23">
        <v>2470296</v>
      </c>
      <c r="AU18" s="24">
        <v>70.529849999999996</v>
      </c>
      <c r="AV18" s="24">
        <v>73.133384375000006</v>
      </c>
      <c r="AW18" s="24">
        <v>36.323075000000003</v>
      </c>
      <c r="AX18" s="24">
        <v>46.405868750000003</v>
      </c>
      <c r="AY18" s="24">
        <v>47.022437500000002</v>
      </c>
      <c r="AZ18" s="25">
        <v>6739.17</v>
      </c>
      <c r="BA18" s="25">
        <v>9458.61</v>
      </c>
      <c r="BB18" s="25">
        <v>100.268</v>
      </c>
      <c r="BC18" s="25">
        <v>32.613999999999997</v>
      </c>
      <c r="BE18" s="50">
        <f t="shared" si="12"/>
        <v>1</v>
      </c>
      <c r="BF18" s="26">
        <f t="shared" si="13"/>
        <v>0</v>
      </c>
      <c r="BG18" s="26">
        <f t="shared" si="14"/>
        <v>-4.340400392776167E-3</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11.4147675</v>
      </c>
      <c r="J19" s="30">
        <f t="shared" si="1"/>
        <v>3.7743771264317848E-2</v>
      </c>
      <c r="K19" s="30">
        <f t="shared" si="2"/>
        <v>1.7450451549439409E-2</v>
      </c>
      <c r="L19" s="30">
        <f t="shared" si="3"/>
        <v>1.2811841012755943E-2</v>
      </c>
      <c r="M19" s="30">
        <f t="shared" si="4"/>
        <v>2.0293319714878438E-2</v>
      </c>
      <c r="N19" s="27">
        <f t="shared" si="5"/>
        <v>5629336</v>
      </c>
      <c r="O19" s="30">
        <v>16</v>
      </c>
      <c r="P19" s="31">
        <v>33019287</v>
      </c>
      <c r="Q19" s="31">
        <v>1031852.71875</v>
      </c>
      <c r="R19" s="31">
        <v>17790.15625</v>
      </c>
      <c r="S19" s="32">
        <v>12175752</v>
      </c>
      <c r="T19" s="32">
        <v>4132968</v>
      </c>
      <c r="U19" s="32">
        <v>1496368</v>
      </c>
      <c r="V19" s="32">
        <v>6546416</v>
      </c>
      <c r="W19" s="33">
        <v>71.185568750000002</v>
      </c>
      <c r="X19" s="33">
        <v>75.071018749999993</v>
      </c>
      <c r="Y19" s="33">
        <v>38.708165624999999</v>
      </c>
      <c r="Z19" s="33">
        <v>48.191471874999998</v>
      </c>
      <c r="AA19" s="33">
        <v>48.813737500000002</v>
      </c>
      <c r="AB19" s="34">
        <v>5419.74</v>
      </c>
      <c r="AC19" s="34">
        <v>8427.15</v>
      </c>
      <c r="AD19" s="34">
        <v>93.16</v>
      </c>
      <c r="AE19" s="34">
        <v>32.299999999999997</v>
      </c>
      <c r="AG19" s="29">
        <f t="shared" si="6"/>
        <v>11.505570000000001</v>
      </c>
      <c r="AH19" s="30">
        <f t="shared" si="7"/>
        <v>3.8044016432712928E-2</v>
      </c>
      <c r="AI19" s="30">
        <f t="shared" si="8"/>
        <v>1.7450451549439409E-2</v>
      </c>
      <c r="AJ19" s="30">
        <f t="shared" si="9"/>
        <v>1.2811841012755943E-2</v>
      </c>
      <c r="AK19" s="30">
        <f t="shared" si="10"/>
        <v>2.0593564883273522E-2</v>
      </c>
      <c r="AL19" s="27">
        <f t="shared" si="11"/>
        <v>5629336</v>
      </c>
      <c r="AM19" s="30">
        <v>16</v>
      </c>
      <c r="AN19" s="31">
        <v>33019287</v>
      </c>
      <c r="AO19" s="31">
        <v>1031852.71875</v>
      </c>
      <c r="AP19" s="31">
        <v>17790.15625</v>
      </c>
      <c r="AQ19" s="32">
        <v>12272608</v>
      </c>
      <c r="AR19" s="32">
        <v>4132968</v>
      </c>
      <c r="AS19" s="32">
        <v>1496368</v>
      </c>
      <c r="AT19" s="32">
        <v>6643272</v>
      </c>
      <c r="AU19" s="33">
        <v>71.185568750000002</v>
      </c>
      <c r="AV19" s="33">
        <v>75.071018749999993</v>
      </c>
      <c r="AW19" s="33">
        <v>38.730568750000003</v>
      </c>
      <c r="AX19" s="33">
        <v>48.166631250000002</v>
      </c>
      <c r="AY19" s="33">
        <v>48.755862499999999</v>
      </c>
      <c r="AZ19" s="34">
        <v>5430.8</v>
      </c>
      <c r="BA19" s="34">
        <v>8161.02</v>
      </c>
      <c r="BB19" s="34">
        <v>96.462999999999994</v>
      </c>
      <c r="BC19" s="34">
        <v>35.311</v>
      </c>
      <c r="BE19" s="35">
        <f t="shared" si="12"/>
        <v>1</v>
      </c>
      <c r="BF19" s="36">
        <f t="shared" si="13"/>
        <v>0</v>
      </c>
      <c r="BG19" s="36">
        <f t="shared" si="14"/>
        <v>-3.6488082774133734E-3</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1.9836125</v>
      </c>
      <c r="J20" s="21">
        <f t="shared" si="1"/>
        <v>5.0658314233094784E-3</v>
      </c>
      <c r="K20" s="21">
        <f t="shared" si="2"/>
        <v>3.9497708747502037E-3</v>
      </c>
      <c r="L20" s="21">
        <f t="shared" si="3"/>
        <v>2.2980102013268476E-3</v>
      </c>
      <c r="M20" s="21">
        <f t="shared" si="4"/>
        <v>1.1160605485592743E-3</v>
      </c>
      <c r="N20" s="18">
        <f t="shared" si="5"/>
        <v>989824</v>
      </c>
      <c r="O20" s="21">
        <v>16</v>
      </c>
      <c r="P20" s="22">
        <v>30379563</v>
      </c>
      <c r="Q20" s="22">
        <v>949361.34375</v>
      </c>
      <c r="R20" s="22">
        <v>28806.71875</v>
      </c>
      <c r="S20" s="23">
        <v>1269512</v>
      </c>
      <c r="T20" s="23">
        <v>575888</v>
      </c>
      <c r="U20" s="23">
        <v>413936</v>
      </c>
      <c r="V20" s="23">
        <v>279688</v>
      </c>
      <c r="W20" s="24">
        <v>67.248237500000002</v>
      </c>
      <c r="X20" s="24">
        <v>68.985434374999997</v>
      </c>
      <c r="Y20" s="24">
        <v>30.074031250000001</v>
      </c>
      <c r="Z20" s="24">
        <v>39.563031250000002</v>
      </c>
      <c r="AA20" s="24">
        <v>38.099803125000001</v>
      </c>
      <c r="AB20" s="25">
        <v>6330.6</v>
      </c>
      <c r="AC20" s="25">
        <v>7332.22</v>
      </c>
      <c r="AD20" s="25">
        <v>76.534999999999997</v>
      </c>
      <c r="AE20" s="25">
        <v>24.373999999999999</v>
      </c>
      <c r="AG20" s="20">
        <f t="shared" si="6"/>
        <v>1.9863500000000001</v>
      </c>
      <c r="AH20" s="21">
        <f t="shared" si="7"/>
        <v>5.0728225637269283E-3</v>
      </c>
      <c r="AI20" s="21">
        <f t="shared" si="8"/>
        <v>3.9497708747502037E-3</v>
      </c>
      <c r="AJ20" s="21">
        <f t="shared" si="9"/>
        <v>2.2980102013268476E-3</v>
      </c>
      <c r="AK20" s="21">
        <f t="shared" si="10"/>
        <v>1.1230516889767245E-3</v>
      </c>
      <c r="AL20" s="18">
        <f t="shared" si="11"/>
        <v>989824</v>
      </c>
      <c r="AM20" s="21">
        <v>16</v>
      </c>
      <c r="AN20" s="22">
        <v>30379563</v>
      </c>
      <c r="AO20" s="22">
        <v>949361.34375</v>
      </c>
      <c r="AP20" s="22">
        <v>28806.71875</v>
      </c>
      <c r="AQ20" s="23">
        <v>1271264</v>
      </c>
      <c r="AR20" s="23">
        <v>575888</v>
      </c>
      <c r="AS20" s="23">
        <v>413936</v>
      </c>
      <c r="AT20" s="23">
        <v>281440</v>
      </c>
      <c r="AU20" s="24">
        <v>67.248237500000002</v>
      </c>
      <c r="AV20" s="24">
        <v>68.985434374999997</v>
      </c>
      <c r="AW20" s="24">
        <v>30.098156249999999</v>
      </c>
      <c r="AX20" s="24">
        <v>39.525821874999998</v>
      </c>
      <c r="AY20" s="24">
        <v>38.053759374999998</v>
      </c>
      <c r="AZ20" s="25">
        <v>5103.68</v>
      </c>
      <c r="BA20" s="25">
        <v>6729.06</v>
      </c>
      <c r="BB20" s="25">
        <v>85.884</v>
      </c>
      <c r="BC20" s="25">
        <v>30.88</v>
      </c>
      <c r="BE20" s="50">
        <f t="shared" si="12"/>
        <v>1</v>
      </c>
      <c r="BF20" s="26">
        <f t="shared" si="13"/>
        <v>0</v>
      </c>
      <c r="BG20" s="26">
        <f t="shared" si="14"/>
        <v>-1.0745324183873972E-3</v>
      </c>
      <c r="BH20" s="26">
        <f t="array" ref="BH20">AVERAGE(AL20:AL24/AQ20:AQ24) - AVERAGE(N20:N24/S20:S24)</f>
        <v>-1.6645003012549786E-3</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3.1184628537272996E-3</v>
      </c>
      <c r="BM20" s="50">
        <f>IF( OR(ISBLANK(V20:V24),ISBLANK(AT20:AT24), ISBLANK(Z20:Z24),ISBLANK(AX20:AX24)), "·", bdRateExtend( V20:V24,Z20:Z24, AT20:AT24,AX20:AX24))</f>
        <v>1.0174530219572375E-2</v>
      </c>
      <c r="BN20" s="50">
        <f>IF( OR(ISBLANK(V20:V24),ISBLANK(AT20:AT24), ISBLANK(AA20:AA24),ISBLANK(AY20:AY24)), "·", bdRateExtend( V20:V24,AA20:AA24, AT20:AT24,AY20:AY24))</f>
        <v>2.0678738466585855E-2</v>
      </c>
      <c r="BP20" s="50">
        <f>IF( OR(ISBLANK(S20:S24),ISBLANK(AQ20:AQ24), ISBLANK(W20:W24),ISBLANK(AU20:AU24)), "·", bdRateExtend( S20:S24,W20:W24, AQ20:AQ24,AU20:AU24))</f>
        <v>2.7396999389721621E-3</v>
      </c>
      <c r="BQ20" s="50">
        <f>IF( OR(ISBLANK(S20:S24),ISBLANK(AQ20:AQ24), ISBLANK(X20:X24),ISBLANK(AV20:AV24)), "·", bdRateExtend( S20:S24,X20:X24, AQ20:AQ24,AV20:AV24))</f>
        <v>3.5822473752207262E-3</v>
      </c>
      <c r="BR20" s="50">
        <f>IF( OR(ISBLANK(S20:S24),ISBLANK(AQ20:AQ24), ISBLANK(Y20:Y24),ISBLANK(AW20:AW24)), "·", bdRateExtend( S20:S24,Y20:Y24, AQ20:AQ24,AW20:AW24))</f>
        <v>8.4601690712160504E-4</v>
      </c>
      <c r="BS20" s="50">
        <f>IF( OR(ISBLANK(S20:S24),ISBLANK(AQ20:AQ24), ISBLANK(Z20:Z24),ISBLANK(AX20:AX24)), "·", bdRateExtend( S20:S24,Z20:Z24, AQ20:AQ24,AX20:AX24))</f>
        <v>4.0181194752935134E-3</v>
      </c>
      <c r="BT20" s="50">
        <f>IF( OR(ISBLANK(S20:S24),ISBLANK(AQ20:AQ24), ISBLANK(AA20:AA24),ISBLANK(AY20:AY24)), "·", bdRateExtend( S20:S24,AA20:AA24, AQ20:AQ24,AY20:AY24))</f>
        <v>1.1381563160006491E-2</v>
      </c>
    </row>
    <row r="21" spans="1:72" outlineLevel="1" x14ac:dyDescent="0.45">
      <c r="A21" s="54"/>
      <c r="B21" s="54" t="s">
        <v>68</v>
      </c>
      <c r="C21" s="10" t="s">
        <v>231</v>
      </c>
      <c r="D21" s="54">
        <v>250602891</v>
      </c>
      <c r="E21" s="10">
        <v>10</v>
      </c>
      <c r="F21" s="10">
        <v>32</v>
      </c>
      <c r="G21" s="10">
        <v>50</v>
      </c>
      <c r="I21" s="11">
        <f t="shared" si="0"/>
        <v>2.6581250000000001</v>
      </c>
      <c r="J21" s="12">
        <f t="shared" si="1"/>
        <v>6.7884292683598772E-3</v>
      </c>
      <c r="K21" s="12">
        <f t="shared" si="2"/>
        <v>4.6939921375448142E-3</v>
      </c>
      <c r="L21" s="12">
        <f t="shared" si="3"/>
        <v>3.0422314641214573E-3</v>
      </c>
      <c r="M21" s="12">
        <f t="shared" si="4"/>
        <v>2.094437130815063E-3</v>
      </c>
      <c r="N21" s="54">
        <f t="shared" si="5"/>
        <v>1176328</v>
      </c>
      <c r="O21" s="12">
        <v>16</v>
      </c>
      <c r="P21" s="13">
        <v>31696812</v>
      </c>
      <c r="Q21" s="13">
        <v>990525.375</v>
      </c>
      <c r="R21" s="13">
        <v>33593.15625</v>
      </c>
      <c r="S21" s="14">
        <v>1701200</v>
      </c>
      <c r="T21" s="14">
        <v>762392</v>
      </c>
      <c r="U21" s="14">
        <v>413936</v>
      </c>
      <c r="V21" s="14">
        <v>524872</v>
      </c>
      <c r="W21" s="15">
        <v>68.873231250000003</v>
      </c>
      <c r="X21" s="15">
        <v>70.998265625000002</v>
      </c>
      <c r="Y21" s="15">
        <v>31.559334374999999</v>
      </c>
      <c r="Z21" s="15">
        <v>40.555562500000001</v>
      </c>
      <c r="AA21" s="15">
        <v>39.276837499999999</v>
      </c>
      <c r="AB21" s="16">
        <v>5110.1400000000003</v>
      </c>
      <c r="AC21" s="16">
        <v>6971.94</v>
      </c>
      <c r="AD21" s="16">
        <v>105.55200000000001</v>
      </c>
      <c r="AE21" s="16">
        <v>40.283999999999999</v>
      </c>
      <c r="AG21" s="11">
        <f t="shared" si="6"/>
        <v>2.661</v>
      </c>
      <c r="AH21" s="12">
        <f t="shared" si="7"/>
        <v>6.7957715619489803E-3</v>
      </c>
      <c r="AI21" s="12">
        <f t="shared" si="8"/>
        <v>4.6939921375448142E-3</v>
      </c>
      <c r="AJ21" s="12">
        <f t="shared" si="9"/>
        <v>3.0422314641214573E-3</v>
      </c>
      <c r="AK21" s="12">
        <f t="shared" si="10"/>
        <v>2.1017794244041661E-3</v>
      </c>
      <c r="AL21" s="54">
        <f t="shared" si="11"/>
        <v>1176328</v>
      </c>
      <c r="AM21" s="12">
        <v>16</v>
      </c>
      <c r="AN21" s="13">
        <v>31696812</v>
      </c>
      <c r="AO21" s="13">
        <v>990525.375</v>
      </c>
      <c r="AP21" s="13">
        <v>33593.15625</v>
      </c>
      <c r="AQ21" s="14">
        <v>1703040</v>
      </c>
      <c r="AR21" s="14">
        <v>762392</v>
      </c>
      <c r="AS21" s="14">
        <v>413936</v>
      </c>
      <c r="AT21" s="14">
        <v>526712</v>
      </c>
      <c r="AU21" s="15">
        <v>68.873231250000003</v>
      </c>
      <c r="AV21" s="15">
        <v>70.998265625000002</v>
      </c>
      <c r="AW21" s="15">
        <v>31.556574999999999</v>
      </c>
      <c r="AX21" s="15">
        <v>40.564431249999998</v>
      </c>
      <c r="AY21" s="15">
        <v>39.259437499999997</v>
      </c>
      <c r="AZ21" s="16">
        <v>5013.2700000000004</v>
      </c>
      <c r="BA21" s="16">
        <v>7208.58</v>
      </c>
      <c r="BB21" s="16">
        <v>61.460999999999999</v>
      </c>
      <c r="BC21" s="16">
        <v>22.533000000000001</v>
      </c>
      <c r="BE21" s="51">
        <f t="shared" si="12"/>
        <v>1</v>
      </c>
      <c r="BF21" s="17">
        <f t="shared" si="13"/>
        <v>0</v>
      </c>
      <c r="BG21" s="17">
        <f t="shared" si="14"/>
        <v>-7.4707815063979055E-4</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4.0633625000000002</v>
      </c>
      <c r="J22" s="21">
        <f t="shared" si="1"/>
        <v>1.0377182759635442E-2</v>
      </c>
      <c r="K22" s="21">
        <f t="shared" si="2"/>
        <v>5.5723219888951722E-3</v>
      </c>
      <c r="L22" s="21">
        <f t="shared" si="3"/>
        <v>3.9205613154718157E-3</v>
      </c>
      <c r="M22" s="21">
        <f t="shared" si="4"/>
        <v>4.8048607707402704E-3</v>
      </c>
      <c r="N22" s="18">
        <f t="shared" si="5"/>
        <v>1396440</v>
      </c>
      <c r="O22" s="21">
        <v>16</v>
      </c>
      <c r="P22" s="22">
        <v>32604849</v>
      </c>
      <c r="Q22" s="22">
        <v>1018901.53125</v>
      </c>
      <c r="R22" s="22">
        <v>35090.5625</v>
      </c>
      <c r="S22" s="23">
        <v>2600552</v>
      </c>
      <c r="T22" s="23">
        <v>982504</v>
      </c>
      <c r="U22" s="23">
        <v>413936</v>
      </c>
      <c r="V22" s="23">
        <v>1204112</v>
      </c>
      <c r="W22" s="24">
        <v>70.092034374999997</v>
      </c>
      <c r="X22" s="24">
        <v>72.552462500000004</v>
      </c>
      <c r="Y22" s="24">
        <v>33.366718749999997</v>
      </c>
      <c r="Z22" s="24">
        <v>41.756606249999997</v>
      </c>
      <c r="AA22" s="24">
        <v>40.520646874999997</v>
      </c>
      <c r="AB22" s="25">
        <v>3580.93</v>
      </c>
      <c r="AC22" s="25">
        <v>4341.55</v>
      </c>
      <c r="AD22" s="25">
        <v>106.185</v>
      </c>
      <c r="AE22" s="25">
        <v>39.21</v>
      </c>
      <c r="AG22" s="20">
        <f t="shared" si="6"/>
        <v>4.0712875000000004</v>
      </c>
      <c r="AH22" s="21">
        <f t="shared" si="7"/>
        <v>1.0397421951528884E-2</v>
      </c>
      <c r="AI22" s="21">
        <f t="shared" si="8"/>
        <v>5.5723219888951722E-3</v>
      </c>
      <c r="AJ22" s="21">
        <f t="shared" si="9"/>
        <v>3.9205613154718157E-3</v>
      </c>
      <c r="AK22" s="21">
        <f t="shared" si="10"/>
        <v>4.8250999626337108E-3</v>
      </c>
      <c r="AL22" s="18">
        <f t="shared" si="11"/>
        <v>1396440</v>
      </c>
      <c r="AM22" s="21">
        <v>16</v>
      </c>
      <c r="AN22" s="22">
        <v>32604849</v>
      </c>
      <c r="AO22" s="22">
        <v>1018901.53125</v>
      </c>
      <c r="AP22" s="22">
        <v>35090.5625</v>
      </c>
      <c r="AQ22" s="23">
        <v>2605624</v>
      </c>
      <c r="AR22" s="23">
        <v>982504</v>
      </c>
      <c r="AS22" s="23">
        <v>413936</v>
      </c>
      <c r="AT22" s="23">
        <v>1209184</v>
      </c>
      <c r="AU22" s="24">
        <v>70.092034374999997</v>
      </c>
      <c r="AV22" s="24">
        <v>72.552462500000004</v>
      </c>
      <c r="AW22" s="24">
        <v>33.375512499999999</v>
      </c>
      <c r="AX22" s="24">
        <v>41.707565625000001</v>
      </c>
      <c r="AY22" s="24">
        <v>40.488971874999997</v>
      </c>
      <c r="AZ22" s="25">
        <v>4400.67</v>
      </c>
      <c r="BA22" s="25">
        <v>3928.98</v>
      </c>
      <c r="BB22" s="25">
        <v>89.882999999999996</v>
      </c>
      <c r="BC22" s="25">
        <v>33.902999999999999</v>
      </c>
      <c r="BE22" s="50">
        <f t="shared" si="12"/>
        <v>1</v>
      </c>
      <c r="BF22" s="26">
        <f t="shared" si="13"/>
        <v>0</v>
      </c>
      <c r="BG22" s="26">
        <f t="shared" si="14"/>
        <v>-1.0452597739200042E-3</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7.6368124999999996</v>
      </c>
      <c r="J23" s="12">
        <f t="shared" si="1"/>
        <v>1.9503206768672114E-2</v>
      </c>
      <c r="K23" s="12">
        <f t="shared" si="2"/>
        <v>8.2705829598749524E-3</v>
      </c>
      <c r="L23" s="12">
        <f t="shared" si="3"/>
        <v>6.6188222864515959E-3</v>
      </c>
      <c r="M23" s="12">
        <f t="shared" si="4"/>
        <v>1.1232623808797162E-2</v>
      </c>
      <c r="N23" s="54">
        <f t="shared" si="5"/>
        <v>2072632</v>
      </c>
      <c r="O23" s="12">
        <v>16</v>
      </c>
      <c r="P23" s="13">
        <v>32813316</v>
      </c>
      <c r="Q23" s="13">
        <v>1025416.125</v>
      </c>
      <c r="R23" s="13">
        <v>37028.40625</v>
      </c>
      <c r="S23" s="14">
        <v>4887560</v>
      </c>
      <c r="T23" s="14">
        <v>1658696</v>
      </c>
      <c r="U23" s="14">
        <v>413936</v>
      </c>
      <c r="V23" s="14">
        <v>2814928</v>
      </c>
      <c r="W23" s="15">
        <v>71.045559374999996</v>
      </c>
      <c r="X23" s="15">
        <v>73.797390625000006</v>
      </c>
      <c r="Y23" s="15">
        <v>35.144278125</v>
      </c>
      <c r="Z23" s="15">
        <v>42.778806250000002</v>
      </c>
      <c r="AA23" s="15">
        <v>41.512503125000002</v>
      </c>
      <c r="AB23" s="16">
        <v>5799.87</v>
      </c>
      <c r="AC23" s="16">
        <v>9059.81</v>
      </c>
      <c r="AD23" s="16">
        <v>93.352000000000004</v>
      </c>
      <c r="AE23" s="16">
        <v>32.347999999999999</v>
      </c>
      <c r="AG23" s="11">
        <f t="shared" si="6"/>
        <v>7.6837999999999997</v>
      </c>
      <c r="AH23" s="12">
        <f t="shared" si="7"/>
        <v>1.9623205384330541E-2</v>
      </c>
      <c r="AI23" s="12">
        <f t="shared" si="8"/>
        <v>8.2705829598749524E-3</v>
      </c>
      <c r="AJ23" s="12">
        <f t="shared" si="9"/>
        <v>6.6188222864515959E-3</v>
      </c>
      <c r="AK23" s="12">
        <f t="shared" si="10"/>
        <v>1.135262242445559E-2</v>
      </c>
      <c r="AL23" s="54">
        <f t="shared" si="11"/>
        <v>2072632</v>
      </c>
      <c r="AM23" s="12">
        <v>16</v>
      </c>
      <c r="AN23" s="13">
        <v>32813316</v>
      </c>
      <c r="AO23" s="13">
        <v>1025416.125</v>
      </c>
      <c r="AP23" s="13">
        <v>37028.40625</v>
      </c>
      <c r="AQ23" s="14">
        <v>4917632</v>
      </c>
      <c r="AR23" s="14">
        <v>1658696</v>
      </c>
      <c r="AS23" s="14">
        <v>413936</v>
      </c>
      <c r="AT23" s="14">
        <v>2845000</v>
      </c>
      <c r="AU23" s="15">
        <v>71.045559374999996</v>
      </c>
      <c r="AV23" s="15">
        <v>73.797390625000006</v>
      </c>
      <c r="AW23" s="15">
        <v>35.158246875000003</v>
      </c>
      <c r="AX23" s="15">
        <v>42.801381249999999</v>
      </c>
      <c r="AY23" s="15">
        <v>41.502418749999997</v>
      </c>
      <c r="AZ23" s="16">
        <v>4948.97</v>
      </c>
      <c r="BA23" s="16">
        <v>7373.43</v>
      </c>
      <c r="BB23" s="16">
        <v>96.433000000000007</v>
      </c>
      <c r="BC23" s="16">
        <v>35.933</v>
      </c>
      <c r="BE23" s="51">
        <f t="shared" si="12"/>
        <v>1</v>
      </c>
      <c r="BF23" s="17">
        <f t="shared" si="13"/>
        <v>0</v>
      </c>
      <c r="BG23" s="17">
        <f t="shared" si="14"/>
        <v>-2.5932022142222122E-3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15.560762499999999</v>
      </c>
      <c r="J24" s="40">
        <f t="shared" si="1"/>
        <v>3.9739717128801998E-2</v>
      </c>
      <c r="K24" s="40">
        <f t="shared" si="2"/>
        <v>1.4241814951767656E-2</v>
      </c>
      <c r="L24" s="40">
        <f t="shared" si="3"/>
        <v>1.0614817687797545E-2</v>
      </c>
      <c r="M24" s="40">
        <f t="shared" si="4"/>
        <v>2.5497902177034341E-2</v>
      </c>
      <c r="N24" s="37">
        <f t="shared" si="5"/>
        <v>3569040</v>
      </c>
      <c r="O24" s="40">
        <v>16</v>
      </c>
      <c r="P24" s="41">
        <v>31274990</v>
      </c>
      <c r="Q24" s="41">
        <v>977343.4375</v>
      </c>
      <c r="R24" s="41">
        <v>17914.71875</v>
      </c>
      <c r="S24" s="42">
        <v>9958888</v>
      </c>
      <c r="T24" s="42">
        <v>2660104</v>
      </c>
      <c r="U24" s="42">
        <v>908936</v>
      </c>
      <c r="V24" s="42">
        <v>6389848</v>
      </c>
      <c r="W24" s="43">
        <v>71.767975000000007</v>
      </c>
      <c r="X24" s="43">
        <v>75.810796874999994</v>
      </c>
      <c r="Y24" s="43">
        <v>36.616746874999997</v>
      </c>
      <c r="Z24" s="43">
        <v>43.678193749999998</v>
      </c>
      <c r="AA24" s="43">
        <v>42.226712499999998</v>
      </c>
      <c r="AB24" s="44">
        <v>5032.2299999999996</v>
      </c>
      <c r="AC24" s="44">
        <v>8906.8799999999992</v>
      </c>
      <c r="AD24" s="44">
        <v>86.4</v>
      </c>
      <c r="AE24" s="44">
        <v>34.031999999999996</v>
      </c>
      <c r="AG24" s="39">
        <f t="shared" si="6"/>
        <v>15.68605</v>
      </c>
      <c r="AH24" s="40">
        <f t="shared" si="7"/>
        <v>4.005968151420887E-2</v>
      </c>
      <c r="AI24" s="40">
        <f t="shared" si="8"/>
        <v>1.4241814951767656E-2</v>
      </c>
      <c r="AJ24" s="40">
        <f t="shared" si="9"/>
        <v>1.0614817687797545E-2</v>
      </c>
      <c r="AK24" s="40">
        <f t="shared" si="10"/>
        <v>2.5817866562441213E-2</v>
      </c>
      <c r="AL24" s="37">
        <f t="shared" si="11"/>
        <v>3569040</v>
      </c>
      <c r="AM24" s="40">
        <v>16</v>
      </c>
      <c r="AN24" s="41">
        <v>31274990</v>
      </c>
      <c r="AO24" s="41">
        <v>977343.4375</v>
      </c>
      <c r="AP24" s="41">
        <v>17914.71875</v>
      </c>
      <c r="AQ24" s="42">
        <v>10039072</v>
      </c>
      <c r="AR24" s="42">
        <v>2660104</v>
      </c>
      <c r="AS24" s="42">
        <v>908936</v>
      </c>
      <c r="AT24" s="42">
        <v>6470032</v>
      </c>
      <c r="AU24" s="43">
        <v>71.767975000000007</v>
      </c>
      <c r="AV24" s="43">
        <v>75.810796874999994</v>
      </c>
      <c r="AW24" s="43">
        <v>36.616100000000003</v>
      </c>
      <c r="AX24" s="43">
        <v>43.689878125</v>
      </c>
      <c r="AY24" s="43">
        <v>42.226246875000001</v>
      </c>
      <c r="AZ24" s="44">
        <v>4877.0600000000004</v>
      </c>
      <c r="BA24" s="44">
        <v>8121.74</v>
      </c>
      <c r="BB24" s="44">
        <v>94.944000000000003</v>
      </c>
      <c r="BC24" s="44">
        <v>36.277999999999999</v>
      </c>
      <c r="BE24" s="45">
        <f t="shared" si="12"/>
        <v>1</v>
      </c>
      <c r="BF24" s="46">
        <f t="shared" si="13"/>
        <v>0</v>
      </c>
      <c r="BG24" s="46">
        <f t="shared" si="14"/>
        <v>-2.8624289491051003E-3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2.0607825000000002</v>
      </c>
      <c r="J25" s="12">
        <f t="shared" si="1"/>
        <v>8.7823235422650903E-3</v>
      </c>
      <c r="K25" s="12">
        <f t="shared" si="2"/>
        <v>5.7151217120632678E-3</v>
      </c>
      <c r="L25" s="12">
        <f t="shared" si="3"/>
        <v>3.5055013695821828E-3</v>
      </c>
      <c r="M25" s="12">
        <f t="shared" si="4"/>
        <v>3.0672018302018221E-3</v>
      </c>
      <c r="N25" s="54">
        <f t="shared" si="5"/>
        <v>1430464</v>
      </c>
      <c r="O25" s="12">
        <v>16</v>
      </c>
      <c r="P25" s="13">
        <v>23423729</v>
      </c>
      <c r="Q25" s="13">
        <v>731991.53125</v>
      </c>
      <c r="R25" s="13">
        <v>14601.28125</v>
      </c>
      <c r="S25" s="14">
        <v>2198168</v>
      </c>
      <c r="T25" s="14">
        <v>877408</v>
      </c>
      <c r="U25" s="14">
        <v>553056</v>
      </c>
      <c r="V25" s="14">
        <v>767704</v>
      </c>
      <c r="W25" s="15">
        <v>66.249556249999998</v>
      </c>
      <c r="X25" s="15">
        <v>68.002121875</v>
      </c>
      <c r="Y25" s="15">
        <v>25.914253124999998</v>
      </c>
      <c r="Z25" s="15">
        <v>32.457703125000002</v>
      </c>
      <c r="AA25" s="15">
        <v>31.662740625000001</v>
      </c>
      <c r="AB25" s="16">
        <v>1966.63</v>
      </c>
      <c r="AC25" s="16">
        <v>8754.6200000000008</v>
      </c>
      <c r="AD25" s="16">
        <v>80.575999999999993</v>
      </c>
      <c r="AE25" s="16">
        <v>42.374000000000002</v>
      </c>
      <c r="AG25" s="11">
        <f t="shared" si="6"/>
        <v>2.0623425000000002</v>
      </c>
      <c r="AH25" s="12">
        <f t="shared" si="7"/>
        <v>8.7889717085446132E-3</v>
      </c>
      <c r="AI25" s="12">
        <f t="shared" si="8"/>
        <v>5.7151217120632678E-3</v>
      </c>
      <c r="AJ25" s="12">
        <f t="shared" si="9"/>
        <v>3.5055013695821828E-3</v>
      </c>
      <c r="AK25" s="12">
        <f t="shared" si="10"/>
        <v>3.0738499964813462E-3</v>
      </c>
      <c r="AL25" s="54">
        <f t="shared" si="11"/>
        <v>1430464</v>
      </c>
      <c r="AM25" s="12">
        <v>16</v>
      </c>
      <c r="AN25" s="13">
        <v>23423729</v>
      </c>
      <c r="AO25" s="13">
        <v>731991.53125</v>
      </c>
      <c r="AP25" s="13">
        <v>14601.28125</v>
      </c>
      <c r="AQ25" s="14">
        <v>2199832</v>
      </c>
      <c r="AR25" s="14">
        <v>877408</v>
      </c>
      <c r="AS25" s="14">
        <v>553056</v>
      </c>
      <c r="AT25" s="14">
        <v>769368</v>
      </c>
      <c r="AU25" s="15">
        <v>66.249556249999998</v>
      </c>
      <c r="AV25" s="15">
        <v>68.002121875</v>
      </c>
      <c r="AW25" s="15">
        <v>25.916440625</v>
      </c>
      <c r="AX25" s="15">
        <v>32.460962500000001</v>
      </c>
      <c r="AY25" s="15">
        <v>31.670018750000001</v>
      </c>
      <c r="AZ25" s="16">
        <v>1684.47</v>
      </c>
      <c r="BA25" s="16">
        <v>7667.14</v>
      </c>
      <c r="BB25" s="16">
        <v>75.649000000000001</v>
      </c>
      <c r="BC25" s="16">
        <v>35.145000000000003</v>
      </c>
      <c r="BE25" s="51">
        <f t="shared" si="12"/>
        <v>1</v>
      </c>
      <c r="BF25" s="17">
        <f t="shared" si="13"/>
        <v>0</v>
      </c>
      <c r="BG25" s="17">
        <f t="shared" si="14"/>
        <v>-4.9224335025621624E-4</v>
      </c>
      <c r="BH25" s="17">
        <f t="array" ref="BH25">AVERAGE(AL25:AL29/AQ25:AQ29) - AVERAGE(N25:N29/S25:S29)</f>
        <v>-1.006951535105105E-3</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5.8935627471123908E-4</v>
      </c>
      <c r="BM25" s="51">
        <f>IF( OR(ISBLANK(V25:V29),ISBLANK(AT25:AT29), ISBLANK(Z25:Z29),ISBLANK(AX25:AX29)), "·", bdRateExtend( V25:V29,Z25:Z29, AT25:AT29,AX25:AX29))</f>
        <v>-1.2060574422575465E-3</v>
      </c>
      <c r="BN25" s="51">
        <f>IF( OR(ISBLANK(V25:V29),ISBLANK(AT25:AT29), ISBLANK(AA25:AA29),ISBLANK(AY25:AY29)), "·", bdRateExtend( V25:V29,AA25:AA29, AT25:AT29,AY25:AY29))</f>
        <v>3.7351995529482096E-3</v>
      </c>
      <c r="BP25" s="51">
        <f>IF( OR(ISBLANK(S25:S29),ISBLANK(AQ25:AQ29), ISBLANK(W25:W29),ISBLANK(AU25:AU29)), "·", bdRateExtend( S25:S29,W25:W29, AQ25:AQ29,AU25:AU29))</f>
        <v>2.6668742671245305E-3</v>
      </c>
      <c r="BQ25" s="51">
        <f>IF( OR(ISBLANK(S25:S29),ISBLANK(AQ25:AQ29), ISBLANK(X25:X29),ISBLANK(AV25:AV29)), "·", bdRateExtend( S25:S29,X25:X29, AQ25:AQ29,AV25:AV29))</f>
        <v>2.9435761200147237E-3</v>
      </c>
      <c r="BR25" s="51">
        <f>IF( OR(ISBLANK(S25:S29),ISBLANK(AQ25:AQ29), ISBLANK(Y25:Y29),ISBLANK(AW25:AW29)), "·", bdRateExtend( S25:S29,Y25:Y29, AQ25:AQ29,AW25:AW29))</f>
        <v>-3.716424926388795E-4</v>
      </c>
      <c r="BS25" s="51">
        <f>IF( OR(ISBLANK(S25:S29),ISBLANK(AQ25:AQ29), ISBLANK(Z25:Z29),ISBLANK(AX25:AX29)), "·", bdRateExtend( S25:S29,Z25:Z29, AQ25:AQ29,AX25:AX29))</f>
        <v>-1.9734036865882709E-3</v>
      </c>
      <c r="BT25" s="51">
        <f>IF( OR(ISBLANK(S25:S29),ISBLANK(AQ25:AQ29), ISBLANK(AA25:AA29),ISBLANK(AY25:AY29)), "·", bdRateExtend( S25:S29,AA25:AA29, AQ25:AQ29,AY25:AY29))</f>
        <v>1.826772431520185E-3</v>
      </c>
    </row>
    <row r="26" spans="1:72" outlineLevel="1" x14ac:dyDescent="0.45">
      <c r="A26" s="18"/>
      <c r="B26" s="18" t="s">
        <v>71</v>
      </c>
      <c r="C26" s="19" t="s">
        <v>231</v>
      </c>
      <c r="D26" s="18">
        <v>250294582</v>
      </c>
      <c r="E26" s="19">
        <v>10</v>
      </c>
      <c r="F26" s="19">
        <v>32</v>
      </c>
      <c r="G26" s="19">
        <v>30</v>
      </c>
      <c r="I26" s="20">
        <f t="shared" si="0"/>
        <v>3.1715550000000001</v>
      </c>
      <c r="J26" s="21">
        <f t="shared" si="1"/>
        <v>1.3516041669651483E-2</v>
      </c>
      <c r="K26" s="21">
        <f t="shared" si="2"/>
        <v>7.1894484715614021E-3</v>
      </c>
      <c r="L26" s="21">
        <f t="shared" si="3"/>
        <v>4.9798281290803171E-3</v>
      </c>
      <c r="M26" s="21">
        <f t="shared" si="4"/>
        <v>6.3265931980900809E-3</v>
      </c>
      <c r="N26" s="18">
        <f t="shared" si="5"/>
        <v>1799480</v>
      </c>
      <c r="O26" s="21">
        <v>16</v>
      </c>
      <c r="P26" s="22">
        <v>24642332</v>
      </c>
      <c r="Q26" s="22">
        <v>770072.875</v>
      </c>
      <c r="R26" s="22">
        <v>17838.375</v>
      </c>
      <c r="S26" s="23">
        <v>3382992</v>
      </c>
      <c r="T26" s="23">
        <v>1246424</v>
      </c>
      <c r="U26" s="23">
        <v>553056</v>
      </c>
      <c r="V26" s="23">
        <v>1583512</v>
      </c>
      <c r="W26" s="24">
        <v>68.005359374999998</v>
      </c>
      <c r="X26" s="24">
        <v>70.016609375000002</v>
      </c>
      <c r="Y26" s="24">
        <v>27.918290625000001</v>
      </c>
      <c r="Z26" s="24">
        <v>33.668056249999999</v>
      </c>
      <c r="AA26" s="24">
        <v>33.040231249999998</v>
      </c>
      <c r="AB26" s="25">
        <v>1847.89</v>
      </c>
      <c r="AC26" s="25">
        <v>9140.4699999999993</v>
      </c>
      <c r="AD26" s="25">
        <v>54.511000000000003</v>
      </c>
      <c r="AE26" s="25">
        <v>27.238</v>
      </c>
      <c r="AG26" s="20">
        <f t="shared" si="6"/>
        <v>3.1803075000000001</v>
      </c>
      <c r="AH26" s="21">
        <f t="shared" si="7"/>
        <v>1.355334171796016E-2</v>
      </c>
      <c r="AI26" s="21">
        <f t="shared" si="8"/>
        <v>7.1894484715614021E-3</v>
      </c>
      <c r="AJ26" s="21">
        <f t="shared" si="9"/>
        <v>4.9798281290803171E-3</v>
      </c>
      <c r="AK26" s="21">
        <f t="shared" si="10"/>
        <v>6.3638932463987571E-3</v>
      </c>
      <c r="AL26" s="18">
        <f t="shared" si="11"/>
        <v>1799480</v>
      </c>
      <c r="AM26" s="21">
        <v>16</v>
      </c>
      <c r="AN26" s="22">
        <v>24642332</v>
      </c>
      <c r="AO26" s="22">
        <v>770072.875</v>
      </c>
      <c r="AP26" s="22">
        <v>17838.375</v>
      </c>
      <c r="AQ26" s="23">
        <v>3392328</v>
      </c>
      <c r="AR26" s="23">
        <v>1246424</v>
      </c>
      <c r="AS26" s="23">
        <v>553056</v>
      </c>
      <c r="AT26" s="23">
        <v>1592848</v>
      </c>
      <c r="AU26" s="24">
        <v>68.005359374999998</v>
      </c>
      <c r="AV26" s="24">
        <v>70.016609375000002</v>
      </c>
      <c r="AW26" s="24">
        <v>27.928550000000001</v>
      </c>
      <c r="AX26" s="24">
        <v>33.661812500000003</v>
      </c>
      <c r="AY26" s="24">
        <v>33.026053124999997</v>
      </c>
      <c r="AZ26" s="25">
        <v>1277.5999999999999</v>
      </c>
      <c r="BA26" s="25">
        <v>4731.84</v>
      </c>
      <c r="BB26" s="25">
        <v>71.063999999999993</v>
      </c>
      <c r="BC26" s="25">
        <v>35.521000000000001</v>
      </c>
      <c r="BE26" s="50">
        <f t="shared" si="12"/>
        <v>1</v>
      </c>
      <c r="BF26" s="26">
        <f t="shared" si="13"/>
        <v>0</v>
      </c>
      <c r="BG26" s="26">
        <f t="shared" si="14"/>
        <v>-1.4638920739796779E-3</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5.3551425000000004</v>
      </c>
      <c r="J27" s="12">
        <f t="shared" si="1"/>
        <v>2.2821716532401809E-2</v>
      </c>
      <c r="K27" s="12">
        <f t="shared" si="2"/>
        <v>9.3524357630721706E-3</v>
      </c>
      <c r="L27" s="12">
        <f t="shared" si="3"/>
        <v>7.1428154205910857E-3</v>
      </c>
      <c r="M27" s="12">
        <f t="shared" si="4"/>
        <v>1.3469280769329637E-2</v>
      </c>
      <c r="N27" s="54">
        <f t="shared" si="5"/>
        <v>2340864</v>
      </c>
      <c r="O27" s="12">
        <v>16</v>
      </c>
      <c r="P27" s="13">
        <v>24875407</v>
      </c>
      <c r="Q27" s="13">
        <v>777356.46875</v>
      </c>
      <c r="R27" s="13">
        <v>18687.4375</v>
      </c>
      <c r="S27" s="14">
        <v>5712152</v>
      </c>
      <c r="T27" s="14">
        <v>1787808</v>
      </c>
      <c r="U27" s="14">
        <v>553056</v>
      </c>
      <c r="V27" s="14">
        <v>3371288</v>
      </c>
      <c r="W27" s="15">
        <v>69.301756249999997</v>
      </c>
      <c r="X27" s="15">
        <v>71.690518749999995</v>
      </c>
      <c r="Y27" s="15">
        <v>30.205874999999999</v>
      </c>
      <c r="Z27" s="15">
        <v>34.909818749999999</v>
      </c>
      <c r="AA27" s="15">
        <v>34.350634374999998</v>
      </c>
      <c r="AB27" s="16">
        <v>1814.86</v>
      </c>
      <c r="AC27" s="16">
        <v>9709.11</v>
      </c>
      <c r="AD27" s="16">
        <v>82.394999999999996</v>
      </c>
      <c r="AE27" s="16">
        <v>39.804000000000002</v>
      </c>
      <c r="AG27" s="11">
        <f t="shared" si="6"/>
        <v>5.3679375</v>
      </c>
      <c r="AH27" s="12">
        <f t="shared" si="7"/>
        <v>2.2876244280829058E-2</v>
      </c>
      <c r="AI27" s="12">
        <f t="shared" si="8"/>
        <v>9.3524357630721706E-3</v>
      </c>
      <c r="AJ27" s="12">
        <f t="shared" si="9"/>
        <v>7.1428154205910857E-3</v>
      </c>
      <c r="AK27" s="12">
        <f t="shared" si="10"/>
        <v>1.3523808517756888E-2</v>
      </c>
      <c r="AL27" s="54">
        <f t="shared" si="11"/>
        <v>2340864</v>
      </c>
      <c r="AM27" s="12">
        <v>16</v>
      </c>
      <c r="AN27" s="13">
        <v>24875407</v>
      </c>
      <c r="AO27" s="13">
        <v>777356.46875</v>
      </c>
      <c r="AP27" s="13">
        <v>18687.4375</v>
      </c>
      <c r="AQ27" s="14">
        <v>5725800</v>
      </c>
      <c r="AR27" s="14">
        <v>1787808</v>
      </c>
      <c r="AS27" s="14">
        <v>553056</v>
      </c>
      <c r="AT27" s="14">
        <v>3384936</v>
      </c>
      <c r="AU27" s="15">
        <v>69.301756249999997</v>
      </c>
      <c r="AV27" s="15">
        <v>71.690518749999995</v>
      </c>
      <c r="AW27" s="15">
        <v>30.222078124999999</v>
      </c>
      <c r="AX27" s="15">
        <v>34.939359375000002</v>
      </c>
      <c r="AY27" s="15">
        <v>34.366234374999998</v>
      </c>
      <c r="AZ27" s="16">
        <v>1286.29</v>
      </c>
      <c r="BA27" s="16">
        <v>5068.76</v>
      </c>
      <c r="BB27" s="16">
        <v>67.23</v>
      </c>
      <c r="BC27" s="16">
        <v>31.158999999999999</v>
      </c>
      <c r="BE27" s="51">
        <f t="shared" si="12"/>
        <v>1</v>
      </c>
      <c r="BF27" s="17">
        <f t="shared" si="13"/>
        <v>0</v>
      </c>
      <c r="BG27" s="17">
        <f t="shared" si="14"/>
        <v>-9.7680813280059953E-4</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10.3389975</v>
      </c>
      <c r="J28" s="21">
        <f t="shared" si="1"/>
        <v>4.4061137527938977E-2</v>
      </c>
      <c r="K28" s="21">
        <f t="shared" si="2"/>
        <v>1.318660585309833E-2</v>
      </c>
      <c r="L28" s="21">
        <f t="shared" si="3"/>
        <v>1.0976985510617245E-2</v>
      </c>
      <c r="M28" s="21">
        <f t="shared" si="4"/>
        <v>3.0874531674840649E-2</v>
      </c>
      <c r="N28" s="18">
        <f t="shared" si="5"/>
        <v>3300536</v>
      </c>
      <c r="O28" s="21">
        <v>16</v>
      </c>
      <c r="P28" s="22">
        <v>25558634</v>
      </c>
      <c r="Q28" s="22">
        <v>798707.3125</v>
      </c>
      <c r="R28" s="22">
        <v>21108.9375</v>
      </c>
      <c r="S28" s="23">
        <v>11028264</v>
      </c>
      <c r="T28" s="23">
        <v>2747480</v>
      </c>
      <c r="U28" s="23">
        <v>553056</v>
      </c>
      <c r="V28" s="23">
        <v>7727728</v>
      </c>
      <c r="W28" s="24">
        <v>70.462115624999996</v>
      </c>
      <c r="X28" s="24">
        <v>72.993593750000002</v>
      </c>
      <c r="Y28" s="24">
        <v>32.704628124999999</v>
      </c>
      <c r="Z28" s="24">
        <v>36.413840624999999</v>
      </c>
      <c r="AA28" s="24">
        <v>35.864956249999999</v>
      </c>
      <c r="AB28" s="25">
        <v>2179.33</v>
      </c>
      <c r="AC28" s="25">
        <v>12355.7</v>
      </c>
      <c r="AD28" s="25">
        <v>71.051000000000002</v>
      </c>
      <c r="AE28" s="25">
        <v>37.198</v>
      </c>
      <c r="AG28" s="20">
        <f t="shared" si="6"/>
        <v>10.377157499999999</v>
      </c>
      <c r="AH28" s="21">
        <f t="shared" si="7"/>
        <v>4.422376190308426E-2</v>
      </c>
      <c r="AI28" s="21">
        <f t="shared" si="8"/>
        <v>1.318660585309833E-2</v>
      </c>
      <c r="AJ28" s="21">
        <f t="shared" si="9"/>
        <v>1.0976985510617245E-2</v>
      </c>
      <c r="AK28" s="21">
        <f t="shared" si="10"/>
        <v>3.1037156049985932E-2</v>
      </c>
      <c r="AL28" s="18">
        <f t="shared" si="11"/>
        <v>3300536</v>
      </c>
      <c r="AM28" s="21">
        <v>16</v>
      </c>
      <c r="AN28" s="22">
        <v>25558634</v>
      </c>
      <c r="AO28" s="22">
        <v>798707.3125</v>
      </c>
      <c r="AP28" s="22">
        <v>21108.9375</v>
      </c>
      <c r="AQ28" s="23">
        <v>11068968</v>
      </c>
      <c r="AR28" s="23">
        <v>2747480</v>
      </c>
      <c r="AS28" s="23">
        <v>553056</v>
      </c>
      <c r="AT28" s="23">
        <v>7768432</v>
      </c>
      <c r="AU28" s="24">
        <v>70.462115624999996</v>
      </c>
      <c r="AV28" s="24">
        <v>72.993593750000002</v>
      </c>
      <c r="AW28" s="24">
        <v>32.719753124999997</v>
      </c>
      <c r="AX28" s="24">
        <v>36.428068750000001</v>
      </c>
      <c r="AY28" s="24">
        <v>35.86894375</v>
      </c>
      <c r="AZ28" s="25">
        <v>1319.69</v>
      </c>
      <c r="BA28" s="25">
        <v>6488.93</v>
      </c>
      <c r="BB28" s="25">
        <v>79.254000000000005</v>
      </c>
      <c r="BC28" s="25">
        <v>38.423000000000002</v>
      </c>
      <c r="BE28" s="50">
        <f t="shared" si="12"/>
        <v>1</v>
      </c>
      <c r="BF28" s="26">
        <f t="shared" si="13"/>
        <v>0</v>
      </c>
      <c r="BG28" s="26">
        <f t="shared" si="14"/>
        <v>-1.1005436641687849E-3</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23.8660575</v>
      </c>
      <c r="J29" s="30">
        <f t="shared" si="1"/>
        <v>0.10170866583120844</v>
      </c>
      <c r="K29" s="30">
        <f t="shared" si="2"/>
        <v>2.1642817661950031E-2</v>
      </c>
      <c r="L29" s="30">
        <f t="shared" si="3"/>
        <v>1.7231247938079619E-2</v>
      </c>
      <c r="M29" s="30">
        <f t="shared" si="4"/>
        <v>8.0065848169258408E-2</v>
      </c>
      <c r="N29" s="27">
        <f t="shared" si="5"/>
        <v>5417080</v>
      </c>
      <c r="O29" s="30">
        <v>16</v>
      </c>
      <c r="P29" s="31">
        <v>24591050</v>
      </c>
      <c r="Q29" s="31">
        <v>768470.3125</v>
      </c>
      <c r="R29" s="31">
        <v>9839.84375</v>
      </c>
      <c r="S29" s="32">
        <v>25457128</v>
      </c>
      <c r="T29" s="32">
        <v>4312888</v>
      </c>
      <c r="U29" s="32">
        <v>1104192</v>
      </c>
      <c r="V29" s="32">
        <v>20040048</v>
      </c>
      <c r="W29" s="33">
        <v>71.138031249999997</v>
      </c>
      <c r="X29" s="33">
        <v>74.865934374999995</v>
      </c>
      <c r="Y29" s="33">
        <v>35.755878125000002</v>
      </c>
      <c r="Z29" s="33">
        <v>38.367171874999997</v>
      </c>
      <c r="AA29" s="33">
        <v>37.762050000000002</v>
      </c>
      <c r="AB29" s="34">
        <v>1794.34</v>
      </c>
      <c r="AC29" s="34">
        <v>11148.2</v>
      </c>
      <c r="AD29" s="34">
        <v>50.854999999999997</v>
      </c>
      <c r="AE29" s="34">
        <v>28.282</v>
      </c>
      <c r="AG29" s="29">
        <f t="shared" si="6"/>
        <v>23.978887499999999</v>
      </c>
      <c r="AH29" s="30">
        <f t="shared" si="7"/>
        <v>0.10218950724231018</v>
      </c>
      <c r="AI29" s="30">
        <f t="shared" si="8"/>
        <v>2.1642817661950031E-2</v>
      </c>
      <c r="AJ29" s="30">
        <f t="shared" si="9"/>
        <v>1.7231247938079619E-2</v>
      </c>
      <c r="AK29" s="30">
        <f t="shared" si="10"/>
        <v>8.0546689580360153E-2</v>
      </c>
      <c r="AL29" s="27">
        <f t="shared" si="11"/>
        <v>5417080</v>
      </c>
      <c r="AM29" s="30">
        <v>16</v>
      </c>
      <c r="AN29" s="31">
        <v>24591050</v>
      </c>
      <c r="AO29" s="31">
        <v>768470.3125</v>
      </c>
      <c r="AP29" s="31">
        <v>9839.84375</v>
      </c>
      <c r="AQ29" s="32">
        <v>25577480</v>
      </c>
      <c r="AR29" s="32">
        <v>4312888</v>
      </c>
      <c r="AS29" s="32">
        <v>1104192</v>
      </c>
      <c r="AT29" s="32">
        <v>20160400</v>
      </c>
      <c r="AU29" s="33">
        <v>71.138031249999997</v>
      </c>
      <c r="AV29" s="33">
        <v>74.865934374999995</v>
      </c>
      <c r="AW29" s="33">
        <v>35.773878125000003</v>
      </c>
      <c r="AX29" s="33">
        <v>38.382240625000001</v>
      </c>
      <c r="AY29" s="33">
        <v>37.770793750000003</v>
      </c>
      <c r="AZ29" s="34">
        <v>2231.87</v>
      </c>
      <c r="BA29" s="34">
        <v>13138.7</v>
      </c>
      <c r="BB29" s="34">
        <v>68.174000000000007</v>
      </c>
      <c r="BC29" s="34">
        <v>34.716000000000001</v>
      </c>
      <c r="BE29" s="35">
        <f t="shared" si="12"/>
        <v>1</v>
      </c>
      <c r="BF29" s="36">
        <f t="shared" si="13"/>
        <v>0</v>
      </c>
      <c r="BG29" s="36">
        <f t="shared" si="14"/>
        <v>-1.0012704543200801E-3</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3.7191225000000001</v>
      </c>
      <c r="J30" s="21">
        <f t="shared" si="1"/>
        <v>1.0566930825642303E-2</v>
      </c>
      <c r="K30" s="21">
        <f t="shared" si="2"/>
        <v>8.3820433594158812E-3</v>
      </c>
      <c r="L30" s="21">
        <f t="shared" si="3"/>
        <v>5.2756768554058494E-3</v>
      </c>
      <c r="M30" s="21">
        <f t="shared" si="4"/>
        <v>2.1848874662264216E-3</v>
      </c>
      <c r="N30" s="18">
        <f t="shared" si="5"/>
        <v>3146808</v>
      </c>
      <c r="O30" s="21">
        <v>16</v>
      </c>
      <c r="P30" s="22">
        <v>86243398</v>
      </c>
      <c r="Q30" s="22">
        <v>2695106.1875</v>
      </c>
      <c r="R30" s="22">
        <v>33846.0625</v>
      </c>
      <c r="S30" s="23">
        <v>3967064</v>
      </c>
      <c r="T30" s="23">
        <v>1980608</v>
      </c>
      <c r="U30" s="23">
        <v>1166200</v>
      </c>
      <c r="V30" s="23">
        <v>820256</v>
      </c>
      <c r="W30" s="24">
        <v>73.637074999999996</v>
      </c>
      <c r="X30" s="24">
        <v>75.742599999999996</v>
      </c>
      <c r="Y30" s="24">
        <v>33.230943750000002</v>
      </c>
      <c r="Z30" s="24">
        <v>41.929218749999997</v>
      </c>
      <c r="AA30" s="24">
        <v>43.316118750000001</v>
      </c>
      <c r="AB30" s="25">
        <v>4309.8500000000004</v>
      </c>
      <c r="AC30" s="25">
        <v>29770</v>
      </c>
      <c r="AD30" s="25">
        <v>192.21</v>
      </c>
      <c r="AE30" s="25">
        <v>129.19</v>
      </c>
      <c r="AG30" s="20">
        <f t="shared" si="6"/>
        <v>3.7201575</v>
      </c>
      <c r="AH30" s="21">
        <f t="shared" si="7"/>
        <v>1.0569871512162992E-2</v>
      </c>
      <c r="AI30" s="21">
        <f t="shared" si="8"/>
        <v>8.3820433594158812E-3</v>
      </c>
      <c r="AJ30" s="21">
        <f t="shared" si="9"/>
        <v>5.2756768554058494E-3</v>
      </c>
      <c r="AK30" s="21">
        <f t="shared" si="10"/>
        <v>2.1878281527471103E-3</v>
      </c>
      <c r="AL30" s="18">
        <f t="shared" si="11"/>
        <v>3146808</v>
      </c>
      <c r="AM30" s="21">
        <v>16</v>
      </c>
      <c r="AN30" s="22">
        <v>86243398</v>
      </c>
      <c r="AO30" s="22">
        <v>2695106.1875</v>
      </c>
      <c r="AP30" s="22">
        <v>33846.0625</v>
      </c>
      <c r="AQ30" s="23">
        <v>3968168</v>
      </c>
      <c r="AR30" s="23">
        <v>1980608</v>
      </c>
      <c r="AS30" s="23">
        <v>1166200</v>
      </c>
      <c r="AT30" s="23">
        <v>821360</v>
      </c>
      <c r="AU30" s="24">
        <v>73.637074999999996</v>
      </c>
      <c r="AV30" s="24">
        <v>75.742599999999996</v>
      </c>
      <c r="AW30" s="24">
        <v>33.237268749999998</v>
      </c>
      <c r="AX30" s="24">
        <v>41.930978125000003</v>
      </c>
      <c r="AY30" s="24">
        <v>43.539109375000002</v>
      </c>
      <c r="AZ30" s="25">
        <v>4754.3900000000003</v>
      </c>
      <c r="BA30" s="25">
        <v>29490.3</v>
      </c>
      <c r="BB30" s="25">
        <v>208.92500000000001</v>
      </c>
      <c r="BC30" s="25">
        <v>137.87200000000001</v>
      </c>
      <c r="BE30" s="50">
        <f t="shared" si="12"/>
        <v>1</v>
      </c>
      <c r="BF30" s="26">
        <f t="shared" si="13"/>
        <v>0</v>
      </c>
      <c r="BG30" s="26">
        <f t="shared" si="14"/>
        <v>-2.2068868225866289E-4</v>
      </c>
      <c r="BH30" s="26">
        <f t="array" ref="BH30">AVERAGE(AL30:AL34/AQ30:AQ34) - AVERAGE(N30:N34/S30:S34)</f>
        <v>-5.1077554452971796E-4</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5.5941648505020147E-4</v>
      </c>
      <c r="BM30" s="50">
        <f>IF( OR(ISBLANK(V30:V34),ISBLANK(AT30:AT34), ISBLANK(Z30:Z34),ISBLANK(AX30:AX34)), "·", bdRateExtend( V30:V34,Z30:Z34, AT30:AT34,AX30:AX34))</f>
        <v>3.2771238747721254E-2</v>
      </c>
      <c r="BN30" s="50">
        <f>IF( OR(ISBLANK(V30:V34),ISBLANK(AT30:AT34), ISBLANK(AA30:AA34),ISBLANK(AY30:AY34)), "·", bdRateExtend( V30:V34,AA30:AA34, AT30:AT34,AY30:AY34))</f>
        <v>-6.1709387530091142E-3</v>
      </c>
      <c r="BP30" s="50">
        <f>IF( OR(ISBLANK(S30:S34),ISBLANK(AQ30:AQ34), ISBLANK(W30:W34),ISBLANK(AU30:AU34)), "·", bdRateExtend( S30:S34,W30:W34, AQ30:AQ34,AU30:AU34))</f>
        <v>8.1689457585842895E-4</v>
      </c>
      <c r="BQ30" s="50">
        <f>IF( OR(ISBLANK(S30:S34),ISBLANK(AQ30:AQ34), ISBLANK(X30:X34),ISBLANK(AV30:AV34)), "·", bdRateExtend( S30:S34,X30:X34, AQ30:AQ34,AV30:AV34))</f>
        <v>8.7338620285581925E-4</v>
      </c>
      <c r="BR30" s="50">
        <f>IF( OR(ISBLANK(S30:S34),ISBLANK(AQ30:AQ34), ISBLANK(Y30:Y34),ISBLANK(AW30:AW34)), "·", bdRateExtend( S30:S34,Y30:Y34, AQ30:AQ34,AW30:AW34))</f>
        <v>-1.4893392719617093E-4</v>
      </c>
      <c r="BS30" s="50">
        <f>IF( OR(ISBLANK(S30:S34),ISBLANK(AQ30:AQ34), ISBLANK(Z30:Z34),ISBLANK(AX30:AX34)), "·", bdRateExtend( S30:S34,Z30:Z34, AQ30:AQ34,AX30:AX34))</f>
        <v>1.7782661862916438E-2</v>
      </c>
      <c r="BT30" s="50">
        <f>IF( OR(ISBLANK(S30:S34),ISBLANK(AQ30:AQ34), ISBLANK(AA30:AA34),ISBLANK(AY30:AY34)), "·", bdRateExtend( S30:S34,AA30:AA34, AQ30:AQ34,AY30:AY34))</f>
        <v>-4.2738442974833424E-3</v>
      </c>
    </row>
    <row r="31" spans="1:72" outlineLevel="1" x14ac:dyDescent="0.45">
      <c r="A31" s="54"/>
      <c r="B31" s="54" t="s">
        <v>75</v>
      </c>
      <c r="C31" s="10" t="s">
        <v>231</v>
      </c>
      <c r="D31" s="54">
        <v>375422539</v>
      </c>
      <c r="E31" s="10">
        <v>11</v>
      </c>
      <c r="F31" s="10">
        <v>32</v>
      </c>
      <c r="G31" s="10">
        <v>30</v>
      </c>
      <c r="I31" s="11">
        <f t="shared" si="0"/>
        <v>4.9565625000000004</v>
      </c>
      <c r="J31" s="12">
        <f t="shared" si="1"/>
        <v>1.4082798582319533E-2</v>
      </c>
      <c r="K31" s="12">
        <f t="shared" si="2"/>
        <v>1.0321894924907532E-2</v>
      </c>
      <c r="L31" s="12">
        <f t="shared" si="3"/>
        <v>7.2155284208974997E-3</v>
      </c>
      <c r="M31" s="12">
        <f t="shared" si="4"/>
        <v>3.7609036574120019E-3</v>
      </c>
      <c r="N31" s="54">
        <f t="shared" si="5"/>
        <v>3875072</v>
      </c>
      <c r="O31" s="12">
        <v>16</v>
      </c>
      <c r="P31" s="13">
        <v>90541792</v>
      </c>
      <c r="Q31" s="13">
        <v>2829431</v>
      </c>
      <c r="R31" s="13">
        <v>41460.6875</v>
      </c>
      <c r="S31" s="14">
        <v>5287000</v>
      </c>
      <c r="T31" s="14">
        <v>2708872</v>
      </c>
      <c r="U31" s="14">
        <v>1166200</v>
      </c>
      <c r="V31" s="14">
        <v>1411928</v>
      </c>
      <c r="W31" s="15">
        <v>75.252650000000003</v>
      </c>
      <c r="X31" s="15">
        <v>77.584662499999993</v>
      </c>
      <c r="Y31" s="15">
        <v>35.168300000000002</v>
      </c>
      <c r="Z31" s="15">
        <v>42.577665625000002</v>
      </c>
      <c r="AA31" s="15">
        <v>44.702896875</v>
      </c>
      <c r="AB31" s="16">
        <v>4117.21</v>
      </c>
      <c r="AC31" s="16">
        <v>27282.9</v>
      </c>
      <c r="AD31" s="16">
        <v>218.405</v>
      </c>
      <c r="AE31" s="16">
        <v>158.09299999999999</v>
      </c>
      <c r="AG31" s="11">
        <f t="shared" si="6"/>
        <v>4.9596600000000004</v>
      </c>
      <c r="AH31" s="12">
        <f t="shared" si="7"/>
        <v>1.4091599332558987E-2</v>
      </c>
      <c r="AI31" s="12">
        <f t="shared" si="8"/>
        <v>1.0321894924907532E-2</v>
      </c>
      <c r="AJ31" s="12">
        <f t="shared" si="9"/>
        <v>7.2155284208974997E-3</v>
      </c>
      <c r="AK31" s="12">
        <f t="shared" si="10"/>
        <v>3.7697044076514543E-3</v>
      </c>
      <c r="AL31" s="54">
        <f t="shared" si="11"/>
        <v>3875072</v>
      </c>
      <c r="AM31" s="12">
        <v>16</v>
      </c>
      <c r="AN31" s="13">
        <v>90541792</v>
      </c>
      <c r="AO31" s="13">
        <v>2829431</v>
      </c>
      <c r="AP31" s="13">
        <v>41460.6875</v>
      </c>
      <c r="AQ31" s="14">
        <v>5290304</v>
      </c>
      <c r="AR31" s="14">
        <v>2708872</v>
      </c>
      <c r="AS31" s="14">
        <v>1166200</v>
      </c>
      <c r="AT31" s="14">
        <v>1415232</v>
      </c>
      <c r="AU31" s="15">
        <v>75.252650000000003</v>
      </c>
      <c r="AV31" s="15">
        <v>77.584662499999993</v>
      </c>
      <c r="AW31" s="15">
        <v>35.173740625000001</v>
      </c>
      <c r="AX31" s="15">
        <v>42.479671875000001</v>
      </c>
      <c r="AY31" s="15">
        <v>44.567212499999997</v>
      </c>
      <c r="AZ31" s="16">
        <v>5014.32</v>
      </c>
      <c r="BA31" s="16">
        <v>42674.400000000001</v>
      </c>
      <c r="BB31" s="16">
        <v>267.14299999999997</v>
      </c>
      <c r="BC31" s="16">
        <v>163.602</v>
      </c>
      <c r="BE31" s="51">
        <f t="shared" si="12"/>
        <v>1</v>
      </c>
      <c r="BF31" s="17">
        <f t="shared" si="13"/>
        <v>0</v>
      </c>
      <c r="BG31" s="17">
        <f t="shared" si="14"/>
        <v>-4.5775160486205557E-4</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7.1605800000000004</v>
      </c>
      <c r="J32" s="21">
        <f t="shared" si="1"/>
        <v>2.0344947909480736E-2</v>
      </c>
      <c r="K32" s="21">
        <f t="shared" si="2"/>
        <v>1.3213229054422862E-2</v>
      </c>
      <c r="L32" s="21">
        <f t="shared" si="3"/>
        <v>1.0106862550412829E-2</v>
      </c>
      <c r="M32" s="21">
        <f t="shared" si="4"/>
        <v>7.1317188550578739E-3</v>
      </c>
      <c r="N32" s="18">
        <f t="shared" si="5"/>
        <v>4960544</v>
      </c>
      <c r="O32" s="21">
        <v>16</v>
      </c>
      <c r="P32" s="22">
        <v>91787366</v>
      </c>
      <c r="Q32" s="22">
        <v>2868355.1875</v>
      </c>
      <c r="R32" s="22">
        <v>44534.90625</v>
      </c>
      <c r="S32" s="23">
        <v>7637952</v>
      </c>
      <c r="T32" s="23">
        <v>3794344</v>
      </c>
      <c r="U32" s="23">
        <v>1166200</v>
      </c>
      <c r="V32" s="23">
        <v>2677408</v>
      </c>
      <c r="W32" s="24">
        <v>76.469399999999993</v>
      </c>
      <c r="X32" s="24">
        <v>79.114190625000006</v>
      </c>
      <c r="Y32" s="24">
        <v>36.951524999999997</v>
      </c>
      <c r="Z32" s="24">
        <v>43.104759375</v>
      </c>
      <c r="AA32" s="24">
        <v>45.735421875</v>
      </c>
      <c r="AB32" s="25">
        <v>5023.5600000000004</v>
      </c>
      <c r="AC32" s="25">
        <v>41541.199999999997</v>
      </c>
      <c r="AD32" s="25">
        <v>204.45400000000001</v>
      </c>
      <c r="AE32" s="25">
        <v>128.35900000000001</v>
      </c>
      <c r="AG32" s="20">
        <f t="shared" si="6"/>
        <v>7.1661299999999999</v>
      </c>
      <c r="AH32" s="21">
        <f t="shared" si="7"/>
        <v>2.0360716808214864E-2</v>
      </c>
      <c r="AI32" s="21">
        <f t="shared" si="8"/>
        <v>1.3213229054422862E-2</v>
      </c>
      <c r="AJ32" s="21">
        <f t="shared" si="9"/>
        <v>1.0106862550412829E-2</v>
      </c>
      <c r="AK32" s="21">
        <f t="shared" si="10"/>
        <v>7.1474877537920012E-3</v>
      </c>
      <c r="AL32" s="18">
        <f t="shared" si="11"/>
        <v>4960544</v>
      </c>
      <c r="AM32" s="21">
        <v>16</v>
      </c>
      <c r="AN32" s="22">
        <v>91787366</v>
      </c>
      <c r="AO32" s="22">
        <v>2868355.1875</v>
      </c>
      <c r="AP32" s="22">
        <v>44534.90625</v>
      </c>
      <c r="AQ32" s="23">
        <v>7643872</v>
      </c>
      <c r="AR32" s="23">
        <v>3794344</v>
      </c>
      <c r="AS32" s="23">
        <v>1166200</v>
      </c>
      <c r="AT32" s="23">
        <v>2683328</v>
      </c>
      <c r="AU32" s="24">
        <v>76.469399999999993</v>
      </c>
      <c r="AV32" s="24">
        <v>79.114190625000006</v>
      </c>
      <c r="AW32" s="24">
        <v>36.964459374999997</v>
      </c>
      <c r="AX32" s="24">
        <v>43.099375000000002</v>
      </c>
      <c r="AY32" s="24">
        <v>45.939184375000004</v>
      </c>
      <c r="AZ32" s="25">
        <v>4598.49</v>
      </c>
      <c r="BA32" s="25">
        <v>41583.5</v>
      </c>
      <c r="BB32" s="25">
        <v>199.12799999999999</v>
      </c>
      <c r="BC32" s="25">
        <v>121.86</v>
      </c>
      <c r="BE32" s="50">
        <f t="shared" si="12"/>
        <v>1</v>
      </c>
      <c r="BF32" s="26">
        <f t="shared" si="13"/>
        <v>0</v>
      </c>
      <c r="BG32" s="26">
        <f t="shared" si="14"/>
        <v>-5.0299154183752748E-4</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11.997142500000001</v>
      </c>
      <c r="J33" s="12">
        <f t="shared" si="1"/>
        <v>3.4086797329981301E-2</v>
      </c>
      <c r="K33" s="12">
        <f t="shared" si="2"/>
        <v>1.8543265991816223E-2</v>
      </c>
      <c r="L33" s="12">
        <f t="shared" si="3"/>
        <v>1.5436899487806192E-2</v>
      </c>
      <c r="M33" s="12">
        <f t="shared" si="4"/>
        <v>1.5543531338165075E-2</v>
      </c>
      <c r="N33" s="54">
        <f t="shared" si="5"/>
        <v>6961560</v>
      </c>
      <c r="O33" s="12">
        <v>16</v>
      </c>
      <c r="P33" s="13">
        <v>94114766</v>
      </c>
      <c r="Q33" s="13">
        <v>2941086.4375</v>
      </c>
      <c r="R33" s="13">
        <v>49715.25</v>
      </c>
      <c r="S33" s="14">
        <v>12796952</v>
      </c>
      <c r="T33" s="14">
        <v>5795360</v>
      </c>
      <c r="U33" s="14">
        <v>1166200</v>
      </c>
      <c r="V33" s="14">
        <v>5835392</v>
      </c>
      <c r="W33" s="15">
        <v>77.566353125000006</v>
      </c>
      <c r="X33" s="15">
        <v>80.266603125000003</v>
      </c>
      <c r="Y33" s="15">
        <v>38.717028124999999</v>
      </c>
      <c r="Z33" s="15">
        <v>43.694290625000001</v>
      </c>
      <c r="AA33" s="15">
        <v>47.348471875000001</v>
      </c>
      <c r="AB33" s="16">
        <v>4052.57</v>
      </c>
      <c r="AC33" s="16">
        <v>27560.2</v>
      </c>
      <c r="AD33" s="16">
        <v>184.78700000000001</v>
      </c>
      <c r="AE33" s="16">
        <v>115.583</v>
      </c>
      <c r="AG33" s="11">
        <f t="shared" si="6"/>
        <v>12.01155</v>
      </c>
      <c r="AH33" s="12">
        <f t="shared" si="7"/>
        <v>3.4127732538722186E-2</v>
      </c>
      <c r="AI33" s="12">
        <f t="shared" si="8"/>
        <v>1.8543265991816223E-2</v>
      </c>
      <c r="AJ33" s="12">
        <f t="shared" si="9"/>
        <v>1.5436899487806192E-2</v>
      </c>
      <c r="AK33" s="12">
        <f t="shared" si="10"/>
        <v>1.5584466546905965E-2</v>
      </c>
      <c r="AL33" s="54">
        <f t="shared" si="11"/>
        <v>6961560</v>
      </c>
      <c r="AM33" s="12">
        <v>16</v>
      </c>
      <c r="AN33" s="13">
        <v>94114766</v>
      </c>
      <c r="AO33" s="13">
        <v>2941086.4375</v>
      </c>
      <c r="AP33" s="13">
        <v>49715.25</v>
      </c>
      <c r="AQ33" s="14">
        <v>12812320</v>
      </c>
      <c r="AR33" s="14">
        <v>5795360</v>
      </c>
      <c r="AS33" s="14">
        <v>1166200</v>
      </c>
      <c r="AT33" s="14">
        <v>5850760</v>
      </c>
      <c r="AU33" s="15">
        <v>77.566353125000006</v>
      </c>
      <c r="AV33" s="15">
        <v>80.266603125000003</v>
      </c>
      <c r="AW33" s="15">
        <v>38.717703125</v>
      </c>
      <c r="AX33" s="15">
        <v>43.694503124999997</v>
      </c>
      <c r="AY33" s="15">
        <v>47.321393749999999</v>
      </c>
      <c r="AZ33" s="16">
        <v>4959.74</v>
      </c>
      <c r="BA33" s="16">
        <v>34434</v>
      </c>
      <c r="BB33" s="16">
        <v>288.375</v>
      </c>
      <c r="BC33" s="16">
        <v>177.55699999999999</v>
      </c>
      <c r="BE33" s="51">
        <f t="shared" si="12"/>
        <v>1</v>
      </c>
      <c r="BF33" s="17">
        <f t="shared" si="13"/>
        <v>0</v>
      </c>
      <c r="BG33" s="17">
        <f t="shared" si="14"/>
        <v>-6.5251365489626956E-4</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24.630690000000001</v>
      </c>
      <c r="J34" s="40">
        <f t="shared" si="1"/>
        <v>6.9981775921024281E-2</v>
      </c>
      <c r="K34" s="40">
        <f t="shared" si="2"/>
        <v>3.0977404902160124E-2</v>
      </c>
      <c r="L34" s="40">
        <f t="shared" si="3"/>
        <v>2.459758549552615E-2</v>
      </c>
      <c r="M34" s="40">
        <f t="shared" si="4"/>
        <v>3.9004371018864163E-2</v>
      </c>
      <c r="N34" s="37">
        <f t="shared" si="5"/>
        <v>11629616</v>
      </c>
      <c r="O34" s="40">
        <v>16</v>
      </c>
      <c r="P34" s="41">
        <v>92205535</v>
      </c>
      <c r="Q34" s="41">
        <v>2881422.96875</v>
      </c>
      <c r="R34" s="41">
        <v>21180.46875</v>
      </c>
      <c r="S34" s="42">
        <v>26272736</v>
      </c>
      <c r="T34" s="42">
        <v>9234488</v>
      </c>
      <c r="U34" s="42">
        <v>2395128</v>
      </c>
      <c r="V34" s="42">
        <v>14643120</v>
      </c>
      <c r="W34" s="43">
        <v>78.500296875000004</v>
      </c>
      <c r="X34" s="43">
        <v>81.895681249999996</v>
      </c>
      <c r="Y34" s="43">
        <v>40.507771875000003</v>
      </c>
      <c r="Z34" s="43">
        <v>44.376384375000001</v>
      </c>
      <c r="AA34" s="43">
        <v>48.811853124999999</v>
      </c>
      <c r="AB34" s="44">
        <v>3972.79</v>
      </c>
      <c r="AC34" s="44">
        <v>28343.3</v>
      </c>
      <c r="AD34" s="44">
        <v>286.49599999999998</v>
      </c>
      <c r="AE34" s="44">
        <v>186.68899999999999</v>
      </c>
      <c r="AG34" s="39">
        <f t="shared" si="6"/>
        <v>24.670815000000001</v>
      </c>
      <c r="AH34" s="40">
        <f t="shared" si="7"/>
        <v>7.0095780797007498E-2</v>
      </c>
      <c r="AI34" s="40">
        <f t="shared" si="8"/>
        <v>3.0977404902160124E-2</v>
      </c>
      <c r="AJ34" s="40">
        <f t="shared" si="9"/>
        <v>2.459758549552615E-2</v>
      </c>
      <c r="AK34" s="40">
        <f t="shared" si="10"/>
        <v>3.9118375894847381E-2</v>
      </c>
      <c r="AL34" s="37">
        <f t="shared" si="11"/>
        <v>11629616</v>
      </c>
      <c r="AM34" s="40">
        <v>16</v>
      </c>
      <c r="AN34" s="41">
        <v>92205535</v>
      </c>
      <c r="AO34" s="41">
        <v>2881422.96875</v>
      </c>
      <c r="AP34" s="41">
        <v>21180.46875</v>
      </c>
      <c r="AQ34" s="42">
        <v>26315536</v>
      </c>
      <c r="AR34" s="42">
        <v>9234488</v>
      </c>
      <c r="AS34" s="42">
        <v>2395128</v>
      </c>
      <c r="AT34" s="42">
        <v>14685920</v>
      </c>
      <c r="AU34" s="43">
        <v>78.500296875000004</v>
      </c>
      <c r="AV34" s="43">
        <v>81.895681249999996</v>
      </c>
      <c r="AW34" s="43">
        <v>40.505396875000002</v>
      </c>
      <c r="AX34" s="43">
        <v>44.370890625000001</v>
      </c>
      <c r="AY34" s="43">
        <v>48.808196875</v>
      </c>
      <c r="AZ34" s="44">
        <v>4071.04</v>
      </c>
      <c r="BA34" s="44">
        <v>30409.5</v>
      </c>
      <c r="BB34" s="44">
        <v>203.88</v>
      </c>
      <c r="BC34" s="44">
        <v>136.44300000000001</v>
      </c>
      <c r="BE34" s="45">
        <f t="shared" si="12"/>
        <v>1</v>
      </c>
      <c r="BF34" s="46">
        <f t="shared" si="13"/>
        <v>0</v>
      </c>
      <c r="BG34" s="46">
        <f t="shared" si="14"/>
        <v>-7.1993223879418533E-4</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4.6538174999999997</v>
      </c>
      <c r="J35" s="12">
        <f t="shared" si="1"/>
        <v>1.4898591598998734E-2</v>
      </c>
      <c r="K35" s="12">
        <f t="shared" si="2"/>
        <v>1.1175390318305084E-2</v>
      </c>
      <c r="L35" s="12">
        <f t="shared" si="3"/>
        <v>7.155662143968255E-3</v>
      </c>
      <c r="M35" s="12">
        <f t="shared" si="4"/>
        <v>3.7232012806936512E-3</v>
      </c>
      <c r="N35" s="54">
        <f t="shared" si="5"/>
        <v>3723536</v>
      </c>
      <c r="O35" s="12">
        <v>16</v>
      </c>
      <c r="P35" s="13">
        <v>74793925</v>
      </c>
      <c r="Q35" s="13">
        <v>2337310.15625</v>
      </c>
      <c r="R35" s="13">
        <v>30824.78125</v>
      </c>
      <c r="S35" s="14">
        <v>4964072</v>
      </c>
      <c r="T35" s="14">
        <v>2384200</v>
      </c>
      <c r="U35" s="14">
        <v>1339336</v>
      </c>
      <c r="V35" s="14">
        <v>1240536</v>
      </c>
      <c r="W35" s="15">
        <v>73.186065624999998</v>
      </c>
      <c r="X35" s="15">
        <v>75.395090624999995</v>
      </c>
      <c r="Y35" s="15">
        <v>31.779946875</v>
      </c>
      <c r="Z35" s="15">
        <v>42.169849999999997</v>
      </c>
      <c r="AA35" s="15">
        <v>43.305712499999998</v>
      </c>
      <c r="AB35" s="16">
        <v>3654.73</v>
      </c>
      <c r="AC35" s="16">
        <v>30246.3</v>
      </c>
      <c r="AD35" s="16">
        <v>180.40600000000001</v>
      </c>
      <c r="AE35" s="16">
        <v>151.40799999999999</v>
      </c>
      <c r="AG35" s="11">
        <f t="shared" si="6"/>
        <v>4.65855</v>
      </c>
      <c r="AH35" s="12">
        <f t="shared" si="7"/>
        <v>1.4913742082390543E-2</v>
      </c>
      <c r="AI35" s="12">
        <f t="shared" si="8"/>
        <v>1.1175390318305084E-2</v>
      </c>
      <c r="AJ35" s="12">
        <f t="shared" si="9"/>
        <v>7.155662143968255E-3</v>
      </c>
      <c r="AK35" s="12">
        <f t="shared" si="10"/>
        <v>3.7383517640854603E-3</v>
      </c>
      <c r="AL35" s="54">
        <f t="shared" si="11"/>
        <v>3723536</v>
      </c>
      <c r="AM35" s="12">
        <v>16</v>
      </c>
      <c r="AN35" s="13">
        <v>74793925</v>
      </c>
      <c r="AO35" s="13">
        <v>2337310.15625</v>
      </c>
      <c r="AP35" s="13">
        <v>30824.78125</v>
      </c>
      <c r="AQ35" s="14">
        <v>4969120</v>
      </c>
      <c r="AR35" s="14">
        <v>2384200</v>
      </c>
      <c r="AS35" s="14">
        <v>1339336</v>
      </c>
      <c r="AT35" s="14">
        <v>1245584</v>
      </c>
      <c r="AU35" s="15">
        <v>73.186065624999998</v>
      </c>
      <c r="AV35" s="15">
        <v>75.395090624999995</v>
      </c>
      <c r="AW35" s="15">
        <v>31.803100000000001</v>
      </c>
      <c r="AX35" s="15">
        <v>42.217415625000001</v>
      </c>
      <c r="AY35" s="15">
        <v>43.408090625</v>
      </c>
      <c r="AZ35" s="16">
        <v>3422.88</v>
      </c>
      <c r="BA35" s="16">
        <v>30330.5</v>
      </c>
      <c r="BB35" s="16">
        <v>183.256</v>
      </c>
      <c r="BC35" s="16">
        <v>141.405</v>
      </c>
      <c r="BE35" s="51">
        <f t="shared" si="12"/>
        <v>1</v>
      </c>
      <c r="BF35" s="17">
        <f t="shared" si="13"/>
        <v>0</v>
      </c>
      <c r="BG35" s="17">
        <f t="shared" si="14"/>
        <v>-7.6200416758220868E-4</v>
      </c>
      <c r="BH35" s="17">
        <f t="array" ref="BH35">AVERAGE(AL35:AL39/AQ35:AQ39) - AVERAGE(N35:N39/S35:S39)</f>
        <v>-8.6204943387935273E-4</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6.6428514572924868E-4</v>
      </c>
      <c r="BM35" s="51">
        <f>IF( OR(ISBLANK(V35:V39),ISBLANK(AT35:AT39), ISBLANK(Z35:Z39),ISBLANK(AX35:AX39)), "·", bdRateExtend( V35:V39,Z35:Z39, AT35:AT39,AX35:AX39))</f>
        <v>-1.0710680961148356E-2</v>
      </c>
      <c r="BN35" s="51">
        <f>IF( OR(ISBLANK(V35:V39),ISBLANK(AT35:AT39), ISBLANK(AA35:AA39),ISBLANK(AY35:AY39)), "·", bdRateExtend( V35:V39,AA35:AA39, AT35:AT39,AY35:AY39))</f>
        <v>1.022703315977691E-2</v>
      </c>
      <c r="BP35" s="51">
        <f>IF( OR(ISBLANK(S35:S39),ISBLANK(AQ35:AQ39), ISBLANK(W35:W39),ISBLANK(AU35:AU39)), "·", bdRateExtend( S35:S39,W35:W39, AQ35:AQ39,AU35:AU39))</f>
        <v>1.2668639378119462E-3</v>
      </c>
      <c r="BQ35" s="51">
        <f>IF( OR(ISBLANK(S35:S39),ISBLANK(AQ35:AQ39), ISBLANK(X35:X39),ISBLANK(AV35:AV39)), "·", bdRateExtend( S35:S39,X35:X39, AQ35:AQ39,AV35:AV39))</f>
        <v>1.3866100949029292E-3</v>
      </c>
      <c r="BR35" s="51">
        <f>IF( OR(ISBLANK(S35:S39),ISBLANK(AQ35:AQ39), ISBLANK(Y35:Y39),ISBLANK(AW35:AW39)), "·", bdRateExtend( S35:S39,Y35:Y39, AQ35:AQ39,AW35:AW39))</f>
        <v>-3.5489435633040411E-4</v>
      </c>
      <c r="BS35" s="51">
        <f>IF( OR(ISBLANK(S35:S39),ISBLANK(AQ35:AQ39), ISBLANK(Z35:Z39),ISBLANK(AX35:AX39)), "·", bdRateExtend( S35:S39,Z35:Z39, AQ35:AQ39,AX35:AX39))</f>
        <v>-7.0261297250407972E-3</v>
      </c>
      <c r="BT35" s="51">
        <f>IF( OR(ISBLANK(S35:S39),ISBLANK(AQ35:AQ39), ISBLANK(AA35:AA39),ISBLANK(AY35:AY39)), "·", bdRateExtend( S35:S39,AA35:AA39, AQ35:AQ39,AY35:AY39))</f>
        <v>5.0858443002435028E-3</v>
      </c>
    </row>
    <row r="36" spans="1:72" outlineLevel="1" x14ac:dyDescent="0.45">
      <c r="A36" s="18"/>
      <c r="B36" s="18" t="s">
        <v>80</v>
      </c>
      <c r="C36" s="19" t="s">
        <v>231</v>
      </c>
      <c r="D36" s="18">
        <v>333190689</v>
      </c>
      <c r="E36" s="19">
        <v>11</v>
      </c>
      <c r="F36" s="19">
        <v>32</v>
      </c>
      <c r="G36" s="19">
        <v>30</v>
      </c>
      <c r="I36" s="20">
        <f t="shared" si="0"/>
        <v>6.2390774999999996</v>
      </c>
      <c r="J36" s="21">
        <f t="shared" si="1"/>
        <v>1.9973595360583442E-2</v>
      </c>
      <c r="K36" s="21">
        <f t="shared" si="2"/>
        <v>1.3755462416298193E-2</v>
      </c>
      <c r="L36" s="21">
        <f t="shared" si="3"/>
        <v>9.7357342419613652E-3</v>
      </c>
      <c r="M36" s="21">
        <f t="shared" si="4"/>
        <v>6.2181329442852467E-3</v>
      </c>
      <c r="N36" s="18">
        <f t="shared" si="5"/>
        <v>4583192</v>
      </c>
      <c r="O36" s="21">
        <v>16</v>
      </c>
      <c r="P36" s="22">
        <v>79976742</v>
      </c>
      <c r="Q36" s="22">
        <v>2499273.1875</v>
      </c>
      <c r="R36" s="22">
        <v>39105.5</v>
      </c>
      <c r="S36" s="23">
        <v>6655016</v>
      </c>
      <c r="T36" s="23">
        <v>3243856</v>
      </c>
      <c r="U36" s="23">
        <v>1339336</v>
      </c>
      <c r="V36" s="23">
        <v>2071824</v>
      </c>
      <c r="W36" s="24">
        <v>74.938500000000005</v>
      </c>
      <c r="X36" s="24">
        <v>77.355887499999994</v>
      </c>
      <c r="Y36" s="24">
        <v>34.034599999999998</v>
      </c>
      <c r="Z36" s="24">
        <v>42.972334375000003</v>
      </c>
      <c r="AA36" s="24">
        <v>44.820353124999997</v>
      </c>
      <c r="AB36" s="25">
        <v>3626.11</v>
      </c>
      <c r="AC36" s="25">
        <v>34587</v>
      </c>
      <c r="AD36" s="25">
        <v>158.124</v>
      </c>
      <c r="AE36" s="25">
        <v>114.232</v>
      </c>
      <c r="AG36" s="20">
        <f t="shared" si="6"/>
        <v>6.2408175000000004</v>
      </c>
      <c r="AH36" s="21">
        <f t="shared" si="7"/>
        <v>1.9979165744334469E-2</v>
      </c>
      <c r="AI36" s="21">
        <f t="shared" si="8"/>
        <v>1.3755462416298193E-2</v>
      </c>
      <c r="AJ36" s="21">
        <f t="shared" si="9"/>
        <v>9.7357342419613652E-3</v>
      </c>
      <c r="AK36" s="21">
        <f t="shared" si="10"/>
        <v>6.2237033280362767E-3</v>
      </c>
      <c r="AL36" s="18">
        <f t="shared" si="11"/>
        <v>4583192</v>
      </c>
      <c r="AM36" s="21">
        <v>16</v>
      </c>
      <c r="AN36" s="22">
        <v>79976742</v>
      </c>
      <c r="AO36" s="22">
        <v>2499273.1875</v>
      </c>
      <c r="AP36" s="22">
        <v>39105.5</v>
      </c>
      <c r="AQ36" s="23">
        <v>6656872</v>
      </c>
      <c r="AR36" s="23">
        <v>3243856</v>
      </c>
      <c r="AS36" s="23">
        <v>1339336</v>
      </c>
      <c r="AT36" s="23">
        <v>2073680</v>
      </c>
      <c r="AU36" s="24">
        <v>74.938500000000005</v>
      </c>
      <c r="AV36" s="24">
        <v>77.355887499999994</v>
      </c>
      <c r="AW36" s="24">
        <v>34.038237500000001</v>
      </c>
      <c r="AX36" s="24">
        <v>43.000262499999998</v>
      </c>
      <c r="AY36" s="24">
        <v>44.689149999999998</v>
      </c>
      <c r="AZ36" s="25">
        <v>4454.04</v>
      </c>
      <c r="BA36" s="25">
        <v>47219.1</v>
      </c>
      <c r="BB36" s="25">
        <v>243.65</v>
      </c>
      <c r="BC36" s="25">
        <v>168.78299999999999</v>
      </c>
      <c r="BE36" s="50">
        <f t="shared" si="12"/>
        <v>1</v>
      </c>
      <c r="BF36" s="26">
        <f t="shared" si="13"/>
        <v>0</v>
      </c>
      <c r="BG36" s="26">
        <f t="shared" si="14"/>
        <v>-1.9201126675982838E-4</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8.9012700000000002</v>
      </c>
      <c r="J37" s="12">
        <f t="shared" si="1"/>
        <v>2.8496258489384137E-2</v>
      </c>
      <c r="K37" s="12">
        <f t="shared" si="2"/>
        <v>1.7446345867125956E-2</v>
      </c>
      <c r="L37" s="12">
        <f t="shared" si="3"/>
        <v>1.3426617692789128E-2</v>
      </c>
      <c r="M37" s="12">
        <f t="shared" si="4"/>
        <v>1.1049912622258181E-2</v>
      </c>
      <c r="N37" s="54">
        <f t="shared" si="5"/>
        <v>5812960</v>
      </c>
      <c r="O37" s="12">
        <v>16</v>
      </c>
      <c r="P37" s="13">
        <v>81787481</v>
      </c>
      <c r="Q37" s="13">
        <v>2555858.78125</v>
      </c>
      <c r="R37" s="13">
        <v>42911.78125</v>
      </c>
      <c r="S37" s="14">
        <v>9494688</v>
      </c>
      <c r="T37" s="14">
        <v>4473624</v>
      </c>
      <c r="U37" s="14">
        <v>1339336</v>
      </c>
      <c r="V37" s="14">
        <v>3681728</v>
      </c>
      <c r="W37" s="15">
        <v>76.246068750000006</v>
      </c>
      <c r="X37" s="15">
        <v>78.937634375000002</v>
      </c>
      <c r="Y37" s="15">
        <v>36.127487500000001</v>
      </c>
      <c r="Z37" s="15">
        <v>43.536346875</v>
      </c>
      <c r="AA37" s="15">
        <v>46.109228125000001</v>
      </c>
      <c r="AB37" s="16">
        <v>3906.86</v>
      </c>
      <c r="AC37" s="16">
        <v>44850.9</v>
      </c>
      <c r="AD37" s="16">
        <v>169.304</v>
      </c>
      <c r="AE37" s="16">
        <v>143.78</v>
      </c>
      <c r="AG37" s="11">
        <f t="shared" si="6"/>
        <v>8.9168024999999993</v>
      </c>
      <c r="AH37" s="12">
        <f t="shared" si="7"/>
        <v>2.8545983768471995E-2</v>
      </c>
      <c r="AI37" s="12">
        <f t="shared" si="8"/>
        <v>1.7446345867125956E-2</v>
      </c>
      <c r="AJ37" s="12">
        <f t="shared" si="9"/>
        <v>1.3426617692789128E-2</v>
      </c>
      <c r="AK37" s="12">
        <f t="shared" si="10"/>
        <v>1.1099637901346037E-2</v>
      </c>
      <c r="AL37" s="54">
        <f t="shared" si="11"/>
        <v>5812960</v>
      </c>
      <c r="AM37" s="12">
        <v>16</v>
      </c>
      <c r="AN37" s="13">
        <v>81787481</v>
      </c>
      <c r="AO37" s="13">
        <v>2555858.78125</v>
      </c>
      <c r="AP37" s="13">
        <v>42911.78125</v>
      </c>
      <c r="AQ37" s="14">
        <v>9511256</v>
      </c>
      <c r="AR37" s="14">
        <v>4473624</v>
      </c>
      <c r="AS37" s="14">
        <v>1339336</v>
      </c>
      <c r="AT37" s="14">
        <v>3698296</v>
      </c>
      <c r="AU37" s="15">
        <v>76.246068750000006</v>
      </c>
      <c r="AV37" s="15">
        <v>78.937634375000002</v>
      </c>
      <c r="AW37" s="15">
        <v>36.141237500000003</v>
      </c>
      <c r="AX37" s="15">
        <v>43.567553125000003</v>
      </c>
      <c r="AY37" s="15">
        <v>46.124790625000003</v>
      </c>
      <c r="AZ37" s="16">
        <v>3775.91</v>
      </c>
      <c r="BA37" s="16">
        <v>37758.300000000003</v>
      </c>
      <c r="BB37" s="16">
        <v>185.65100000000001</v>
      </c>
      <c r="BC37" s="16">
        <v>141.81399999999999</v>
      </c>
      <c r="BE37" s="51">
        <f t="shared" si="12"/>
        <v>1</v>
      </c>
      <c r="BF37" s="17">
        <f t="shared" si="13"/>
        <v>0</v>
      </c>
      <c r="BG37" s="17">
        <f t="shared" si="14"/>
        <v>-1.0664705106866457E-3</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14.406495</v>
      </c>
      <c r="J38" s="21">
        <f t="shared" si="1"/>
        <v>4.6120520492696E-2</v>
      </c>
      <c r="K38" s="21">
        <f t="shared" si="2"/>
        <v>2.3715596686436816E-2</v>
      </c>
      <c r="L38" s="21">
        <f t="shared" si="3"/>
        <v>1.9695868512099989E-2</v>
      </c>
      <c r="M38" s="21">
        <f t="shared" si="4"/>
        <v>2.2404923806259185E-2</v>
      </c>
      <c r="N38" s="18">
        <f t="shared" si="5"/>
        <v>7901816</v>
      </c>
      <c r="O38" s="21">
        <v>16</v>
      </c>
      <c r="P38" s="22">
        <v>83859347</v>
      </c>
      <c r="Q38" s="22">
        <v>2620604.59375</v>
      </c>
      <c r="R38" s="22">
        <v>48103.65625</v>
      </c>
      <c r="S38" s="23">
        <v>15366928</v>
      </c>
      <c r="T38" s="23">
        <v>6562480</v>
      </c>
      <c r="U38" s="23">
        <v>1339336</v>
      </c>
      <c r="V38" s="23">
        <v>7465112</v>
      </c>
      <c r="W38" s="24">
        <v>77.415709375000006</v>
      </c>
      <c r="X38" s="24">
        <v>80.131399999999999</v>
      </c>
      <c r="Y38" s="24">
        <v>38.083593749999999</v>
      </c>
      <c r="Z38" s="24">
        <v>44.197806249999999</v>
      </c>
      <c r="AA38" s="24">
        <v>47.240556249999997</v>
      </c>
      <c r="AB38" s="25">
        <v>3488.5</v>
      </c>
      <c r="AC38" s="25">
        <v>26109.599999999999</v>
      </c>
      <c r="AD38" s="25">
        <v>199.28700000000001</v>
      </c>
      <c r="AE38" s="25">
        <v>163.999</v>
      </c>
      <c r="AG38" s="20">
        <f t="shared" si="6"/>
        <v>14.43699</v>
      </c>
      <c r="AH38" s="21">
        <f t="shared" si="7"/>
        <v>4.6218146269987756E-2</v>
      </c>
      <c r="AI38" s="21">
        <f t="shared" si="8"/>
        <v>2.3715596686436816E-2</v>
      </c>
      <c r="AJ38" s="21">
        <f t="shared" si="9"/>
        <v>1.9695868512099989E-2</v>
      </c>
      <c r="AK38" s="21">
        <f t="shared" si="10"/>
        <v>2.2502549583550937E-2</v>
      </c>
      <c r="AL38" s="18">
        <f t="shared" si="11"/>
        <v>7901816</v>
      </c>
      <c r="AM38" s="21">
        <v>16</v>
      </c>
      <c r="AN38" s="22">
        <v>83859347</v>
      </c>
      <c r="AO38" s="22">
        <v>2620604.59375</v>
      </c>
      <c r="AP38" s="22">
        <v>48103.65625</v>
      </c>
      <c r="AQ38" s="23">
        <v>15399456</v>
      </c>
      <c r="AR38" s="23">
        <v>6562480</v>
      </c>
      <c r="AS38" s="23">
        <v>1339336</v>
      </c>
      <c r="AT38" s="23">
        <v>7497640</v>
      </c>
      <c r="AU38" s="24">
        <v>77.415709375000006</v>
      </c>
      <c r="AV38" s="24">
        <v>80.131399999999999</v>
      </c>
      <c r="AW38" s="24">
        <v>38.089934374999999</v>
      </c>
      <c r="AX38" s="24">
        <v>44.197346875000001</v>
      </c>
      <c r="AY38" s="24">
        <v>47.268296874999997</v>
      </c>
      <c r="AZ38" s="25">
        <v>3796.4</v>
      </c>
      <c r="BA38" s="25">
        <v>41807.300000000003</v>
      </c>
      <c r="BB38" s="25">
        <v>267.72000000000003</v>
      </c>
      <c r="BC38" s="25">
        <v>181.44200000000001</v>
      </c>
      <c r="BE38" s="50">
        <f t="shared" si="12"/>
        <v>1</v>
      </c>
      <c r="BF38" s="26">
        <f t="shared" si="13"/>
        <v>0</v>
      </c>
      <c r="BG38" s="26">
        <f t="shared" si="14"/>
        <v>-1.086155081044704E-3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28.640317499999998</v>
      </c>
      <c r="J39" s="30">
        <f t="shared" si="1"/>
        <v>9.168825242892667E-2</v>
      </c>
      <c r="K39" s="30">
        <f t="shared" si="2"/>
        <v>3.8473536095722051E-2</v>
      </c>
      <c r="L39" s="30">
        <f t="shared" si="3"/>
        <v>3.036807550165365E-2</v>
      </c>
      <c r="M39" s="30">
        <f t="shared" si="4"/>
        <v>5.3214716333204619E-2</v>
      </c>
      <c r="N39" s="27">
        <f t="shared" si="5"/>
        <v>12819024</v>
      </c>
      <c r="O39" s="30">
        <v>16</v>
      </c>
      <c r="P39" s="31">
        <v>82067544</v>
      </c>
      <c r="Q39" s="31">
        <v>2564610.75</v>
      </c>
      <c r="R39" s="31">
        <v>19264.46875</v>
      </c>
      <c r="S39" s="32">
        <v>30549672</v>
      </c>
      <c r="T39" s="32">
        <v>10118360</v>
      </c>
      <c r="U39" s="32">
        <v>2700664</v>
      </c>
      <c r="V39" s="32">
        <v>17730648</v>
      </c>
      <c r="W39" s="33">
        <v>78.311515624999998</v>
      </c>
      <c r="X39" s="33">
        <v>81.848193749999993</v>
      </c>
      <c r="Y39" s="33">
        <v>40.159621874999999</v>
      </c>
      <c r="Z39" s="33">
        <v>45.117593749999997</v>
      </c>
      <c r="AA39" s="33">
        <v>48.624606249999999</v>
      </c>
      <c r="AB39" s="34">
        <v>3786.17</v>
      </c>
      <c r="AC39" s="34">
        <v>46498.6</v>
      </c>
      <c r="AD39" s="34">
        <v>267.81599999999997</v>
      </c>
      <c r="AE39" s="34">
        <v>193.672</v>
      </c>
      <c r="AG39" s="29">
        <f t="shared" si="6"/>
        <v>28.722705000000001</v>
      </c>
      <c r="AH39" s="30">
        <f t="shared" si="7"/>
        <v>9.1952005297482972E-2</v>
      </c>
      <c r="AI39" s="30">
        <f t="shared" si="8"/>
        <v>3.8473536095722051E-2</v>
      </c>
      <c r="AJ39" s="30">
        <f t="shared" si="9"/>
        <v>3.036807550165365E-2</v>
      </c>
      <c r="AK39" s="30">
        <f t="shared" si="10"/>
        <v>5.3478469201760914E-2</v>
      </c>
      <c r="AL39" s="27">
        <f t="shared" si="11"/>
        <v>12819024</v>
      </c>
      <c r="AM39" s="30">
        <v>16</v>
      </c>
      <c r="AN39" s="31">
        <v>82067544</v>
      </c>
      <c r="AO39" s="31">
        <v>2564610.75</v>
      </c>
      <c r="AP39" s="31">
        <v>19264.46875</v>
      </c>
      <c r="AQ39" s="32">
        <v>30637552</v>
      </c>
      <c r="AR39" s="32">
        <v>10118360</v>
      </c>
      <c r="AS39" s="32">
        <v>2700664</v>
      </c>
      <c r="AT39" s="32">
        <v>17818528</v>
      </c>
      <c r="AU39" s="33">
        <v>78.311515624999998</v>
      </c>
      <c r="AV39" s="33">
        <v>81.848193749999993</v>
      </c>
      <c r="AW39" s="33">
        <v>40.166424999999997</v>
      </c>
      <c r="AX39" s="33">
        <v>45.1186875</v>
      </c>
      <c r="AY39" s="33">
        <v>48.611887500000002</v>
      </c>
      <c r="AZ39" s="34">
        <v>3537.71</v>
      </c>
      <c r="BA39" s="34">
        <v>33531.800000000003</v>
      </c>
      <c r="BB39" s="34">
        <v>161.923</v>
      </c>
      <c r="BC39" s="34">
        <v>122.628</v>
      </c>
      <c r="BE39" s="35">
        <f t="shared" si="12"/>
        <v>1</v>
      </c>
      <c r="BF39" s="36">
        <f t="shared" si="13"/>
        <v>0</v>
      </c>
      <c r="BG39" s="36">
        <f t="shared" si="14"/>
        <v>-1.2036061433227108E-3</v>
      </c>
      <c r="BH39" s="36"/>
      <c r="BJ39" s="35"/>
      <c r="BK39" s="35"/>
      <c r="BL39" s="35"/>
      <c r="BM39" s="35"/>
      <c r="BN39" s="35"/>
      <c r="BP39" s="35"/>
      <c r="BQ39" s="35"/>
      <c r="BR39" s="35"/>
      <c r="BS39" s="35"/>
      <c r="BT39" s="35"/>
    </row>
    <row r="40" spans="1:72" x14ac:dyDescent="0.45">
      <c r="B40" s="47" t="s">
        <v>14</v>
      </c>
      <c r="J40" s="48">
        <f>AVERAGE(J5:J24)</f>
        <v>1.7607443125499909E-2</v>
      </c>
      <c r="K40" s="48">
        <f>AVERAGE(K5:K24)</f>
        <v>9.5321793276372524E-3</v>
      </c>
      <c r="L40" s="48">
        <f>AVERAGE(L5:L24)</f>
        <v>6.9516832599163803E-3</v>
      </c>
      <c r="M40" s="48">
        <f>AVERAGE(M5:M24)</f>
        <v>8.0752637978626605E-3</v>
      </c>
      <c r="AH40" s="48">
        <f>AVERAGE(AH5:AH24)</f>
        <v>1.7685138216794512E-2</v>
      </c>
      <c r="AI40" s="48">
        <f>AVERAGE(AI5:AI24)</f>
        <v>9.5321793276372524E-3</v>
      </c>
      <c r="AJ40" s="48">
        <f>AVERAGE(AJ5:AJ24)</f>
        <v>6.9516832599163803E-3</v>
      </c>
      <c r="AK40" s="48">
        <f>AVERAGE(AK5:AK24)</f>
        <v>8.152958889157267E-3</v>
      </c>
      <c r="BE40" s="52">
        <f t="shared" si="12"/>
        <v>1</v>
      </c>
      <c r="BH40" s="55">
        <f>AVERAGE(BH5:BH24)</f>
        <v>-1.6768677062317938E-3</v>
      </c>
      <c r="BJ40" s="52">
        <f>AVERAGE(BJ5:BJ24)</f>
        <v>0</v>
      </c>
      <c r="BK40" s="52">
        <f>AVERAGE(BK5:BK24)</f>
        <v>0</v>
      </c>
      <c r="BL40" s="52">
        <f>AVERAGE(BL5:BL24)</f>
        <v>6.1086989786465762E-4</v>
      </c>
      <c r="BM40" s="52">
        <f>AVERAGE(BM5:BM24)</f>
        <v>1.338394973081819E-2</v>
      </c>
      <c r="BN40" s="52">
        <f>AVERAGE(BN5:BN24)</f>
        <v>2.9200637512694833E-2</v>
      </c>
      <c r="BP40" s="52">
        <f>AVERAGE(BP5:BP24)</f>
        <v>2.3901147261097266E-3</v>
      </c>
      <c r="BQ40" s="52">
        <f>AVERAGE(BQ5:BQ24)</f>
        <v>2.9336832352804265E-3</v>
      </c>
      <c r="BR40" s="52">
        <f>AVERAGE(BR5:BR24)</f>
        <v>-1.3959582552632577E-3</v>
      </c>
      <c r="BS40" s="52">
        <f>AVERAGE(BS5:BS24)</f>
        <v>5.7645570136291568E-3</v>
      </c>
      <c r="BT40" s="52">
        <f>AVERAGE(BT5:BT24)</f>
        <v>1.4194021717210431E-2</v>
      </c>
    </row>
    <row r="41" spans="1:72" x14ac:dyDescent="0.45">
      <c r="B41" s="47" t="s">
        <v>15</v>
      </c>
      <c r="J41" s="48">
        <f>AVERAGE(J25:J29)</f>
        <v>3.8177977020693157E-2</v>
      </c>
      <c r="K41" s="48">
        <f>AVERAGE(K25:K29)</f>
        <v>1.1417285892349041E-2</v>
      </c>
      <c r="L41" s="48">
        <f>AVERAGE(L25:L29)</f>
        <v>8.7672756735900897E-3</v>
      </c>
      <c r="M41" s="48">
        <f>AVERAGE(M25:M29)</f>
        <v>2.6760691128344116E-2</v>
      </c>
      <c r="AH41" s="48">
        <f>AVERAGE(AH25:AH29)</f>
        <v>3.8326365370545658E-2</v>
      </c>
      <c r="AI41" s="48">
        <f>AVERAGE(AI25:AI29)</f>
        <v>1.1417285892349041E-2</v>
      </c>
      <c r="AJ41" s="48">
        <f>AVERAGE(AJ25:AJ29)</f>
        <v>8.7672756735900897E-3</v>
      </c>
      <c r="AK41" s="48">
        <f>AVERAGE(AK25:AK29)</f>
        <v>2.6909079478196617E-2</v>
      </c>
      <c r="BE41" s="52">
        <f t="shared" si="12"/>
        <v>1</v>
      </c>
      <c r="BH41" s="55">
        <f>AVERAGE(BH25:BH29)</f>
        <v>-1.006951535105105E-3</v>
      </c>
      <c r="BJ41" s="52">
        <f>AVERAGE(BJ25:BJ29)</f>
        <v>0</v>
      </c>
      <c r="BK41" s="52">
        <f>AVERAGE(BK25:BK29)</f>
        <v>0</v>
      </c>
      <c r="BL41" s="52">
        <f>AVERAGE(BL25:BL29)</f>
        <v>5.8935627471123908E-4</v>
      </c>
      <c r="BM41" s="52">
        <f>AVERAGE(BM25:BM29)</f>
        <v>-1.2060574422575465E-3</v>
      </c>
      <c r="BN41" s="52">
        <f>AVERAGE(BN25:BN29)</f>
        <v>3.7351995529482096E-3</v>
      </c>
      <c r="BP41" s="52">
        <f>AVERAGE(BP25:BP29)</f>
        <v>2.6668742671245305E-3</v>
      </c>
      <c r="BQ41" s="52">
        <f>AVERAGE(BQ25:BQ29)</f>
        <v>2.9435761200147237E-3</v>
      </c>
      <c r="BR41" s="52">
        <f>AVERAGE(BR25:BR29)</f>
        <v>-3.716424926388795E-4</v>
      </c>
      <c r="BS41" s="52">
        <f>AVERAGE(BS25:BS29)</f>
        <v>-1.9734036865882709E-3</v>
      </c>
      <c r="BT41" s="52">
        <f>AVERAGE(BT25:BT29)</f>
        <v>1.826772431520185E-3</v>
      </c>
    </row>
    <row r="42" spans="1:72" x14ac:dyDescent="0.45">
      <c r="B42" s="47" t="s">
        <v>16</v>
      </c>
      <c r="J42" s="48">
        <f>AVERAGE(J30:J39)</f>
        <v>3.5024046893903718E-2</v>
      </c>
      <c r="K42" s="48">
        <f>AVERAGE(K30:K39)</f>
        <v>1.8600416961661072E-2</v>
      </c>
      <c r="L42" s="48">
        <f>AVERAGE(L30:L39)</f>
        <v>1.4301451090252094E-2</v>
      </c>
      <c r="M42" s="48">
        <f>AVERAGE(M30:M39)</f>
        <v>1.6423629932242643E-2</v>
      </c>
      <c r="AH42" s="48">
        <f>AVERAGE(AH30:AH39)</f>
        <v>3.5085474415133426E-2</v>
      </c>
      <c r="AI42" s="48">
        <f>AVERAGE(AI30:AI39)</f>
        <v>1.8600416961661072E-2</v>
      </c>
      <c r="AJ42" s="48">
        <f>AVERAGE(AJ30:AJ39)</f>
        <v>1.4301451090252094E-2</v>
      </c>
      <c r="AK42" s="48">
        <f>AVERAGE(AK30:AK39)</f>
        <v>1.6485057453472354E-2</v>
      </c>
      <c r="BE42" s="52">
        <f t="shared" si="12"/>
        <v>1</v>
      </c>
      <c r="BH42" s="55">
        <f>AVERAGE(BH30:BH39)</f>
        <v>-6.8641248920453535E-4</v>
      </c>
      <c r="BJ42" s="52">
        <f>AVERAGE(BJ30:BJ39)</f>
        <v>0</v>
      </c>
      <c r="BK42" s="52">
        <f>AVERAGE(BK30:BK39)</f>
        <v>0</v>
      </c>
      <c r="BL42" s="52">
        <f>AVERAGE(BL30:BL39)</f>
        <v>6.1185081538972508E-4</v>
      </c>
      <c r="BM42" s="52">
        <f>AVERAGE(BM30:BM39)</f>
        <v>1.1030278893286449E-2</v>
      </c>
      <c r="BN42" s="52">
        <f>AVERAGE(BN30:BN39)</f>
        <v>2.0280472033838981E-3</v>
      </c>
      <c r="BP42" s="52">
        <f>AVERAGE(BP30:BP39)</f>
        <v>1.0418792568351876E-3</v>
      </c>
      <c r="BQ42" s="52">
        <f>AVERAGE(BQ30:BQ39)</f>
        <v>1.1299981488793742E-3</v>
      </c>
      <c r="BR42" s="52">
        <f>AVERAGE(BR30:BR39)</f>
        <v>-2.5191414176328752E-4</v>
      </c>
      <c r="BS42" s="52">
        <f>AVERAGE(BS30:BS39)</f>
        <v>5.3782660689378203E-3</v>
      </c>
      <c r="BT42" s="52">
        <f>AVERAGE(BT30:BT39)</f>
        <v>4.0600000138008019E-4</v>
      </c>
    </row>
    <row r="43" spans="1:72" collapsed="1" x14ac:dyDescent="0.45">
      <c r="B43" s="47" t="s">
        <v>17</v>
      </c>
      <c r="J43" s="48">
        <f>AVERAGE(J5:J39)</f>
        <v>2.552226333007146E-2</v>
      </c>
      <c r="K43" s="48">
        <f>AVERAGE(K5:K39)</f>
        <v>1.2392405303745741E-2</v>
      </c>
      <c r="L43" s="48">
        <f>AVERAGE(L5:L39)</f>
        <v>9.3109872705371133E-3</v>
      </c>
      <c r="M43" s="48">
        <f>AVERAGE(M5:M39)</f>
        <v>1.3129858026325721E-2</v>
      </c>
      <c r="AH43" s="48">
        <f>AVERAGE(AH5:AH39)</f>
        <v>2.5605409581141502E-2</v>
      </c>
      <c r="AI43" s="48">
        <f>AVERAGE(AI5:AI39)</f>
        <v>1.2392405303745741E-2</v>
      </c>
      <c r="AJ43" s="48">
        <f>AVERAGE(AJ5:AJ39)</f>
        <v>9.3109872705371133E-3</v>
      </c>
      <c r="AK43" s="48">
        <f>AVERAGE(AK5:AK39)</f>
        <v>1.321300427739577E-2</v>
      </c>
      <c r="BE43" s="52">
        <f t="shared" si="12"/>
        <v>1</v>
      </c>
      <c r="BH43" s="55">
        <f>AVERAGE(BH5:BH39)</f>
        <v>-1.2981781912059073E-3</v>
      </c>
      <c r="BJ43" s="52">
        <f>AVERAGE(BJ5:BJ39)</f>
        <v>0</v>
      </c>
      <c r="BK43" s="52">
        <f>AVERAGE(BK5:BK39)</f>
        <v>0</v>
      </c>
      <c r="BL43" s="52">
        <f>AVERAGE(BL5:BL39)</f>
        <v>6.0807678527847423E-4</v>
      </c>
      <c r="BM43" s="52">
        <f>AVERAGE(BM5:BM39)</f>
        <v>1.0627185609655445E-2</v>
      </c>
      <c r="BN43" s="52">
        <f>AVERAGE(BN5:BN39)</f>
        <v>1.7799120572927905E-2</v>
      </c>
      <c r="BP43" s="52">
        <f>AVERAGE(BP5:BP39)</f>
        <v>2.0444416693191159E-3</v>
      </c>
      <c r="BQ43" s="52">
        <f>AVERAGE(BQ5:BQ39)</f>
        <v>2.4197579084135968E-3</v>
      </c>
      <c r="BR43" s="52">
        <f>AVERAGE(BR5:BR39)</f>
        <v>-9.2275768531692643E-4</v>
      </c>
      <c r="BS43" s="52">
        <f>AVERAGE(BS5:BS39)</f>
        <v>4.5487652151148571E-3</v>
      </c>
      <c r="BT43" s="52">
        <f>AVERAGE(BT5:BT39)</f>
        <v>8.4878370433031525E-3</v>
      </c>
    </row>
    <row r="44" spans="1:72" hidden="1" outlineLevel="2" x14ac:dyDescent="0.45">
      <c r="A44" s="47" t="s">
        <v>237</v>
      </c>
      <c r="B44" s="47" t="s">
        <v>238</v>
      </c>
      <c r="AB44" s="49">
        <f>SUM(AB5:AB24,AB25:AB29,AB30:AB39)</f>
        <v>146873.10999999999</v>
      </c>
      <c r="AC44" s="49">
        <f>SUM(AC5:AC24,AC25:AC29,AC30:AC39)</f>
        <v>543147.20000000007</v>
      </c>
      <c r="AD44" s="49">
        <f>SUM(AD5:AD24,AD25:AD29,AD30:AD39)</f>
        <v>4047.0889999999995</v>
      </c>
      <c r="AE44" s="49">
        <f>SUM(AE5:AE24,AE25:AE29,AE30:AE39)</f>
        <v>2332.848</v>
      </c>
      <c r="AZ44" s="49">
        <f>SUM(AZ5:AZ24,AZ25:AZ29,AZ30:AZ39)</f>
        <v>143102.75999999998</v>
      </c>
      <c r="BA44" s="49">
        <f>SUM(BA5:BA24,BA25:BA29,BA30:BA39)</f>
        <v>555529.5</v>
      </c>
      <c r="BB44" s="49">
        <f>SUM(BB5:BB24,BB25:BB29,BB30:BB39)</f>
        <v>4178.3969999999999</v>
      </c>
      <c r="BC44" s="49">
        <f>SUM(BC5:BC24,BC25:BC29,BC30:BC39)</f>
        <v>2316.8480000000004</v>
      </c>
    </row>
    <row r="45" spans="1:72" hidden="1" outlineLevel="2" x14ac:dyDescent="0.45">
      <c r="B45" s="47" t="s">
        <v>239</v>
      </c>
      <c r="AZ45" s="55">
        <f>AZ44/AB44</f>
        <v>0.97432920158087477</v>
      </c>
      <c r="BA45" s="55">
        <f>BA44/AC44</f>
        <v>1.0227973190324831</v>
      </c>
      <c r="BB45" s="55">
        <f>BB44/AD44</f>
        <v>1.0324450487745638</v>
      </c>
      <c r="BC45" s="55">
        <f>BC44/AE44</f>
        <v>0.99314143056041393</v>
      </c>
    </row>
    <row r="46" spans="1:72" hidden="1" outlineLevel="2" x14ac:dyDescent="0.45">
      <c r="B46" s="47" t="s">
        <v>240</v>
      </c>
      <c r="AB46" s="49">
        <f>GEOMEAN(AB5:AB24,AB25:AB29,AB30:AB39)</f>
        <v>3974.7281393098428</v>
      </c>
      <c r="AC46" s="49">
        <f>GEOMEAN(AC5:AC24,AC25:AC29,AC30:AC39)</f>
        <v>12053.734620090623</v>
      </c>
      <c r="AD46" s="49">
        <f>GEOMEAN(AD5:AD24,AD25:AD29,AD30:AD39)</f>
        <v>102.4969585544037</v>
      </c>
      <c r="AE46" s="49">
        <f>GEOMEAN(AE5:AE24,AE25:AE29,AE30:AE39)</f>
        <v>50.84298217476158</v>
      </c>
      <c r="AZ46" s="49">
        <f>GEOMEAN(AZ5:AZ24,AZ25:AZ29,AZ30:AZ39)</f>
        <v>3819.3877170323121</v>
      </c>
      <c r="BA46" s="49">
        <f>GEOMEAN(BA5:BA24,BA25:BA29,BA30:BA39)</f>
        <v>11346.913177209221</v>
      </c>
      <c r="BB46" s="49">
        <f>GEOMEAN(BB5:BB24,BB25:BB29,BB30:BB39)</f>
        <v>104.31433026831186</v>
      </c>
      <c r="BC46" s="49">
        <f>GEOMEAN(BC5:BC24,BC25:BC29,BC30:BC39)</f>
        <v>50.320010715581873</v>
      </c>
    </row>
    <row r="47" spans="1:72" outlineLevel="2" collapsed="1" x14ac:dyDescent="0.45">
      <c r="B47" s="47" t="s">
        <v>241</v>
      </c>
      <c r="AZ47" s="55">
        <f>AZ46/AB46</f>
        <v>0.96091797556134151</v>
      </c>
      <c r="BA47" s="55">
        <f>BA46/AC46</f>
        <v>0.94136079272034878</v>
      </c>
      <c r="BB47" s="55">
        <f>BB46/AD46</f>
        <v>1.0177309818704867</v>
      </c>
      <c r="BC47" s="55">
        <f>BC46/AE46</f>
        <v>0.98971398928996512</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已命名的範圍</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mtk13818</cp:lastModifiedBy>
  <dcterms:created xsi:type="dcterms:W3CDTF">2019-04-23T13:57:55Z</dcterms:created>
  <dcterms:modified xsi:type="dcterms:W3CDTF">2019-10-22T03:02:28Z</dcterms:modified>
</cp:coreProperties>
</file>