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1" defaultThemeVersion="124226"/>
  <mc:AlternateContent xmlns:mc="http://schemas.openxmlformats.org/markup-compatibility/2006">
    <mc:Choice Requires="x15">
      <x15ac:absPath xmlns:x15ac="http://schemas.microsoft.com/office/spreadsheetml/2010/11/ac" url="X:\gitint19\tm2_v190_b01\test\"/>
    </mc:Choice>
  </mc:AlternateContent>
  <xr:revisionPtr revIDLastSave="0" documentId="13_ncr:1_{3401C5FD-0BC4-4F77-8FDB-99C456569EB7}" xr6:coauthVersionLast="47" xr6:coauthVersionMax="47" xr10:uidLastSave="{00000000-0000-0000-0000-000000000000}"/>
  <bookViews>
    <workbookView xWindow="28680" yWindow="-120" windowWidth="29040" windowHeight="1752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46" i="7" l="1"/>
  <c r="BB46" i="7"/>
  <c r="BA46" i="7"/>
  <c r="AZ46" i="7"/>
  <c r="AE46" i="7"/>
  <c r="AD46" i="7"/>
  <c r="AC46" i="7"/>
  <c r="AB46" i="7"/>
  <c r="AZ47" i="7" s="1"/>
  <c r="C47" i="1" s="1"/>
  <c r="BC44" i="7"/>
  <c r="BC45" i="7" s="1"/>
  <c r="BB44" i="7"/>
  <c r="BB45" i="7" s="1"/>
  <c r="BA44" i="7"/>
  <c r="BA45" i="7" s="1"/>
  <c r="AZ44" i="7"/>
  <c r="AE44" i="7"/>
  <c r="AD44" i="7"/>
  <c r="AC44" i="7"/>
  <c r="AB44" i="7"/>
  <c r="BF39" i="7"/>
  <c r="AL39" i="7"/>
  <c r="BG39" i="7" s="1"/>
  <c r="AK39" i="7"/>
  <c r="AJ39" i="7"/>
  <c r="AH39" i="7"/>
  <c r="AG39" i="7"/>
  <c r="N39" i="7"/>
  <c r="K39" i="7" s="1"/>
  <c r="M39" i="7"/>
  <c r="L39" i="7"/>
  <c r="J39" i="7"/>
  <c r="I39" i="7"/>
  <c r="BF38" i="7"/>
  <c r="AL38" i="7"/>
  <c r="BG38" i="7" s="1"/>
  <c r="AK38" i="7"/>
  <c r="AJ38" i="7"/>
  <c r="AH38" i="7"/>
  <c r="AG38" i="7"/>
  <c r="N38" i="7"/>
  <c r="M38" i="7"/>
  <c r="L38" i="7"/>
  <c r="K38" i="7"/>
  <c r="J38" i="7"/>
  <c r="I38" i="7"/>
  <c r="BF37" i="7"/>
  <c r="AL37" i="7"/>
  <c r="AI37" i="7" s="1"/>
  <c r="BE37" i="7" s="1"/>
  <c r="AK37" i="7"/>
  <c r="AJ37" i="7"/>
  <c r="AH37" i="7"/>
  <c r="AG37" i="7"/>
  <c r="N37" i="7"/>
  <c r="K37" i="7" s="1"/>
  <c r="M37" i="7"/>
  <c r="L37" i="7"/>
  <c r="J37" i="7"/>
  <c r="I37" i="7"/>
  <c r="BF36" i="7"/>
  <c r="AL36" i="7"/>
  <c r="BG36" i="7" s="1"/>
  <c r="AK36" i="7"/>
  <c r="AJ36" i="7"/>
  <c r="AH36" i="7"/>
  <c r="AG36" i="7"/>
  <c r="N36" i="7"/>
  <c r="M36" i="7"/>
  <c r="L36" i="7"/>
  <c r="K36" i="7"/>
  <c r="J36" i="7"/>
  <c r="I36" i="7"/>
  <c r="BH35" i="7" a="1"/>
  <c r="BH35" i="7" s="1"/>
  <c r="BF35" i="7"/>
  <c r="AL35" i="7"/>
  <c r="AK35" i="7"/>
  <c r="AJ35" i="7"/>
  <c r="AH35" i="7"/>
  <c r="AG35" i="7"/>
  <c r="N35" i="7"/>
  <c r="K35" i="7" s="1"/>
  <c r="M35" i="7"/>
  <c r="L35" i="7"/>
  <c r="J35" i="7"/>
  <c r="I35" i="7"/>
  <c r="BG34" i="7"/>
  <c r="BF34" i="7"/>
  <c r="AL34" i="7"/>
  <c r="AI34" i="7" s="1"/>
  <c r="AK34" i="7"/>
  <c r="AJ34" i="7"/>
  <c r="AH34" i="7"/>
  <c r="AG34" i="7"/>
  <c r="N34" i="7"/>
  <c r="K34" i="7" s="1"/>
  <c r="M34" i="7"/>
  <c r="L34" i="7"/>
  <c r="J34" i="7"/>
  <c r="I34" i="7"/>
  <c r="BF33" i="7"/>
  <c r="AL33" i="7"/>
  <c r="AI33" i="7" s="1"/>
  <c r="AK33" i="7"/>
  <c r="AJ33" i="7"/>
  <c r="AH33" i="7"/>
  <c r="AG33" i="7"/>
  <c r="N33" i="7"/>
  <c r="K33" i="7" s="1"/>
  <c r="M33" i="7"/>
  <c r="L33" i="7"/>
  <c r="J33" i="7"/>
  <c r="I33" i="7"/>
  <c r="BF32" i="7"/>
  <c r="AL32" i="7"/>
  <c r="AK32" i="7"/>
  <c r="AJ32" i="7"/>
  <c r="AI32" i="7"/>
  <c r="AH32" i="7"/>
  <c r="AG32" i="7"/>
  <c r="N32" i="7"/>
  <c r="M32" i="7"/>
  <c r="L32" i="7"/>
  <c r="J32" i="7"/>
  <c r="I32" i="7"/>
  <c r="BF31" i="7"/>
  <c r="AL31" i="7"/>
  <c r="AK31" i="7"/>
  <c r="AJ31" i="7"/>
  <c r="AH31" i="7"/>
  <c r="AG31" i="7"/>
  <c r="N31" i="7"/>
  <c r="K31" i="7" s="1"/>
  <c r="M31" i="7"/>
  <c r="L31" i="7"/>
  <c r="J31" i="7"/>
  <c r="I31" i="7"/>
  <c r="BH30" i="7" a="1"/>
  <c r="BF30" i="7"/>
  <c r="AL30" i="7"/>
  <c r="AK30" i="7"/>
  <c r="AJ30" i="7"/>
  <c r="AI30" i="7"/>
  <c r="AH30" i="7"/>
  <c r="AG30" i="7"/>
  <c r="N30" i="7"/>
  <c r="K30" i="7" s="1"/>
  <c r="M30" i="7"/>
  <c r="L30" i="7"/>
  <c r="J30" i="7"/>
  <c r="I30" i="7"/>
  <c r="BF29" i="7"/>
  <c r="AL29" i="7"/>
  <c r="AI29" i="7" s="1"/>
  <c r="AK29" i="7"/>
  <c r="AJ29" i="7"/>
  <c r="AH29" i="7"/>
  <c r="AG29" i="7"/>
  <c r="N29" i="7"/>
  <c r="K29" i="7" s="1"/>
  <c r="M29" i="7"/>
  <c r="L29" i="7"/>
  <c r="J29" i="7"/>
  <c r="I29" i="7"/>
  <c r="BF28" i="7"/>
  <c r="BE28" i="7"/>
  <c r="AL28" i="7"/>
  <c r="AK28" i="7"/>
  <c r="AJ28" i="7"/>
  <c r="AI28" i="7"/>
  <c r="AH28" i="7"/>
  <c r="AG28" i="7"/>
  <c r="N28" i="7"/>
  <c r="M28" i="7"/>
  <c r="L28" i="7"/>
  <c r="K28" i="7"/>
  <c r="J28" i="7"/>
  <c r="I28" i="7"/>
  <c r="BF27" i="7"/>
  <c r="AL27" i="7"/>
  <c r="BG27" i="7" s="1"/>
  <c r="AK27" i="7"/>
  <c r="AJ27" i="7"/>
  <c r="AH27" i="7"/>
  <c r="AG27" i="7"/>
  <c r="N27" i="7"/>
  <c r="K27" i="7" s="1"/>
  <c r="M27" i="7"/>
  <c r="L27" i="7"/>
  <c r="J27" i="7"/>
  <c r="I27" i="7"/>
  <c r="BG26" i="7"/>
  <c r="BF26" i="7"/>
  <c r="AL26" i="7"/>
  <c r="AI26" i="7" s="1"/>
  <c r="BE26" i="7" s="1"/>
  <c r="AK26" i="7"/>
  <c r="AJ26" i="7"/>
  <c r="AH26" i="7"/>
  <c r="AG26" i="7"/>
  <c r="N26" i="7"/>
  <c r="M26" i="7"/>
  <c r="L26" i="7"/>
  <c r="K26" i="7"/>
  <c r="J26" i="7"/>
  <c r="I26" i="7"/>
  <c r="BF25" i="7"/>
  <c r="AL25" i="7"/>
  <c r="AI25" i="7" s="1"/>
  <c r="AK25" i="7"/>
  <c r="AK41" i="7" s="1"/>
  <c r="AJ25" i="7"/>
  <c r="AH25" i="7"/>
  <c r="AG25" i="7"/>
  <c r="N25" i="7"/>
  <c r="M25" i="7"/>
  <c r="L25" i="7"/>
  <c r="L41" i="7" s="1"/>
  <c r="J25" i="7"/>
  <c r="I25" i="7"/>
  <c r="BF24" i="7"/>
  <c r="AL24" i="7"/>
  <c r="AI24" i="7" s="1"/>
  <c r="BE24" i="7" s="1"/>
  <c r="AK24" i="7"/>
  <c r="AJ24" i="7"/>
  <c r="AH24" i="7"/>
  <c r="AG24" i="7"/>
  <c r="N24" i="7"/>
  <c r="M24" i="7"/>
  <c r="L24" i="7"/>
  <c r="K24" i="7"/>
  <c r="J24" i="7"/>
  <c r="I24" i="7"/>
  <c r="BF23" i="7"/>
  <c r="AL23" i="7"/>
  <c r="BG23" i="7" s="1"/>
  <c r="AK23" i="7"/>
  <c r="AJ23" i="7"/>
  <c r="AH23" i="7"/>
  <c r="AG23" i="7"/>
  <c r="N23" i="7"/>
  <c r="K23" i="7" s="1"/>
  <c r="M23" i="7"/>
  <c r="L23" i="7"/>
  <c r="J23" i="7"/>
  <c r="I23" i="7"/>
  <c r="BF22" i="7"/>
  <c r="AL22" i="7"/>
  <c r="AI22" i="7" s="1"/>
  <c r="AK22" i="7"/>
  <c r="AJ22" i="7"/>
  <c r="AH22" i="7"/>
  <c r="AG22" i="7"/>
  <c r="N22" i="7"/>
  <c r="M22" i="7"/>
  <c r="L22" i="7"/>
  <c r="K22" i="7"/>
  <c r="J22" i="7"/>
  <c r="I22" i="7"/>
  <c r="BF21" i="7"/>
  <c r="AL21" i="7"/>
  <c r="AI21" i="7" s="1"/>
  <c r="AK21" i="7"/>
  <c r="AJ21" i="7"/>
  <c r="AH21" i="7"/>
  <c r="AG21" i="7"/>
  <c r="N21" i="7"/>
  <c r="K21" i="7" s="1"/>
  <c r="BE21" i="7" s="1"/>
  <c r="M21" i="7"/>
  <c r="L21" i="7"/>
  <c r="J21" i="7"/>
  <c r="I21" i="7"/>
  <c r="BH20" i="7" a="1"/>
  <c r="BF20" i="7"/>
  <c r="AL20" i="7"/>
  <c r="AI20" i="7" s="1"/>
  <c r="AK20" i="7"/>
  <c r="AJ20" i="7"/>
  <c r="AH20" i="7"/>
  <c r="AG20" i="7"/>
  <c r="N20" i="7"/>
  <c r="BG20" i="7" s="1"/>
  <c r="M20" i="7"/>
  <c r="L20" i="7"/>
  <c r="J20" i="7"/>
  <c r="I20" i="7"/>
  <c r="BF19" i="7"/>
  <c r="AL19" i="7"/>
  <c r="AK19" i="7"/>
  <c r="AJ19" i="7"/>
  <c r="AH19" i="7"/>
  <c r="AG19" i="7"/>
  <c r="N19" i="7"/>
  <c r="K19" i="7" s="1"/>
  <c r="M19" i="7"/>
  <c r="L19" i="7"/>
  <c r="J19" i="7"/>
  <c r="I19" i="7"/>
  <c r="BF18" i="7"/>
  <c r="AL18" i="7"/>
  <c r="AI18" i="7" s="1"/>
  <c r="AK18" i="7"/>
  <c r="AJ18" i="7"/>
  <c r="AH18" i="7"/>
  <c r="AG18" i="7"/>
  <c r="N18" i="7"/>
  <c r="K18" i="7" s="1"/>
  <c r="M18" i="7"/>
  <c r="L18" i="7"/>
  <c r="J18" i="7"/>
  <c r="I18" i="7"/>
  <c r="BF17" i="7"/>
  <c r="AL17" i="7"/>
  <c r="AI17" i="7" s="1"/>
  <c r="AK17" i="7"/>
  <c r="AJ17" i="7"/>
  <c r="AH17" i="7"/>
  <c r="AG17" i="7"/>
  <c r="N17" i="7"/>
  <c r="K17" i="7" s="1"/>
  <c r="M17" i="7"/>
  <c r="L17" i="7"/>
  <c r="J17" i="7"/>
  <c r="I17" i="7"/>
  <c r="BG16" i="7"/>
  <c r="BF16" i="7"/>
  <c r="AL16" i="7"/>
  <c r="AI16" i="7" s="1"/>
  <c r="BE16" i="7" s="1"/>
  <c r="AK16" i="7"/>
  <c r="AJ16" i="7"/>
  <c r="AH16" i="7"/>
  <c r="AG16" i="7"/>
  <c r="N16" i="7"/>
  <c r="M16" i="7"/>
  <c r="L16" i="7"/>
  <c r="K16" i="7"/>
  <c r="J16" i="7"/>
  <c r="I16" i="7"/>
  <c r="BH15" i="7" a="1"/>
  <c r="BF15" i="7"/>
  <c r="AL15" i="7"/>
  <c r="BG15" i="7" s="1"/>
  <c r="AK15" i="7"/>
  <c r="AJ15" i="7"/>
  <c r="AH15" i="7"/>
  <c r="AG15" i="7"/>
  <c r="N15" i="7"/>
  <c r="K15" i="7" s="1"/>
  <c r="M15" i="7"/>
  <c r="L15" i="7"/>
  <c r="J15" i="7"/>
  <c r="I15" i="7"/>
  <c r="BF14" i="7"/>
  <c r="AL14" i="7"/>
  <c r="BG14" i="7" s="1"/>
  <c r="AK14" i="7"/>
  <c r="AJ14" i="7"/>
  <c r="AI14" i="7"/>
  <c r="AH14" i="7"/>
  <c r="AG14" i="7"/>
  <c r="N14" i="7"/>
  <c r="M14" i="7"/>
  <c r="L14" i="7"/>
  <c r="K14" i="7"/>
  <c r="J14" i="7"/>
  <c r="I14" i="7"/>
  <c r="BF13" i="7"/>
  <c r="AL13" i="7"/>
  <c r="AI13" i="7" s="1"/>
  <c r="AK13" i="7"/>
  <c r="AJ13" i="7"/>
  <c r="AH13" i="7"/>
  <c r="AG13" i="7"/>
  <c r="N13" i="7"/>
  <c r="K13" i="7" s="1"/>
  <c r="BE13" i="7" s="1"/>
  <c r="M13" i="7"/>
  <c r="L13" i="7"/>
  <c r="J13" i="7"/>
  <c r="I13" i="7"/>
  <c r="BG12" i="7"/>
  <c r="BF12" i="7"/>
  <c r="AL12" i="7"/>
  <c r="AK12" i="7"/>
  <c r="AJ12" i="7"/>
  <c r="AI12" i="7"/>
  <c r="AH12" i="7"/>
  <c r="AG12" i="7"/>
  <c r="N12" i="7"/>
  <c r="M12" i="7"/>
  <c r="L12" i="7"/>
  <c r="K12" i="7"/>
  <c r="J12" i="7"/>
  <c r="I12" i="7"/>
  <c r="BF11" i="7"/>
  <c r="AL11" i="7"/>
  <c r="BG11" i="7" s="1"/>
  <c r="AK11" i="7"/>
  <c r="AJ11" i="7"/>
  <c r="AH11" i="7"/>
  <c r="AG11" i="7"/>
  <c r="N11" i="7"/>
  <c r="K11" i="7" s="1"/>
  <c r="M11" i="7"/>
  <c r="L11" i="7"/>
  <c r="J11" i="7"/>
  <c r="I11" i="7"/>
  <c r="BH10" i="7" a="1"/>
  <c r="BF10" i="7"/>
  <c r="AL10" i="7"/>
  <c r="BG10" i="7" s="1"/>
  <c r="AK10" i="7"/>
  <c r="AJ10" i="7"/>
  <c r="AI10" i="7"/>
  <c r="AH10" i="7"/>
  <c r="AG10" i="7"/>
  <c r="N10" i="7"/>
  <c r="K10" i="7" s="1"/>
  <c r="M10" i="7"/>
  <c r="L10" i="7"/>
  <c r="J10" i="7"/>
  <c r="I10" i="7"/>
  <c r="BF9" i="7"/>
  <c r="AL9" i="7"/>
  <c r="AI9" i="7" s="1"/>
  <c r="AK9" i="7"/>
  <c r="AJ9" i="7"/>
  <c r="AH9" i="7"/>
  <c r="AG9" i="7"/>
  <c r="N9" i="7"/>
  <c r="K9" i="7" s="1"/>
  <c r="M9" i="7"/>
  <c r="L9" i="7"/>
  <c r="J9" i="7"/>
  <c r="I9" i="7"/>
  <c r="BF8" i="7"/>
  <c r="AL8" i="7"/>
  <c r="AK8" i="7"/>
  <c r="AJ8" i="7"/>
  <c r="AI8" i="7"/>
  <c r="AH8" i="7"/>
  <c r="AG8" i="7"/>
  <c r="N8" i="7"/>
  <c r="BG8" i="7" s="1"/>
  <c r="M8" i="7"/>
  <c r="L8" i="7"/>
  <c r="J8" i="7"/>
  <c r="I8" i="7"/>
  <c r="BF7" i="7"/>
  <c r="AL7" i="7"/>
  <c r="AK7" i="7"/>
  <c r="AJ7" i="7"/>
  <c r="AH7" i="7"/>
  <c r="AG7" i="7"/>
  <c r="N7" i="7"/>
  <c r="K7" i="7" s="1"/>
  <c r="M7" i="7"/>
  <c r="L7" i="7"/>
  <c r="J7" i="7"/>
  <c r="J43" i="7" s="1"/>
  <c r="I7" i="7"/>
  <c r="BF6" i="7"/>
  <c r="AL6" i="7"/>
  <c r="AK6" i="7"/>
  <c r="AJ6" i="7"/>
  <c r="AI6" i="7"/>
  <c r="AH6" i="7"/>
  <c r="AG6" i="7"/>
  <c r="N6" i="7"/>
  <c r="K6" i="7" s="1"/>
  <c r="M6" i="7"/>
  <c r="M40" i="7" s="1"/>
  <c r="L6" i="7"/>
  <c r="J6" i="7"/>
  <c r="I6" i="7"/>
  <c r="BH5" i="7" a="1"/>
  <c r="BF5" i="7"/>
  <c r="AL5" i="7"/>
  <c r="AI5" i="7" s="1"/>
  <c r="AK5" i="7"/>
  <c r="AJ5" i="7"/>
  <c r="AH5" i="7"/>
  <c r="AG5" i="7"/>
  <c r="N5" i="7"/>
  <c r="M5" i="7"/>
  <c r="L5" i="7"/>
  <c r="J5" i="7"/>
  <c r="I5" i="7"/>
  <c r="AG1" i="7"/>
  <c r="I1" i="7"/>
  <c r="AX19" i="6"/>
  <c r="AZ18" i="6"/>
  <c r="AY18" i="6"/>
  <c r="AX18" i="6"/>
  <c r="AW18" i="6"/>
  <c r="AC18" i="6"/>
  <c r="AZ19" i="6" s="1"/>
  <c r="AB18" i="6"/>
  <c r="AA18" i="6"/>
  <c r="Z18" i="6"/>
  <c r="AW19" i="6" s="1"/>
  <c r="AZ16" i="6"/>
  <c r="AY16" i="6"/>
  <c r="AX16" i="6"/>
  <c r="AX17" i="6" s="1"/>
  <c r="AW16" i="6"/>
  <c r="AC16" i="6"/>
  <c r="AB16" i="6"/>
  <c r="AA16" i="6"/>
  <c r="Z16" i="6"/>
  <c r="AW17" i="6" s="1"/>
  <c r="M13" i="6"/>
  <c r="J13" i="6"/>
  <c r="AK11" i="6"/>
  <c r="AH11" i="6" s="1"/>
  <c r="AJ11" i="6"/>
  <c r="AI11" i="6"/>
  <c r="AG11" i="6"/>
  <c r="AF11" i="6"/>
  <c r="AE11" i="6"/>
  <c r="N11" i="6"/>
  <c r="K11" i="6" s="1"/>
  <c r="M11" i="6"/>
  <c r="M14" i="6" s="1"/>
  <c r="L11" i="6"/>
  <c r="BD11" i="6" s="1"/>
  <c r="J11" i="6"/>
  <c r="BB11" i="6" s="1"/>
  <c r="I11" i="6"/>
  <c r="H11" i="6"/>
  <c r="AK10" i="6"/>
  <c r="AH10" i="6" s="1"/>
  <c r="AJ10" i="6"/>
  <c r="AI10" i="6"/>
  <c r="AI14" i="6" s="1"/>
  <c r="AG10" i="6"/>
  <c r="BB10" i="6" s="1"/>
  <c r="AF10" i="6"/>
  <c r="AE10" i="6"/>
  <c r="N10" i="6"/>
  <c r="K10" i="6" s="1"/>
  <c r="M10" i="6"/>
  <c r="L10" i="6"/>
  <c r="BD10" i="6" s="1"/>
  <c r="J10" i="6"/>
  <c r="J14" i="6" s="1"/>
  <c r="I10" i="6"/>
  <c r="H10" i="6"/>
  <c r="BD9" i="6"/>
  <c r="AK9" i="6"/>
  <c r="BG9" i="6" s="1" a="1"/>
  <c r="BG9" i="6" s="1"/>
  <c r="BG13" i="6" s="1"/>
  <c r="AJ9" i="6"/>
  <c r="BE9" i="6" s="1"/>
  <c r="AI9" i="6"/>
  <c r="AI13" i="6" s="1"/>
  <c r="AG9" i="6"/>
  <c r="AF9" i="6"/>
  <c r="AE9" i="6"/>
  <c r="N9" i="6"/>
  <c r="K9" i="6" s="1"/>
  <c r="K13" i="6" s="1"/>
  <c r="M9" i="6"/>
  <c r="L9" i="6"/>
  <c r="L13" i="6" s="1"/>
  <c r="J9" i="6"/>
  <c r="I9" i="6"/>
  <c r="H9" i="6"/>
  <c r="AK8" i="6"/>
  <c r="BF8" i="6" s="1"/>
  <c r="AJ8" i="6"/>
  <c r="AI8" i="6"/>
  <c r="AG8" i="6"/>
  <c r="AF8" i="6"/>
  <c r="AE8" i="6"/>
  <c r="N8" i="6"/>
  <c r="M8" i="6"/>
  <c r="BE8" i="6" s="1"/>
  <c r="L8" i="6"/>
  <c r="BD8" i="6" s="1"/>
  <c r="K8" i="6"/>
  <c r="J8" i="6"/>
  <c r="I8" i="6"/>
  <c r="H8" i="6"/>
  <c r="AK7" i="6"/>
  <c r="AJ7" i="6"/>
  <c r="AI7" i="6"/>
  <c r="BD7" i="6" s="1"/>
  <c r="AH7" i="6"/>
  <c r="AG7" i="6"/>
  <c r="AF7" i="6"/>
  <c r="AE7" i="6"/>
  <c r="N7" i="6"/>
  <c r="K7" i="6" s="1"/>
  <c r="M7" i="6"/>
  <c r="L7" i="6"/>
  <c r="J7" i="6"/>
  <c r="BB7" i="6" s="1"/>
  <c r="I7" i="6"/>
  <c r="H7" i="6"/>
  <c r="AK6" i="6"/>
  <c r="AH6" i="6" s="1"/>
  <c r="AJ6" i="6"/>
  <c r="AI6" i="6"/>
  <c r="AG6" i="6"/>
  <c r="BB6" i="6" s="1"/>
  <c r="AF6" i="6"/>
  <c r="AE6" i="6"/>
  <c r="N6" i="6"/>
  <c r="K6" i="6" s="1"/>
  <c r="M6" i="6"/>
  <c r="L6" i="6"/>
  <c r="J6" i="6"/>
  <c r="I6" i="6"/>
  <c r="H6" i="6"/>
  <c r="AK5" i="6"/>
  <c r="AJ5" i="6"/>
  <c r="BE5" i="6" s="1"/>
  <c r="AI5" i="6"/>
  <c r="AI15" i="6" s="1"/>
  <c r="AH5" i="6"/>
  <c r="AG5" i="6"/>
  <c r="BB5" i="6" s="1"/>
  <c r="AF5" i="6"/>
  <c r="AE5" i="6"/>
  <c r="N5" i="6"/>
  <c r="K5" i="6" s="1"/>
  <c r="M5" i="6"/>
  <c r="M12" i="6" s="1"/>
  <c r="L5" i="6"/>
  <c r="J5" i="6"/>
  <c r="I5" i="6"/>
  <c r="H5" i="6"/>
  <c r="AE1" i="6"/>
  <c r="H1" i="6"/>
  <c r="AZ18" i="5"/>
  <c r="AZ19" i="5" s="1"/>
  <c r="AY18" i="5"/>
  <c r="AX18" i="5"/>
  <c r="AW18" i="5"/>
  <c r="AC18" i="5"/>
  <c r="AB18" i="5"/>
  <c r="AA18" i="5"/>
  <c r="AX19" i="5" s="1"/>
  <c r="Z18" i="5"/>
  <c r="AW19" i="5" s="1"/>
  <c r="AX17" i="5"/>
  <c r="AZ16" i="5"/>
  <c r="AZ17" i="5" s="1"/>
  <c r="AY16" i="5"/>
  <c r="AX16" i="5"/>
  <c r="AW16" i="5"/>
  <c r="AC16" i="5"/>
  <c r="AB16" i="5"/>
  <c r="AA16" i="5"/>
  <c r="Z16" i="5"/>
  <c r="AW17" i="5" s="1"/>
  <c r="J14" i="5"/>
  <c r="AI13" i="5"/>
  <c r="M13" i="5"/>
  <c r="AK11" i="5"/>
  <c r="AH11" i="5" s="1"/>
  <c r="AJ11" i="5"/>
  <c r="AI11" i="5"/>
  <c r="AI14" i="5" s="1"/>
  <c r="AG11" i="5"/>
  <c r="BB11" i="5" s="1"/>
  <c r="AF11" i="5"/>
  <c r="AE11" i="5"/>
  <c r="N11" i="5"/>
  <c r="K11" i="5" s="1"/>
  <c r="K14" i="5" s="1"/>
  <c r="M11" i="5"/>
  <c r="L11" i="5"/>
  <c r="BD11" i="5" s="1"/>
  <c r="J11" i="5"/>
  <c r="I11" i="5"/>
  <c r="H11" i="5"/>
  <c r="AK10" i="5"/>
  <c r="AJ10" i="5"/>
  <c r="AI10" i="5"/>
  <c r="AG10" i="5"/>
  <c r="AF10" i="5"/>
  <c r="AE10" i="5"/>
  <c r="N10" i="5"/>
  <c r="K10" i="5" s="1"/>
  <c r="M10" i="5"/>
  <c r="M14" i="5" s="1"/>
  <c r="L10" i="5"/>
  <c r="BD10" i="5" s="1"/>
  <c r="J10" i="5"/>
  <c r="I10" i="5"/>
  <c r="H10" i="5"/>
  <c r="AK9" i="5"/>
  <c r="AH9" i="5" s="1"/>
  <c r="AH13" i="5" s="1"/>
  <c r="AJ9" i="5"/>
  <c r="AJ13" i="5" s="1"/>
  <c r="AI9" i="5"/>
  <c r="AG9" i="5"/>
  <c r="BB9" i="5" s="1"/>
  <c r="AF9" i="5"/>
  <c r="AE9" i="5"/>
  <c r="N9" i="5"/>
  <c r="K9" i="5" s="1"/>
  <c r="M9" i="5"/>
  <c r="BE9" i="5" s="1"/>
  <c r="L9" i="5"/>
  <c r="J9" i="5"/>
  <c r="J13" i="5" s="1"/>
  <c r="I9" i="5"/>
  <c r="H9" i="5"/>
  <c r="AK8" i="5"/>
  <c r="AJ8" i="5"/>
  <c r="BE8" i="5" s="1"/>
  <c r="AI8" i="5"/>
  <c r="AH8" i="5"/>
  <c r="BC8" i="5" s="1"/>
  <c r="AG8" i="5"/>
  <c r="AF8" i="5"/>
  <c r="AE8" i="5"/>
  <c r="N8" i="5"/>
  <c r="M8" i="5"/>
  <c r="L8" i="5"/>
  <c r="K8" i="5"/>
  <c r="J8" i="5"/>
  <c r="I8" i="5"/>
  <c r="H8" i="5"/>
  <c r="AK7" i="5"/>
  <c r="AJ7" i="5"/>
  <c r="BE7" i="5" s="1"/>
  <c r="AI7" i="5"/>
  <c r="AG7" i="5"/>
  <c r="BB7" i="5" s="1"/>
  <c r="AF7" i="5"/>
  <c r="AE7" i="5"/>
  <c r="N7" i="5"/>
  <c r="K7" i="5" s="1"/>
  <c r="M7" i="5"/>
  <c r="L7" i="5"/>
  <c r="BD7" i="5" s="1"/>
  <c r="J7" i="5"/>
  <c r="I7" i="5"/>
  <c r="H7" i="5"/>
  <c r="AK6" i="5"/>
  <c r="BF6" i="5" s="1"/>
  <c r="AJ6" i="5"/>
  <c r="BE6" i="5" s="1"/>
  <c r="AI6" i="5"/>
  <c r="AG6" i="5"/>
  <c r="AF6" i="5"/>
  <c r="AE6" i="5"/>
  <c r="N6" i="5"/>
  <c r="K6" i="5" s="1"/>
  <c r="M6" i="5"/>
  <c r="L6" i="5"/>
  <c r="BD6" i="5" s="1"/>
  <c r="J6" i="5"/>
  <c r="I6" i="5"/>
  <c r="H6" i="5"/>
  <c r="BD5" i="5"/>
  <c r="AK5" i="5"/>
  <c r="AJ5" i="5"/>
  <c r="AI5" i="5"/>
  <c r="AI15" i="5" s="1"/>
  <c r="AG5" i="5"/>
  <c r="AF5" i="5"/>
  <c r="AE5" i="5"/>
  <c r="N5" i="5"/>
  <c r="M5" i="5"/>
  <c r="L5" i="5"/>
  <c r="K5" i="5"/>
  <c r="J5" i="5"/>
  <c r="I5" i="5"/>
  <c r="H5" i="5"/>
  <c r="AE1" i="5"/>
  <c r="H1" i="5"/>
  <c r="BC46" i="3"/>
  <c r="BB46" i="3"/>
  <c r="BA46" i="3"/>
  <c r="AZ46" i="3"/>
  <c r="AE46" i="3"/>
  <c r="AD46" i="3"/>
  <c r="AC46" i="3"/>
  <c r="AB46" i="3"/>
  <c r="AZ47" i="3" s="1"/>
  <c r="BC44" i="3"/>
  <c r="BB44" i="3"/>
  <c r="BA44" i="3"/>
  <c r="AZ44" i="3"/>
  <c r="AE44" i="3"/>
  <c r="AD44" i="3"/>
  <c r="AC44" i="3"/>
  <c r="BA45" i="3" s="1"/>
  <c r="AB44" i="3"/>
  <c r="AZ45" i="3" s="1"/>
  <c r="BF39" i="3"/>
  <c r="AL39" i="3"/>
  <c r="AI39" i="3" s="1"/>
  <c r="AK39" i="3"/>
  <c r="AJ39" i="3"/>
  <c r="AH39" i="3"/>
  <c r="AG39" i="3"/>
  <c r="N39" i="3"/>
  <c r="K39" i="3" s="1"/>
  <c r="M39" i="3"/>
  <c r="L39" i="3"/>
  <c r="J39" i="3"/>
  <c r="I39" i="3"/>
  <c r="BF38" i="3"/>
  <c r="AL38" i="3"/>
  <c r="AI38" i="3" s="1"/>
  <c r="AK38" i="3"/>
  <c r="AJ38" i="3"/>
  <c r="AH38" i="3"/>
  <c r="AG38" i="3"/>
  <c r="N38" i="3"/>
  <c r="M38" i="3"/>
  <c r="L38" i="3"/>
  <c r="J38" i="3"/>
  <c r="I38" i="3"/>
  <c r="BF37" i="3"/>
  <c r="AL37" i="3"/>
  <c r="BG37" i="3" s="1"/>
  <c r="AK37" i="3"/>
  <c r="AJ37" i="3"/>
  <c r="AH37" i="3"/>
  <c r="AG37" i="3"/>
  <c r="N37" i="3"/>
  <c r="K37" i="3" s="1"/>
  <c r="M37" i="3"/>
  <c r="L37" i="3"/>
  <c r="J37" i="3"/>
  <c r="I37" i="3"/>
  <c r="BF36" i="3"/>
  <c r="AL36" i="3"/>
  <c r="AK36" i="3"/>
  <c r="AJ36" i="3"/>
  <c r="AH36" i="3"/>
  <c r="AG36" i="3"/>
  <c r="N36" i="3"/>
  <c r="K36" i="3" s="1"/>
  <c r="M36" i="3"/>
  <c r="L36" i="3"/>
  <c r="J36" i="3"/>
  <c r="I36" i="3"/>
  <c r="BF35" i="3"/>
  <c r="AL35" i="3"/>
  <c r="BG35" i="3" s="1"/>
  <c r="AK35" i="3"/>
  <c r="AJ35" i="3"/>
  <c r="AH35" i="3"/>
  <c r="AG35" i="3"/>
  <c r="N35" i="3"/>
  <c r="M35" i="3"/>
  <c r="L35" i="3"/>
  <c r="K35" i="3"/>
  <c r="J35" i="3"/>
  <c r="I35" i="3"/>
  <c r="BF34" i="3"/>
  <c r="AL34" i="3"/>
  <c r="BG34" i="3" s="1"/>
  <c r="AK34" i="3"/>
  <c r="AJ34" i="3"/>
  <c r="AI34" i="3"/>
  <c r="AH34" i="3"/>
  <c r="AG34" i="3"/>
  <c r="N34" i="3"/>
  <c r="M34" i="3"/>
  <c r="L34" i="3"/>
  <c r="K34" i="3"/>
  <c r="J34" i="3"/>
  <c r="I34" i="3"/>
  <c r="BF33" i="3"/>
  <c r="AL33" i="3"/>
  <c r="AI33" i="3" s="1"/>
  <c r="AK33" i="3"/>
  <c r="AJ33" i="3"/>
  <c r="AH33" i="3"/>
  <c r="AG33" i="3"/>
  <c r="N33" i="3"/>
  <c r="K33" i="3" s="1"/>
  <c r="M33" i="3"/>
  <c r="L33" i="3"/>
  <c r="J33" i="3"/>
  <c r="I33" i="3"/>
  <c r="BF32" i="3"/>
  <c r="AL32" i="3"/>
  <c r="BG32" i="3" s="1"/>
  <c r="AK32" i="3"/>
  <c r="AJ32" i="3"/>
  <c r="AH32" i="3"/>
  <c r="AG32" i="3"/>
  <c r="N32" i="3"/>
  <c r="M32" i="3"/>
  <c r="L32" i="3"/>
  <c r="K32" i="3"/>
  <c r="J32" i="3"/>
  <c r="I32" i="3"/>
  <c r="BF31" i="3"/>
  <c r="AL31" i="3"/>
  <c r="AK31" i="3"/>
  <c r="AK42" i="3" s="1"/>
  <c r="AJ31" i="3"/>
  <c r="AH31" i="3"/>
  <c r="AG31" i="3"/>
  <c r="N31" i="3"/>
  <c r="M31" i="3"/>
  <c r="L31" i="3"/>
  <c r="K31" i="3"/>
  <c r="J31" i="3"/>
  <c r="I31" i="3"/>
  <c r="BF30" i="3"/>
  <c r="AL30" i="3"/>
  <c r="AI30" i="3" s="1"/>
  <c r="AK30" i="3"/>
  <c r="AJ30" i="3"/>
  <c r="AH30" i="3"/>
  <c r="AG30" i="3"/>
  <c r="N30" i="3"/>
  <c r="M30" i="3"/>
  <c r="L30" i="3"/>
  <c r="K30" i="3"/>
  <c r="J30" i="3"/>
  <c r="J42" i="3" s="1"/>
  <c r="I30" i="3"/>
  <c r="BF29" i="3"/>
  <c r="AL29" i="3"/>
  <c r="AI29" i="3" s="1"/>
  <c r="AK29" i="3"/>
  <c r="AJ29" i="3"/>
  <c r="AH29" i="3"/>
  <c r="AG29" i="3"/>
  <c r="N29" i="3"/>
  <c r="K29" i="3" s="1"/>
  <c r="M29" i="3"/>
  <c r="L29" i="3"/>
  <c r="J29" i="3"/>
  <c r="I29" i="3"/>
  <c r="BF28" i="3"/>
  <c r="AL28" i="3"/>
  <c r="AI28" i="3" s="1"/>
  <c r="AK28" i="3"/>
  <c r="AJ28" i="3"/>
  <c r="AH28" i="3"/>
  <c r="AG28" i="3"/>
  <c r="N28" i="3"/>
  <c r="M28" i="3"/>
  <c r="L28" i="3"/>
  <c r="K28" i="3"/>
  <c r="J28" i="3"/>
  <c r="I28" i="3"/>
  <c r="BF27" i="3"/>
  <c r="AL27" i="3"/>
  <c r="AK27" i="3"/>
  <c r="AJ27" i="3"/>
  <c r="AH27" i="3"/>
  <c r="AG27" i="3"/>
  <c r="N27" i="3"/>
  <c r="M27" i="3"/>
  <c r="L27" i="3"/>
  <c r="K27" i="3"/>
  <c r="J27" i="3"/>
  <c r="I27" i="3"/>
  <c r="BF26" i="3"/>
  <c r="AL26" i="3"/>
  <c r="AI26" i="3" s="1"/>
  <c r="AK26" i="3"/>
  <c r="AJ26" i="3"/>
  <c r="AH26" i="3"/>
  <c r="AG26" i="3"/>
  <c r="N26" i="3"/>
  <c r="BG26" i="3" s="1"/>
  <c r="M26" i="3"/>
  <c r="L26" i="3"/>
  <c r="J26" i="3"/>
  <c r="I26" i="3"/>
  <c r="BH25" i="3" a="1"/>
  <c r="BF25" i="3"/>
  <c r="AL25" i="3"/>
  <c r="AI25" i="3" s="1"/>
  <c r="AK25" i="3"/>
  <c r="AJ25" i="3"/>
  <c r="AJ41" i="3" s="1"/>
  <c r="AH25" i="3"/>
  <c r="AG25" i="3"/>
  <c r="N25" i="3"/>
  <c r="M25" i="3"/>
  <c r="L25" i="3"/>
  <c r="J25" i="3"/>
  <c r="I25" i="3"/>
  <c r="BF24" i="3"/>
  <c r="AL24" i="3"/>
  <c r="AI24" i="3" s="1"/>
  <c r="AK24" i="3"/>
  <c r="AJ24" i="3"/>
  <c r="AH24" i="3"/>
  <c r="AG24" i="3"/>
  <c r="N24" i="3"/>
  <c r="K24" i="3" s="1"/>
  <c r="M24" i="3"/>
  <c r="L24" i="3"/>
  <c r="J24" i="3"/>
  <c r="I24" i="3"/>
  <c r="BF23" i="3"/>
  <c r="AL23" i="3"/>
  <c r="AK23" i="3"/>
  <c r="AJ23" i="3"/>
  <c r="AH23" i="3"/>
  <c r="AG23" i="3"/>
  <c r="N23" i="3"/>
  <c r="K23" i="3" s="1"/>
  <c r="M23" i="3"/>
  <c r="L23" i="3"/>
  <c r="J23" i="3"/>
  <c r="I23" i="3"/>
  <c r="BG22" i="3"/>
  <c r="BF22" i="3"/>
  <c r="AL22" i="3"/>
  <c r="AI22" i="3" s="1"/>
  <c r="AK22" i="3"/>
  <c r="AJ22" i="3"/>
  <c r="AH22" i="3"/>
  <c r="AG22" i="3"/>
  <c r="N22" i="3"/>
  <c r="M22" i="3"/>
  <c r="L22" i="3"/>
  <c r="K22" i="3"/>
  <c r="J22" i="3"/>
  <c r="I22" i="3"/>
  <c r="BF21" i="3"/>
  <c r="AL21" i="3"/>
  <c r="AK21" i="3"/>
  <c r="AJ21" i="3"/>
  <c r="AI21" i="3"/>
  <c r="AH21" i="3"/>
  <c r="AG21" i="3"/>
  <c r="N21" i="3"/>
  <c r="K21" i="3" s="1"/>
  <c r="M21" i="3"/>
  <c r="L21" i="3"/>
  <c r="J21" i="3"/>
  <c r="I21" i="3"/>
  <c r="BF20" i="3"/>
  <c r="AL20" i="3"/>
  <c r="BH20" i="3" s="1" a="1"/>
  <c r="BH20" i="3" s="1"/>
  <c r="AK20" i="3"/>
  <c r="AJ20" i="3"/>
  <c r="AI20" i="3"/>
  <c r="AH20" i="3"/>
  <c r="AG20" i="3"/>
  <c r="N20" i="3"/>
  <c r="K20" i="3" s="1"/>
  <c r="M20" i="3"/>
  <c r="L20" i="3"/>
  <c r="J20" i="3"/>
  <c r="I20" i="3"/>
  <c r="BF19" i="3"/>
  <c r="AL19" i="3"/>
  <c r="AK19" i="3"/>
  <c r="AJ19" i="3"/>
  <c r="AH19" i="3"/>
  <c r="AG19" i="3"/>
  <c r="N19" i="3"/>
  <c r="M19" i="3"/>
  <c r="L19" i="3"/>
  <c r="K19" i="3"/>
  <c r="J19" i="3"/>
  <c r="I19" i="3"/>
  <c r="BG18" i="3"/>
  <c r="BF18" i="3"/>
  <c r="AL18" i="3"/>
  <c r="AK18" i="3"/>
  <c r="AJ18" i="3"/>
  <c r="AI18" i="3"/>
  <c r="AH18" i="3"/>
  <c r="AG18" i="3"/>
  <c r="N18" i="3"/>
  <c r="M18" i="3"/>
  <c r="L18" i="3"/>
  <c r="K18" i="3"/>
  <c r="J18" i="3"/>
  <c r="I18" i="3"/>
  <c r="BF17" i="3"/>
  <c r="AL17" i="3"/>
  <c r="AK17" i="3"/>
  <c r="AJ17" i="3"/>
  <c r="AI17" i="3"/>
  <c r="AH17" i="3"/>
  <c r="AG17" i="3"/>
  <c r="N17" i="3"/>
  <c r="K17" i="3" s="1"/>
  <c r="M17" i="3"/>
  <c r="L17" i="3"/>
  <c r="J17" i="3"/>
  <c r="I17" i="3"/>
  <c r="BF16" i="3"/>
  <c r="AL16" i="3"/>
  <c r="AK16" i="3"/>
  <c r="AJ16" i="3"/>
  <c r="AI16" i="3"/>
  <c r="AH16" i="3"/>
  <c r="AG16" i="3"/>
  <c r="N16" i="3"/>
  <c r="M16" i="3"/>
  <c r="L16" i="3"/>
  <c r="K16" i="3"/>
  <c r="J16" i="3"/>
  <c r="I16" i="3"/>
  <c r="BF15" i="3"/>
  <c r="AL15" i="3"/>
  <c r="AK15" i="3"/>
  <c r="AJ15" i="3"/>
  <c r="AH15" i="3"/>
  <c r="AG15" i="3"/>
  <c r="N15" i="3"/>
  <c r="M15" i="3"/>
  <c r="L15" i="3"/>
  <c r="K15" i="3"/>
  <c r="J15" i="3"/>
  <c r="I15" i="3"/>
  <c r="BF14" i="3"/>
  <c r="AL14" i="3"/>
  <c r="AK14" i="3"/>
  <c r="AJ14" i="3"/>
  <c r="AI14" i="3"/>
  <c r="AH14" i="3"/>
  <c r="AG14" i="3"/>
  <c r="N14" i="3"/>
  <c r="BG14" i="3" s="1"/>
  <c r="M14" i="3"/>
  <c r="L14" i="3"/>
  <c r="J14" i="3"/>
  <c r="I14" i="3"/>
  <c r="BF13" i="3"/>
  <c r="AL13" i="3"/>
  <c r="AK13" i="3"/>
  <c r="AJ13" i="3"/>
  <c r="AI13" i="3"/>
  <c r="AH13" i="3"/>
  <c r="AG13" i="3"/>
  <c r="N13" i="3"/>
  <c r="K13" i="3" s="1"/>
  <c r="M13" i="3"/>
  <c r="L13" i="3"/>
  <c r="J13" i="3"/>
  <c r="I13" i="3"/>
  <c r="BF12" i="3"/>
  <c r="AL12" i="3"/>
  <c r="AK12" i="3"/>
  <c r="AJ12" i="3"/>
  <c r="AI12" i="3"/>
  <c r="AH12" i="3"/>
  <c r="AG12" i="3"/>
  <c r="N12" i="3"/>
  <c r="K12" i="3" s="1"/>
  <c r="M12" i="3"/>
  <c r="L12" i="3"/>
  <c r="J12" i="3"/>
  <c r="I12" i="3"/>
  <c r="BF11" i="3"/>
  <c r="AL11" i="3"/>
  <c r="AK11" i="3"/>
  <c r="AJ11" i="3"/>
  <c r="AH11" i="3"/>
  <c r="AG11" i="3"/>
  <c r="N11" i="3"/>
  <c r="K11" i="3" s="1"/>
  <c r="M11" i="3"/>
  <c r="L11" i="3"/>
  <c r="J11" i="3"/>
  <c r="I11" i="3"/>
  <c r="BH10" i="3" a="1"/>
  <c r="BF10" i="3"/>
  <c r="AL10" i="3"/>
  <c r="BG10" i="3" s="1"/>
  <c r="AK10" i="3"/>
  <c r="AJ10" i="3"/>
  <c r="AH10" i="3"/>
  <c r="AG10" i="3"/>
  <c r="N10" i="3"/>
  <c r="M10" i="3"/>
  <c r="L10" i="3"/>
  <c r="K10" i="3"/>
  <c r="J10" i="3"/>
  <c r="I10" i="3"/>
  <c r="BF9" i="3"/>
  <c r="AL9" i="3"/>
  <c r="AK9" i="3"/>
  <c r="AJ9" i="3"/>
  <c r="AI9" i="3"/>
  <c r="AH9" i="3"/>
  <c r="AG9" i="3"/>
  <c r="N9" i="3"/>
  <c r="K9" i="3" s="1"/>
  <c r="M9" i="3"/>
  <c r="L9" i="3"/>
  <c r="J9" i="3"/>
  <c r="I9" i="3"/>
  <c r="BF8" i="3"/>
  <c r="AL8" i="3"/>
  <c r="BG8" i="3" s="1"/>
  <c r="AK8" i="3"/>
  <c r="AJ8" i="3"/>
  <c r="AI8" i="3"/>
  <c r="AH8" i="3"/>
  <c r="AG8" i="3"/>
  <c r="N8" i="3"/>
  <c r="K8" i="3" s="1"/>
  <c r="M8" i="3"/>
  <c r="L8" i="3"/>
  <c r="J8" i="3"/>
  <c r="I8" i="3"/>
  <c r="BF7" i="3"/>
  <c r="AL7" i="3"/>
  <c r="AK7" i="3"/>
  <c r="AJ7" i="3"/>
  <c r="AH7" i="3"/>
  <c r="AG7" i="3"/>
  <c r="N7" i="3"/>
  <c r="K7" i="3" s="1"/>
  <c r="M7" i="3"/>
  <c r="L7" i="3"/>
  <c r="J7" i="3"/>
  <c r="I7" i="3"/>
  <c r="BF6" i="3"/>
  <c r="AL6" i="3"/>
  <c r="BG6" i="3" s="1"/>
  <c r="AK6" i="3"/>
  <c r="AJ6" i="3"/>
  <c r="AH6" i="3"/>
  <c r="AG6" i="3"/>
  <c r="N6" i="3"/>
  <c r="M6" i="3"/>
  <c r="L6" i="3"/>
  <c r="K6" i="3"/>
  <c r="J6" i="3"/>
  <c r="I6" i="3"/>
  <c r="BF5" i="3"/>
  <c r="AL5" i="3"/>
  <c r="BG5" i="3" s="1"/>
  <c r="AK5" i="3"/>
  <c r="AJ5" i="3"/>
  <c r="AH5" i="3"/>
  <c r="AG5" i="3"/>
  <c r="N5" i="3"/>
  <c r="BH5" i="3" s="1" a="1"/>
  <c r="M5" i="3"/>
  <c r="L5" i="3"/>
  <c r="J5" i="3"/>
  <c r="I5" i="3"/>
  <c r="AG1" i="3"/>
  <c r="I1" i="3"/>
  <c r="B2" i="2"/>
  <c r="B1" i="2"/>
  <c r="C35" i="1"/>
  <c r="BQ35" i="7"/>
  <c r="BQ30" i="7"/>
  <c r="BT25" i="7"/>
  <c r="BS20" i="7"/>
  <c r="BK15" i="7"/>
  <c r="BK10" i="7"/>
  <c r="BN5" i="7"/>
  <c r="BK30" i="3"/>
  <c r="BN25" i="3"/>
  <c r="BP20" i="3"/>
  <c r="BJ20" i="3"/>
  <c r="BQ15" i="3"/>
  <c r="BP10" i="3"/>
  <c r="BT5" i="3"/>
  <c r="BS30" i="3"/>
  <c r="BP5" i="7"/>
  <c r="BP35" i="7"/>
  <c r="BP30" i="7"/>
  <c r="BS25" i="7"/>
  <c r="BR20" i="7"/>
  <c r="BM5" i="7"/>
  <c r="BM25" i="3"/>
  <c r="BN20" i="3"/>
  <c r="BP15" i="3"/>
  <c r="BN10" i="3"/>
  <c r="BS5" i="3"/>
  <c r="BS35" i="3"/>
  <c r="BJ25" i="3"/>
  <c r="BN35" i="7"/>
  <c r="BN30" i="7"/>
  <c r="BR25" i="7"/>
  <c r="BK25" i="7"/>
  <c r="BQ20" i="7"/>
  <c r="BL5" i="7"/>
  <c r="BL25" i="3"/>
  <c r="BM20" i="3"/>
  <c r="BN15" i="3"/>
  <c r="BM10" i="3"/>
  <c r="BJ10" i="3"/>
  <c r="BR5" i="3"/>
  <c r="BL10" i="7"/>
  <c r="BM35" i="7"/>
  <c r="BM30" i="7"/>
  <c r="BJ30" i="7"/>
  <c r="BQ25" i="7"/>
  <c r="BP20" i="7"/>
  <c r="BL20" i="3"/>
  <c r="BM15" i="3"/>
  <c r="BL10" i="3"/>
  <c r="BQ5" i="3"/>
  <c r="BL35" i="3"/>
  <c r="BL35" i="7"/>
  <c r="BL30" i="7"/>
  <c r="BP25" i="7"/>
  <c r="BN20" i="7"/>
  <c r="BT15" i="7"/>
  <c r="BT10" i="7"/>
  <c r="BT35" i="3"/>
  <c r="BT30" i="3"/>
  <c r="BK20" i="3"/>
  <c r="BL15" i="3"/>
  <c r="BK10" i="3"/>
  <c r="BP5" i="3"/>
  <c r="BN5" i="3"/>
  <c r="BQ10" i="3"/>
  <c r="BK35" i="7"/>
  <c r="BK30" i="7"/>
  <c r="BN25" i="7"/>
  <c r="BM20" i="7"/>
  <c r="BS15" i="7"/>
  <c r="BS10" i="7"/>
  <c r="BM25" i="7"/>
  <c r="BL20" i="7"/>
  <c r="BR15" i="7"/>
  <c r="BR10" i="7"/>
  <c r="BR35" i="3"/>
  <c r="BR30" i="3"/>
  <c r="BM5" i="3"/>
  <c r="BT20" i="7"/>
  <c r="BL25" i="7"/>
  <c r="BK20" i="7"/>
  <c r="BJ20" i="7"/>
  <c r="BQ15" i="7"/>
  <c r="BQ10" i="7"/>
  <c r="BT5" i="7"/>
  <c r="BQ35" i="3"/>
  <c r="BJ35" i="3"/>
  <c r="BQ30" i="3"/>
  <c r="BT25" i="3"/>
  <c r="BL5" i="3"/>
  <c r="BR30" i="7"/>
  <c r="BR15" i="3"/>
  <c r="BP15" i="7"/>
  <c r="BP10" i="7"/>
  <c r="BS5" i="7"/>
  <c r="BP35" i="3"/>
  <c r="BP30" i="3"/>
  <c r="BS25" i="3"/>
  <c r="BT20" i="3"/>
  <c r="BT10" i="3"/>
  <c r="BJ5" i="3"/>
  <c r="BS10" i="3"/>
  <c r="BL15" i="7"/>
  <c r="BQ20" i="3"/>
  <c r="BT35" i="7"/>
  <c r="BT30" i="7"/>
  <c r="BN15" i="7"/>
  <c r="BN10" i="7"/>
  <c r="BR5" i="7"/>
  <c r="BN35" i="3"/>
  <c r="BN30" i="3"/>
  <c r="BJ30" i="3"/>
  <c r="BR25" i="3"/>
  <c r="BS20" i="3"/>
  <c r="BT15" i="3"/>
  <c r="BR35" i="7"/>
  <c r="BL30" i="3"/>
  <c r="BS35" i="7"/>
  <c r="BS30" i="7"/>
  <c r="BM15" i="7"/>
  <c r="BM10" i="7"/>
  <c r="BJ10" i="7"/>
  <c r="BQ5" i="7"/>
  <c r="BK5" i="7"/>
  <c r="BM35" i="3"/>
  <c r="BM30" i="3"/>
  <c r="BQ25" i="3"/>
  <c r="BR20" i="3"/>
  <c r="BS15" i="3"/>
  <c r="BR10" i="3"/>
  <c r="BP25" i="3"/>
  <c r="AI6" i="3" l="1"/>
  <c r="BE6" i="3" s="1"/>
  <c r="AJ42" i="3"/>
  <c r="AI32" i="3"/>
  <c r="AI10" i="3"/>
  <c r="AI37" i="3"/>
  <c r="BG30" i="3"/>
  <c r="BE30" i="3"/>
  <c r="BE22" i="3"/>
  <c r="BH5" i="3"/>
  <c r="BE10" i="3"/>
  <c r="AK41" i="3"/>
  <c r="AH40" i="3"/>
  <c r="AI5" i="3"/>
  <c r="BE18" i="3"/>
  <c r="K14" i="3"/>
  <c r="BE14" i="3" s="1"/>
  <c r="BE24" i="3"/>
  <c r="L43" i="3"/>
  <c r="BE12" i="3"/>
  <c r="BG24" i="3"/>
  <c r="BA47" i="3"/>
  <c r="BH25" i="3"/>
  <c r="BH41" i="3" s="1"/>
  <c r="BE28" i="3"/>
  <c r="BB47" i="3"/>
  <c r="C14" i="1" s="1"/>
  <c r="BE16" i="3"/>
  <c r="BH10" i="3"/>
  <c r="J41" i="3"/>
  <c r="BE8" i="3"/>
  <c r="BG12" i="3"/>
  <c r="BG16" i="3"/>
  <c r="BE20" i="3"/>
  <c r="K26" i="3"/>
  <c r="BE26" i="3" s="1"/>
  <c r="BG28" i="3"/>
  <c r="BG29" i="3"/>
  <c r="BE32" i="3"/>
  <c r="BD8" i="5"/>
  <c r="L14" i="5"/>
  <c r="BE13" i="5"/>
  <c r="J12" i="5"/>
  <c r="BE10" i="5"/>
  <c r="M15" i="5"/>
  <c r="BF9" i="5"/>
  <c r="BD14" i="5"/>
  <c r="AY19" i="5"/>
  <c r="C24" i="1" s="1"/>
  <c r="BB5" i="5"/>
  <c r="AY17" i="5"/>
  <c r="AG12" i="6"/>
  <c r="AI12" i="6"/>
  <c r="BD5" i="6"/>
  <c r="AH9" i="6"/>
  <c r="BC9" i="6" s="1"/>
  <c r="BD6" i="6"/>
  <c r="AZ17" i="6"/>
  <c r="K12" i="6"/>
  <c r="K14" i="6"/>
  <c r="BC6" i="6"/>
  <c r="BF9" i="6"/>
  <c r="M15" i="6"/>
  <c r="J15" i="6"/>
  <c r="BE11" i="6"/>
  <c r="BC7" i="6"/>
  <c r="BC11" i="6"/>
  <c r="J12" i="6"/>
  <c r="BB12" i="6" s="1"/>
  <c r="E31" i="1" s="1"/>
  <c r="BE7" i="6"/>
  <c r="BB8" i="6"/>
  <c r="K15" i="6"/>
  <c r="BG22" i="7"/>
  <c r="AI36" i="7"/>
  <c r="AI38" i="7"/>
  <c r="AH40" i="7"/>
  <c r="BG24" i="7"/>
  <c r="BE36" i="7"/>
  <c r="BG28" i="7"/>
  <c r="BG32" i="7"/>
  <c r="BE33" i="7"/>
  <c r="BE12" i="7"/>
  <c r="AH41" i="7"/>
  <c r="K8" i="7"/>
  <c r="BE8" i="7" s="1"/>
  <c r="BE14" i="7"/>
  <c r="BH20" i="7"/>
  <c r="M42" i="7"/>
  <c r="K32" i="7"/>
  <c r="BE32" i="7" s="1"/>
  <c r="BE38" i="7"/>
  <c r="BH10" i="7"/>
  <c r="M43" i="7"/>
  <c r="BE18" i="7"/>
  <c r="BE6" i="7"/>
  <c r="BH15" i="7"/>
  <c r="BH40" i="7" s="1"/>
  <c r="BG19" i="7"/>
  <c r="J41" i="7"/>
  <c r="BE17" i="7"/>
  <c r="BH5" i="7"/>
  <c r="BH43" i="7" s="1"/>
  <c r="BG7" i="7"/>
  <c r="BE10" i="7"/>
  <c r="BG31" i="7"/>
  <c r="BE34" i="7"/>
  <c r="BA47" i="7"/>
  <c r="BE29" i="7"/>
  <c r="BG18" i="7"/>
  <c r="BG30" i="7"/>
  <c r="BB47" i="7"/>
  <c r="C48" i="1" s="1"/>
  <c r="J40" i="7"/>
  <c r="BG6" i="7"/>
  <c r="BE9" i="7"/>
  <c r="BE22" i="7"/>
  <c r="BH30" i="7"/>
  <c r="BH42" i="7" s="1"/>
  <c r="BC47" i="7"/>
  <c r="K20" i="7"/>
  <c r="BE20" i="7" s="1"/>
  <c r="J42" i="7"/>
  <c r="BG35" i="7"/>
  <c r="AZ45" i="7"/>
  <c r="BP41" i="3"/>
  <c r="BM42" i="3"/>
  <c r="F11" i="1" s="1"/>
  <c r="BQ40" i="7"/>
  <c r="BQ43" i="7"/>
  <c r="BS42" i="7"/>
  <c r="BL42" i="3"/>
  <c r="E11" i="1" s="1"/>
  <c r="BR41" i="3"/>
  <c r="BJ42" i="3"/>
  <c r="C11" i="1" s="1"/>
  <c r="BN42" i="3"/>
  <c r="G11" i="1" s="1"/>
  <c r="BT42" i="7"/>
  <c r="BS41" i="3"/>
  <c r="BR42" i="7"/>
  <c r="BT43" i="7"/>
  <c r="BL41" i="7"/>
  <c r="E44" i="1" s="1"/>
  <c r="BM43" i="3"/>
  <c r="F12" i="1" s="1"/>
  <c r="BM40" i="3"/>
  <c r="F9" i="1" s="1"/>
  <c r="BM41" i="7"/>
  <c r="F44" i="1" s="1"/>
  <c r="BN41" i="7"/>
  <c r="G44" i="1" s="1"/>
  <c r="BK42" i="7"/>
  <c r="D45" i="1" s="1"/>
  <c r="BN43" i="3"/>
  <c r="G12" i="1" s="1"/>
  <c r="BN40" i="3"/>
  <c r="G9" i="1" s="1"/>
  <c r="BP43" i="3"/>
  <c r="BL42" i="7"/>
  <c r="E45" i="1" s="1"/>
  <c r="BQ40" i="3"/>
  <c r="I9" i="1" s="1"/>
  <c r="BQ43" i="3"/>
  <c r="BQ41" i="7"/>
  <c r="BM42" i="7"/>
  <c r="F45" i="1" s="1"/>
  <c r="BR40" i="3"/>
  <c r="BR43" i="3"/>
  <c r="BL41" i="3"/>
  <c r="E10" i="1" s="1"/>
  <c r="BL40" i="7"/>
  <c r="E43" i="1" s="1"/>
  <c r="BK41" i="7"/>
  <c r="D44" i="1" s="1"/>
  <c r="BN42" i="7"/>
  <c r="G45" i="1" s="1"/>
  <c r="BJ41" i="3"/>
  <c r="C10" i="1" s="1"/>
  <c r="BM41" i="3"/>
  <c r="F10" i="1" s="1"/>
  <c r="BM40" i="7"/>
  <c r="F43" i="1" s="1"/>
  <c r="BM43" i="7"/>
  <c r="F46" i="1" s="1"/>
  <c r="BS41" i="7"/>
  <c r="BP42" i="7"/>
  <c r="BN41" i="3"/>
  <c r="G10" i="1" s="1"/>
  <c r="BT41" i="7"/>
  <c r="BQ42" i="7"/>
  <c r="AI23" i="3"/>
  <c r="BE23" i="3" s="1"/>
  <c r="BG23" i="3"/>
  <c r="BG38" i="3"/>
  <c r="K38" i="3"/>
  <c r="K42" i="3" s="1"/>
  <c r="BG10" i="5" a="1"/>
  <c r="BG10" i="5" s="1"/>
  <c r="BF10" i="5"/>
  <c r="AH10" i="5"/>
  <c r="BG25" i="3"/>
  <c r="BE29" i="3"/>
  <c r="AI15" i="3"/>
  <c r="BE15" i="3" s="1"/>
  <c r="BH15" i="3" a="1"/>
  <c r="BH15" i="3" s="1"/>
  <c r="BG15" i="3"/>
  <c r="AI27" i="3"/>
  <c r="BE27" i="3" s="1"/>
  <c r="BG27" i="3"/>
  <c r="BE33" i="3"/>
  <c r="BE37" i="3"/>
  <c r="BE9" i="3"/>
  <c r="BR42" i="3"/>
  <c r="BB6" i="5"/>
  <c r="AG15" i="5"/>
  <c r="K13" i="5"/>
  <c r="BC9" i="5"/>
  <c r="AG12" i="5"/>
  <c r="BB12" i="5" s="1"/>
  <c r="AI7" i="3"/>
  <c r="BE7" i="3" s="1"/>
  <c r="BG7" i="3"/>
  <c r="BE13" i="3"/>
  <c r="BE17" i="3"/>
  <c r="L41" i="3"/>
  <c r="BS42" i="3"/>
  <c r="AI31" i="3"/>
  <c r="BG31" i="3"/>
  <c r="BE39" i="3"/>
  <c r="BG9" i="3"/>
  <c r="BE21" i="3"/>
  <c r="M41" i="3"/>
  <c r="BT42" i="3"/>
  <c r="BG33" i="3"/>
  <c r="BG36" i="3"/>
  <c r="AI36" i="3"/>
  <c r="BE36" i="3" s="1"/>
  <c r="BG5" i="5" a="1"/>
  <c r="BG5" i="5" s="1"/>
  <c r="AH5" i="5"/>
  <c r="BF5" i="5"/>
  <c r="AI19" i="3"/>
  <c r="BE19" i="3" s="1"/>
  <c r="BG19" i="3"/>
  <c r="L13" i="5"/>
  <c r="BD9" i="5"/>
  <c r="AI11" i="3"/>
  <c r="BE11" i="3" s="1"/>
  <c r="BG11" i="3"/>
  <c r="K25" i="3"/>
  <c r="K41" i="3" s="1"/>
  <c r="M40" i="3"/>
  <c r="M43" i="3"/>
  <c r="BL43" i="3"/>
  <c r="E12" i="1" s="1"/>
  <c r="BL40" i="3"/>
  <c r="E9" i="1" s="1"/>
  <c r="BG13" i="3"/>
  <c r="BG17" i="3"/>
  <c r="AI35" i="3"/>
  <c r="BE35" i="3" s="1"/>
  <c r="BH35" i="3" a="1"/>
  <c r="BH35" i="3" s="1"/>
  <c r="AH43" i="3"/>
  <c r="C13" i="1"/>
  <c r="BC13" i="5"/>
  <c r="L14" i="6"/>
  <c r="C23" i="1"/>
  <c r="L40" i="3"/>
  <c r="BG21" i="3"/>
  <c r="AH41" i="3"/>
  <c r="BH30" i="3" a="1"/>
  <c r="BH30" i="3" s="1"/>
  <c r="BH42" i="3" s="1"/>
  <c r="K12" i="5"/>
  <c r="K15" i="5"/>
  <c r="AH42" i="3"/>
  <c r="K5" i="3"/>
  <c r="AI41" i="3"/>
  <c r="BE41" i="3" s="1"/>
  <c r="M42" i="3"/>
  <c r="D20" i="1"/>
  <c r="BN43" i="7"/>
  <c r="G46" i="1" s="1"/>
  <c r="BN40" i="7"/>
  <c r="G43" i="1" s="1"/>
  <c r="BG7" i="5" a="1"/>
  <c r="BG7" i="5" s="1"/>
  <c r="BF7" i="5"/>
  <c r="M12" i="5"/>
  <c r="BG5" i="6" a="1"/>
  <c r="BG5" i="6" s="1"/>
  <c r="L43" i="7"/>
  <c r="K42" i="7"/>
  <c r="L42" i="3"/>
  <c r="BG39" i="3"/>
  <c r="BP40" i="3"/>
  <c r="AJ12" i="5"/>
  <c r="BE12" i="5" s="1"/>
  <c r="BF5" i="6"/>
  <c r="BK43" i="7"/>
  <c r="D46" i="1" s="1"/>
  <c r="BK40" i="7"/>
  <c r="D43" i="1" s="1"/>
  <c r="M41" i="7"/>
  <c r="BP41" i="7"/>
  <c r="L42" i="7"/>
  <c r="L15" i="5"/>
  <c r="BD15" i="5" s="1"/>
  <c r="L12" i="5"/>
  <c r="BE5" i="5"/>
  <c r="AH6" i="5"/>
  <c r="BC6" i="5" s="1"/>
  <c r="BG8" i="5" a="1"/>
  <c r="BG8" i="5" s="1"/>
  <c r="BF8" i="5"/>
  <c r="BC11" i="5"/>
  <c r="BG6" i="6" a="1"/>
  <c r="BG6" i="6" s="1"/>
  <c r="BF6" i="6"/>
  <c r="BC10" i="6"/>
  <c r="AH14" i="6"/>
  <c r="BC14" i="6" s="1"/>
  <c r="AY19" i="6"/>
  <c r="BR43" i="7"/>
  <c r="BR40" i="7"/>
  <c r="AH43" i="7"/>
  <c r="BL43" i="7"/>
  <c r="E46" i="1" s="1"/>
  <c r="BE6" i="6"/>
  <c r="AJ15" i="6"/>
  <c r="BE15" i="6" s="1"/>
  <c r="AJ43" i="3"/>
  <c r="AJ40" i="3"/>
  <c r="AK43" i="3"/>
  <c r="AK40" i="3"/>
  <c r="AJ14" i="5"/>
  <c r="BE14" i="5" s="1"/>
  <c r="BE11" i="5"/>
  <c r="J15" i="5"/>
  <c r="BE10" i="6"/>
  <c r="AJ14" i="6"/>
  <c r="BE14" i="6" s="1"/>
  <c r="AY17" i="6"/>
  <c r="AK43" i="7"/>
  <c r="AK40" i="7"/>
  <c r="AJ41" i="7"/>
  <c r="AH42" i="7"/>
  <c r="BR41" i="7"/>
  <c r="BG11" i="5" a="1"/>
  <c r="BG11" i="5" s="1"/>
  <c r="BF11" i="5"/>
  <c r="BG7" i="6" a="1"/>
  <c r="BG7" i="6" s="1"/>
  <c r="BF7" i="6"/>
  <c r="BG10" i="6" a="1"/>
  <c r="BG10" i="6" s="1"/>
  <c r="BF10" i="6"/>
  <c r="BP43" i="7"/>
  <c r="BB8" i="5"/>
  <c r="BS43" i="7"/>
  <c r="BS40" i="7"/>
  <c r="BG20" i="3"/>
  <c r="BE34" i="3"/>
  <c r="BC47" i="3"/>
  <c r="BE25" i="3"/>
  <c r="BT41" i="3"/>
  <c r="BQ42" i="3"/>
  <c r="BB45" i="3"/>
  <c r="BD13" i="5"/>
  <c r="AJ15" i="5"/>
  <c r="BE15" i="5" s="1"/>
  <c r="AJ42" i="7"/>
  <c r="L12" i="6"/>
  <c r="BD12" i="6" s="1"/>
  <c r="L15" i="6"/>
  <c r="BD15" i="6" s="1"/>
  <c r="AJ12" i="6"/>
  <c r="BE12" i="6" s="1"/>
  <c r="BS43" i="3"/>
  <c r="BS40" i="3"/>
  <c r="BP42" i="3"/>
  <c r="BC45" i="3"/>
  <c r="AH7" i="5"/>
  <c r="BC7" i="5" s="1"/>
  <c r="BC5" i="6"/>
  <c r="AH13" i="6"/>
  <c r="BC13" i="6" s="1"/>
  <c r="AG15" i="6"/>
  <c r="BB15" i="6" s="1"/>
  <c r="AK42" i="7"/>
  <c r="AG14" i="6"/>
  <c r="BB14" i="6" s="1"/>
  <c r="BD14" i="6"/>
  <c r="AJ43" i="7"/>
  <c r="AJ40" i="7"/>
  <c r="BQ41" i="3"/>
  <c r="J43" i="3"/>
  <c r="J40" i="3"/>
  <c r="BT43" i="3"/>
  <c r="BT40" i="3"/>
  <c r="BG9" i="5" a="1"/>
  <c r="BG9" i="5" s="1"/>
  <c r="BG13" i="5" s="1"/>
  <c r="AH8" i="6"/>
  <c r="BC8" i="6" s="1"/>
  <c r="BG8" i="6" a="1"/>
  <c r="BG8" i="6" s="1"/>
  <c r="BG11" i="6" a="1"/>
  <c r="BG11" i="6" s="1"/>
  <c r="BF11" i="6"/>
  <c r="BD13" i="6"/>
  <c r="BG6" i="5" a="1"/>
  <c r="BG6" i="5" s="1"/>
  <c r="BB10" i="5"/>
  <c r="AG14" i="5"/>
  <c r="BB14" i="5" s="1"/>
  <c r="BB9" i="6"/>
  <c r="AG13" i="6"/>
  <c r="BB13" i="6" s="1"/>
  <c r="BP40" i="7"/>
  <c r="L40" i="7"/>
  <c r="AG13" i="5"/>
  <c r="BB13" i="5" s="1"/>
  <c r="AJ13" i="6"/>
  <c r="BE13" i="6" s="1"/>
  <c r="K5" i="7"/>
  <c r="BG5" i="7"/>
  <c r="AI7" i="7"/>
  <c r="BE7" i="7" s="1"/>
  <c r="BG9" i="7"/>
  <c r="AI11" i="7"/>
  <c r="BE11" i="7" s="1"/>
  <c r="BG13" i="7"/>
  <c r="AI15" i="7"/>
  <c r="BE15" i="7" s="1"/>
  <c r="BG17" i="7"/>
  <c r="AI19" i="7"/>
  <c r="BE19" i="7" s="1"/>
  <c r="BG21" i="7"/>
  <c r="AI23" i="7"/>
  <c r="BE23" i="7" s="1"/>
  <c r="K25" i="7"/>
  <c r="K41" i="7" s="1"/>
  <c r="BG25" i="7"/>
  <c r="AI27" i="7"/>
  <c r="BG29" i="7"/>
  <c r="AI31" i="7"/>
  <c r="BE31" i="7" s="1"/>
  <c r="BG33" i="7"/>
  <c r="AI35" i="7"/>
  <c r="BE35" i="7" s="1"/>
  <c r="BG37" i="7"/>
  <c r="AI39" i="7"/>
  <c r="BE39" i="7" s="1"/>
  <c r="AI12" i="5"/>
  <c r="BE30" i="7"/>
  <c r="BH25" i="7" a="1"/>
  <c r="BH25" i="7" s="1"/>
  <c r="BH41" i="7" s="1"/>
  <c r="BT40" i="7"/>
  <c r="BK25" i="3"/>
  <c r="BK5" i="3"/>
  <c r="BJ15" i="3"/>
  <c r="BJ5" i="7"/>
  <c r="BK15" i="3"/>
  <c r="BJ15" i="7"/>
  <c r="BJ25" i="7"/>
  <c r="BK35" i="3"/>
  <c r="BJ35" i="7"/>
  <c r="BH40" i="3" l="1"/>
  <c r="BE38" i="3"/>
  <c r="BD12" i="5"/>
  <c r="BJ42" i="7"/>
  <c r="C45" i="1" s="1"/>
  <c r="BK42" i="3"/>
  <c r="D11" i="1" s="1"/>
  <c r="BJ41" i="7"/>
  <c r="C44" i="1" s="1"/>
  <c r="BJ40" i="3"/>
  <c r="C9" i="1" s="1"/>
  <c r="BJ43" i="3"/>
  <c r="C12" i="1" s="1"/>
  <c r="BK41" i="3"/>
  <c r="D10" i="1" s="1"/>
  <c r="J9" i="1"/>
  <c r="K45" i="1"/>
  <c r="H12" i="1"/>
  <c r="J45" i="1"/>
  <c r="I46" i="1"/>
  <c r="L45" i="1"/>
  <c r="I43" i="1"/>
  <c r="I44" i="1"/>
  <c r="J10" i="1"/>
  <c r="I12" i="1"/>
  <c r="I45" i="1"/>
  <c r="H45" i="1"/>
  <c r="K10" i="1"/>
  <c r="J12" i="1"/>
  <c r="K44" i="1"/>
  <c r="H10" i="1"/>
  <c r="L44" i="1"/>
  <c r="L46" i="1"/>
  <c r="D21" i="1"/>
  <c r="J43" i="1"/>
  <c r="D19" i="1"/>
  <c r="BE31" i="3"/>
  <c r="AI42" i="3"/>
  <c r="BE42" i="3" s="1"/>
  <c r="I10" i="1"/>
  <c r="J44" i="1"/>
  <c r="L11" i="1"/>
  <c r="K11" i="1"/>
  <c r="BC10" i="5"/>
  <c r="AH14" i="5"/>
  <c r="BC14" i="5" s="1"/>
  <c r="J46" i="1"/>
  <c r="D32" i="1"/>
  <c r="J11" i="1"/>
  <c r="AI43" i="3"/>
  <c r="H43" i="1"/>
  <c r="AI42" i="7"/>
  <c r="BE42" i="7" s="1"/>
  <c r="E33" i="1"/>
  <c r="K12" i="1"/>
  <c r="AI40" i="7"/>
  <c r="D34" i="1"/>
  <c r="BG12" i="6"/>
  <c r="BG15" i="6"/>
  <c r="BK40" i="3"/>
  <c r="D9" i="1" s="1"/>
  <c r="BK43" i="3"/>
  <c r="D12" i="1" s="1"/>
  <c r="D22" i="1"/>
  <c r="E20" i="1"/>
  <c r="H9" i="1"/>
  <c r="I11" i="1"/>
  <c r="L10" i="1"/>
  <c r="K9" i="1"/>
  <c r="E32" i="1"/>
  <c r="L9" i="1"/>
  <c r="AI43" i="7"/>
  <c r="H44" i="1"/>
  <c r="K43" i="3"/>
  <c r="K40" i="3"/>
  <c r="E34" i="1"/>
  <c r="D31" i="1"/>
  <c r="AI40" i="3"/>
  <c r="BE40" i="3" s="1"/>
  <c r="D33" i="1"/>
  <c r="C20" i="1"/>
  <c r="E19" i="1"/>
  <c r="H11" i="1"/>
  <c r="BG14" i="5"/>
  <c r="L12" i="1"/>
  <c r="C32" i="1"/>
  <c r="BG14" i="6"/>
  <c r="AH15" i="5"/>
  <c r="BC15" i="5" s="1"/>
  <c r="AH12" i="5"/>
  <c r="BC12" i="5" s="1"/>
  <c r="BC5" i="5"/>
  <c r="BE5" i="3"/>
  <c r="C36" i="1"/>
  <c r="C33" i="1"/>
  <c r="BJ43" i="7"/>
  <c r="C46" i="1" s="1"/>
  <c r="BJ40" i="7"/>
  <c r="C43" i="1" s="1"/>
  <c r="L43" i="1"/>
  <c r="AH12" i="6"/>
  <c r="BC12" i="6" s="1"/>
  <c r="BG15" i="5"/>
  <c r="BG12" i="5"/>
  <c r="BH43" i="3"/>
  <c r="K43" i="1"/>
  <c r="K46" i="1"/>
  <c r="H46" i="1"/>
  <c r="E21" i="1"/>
  <c r="BE27" i="7"/>
  <c r="AI41" i="7"/>
  <c r="BE41" i="7" s="1"/>
  <c r="BE5" i="7"/>
  <c r="K40" i="7"/>
  <c r="K43" i="7"/>
  <c r="AH15" i="6"/>
  <c r="BC15" i="6" s="1"/>
  <c r="BB15" i="5"/>
  <c r="BE25" i="7"/>
  <c r="BE43" i="7" l="1"/>
  <c r="BE40" i="7"/>
  <c r="C31" i="1"/>
  <c r="C21" i="1"/>
  <c r="C19" i="1"/>
  <c r="C22" i="1"/>
  <c r="E22" i="1"/>
  <c r="C34" i="1"/>
  <c r="BE43" i="3"/>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<sst xmlns="http://schemas.openxmlformats.org/spreadsheetml/2006/main" count="1459" uniqueCount="575">
  <si>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</si>
  <si>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</si>
  <si>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</si>
  <si>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</si>
  <si>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</si>
  <si>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</si>
  <si>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</si>
  <si>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</si>
  <si>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</si>
  <si>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</si>
  <si>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</si>
  <si>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</si>
  <si>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</si>
  <si>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</si>
  <si>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</si>
  <si>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</si>
  <si>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</si>
  <si>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</si>
  <si>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</si>
  <si>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</si>
  <si>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</si>
  <si>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</si>
  <si>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</si>
  <si>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</si>
  <si>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</si>
  <si>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</si>
  <si>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</si>
  <si>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</si>
  <si>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</si>
  <si>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</si>
  <si>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</si>
  <si>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</si>
  <si>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</si>
  <si>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</si>
  <si>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</si>
  <si>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</si>
  <si>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</si>
  <si>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</si>
  <si>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</si>
  <si>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</si>
  <si>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</si>
  <si>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</si>
  <si>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</si>
  <si>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</si>
  <si>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</si>
  <si>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</si>
  <si>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</si>
  <si>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</si>
  <si>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</si>
  <si>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</si>
  <si>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</si>
  <si>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</si>
  <si>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</si>
  <si>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</si>
  <si>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</si>
  <si>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</si>
  <si>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</si>
  <si>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</si>
  <si>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</si>
  <si>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</si>
  <si>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</si>
  <si>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</si>
  <si>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</si>
  <si>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</si>
  <si>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</si>
  <si>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</si>
  <si>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</si>
  <si>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</si>
  <si>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</si>
  <si>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</si>
  <si>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</si>
  <si>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</si>
  <si>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</si>
  <si>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</si>
  <si>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</si>
  <si>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</si>
  <si>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</si>
  <si>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</si>
  <si>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</si>
  <si>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</si>
  <si>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</si>
  <si>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</si>
  <si>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</si>
  <si>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</si>
  <si>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</si>
  <si>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</si>
  <si>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</si>
  <si>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</si>
  <si>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</si>
  <si>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</si>
  <si>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</si>
  <si>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</si>
  <si>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</si>
  <si>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</si>
  <si>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</si>
  <si>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</si>
  <si>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</si>
  <si>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</si>
  <si>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</si>
  <si>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</si>
  <si>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</si>
  <si>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</si>
  <si>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</si>
  <si>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</si>
  <si>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</si>
  <si>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</si>
  <si>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</si>
  <si>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</si>
  <si>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</si>
  <si>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</si>
  <si>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</si>
  <si>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</si>
  <si>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</si>
  <si>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</si>
  <si>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</si>
  <si>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</si>
  <si>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</si>
  <si>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</si>
  <si>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</si>
  <si>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</si>
  <si>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</si>
  <si>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</si>
  <si>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</si>
  <si>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</si>
  <si>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</si>
  <si>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</si>
  <si>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</si>
  <si>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</si>
  <si>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</si>
  <si>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</si>
  <si>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</si>
  <si>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</si>
  <si>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</si>
  <si>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</si>
  <si>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</si>
  <si>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</si>
  <si>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</si>
  <si>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</si>
  <si>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</si>
  <si>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</si>
  <si>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</si>
  <si>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</si>
  <si>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</si>
  <si>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</si>
  <si>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</si>
  <si>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</si>
  <si>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</si>
  <si>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</si>
  <si>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</si>
  <si>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</si>
  <si>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</si>
  <si>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</si>
  <si>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</si>
  <si>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</si>
  <si>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</si>
  <si>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</si>
  <si>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</si>
  <si>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</si>
  <si>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</si>
  <si>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</si>
  <si>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</si>
  <si>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</si>
  <si>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</si>
  <si>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</si>
  <si>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</si>
  <si>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</si>
  <si>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</si>
  <si>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</si>
  <si>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</si>
  <si>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</si>
  <si>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</si>
  <si>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</si>
  <si>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</si>
  <si>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</si>
  <si>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</si>
  <si>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</si>
  <si>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</si>
  <si>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</si>
  <si>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</si>
  <si>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</si>
  <si>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</si>
  <si>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</si>
  <si>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</si>
  <si>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</si>
  <si>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</si>
  <si>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</si>
  <si>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</si>
  <si>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</si>
  <si>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</si>
  <si>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</si>
  <si>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</si>
  <si>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</si>
  <si>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</si>
  <si>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</si>
  <si>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</si>
  <si>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</si>
  <si>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</si>
  <si>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</si>
  <si>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</si>
  <si>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</si>
  <si>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</si>
  <si>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</si>
  <si>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</si>
  <si>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</si>
  <si>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</si>
  <si>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</si>
  <si>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</si>
  <si>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</si>
  <si>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</si>
  <si>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</si>
  <si>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</si>
  <si>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</si>
  <si>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</si>
  <si>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</si>
  <si>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</si>
  <si>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</si>
  <si>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</si>
  <si>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</si>
  <si>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</si>
  <si>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</si>
  <si>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</si>
  <si>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</si>
  <si>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</si>
  <si>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</si>
  <si>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</si>
  <si>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</si>
  <si>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</si>
  <si>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</si>
  <si>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</si>
  <si>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</si>
  <si>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</si>
  <si>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</si>
  <si>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</si>
  <si>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</si>
  <si>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</si>
  <si>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</si>
  <si>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</si>
  <si>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</si>
  <si>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</si>
  <si>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</si>
  <si>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</si>
  <si>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</si>
  <si>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</si>
  <si>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</si>
  <si>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</si>
  <si>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</si>
  <si>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</si>
  <si>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</si>
  <si>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</si>
  <si>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</si>
  <si>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</si>
  <si>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</si>
  <si>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</si>
  <si>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</si>
  <si>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</si>
  <si>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</si>
  <si>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</si>
  <si>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</si>
  <si>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</si>
  <si>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</si>
  <si>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</si>
  <si>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</si>
  <si>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</si>
  <si>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</si>
  <si>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</si>
  <si>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</si>
  <si>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</si>
  <si>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</si>
  <si>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</si>
  <si>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</si>
  <si>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</si>
  <si>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</si>
  <si>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</si>
  <si>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</si>
  <si>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</si>
  <si>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</si>
  <si>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</si>
  <si>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</si>
  <si>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</si>
  <si>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</si>
  <si>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</si>
  <si>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</si>
  <si>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</si>
  <si>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</si>
  <si>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</si>
  <si>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</si>
  <si>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</si>
  <si>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</si>
  <si>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</si>
  <si>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</si>
  <si>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</si>
  <si>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</si>
  <si>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</si>
  <si>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</si>
  <si>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</si>
  <si>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</si>
  <si>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</si>
  <si>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</si>
  <si>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</si>
  <si>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</si>
  <si>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</si>
  <si>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</si>
  <si>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</si>
  <si>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</si>
  <si>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</si>
  <si>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</si>
  <si>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</si>
  <si>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</si>
  <si>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</si>
  <si>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</si>
  <si>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</si>
  <si>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</si>
  <si>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</si>
  <si>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</si>
  <si>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</si>
  <si>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</si>
  <si>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</si>
  <si>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</si>
  <si>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</si>
  <si>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</si>
  <si>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</si>
  <si>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</si>
  <si>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</si>
  <si>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</si>
  <si>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</si>
  <si>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</si>
  <si>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</si>
  <si>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</si>
  <si>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</si>
  <si>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</si>
  <si>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</si>
  <si>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</si>
  <si>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</si>
  <si>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</si>
  <si>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</si>
  <si>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</si>
  <si>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</si>
  <si>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</si>
  <si>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</si>
  <si>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</si>
  <si>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</si>
  <si>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</si>
  <si>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</si>
  <si>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</si>
  <si>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</si>
  <si>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</si>
  <si>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</si>
  <si>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</si>
  <si>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</si>
  <si>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</si>
  <si>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</si>
  <si>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</si>
  <si>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</si>
  <si>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</si>
  <si>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</si>
  <si>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</si>
  <si>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</si>
  <si>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</si>
  <si>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</si>
  <si>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</si>
  <si>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</si>
  <si>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</si>
  <si>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</si>
  <si>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</si>
  <si>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</si>
  <si>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</si>
  <si>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</si>
  <si>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</si>
  <si>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</si>
  <si>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</si>
  <si>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</si>
  <si>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</si>
  <si>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</si>
  <si>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</si>
  <si>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</si>
  <si>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</si>
  <si>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</si>
  <si>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</si>
  <si>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</si>
  <si>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</si>
  <si>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</si>
  <si>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</si>
  <si>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</si>
  <si>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</si>
  <si>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</si>
  <si>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</si>
  <si>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</si>
  <si>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</si>
  <si>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</si>
  <si>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</si>
  <si>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</si>
  <si>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</si>
  <si>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</si>
  <si>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</si>
  <si>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</si>
  <si>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</si>
  <si>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</si>
  <si>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</si>
  <si>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</si>
  <si>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</si>
  <si>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</si>
  <si>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</si>
  <si>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</si>
  <si>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</si>
  <si>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</si>
  <si>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</si>
  <si>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</si>
  <si>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</si>
  <si>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</si>
  <si>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</si>
  <si>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</si>
  <si>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</si>
  <si>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</si>
  <si>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</si>
  <si>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</si>
  <si>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</si>
  <si>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</si>
  <si>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</si>
  <si>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</si>
  <si>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</si>
  <si>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</si>
  <si>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</si>
  <si>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</si>
  <si>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</si>
  <si>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</si>
  <si>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</si>
  <si>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</si>
  <si>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</si>
  <si>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</si>
  <si>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</si>
  <si>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</si>
  <si>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</si>
  <si>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</si>
  <si>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</si>
  <si>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</si>
  <si>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</si>
  <si>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</si>
  <si>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</si>
  <si>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</si>
  <si>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</si>
  <si>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</si>
  <si>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</si>
  <si>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</si>
  <si>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</si>
  <si>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</si>
  <si>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</si>
  <si>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</si>
  <si>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</si>
  <si>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</si>
  <si>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</si>
  <si>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</si>
  <si>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</si>
  <si>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</si>
  <si>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</si>
  <si>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</si>
  <si>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</si>
  <si>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</si>
  <si>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</si>
  <si>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</si>
  <si>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</si>
  <si>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</si>
  <si>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</si>
  <si>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</si>
  <si>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</si>
  <si>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</si>
  <si>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</si>
  <si>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</si>
  <si>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</si>
  <si>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</si>
  <si>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</si>
  <si>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</si>
  <si>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</si>
  <si>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</si>
  <si>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</si>
  <si>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</si>
  <si>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</si>
  <si>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</si>
  <si>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</si>
  <si>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</si>
  <si>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</si>
  <si>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</si>
  <si>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</si>
  <si>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</si>
  <si>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</si>
  <si>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</si>
  <si>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</si>
  <si>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</si>
  <si>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</si>
  <si>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</si>
  <si>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</si>
  <si>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</si>
  <si>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</si>
  <si>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</si>
  <si>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</si>
  <si>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</si>
  <si>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</si>
  <si>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</si>
  <si>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</si>
  <si>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</si>
  <si>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</si>
  <si>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</si>
  <si>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</si>
  <si>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</si>
  <si>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</si>
  <si>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</si>
  <si>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</si>
  <si>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</si>
  <si>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</si>
  <si>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</si>
  <si>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</si>
  <si>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</si>
  <si>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</si>
  <si>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</si>
  <si>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</si>
  <si>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</si>
  <si>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</si>
  <si>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</si>
  <si>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</si>
  <si>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</si>
  <si>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</si>
  <si>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</si>
  <si>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</si>
  <si>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</si>
  <si>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</si>
  <si>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</si>
  <si>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</si>
  <si>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</si>
  <si>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</si>
  <si>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</si>
  <si>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</si>
  <si>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</si>
  <si>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</si>
  <si>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</si>
  <si>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</si>
  <si>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</si>
  <si>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</si>
  <si>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</si>
  <si>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</si>
  <si>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</si>
  <si>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</si>
  <si>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</si>
  <si>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</si>
  <si>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</si>
  <si>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</si>
  <si>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</si>
  <si>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</si>
  <si>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</si>
  <si>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</si>
  <si>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</si>
  <si>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</si>
  <si>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</si>
  <si>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</si>
  <si>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</si>
  <si>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</si>
  <si>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</si>
  <si>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</si>
  <si>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</si>
  <si>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</si>
  <si>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</si>
  <si>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</si>
  <si>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</si>
  <si>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</si>
  <si>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</si>
  <si>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</si>
  <si>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</si>
  <si>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</si>
  <si>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</si>
  <si>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</si>
  <si>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</si>
  <si>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</si>
  <si>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</si>
  <si>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</si>
  <si>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</si>
  <si>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</si>
  <si>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r19.0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</si>
</sst>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r19.0</c:v>
                </c:pt>
              </c:strCache>
            </c:strRef>
          </c:tx>
          <c:spPr>
            <a:ln>
              <a:prstDash val="solid"/>
            </a:ln>
          </c:spPr>
          <c:marker>
            <c:symbol val="none"/>
          </c:marker>
          <c:xVal>
            <c:numRef>
              <c:f>Graphs!graph_a_x_range_A</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Graphs!graph_a_y_range_A</c:f>
              <c:numCache>
                <c:formatCode>0.00</c:formatCode>
                <c:ptCount val="5"/>
                <c:pt idx="0">
                  <c:v>66.355962500000004</c:v>
                </c:pt>
                <c:pt idx="1">
                  <c:v>68.241950000000003</c:v>
                </c:pt>
                <c:pt idx="2">
                  <c:v>69.679040624999999</c:v>
                </c:pt>
                <c:pt idx="3">
                  <c:v>70.829490625000005</c:v>
                </c:pt>
                <c:pt idx="4">
                  <c:v>71.945081250000001</c:v>
                </c:pt>
              </c:numCache>
            </c:numRef>
          </c:yVal>
          <c:smooth val="1"/>
          <c:extLst>
            <c:ext xmlns:c16="http://schemas.microsoft.com/office/drawing/2014/chart" uri="{C3380CC4-5D6E-409C-BE32-E72D297353CC}">
              <c16:uniqueId val="{00000000-CC7C-4E99-A78A-237B3C8D2B83}"/>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CC7C-4E99-A78A-237B3C8D2B83}"/>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r19.0</c:v>
                </c:pt>
              </c:strCache>
            </c:strRef>
          </c:tx>
          <c:spPr>
            <a:ln>
              <a:prstDash val="solid"/>
            </a:ln>
          </c:spPr>
          <c:marker>
            <c:symbol val="none"/>
          </c:marker>
          <c:xVal>
            <c:numRef>
              <c:f>Graphs!graph_b_x_range_A</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Graphs!graph_b_y_range_A</c:f>
              <c:numCache>
                <c:formatCode>0.00</c:formatCode>
                <c:ptCount val="5"/>
                <c:pt idx="0">
                  <c:v>68.483328125</c:v>
                </c:pt>
                <c:pt idx="1">
                  <c:v>70.429959374999996</c:v>
                </c:pt>
                <c:pt idx="2">
                  <c:v>72.128625</c:v>
                </c:pt>
                <c:pt idx="3">
                  <c:v>73.399412499999997</c:v>
                </c:pt>
                <c:pt idx="4">
                  <c:v>75.324081250000006</c:v>
                </c:pt>
              </c:numCache>
            </c:numRef>
          </c:yVal>
          <c:smooth val="1"/>
          <c:extLst>
            <c:ext xmlns:c16="http://schemas.microsoft.com/office/drawing/2014/chart" uri="{C3380CC4-5D6E-409C-BE32-E72D297353CC}">
              <c16:uniqueId val="{00000000-283D-4E75-9BAC-8AFB7B4F4A7F}"/>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283D-4E75-9BAC-8AFB7B4F4A7F}"/>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r19.0</c:v>
                </c:pt>
              </c:strCache>
            </c:strRef>
          </c:tx>
          <c:spPr>
            <a:ln>
              <a:prstDash val="solid"/>
            </a:ln>
          </c:spPr>
          <c:marker>
            <c:symbol val="none"/>
          </c:marker>
          <c:xVal>
            <c:numRef>
              <c:f>Graphs!graph_c_x_range_A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Graphs!graph_c_y_range_A</c:f>
              <c:numCache>
                <c:formatCode>0.00</c:formatCode>
                <c:ptCount val="5"/>
                <c:pt idx="0">
                  <c:v>32.113043750000003</c:v>
                </c:pt>
                <c:pt idx="1">
                  <c:v>34.357659374999997</c:v>
                </c:pt>
                <c:pt idx="2">
                  <c:v>36.89405</c:v>
                </c:pt>
                <c:pt idx="3">
                  <c:v>39.521596875</c:v>
                </c:pt>
                <c:pt idx="4">
                  <c:v>42.094303125000003</c:v>
                </c:pt>
              </c:numCache>
            </c:numRef>
          </c:yVal>
          <c:smooth val="1"/>
          <c:extLst>
            <c:ext xmlns:c16="http://schemas.microsoft.com/office/drawing/2014/chart" uri="{C3380CC4-5D6E-409C-BE32-E72D297353CC}">
              <c16:uniqueId val="{00000000-C794-4718-842F-697B09782D14}"/>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C794-4718-842F-697B09782D14}"/>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r19.0</c:v>
                </c:pt>
              </c:strCache>
            </c:strRef>
          </c:tx>
          <c:spPr>
            <a:ln>
              <a:prstDash val="solid"/>
            </a:ln>
          </c:spPr>
          <c:marker>
            <c:symbol val="none"/>
          </c:marker>
          <c:xVal>
            <c:numRef>
              <c:f>Graphs!graph_d_x_range_A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Graphs!graph_d_y_range_A</c:f>
              <c:numCache>
                <c:formatCode>0.00</c:formatCode>
                <c:ptCount val="5"/>
                <c:pt idx="0">
                  <c:v>44.188546875</c:v>
                </c:pt>
                <c:pt idx="1">
                  <c:v>45.471753124999999</c:v>
                </c:pt>
                <c:pt idx="2">
                  <c:v>46.603406249999999</c:v>
                </c:pt>
                <c:pt idx="3">
                  <c:v>47.923753124999998</c:v>
                </c:pt>
                <c:pt idx="4">
                  <c:v>49.417631249999999</c:v>
                </c:pt>
              </c:numCache>
            </c:numRef>
          </c:yVal>
          <c:smooth val="1"/>
          <c:extLst>
            <c:ext xmlns:c16="http://schemas.microsoft.com/office/drawing/2014/chart" uri="{C3380CC4-5D6E-409C-BE32-E72D297353CC}">
              <c16:uniqueId val="{00000000-B265-4535-BF2E-027462E0659C}"/>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B265-4535-BF2E-027462E0659C}"/>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r19.0</c:v>
                </c:pt>
              </c:strCache>
            </c:strRef>
          </c:tx>
          <c:spPr>
            <a:ln>
              <a:prstDash val="solid"/>
            </a:ln>
          </c:spPr>
          <c:marker>
            <c:symbol val="none"/>
          </c:marker>
          <c:xVal>
            <c:numRef>
              <c:f>Graphs!graph_e_x_range_A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Graphs!graph_e_y_range_A</c:f>
              <c:numCache>
                <c:formatCode>0.00</c:formatCode>
                <c:ptCount val="5"/>
                <c:pt idx="0">
                  <c:v>43.811181249999997</c:v>
                </c:pt>
                <c:pt idx="1">
                  <c:v>45.224109374999998</c:v>
                </c:pt>
                <c:pt idx="2">
                  <c:v>46.480725</c:v>
                </c:pt>
                <c:pt idx="3">
                  <c:v>47.942937499999999</c:v>
                </c:pt>
                <c:pt idx="4">
                  <c:v>49.554403125</c:v>
                </c:pt>
              </c:numCache>
            </c:numRef>
          </c:yVal>
          <c:smooth val="1"/>
          <c:extLst>
            <c:ext xmlns:c16="http://schemas.microsoft.com/office/drawing/2014/chart" uri="{C3380CC4-5D6E-409C-BE32-E72D297353CC}">
              <c16:uniqueId val="{00000000-0B10-4974-93AC-D8E18BCB0623}"/>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0B10-4974-93AC-D8E18BCB0623}"/>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r19.0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BA5C-43BB-AECD-C857E8954A25}"/>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BA5C-43BB-AECD-C857E8954A25}"/>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D3" sqref="D3"/>
    </sheetView>
  </sheetViews>
  <sheetFormatPr defaultRowHeight="15" x14ac:dyDescent="0.25"/>
  <cols>
    <col min="2" max="2" width="16.7109375" style="53" customWidth="1"/>
    <col min="3" max="12" width="24.7109375" style="53" customWidth="1"/>
  </cols>
  <sheetData>
    <row r="1" spans="2:12" x14ac:dyDescent="0.25">
      <c r="B1" t="s">
        <v>0</v>
      </c>
      <c r="C1" s="67" t="s">
        <v>574</v>
      </c>
      <c r="D1" s="59"/>
      <c r="E1" s="59"/>
    </row>
    <row r="2" spans="2:12" x14ac:dyDescent="0.25">
      <c r="B2" t="s">
        <v>1</v>
      </c>
      <c r="C2" s="68"/>
      <c r="D2" s="68"/>
      <c r="E2" s="68"/>
    </row>
    <row r="4" spans="2:12" s="1" customFormat="1" x14ac:dyDescent="0.25">
      <c r="B4" s="1" t="s">
        <v>2</v>
      </c>
    </row>
    <row r="6" spans="2:12" x14ac:dyDescent="0.25">
      <c r="B6" s="62"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1"/>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58" t="e">
        <f>'C2 lossyG,lossyA,intra'!AZ47</f>
        <v>#NUM!</v>
      </c>
      <c r="D13" s="59"/>
      <c r="E13" s="59"/>
      <c r="F13" s="59"/>
      <c r="G13" s="59"/>
      <c r="H13" s="59"/>
      <c r="I13" s="59"/>
      <c r="J13" s="59"/>
      <c r="K13" s="59"/>
      <c r="L13" s="59"/>
    </row>
    <row r="14" spans="2:12" x14ac:dyDescent="0.25">
      <c r="B14" s="6" t="s">
        <v>19</v>
      </c>
      <c r="C14" s="60" t="e">
        <f>'C2 lossyG,lossyA,intra'!BB47</f>
        <v>#NUM!</v>
      </c>
      <c r="D14" s="61"/>
      <c r="E14" s="61"/>
      <c r="F14" s="61"/>
      <c r="G14" s="61"/>
      <c r="H14" s="61"/>
      <c r="I14" s="61"/>
      <c r="J14" s="61"/>
      <c r="K14" s="61"/>
      <c r="L14" s="61"/>
    </row>
    <row r="16" spans="2:12" x14ac:dyDescent="0.25">
      <c r="B16" s="62" t="s">
        <v>20</v>
      </c>
      <c r="C16" s="63" t="s">
        <v>21</v>
      </c>
      <c r="D16" s="64"/>
      <c r="E16" s="64"/>
    </row>
    <row r="17" spans="2:5" x14ac:dyDescent="0.25">
      <c r="B17" s="59"/>
      <c r="C17" s="65" t="s">
        <v>22</v>
      </c>
      <c r="D17" s="59"/>
      <c r="E17" s="59"/>
    </row>
    <row r="18" spans="2:5" x14ac:dyDescent="0.25">
      <c r="B18" s="61"/>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58" t="e">
        <f>'CW losslG,losslA,intra'!AW19</f>
        <v>#NUM!</v>
      </c>
      <c r="D23" s="59"/>
      <c r="E23" s="59"/>
    </row>
    <row r="24" spans="2:5" x14ac:dyDescent="0.25">
      <c r="B24" s="6" t="s">
        <v>19</v>
      </c>
      <c r="C24" s="60" t="e">
        <f>'CW losslG,losslA,intra'!AY19</f>
        <v>#NUM!</v>
      </c>
      <c r="D24" s="61"/>
      <c r="E24" s="61"/>
    </row>
    <row r="26" spans="2:5" s="1" customFormat="1" x14ac:dyDescent="0.25">
      <c r="B26" s="1" t="s">
        <v>26</v>
      </c>
    </row>
    <row r="28" spans="2:5" x14ac:dyDescent="0.25">
      <c r="B28" s="62" t="s">
        <v>27</v>
      </c>
      <c r="C28" s="63" t="s">
        <v>28</v>
      </c>
      <c r="D28" s="64"/>
      <c r="E28" s="64"/>
    </row>
    <row r="29" spans="2:5" x14ac:dyDescent="0.25">
      <c r="B29" s="59"/>
      <c r="C29" s="65" t="s">
        <v>22</v>
      </c>
      <c r="D29" s="59"/>
      <c r="E29" s="59"/>
    </row>
    <row r="30" spans="2:5" x14ac:dyDescent="0.25">
      <c r="B30" s="61"/>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58" t="e">
        <f>'CW losslG,losslA,interLD'!AW19</f>
        <v>#NUM!</v>
      </c>
      <c r="D35" s="59"/>
      <c r="E35" s="59"/>
    </row>
    <row r="36" spans="2:12" x14ac:dyDescent="0.25">
      <c r="B36" s="6" t="s">
        <v>19</v>
      </c>
      <c r="C36" s="60" t="e">
        <f>'CW losslG,losslA,interLD'!AY19</f>
        <v>#NUM!</v>
      </c>
      <c r="D36" s="61"/>
      <c r="E36" s="61"/>
    </row>
    <row r="38" spans="2:12" s="1" customFormat="1" x14ac:dyDescent="0.25">
      <c r="B38" s="1" t="s">
        <v>29</v>
      </c>
    </row>
    <row r="40" spans="2:12" x14ac:dyDescent="0.25">
      <c r="B40" s="62"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1"/>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58" t="e">
        <f>'C2 lossyG,lossyA,interRA'!AZ47</f>
        <v>#NUM!</v>
      </c>
      <c r="D47" s="59"/>
      <c r="E47" s="59"/>
      <c r="F47" s="59"/>
      <c r="G47" s="59"/>
      <c r="H47" s="59"/>
      <c r="I47" s="59"/>
      <c r="J47" s="59"/>
      <c r="K47" s="59"/>
      <c r="L47" s="59"/>
    </row>
    <row r="48" spans="2:12" x14ac:dyDescent="0.25">
      <c r="B48" s="6" t="s">
        <v>19</v>
      </c>
      <c r="C48" s="60" t="e">
        <f>'C2 lossyG,lossyA,interRA'!BB47</f>
        <v>#NUM!</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P5" sqref="P5"/>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136</v>
      </c>
      <c r="B1" s="59"/>
      <c r="C1" s="59"/>
      <c r="D1" s="59"/>
      <c r="E1" s="59"/>
      <c r="F1" s="59"/>
      <c r="G1" s="59"/>
      <c r="I1" s="67" t="str">
        <f>Summary!$C$1</f>
        <v>r19.0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 t="shared" ref="I5:I39" si="0">IF(OR(ISBLANK(S5),ISBLANK(G5)),"·",S5*G5/F5/1000000)</f>
        <v>2.1789900000000002</v>
      </c>
      <c r="J5" s="12">
        <f t="shared" ref="J5:J39" si="1">IF(ISBLANK(S5),"·",S5/D5)</f>
        <v>9.7597783877396652E-3</v>
      </c>
      <c r="K5" s="12">
        <f t="shared" ref="K5:K39" si="2">IF(N5="","·",N5/D5)</f>
        <v>6.1712629522905514E-3</v>
      </c>
      <c r="L5" s="12">
        <f t="shared" ref="L5:L39" si="3">IF(T5="","·",T5/D5)</f>
        <v>3.5270742356116581E-3</v>
      </c>
      <c r="M5" s="12">
        <f t="shared" ref="M5:M39" si="4">IF(ISBLANK(V5),"·",V5/D5)</f>
        <v>3.5885154354491143E-3</v>
      </c>
      <c r="N5" s="54">
        <f t="shared" ref="N5:N39" si="5">IF(OR(ISBLANK(T5),ISBLANK(U5)),"",T5+U5)</f>
        <v>1469664</v>
      </c>
      <c r="O5" s="12">
        <v>-12</v>
      </c>
      <c r="P5" s="13">
        <v>21771728</v>
      </c>
      <c r="Q5" s="13">
        <v>680366.5</v>
      </c>
      <c r="R5" s="13">
        <v>13458.65625</v>
      </c>
      <c r="S5" s="14">
        <v>2324256</v>
      </c>
      <c r="T5" s="14">
        <v>839960</v>
      </c>
      <c r="U5" s="14">
        <v>629704</v>
      </c>
      <c r="V5" s="14">
        <v>854592</v>
      </c>
      <c r="W5" s="15">
        <v>66.355962500000004</v>
      </c>
      <c r="X5" s="15">
        <v>68.483328125</v>
      </c>
      <c r="Y5" s="15">
        <v>32.113043750000003</v>
      </c>
      <c r="Z5" s="15">
        <v>44.188546875</v>
      </c>
      <c r="AA5" s="15">
        <v>43.811181249999997</v>
      </c>
      <c r="AB5" s="16">
        <v>2228.59</v>
      </c>
      <c r="AC5" s="16">
        <v>0</v>
      </c>
      <c r="AD5" s="16">
        <v>61.863999999999997</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 t="shared" si="0"/>
        <v>3.388665</v>
      </c>
      <c r="J6" s="21">
        <f t="shared" si="1"/>
        <v>1.5177958334040006E-2</v>
      </c>
      <c r="K6" s="21">
        <f t="shared" si="2"/>
        <v>7.5204498900006429E-3</v>
      </c>
      <c r="L6" s="21">
        <f t="shared" si="3"/>
        <v>4.8762611733217491E-3</v>
      </c>
      <c r="M6" s="21">
        <f t="shared" si="4"/>
        <v>7.6575084440393638E-3</v>
      </c>
      <c r="N6" s="18">
        <f t="shared" si="5"/>
        <v>1790968</v>
      </c>
      <c r="O6" s="21">
        <v>-12</v>
      </c>
      <c r="P6" s="22">
        <v>24147688</v>
      </c>
      <c r="Q6" s="22">
        <v>754615.25</v>
      </c>
      <c r="R6" s="22">
        <v>19012.03125</v>
      </c>
      <c r="S6" s="23">
        <v>3614576</v>
      </c>
      <c r="T6" s="23">
        <v>1161264</v>
      </c>
      <c r="U6" s="23">
        <v>629704</v>
      </c>
      <c r="V6" s="23">
        <v>1823608</v>
      </c>
      <c r="W6" s="24">
        <v>68.241950000000003</v>
      </c>
      <c r="X6" s="24">
        <v>70.429959374999996</v>
      </c>
      <c r="Y6" s="24">
        <v>34.357659374999997</v>
      </c>
      <c r="Z6" s="24">
        <v>45.471753124999999</v>
      </c>
      <c r="AA6" s="24">
        <v>45.224109374999998</v>
      </c>
      <c r="AB6" s="25">
        <v>2279.71</v>
      </c>
      <c r="AC6" s="25">
        <v>0</v>
      </c>
      <c r="AD6" s="25">
        <v>66.694000000000003</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 t="shared" si="0"/>
        <v>5.5621875000000003</v>
      </c>
      <c r="J7" s="12">
        <f t="shared" si="1"/>
        <v>2.4913247583080108E-2</v>
      </c>
      <c r="K7" s="12">
        <f t="shared" si="2"/>
        <v>9.4649681254250044E-3</v>
      </c>
      <c r="L7" s="12">
        <f t="shared" si="3"/>
        <v>6.8207794087461106E-3</v>
      </c>
      <c r="M7" s="12">
        <f t="shared" si="4"/>
        <v>1.5448279457655102E-2</v>
      </c>
      <c r="N7" s="54">
        <f t="shared" si="5"/>
        <v>2254048</v>
      </c>
      <c r="O7" s="12">
        <v>-12</v>
      </c>
      <c r="P7" s="13">
        <v>24798303</v>
      </c>
      <c r="Q7" s="13">
        <v>774946.96875</v>
      </c>
      <c r="R7" s="13">
        <v>20946</v>
      </c>
      <c r="S7" s="14">
        <v>5933000</v>
      </c>
      <c r="T7" s="14">
        <v>1624344</v>
      </c>
      <c r="U7" s="14">
        <v>629704</v>
      </c>
      <c r="V7" s="14">
        <v>3678952</v>
      </c>
      <c r="W7" s="15">
        <v>69.679040624999999</v>
      </c>
      <c r="X7" s="15">
        <v>72.128625</v>
      </c>
      <c r="Y7" s="15">
        <v>36.89405</v>
      </c>
      <c r="Z7" s="15">
        <v>46.603406249999999</v>
      </c>
      <c r="AA7" s="15">
        <v>46.480725</v>
      </c>
      <c r="AB7" s="16">
        <v>2321.5300000000002</v>
      </c>
      <c r="AC7" s="16">
        <v>0</v>
      </c>
      <c r="AD7" s="16">
        <v>68.037000000000006</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 t="shared" si="0"/>
        <v>9.4267649999999996</v>
      </c>
      <c r="J8" s="21">
        <f t="shared" si="1"/>
        <v>4.2222835953033611E-2</v>
      </c>
      <c r="K8" s="21">
        <f t="shared" si="2"/>
        <v>1.2729682726957639E-2</v>
      </c>
      <c r="L8" s="21">
        <f t="shared" si="3"/>
        <v>1.0085494010278745E-2</v>
      </c>
      <c r="M8" s="21">
        <f t="shared" si="4"/>
        <v>2.9493153226075972E-2</v>
      </c>
      <c r="N8" s="18">
        <f t="shared" si="5"/>
        <v>3031528</v>
      </c>
      <c r="O8" s="21">
        <v>-12</v>
      </c>
      <c r="P8" s="22">
        <v>25806958</v>
      </c>
      <c r="Q8" s="22">
        <v>806467.4375</v>
      </c>
      <c r="R8" s="22">
        <v>24305.84375</v>
      </c>
      <c r="S8" s="23">
        <v>10055216</v>
      </c>
      <c r="T8" s="23">
        <v>2401824</v>
      </c>
      <c r="U8" s="23">
        <v>629704</v>
      </c>
      <c r="V8" s="23">
        <v>7023688</v>
      </c>
      <c r="W8" s="24">
        <v>70.829490625000005</v>
      </c>
      <c r="X8" s="24">
        <v>73.399412499999997</v>
      </c>
      <c r="Y8" s="24">
        <v>39.521596875</v>
      </c>
      <c r="Z8" s="24">
        <v>47.923753124999998</v>
      </c>
      <c r="AA8" s="24">
        <v>47.942937499999999</v>
      </c>
      <c r="AB8" s="25">
        <v>2420.9699999999998</v>
      </c>
      <c r="AC8" s="25">
        <v>0</v>
      </c>
      <c r="AD8" s="25">
        <v>70.55</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32</v>
      </c>
      <c r="G9" s="28">
        <v>30</v>
      </c>
      <c r="I9" s="29">
        <f t="shared" si="0"/>
        <v>16.8055275</v>
      </c>
      <c r="J9" s="30">
        <f t="shared" si="1"/>
        <v>7.5272591470848707E-2</v>
      </c>
      <c r="K9" s="30">
        <f t="shared" si="2"/>
        <v>2.0658352114183414E-2</v>
      </c>
      <c r="L9" s="30">
        <f t="shared" si="3"/>
        <v>1.5548050022727408E-2</v>
      </c>
      <c r="M9" s="30">
        <f t="shared" si="4"/>
        <v>5.461423935666529E-2</v>
      </c>
      <c r="N9" s="27">
        <f t="shared" si="5"/>
        <v>4919712</v>
      </c>
      <c r="O9" s="30">
        <v>-12</v>
      </c>
      <c r="P9" s="31">
        <v>24863702</v>
      </c>
      <c r="Q9" s="31">
        <v>776990.6875</v>
      </c>
      <c r="R9" s="31">
        <v>10657.0625</v>
      </c>
      <c r="S9" s="32">
        <v>17925896</v>
      </c>
      <c r="T9" s="32">
        <v>3702712</v>
      </c>
      <c r="U9" s="32">
        <v>1217000</v>
      </c>
      <c r="V9" s="32">
        <v>13006184</v>
      </c>
      <c r="W9" s="33">
        <v>71.945081250000001</v>
      </c>
      <c r="X9" s="33">
        <v>75.324081250000006</v>
      </c>
      <c r="Y9" s="33">
        <v>42.094303125000003</v>
      </c>
      <c r="Z9" s="33">
        <v>49.417631249999999</v>
      </c>
      <c r="AA9" s="33">
        <v>49.554403125</v>
      </c>
      <c r="AB9" s="34">
        <v>2584.83</v>
      </c>
      <c r="AC9" s="34">
        <v>0</v>
      </c>
      <c r="AD9" s="34">
        <v>71.355999999999995</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 t="shared" si="0"/>
        <v>3.1803675</v>
      </c>
      <c r="J10" s="21">
        <f t="shared" si="1"/>
        <v>1.555278142052758E-2</v>
      </c>
      <c r="K10" s="21">
        <f t="shared" si="2"/>
        <v>8.0389419385389349E-3</v>
      </c>
      <c r="L10" s="21">
        <f t="shared" si="3"/>
        <v>4.2751636266586089E-3</v>
      </c>
      <c r="M10" s="21">
        <f t="shared" si="4"/>
        <v>7.5138394819886456E-3</v>
      </c>
      <c r="N10" s="18">
        <f t="shared" si="5"/>
        <v>1753464</v>
      </c>
      <c r="O10" s="21">
        <v>-12</v>
      </c>
      <c r="P10" s="22">
        <v>20646708</v>
      </c>
      <c r="Q10" s="22">
        <v>645209.625</v>
      </c>
      <c r="R10" s="22">
        <v>18054.21875</v>
      </c>
      <c r="S10" s="23">
        <v>3392392</v>
      </c>
      <c r="T10" s="23">
        <v>932504</v>
      </c>
      <c r="U10" s="23">
        <v>820960</v>
      </c>
      <c r="V10" s="23">
        <v>1638928</v>
      </c>
      <c r="W10" s="24">
        <v>65.886574999999993</v>
      </c>
      <c r="X10" s="24">
        <v>67.829274999999996</v>
      </c>
      <c r="Y10" s="24">
        <v>32.394371874999997</v>
      </c>
      <c r="Z10" s="24">
        <v>39.164603124999999</v>
      </c>
      <c r="AA10" s="24">
        <v>32.094328124999997</v>
      </c>
      <c r="AB10" s="25">
        <v>2227.2199999999998</v>
      </c>
      <c r="AC10" s="25">
        <v>0</v>
      </c>
      <c r="AD10" s="25">
        <v>61.292000000000002</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 t="shared" si="0"/>
        <v>4.5974775000000001</v>
      </c>
      <c r="J11" s="12">
        <f t="shared" si="1"/>
        <v>2.2482798809663848E-2</v>
      </c>
      <c r="K11" s="12">
        <f t="shared" si="2"/>
        <v>9.7882442829662596E-3</v>
      </c>
      <c r="L11" s="12">
        <f t="shared" si="3"/>
        <v>6.0244659710859336E-3</v>
      </c>
      <c r="M11" s="12">
        <f t="shared" si="4"/>
        <v>1.2694554526697589E-2</v>
      </c>
      <c r="N11" s="54">
        <f t="shared" si="5"/>
        <v>2135024</v>
      </c>
      <c r="O11" s="12">
        <v>-12</v>
      </c>
      <c r="P11" s="13">
        <v>22133832</v>
      </c>
      <c r="Q11" s="13">
        <v>691682.25</v>
      </c>
      <c r="R11" s="13">
        <v>23047.09375</v>
      </c>
      <c r="S11" s="14">
        <v>4903976</v>
      </c>
      <c r="T11" s="14">
        <v>1314064</v>
      </c>
      <c r="U11" s="14">
        <v>820960</v>
      </c>
      <c r="V11" s="14">
        <v>2768952</v>
      </c>
      <c r="W11" s="15">
        <v>67.609459375</v>
      </c>
      <c r="X11" s="15">
        <v>69.693121875000003</v>
      </c>
      <c r="Y11" s="15">
        <v>34.251906249999998</v>
      </c>
      <c r="Z11" s="15">
        <v>40.012206249999998</v>
      </c>
      <c r="AA11" s="15">
        <v>33.863571874999998</v>
      </c>
      <c r="AB11" s="16">
        <v>2292.2399999999998</v>
      </c>
      <c r="AC11" s="16">
        <v>0</v>
      </c>
      <c r="AD11" s="16">
        <v>64.88</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 t="shared" si="0"/>
        <v>7.1139150000000004</v>
      </c>
      <c r="J12" s="21">
        <f t="shared" si="1"/>
        <v>3.4788798791087025E-2</v>
      </c>
      <c r="K12" s="21">
        <f t="shared" si="2"/>
        <v>1.2487220295582215E-2</v>
      </c>
      <c r="L12" s="21">
        <f t="shared" si="3"/>
        <v>8.7234419837018892E-3</v>
      </c>
      <c r="M12" s="21">
        <f t="shared" si="4"/>
        <v>2.2301578495504806E-2</v>
      </c>
      <c r="N12" s="18">
        <f t="shared" si="5"/>
        <v>2723728</v>
      </c>
      <c r="O12" s="21">
        <v>-12</v>
      </c>
      <c r="P12" s="22">
        <v>22504730</v>
      </c>
      <c r="Q12" s="22">
        <v>703272.8125</v>
      </c>
      <c r="R12" s="22">
        <v>24737.1875</v>
      </c>
      <c r="S12" s="23">
        <v>7588176</v>
      </c>
      <c r="T12" s="23">
        <v>1902768</v>
      </c>
      <c r="U12" s="23">
        <v>820960</v>
      </c>
      <c r="V12" s="23">
        <v>4864448</v>
      </c>
      <c r="W12" s="24">
        <v>68.953246875000005</v>
      </c>
      <c r="X12" s="24">
        <v>71.331493750000007</v>
      </c>
      <c r="Y12" s="24">
        <v>36.335381249999998</v>
      </c>
      <c r="Z12" s="24">
        <v>40.939156250000003</v>
      </c>
      <c r="AA12" s="24">
        <v>35.640265624999998</v>
      </c>
      <c r="AB12" s="25">
        <v>2364.2399999999998</v>
      </c>
      <c r="AC12" s="25">
        <v>0</v>
      </c>
      <c r="AD12" s="25">
        <v>66.239999999999995</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 t="shared" si="0"/>
        <v>12.0106275</v>
      </c>
      <c r="J13" s="12">
        <f t="shared" si="1"/>
        <v>5.8734930548396569E-2</v>
      </c>
      <c r="K13" s="12">
        <f t="shared" si="2"/>
        <v>1.7163445273248534E-2</v>
      </c>
      <c r="L13" s="12">
        <f t="shared" si="3"/>
        <v>1.339966696136821E-2</v>
      </c>
      <c r="M13" s="12">
        <f t="shared" si="4"/>
        <v>4.1571485275148028E-2</v>
      </c>
      <c r="N13" s="54">
        <f t="shared" si="5"/>
        <v>3743712</v>
      </c>
      <c r="O13" s="12">
        <v>-12</v>
      </c>
      <c r="P13" s="13">
        <v>23275134</v>
      </c>
      <c r="Q13" s="13">
        <v>727347.9375</v>
      </c>
      <c r="R13" s="13">
        <v>27993.34375</v>
      </c>
      <c r="S13" s="14">
        <v>12811336</v>
      </c>
      <c r="T13" s="14">
        <v>2922752</v>
      </c>
      <c r="U13" s="14">
        <v>820960</v>
      </c>
      <c r="V13" s="14">
        <v>9067624</v>
      </c>
      <c r="W13" s="15">
        <v>70.078087499999995</v>
      </c>
      <c r="X13" s="15">
        <v>72.601275000000001</v>
      </c>
      <c r="Y13" s="15">
        <v>38.662809375000002</v>
      </c>
      <c r="Z13" s="15">
        <v>42.108215625</v>
      </c>
      <c r="AA13" s="15">
        <v>37.696206250000003</v>
      </c>
      <c r="AB13" s="16">
        <v>2472.83</v>
      </c>
      <c r="AC13" s="16">
        <v>0</v>
      </c>
      <c r="AD13" s="16">
        <v>69.596000000000004</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32</v>
      </c>
      <c r="G14" s="38">
        <v>30</v>
      </c>
      <c r="I14" s="39">
        <f t="shared" si="0"/>
        <v>21.562027499999999</v>
      </c>
      <c r="J14" s="40">
        <f t="shared" si="1"/>
        <v>0.10544363212455943</v>
      </c>
      <c r="K14" s="40">
        <f t="shared" si="2"/>
        <v>2.8264354005466372E-2</v>
      </c>
      <c r="L14" s="40">
        <f t="shared" si="3"/>
        <v>2.1175159088815385E-2</v>
      </c>
      <c r="M14" s="40">
        <f t="shared" si="4"/>
        <v>7.7179278119093045E-2</v>
      </c>
      <c r="N14" s="37">
        <f t="shared" si="5"/>
        <v>6165056</v>
      </c>
      <c r="O14" s="40">
        <v>-12</v>
      </c>
      <c r="P14" s="41">
        <v>22108568</v>
      </c>
      <c r="Q14" s="41">
        <v>690892.75</v>
      </c>
      <c r="R14" s="41">
        <v>13255.34375</v>
      </c>
      <c r="S14" s="42">
        <v>22999496</v>
      </c>
      <c r="T14" s="42">
        <v>4618752</v>
      </c>
      <c r="U14" s="42">
        <v>1546304</v>
      </c>
      <c r="V14" s="42">
        <v>16834440</v>
      </c>
      <c r="W14" s="43">
        <v>70.921371875000006</v>
      </c>
      <c r="X14" s="43">
        <v>74.713256250000001</v>
      </c>
      <c r="Y14" s="43">
        <v>40.916131249999999</v>
      </c>
      <c r="Z14" s="43">
        <v>43.428543750000003</v>
      </c>
      <c r="AA14" s="43">
        <v>39.494587500000002</v>
      </c>
      <c r="AB14" s="44">
        <v>2656.17</v>
      </c>
      <c r="AC14" s="44">
        <v>0</v>
      </c>
      <c r="AD14" s="44">
        <v>67.638999999999996</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 t="shared" si="0"/>
        <v>4.4048550000000004</v>
      </c>
      <c r="J15" s="12">
        <f t="shared" si="1"/>
        <v>1.4564978180456744E-2</v>
      </c>
      <c r="K15" s="12">
        <f t="shared" si="2"/>
        <v>8.2289049126006829E-3</v>
      </c>
      <c r="L15" s="12">
        <f t="shared" si="3"/>
        <v>4.3908902932624288E-3</v>
      </c>
      <c r="M15" s="12">
        <f t="shared" si="4"/>
        <v>6.3360732678560631E-3</v>
      </c>
      <c r="N15" s="54">
        <f t="shared" si="5"/>
        <v>2654560</v>
      </c>
      <c r="O15" s="12">
        <v>-12</v>
      </c>
      <c r="P15" s="13">
        <v>30898742</v>
      </c>
      <c r="Q15" s="13">
        <v>965585.6875</v>
      </c>
      <c r="R15" s="13">
        <v>27935.75</v>
      </c>
      <c r="S15" s="14">
        <v>4698512</v>
      </c>
      <c r="T15" s="14">
        <v>1416456</v>
      </c>
      <c r="U15" s="14">
        <v>1238104</v>
      </c>
      <c r="V15" s="14">
        <v>2043952</v>
      </c>
      <c r="W15" s="15">
        <v>65.895415624999998</v>
      </c>
      <c r="X15" s="15">
        <v>67.664487500000007</v>
      </c>
      <c r="Y15" s="15">
        <v>29.421203125000002</v>
      </c>
      <c r="Z15" s="15">
        <v>43.104725000000002</v>
      </c>
      <c r="AA15" s="15">
        <v>43.299262499999998</v>
      </c>
      <c r="AB15" s="16">
        <v>2571.4299999999998</v>
      </c>
      <c r="AC15" s="16">
        <v>0</v>
      </c>
      <c r="AD15" s="16">
        <v>84.222999999999999</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 t="shared" si="0"/>
        <v>7.0023150000000003</v>
      </c>
      <c r="J16" s="21">
        <f t="shared" si="1"/>
        <v>2.3153671389338576E-2</v>
      </c>
      <c r="K16" s="21">
        <f t="shared" si="2"/>
        <v>1.0043048367098536E-2</v>
      </c>
      <c r="L16" s="21">
        <f t="shared" si="3"/>
        <v>6.2050337477602821E-3</v>
      </c>
      <c r="M16" s="21">
        <f t="shared" si="4"/>
        <v>1.311062302224004E-2</v>
      </c>
      <c r="N16" s="18">
        <f t="shared" si="5"/>
        <v>3239784</v>
      </c>
      <c r="O16" s="21">
        <v>-12</v>
      </c>
      <c r="P16" s="22">
        <v>33174723</v>
      </c>
      <c r="Q16" s="22">
        <v>1036710.09375</v>
      </c>
      <c r="R16" s="22">
        <v>34658.125</v>
      </c>
      <c r="S16" s="23">
        <v>7469136</v>
      </c>
      <c r="T16" s="23">
        <v>2001680</v>
      </c>
      <c r="U16" s="23">
        <v>1238104</v>
      </c>
      <c r="V16" s="23">
        <v>4229352</v>
      </c>
      <c r="W16" s="24">
        <v>67.721312499999996</v>
      </c>
      <c r="X16" s="24">
        <v>69.756862499999997</v>
      </c>
      <c r="Y16" s="24">
        <v>31.811240625</v>
      </c>
      <c r="Z16" s="24">
        <v>43.961996874999997</v>
      </c>
      <c r="AA16" s="24">
        <v>44.231640624999997</v>
      </c>
      <c r="AB16" s="25">
        <v>2674.15</v>
      </c>
      <c r="AC16" s="25">
        <v>0</v>
      </c>
      <c r="AD16" s="25">
        <v>78.376000000000005</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 t="shared" si="0"/>
        <v>11.682667500000001</v>
      </c>
      <c r="J17" s="12">
        <f t="shared" si="1"/>
        <v>3.8629602388053901E-2</v>
      </c>
      <c r="K17" s="12">
        <f t="shared" si="2"/>
        <v>1.2780990679107353E-2</v>
      </c>
      <c r="L17" s="12">
        <f t="shared" si="3"/>
        <v>8.9429760597690994E-3</v>
      </c>
      <c r="M17" s="12">
        <f t="shared" si="4"/>
        <v>2.5848611708946544E-2</v>
      </c>
      <c r="N17" s="54">
        <f t="shared" si="5"/>
        <v>4123016</v>
      </c>
      <c r="O17" s="12">
        <v>-12</v>
      </c>
      <c r="P17" s="13">
        <v>33536779</v>
      </c>
      <c r="Q17" s="13">
        <v>1048024.34375</v>
      </c>
      <c r="R17" s="13">
        <v>36443.15625</v>
      </c>
      <c r="S17" s="14">
        <v>12461512</v>
      </c>
      <c r="T17" s="14">
        <v>2884912</v>
      </c>
      <c r="U17" s="14">
        <v>1238104</v>
      </c>
      <c r="V17" s="14">
        <v>8338496</v>
      </c>
      <c r="W17" s="15">
        <v>69.122003125000006</v>
      </c>
      <c r="X17" s="15">
        <v>71.601190625000001</v>
      </c>
      <c r="Y17" s="15">
        <v>34.352246874999999</v>
      </c>
      <c r="Z17" s="15">
        <v>44.816187499999998</v>
      </c>
      <c r="AA17" s="15">
        <v>45.212228125000003</v>
      </c>
      <c r="AB17" s="16">
        <v>2851.32</v>
      </c>
      <c r="AC17" s="16">
        <v>0</v>
      </c>
      <c r="AD17" s="16">
        <v>90.953999999999994</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 t="shared" si="0"/>
        <v>20.167642499999999</v>
      </c>
      <c r="J18" s="21">
        <f t="shared" si="1"/>
        <v>6.6685798502732124E-2</v>
      </c>
      <c r="K18" s="21">
        <f t="shared" si="2"/>
        <v>1.7280179531086338E-2</v>
      </c>
      <c r="L18" s="21">
        <f t="shared" si="3"/>
        <v>1.3442164911748083E-2</v>
      </c>
      <c r="M18" s="21">
        <f t="shared" si="4"/>
        <v>4.940561897164579E-2</v>
      </c>
      <c r="N18" s="18">
        <f t="shared" si="5"/>
        <v>5574408</v>
      </c>
      <c r="O18" s="21">
        <v>-12</v>
      </c>
      <c r="P18" s="22">
        <v>34802045</v>
      </c>
      <c r="Q18" s="22">
        <v>1087563.90625</v>
      </c>
      <c r="R18" s="22">
        <v>40924.21875</v>
      </c>
      <c r="S18" s="23">
        <v>21512152</v>
      </c>
      <c r="T18" s="23">
        <v>4336304</v>
      </c>
      <c r="U18" s="23">
        <v>1238104</v>
      </c>
      <c r="V18" s="23">
        <v>15937744</v>
      </c>
      <c r="W18" s="24">
        <v>70.369831250000004</v>
      </c>
      <c r="X18" s="24">
        <v>72.947381250000007</v>
      </c>
      <c r="Y18" s="24">
        <v>37.033359375000003</v>
      </c>
      <c r="Z18" s="24">
        <v>46.129693750000001</v>
      </c>
      <c r="AA18" s="24">
        <v>46.645259375000002</v>
      </c>
      <c r="AB18" s="25">
        <v>3081.99</v>
      </c>
      <c r="AC18" s="25">
        <v>0</v>
      </c>
      <c r="AD18" s="25">
        <v>95.308000000000007</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32</v>
      </c>
      <c r="G19" s="28">
        <v>30</v>
      </c>
      <c r="I19" s="29">
        <f t="shared" si="0"/>
        <v>35.688764999999997</v>
      </c>
      <c r="J19" s="30">
        <f t="shared" si="1"/>
        <v>0.11800753566518044</v>
      </c>
      <c r="K19" s="30">
        <f t="shared" si="2"/>
        <v>2.7760638014659018E-2</v>
      </c>
      <c r="L19" s="30">
        <f t="shared" si="3"/>
        <v>2.064958651005179E-2</v>
      </c>
      <c r="M19" s="30">
        <f t="shared" si="4"/>
        <v>9.0246897650521421E-2</v>
      </c>
      <c r="N19" s="27">
        <f t="shared" si="5"/>
        <v>8955296</v>
      </c>
      <c r="O19" s="30">
        <v>-12</v>
      </c>
      <c r="P19" s="31">
        <v>33040002</v>
      </c>
      <c r="Q19" s="31">
        <v>1032500.0625</v>
      </c>
      <c r="R19" s="31">
        <v>17720.5</v>
      </c>
      <c r="S19" s="32">
        <v>38068016</v>
      </c>
      <c r="T19" s="32">
        <v>6661344</v>
      </c>
      <c r="U19" s="32">
        <v>2293952</v>
      </c>
      <c r="V19" s="32">
        <v>29112720</v>
      </c>
      <c r="W19" s="33">
        <v>71.147937499999998</v>
      </c>
      <c r="X19" s="33">
        <v>75.002496875000006</v>
      </c>
      <c r="Y19" s="33">
        <v>39.495606250000002</v>
      </c>
      <c r="Z19" s="33">
        <v>47.874012499999999</v>
      </c>
      <c r="AA19" s="33">
        <v>48.468343750000003</v>
      </c>
      <c r="AB19" s="34">
        <v>3336.21</v>
      </c>
      <c r="AC19" s="34">
        <v>0</v>
      </c>
      <c r="AD19" s="34">
        <v>94.096999999999994</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 t="shared" si="0"/>
        <v>5.0936000000000003</v>
      </c>
      <c r="J20" s="21">
        <f t="shared" si="1"/>
        <v>1.3008245782767127E-2</v>
      </c>
      <c r="K20" s="21">
        <f t="shared" si="2"/>
        <v>7.583088895810065E-3</v>
      </c>
      <c r="L20" s="21">
        <f t="shared" si="3"/>
        <v>3.7914646403660202E-3</v>
      </c>
      <c r="M20" s="21">
        <f t="shared" si="4"/>
        <v>5.425156886957062E-3</v>
      </c>
      <c r="N20" s="18">
        <f t="shared" si="5"/>
        <v>1900344</v>
      </c>
      <c r="O20" s="21">
        <v>-12</v>
      </c>
      <c r="P20" s="22">
        <v>30202618</v>
      </c>
      <c r="Q20" s="22">
        <v>943831.8125</v>
      </c>
      <c r="R20" s="22">
        <v>27795.1875</v>
      </c>
      <c r="S20" s="23">
        <v>3259904</v>
      </c>
      <c r="T20" s="23">
        <v>950152</v>
      </c>
      <c r="U20" s="23">
        <v>950192</v>
      </c>
      <c r="V20" s="23">
        <v>1359560</v>
      </c>
      <c r="W20" s="24">
        <v>67.119896874999995</v>
      </c>
      <c r="X20" s="24">
        <v>68.826575000000005</v>
      </c>
      <c r="Y20" s="24">
        <v>30.701740624999999</v>
      </c>
      <c r="Z20" s="24">
        <v>39.504118750000004</v>
      </c>
      <c r="AA20" s="24">
        <v>38.223546874999997</v>
      </c>
      <c r="AB20" s="25">
        <v>2764.18</v>
      </c>
      <c r="AC20" s="25">
        <v>0</v>
      </c>
      <c r="AD20" s="25">
        <v>76.912999999999997</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 t="shared" si="0"/>
        <v>7.5828249999999997</v>
      </c>
      <c r="J21" s="12">
        <f t="shared" si="1"/>
        <v>1.9365331264275001E-2</v>
      </c>
      <c r="K21" s="12">
        <f t="shared" si="2"/>
        <v>9.0187626766045567E-3</v>
      </c>
      <c r="L21" s="12">
        <f t="shared" si="3"/>
        <v>5.2271384211605128E-3</v>
      </c>
      <c r="M21" s="12">
        <f t="shared" si="4"/>
        <v>1.0346568587670442E-2</v>
      </c>
      <c r="N21" s="54">
        <f t="shared" si="5"/>
        <v>2260128</v>
      </c>
      <c r="O21" s="12">
        <v>-12</v>
      </c>
      <c r="P21" s="13">
        <v>31470210</v>
      </c>
      <c r="Q21" s="13">
        <v>983444.0625</v>
      </c>
      <c r="R21" s="13">
        <v>32994.5</v>
      </c>
      <c r="S21" s="14">
        <v>4853008</v>
      </c>
      <c r="T21" s="14">
        <v>1309936</v>
      </c>
      <c r="U21" s="14">
        <v>950192</v>
      </c>
      <c r="V21" s="14">
        <v>2592880</v>
      </c>
      <c r="W21" s="15">
        <v>68.687637499999994</v>
      </c>
      <c r="X21" s="15">
        <v>70.768968749999999</v>
      </c>
      <c r="Y21" s="15">
        <v>32.499071874999998</v>
      </c>
      <c r="Z21" s="15">
        <v>40.637934375</v>
      </c>
      <c r="AA21" s="15">
        <v>39.554534375000003</v>
      </c>
      <c r="AB21" s="16">
        <v>2876.73</v>
      </c>
      <c r="AC21" s="16">
        <v>0</v>
      </c>
      <c r="AD21" s="16">
        <v>81.078999999999994</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 t="shared" si="0"/>
        <v>12.3580875</v>
      </c>
      <c r="J22" s="21">
        <f t="shared" si="1"/>
        <v>3.1560593608634786E-2</v>
      </c>
      <c r="K22" s="21">
        <f t="shared" si="2"/>
        <v>1.1265089515667239E-2</v>
      </c>
      <c r="L22" s="21">
        <f t="shared" si="3"/>
        <v>7.4734652602231949E-3</v>
      </c>
      <c r="M22" s="21">
        <f t="shared" si="4"/>
        <v>2.0295504092967546E-2</v>
      </c>
      <c r="N22" s="18">
        <f t="shared" si="5"/>
        <v>2823064</v>
      </c>
      <c r="O22" s="21">
        <v>-12</v>
      </c>
      <c r="P22" s="22">
        <v>32774469</v>
      </c>
      <c r="Q22" s="22">
        <v>1024202.15625</v>
      </c>
      <c r="R22" s="22">
        <v>35190.1875</v>
      </c>
      <c r="S22" s="23">
        <v>7909176</v>
      </c>
      <c r="T22" s="23">
        <v>1872872</v>
      </c>
      <c r="U22" s="23">
        <v>950192</v>
      </c>
      <c r="V22" s="23">
        <v>5086112</v>
      </c>
      <c r="W22" s="24">
        <v>69.849543749999995</v>
      </c>
      <c r="X22" s="24">
        <v>72.244293749999997</v>
      </c>
      <c r="Y22" s="24">
        <v>34.215484375000003</v>
      </c>
      <c r="Z22" s="24">
        <v>41.679962500000002</v>
      </c>
      <c r="AA22" s="24">
        <v>40.578524999999999</v>
      </c>
      <c r="AB22" s="25">
        <v>2961.11</v>
      </c>
      <c r="AC22" s="25">
        <v>0</v>
      </c>
      <c r="AD22" s="25">
        <v>81.548000000000002</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 t="shared" si="0"/>
        <v>22.005125</v>
      </c>
      <c r="J23" s="12">
        <f t="shared" si="1"/>
        <v>5.619759590083899E-2</v>
      </c>
      <c r="K23" s="12">
        <f t="shared" si="2"/>
        <v>1.5193503892977835E-2</v>
      </c>
      <c r="L23" s="12">
        <f t="shared" si="3"/>
        <v>1.140187963753379E-2</v>
      </c>
      <c r="M23" s="12">
        <f t="shared" si="4"/>
        <v>4.1004092007861155E-2</v>
      </c>
      <c r="N23" s="54">
        <f t="shared" si="5"/>
        <v>3807536</v>
      </c>
      <c r="O23" s="12">
        <v>-12</v>
      </c>
      <c r="P23" s="13">
        <v>32769151</v>
      </c>
      <c r="Q23" s="13">
        <v>1024035.96875</v>
      </c>
      <c r="R23" s="13">
        <v>36890.875</v>
      </c>
      <c r="S23" s="14">
        <v>14083280</v>
      </c>
      <c r="T23" s="14">
        <v>2857344</v>
      </c>
      <c r="U23" s="14">
        <v>950192</v>
      </c>
      <c r="V23" s="14">
        <v>10275744</v>
      </c>
      <c r="W23" s="15">
        <v>70.891781249999994</v>
      </c>
      <c r="X23" s="15">
        <v>73.621353124999999</v>
      </c>
      <c r="Y23" s="15">
        <v>35.690490625000002</v>
      </c>
      <c r="Z23" s="15">
        <v>42.822524999999999</v>
      </c>
      <c r="AA23" s="15">
        <v>41.617903124999998</v>
      </c>
      <c r="AB23" s="16">
        <v>3107.06</v>
      </c>
      <c r="AC23" s="16">
        <v>0</v>
      </c>
      <c r="AD23" s="16">
        <v>83.129000000000005</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32</v>
      </c>
      <c r="G24" s="38">
        <v>50</v>
      </c>
      <c r="I24" s="39">
        <f t="shared" si="0"/>
        <v>38.627387499999998</v>
      </c>
      <c r="J24" s="40">
        <f t="shared" si="1"/>
        <v>9.8648215514800269E-2</v>
      </c>
      <c r="K24" s="40">
        <f t="shared" si="2"/>
        <v>2.5280761824890519E-2</v>
      </c>
      <c r="L24" s="40">
        <f t="shared" si="3"/>
        <v>1.7958835119743291E-2</v>
      </c>
      <c r="M24" s="40">
        <f t="shared" si="4"/>
        <v>7.336745368990974E-2</v>
      </c>
      <c r="N24" s="37">
        <f t="shared" si="5"/>
        <v>6335432</v>
      </c>
      <c r="O24" s="40">
        <v>-12</v>
      </c>
      <c r="P24" s="41">
        <v>31405837</v>
      </c>
      <c r="Q24" s="41">
        <v>981432.40625</v>
      </c>
      <c r="R24" s="41">
        <v>18371.09375</v>
      </c>
      <c r="S24" s="42">
        <v>24721528</v>
      </c>
      <c r="T24" s="42">
        <v>4500536</v>
      </c>
      <c r="U24" s="42">
        <v>1834896</v>
      </c>
      <c r="V24" s="42">
        <v>18386096</v>
      </c>
      <c r="W24" s="43">
        <v>71.729621875000007</v>
      </c>
      <c r="X24" s="43">
        <v>75.643156250000004</v>
      </c>
      <c r="Y24" s="43">
        <v>36.543587500000001</v>
      </c>
      <c r="Z24" s="43">
        <v>43.589959374999999</v>
      </c>
      <c r="AA24" s="43">
        <v>42.051628125000001</v>
      </c>
      <c r="AB24" s="44">
        <v>3283.69</v>
      </c>
      <c r="AC24" s="44">
        <v>0</v>
      </c>
      <c r="AD24" s="44">
        <v>81.42</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 t="shared" si="0"/>
        <v>4.3608675000000003</v>
      </c>
      <c r="J25" s="12">
        <f t="shared" si="1"/>
        <v>1.8584469399341611E-2</v>
      </c>
      <c r="K25" s="12">
        <f t="shared" si="2"/>
        <v>6.4496481989370427E-3</v>
      </c>
      <c r="L25" s="12">
        <f t="shared" si="3"/>
        <v>3.6966041877806209E-3</v>
      </c>
      <c r="M25" s="12">
        <f t="shared" si="4"/>
        <v>1.213482120040457E-2</v>
      </c>
      <c r="N25" s="54">
        <f t="shared" si="5"/>
        <v>1614312</v>
      </c>
      <c r="O25" s="12">
        <v>-12</v>
      </c>
      <c r="P25" s="13">
        <v>23148086</v>
      </c>
      <c r="Q25" s="13">
        <v>723377.6875</v>
      </c>
      <c r="R25" s="13">
        <v>13979.90625</v>
      </c>
      <c r="S25" s="14">
        <v>4651592</v>
      </c>
      <c r="T25" s="14">
        <v>925240</v>
      </c>
      <c r="U25" s="14">
        <v>689072</v>
      </c>
      <c r="V25" s="14">
        <v>3037280</v>
      </c>
      <c r="W25" s="15">
        <v>66.202731249999999</v>
      </c>
      <c r="X25" s="15">
        <v>67.991668750000002</v>
      </c>
      <c r="Y25" s="15">
        <v>27.334187499999999</v>
      </c>
      <c r="Z25" s="15">
        <v>33.179340625000002</v>
      </c>
      <c r="AA25" s="15">
        <v>32.601890625000003</v>
      </c>
      <c r="AB25" s="16">
        <v>2085.7600000000002</v>
      </c>
      <c r="AC25" s="16">
        <v>0</v>
      </c>
      <c r="AD25" s="16">
        <v>65.864999999999995</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 t="shared" si="0"/>
        <v>7.4916749999999999</v>
      </c>
      <c r="J26" s="21">
        <f t="shared" si="1"/>
        <v>3.192685968727841E-2</v>
      </c>
      <c r="K26" s="21">
        <f t="shared" si="2"/>
        <v>7.9828495848144245E-3</v>
      </c>
      <c r="L26" s="21">
        <f t="shared" si="3"/>
        <v>5.2298055736580027E-3</v>
      </c>
      <c r="M26" s="21">
        <f t="shared" si="4"/>
        <v>2.3944010102463983E-2</v>
      </c>
      <c r="N26" s="18">
        <f t="shared" si="5"/>
        <v>1998064</v>
      </c>
      <c r="O26" s="21">
        <v>-12</v>
      </c>
      <c r="P26" s="22">
        <v>24596617</v>
      </c>
      <c r="Q26" s="22">
        <v>768644.28125</v>
      </c>
      <c r="R26" s="22">
        <v>17690.84375</v>
      </c>
      <c r="S26" s="23">
        <v>7991120</v>
      </c>
      <c r="T26" s="23">
        <v>1308992</v>
      </c>
      <c r="U26" s="23">
        <v>689072</v>
      </c>
      <c r="V26" s="23">
        <v>5993056</v>
      </c>
      <c r="W26" s="24">
        <v>67.955109375000006</v>
      </c>
      <c r="X26" s="24">
        <v>69.951062500000006</v>
      </c>
      <c r="Y26" s="24">
        <v>29.714649999999999</v>
      </c>
      <c r="Z26" s="24">
        <v>34.343318750000002</v>
      </c>
      <c r="AA26" s="24">
        <v>33.888874999999999</v>
      </c>
      <c r="AB26" s="25">
        <v>2172.62</v>
      </c>
      <c r="AC26" s="25">
        <v>0</v>
      </c>
      <c r="AD26" s="25">
        <v>69.105000000000004</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 t="shared" si="0"/>
        <v>13.183875</v>
      </c>
      <c r="J27" s="12">
        <f t="shared" si="1"/>
        <v>5.6184995646449909E-2</v>
      </c>
      <c r="K27" s="12">
        <f t="shared" si="2"/>
        <v>1.028832497860461E-2</v>
      </c>
      <c r="L27" s="12">
        <f t="shared" si="3"/>
        <v>7.5352809674481885E-3</v>
      </c>
      <c r="M27" s="12">
        <f t="shared" si="4"/>
        <v>4.58966706678453E-2</v>
      </c>
      <c r="N27" s="54">
        <f t="shared" si="5"/>
        <v>2575112</v>
      </c>
      <c r="O27" s="12">
        <v>-12</v>
      </c>
      <c r="P27" s="13">
        <v>24867879</v>
      </c>
      <c r="Q27" s="13">
        <v>777121.21875</v>
      </c>
      <c r="R27" s="13">
        <v>18587.625</v>
      </c>
      <c r="S27" s="14">
        <v>14062800</v>
      </c>
      <c r="T27" s="14">
        <v>1886040</v>
      </c>
      <c r="U27" s="14">
        <v>689072</v>
      </c>
      <c r="V27" s="14">
        <v>11487688</v>
      </c>
      <c r="W27" s="15">
        <v>69.271965625000007</v>
      </c>
      <c r="X27" s="15">
        <v>71.647043749999995</v>
      </c>
      <c r="Y27" s="15">
        <v>32.215471874999999</v>
      </c>
      <c r="Z27" s="15">
        <v>35.579521874999998</v>
      </c>
      <c r="AA27" s="15">
        <v>35.207475000000002</v>
      </c>
      <c r="AB27" s="16">
        <v>2271.9899999999998</v>
      </c>
      <c r="AC27" s="16">
        <v>0</v>
      </c>
      <c r="AD27" s="16">
        <v>70.695999999999998</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 t="shared" si="0"/>
        <v>24.458400000000001</v>
      </c>
      <c r="J28" s="21">
        <f t="shared" si="1"/>
        <v>0.10423301931481681</v>
      </c>
      <c r="K28" s="21">
        <f t="shared" si="2"/>
        <v>1.4138636049261346E-2</v>
      </c>
      <c r="L28" s="21">
        <f t="shared" si="3"/>
        <v>1.1385592038104924E-2</v>
      </c>
      <c r="M28" s="21">
        <f t="shared" si="4"/>
        <v>9.0094383265555467E-2</v>
      </c>
      <c r="N28" s="18">
        <f t="shared" si="5"/>
        <v>3538824</v>
      </c>
      <c r="O28" s="21">
        <v>-12</v>
      </c>
      <c r="P28" s="22">
        <v>25503045</v>
      </c>
      <c r="Q28" s="22">
        <v>796970.15625</v>
      </c>
      <c r="R28" s="22">
        <v>20905.71875</v>
      </c>
      <c r="S28" s="23">
        <v>26088960</v>
      </c>
      <c r="T28" s="23">
        <v>2849752</v>
      </c>
      <c r="U28" s="23">
        <v>689072</v>
      </c>
      <c r="V28" s="23">
        <v>22550136</v>
      </c>
      <c r="W28" s="24">
        <v>70.438775000000007</v>
      </c>
      <c r="X28" s="24">
        <v>72.973003125000005</v>
      </c>
      <c r="Y28" s="24">
        <v>34.905471875000003</v>
      </c>
      <c r="Z28" s="24">
        <v>37.372971874999998</v>
      </c>
      <c r="AA28" s="24">
        <v>36.936059374999999</v>
      </c>
      <c r="AB28" s="25">
        <v>2482.4</v>
      </c>
      <c r="AC28" s="25">
        <v>0</v>
      </c>
      <c r="AD28" s="25">
        <v>72.942999999999998</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32</v>
      </c>
      <c r="G29" s="28">
        <v>30</v>
      </c>
      <c r="I29" s="29">
        <f t="shared" si="0"/>
        <v>44.156122500000002</v>
      </c>
      <c r="J29" s="30">
        <f t="shared" si="1"/>
        <v>0.18817772092246088</v>
      </c>
      <c r="K29" s="30">
        <f t="shared" si="2"/>
        <v>2.2856395669004135E-2</v>
      </c>
      <c r="L29" s="30">
        <f t="shared" si="3"/>
        <v>1.7621859669339546E-2</v>
      </c>
      <c r="M29" s="30">
        <f t="shared" si="4"/>
        <v>0.16532132525345675</v>
      </c>
      <c r="N29" s="27">
        <f t="shared" si="5"/>
        <v>5720832</v>
      </c>
      <c r="O29" s="30">
        <v>-12</v>
      </c>
      <c r="P29" s="31">
        <v>24554524</v>
      </c>
      <c r="Q29" s="31">
        <v>767328.875</v>
      </c>
      <c r="R29" s="31">
        <v>9745.3125</v>
      </c>
      <c r="S29" s="32">
        <v>47099864</v>
      </c>
      <c r="T29" s="32">
        <v>4410656</v>
      </c>
      <c r="U29" s="32">
        <v>1310176</v>
      </c>
      <c r="V29" s="32">
        <v>41379032</v>
      </c>
      <c r="W29" s="33">
        <v>71.141515624999997</v>
      </c>
      <c r="X29" s="33">
        <v>74.899956250000002</v>
      </c>
      <c r="Y29" s="33">
        <v>37.334449999999997</v>
      </c>
      <c r="Z29" s="33">
        <v>39.404759374999998</v>
      </c>
      <c r="AA29" s="33">
        <v>38.75755625</v>
      </c>
      <c r="AB29" s="34">
        <v>2741.84</v>
      </c>
      <c r="AC29" s="34">
        <v>0</v>
      </c>
      <c r="AD29" s="34">
        <v>73.269000000000005</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 t="shared" si="0"/>
        <v>5.7073349999999996</v>
      </c>
      <c r="J30" s="21">
        <f t="shared" si="1"/>
        <v>1.6215925703917312E-2</v>
      </c>
      <c r="K30" s="21">
        <f t="shared" si="2"/>
        <v>9.8549650477964511E-3</v>
      </c>
      <c r="L30" s="21">
        <f t="shared" si="3"/>
        <v>6.1517883453449237E-3</v>
      </c>
      <c r="M30" s="21">
        <f t="shared" si="4"/>
        <v>6.3609606561208622E-3</v>
      </c>
      <c r="N30" s="18">
        <f t="shared" si="5"/>
        <v>3699776</v>
      </c>
      <c r="O30" s="21">
        <v>-12</v>
      </c>
      <c r="P30" s="22">
        <v>84256321</v>
      </c>
      <c r="Q30" s="22">
        <v>2633010.03125</v>
      </c>
      <c r="R30" s="22">
        <v>31474.3125</v>
      </c>
      <c r="S30" s="23">
        <v>6087824</v>
      </c>
      <c r="T30" s="23">
        <v>2309520</v>
      </c>
      <c r="U30" s="23">
        <v>1390256</v>
      </c>
      <c r="V30" s="23">
        <v>2388048</v>
      </c>
      <c r="W30" s="24">
        <v>73.455471875000001</v>
      </c>
      <c r="X30" s="24">
        <v>75.656628124999997</v>
      </c>
      <c r="Y30" s="24">
        <v>34.718565624999997</v>
      </c>
      <c r="Z30" s="24">
        <v>42.123181250000002</v>
      </c>
      <c r="AA30" s="24">
        <v>43.806659375000002</v>
      </c>
      <c r="AB30" s="25">
        <v>6759.81</v>
      </c>
      <c r="AC30" s="25">
        <v>0</v>
      </c>
      <c r="AD30" s="25">
        <v>235.934</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 t="shared" si="0"/>
        <v>8.1681225000000008</v>
      </c>
      <c r="J31" s="12">
        <f t="shared" si="1"/>
        <v>2.3207621000080659E-2</v>
      </c>
      <c r="K31" s="12">
        <f t="shared" si="2"/>
        <v>1.212575039347864E-2</v>
      </c>
      <c r="L31" s="12">
        <f t="shared" si="3"/>
        <v>8.4225736910271114E-3</v>
      </c>
      <c r="M31" s="12">
        <f t="shared" si="4"/>
        <v>1.1081870606602019E-2</v>
      </c>
      <c r="N31" s="54">
        <f t="shared" si="5"/>
        <v>4552280</v>
      </c>
      <c r="O31" s="12">
        <v>-12</v>
      </c>
      <c r="P31" s="13">
        <v>89796795</v>
      </c>
      <c r="Q31" s="13">
        <v>2806149.84375</v>
      </c>
      <c r="R31" s="13">
        <v>39729</v>
      </c>
      <c r="S31" s="14">
        <v>8712664</v>
      </c>
      <c r="T31" s="14">
        <v>3162024</v>
      </c>
      <c r="U31" s="14">
        <v>1390256</v>
      </c>
      <c r="V31" s="14">
        <v>4160384</v>
      </c>
      <c r="W31" s="15">
        <v>75.159853124999998</v>
      </c>
      <c r="X31" s="15">
        <v>77.549975000000003</v>
      </c>
      <c r="Y31" s="15">
        <v>36.649956250000002</v>
      </c>
      <c r="Z31" s="15">
        <v>42.642428125000002</v>
      </c>
      <c r="AA31" s="15">
        <v>45.044059375000003</v>
      </c>
      <c r="AB31" s="16">
        <v>6996.75</v>
      </c>
      <c r="AC31" s="16">
        <v>0</v>
      </c>
      <c r="AD31" s="16">
        <v>251.79599999999999</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 t="shared" si="0"/>
        <v>12.648232500000001</v>
      </c>
      <c r="J32" s="21">
        <f t="shared" si="1"/>
        <v>3.5936702244720578E-2</v>
      </c>
      <c r="K32" s="21">
        <f t="shared" si="2"/>
        <v>1.5403656944528842E-2</v>
      </c>
      <c r="L32" s="21">
        <f t="shared" si="3"/>
        <v>1.1700480242077314E-2</v>
      </c>
      <c r="M32" s="21">
        <f t="shared" si="4"/>
        <v>2.0533045300191739E-2</v>
      </c>
      <c r="N32" s="18">
        <f t="shared" si="5"/>
        <v>5782880</v>
      </c>
      <c r="O32" s="21">
        <v>-12</v>
      </c>
      <c r="P32" s="22">
        <v>91551049</v>
      </c>
      <c r="Q32" s="22">
        <v>2860970.28125</v>
      </c>
      <c r="R32" s="22">
        <v>42562.1875</v>
      </c>
      <c r="S32" s="23">
        <v>13491448</v>
      </c>
      <c r="T32" s="23">
        <v>4392624</v>
      </c>
      <c r="U32" s="23">
        <v>1390256</v>
      </c>
      <c r="V32" s="23">
        <v>7708568</v>
      </c>
      <c r="W32" s="24">
        <v>76.444221874999997</v>
      </c>
      <c r="X32" s="24">
        <v>79.128053124999994</v>
      </c>
      <c r="Y32" s="24">
        <v>38.397778125000002</v>
      </c>
      <c r="Z32" s="24">
        <v>43.18509375</v>
      </c>
      <c r="AA32" s="24">
        <v>46.227168749999997</v>
      </c>
      <c r="AB32" s="25">
        <v>7267.12</v>
      </c>
      <c r="AC32" s="25">
        <v>0</v>
      </c>
      <c r="AD32" s="25">
        <v>257.178</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 t="shared" si="0"/>
        <v>21.1731075</v>
      </c>
      <c r="J33" s="12">
        <f t="shared" si="1"/>
        <v>6.0157943793566426E-2</v>
      </c>
      <c r="K33" s="12">
        <f t="shared" si="2"/>
        <v>2.0888335636129723E-2</v>
      </c>
      <c r="L33" s="12">
        <f t="shared" si="3"/>
        <v>1.7185158933678193E-2</v>
      </c>
      <c r="M33" s="12">
        <f t="shared" si="4"/>
        <v>3.9269608157436707E-2</v>
      </c>
      <c r="N33" s="54">
        <f t="shared" si="5"/>
        <v>7841952</v>
      </c>
      <c r="O33" s="12">
        <v>-12</v>
      </c>
      <c r="P33" s="13">
        <v>93835548</v>
      </c>
      <c r="Q33" s="13">
        <v>2932360.875</v>
      </c>
      <c r="R33" s="13">
        <v>47386.6875</v>
      </c>
      <c r="S33" s="14">
        <v>22584648</v>
      </c>
      <c r="T33" s="14">
        <v>6451696</v>
      </c>
      <c r="U33" s="14">
        <v>1390256</v>
      </c>
      <c r="V33" s="14">
        <v>14742696</v>
      </c>
      <c r="W33" s="15">
        <v>77.592784374999994</v>
      </c>
      <c r="X33" s="15">
        <v>80.318431250000003</v>
      </c>
      <c r="Y33" s="15">
        <v>39.997946874999997</v>
      </c>
      <c r="Z33" s="15">
        <v>43.895753124999999</v>
      </c>
      <c r="AA33" s="15">
        <v>47.812168749999998</v>
      </c>
      <c r="AB33" s="16">
        <v>7664.82</v>
      </c>
      <c r="AC33" s="16">
        <v>0</v>
      </c>
      <c r="AD33" s="16">
        <v>254.64500000000001</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32</v>
      </c>
      <c r="G34" s="38">
        <v>30</v>
      </c>
      <c r="I34" s="39">
        <f t="shared" si="0"/>
        <v>39.874537500000002</v>
      </c>
      <c r="J34" s="40">
        <f t="shared" si="1"/>
        <v>0.11329325115453444</v>
      </c>
      <c r="K34" s="40">
        <f t="shared" si="2"/>
        <v>3.3539723090520147E-2</v>
      </c>
      <c r="L34" s="40">
        <f t="shared" si="3"/>
        <v>2.6117238528398531E-2</v>
      </c>
      <c r="M34" s="40">
        <f t="shared" si="4"/>
        <v>7.9753528064014298E-2</v>
      </c>
      <c r="N34" s="37">
        <f t="shared" si="5"/>
        <v>12591568</v>
      </c>
      <c r="O34" s="40">
        <v>-12</v>
      </c>
      <c r="P34" s="41">
        <v>91937439</v>
      </c>
      <c r="Q34" s="41">
        <v>2873044.96875</v>
      </c>
      <c r="R34" s="41">
        <v>18769.40625</v>
      </c>
      <c r="S34" s="42">
        <v>42532840</v>
      </c>
      <c r="T34" s="42">
        <v>9805000</v>
      </c>
      <c r="U34" s="42">
        <v>2786568</v>
      </c>
      <c r="V34" s="42">
        <v>29941272</v>
      </c>
      <c r="W34" s="43">
        <v>78.522456250000005</v>
      </c>
      <c r="X34" s="43">
        <v>81.994349999999997</v>
      </c>
      <c r="Y34" s="43">
        <v>41.497012499999997</v>
      </c>
      <c r="Z34" s="43">
        <v>44.695806249999997</v>
      </c>
      <c r="AA34" s="43">
        <v>49.229349999999997</v>
      </c>
      <c r="AB34" s="44">
        <v>8149.05</v>
      </c>
      <c r="AC34" s="44">
        <v>0</v>
      </c>
      <c r="AD34" s="44">
        <v>228.001</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 t="shared" si="0"/>
        <v>6.06663</v>
      </c>
      <c r="J35" s="12">
        <f t="shared" si="1"/>
        <v>1.9421527112361774E-2</v>
      </c>
      <c r="K35" s="12">
        <f t="shared" si="2"/>
        <v>1.1406729315896339E-2</v>
      </c>
      <c r="L35" s="12">
        <f t="shared" si="3"/>
        <v>6.982235929167877E-3</v>
      </c>
      <c r="M35" s="12">
        <f t="shared" si="4"/>
        <v>8.0147977964654341E-3</v>
      </c>
      <c r="N35" s="54">
        <f t="shared" si="5"/>
        <v>3800616</v>
      </c>
      <c r="O35" s="12">
        <v>-12</v>
      </c>
      <c r="P35" s="13">
        <v>74921620</v>
      </c>
      <c r="Q35" s="13">
        <v>2341300.625</v>
      </c>
      <c r="R35" s="13">
        <v>30932.375</v>
      </c>
      <c r="S35" s="14">
        <v>6471072</v>
      </c>
      <c r="T35" s="14">
        <v>2326416</v>
      </c>
      <c r="U35" s="14">
        <v>1474200</v>
      </c>
      <c r="V35" s="14">
        <v>2670456</v>
      </c>
      <c r="W35" s="15">
        <v>73.203850000000003</v>
      </c>
      <c r="X35" s="15">
        <v>75.398612499999999</v>
      </c>
      <c r="Y35" s="15">
        <v>34.001468750000001</v>
      </c>
      <c r="Z35" s="15">
        <v>42.592678124999999</v>
      </c>
      <c r="AA35" s="15">
        <v>44.023828125000001</v>
      </c>
      <c r="AB35" s="16">
        <v>6495.92</v>
      </c>
      <c r="AC35" s="16">
        <v>0</v>
      </c>
      <c r="AD35" s="16">
        <v>216.185</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 t="shared" si="0"/>
        <v>8.6890800000000006</v>
      </c>
      <c r="J36" s="21">
        <f t="shared" si="1"/>
        <v>2.7816959795055978E-2</v>
      </c>
      <c r="K36" s="21">
        <f t="shared" si="2"/>
        <v>1.3988794266696931E-2</v>
      </c>
      <c r="L36" s="21">
        <f t="shared" si="3"/>
        <v>9.5643008799684674E-3</v>
      </c>
      <c r="M36" s="21">
        <f t="shared" si="4"/>
        <v>1.3828165528359047E-2</v>
      </c>
      <c r="N36" s="18">
        <f t="shared" si="5"/>
        <v>4660936</v>
      </c>
      <c r="O36" s="21">
        <v>-12</v>
      </c>
      <c r="P36" s="22">
        <v>79893061</v>
      </c>
      <c r="Q36" s="22">
        <v>2496658.15625</v>
      </c>
      <c r="R36" s="22">
        <v>39014.28125</v>
      </c>
      <c r="S36" s="23">
        <v>9268352</v>
      </c>
      <c r="T36" s="23">
        <v>3186736</v>
      </c>
      <c r="U36" s="23">
        <v>1474200</v>
      </c>
      <c r="V36" s="23">
        <v>4607416</v>
      </c>
      <c r="W36" s="24">
        <v>74.932321875</v>
      </c>
      <c r="X36" s="24">
        <v>77.357500000000002</v>
      </c>
      <c r="Y36" s="24">
        <v>36.099331249999999</v>
      </c>
      <c r="Z36" s="24">
        <v>43.207515624999999</v>
      </c>
      <c r="AA36" s="24">
        <v>45.354918750000003</v>
      </c>
      <c r="AB36" s="25">
        <v>6710.68</v>
      </c>
      <c r="AC36" s="25">
        <v>0</v>
      </c>
      <c r="AD36" s="25">
        <v>232.18</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 t="shared" si="0"/>
        <v>13.277805000000001</v>
      </c>
      <c r="J37" s="12">
        <f t="shared" si="1"/>
        <v>4.2507166219161667E-2</v>
      </c>
      <c r="K37" s="12">
        <f t="shared" si="2"/>
        <v>1.7698093598287796E-2</v>
      </c>
      <c r="L37" s="12">
        <f t="shared" si="3"/>
        <v>1.3273600211559333E-2</v>
      </c>
      <c r="M37" s="12">
        <f t="shared" si="4"/>
        <v>2.4809072620873868E-2</v>
      </c>
      <c r="N37" s="54">
        <f t="shared" si="5"/>
        <v>5896840</v>
      </c>
      <c r="O37" s="12">
        <v>-12</v>
      </c>
      <c r="P37" s="13">
        <v>81688385</v>
      </c>
      <c r="Q37" s="13">
        <v>2552762.03125</v>
      </c>
      <c r="R37" s="13">
        <v>42067.1875</v>
      </c>
      <c r="S37" s="14">
        <v>14162992</v>
      </c>
      <c r="T37" s="14">
        <v>4422640</v>
      </c>
      <c r="U37" s="14">
        <v>1474200</v>
      </c>
      <c r="V37" s="14">
        <v>8266152</v>
      </c>
      <c r="W37" s="15">
        <v>76.246631249999993</v>
      </c>
      <c r="X37" s="15">
        <v>78.965353124999993</v>
      </c>
      <c r="Y37" s="15">
        <v>37.939921875000003</v>
      </c>
      <c r="Z37" s="15">
        <v>43.769646874999999</v>
      </c>
      <c r="AA37" s="15">
        <v>46.505328124999998</v>
      </c>
      <c r="AB37" s="16">
        <v>6675.19</v>
      </c>
      <c r="AC37" s="16">
        <v>0</v>
      </c>
      <c r="AD37" s="16">
        <v>216.64</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 t="shared" si="0"/>
        <v>22.3481475</v>
      </c>
      <c r="J38" s="21">
        <f t="shared" si="1"/>
        <v>7.1544688333112449E-2</v>
      </c>
      <c r="K38" s="21">
        <f t="shared" si="2"/>
        <v>2.3929408183432161E-2</v>
      </c>
      <c r="L38" s="21">
        <f t="shared" si="3"/>
        <v>1.9504914796703698E-2</v>
      </c>
      <c r="M38" s="21">
        <f t="shared" si="4"/>
        <v>4.7615280149680292E-2</v>
      </c>
      <c r="N38" s="18">
        <f t="shared" si="5"/>
        <v>7973056</v>
      </c>
      <c r="O38" s="21">
        <v>-12</v>
      </c>
      <c r="P38" s="22">
        <v>83757654</v>
      </c>
      <c r="Q38" s="22">
        <v>2617426.6875</v>
      </c>
      <c r="R38" s="22">
        <v>46922.8125</v>
      </c>
      <c r="S38" s="23">
        <v>23838024</v>
      </c>
      <c r="T38" s="23">
        <v>6498856</v>
      </c>
      <c r="U38" s="23">
        <v>1474200</v>
      </c>
      <c r="V38" s="23">
        <v>15864968</v>
      </c>
      <c r="W38" s="24">
        <v>77.429118750000001</v>
      </c>
      <c r="X38" s="24">
        <v>80.183162499999995</v>
      </c>
      <c r="Y38" s="24">
        <v>39.696946875000002</v>
      </c>
      <c r="Z38" s="24">
        <v>44.538428125000003</v>
      </c>
      <c r="AA38" s="24">
        <v>47.799215625000002</v>
      </c>
      <c r="AB38" s="25">
        <v>6891.69</v>
      </c>
      <c r="AC38" s="25">
        <v>0</v>
      </c>
      <c r="AD38" s="25">
        <v>209.559</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32</v>
      </c>
      <c r="G39" s="28">
        <v>30</v>
      </c>
      <c r="I39" s="29">
        <f t="shared" si="0"/>
        <v>41.256697500000001</v>
      </c>
      <c r="J39" s="30">
        <f t="shared" si="1"/>
        <v>0.13207795251445337</v>
      </c>
      <c r="K39" s="30">
        <f t="shared" si="2"/>
        <v>3.8445131940646755E-2</v>
      </c>
      <c r="L39" s="30">
        <f t="shared" si="3"/>
        <v>2.9609230766949792E-2</v>
      </c>
      <c r="M39" s="30">
        <f t="shared" si="4"/>
        <v>9.3632820573806605E-2</v>
      </c>
      <c r="N39" s="27">
        <f t="shared" si="5"/>
        <v>12809560</v>
      </c>
      <c r="O39" s="30">
        <v>-12</v>
      </c>
      <c r="P39" s="31">
        <v>81959857</v>
      </c>
      <c r="Q39" s="31">
        <v>2561245.53125</v>
      </c>
      <c r="R39" s="31">
        <v>18607.15625</v>
      </c>
      <c r="S39" s="32">
        <v>44007144</v>
      </c>
      <c r="T39" s="32">
        <v>9865520</v>
      </c>
      <c r="U39" s="32">
        <v>2944040</v>
      </c>
      <c r="V39" s="32">
        <v>31197584</v>
      </c>
      <c r="W39" s="33">
        <v>78.310249999999996</v>
      </c>
      <c r="X39" s="33">
        <v>81.8757375</v>
      </c>
      <c r="Y39" s="33">
        <v>41.294162499999999</v>
      </c>
      <c r="Z39" s="33">
        <v>45.540025</v>
      </c>
      <c r="AA39" s="33">
        <v>49.134646875000001</v>
      </c>
      <c r="AB39" s="34">
        <v>7351.81</v>
      </c>
      <c r="AC39" s="34">
        <v>0</v>
      </c>
      <c r="AD39" s="34">
        <v>199.77199999999999</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4.4208546081002734E-2</v>
      </c>
      <c r="K40" s="48">
        <f>AVERAGE(K5:K24)</f>
        <v>1.3836094495758086E-2</v>
      </c>
      <c r="L40" s="48">
        <f>AVERAGE(L5:L24)</f>
        <v>9.6969495541967075E-3</v>
      </c>
      <c r="M40" s="48">
        <f>AVERAGE(M5:M24)</f>
        <v>3.0372451585244636E-2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7.9821412994069529E-2</v>
      </c>
      <c r="K41" s="48">
        <f>AVERAGE(K25:K29)</f>
        <v>1.2343170896124311E-2</v>
      </c>
      <c r="L41" s="48">
        <f>AVERAGE(L25:L29)</f>
        <v>9.0938284872662568E-3</v>
      </c>
      <c r="M41" s="48">
        <f>AVERAGE(M25:M29)</f>
        <v>6.7478242097945215E-2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5.4217973787096474E-2</v>
      </c>
      <c r="K42" s="48">
        <f>AVERAGE(K30:K39)</f>
        <v>1.9728058841741378E-2</v>
      </c>
      <c r="L42" s="48">
        <f>AVERAGE(L30:L39)</f>
        <v>1.4851152232487525E-2</v>
      </c>
      <c r="M42" s="48">
        <f>AVERAGE(M30:M39)</f>
        <v>3.4489914945355089E-2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5.2155934984610471E-2</v>
      </c>
      <c r="K43" s="48">
        <f>AVERAGE(K5:K39)</f>
        <v>1.5306238080377057E-2</v>
      </c>
      <c r="L43" s="48">
        <f>AVERAGE(L5:L39)</f>
        <v>1.1083418738432587E-2</v>
      </c>
      <c r="M43" s="48">
        <f>AVERAGE(M5:M39)</f>
        <v>3.6849696904233419E-2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136073.65</v>
      </c>
      <c r="AC44" s="49">
        <f>SUM(AC5:AC24,AC25:AC29,AC30:AC39)</f>
        <v>0</v>
      </c>
      <c r="AD44" s="49">
        <f>SUM(AD5:AD24,AD25:AD29,AD30:AD39)</f>
        <v>4168.9629999999997</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3444.2593271749806</v>
      </c>
      <c r="AC46" s="49" t="e">
        <f>GEOMEAN(AC5:AC24,AC25:AC29,AC30:AC39)</f>
        <v>#NUM!</v>
      </c>
      <c r="AD46" s="49">
        <f>GEOMEAN(AD5:AD24,AD25:AD29,AD30:AD39)</f>
        <v>102.35082796723032</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P5" sqref="P5"/>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564</v>
      </c>
      <c r="B1" s="59"/>
      <c r="C1" s="59"/>
      <c r="D1" s="59"/>
      <c r="E1" s="59"/>
      <c r="F1" s="59"/>
      <c r="H1" s="67" t="str">
        <f>Summary!$C$1</f>
        <v>r19.0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1.7211719529643801E-2</v>
      </c>
      <c r="I5" s="11">
        <f t="shared" ref="I5:I11" si="1">IF(OR(ISBLANK(Q5),ISBLANK(F5)),"·",Q5*F5/E5/1000000)</f>
        <v>207.5072625</v>
      </c>
      <c r="J5" s="12">
        <f t="shared" ref="J5:J11" si="2">IF(ISBLANK(Q5),"·",Q5/C5)</f>
        <v>0.9294328546007653</v>
      </c>
      <c r="K5" s="12">
        <f t="shared" ref="K5:K11" si="3">IF(N5="","·",N5/C5)</f>
        <v>0.14058542671763605</v>
      </c>
      <c r="L5" s="12">
        <f t="shared" ref="L5:L11" si="4">IF(R5="","·",R5/C5)</f>
        <v>0.1316834736328211</v>
      </c>
      <c r="M5" s="12">
        <f t="shared" ref="M5:M11" si="5">IF(ISBLANK(T5),"·",T5/C5)</f>
        <v>0.78884742788312923</v>
      </c>
      <c r="N5" s="54">
        <f t="shared" ref="N5:N11" si="6">IF(OR(ISBLANK(R5),ISBLANK(S5)),"",R5+S5)</f>
        <v>33479912</v>
      </c>
      <c r="O5" s="12">
        <v>-12</v>
      </c>
      <c r="P5" s="13">
        <v>24964341</v>
      </c>
      <c r="Q5" s="14">
        <v>221341080</v>
      </c>
      <c r="R5" s="14">
        <v>31359944</v>
      </c>
      <c r="S5" s="14">
        <v>2119968</v>
      </c>
      <c r="T5" s="14">
        <v>187861168</v>
      </c>
      <c r="U5" s="15" t="s">
        <v>571</v>
      </c>
      <c r="V5" s="15" t="s">
        <v>571</v>
      </c>
      <c r="W5" s="15" t="s">
        <v>571</v>
      </c>
      <c r="X5" s="15" t="s">
        <v>571</v>
      </c>
      <c r="Y5" s="15" t="s">
        <v>571</v>
      </c>
      <c r="Z5" s="16">
        <v>5953.19</v>
      </c>
      <c r="AA5" s="16">
        <v>0</v>
      </c>
      <c r="AB5" s="16">
        <v>61.756999999999998</v>
      </c>
      <c r="AC5" s="16">
        <v>0</v>
      </c>
      <c r="AE5" s="17">
        <f t="shared" ref="AE5:AE11" si="7">IF(ISBLANK(Q5),"·",Q5/(C5*(D5*3+IF(AND(ISNUMBER(T5),T5&gt;0),24,0))))</f>
        <v>1.7211719529643801E-2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2.4578831185938257E-2</v>
      </c>
      <c r="I6" s="20">
        <f t="shared" si="1"/>
        <v>271.40898750000002</v>
      </c>
      <c r="J6" s="21">
        <f t="shared" si="2"/>
        <v>1.3272568840406658</v>
      </c>
      <c r="K6" s="21">
        <f t="shared" si="3"/>
        <v>0.17158493898544736</v>
      </c>
      <c r="L6" s="21">
        <f t="shared" si="4"/>
        <v>0.15635689439178968</v>
      </c>
      <c r="M6" s="21">
        <f t="shared" si="5"/>
        <v>1.1556719450552184</v>
      </c>
      <c r="N6" s="18">
        <f t="shared" si="6"/>
        <v>37426320</v>
      </c>
      <c r="O6" s="21">
        <v>-12</v>
      </c>
      <c r="P6" s="22">
        <v>22654789</v>
      </c>
      <c r="Q6" s="23">
        <v>289502920</v>
      </c>
      <c r="R6" s="23">
        <v>34104760</v>
      </c>
      <c r="S6" s="23">
        <v>3321560</v>
      </c>
      <c r="T6" s="23">
        <v>252076600</v>
      </c>
      <c r="U6" s="24" t="s">
        <v>571</v>
      </c>
      <c r="V6" s="24" t="s">
        <v>571</v>
      </c>
      <c r="W6" s="24" t="s">
        <v>571</v>
      </c>
      <c r="X6" s="24" t="s">
        <v>571</v>
      </c>
      <c r="Y6" s="24" t="s">
        <v>571</v>
      </c>
      <c r="Z6" s="25">
        <v>5909.19</v>
      </c>
      <c r="AA6" s="25">
        <v>0</v>
      </c>
      <c r="AB6" s="25">
        <v>61.710999999999999</v>
      </c>
      <c r="AC6" s="25">
        <v>0</v>
      </c>
      <c r="AE6" s="26">
        <f t="shared" si="7"/>
        <v>2.4578831185938257E-2</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1.9413980038476598E-2</v>
      </c>
      <c r="I7" s="11">
        <f t="shared" si="1"/>
        <v>317.05172249999998</v>
      </c>
      <c r="J7" s="12">
        <f t="shared" si="2"/>
        <v>1.0483549220777362</v>
      </c>
      <c r="K7" s="12">
        <f t="shared" si="3"/>
        <v>0.16736938386601452</v>
      </c>
      <c r="L7" s="12">
        <f t="shared" si="4"/>
        <v>0.15462308741261005</v>
      </c>
      <c r="M7" s="12">
        <f t="shared" si="5"/>
        <v>0.88098553821172176</v>
      </c>
      <c r="N7" s="54">
        <f t="shared" si="6"/>
        <v>53991640</v>
      </c>
      <c r="O7" s="12">
        <v>-12</v>
      </c>
      <c r="P7" s="13">
        <v>33947718</v>
      </c>
      <c r="Q7" s="14">
        <v>338188504</v>
      </c>
      <c r="R7" s="14">
        <v>49879816</v>
      </c>
      <c r="S7" s="14">
        <v>4111824</v>
      </c>
      <c r="T7" s="14">
        <v>284196864</v>
      </c>
      <c r="U7" s="15" t="s">
        <v>571</v>
      </c>
      <c r="V7" s="15" t="s">
        <v>571</v>
      </c>
      <c r="W7" s="15" t="s">
        <v>571</v>
      </c>
      <c r="X7" s="15" t="s">
        <v>571</v>
      </c>
      <c r="Y7" s="15" t="s">
        <v>571</v>
      </c>
      <c r="Z7" s="16">
        <v>8171.92</v>
      </c>
      <c r="AA7" s="16">
        <v>0</v>
      </c>
      <c r="AB7" s="16">
        <v>81.507999999999996</v>
      </c>
      <c r="AC7" s="16">
        <v>0</v>
      </c>
      <c r="AE7" s="17">
        <f t="shared" si="7"/>
        <v>1.9413980038476598E-2</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32</v>
      </c>
      <c r="F8" s="38">
        <v>50</v>
      </c>
      <c r="H8" s="46">
        <f t="shared" si="0"/>
        <v>1.9469298614430263E-2</v>
      </c>
      <c r="I8" s="39">
        <f t="shared" si="1"/>
        <v>411.67090000000002</v>
      </c>
      <c r="J8" s="40">
        <f t="shared" si="2"/>
        <v>1.0513421251792343</v>
      </c>
      <c r="K8" s="40">
        <f t="shared" si="3"/>
        <v>0.15718800307056313</v>
      </c>
      <c r="L8" s="40">
        <f t="shared" si="4"/>
        <v>0.1371094477916458</v>
      </c>
      <c r="M8" s="40">
        <f t="shared" si="5"/>
        <v>0.89415412210867118</v>
      </c>
      <c r="N8" s="37">
        <f t="shared" si="6"/>
        <v>39391768</v>
      </c>
      <c r="O8" s="40">
        <v>-12</v>
      </c>
      <c r="P8" s="41">
        <v>32209643</v>
      </c>
      <c r="Q8" s="42">
        <v>263469376</v>
      </c>
      <c r="R8" s="42">
        <v>34360024</v>
      </c>
      <c r="S8" s="42">
        <v>5031744</v>
      </c>
      <c r="T8" s="42">
        <v>224077608</v>
      </c>
      <c r="U8" s="43" t="s">
        <v>571</v>
      </c>
      <c r="V8" s="43" t="s">
        <v>571</v>
      </c>
      <c r="W8" s="43" t="s">
        <v>571</v>
      </c>
      <c r="X8" s="43" t="s">
        <v>571</v>
      </c>
      <c r="Y8" s="43" t="s">
        <v>571</v>
      </c>
      <c r="Z8" s="44">
        <v>6704.71</v>
      </c>
      <c r="AA8" s="44">
        <v>0</v>
      </c>
      <c r="AB8" s="44">
        <v>70.311999999999998</v>
      </c>
      <c r="AC8" s="44">
        <v>0</v>
      </c>
      <c r="AE8" s="46">
        <f t="shared" si="7"/>
        <v>1.9469298614430263E-2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32</v>
      </c>
      <c r="F9" s="28">
        <v>30</v>
      </c>
      <c r="H9" s="36">
        <f t="shared" si="0"/>
        <v>2.7981031537440922E-2</v>
      </c>
      <c r="I9" s="29">
        <f t="shared" si="1"/>
        <v>354.55221749999998</v>
      </c>
      <c r="J9" s="30">
        <f t="shared" si="2"/>
        <v>1.5109757030218096</v>
      </c>
      <c r="K9" s="30">
        <f t="shared" si="3"/>
        <v>0.1471592381492301</v>
      </c>
      <c r="L9" s="30">
        <f t="shared" si="4"/>
        <v>0.13754563812332143</v>
      </c>
      <c r="M9" s="30">
        <f t="shared" si="5"/>
        <v>1.3638164648725797</v>
      </c>
      <c r="N9" s="27">
        <f t="shared" si="6"/>
        <v>36833160</v>
      </c>
      <c r="O9" s="30">
        <v>-12</v>
      </c>
      <c r="P9" s="31">
        <v>25312408</v>
      </c>
      <c r="Q9" s="32">
        <v>378189032</v>
      </c>
      <c r="R9" s="32">
        <v>34426928</v>
      </c>
      <c r="S9" s="32">
        <v>2406232</v>
      </c>
      <c r="T9" s="32">
        <v>341355872</v>
      </c>
      <c r="U9" s="33" t="s">
        <v>571</v>
      </c>
      <c r="V9" s="33" t="s">
        <v>571</v>
      </c>
      <c r="W9" s="33" t="s">
        <v>571</v>
      </c>
      <c r="X9" s="33" t="s">
        <v>571</v>
      </c>
      <c r="Y9" s="33" t="s">
        <v>571</v>
      </c>
      <c r="Z9" s="34">
        <v>6228.92</v>
      </c>
      <c r="AA9" s="34">
        <v>0</v>
      </c>
      <c r="AB9" s="34">
        <v>67.102999999999994</v>
      </c>
      <c r="AC9" s="34">
        <v>0</v>
      </c>
      <c r="AE9" s="36">
        <f t="shared" si="7"/>
        <v>2.7981031537440922E-2</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4.2389343831376353E-2</v>
      </c>
      <c r="I10" s="20">
        <f t="shared" si="1"/>
        <v>850.39983749999999</v>
      </c>
      <c r="J10" s="21">
        <f t="shared" si="2"/>
        <v>2.4161925983884522</v>
      </c>
      <c r="K10" s="21">
        <f t="shared" si="3"/>
        <v>0.2667798269831636</v>
      </c>
      <c r="L10" s="21">
        <f t="shared" si="4"/>
        <v>0.25450793725520032</v>
      </c>
      <c r="M10" s="21">
        <f t="shared" si="5"/>
        <v>2.1494127714052884</v>
      </c>
      <c r="N10" s="18">
        <f t="shared" si="6"/>
        <v>100155160</v>
      </c>
      <c r="O10" s="21">
        <v>-12</v>
      </c>
      <c r="P10" s="22">
        <v>92854683</v>
      </c>
      <c r="Q10" s="23">
        <v>907093160</v>
      </c>
      <c r="R10" s="23">
        <v>95548016</v>
      </c>
      <c r="S10" s="23">
        <v>4607144</v>
      </c>
      <c r="T10" s="23">
        <v>806938000</v>
      </c>
      <c r="U10" s="24" t="s">
        <v>571</v>
      </c>
      <c r="V10" s="24" t="s">
        <v>571</v>
      </c>
      <c r="W10" s="24" t="s">
        <v>571</v>
      </c>
      <c r="X10" s="24" t="s">
        <v>571</v>
      </c>
      <c r="Y10" s="24" t="s">
        <v>571</v>
      </c>
      <c r="Z10" s="25">
        <v>19580.2</v>
      </c>
      <c r="AA10" s="25">
        <v>0</v>
      </c>
      <c r="AB10" s="25">
        <v>221.995</v>
      </c>
      <c r="AC10" s="25">
        <v>0</v>
      </c>
      <c r="AE10" s="26">
        <f t="shared" si="7"/>
        <v>4.2389343831376353E-2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32</v>
      </c>
      <c r="F11" s="28">
        <v>30</v>
      </c>
      <c r="H11" s="36">
        <f t="shared" si="0"/>
        <v>4.3563876525636404E-2</v>
      </c>
      <c r="I11" s="29">
        <f t="shared" si="1"/>
        <v>775.64948249999998</v>
      </c>
      <c r="J11" s="30">
        <f t="shared" si="2"/>
        <v>2.4831409619612748</v>
      </c>
      <c r="K11" s="30">
        <f t="shared" si="3"/>
        <v>0.28585022074251298</v>
      </c>
      <c r="L11" s="30">
        <f t="shared" si="4"/>
        <v>0.27165426582493724</v>
      </c>
      <c r="M11" s="30">
        <f t="shared" si="5"/>
        <v>2.1972907412187621</v>
      </c>
      <c r="N11" s="27">
        <f t="shared" si="6"/>
        <v>95242632</v>
      </c>
      <c r="O11" s="30">
        <v>-12</v>
      </c>
      <c r="P11" s="31">
        <v>83104648</v>
      </c>
      <c r="Q11" s="32">
        <v>827359448</v>
      </c>
      <c r="R11" s="32">
        <v>90512672</v>
      </c>
      <c r="S11" s="32">
        <v>4729960</v>
      </c>
      <c r="T11" s="32">
        <v>732116816</v>
      </c>
      <c r="U11" s="33" t="s">
        <v>571</v>
      </c>
      <c r="V11" s="33" t="s">
        <v>571</v>
      </c>
      <c r="W11" s="33" t="s">
        <v>571</v>
      </c>
      <c r="X11" s="33" t="s">
        <v>571</v>
      </c>
      <c r="Y11" s="33" t="s">
        <v>571</v>
      </c>
      <c r="Z11" s="34">
        <v>18279.7</v>
      </c>
      <c r="AA11" s="34">
        <v>0</v>
      </c>
      <c r="AB11" s="34">
        <v>203.29</v>
      </c>
      <c r="AC11" s="34">
        <v>0</v>
      </c>
      <c r="AE11" s="36">
        <f t="shared" si="7"/>
        <v>4.3563876525636404E-2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1.0890966964746005</v>
      </c>
      <c r="K12" s="48">
        <f>AVERAGE(K5:K8)</f>
        <v>0.15918193815991527</v>
      </c>
      <c r="L12" s="48">
        <f>AVERAGE(L5:L8)</f>
        <v>0.14494322580721664</v>
      </c>
      <c r="M12" s="48">
        <f>AVERAGE(M5:M8)</f>
        <v>0.92991475831468517</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1.5109757030218096</v>
      </c>
      <c r="K13" s="48">
        <f>AVERAGE(K9:K9)</f>
        <v>0.1471592381492301</v>
      </c>
      <c r="L13" s="48">
        <f>AVERAGE(L9:L9)</f>
        <v>0.13754563812332143</v>
      </c>
      <c r="M13" s="48">
        <f>AVERAGE(M9:M9)</f>
        <v>1.3638164648725797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2.4496667801748635</v>
      </c>
      <c r="K14" s="48">
        <f>AVERAGE(K10:K11)</f>
        <v>0.27631502386283829</v>
      </c>
      <c r="L14" s="48">
        <f>AVERAGE(L10:L11)</f>
        <v>0.26308110154006881</v>
      </c>
      <c r="M14" s="48">
        <f>AVERAGE(M10:M11)</f>
        <v>2.1733517563120253</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1.5380994356099913</v>
      </c>
      <c r="K15" s="48">
        <f>AVERAGE(K5:K11)</f>
        <v>0.19093100550208111</v>
      </c>
      <c r="L15" s="48">
        <f>AVERAGE(L5:L11)</f>
        <v>0.17764010634747507</v>
      </c>
      <c r="M15" s="48">
        <f>AVERAGE(M5:M11)</f>
        <v>1.3471684301079101</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70827.83</v>
      </c>
      <c r="AA16" s="49">
        <f>SUM(AA5:AA8,AA9:AA9,AA10:AA11)</f>
        <v>0</v>
      </c>
      <c r="AB16" s="49">
        <f>SUM(AB5:AB8,AB9:AB9,AB10:AB11)</f>
        <v>767.67599999999993</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8863.336728499582</v>
      </c>
      <c r="AA18" s="49" t="e">
        <f>GEOMEAN(AA5:AA8,AA9:AA9,AA10:AA11)</f>
        <v>#NUM!</v>
      </c>
      <c r="AB18" s="49">
        <f>GEOMEAN(AB5:AB8,AB9:AB9,AB10:AB11)</f>
        <v>94.265815680262335</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P5" sqref="P5"/>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572</v>
      </c>
      <c r="B1" s="59"/>
      <c r="C1" s="59"/>
      <c r="D1" s="59"/>
      <c r="E1" s="59"/>
      <c r="F1" s="59"/>
      <c r="H1" s="67" t="str">
        <f>Summary!$C$1</f>
        <v>r19.0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1.7043154677820742E-2</v>
      </c>
      <c r="I5" s="11">
        <f t="shared" ref="I5:I11" si="1">IF(OR(ISBLANK(Q5),ISBLANK(F5)),"·",Q5*F5/E5/1000000)</f>
        <v>205.47501750000001</v>
      </c>
      <c r="J5" s="12">
        <f t="shared" ref="J5:J11" si="2">IF(ISBLANK(Q5),"·",Q5/C5)</f>
        <v>0.9203303526023201</v>
      </c>
      <c r="K5" s="12">
        <f t="shared" ref="K5:K11" si="3">IF(N5="","·",N5/C5)</f>
        <v>0.1365678306668103</v>
      </c>
      <c r="L5" s="12">
        <f t="shared" ref="L5:L11" si="4">IF(R5="","·",R5/C5)</f>
        <v>0.12768962767947217</v>
      </c>
      <c r="M5" s="12">
        <f t="shared" ref="M5:M11" si="5">IF(ISBLANK(T5),"·",T5/C5)</f>
        <v>0.78376252193550988</v>
      </c>
      <c r="N5" s="54">
        <f t="shared" ref="N5:N11" si="6">IF(OR(ISBLANK(R5),ISBLANK(S5)),"",R5+S5)</f>
        <v>32523136</v>
      </c>
      <c r="O5" s="12">
        <v>-12</v>
      </c>
      <c r="P5" s="13">
        <v>24964341</v>
      </c>
      <c r="Q5" s="14">
        <v>219173352</v>
      </c>
      <c r="R5" s="14">
        <v>30408824</v>
      </c>
      <c r="S5" s="14">
        <v>2114312</v>
      </c>
      <c r="T5" s="14">
        <v>186650216</v>
      </c>
      <c r="U5" s="15" t="s">
        <v>571</v>
      </c>
      <c r="V5" s="15" t="s">
        <v>571</v>
      </c>
      <c r="W5" s="15" t="s">
        <v>571</v>
      </c>
      <c r="X5" s="15" t="s">
        <v>571</v>
      </c>
      <c r="Y5" s="15" t="s">
        <v>571</v>
      </c>
      <c r="Z5" s="16">
        <v>7753.97</v>
      </c>
      <c r="AA5" s="16">
        <v>0</v>
      </c>
      <c r="AB5" s="16">
        <v>60.284999999999997</v>
      </c>
      <c r="AC5" s="16">
        <v>0</v>
      </c>
      <c r="AE5" s="17">
        <f t="shared" ref="AE5:AE11" si="7">IF(ISBLANK(Q5),"·",Q5/(C5*(D5*3+IF(AND(ISNUMBER(T5),T5&gt;0),24,0))))</f>
        <v>1.7043154677820742E-2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v>24964341</v>
      </c>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2.4451362832555435E-2</v>
      </c>
      <c r="I6" s="20">
        <f t="shared" si="1"/>
        <v>270.00143250000002</v>
      </c>
      <c r="J6" s="21">
        <f t="shared" si="2"/>
        <v>1.3203735929579936</v>
      </c>
      <c r="K6" s="21">
        <f t="shared" si="3"/>
        <v>0.17095596769066629</v>
      </c>
      <c r="L6" s="21">
        <f t="shared" si="4"/>
        <v>0.15523403263951707</v>
      </c>
      <c r="M6" s="21">
        <f t="shared" si="5"/>
        <v>1.1494176252673272</v>
      </c>
      <c r="N6" s="18">
        <f t="shared" si="6"/>
        <v>37289128</v>
      </c>
      <c r="O6" s="21">
        <v>-12</v>
      </c>
      <c r="P6" s="22">
        <v>22654789</v>
      </c>
      <c r="Q6" s="23">
        <v>288001528</v>
      </c>
      <c r="R6" s="23">
        <v>33859840</v>
      </c>
      <c r="S6" s="23">
        <v>3429288</v>
      </c>
      <c r="T6" s="23">
        <v>250712400</v>
      </c>
      <c r="U6" s="24" t="s">
        <v>571</v>
      </c>
      <c r="V6" s="24" t="s">
        <v>571</v>
      </c>
      <c r="W6" s="24" t="s">
        <v>571</v>
      </c>
      <c r="X6" s="24" t="s">
        <v>571</v>
      </c>
      <c r="Y6" s="24" t="s">
        <v>571</v>
      </c>
      <c r="Z6" s="25">
        <v>9358.4500000000007</v>
      </c>
      <c r="AA6" s="25">
        <v>0</v>
      </c>
      <c r="AB6" s="25">
        <v>62.073</v>
      </c>
      <c r="AC6" s="25">
        <v>0</v>
      </c>
      <c r="AE6" s="26">
        <f t="shared" si="7"/>
        <v>2.4451362832555435E-2</v>
      </c>
      <c r="AF6" s="20" t="str">
        <f t="shared" si="8"/>
        <v>·</v>
      </c>
      <c r="AG6" s="21" t="str">
        <f t="shared" si="9"/>
        <v>·</v>
      </c>
      <c r="AH6" s="21" t="str">
        <f t="shared" si="10"/>
        <v>·</v>
      </c>
      <c r="AI6" s="21" t="str">
        <f t="shared" si="11"/>
        <v>·</v>
      </c>
      <c r="AJ6" s="21" t="str">
        <f t="shared" si="12"/>
        <v>·</v>
      </c>
      <c r="AK6" s="18" t="str">
        <f t="shared" si="13"/>
        <v/>
      </c>
      <c r="AL6" s="21">
        <v>-12</v>
      </c>
      <c r="AM6" s="22">
        <v>22654789</v>
      </c>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1.8788160887054411E-2</v>
      </c>
      <c r="I7" s="11">
        <f t="shared" si="1"/>
        <v>306.83140500000002</v>
      </c>
      <c r="J7" s="12">
        <f t="shared" si="2"/>
        <v>1.0145606879009381</v>
      </c>
      <c r="K7" s="12">
        <f t="shared" si="3"/>
        <v>0.14888569413238309</v>
      </c>
      <c r="L7" s="12">
        <f t="shared" si="4"/>
        <v>0.13698108604234932</v>
      </c>
      <c r="M7" s="12">
        <f t="shared" si="5"/>
        <v>0.86567499376855495</v>
      </c>
      <c r="N7" s="54">
        <f t="shared" si="6"/>
        <v>48028992</v>
      </c>
      <c r="O7" s="12">
        <v>-12</v>
      </c>
      <c r="P7" s="13">
        <v>33947718</v>
      </c>
      <c r="Q7" s="14">
        <v>327286832</v>
      </c>
      <c r="R7" s="14">
        <v>44188688</v>
      </c>
      <c r="S7" s="14">
        <v>3840304</v>
      </c>
      <c r="T7" s="14">
        <v>279257840</v>
      </c>
      <c r="U7" s="15" t="s">
        <v>571</v>
      </c>
      <c r="V7" s="15" t="s">
        <v>571</v>
      </c>
      <c r="W7" s="15" t="s">
        <v>571</v>
      </c>
      <c r="X7" s="15" t="s">
        <v>571</v>
      </c>
      <c r="Y7" s="15" t="s">
        <v>571</v>
      </c>
      <c r="Z7" s="16">
        <v>10123.6</v>
      </c>
      <c r="AA7" s="16">
        <v>0</v>
      </c>
      <c r="AB7" s="16">
        <v>80.811000000000007</v>
      </c>
      <c r="AC7" s="16">
        <v>0</v>
      </c>
      <c r="AE7" s="17">
        <f t="shared" si="7"/>
        <v>1.8788160887054411E-2</v>
      </c>
      <c r="AF7" s="11" t="str">
        <f t="shared" si="8"/>
        <v>·</v>
      </c>
      <c r="AG7" s="12" t="str">
        <f t="shared" si="9"/>
        <v>·</v>
      </c>
      <c r="AH7" s="12" t="str">
        <f t="shared" si="10"/>
        <v>·</v>
      </c>
      <c r="AI7" s="12" t="str">
        <f t="shared" si="11"/>
        <v>·</v>
      </c>
      <c r="AJ7" s="12" t="str">
        <f t="shared" si="12"/>
        <v>·</v>
      </c>
      <c r="AK7" s="54" t="str">
        <f t="shared" si="13"/>
        <v/>
      </c>
      <c r="AL7" s="12">
        <v>-12</v>
      </c>
      <c r="AM7" s="13">
        <v>33947718</v>
      </c>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32</v>
      </c>
      <c r="F8" s="38">
        <v>50</v>
      </c>
      <c r="H8" s="46">
        <f t="shared" si="0"/>
        <v>1.7296374020415166E-2</v>
      </c>
      <c r="I8" s="39">
        <f t="shared" si="1"/>
        <v>365.72523749999999</v>
      </c>
      <c r="J8" s="40">
        <f t="shared" si="2"/>
        <v>0.93400419710241889</v>
      </c>
      <c r="K8" s="40">
        <f t="shared" si="3"/>
        <v>0.10940256870380638</v>
      </c>
      <c r="L8" s="40">
        <f t="shared" si="4"/>
        <v>9.6200741754411762E-2</v>
      </c>
      <c r="M8" s="40">
        <f t="shared" si="5"/>
        <v>0.82460162839861251</v>
      </c>
      <c r="N8" s="37">
        <f t="shared" si="6"/>
        <v>27416600</v>
      </c>
      <c r="O8" s="40">
        <v>-12</v>
      </c>
      <c r="P8" s="41">
        <v>32209643</v>
      </c>
      <c r="Q8" s="42">
        <v>234064152</v>
      </c>
      <c r="R8" s="42">
        <v>24108184</v>
      </c>
      <c r="S8" s="42">
        <v>3308416</v>
      </c>
      <c r="T8" s="42">
        <v>206647552</v>
      </c>
      <c r="U8" s="43" t="s">
        <v>571</v>
      </c>
      <c r="V8" s="43" t="s">
        <v>571</v>
      </c>
      <c r="W8" s="43" t="s">
        <v>571</v>
      </c>
      <c r="X8" s="43" t="s">
        <v>571</v>
      </c>
      <c r="Y8" s="43" t="s">
        <v>571</v>
      </c>
      <c r="Z8" s="44">
        <v>8247.3799999999992</v>
      </c>
      <c r="AA8" s="44">
        <v>0</v>
      </c>
      <c r="AB8" s="44">
        <v>70.924000000000007</v>
      </c>
      <c r="AC8" s="44">
        <v>0</v>
      </c>
      <c r="AE8" s="46">
        <f t="shared" si="7"/>
        <v>1.7296374020415166E-2</v>
      </c>
      <c r="AF8" s="39" t="str">
        <f t="shared" si="8"/>
        <v>·</v>
      </c>
      <c r="AG8" s="40" t="str">
        <f t="shared" si="9"/>
        <v>·</v>
      </c>
      <c r="AH8" s="40" t="str">
        <f t="shared" si="10"/>
        <v>·</v>
      </c>
      <c r="AI8" s="40" t="str">
        <f t="shared" si="11"/>
        <v>·</v>
      </c>
      <c r="AJ8" s="40" t="str">
        <f t="shared" si="12"/>
        <v>·</v>
      </c>
      <c r="AK8" s="37" t="str">
        <f t="shared" si="13"/>
        <v/>
      </c>
      <c r="AL8" s="40">
        <v>-12</v>
      </c>
      <c r="AM8" s="41">
        <v>32209643</v>
      </c>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32</v>
      </c>
      <c r="F9" s="28">
        <v>30</v>
      </c>
      <c r="H9" s="36">
        <f t="shared" si="0"/>
        <v>2.7811093113976896E-2</v>
      </c>
      <c r="I9" s="29">
        <f t="shared" si="1"/>
        <v>352.39890000000003</v>
      </c>
      <c r="J9" s="30">
        <f t="shared" si="2"/>
        <v>1.5017990281547524</v>
      </c>
      <c r="K9" s="30">
        <f t="shared" si="3"/>
        <v>0.14676833875692921</v>
      </c>
      <c r="L9" s="30">
        <f t="shared" si="4"/>
        <v>0.13691751425925791</v>
      </c>
      <c r="M9" s="30">
        <f t="shared" si="5"/>
        <v>1.3550306893978232</v>
      </c>
      <c r="N9" s="27">
        <f t="shared" si="6"/>
        <v>36735320</v>
      </c>
      <c r="O9" s="30">
        <v>-12</v>
      </c>
      <c r="P9" s="31">
        <v>25312408</v>
      </c>
      <c r="Q9" s="32">
        <v>375892160</v>
      </c>
      <c r="R9" s="32">
        <v>34269712</v>
      </c>
      <c r="S9" s="32">
        <v>2465608</v>
      </c>
      <c r="T9" s="32">
        <v>339156840</v>
      </c>
      <c r="U9" s="33" t="s">
        <v>571</v>
      </c>
      <c r="V9" s="33" t="s">
        <v>571</v>
      </c>
      <c r="W9" s="33" t="s">
        <v>571</v>
      </c>
      <c r="X9" s="33" t="s">
        <v>571</v>
      </c>
      <c r="Y9" s="33" t="s">
        <v>571</v>
      </c>
      <c r="Z9" s="34">
        <v>10138</v>
      </c>
      <c r="AA9" s="34">
        <v>0</v>
      </c>
      <c r="AB9" s="34">
        <v>73.171999999999997</v>
      </c>
      <c r="AC9" s="34">
        <v>0</v>
      </c>
      <c r="AE9" s="36">
        <f t="shared" si="7"/>
        <v>2.7811093113976896E-2</v>
      </c>
      <c r="AF9" s="29" t="str">
        <f t="shared" si="8"/>
        <v>·</v>
      </c>
      <c r="AG9" s="30" t="str">
        <f t="shared" si="9"/>
        <v>·</v>
      </c>
      <c r="AH9" s="30" t="str">
        <f t="shared" si="10"/>
        <v>·</v>
      </c>
      <c r="AI9" s="30" t="str">
        <f t="shared" si="11"/>
        <v>·</v>
      </c>
      <c r="AJ9" s="30" t="str">
        <f t="shared" si="12"/>
        <v>·</v>
      </c>
      <c r="AK9" s="27" t="str">
        <f t="shared" si="13"/>
        <v/>
      </c>
      <c r="AL9" s="30">
        <v>-12</v>
      </c>
      <c r="AM9" s="31">
        <v>25312408</v>
      </c>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4.2347997390093796E-2</v>
      </c>
      <c r="I10" s="20">
        <f t="shared" si="1"/>
        <v>849.57036000000005</v>
      </c>
      <c r="J10" s="21">
        <f t="shared" si="2"/>
        <v>2.4138358512353464</v>
      </c>
      <c r="K10" s="21">
        <f t="shared" si="3"/>
        <v>0.26500814859173921</v>
      </c>
      <c r="L10" s="21">
        <f t="shared" si="4"/>
        <v>0.25245263177978772</v>
      </c>
      <c r="M10" s="21">
        <f t="shared" si="5"/>
        <v>2.1488277026436071</v>
      </c>
      <c r="N10" s="18">
        <f t="shared" si="6"/>
        <v>99490032</v>
      </c>
      <c r="O10" s="21">
        <v>-12</v>
      </c>
      <c r="P10" s="22">
        <v>92854683</v>
      </c>
      <c r="Q10" s="23">
        <v>906208384</v>
      </c>
      <c r="R10" s="23">
        <v>94776408</v>
      </c>
      <c r="S10" s="23">
        <v>4713624</v>
      </c>
      <c r="T10" s="23">
        <v>806718352</v>
      </c>
      <c r="U10" s="24" t="s">
        <v>571</v>
      </c>
      <c r="V10" s="24" t="s">
        <v>571</v>
      </c>
      <c r="W10" s="24" t="s">
        <v>571</v>
      </c>
      <c r="X10" s="24" t="s">
        <v>571</v>
      </c>
      <c r="Y10" s="24" t="s">
        <v>571</v>
      </c>
      <c r="Z10" s="25">
        <v>32656.400000000001</v>
      </c>
      <c r="AA10" s="25">
        <v>0</v>
      </c>
      <c r="AB10" s="25">
        <v>234.07300000000001</v>
      </c>
      <c r="AC10" s="25">
        <v>0</v>
      </c>
      <c r="AE10" s="26">
        <f t="shared" si="7"/>
        <v>4.2347997390093796E-2</v>
      </c>
      <c r="AF10" s="20" t="str">
        <f t="shared" si="8"/>
        <v>·</v>
      </c>
      <c r="AG10" s="21" t="str">
        <f t="shared" si="9"/>
        <v>·</v>
      </c>
      <c r="AH10" s="21" t="str">
        <f t="shared" si="10"/>
        <v>·</v>
      </c>
      <c r="AI10" s="21" t="str">
        <f t="shared" si="11"/>
        <v>·</v>
      </c>
      <c r="AJ10" s="21" t="str">
        <f t="shared" si="12"/>
        <v>·</v>
      </c>
      <c r="AK10" s="18" t="str">
        <f t="shared" si="13"/>
        <v/>
      </c>
      <c r="AL10" s="21">
        <v>-12</v>
      </c>
      <c r="AM10" s="22">
        <v>92854683</v>
      </c>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32</v>
      </c>
      <c r="F11" s="28">
        <v>30</v>
      </c>
      <c r="H11" s="36">
        <f t="shared" si="0"/>
        <v>4.3558148600784129E-2</v>
      </c>
      <c r="I11" s="29">
        <f t="shared" si="1"/>
        <v>775.54749749999996</v>
      </c>
      <c r="J11" s="30">
        <f t="shared" si="2"/>
        <v>2.482814470244695</v>
      </c>
      <c r="K11" s="30">
        <f t="shared" si="3"/>
        <v>0.28595977962637487</v>
      </c>
      <c r="L11" s="30">
        <f t="shared" si="4"/>
        <v>0.27129295920991359</v>
      </c>
      <c r="M11" s="30">
        <f t="shared" si="5"/>
        <v>2.1968546906183204</v>
      </c>
      <c r="N11" s="27">
        <f t="shared" si="6"/>
        <v>95279136</v>
      </c>
      <c r="O11" s="30">
        <v>-12</v>
      </c>
      <c r="P11" s="31">
        <v>83104648</v>
      </c>
      <c r="Q11" s="32">
        <v>827250664</v>
      </c>
      <c r="R11" s="32">
        <v>90392288</v>
      </c>
      <c r="S11" s="32">
        <v>4886848</v>
      </c>
      <c r="T11" s="32">
        <v>731971528</v>
      </c>
      <c r="U11" s="33" t="s">
        <v>571</v>
      </c>
      <c r="V11" s="33" t="s">
        <v>571</v>
      </c>
      <c r="W11" s="33" t="s">
        <v>571</v>
      </c>
      <c r="X11" s="33" t="s">
        <v>571</v>
      </c>
      <c r="Y11" s="33" t="s">
        <v>571</v>
      </c>
      <c r="Z11" s="34">
        <v>32431.200000000001</v>
      </c>
      <c r="AA11" s="34">
        <v>0</v>
      </c>
      <c r="AB11" s="34">
        <v>201.55099999999999</v>
      </c>
      <c r="AC11" s="34">
        <v>0</v>
      </c>
      <c r="AE11" s="36">
        <f t="shared" si="7"/>
        <v>4.3558148600784129E-2</v>
      </c>
      <c r="AF11" s="29" t="str">
        <f t="shared" si="8"/>
        <v>·</v>
      </c>
      <c r="AG11" s="30" t="str">
        <f t="shared" si="9"/>
        <v>·</v>
      </c>
      <c r="AH11" s="30" t="str">
        <f t="shared" si="10"/>
        <v>·</v>
      </c>
      <c r="AI11" s="30" t="str">
        <f t="shared" si="11"/>
        <v>·</v>
      </c>
      <c r="AJ11" s="30" t="str">
        <f t="shared" si="12"/>
        <v>·</v>
      </c>
      <c r="AK11" s="27" t="str">
        <f t="shared" si="13"/>
        <v/>
      </c>
      <c r="AL11" s="30">
        <v>-12</v>
      </c>
      <c r="AM11" s="31">
        <v>83104648</v>
      </c>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1.0473172076409176</v>
      </c>
      <c r="K12" s="48">
        <f>AVERAGE(K5:K8)</f>
        <v>0.1414530152984165</v>
      </c>
      <c r="L12" s="48">
        <f>AVERAGE(L5:L8)</f>
        <v>0.12902637202893757</v>
      </c>
      <c r="M12" s="48">
        <f>AVERAGE(M5:M8)</f>
        <v>0.90586419234250115</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1.5017990281547524</v>
      </c>
      <c r="K13" s="48">
        <f>AVERAGE(K9:K9)</f>
        <v>0.14676833875692921</v>
      </c>
      <c r="L13" s="48">
        <f>AVERAGE(L9:L9)</f>
        <v>0.13691751425925791</v>
      </c>
      <c r="M13" s="48">
        <f>AVERAGE(M9:M9)</f>
        <v>1.3550306893978232</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2.4483251607400209</v>
      </c>
      <c r="K14" s="48">
        <f>AVERAGE(K10:K11)</f>
        <v>0.27548396410905707</v>
      </c>
      <c r="L14" s="48">
        <f>AVERAGE(L10:L11)</f>
        <v>0.26187279549485065</v>
      </c>
      <c r="M14" s="48">
        <f>AVERAGE(M10:M11)</f>
        <v>2.172841196630964</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1.5125311685997807</v>
      </c>
      <c r="K15" s="48">
        <f>AVERAGE(K5:K11)</f>
        <v>0.18050690402410133</v>
      </c>
      <c r="L15" s="48">
        <f>AVERAGE(L5:L11)</f>
        <v>0.16810979905210136</v>
      </c>
      <c r="M15" s="48">
        <f>AVERAGE(M5:M11)</f>
        <v>1.3320242645756792</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110709</v>
      </c>
      <c r="AA16" s="49">
        <f>SUM(AA5:AA8,AA9:AA9,AA10:AA11)</f>
        <v>0</v>
      </c>
      <c r="AB16" s="49">
        <f>SUM(AB5:AB8,AB9:AB9,AB10:AB11)</f>
        <v>782.8889999999999</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13067.13495673979</v>
      </c>
      <c r="AA18" s="49" t="e">
        <f>GEOMEAN(AA5:AA8,AA9:AA9,AA10:AA11)</f>
        <v>#NUM!</v>
      </c>
      <c r="AB18" s="49">
        <f>GEOMEAN(AB5:AB8,AB9:AB9,AB10:AB11)</f>
        <v>95.796796601916085</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P5" sqref="P5"/>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573</v>
      </c>
      <c r="B1" s="59"/>
      <c r="C1" s="59"/>
      <c r="D1" s="59"/>
      <c r="E1" s="59"/>
      <c r="F1" s="59"/>
      <c r="G1" s="59"/>
      <c r="I1" s="67" t="str">
        <f>Summary!$C$1</f>
        <v>r19.0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 t="shared" ref="I5:I39" si="0">IF(OR(ISBLANK(S5),ISBLANK(G5)),"·",S5*G5/F5/1000000)</f>
        <v>1.0503225</v>
      </c>
      <c r="J5" s="12">
        <f t="shared" ref="J5:J39" si="1">IF(ISBLANK(S5),"·",S5/D5)</f>
        <v>4.7044340890305576E-3</v>
      </c>
      <c r="K5" s="12">
        <f t="shared" ref="K5:K39" si="2">IF(N5="","·",N5/D5)</f>
        <v>4.1058778841624351E-3</v>
      </c>
      <c r="L5" s="12">
        <f t="shared" ref="L5:L39" si="3">IF(T5="","·",T5/D5)</f>
        <v>2.6158700007341282E-3</v>
      </c>
      <c r="M5" s="12">
        <f t="shared" ref="M5:M39" si="4">IF(ISBLANK(V5),"·",V5/D5)</f>
        <v>5.9855620486812245E-4</v>
      </c>
      <c r="N5" s="54">
        <f t="shared" ref="N5:N39" si="5">IF(OR(ISBLANK(T5),ISBLANK(U5)),"",T5+U5)</f>
        <v>977800</v>
      </c>
      <c r="O5" s="12">
        <v>-12</v>
      </c>
      <c r="P5" s="13">
        <v>23680630</v>
      </c>
      <c r="Q5" s="13">
        <v>740019.6875</v>
      </c>
      <c r="R5" s="13">
        <v>17141.40625</v>
      </c>
      <c r="S5" s="14">
        <v>1120344</v>
      </c>
      <c r="T5" s="14">
        <v>622960</v>
      </c>
      <c r="U5" s="14">
        <v>354840</v>
      </c>
      <c r="V5" s="14">
        <v>142544</v>
      </c>
      <c r="W5" s="15">
        <v>66.890699999999995</v>
      </c>
      <c r="X5" s="15">
        <v>68.650359374999994</v>
      </c>
      <c r="Y5" s="15">
        <v>31.765556249999999</v>
      </c>
      <c r="Z5" s="15">
        <v>44.363862500000003</v>
      </c>
      <c r="AA5" s="15">
        <v>44.146759375000002</v>
      </c>
      <c r="AB5" s="16">
        <v>5036.2299999999996</v>
      </c>
      <c r="AC5" s="16">
        <v>0</v>
      </c>
      <c r="AD5" s="16">
        <v>68.858999999999995</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 t="shared" si="0"/>
        <v>1.3578224999999999</v>
      </c>
      <c r="J6" s="21">
        <f t="shared" si="1"/>
        <v>6.0817381859882983E-3</v>
      </c>
      <c r="K6" s="21">
        <f t="shared" si="2"/>
        <v>4.9943733978315887E-3</v>
      </c>
      <c r="L6" s="21">
        <f t="shared" si="3"/>
        <v>3.5043655144032814E-3</v>
      </c>
      <c r="M6" s="21">
        <f t="shared" si="4"/>
        <v>1.0873647881567098E-3</v>
      </c>
      <c r="N6" s="18">
        <f t="shared" si="5"/>
        <v>1189392</v>
      </c>
      <c r="O6" s="21">
        <v>-12</v>
      </c>
      <c r="P6" s="22">
        <v>24702414</v>
      </c>
      <c r="Q6" s="22">
        <v>771950.4375</v>
      </c>
      <c r="R6" s="22">
        <v>20119.09375</v>
      </c>
      <c r="S6" s="23">
        <v>1448344</v>
      </c>
      <c r="T6" s="23">
        <v>834552</v>
      </c>
      <c r="U6" s="23">
        <v>354840</v>
      </c>
      <c r="V6" s="23">
        <v>258952</v>
      </c>
      <c r="W6" s="24">
        <v>68.540090625000005</v>
      </c>
      <c r="X6" s="24">
        <v>70.623687500000003</v>
      </c>
      <c r="Y6" s="24">
        <v>33.861856250000002</v>
      </c>
      <c r="Z6" s="24">
        <v>45.536799999999999</v>
      </c>
      <c r="AA6" s="24">
        <v>45.219496874999997</v>
      </c>
      <c r="AB6" s="25">
        <v>5331.81</v>
      </c>
      <c r="AC6" s="25">
        <v>0</v>
      </c>
      <c r="AD6" s="25">
        <v>71.778999999999996</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 t="shared" si="0"/>
        <v>1.8533774999999999</v>
      </c>
      <c r="J7" s="12">
        <f t="shared" si="1"/>
        <v>8.3013477201928296E-3</v>
      </c>
      <c r="K7" s="12">
        <f t="shared" si="2"/>
        <v>6.1132818090869154E-3</v>
      </c>
      <c r="L7" s="12">
        <f t="shared" si="3"/>
        <v>4.6232739256586086E-3</v>
      </c>
      <c r="M7" s="12">
        <f t="shared" si="4"/>
        <v>2.1880659111059128E-3</v>
      </c>
      <c r="N7" s="54">
        <f t="shared" si="5"/>
        <v>1455856</v>
      </c>
      <c r="O7" s="12">
        <v>-12</v>
      </c>
      <c r="P7" s="13">
        <v>24905347</v>
      </c>
      <c r="Q7" s="13">
        <v>778292.09375</v>
      </c>
      <c r="R7" s="13">
        <v>21199.78125</v>
      </c>
      <c r="S7" s="14">
        <v>1976936</v>
      </c>
      <c r="T7" s="14">
        <v>1101016</v>
      </c>
      <c r="U7" s="14">
        <v>354840</v>
      </c>
      <c r="V7" s="14">
        <v>521080</v>
      </c>
      <c r="W7" s="15">
        <v>69.828953124999998</v>
      </c>
      <c r="X7" s="15">
        <v>72.273296875</v>
      </c>
      <c r="Y7" s="15">
        <v>36.232234374999997</v>
      </c>
      <c r="Z7" s="15">
        <v>46.86059375</v>
      </c>
      <c r="AA7" s="15">
        <v>46.655374999999999</v>
      </c>
      <c r="AB7" s="16">
        <v>5606.76</v>
      </c>
      <c r="AC7" s="16">
        <v>0</v>
      </c>
      <c r="AD7" s="16">
        <v>68.393000000000001</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 t="shared" si="0"/>
        <v>3.0700275000000001</v>
      </c>
      <c r="J8" s="21">
        <f t="shared" si="1"/>
        <v>1.3750768954546114E-2</v>
      </c>
      <c r="K8" s="21">
        <f t="shared" si="2"/>
        <v>8.8775983172468056E-3</v>
      </c>
      <c r="L8" s="21">
        <f t="shared" si="3"/>
        <v>7.3875904338184997E-3</v>
      </c>
      <c r="M8" s="21">
        <f t="shared" si="4"/>
        <v>4.8731706372993075E-3</v>
      </c>
      <c r="N8" s="18">
        <f t="shared" si="5"/>
        <v>2114168</v>
      </c>
      <c r="O8" s="21">
        <v>-12</v>
      </c>
      <c r="P8" s="22">
        <v>25897656</v>
      </c>
      <c r="Q8" s="22">
        <v>809301.75</v>
      </c>
      <c r="R8" s="22">
        <v>24484.625</v>
      </c>
      <c r="S8" s="23">
        <v>3274696</v>
      </c>
      <c r="T8" s="23">
        <v>1759328</v>
      </c>
      <c r="U8" s="23">
        <v>354840</v>
      </c>
      <c r="V8" s="23">
        <v>1160528</v>
      </c>
      <c r="W8" s="24">
        <v>70.899731250000002</v>
      </c>
      <c r="X8" s="24">
        <v>73.464078125</v>
      </c>
      <c r="Y8" s="24">
        <v>38.680196875</v>
      </c>
      <c r="Z8" s="24">
        <v>48.181537499999997</v>
      </c>
      <c r="AA8" s="24">
        <v>48.270240625</v>
      </c>
      <c r="AB8" s="25">
        <v>5788.52</v>
      </c>
      <c r="AC8" s="25">
        <v>0</v>
      </c>
      <c r="AD8" s="25">
        <v>68.367000000000004</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32</v>
      </c>
      <c r="G9" s="28">
        <v>30</v>
      </c>
      <c r="I9" s="29">
        <f t="shared" si="0"/>
        <v>6.2777925000000003</v>
      </c>
      <c r="J9" s="30">
        <f t="shared" si="1"/>
        <v>2.8118469366180739E-2</v>
      </c>
      <c r="K9" s="30">
        <f t="shared" si="2"/>
        <v>1.5549360141258659E-2</v>
      </c>
      <c r="L9" s="30">
        <f t="shared" si="3"/>
        <v>1.2144698006361978E-2</v>
      </c>
      <c r="M9" s="30">
        <f t="shared" si="4"/>
        <v>1.2569109224922078E-2</v>
      </c>
      <c r="N9" s="27">
        <f t="shared" si="5"/>
        <v>3703024</v>
      </c>
      <c r="O9" s="30">
        <v>-12</v>
      </c>
      <c r="P9" s="31">
        <v>24922106</v>
      </c>
      <c r="Q9" s="31">
        <v>778815.8125</v>
      </c>
      <c r="R9" s="31">
        <v>10667.3125</v>
      </c>
      <c r="S9" s="32">
        <v>6696312</v>
      </c>
      <c r="T9" s="32">
        <v>2892216</v>
      </c>
      <c r="U9" s="32">
        <v>810808</v>
      </c>
      <c r="V9" s="32">
        <v>2993288</v>
      </c>
      <c r="W9" s="33">
        <v>71.947374999999994</v>
      </c>
      <c r="X9" s="33">
        <v>75.248443750000007</v>
      </c>
      <c r="Y9" s="33">
        <v>41.117606250000001</v>
      </c>
      <c r="Z9" s="33">
        <v>49.591459374999999</v>
      </c>
      <c r="AA9" s="33">
        <v>49.688175000000001</v>
      </c>
      <c r="AB9" s="34">
        <v>6317.97</v>
      </c>
      <c r="AC9" s="34">
        <v>0</v>
      </c>
      <c r="AD9" s="34">
        <v>64.688000000000002</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 t="shared" si="0"/>
        <v>1.9551750000000001</v>
      </c>
      <c r="J10" s="21">
        <f t="shared" si="1"/>
        <v>9.5612879372839812E-3</v>
      </c>
      <c r="K10" s="21">
        <f t="shared" si="2"/>
        <v>7.150078487082886E-3</v>
      </c>
      <c r="L10" s="21">
        <f t="shared" si="3"/>
        <v>4.1387990996310207E-3</v>
      </c>
      <c r="M10" s="21">
        <f t="shared" si="4"/>
        <v>2.4112094502010952E-3</v>
      </c>
      <c r="N10" s="18">
        <f t="shared" si="5"/>
        <v>1559584</v>
      </c>
      <c r="O10" s="21">
        <v>-12</v>
      </c>
      <c r="P10" s="22">
        <v>21086040</v>
      </c>
      <c r="Q10" s="22">
        <v>658938.75</v>
      </c>
      <c r="R10" s="22">
        <v>19260.5625</v>
      </c>
      <c r="S10" s="23">
        <v>2085520</v>
      </c>
      <c r="T10" s="23">
        <v>902760</v>
      </c>
      <c r="U10" s="23">
        <v>656824</v>
      </c>
      <c r="V10" s="23">
        <v>525936</v>
      </c>
      <c r="W10" s="24">
        <v>65.991465625000004</v>
      </c>
      <c r="X10" s="24">
        <v>67.831256249999996</v>
      </c>
      <c r="Y10" s="24">
        <v>31.010596875000001</v>
      </c>
      <c r="Z10" s="24">
        <v>38.7729</v>
      </c>
      <c r="AA10" s="24">
        <v>30.084299999999999</v>
      </c>
      <c r="AB10" s="25">
        <v>5766.43</v>
      </c>
      <c r="AC10" s="25">
        <v>0</v>
      </c>
      <c r="AD10" s="25">
        <v>61.329000000000001</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 t="shared" si="0"/>
        <v>2.67408</v>
      </c>
      <c r="J11" s="12">
        <f t="shared" si="1"/>
        <v>1.3076910684379836E-2</v>
      </c>
      <c r="K11" s="12">
        <f t="shared" si="2"/>
        <v>8.8025172715640414E-3</v>
      </c>
      <c r="L11" s="12">
        <f t="shared" si="3"/>
        <v>5.7912378841121761E-3</v>
      </c>
      <c r="M11" s="12">
        <f t="shared" si="4"/>
        <v>4.274393412815795E-3</v>
      </c>
      <c r="N11" s="54">
        <f t="shared" si="5"/>
        <v>1920016</v>
      </c>
      <c r="O11" s="12">
        <v>-12</v>
      </c>
      <c r="P11" s="13">
        <v>22233773</v>
      </c>
      <c r="Q11" s="13">
        <v>694805.40625</v>
      </c>
      <c r="R11" s="13">
        <v>23243.59375</v>
      </c>
      <c r="S11" s="14">
        <v>2852352</v>
      </c>
      <c r="T11" s="14">
        <v>1263192</v>
      </c>
      <c r="U11" s="14">
        <v>656824</v>
      </c>
      <c r="V11" s="14">
        <v>932336</v>
      </c>
      <c r="W11" s="15">
        <v>67.661562500000002</v>
      </c>
      <c r="X11" s="15">
        <v>69.732106250000001</v>
      </c>
      <c r="Y11" s="15">
        <v>32.853384374999997</v>
      </c>
      <c r="Z11" s="15">
        <v>39.664115625000001</v>
      </c>
      <c r="AA11" s="15">
        <v>32.264106249999998</v>
      </c>
      <c r="AB11" s="16">
        <v>6084.67</v>
      </c>
      <c r="AC11" s="16">
        <v>0</v>
      </c>
      <c r="AD11" s="16">
        <v>61.838999999999999</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 t="shared" si="0"/>
        <v>3.8241375</v>
      </c>
      <c r="J12" s="21">
        <f t="shared" si="1"/>
        <v>1.87009754877519E-2</v>
      </c>
      <c r="K12" s="21">
        <f t="shared" si="2"/>
        <v>1.129210514948379E-2</v>
      </c>
      <c r="L12" s="21">
        <f t="shared" si="3"/>
        <v>8.2808257620319257E-3</v>
      </c>
      <c r="M12" s="21">
        <f t="shared" si="4"/>
        <v>7.4088703382681085E-3</v>
      </c>
      <c r="N12" s="18">
        <f t="shared" si="5"/>
        <v>2463048</v>
      </c>
      <c r="O12" s="21">
        <v>-12</v>
      </c>
      <c r="P12" s="22">
        <v>22534858</v>
      </c>
      <c r="Q12" s="22">
        <v>704214.3125</v>
      </c>
      <c r="R12" s="22">
        <v>24785.78125</v>
      </c>
      <c r="S12" s="23">
        <v>4079080</v>
      </c>
      <c r="T12" s="23">
        <v>1806224</v>
      </c>
      <c r="U12" s="23">
        <v>656824</v>
      </c>
      <c r="V12" s="23">
        <v>1616032</v>
      </c>
      <c r="W12" s="24">
        <v>68.992715625000002</v>
      </c>
      <c r="X12" s="24">
        <v>71.376675000000006</v>
      </c>
      <c r="Y12" s="24">
        <v>34.856943749999999</v>
      </c>
      <c r="Z12" s="24">
        <v>40.641746875000003</v>
      </c>
      <c r="AA12" s="24">
        <v>34.131718749999997</v>
      </c>
      <c r="AB12" s="25">
        <v>6403.79</v>
      </c>
      <c r="AC12" s="25">
        <v>0</v>
      </c>
      <c r="AD12" s="25">
        <v>60.844000000000001</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 t="shared" si="0"/>
        <v>6.2072849999999997</v>
      </c>
      <c r="J13" s="12">
        <f t="shared" si="1"/>
        <v>3.0355154497057193E-2</v>
      </c>
      <c r="K13" s="12">
        <f t="shared" si="2"/>
        <v>1.5894829720435939E-2</v>
      </c>
      <c r="L13" s="12">
        <f t="shared" si="3"/>
        <v>1.2883550332984075E-2</v>
      </c>
      <c r="M13" s="12">
        <f t="shared" si="4"/>
        <v>1.4460324776621252E-2</v>
      </c>
      <c r="N13" s="54">
        <f t="shared" si="5"/>
        <v>3467000</v>
      </c>
      <c r="O13" s="12">
        <v>-12</v>
      </c>
      <c r="P13" s="13">
        <v>23332463</v>
      </c>
      <c r="Q13" s="13">
        <v>729139.46875</v>
      </c>
      <c r="R13" s="13">
        <v>28127.375</v>
      </c>
      <c r="S13" s="14">
        <v>6621104</v>
      </c>
      <c r="T13" s="14">
        <v>2810176</v>
      </c>
      <c r="U13" s="14">
        <v>656824</v>
      </c>
      <c r="V13" s="14">
        <v>3154104</v>
      </c>
      <c r="W13" s="15">
        <v>70.063959374999996</v>
      </c>
      <c r="X13" s="15">
        <v>72.573878124999993</v>
      </c>
      <c r="Y13" s="15">
        <v>37.055909374999999</v>
      </c>
      <c r="Z13" s="15">
        <v>41.692556250000003</v>
      </c>
      <c r="AA13" s="15">
        <v>36.091762500000002</v>
      </c>
      <c r="AB13" s="16">
        <v>6797.96</v>
      </c>
      <c r="AC13" s="16">
        <v>0</v>
      </c>
      <c r="AD13" s="16">
        <v>59.353000000000002</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32</v>
      </c>
      <c r="G14" s="38">
        <v>30</v>
      </c>
      <c r="I14" s="39">
        <f t="shared" si="0"/>
        <v>12.2579925</v>
      </c>
      <c r="J14" s="40">
        <f t="shared" si="1"/>
        <v>5.9944606403809123E-2</v>
      </c>
      <c r="K14" s="40">
        <f t="shared" si="2"/>
        <v>2.6840118579555861E-2</v>
      </c>
      <c r="L14" s="40">
        <f t="shared" si="3"/>
        <v>2.0876499502052167E-2</v>
      </c>
      <c r="M14" s="40">
        <f t="shared" si="4"/>
        <v>3.3104487824253265E-2</v>
      </c>
      <c r="N14" s="37">
        <f t="shared" si="5"/>
        <v>5854400</v>
      </c>
      <c r="O14" s="40">
        <v>-12</v>
      </c>
      <c r="P14" s="41">
        <v>22139734</v>
      </c>
      <c r="Q14" s="41">
        <v>691866.6875</v>
      </c>
      <c r="R14" s="41">
        <v>13223.5625</v>
      </c>
      <c r="S14" s="42">
        <v>13075192</v>
      </c>
      <c r="T14" s="42">
        <v>4553608</v>
      </c>
      <c r="U14" s="42">
        <v>1300792</v>
      </c>
      <c r="V14" s="42">
        <v>7220792</v>
      </c>
      <c r="W14" s="43">
        <v>70.912853124999998</v>
      </c>
      <c r="X14" s="43">
        <v>74.668462500000004</v>
      </c>
      <c r="Y14" s="43">
        <v>39.450387499999998</v>
      </c>
      <c r="Z14" s="43">
        <v>42.979246875000001</v>
      </c>
      <c r="AA14" s="43">
        <v>38.255459375000001</v>
      </c>
      <c r="AB14" s="44">
        <v>7351.77</v>
      </c>
      <c r="AC14" s="44">
        <v>0</v>
      </c>
      <c r="AD14" s="44">
        <v>57.421999999999997</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 t="shared" si="0"/>
        <v>1.597065</v>
      </c>
      <c r="J15" s="12">
        <f t="shared" si="1"/>
        <v>5.2808133020885257E-3</v>
      </c>
      <c r="K15" s="12">
        <f t="shared" si="2"/>
        <v>4.4654122005084208E-3</v>
      </c>
      <c r="L15" s="12">
        <f t="shared" si="3"/>
        <v>2.3801875586209036E-3</v>
      </c>
      <c r="M15" s="12">
        <f t="shared" si="4"/>
        <v>8.15401101580105E-4</v>
      </c>
      <c r="N15" s="54">
        <f t="shared" si="5"/>
        <v>1440496</v>
      </c>
      <c r="O15" s="12">
        <v>-12</v>
      </c>
      <c r="P15" s="13">
        <v>32443800</v>
      </c>
      <c r="Q15" s="13">
        <v>1013868.75</v>
      </c>
      <c r="R15" s="13">
        <v>31882.9375</v>
      </c>
      <c r="S15" s="14">
        <v>1703536</v>
      </c>
      <c r="T15" s="14">
        <v>767824</v>
      </c>
      <c r="U15" s="14">
        <v>672672</v>
      </c>
      <c r="V15" s="14">
        <v>263040</v>
      </c>
      <c r="W15" s="15">
        <v>66.312650000000005</v>
      </c>
      <c r="X15" s="15">
        <v>67.859537500000002</v>
      </c>
      <c r="Y15" s="15">
        <v>29.260481250000002</v>
      </c>
      <c r="Z15" s="15">
        <v>43.418965624999998</v>
      </c>
      <c r="AA15" s="15">
        <v>43.737568750000001</v>
      </c>
      <c r="AB15" s="16">
        <v>5329.39</v>
      </c>
      <c r="AC15" s="16">
        <v>0</v>
      </c>
      <c r="AD15" s="16">
        <v>83.209000000000003</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 t="shared" si="0"/>
        <v>2.0987024999999999</v>
      </c>
      <c r="J16" s="21">
        <f t="shared" si="1"/>
        <v>6.9395147217717777E-3</v>
      </c>
      <c r="K16" s="21">
        <f t="shared" si="2"/>
        <v>5.4000731529856884E-3</v>
      </c>
      <c r="L16" s="21">
        <f t="shared" si="3"/>
        <v>3.314848511098172E-3</v>
      </c>
      <c r="M16" s="21">
        <f t="shared" si="4"/>
        <v>1.5394415687860887E-3</v>
      </c>
      <c r="N16" s="18">
        <f t="shared" si="5"/>
        <v>1742008</v>
      </c>
      <c r="O16" s="21">
        <v>-12</v>
      </c>
      <c r="P16" s="22">
        <v>33818275</v>
      </c>
      <c r="Q16" s="22">
        <v>1056821.09375</v>
      </c>
      <c r="R16" s="22">
        <v>36592</v>
      </c>
      <c r="S16" s="23">
        <v>2238616</v>
      </c>
      <c r="T16" s="23">
        <v>1069336</v>
      </c>
      <c r="U16" s="23">
        <v>672672</v>
      </c>
      <c r="V16" s="23">
        <v>496608</v>
      </c>
      <c r="W16" s="24">
        <v>68.049843749999994</v>
      </c>
      <c r="X16" s="24">
        <v>70.027878125000001</v>
      </c>
      <c r="Y16" s="24">
        <v>31.604271874999998</v>
      </c>
      <c r="Z16" s="24">
        <v>43.8971625</v>
      </c>
      <c r="AA16" s="24">
        <v>44.407940625000002</v>
      </c>
      <c r="AB16" s="25">
        <v>5683.97</v>
      </c>
      <c r="AC16" s="25">
        <v>0</v>
      </c>
      <c r="AD16" s="25">
        <v>89.512</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 t="shared" si="0"/>
        <v>2.9366175000000001</v>
      </c>
      <c r="J17" s="12">
        <f t="shared" si="1"/>
        <v>9.7101425158938118E-3</v>
      </c>
      <c r="K17" s="12">
        <f t="shared" si="2"/>
        <v>6.5385347822508313E-3</v>
      </c>
      <c r="L17" s="12">
        <f t="shared" si="3"/>
        <v>4.4533101403633141E-3</v>
      </c>
      <c r="M17" s="12">
        <f t="shared" si="4"/>
        <v>3.1716077336429809E-3</v>
      </c>
      <c r="N17" s="54">
        <f t="shared" si="5"/>
        <v>2109264</v>
      </c>
      <c r="O17" s="12">
        <v>-12</v>
      </c>
      <c r="P17" s="13">
        <v>33775740</v>
      </c>
      <c r="Q17" s="13">
        <v>1055491.875</v>
      </c>
      <c r="R17" s="13">
        <v>37233.5</v>
      </c>
      <c r="S17" s="14">
        <v>3132392</v>
      </c>
      <c r="T17" s="14">
        <v>1436592</v>
      </c>
      <c r="U17" s="14">
        <v>672672</v>
      </c>
      <c r="V17" s="14">
        <v>1023128</v>
      </c>
      <c r="W17" s="15">
        <v>69.344262499999999</v>
      </c>
      <c r="X17" s="15">
        <v>71.826781249999996</v>
      </c>
      <c r="Y17" s="15">
        <v>33.948215625000003</v>
      </c>
      <c r="Z17" s="15">
        <v>45.19749375</v>
      </c>
      <c r="AA17" s="15">
        <v>45.675075</v>
      </c>
      <c r="AB17" s="16">
        <v>6013.25</v>
      </c>
      <c r="AC17" s="16">
        <v>0</v>
      </c>
      <c r="AD17" s="16">
        <v>88.891999999999996</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 t="shared" si="0"/>
        <v>5.2256625000000003</v>
      </c>
      <c r="J18" s="21">
        <f t="shared" si="1"/>
        <v>1.727903876312184E-2</v>
      </c>
      <c r="K18" s="21">
        <f t="shared" si="2"/>
        <v>9.8231529422898138E-3</v>
      </c>
      <c r="L18" s="21">
        <f t="shared" si="3"/>
        <v>7.7379283004022966E-3</v>
      </c>
      <c r="M18" s="21">
        <f t="shared" si="4"/>
        <v>7.4558858208320254E-3</v>
      </c>
      <c r="N18" s="18">
        <f t="shared" si="5"/>
        <v>3168848</v>
      </c>
      <c r="O18" s="21">
        <v>-12</v>
      </c>
      <c r="P18" s="22">
        <v>34888350</v>
      </c>
      <c r="Q18" s="22">
        <v>1090260.9375</v>
      </c>
      <c r="R18" s="22">
        <v>41386.28125</v>
      </c>
      <c r="S18" s="23">
        <v>5574040</v>
      </c>
      <c r="T18" s="23">
        <v>2496176</v>
      </c>
      <c r="U18" s="23">
        <v>672672</v>
      </c>
      <c r="V18" s="23">
        <v>2405192</v>
      </c>
      <c r="W18" s="24">
        <v>70.533768749999993</v>
      </c>
      <c r="X18" s="24">
        <v>73.137540625</v>
      </c>
      <c r="Y18" s="24">
        <v>36.312578125000002</v>
      </c>
      <c r="Z18" s="24">
        <v>46.424765624999999</v>
      </c>
      <c r="AA18" s="24">
        <v>46.981949999999998</v>
      </c>
      <c r="AB18" s="25">
        <v>6433.48</v>
      </c>
      <c r="AC18" s="25">
        <v>0</v>
      </c>
      <c r="AD18" s="25">
        <v>92.138000000000005</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32</v>
      </c>
      <c r="G19" s="28">
        <v>30</v>
      </c>
      <c r="I19" s="29">
        <f t="shared" si="0"/>
        <v>11.2945425</v>
      </c>
      <c r="J19" s="30">
        <f t="shared" si="1"/>
        <v>3.734623842799397E-2</v>
      </c>
      <c r="K19" s="30">
        <f t="shared" si="2"/>
        <v>1.7294339933428254E-2</v>
      </c>
      <c r="L19" s="30">
        <f t="shared" si="3"/>
        <v>1.2755422597120458E-2</v>
      </c>
      <c r="M19" s="30">
        <f t="shared" si="4"/>
        <v>2.0051898494565717E-2</v>
      </c>
      <c r="N19" s="27">
        <f t="shared" si="5"/>
        <v>5578976</v>
      </c>
      <c r="O19" s="30">
        <v>-12</v>
      </c>
      <c r="P19" s="31">
        <v>32970337</v>
      </c>
      <c r="Q19" s="31">
        <v>1030323.03125</v>
      </c>
      <c r="R19" s="31">
        <v>17661.03125</v>
      </c>
      <c r="S19" s="32">
        <v>12047512</v>
      </c>
      <c r="T19" s="32">
        <v>4114768</v>
      </c>
      <c r="U19" s="32">
        <v>1464208</v>
      </c>
      <c r="V19" s="32">
        <v>6468536</v>
      </c>
      <c r="W19" s="33">
        <v>71.173196875000002</v>
      </c>
      <c r="X19" s="33">
        <v>75.079365624999994</v>
      </c>
      <c r="Y19" s="33">
        <v>38.666471874999999</v>
      </c>
      <c r="Z19" s="33">
        <v>48.187928124999999</v>
      </c>
      <c r="AA19" s="33">
        <v>48.830125000000002</v>
      </c>
      <c r="AB19" s="34">
        <v>7105.17</v>
      </c>
      <c r="AC19" s="34">
        <v>0</v>
      </c>
      <c r="AD19" s="34">
        <v>90.881</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 t="shared" si="0"/>
        <v>1.9707874999999999</v>
      </c>
      <c r="J20" s="21">
        <f t="shared" si="1"/>
        <v>5.0330784092989574E-3</v>
      </c>
      <c r="K20" s="21">
        <f t="shared" si="2"/>
        <v>3.9144959425069046E-3</v>
      </c>
      <c r="L20" s="21">
        <f t="shared" si="3"/>
        <v>2.3105878694751371E-3</v>
      </c>
      <c r="M20" s="21">
        <f t="shared" si="4"/>
        <v>1.1185824667920531E-3</v>
      </c>
      <c r="N20" s="18">
        <f t="shared" si="5"/>
        <v>980984</v>
      </c>
      <c r="O20" s="21">
        <v>-12</v>
      </c>
      <c r="P20" s="22">
        <v>30507512</v>
      </c>
      <c r="Q20" s="22">
        <v>953359.75</v>
      </c>
      <c r="R20" s="22">
        <v>28910</v>
      </c>
      <c r="S20" s="23">
        <v>1261304</v>
      </c>
      <c r="T20" s="23">
        <v>579040</v>
      </c>
      <c r="U20" s="23">
        <v>401944</v>
      </c>
      <c r="V20" s="23">
        <v>280320</v>
      </c>
      <c r="W20" s="24">
        <v>67.312293749999995</v>
      </c>
      <c r="X20" s="24">
        <v>69.044571875000003</v>
      </c>
      <c r="Y20" s="24">
        <v>30.0128375</v>
      </c>
      <c r="Z20" s="24">
        <v>39.583578125000003</v>
      </c>
      <c r="AA20" s="24">
        <v>38.128253125000001</v>
      </c>
      <c r="AB20" s="25">
        <v>5415.17</v>
      </c>
      <c r="AC20" s="25">
        <v>0</v>
      </c>
      <c r="AD20" s="25">
        <v>77.066999999999993</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 t="shared" si="0"/>
        <v>2.6503749999999999</v>
      </c>
      <c r="J21" s="12">
        <f t="shared" si="1"/>
        <v>6.7686369986849036E-3</v>
      </c>
      <c r="K21" s="12">
        <f t="shared" si="2"/>
        <v>4.6648464242976355E-3</v>
      </c>
      <c r="L21" s="12">
        <f t="shared" si="3"/>
        <v>3.060938351265868E-3</v>
      </c>
      <c r="M21" s="12">
        <f t="shared" si="4"/>
        <v>2.1037905743872681E-3</v>
      </c>
      <c r="N21" s="54">
        <f t="shared" si="5"/>
        <v>1169024</v>
      </c>
      <c r="O21" s="12">
        <v>-12</v>
      </c>
      <c r="P21" s="13">
        <v>31613867</v>
      </c>
      <c r="Q21" s="13">
        <v>987933.34375</v>
      </c>
      <c r="R21" s="13">
        <v>33272.375</v>
      </c>
      <c r="S21" s="14">
        <v>1696240</v>
      </c>
      <c r="T21" s="14">
        <v>767080</v>
      </c>
      <c r="U21" s="14">
        <v>401944</v>
      </c>
      <c r="V21" s="14">
        <v>527216</v>
      </c>
      <c r="W21" s="15">
        <v>68.871990624999995</v>
      </c>
      <c r="X21" s="15">
        <v>70.994709374999999</v>
      </c>
      <c r="Y21" s="15">
        <v>31.528665624999999</v>
      </c>
      <c r="Z21" s="15">
        <v>40.524396875000001</v>
      </c>
      <c r="AA21" s="15">
        <v>39.261146875000001</v>
      </c>
      <c r="AB21" s="16">
        <v>5674.8</v>
      </c>
      <c r="AC21" s="16">
        <v>0</v>
      </c>
      <c r="AD21" s="16">
        <v>79.010999999999996</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 t="shared" si="0"/>
        <v>4.0401999999999996</v>
      </c>
      <c r="J22" s="21">
        <f t="shared" si="1"/>
        <v>1.0318029411719755E-2</v>
      </c>
      <c r="K22" s="21">
        <f t="shared" si="2"/>
        <v>5.521117471865079E-3</v>
      </c>
      <c r="L22" s="21">
        <f t="shared" si="3"/>
        <v>3.9172093988333124E-3</v>
      </c>
      <c r="M22" s="21">
        <f t="shared" si="4"/>
        <v>4.7969119398546759E-3</v>
      </c>
      <c r="N22" s="18">
        <f t="shared" si="5"/>
        <v>1383608</v>
      </c>
      <c r="O22" s="21">
        <v>-12</v>
      </c>
      <c r="P22" s="22">
        <v>32647714</v>
      </c>
      <c r="Q22" s="22">
        <v>1020241.0625</v>
      </c>
      <c r="R22" s="22">
        <v>35487.59375</v>
      </c>
      <c r="S22" s="23">
        <v>2585728</v>
      </c>
      <c r="T22" s="23">
        <v>981664</v>
      </c>
      <c r="U22" s="23">
        <v>401944</v>
      </c>
      <c r="V22" s="23">
        <v>1202120</v>
      </c>
      <c r="W22" s="24">
        <v>70.076762500000001</v>
      </c>
      <c r="X22" s="24">
        <v>72.524424999999994</v>
      </c>
      <c r="Y22" s="24">
        <v>33.364156250000001</v>
      </c>
      <c r="Z22" s="24">
        <v>41.679375</v>
      </c>
      <c r="AA22" s="24">
        <v>40.449253124999998</v>
      </c>
      <c r="AB22" s="25">
        <v>5885.62</v>
      </c>
      <c r="AC22" s="25">
        <v>0</v>
      </c>
      <c r="AD22" s="25">
        <v>79.677000000000007</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 t="shared" si="0"/>
        <v>7.5956374999999996</v>
      </c>
      <c r="J23" s="12">
        <f t="shared" si="1"/>
        <v>1.9398052355269917E-2</v>
      </c>
      <c r="K23" s="12">
        <f t="shared" si="2"/>
        <v>8.2381172530048754E-3</v>
      </c>
      <c r="L23" s="12">
        <f t="shared" si="3"/>
        <v>6.634209179973107E-3</v>
      </c>
      <c r="M23" s="12">
        <f t="shared" si="4"/>
        <v>1.1159935102265041E-2</v>
      </c>
      <c r="N23" s="54">
        <f t="shared" si="5"/>
        <v>2064496</v>
      </c>
      <c r="O23" s="12">
        <v>-12</v>
      </c>
      <c r="P23" s="13">
        <v>32775716</v>
      </c>
      <c r="Q23" s="13">
        <v>1024241.125</v>
      </c>
      <c r="R23" s="13">
        <v>37413.65625</v>
      </c>
      <c r="S23" s="14">
        <v>4861208</v>
      </c>
      <c r="T23" s="14">
        <v>1662552</v>
      </c>
      <c r="U23" s="14">
        <v>401944</v>
      </c>
      <c r="V23" s="14">
        <v>2796712</v>
      </c>
      <c r="W23" s="15">
        <v>71.064987500000001</v>
      </c>
      <c r="X23" s="15">
        <v>73.830865625000001</v>
      </c>
      <c r="Y23" s="15">
        <v>35.153534375</v>
      </c>
      <c r="Z23" s="15">
        <v>42.728268749999998</v>
      </c>
      <c r="AA23" s="15">
        <v>41.42759375</v>
      </c>
      <c r="AB23" s="16">
        <v>6254.69</v>
      </c>
      <c r="AC23" s="16">
        <v>0</v>
      </c>
      <c r="AD23" s="16">
        <v>79.978999999999999</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32</v>
      </c>
      <c r="G24" s="38">
        <v>50</v>
      </c>
      <c r="I24" s="39">
        <f t="shared" si="0"/>
        <v>15.603775000000001</v>
      </c>
      <c r="J24" s="40">
        <f t="shared" si="1"/>
        <v>3.9849564225498103E-2</v>
      </c>
      <c r="K24" s="40">
        <f t="shared" si="2"/>
        <v>1.4318015190016303E-2</v>
      </c>
      <c r="L24" s="40">
        <f t="shared" si="3"/>
        <v>1.0746308589073699E-2</v>
      </c>
      <c r="M24" s="40">
        <f t="shared" si="4"/>
        <v>2.5531549035481799E-2</v>
      </c>
      <c r="N24" s="37">
        <f t="shared" si="5"/>
        <v>3588136</v>
      </c>
      <c r="O24" s="40">
        <v>-12</v>
      </c>
      <c r="P24" s="41">
        <v>31322261</v>
      </c>
      <c r="Q24" s="41">
        <v>978820.65625</v>
      </c>
      <c r="R24" s="41">
        <v>18052.34375</v>
      </c>
      <c r="S24" s="42">
        <v>9986416</v>
      </c>
      <c r="T24" s="42">
        <v>2693056</v>
      </c>
      <c r="U24" s="42">
        <v>895080</v>
      </c>
      <c r="V24" s="42">
        <v>6398280</v>
      </c>
      <c r="W24" s="43">
        <v>71.786190625000003</v>
      </c>
      <c r="X24" s="43">
        <v>75.799671875000001</v>
      </c>
      <c r="Y24" s="43">
        <v>36.267759374999997</v>
      </c>
      <c r="Z24" s="43">
        <v>43.44825625</v>
      </c>
      <c r="AA24" s="43">
        <v>41.930496875000003</v>
      </c>
      <c r="AB24" s="44">
        <v>6739.44</v>
      </c>
      <c r="AC24" s="44">
        <v>0</v>
      </c>
      <c r="AD24" s="44">
        <v>81.427999999999997</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 t="shared" si="0"/>
        <v>2.0457299999999998</v>
      </c>
      <c r="J25" s="12">
        <f t="shared" si="1"/>
        <v>8.7181751301352584E-3</v>
      </c>
      <c r="K25" s="12">
        <f t="shared" si="2"/>
        <v>5.6458273635343814E-3</v>
      </c>
      <c r="L25" s="12">
        <f t="shared" si="3"/>
        <v>3.5001956214937165E-3</v>
      </c>
      <c r="M25" s="12">
        <f t="shared" si="4"/>
        <v>3.0723477666008765E-3</v>
      </c>
      <c r="N25" s="54">
        <f t="shared" si="5"/>
        <v>1413120</v>
      </c>
      <c r="O25" s="12">
        <v>-12</v>
      </c>
      <c r="P25" s="13">
        <v>23447160</v>
      </c>
      <c r="Q25" s="13">
        <v>732723.75</v>
      </c>
      <c r="R25" s="13">
        <v>14606.90625</v>
      </c>
      <c r="S25" s="14">
        <v>2182112</v>
      </c>
      <c r="T25" s="14">
        <v>876080</v>
      </c>
      <c r="U25" s="14">
        <v>537040</v>
      </c>
      <c r="V25" s="14">
        <v>768992</v>
      </c>
      <c r="W25" s="15">
        <v>66.269165624999999</v>
      </c>
      <c r="X25" s="15">
        <v>68.024500000000003</v>
      </c>
      <c r="Y25" s="15">
        <v>25.926403125</v>
      </c>
      <c r="Z25" s="15">
        <v>32.491740624999998</v>
      </c>
      <c r="AA25" s="15">
        <v>31.686728124999998</v>
      </c>
      <c r="AB25" s="16">
        <v>6027.65</v>
      </c>
      <c r="AC25" s="16">
        <v>0</v>
      </c>
      <c r="AD25" s="16">
        <v>67.019000000000005</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 t="shared" si="0"/>
        <v>3.1667399999999999</v>
      </c>
      <c r="J26" s="21">
        <f t="shared" si="1"/>
        <v>1.3495521848731028E-2</v>
      </c>
      <c r="K26" s="21">
        <f t="shared" si="2"/>
        <v>7.1354001582023853E-3</v>
      </c>
      <c r="L26" s="21">
        <f t="shared" si="3"/>
        <v>4.9897684161617209E-3</v>
      </c>
      <c r="M26" s="21">
        <f t="shared" si="4"/>
        <v>6.3601216905286428E-3</v>
      </c>
      <c r="N26" s="18">
        <f t="shared" si="5"/>
        <v>1785952</v>
      </c>
      <c r="O26" s="21">
        <v>-12</v>
      </c>
      <c r="P26" s="22">
        <v>24683254</v>
      </c>
      <c r="Q26" s="22">
        <v>771351.6875</v>
      </c>
      <c r="R26" s="22">
        <v>17747.71875</v>
      </c>
      <c r="S26" s="23">
        <v>3377856</v>
      </c>
      <c r="T26" s="23">
        <v>1248912</v>
      </c>
      <c r="U26" s="23">
        <v>537040</v>
      </c>
      <c r="V26" s="23">
        <v>1591904</v>
      </c>
      <c r="W26" s="24">
        <v>67.999528124999998</v>
      </c>
      <c r="X26" s="24">
        <v>69.998353124999994</v>
      </c>
      <c r="Y26" s="24">
        <v>27.927900000000001</v>
      </c>
      <c r="Z26" s="24">
        <v>33.690649999999998</v>
      </c>
      <c r="AA26" s="24">
        <v>33.036268749999998</v>
      </c>
      <c r="AB26" s="25">
        <v>6442.8</v>
      </c>
      <c r="AC26" s="25">
        <v>0</v>
      </c>
      <c r="AD26" s="25">
        <v>69.051000000000002</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 t="shared" si="0"/>
        <v>5.3483850000000004</v>
      </c>
      <c r="J27" s="12">
        <f t="shared" si="1"/>
        <v>2.2792918465969831E-2</v>
      </c>
      <c r="K27" s="12">
        <f t="shared" si="2"/>
        <v>9.2952871029385684E-3</v>
      </c>
      <c r="L27" s="12">
        <f t="shared" si="3"/>
        <v>7.149655360897904E-3</v>
      </c>
      <c r="M27" s="12">
        <f t="shared" si="4"/>
        <v>1.3497631363031263E-2</v>
      </c>
      <c r="N27" s="54">
        <f t="shared" si="5"/>
        <v>2326560</v>
      </c>
      <c r="O27" s="12">
        <v>-12</v>
      </c>
      <c r="P27" s="13">
        <v>24877828</v>
      </c>
      <c r="Q27" s="13">
        <v>777432.125</v>
      </c>
      <c r="R27" s="13">
        <v>18548.4375</v>
      </c>
      <c r="S27" s="14">
        <v>5704944</v>
      </c>
      <c r="T27" s="14">
        <v>1789520</v>
      </c>
      <c r="U27" s="14">
        <v>537040</v>
      </c>
      <c r="V27" s="14">
        <v>3378384</v>
      </c>
      <c r="W27" s="15">
        <v>69.298346874999993</v>
      </c>
      <c r="X27" s="15">
        <v>71.685940625000001</v>
      </c>
      <c r="Y27" s="15">
        <v>30.217128124999999</v>
      </c>
      <c r="Z27" s="15">
        <v>34.933071875000003</v>
      </c>
      <c r="AA27" s="15">
        <v>34.362974999999999</v>
      </c>
      <c r="AB27" s="16">
        <v>6835.05</v>
      </c>
      <c r="AC27" s="16">
        <v>0</v>
      </c>
      <c r="AD27" s="16">
        <v>73.096000000000004</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 t="shared" si="0"/>
        <v>10.33356</v>
      </c>
      <c r="J28" s="21">
        <f t="shared" si="1"/>
        <v>4.4037964832974293E-2</v>
      </c>
      <c r="K28" s="21">
        <f t="shared" si="2"/>
        <v>1.3195906893422088E-2</v>
      </c>
      <c r="L28" s="21">
        <f t="shared" si="3"/>
        <v>1.1050275151381423E-2</v>
      </c>
      <c r="M28" s="21">
        <f t="shared" si="4"/>
        <v>3.0842057939552203E-2</v>
      </c>
      <c r="N28" s="18">
        <f t="shared" si="5"/>
        <v>3302864</v>
      </c>
      <c r="O28" s="21">
        <v>-12</v>
      </c>
      <c r="P28" s="22">
        <v>25543425</v>
      </c>
      <c r="Q28" s="22">
        <v>798232.03125</v>
      </c>
      <c r="R28" s="22">
        <v>21050.96875</v>
      </c>
      <c r="S28" s="23">
        <v>11022464</v>
      </c>
      <c r="T28" s="23">
        <v>2765824</v>
      </c>
      <c r="U28" s="23">
        <v>537040</v>
      </c>
      <c r="V28" s="23">
        <v>7719600</v>
      </c>
      <c r="W28" s="24">
        <v>70.467181249999996</v>
      </c>
      <c r="X28" s="24">
        <v>72.998196875000005</v>
      </c>
      <c r="Y28" s="24">
        <v>32.703921874999999</v>
      </c>
      <c r="Z28" s="24">
        <v>36.429737500000002</v>
      </c>
      <c r="AA28" s="24">
        <v>35.873125000000002</v>
      </c>
      <c r="AB28" s="25">
        <v>7447.13</v>
      </c>
      <c r="AC28" s="25">
        <v>0</v>
      </c>
      <c r="AD28" s="25">
        <v>73.635000000000005</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32</v>
      </c>
      <c r="G29" s="28">
        <v>30</v>
      </c>
      <c r="I29" s="29">
        <f t="shared" si="0"/>
        <v>23.872927499999999</v>
      </c>
      <c r="J29" s="30">
        <f t="shared" si="1"/>
        <v>0.10173794333270865</v>
      </c>
      <c r="K29" s="30">
        <f t="shared" si="2"/>
        <v>2.1608841696781116E-2</v>
      </c>
      <c r="L29" s="30">
        <f t="shared" si="3"/>
        <v>1.7256913695399129E-2</v>
      </c>
      <c r="M29" s="30">
        <f t="shared" si="4"/>
        <v>8.0129101635927541E-2</v>
      </c>
      <c r="N29" s="27">
        <f t="shared" si="5"/>
        <v>5408576</v>
      </c>
      <c r="O29" s="30">
        <v>-12</v>
      </c>
      <c r="P29" s="31">
        <v>24566853</v>
      </c>
      <c r="Q29" s="31">
        <v>767714.15625</v>
      </c>
      <c r="R29" s="31">
        <v>9764.71875</v>
      </c>
      <c r="S29" s="32">
        <v>25464456</v>
      </c>
      <c r="T29" s="32">
        <v>4319312</v>
      </c>
      <c r="U29" s="32">
        <v>1089264</v>
      </c>
      <c r="V29" s="32">
        <v>20055880</v>
      </c>
      <c r="W29" s="33">
        <v>71.132256249999998</v>
      </c>
      <c r="X29" s="33">
        <v>74.873078125000006</v>
      </c>
      <c r="Y29" s="33">
        <v>35.729353125000003</v>
      </c>
      <c r="Z29" s="33">
        <v>38.365762500000002</v>
      </c>
      <c r="AA29" s="33">
        <v>37.753331250000002</v>
      </c>
      <c r="AB29" s="34">
        <v>8291.43</v>
      </c>
      <c r="AC29" s="34">
        <v>0</v>
      </c>
      <c r="AD29" s="34">
        <v>66.988</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 t="shared" si="0"/>
        <v>3.6323400000000001</v>
      </c>
      <c r="J30" s="21">
        <f t="shared" si="1"/>
        <v>1.0320360653679347E-2</v>
      </c>
      <c r="K30" s="21">
        <f t="shared" si="2"/>
        <v>8.1810538285235993E-3</v>
      </c>
      <c r="L30" s="21">
        <f t="shared" si="3"/>
        <v>5.1498666146946497E-3</v>
      </c>
      <c r="M30" s="21">
        <f t="shared" si="4"/>
        <v>2.1393068251557481E-3</v>
      </c>
      <c r="N30" s="18">
        <f t="shared" si="5"/>
        <v>3071352</v>
      </c>
      <c r="O30" s="21">
        <v>-12</v>
      </c>
      <c r="P30" s="22">
        <v>86274361</v>
      </c>
      <c r="Q30" s="22">
        <v>2696073.78125</v>
      </c>
      <c r="R30" s="22">
        <v>32982.90625</v>
      </c>
      <c r="S30" s="23">
        <v>3874496</v>
      </c>
      <c r="T30" s="23">
        <v>1933376</v>
      </c>
      <c r="U30" s="23">
        <v>1137976</v>
      </c>
      <c r="V30" s="23">
        <v>803144</v>
      </c>
      <c r="W30" s="24">
        <v>73.642509375000003</v>
      </c>
      <c r="X30" s="24">
        <v>75.684415625</v>
      </c>
      <c r="Y30" s="24">
        <v>33.211271875000001</v>
      </c>
      <c r="Z30" s="24">
        <v>41.882462500000003</v>
      </c>
      <c r="AA30" s="24">
        <v>43.424578124999996</v>
      </c>
      <c r="AB30" s="25">
        <v>19330.5</v>
      </c>
      <c r="AC30" s="25">
        <v>0</v>
      </c>
      <c r="AD30" s="25">
        <v>217.09800000000001</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 t="shared" si="0"/>
        <v>4.8567900000000002</v>
      </c>
      <c r="J31" s="12">
        <f t="shared" si="1"/>
        <v>1.3799320663589673E-2</v>
      </c>
      <c r="K31" s="12">
        <f t="shared" si="2"/>
        <v>1.0106926478380671E-2</v>
      </c>
      <c r="L31" s="12">
        <f t="shared" si="3"/>
        <v>7.0757392645517218E-3</v>
      </c>
      <c r="M31" s="12">
        <f t="shared" si="4"/>
        <v>3.6923941852090025E-3</v>
      </c>
      <c r="N31" s="54">
        <f t="shared" si="5"/>
        <v>3794368</v>
      </c>
      <c r="O31" s="12">
        <v>-12</v>
      </c>
      <c r="P31" s="13">
        <v>90475079</v>
      </c>
      <c r="Q31" s="13">
        <v>2827346.21875</v>
      </c>
      <c r="R31" s="13">
        <v>40017.0625</v>
      </c>
      <c r="S31" s="14">
        <v>5180576</v>
      </c>
      <c r="T31" s="14">
        <v>2656392</v>
      </c>
      <c r="U31" s="14">
        <v>1137976</v>
      </c>
      <c r="V31" s="14">
        <v>1386208</v>
      </c>
      <c r="W31" s="15">
        <v>75.233768749999996</v>
      </c>
      <c r="X31" s="15">
        <v>77.555181250000004</v>
      </c>
      <c r="Y31" s="15">
        <v>35.169034375000003</v>
      </c>
      <c r="Z31" s="15">
        <v>42.4467</v>
      </c>
      <c r="AA31" s="15">
        <v>44.624909375000001</v>
      </c>
      <c r="AB31" s="16">
        <v>22467.599999999999</v>
      </c>
      <c r="AC31" s="16">
        <v>0</v>
      </c>
      <c r="AD31" s="16">
        <v>260.19099999999997</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 t="shared" si="0"/>
        <v>7.0407374999999996</v>
      </c>
      <c r="J32" s="21">
        <f t="shared" si="1"/>
        <v>2.0004446243436651E-2</v>
      </c>
      <c r="K32" s="21">
        <f t="shared" si="2"/>
        <v>1.2977292234444134E-2</v>
      </c>
      <c r="L32" s="21">
        <f t="shared" si="3"/>
        <v>9.9461050206151851E-3</v>
      </c>
      <c r="M32" s="21">
        <f t="shared" si="4"/>
        <v>7.0271540089925184E-3</v>
      </c>
      <c r="N32" s="18">
        <f t="shared" si="5"/>
        <v>4871968</v>
      </c>
      <c r="O32" s="21">
        <v>-12</v>
      </c>
      <c r="P32" s="22">
        <v>91576045</v>
      </c>
      <c r="Q32" s="22">
        <v>2861751.40625</v>
      </c>
      <c r="R32" s="22">
        <v>42569.84375</v>
      </c>
      <c r="S32" s="23">
        <v>7510120</v>
      </c>
      <c r="T32" s="23">
        <v>3733992</v>
      </c>
      <c r="U32" s="23">
        <v>1137976</v>
      </c>
      <c r="V32" s="23">
        <v>2638152</v>
      </c>
      <c r="W32" s="24">
        <v>76.447175000000001</v>
      </c>
      <c r="X32" s="24">
        <v>79.107984375000001</v>
      </c>
      <c r="Y32" s="24">
        <v>36.962496874999999</v>
      </c>
      <c r="Z32" s="24">
        <v>43.093821875000003</v>
      </c>
      <c r="AA32" s="24">
        <v>46.092771874999997</v>
      </c>
      <c r="AB32" s="25">
        <v>23431.200000000001</v>
      </c>
      <c r="AC32" s="25">
        <v>0</v>
      </c>
      <c r="AD32" s="25">
        <v>257.18099999999998</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 t="shared" si="0"/>
        <v>11.812245000000001</v>
      </c>
      <c r="J33" s="12">
        <f t="shared" si="1"/>
        <v>3.3561458599586105E-2</v>
      </c>
      <c r="K33" s="12">
        <f t="shared" si="2"/>
        <v>1.8224052339063213E-2</v>
      </c>
      <c r="L33" s="12">
        <f t="shared" si="3"/>
        <v>1.5192865125234264E-2</v>
      </c>
      <c r="M33" s="12">
        <f t="shared" si="4"/>
        <v>1.5337406260522893E-2</v>
      </c>
      <c r="N33" s="54">
        <f t="shared" si="5"/>
        <v>6841720</v>
      </c>
      <c r="O33" s="12">
        <v>-12</v>
      </c>
      <c r="P33" s="13">
        <v>93857895</v>
      </c>
      <c r="Q33" s="13">
        <v>2933059.21875</v>
      </c>
      <c r="R33" s="13">
        <v>47472.0625</v>
      </c>
      <c r="S33" s="14">
        <v>12599728</v>
      </c>
      <c r="T33" s="14">
        <v>5703744</v>
      </c>
      <c r="U33" s="14">
        <v>1137976</v>
      </c>
      <c r="V33" s="14">
        <v>5758008</v>
      </c>
      <c r="W33" s="15">
        <v>77.563299999999998</v>
      </c>
      <c r="X33" s="15">
        <v>80.266209375000003</v>
      </c>
      <c r="Y33" s="15">
        <v>38.705725000000001</v>
      </c>
      <c r="Z33" s="15">
        <v>43.681825000000003</v>
      </c>
      <c r="AA33" s="15">
        <v>47.368153124999999</v>
      </c>
      <c r="AB33" s="16">
        <v>24616.5</v>
      </c>
      <c r="AC33" s="16">
        <v>0</v>
      </c>
      <c r="AD33" s="16">
        <v>257.67099999999999</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32</v>
      </c>
      <c r="G34" s="38">
        <v>30</v>
      </c>
      <c r="I34" s="39">
        <f t="shared" si="0"/>
        <v>24.362257499999998</v>
      </c>
      <c r="J34" s="40">
        <f t="shared" si="1"/>
        <v>6.9219093955357858E-2</v>
      </c>
      <c r="K34" s="40">
        <f t="shared" si="2"/>
        <v>3.0624586447645329E-2</v>
      </c>
      <c r="L34" s="40">
        <f t="shared" si="3"/>
        <v>2.4322567377873923E-2</v>
      </c>
      <c r="M34" s="40">
        <f t="shared" si="4"/>
        <v>3.8594507507712532E-2</v>
      </c>
      <c r="N34" s="37">
        <f t="shared" si="5"/>
        <v>11497160</v>
      </c>
      <c r="O34" s="40">
        <v>-12</v>
      </c>
      <c r="P34" s="41">
        <v>91982225</v>
      </c>
      <c r="Q34" s="41">
        <v>2874444.53125</v>
      </c>
      <c r="R34" s="41">
        <v>18690.34375</v>
      </c>
      <c r="S34" s="42">
        <v>25986408</v>
      </c>
      <c r="T34" s="42">
        <v>9131240</v>
      </c>
      <c r="U34" s="42">
        <v>2365920</v>
      </c>
      <c r="V34" s="42">
        <v>14489248</v>
      </c>
      <c r="W34" s="43">
        <v>78.474549999999994</v>
      </c>
      <c r="X34" s="43">
        <v>81.899309375000001</v>
      </c>
      <c r="Y34" s="43">
        <v>40.490646875000003</v>
      </c>
      <c r="Z34" s="43">
        <v>44.366059374999999</v>
      </c>
      <c r="AA34" s="43">
        <v>48.777446875000003</v>
      </c>
      <c r="AB34" s="44">
        <v>26799.7</v>
      </c>
      <c r="AC34" s="44">
        <v>0</v>
      </c>
      <c r="AD34" s="44">
        <v>249.709</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 t="shared" si="0"/>
        <v>4.3212374999999996</v>
      </c>
      <c r="J35" s="12">
        <f t="shared" si="1"/>
        <v>1.383387997375881E-2</v>
      </c>
      <c r="K35" s="12">
        <f t="shared" si="2"/>
        <v>1.0555541064354293E-2</v>
      </c>
      <c r="L35" s="12">
        <f t="shared" si="3"/>
        <v>6.7758676173570983E-3</v>
      </c>
      <c r="M35" s="12">
        <f t="shared" si="4"/>
        <v>3.2783389094045183E-3</v>
      </c>
      <c r="N35" s="54">
        <f t="shared" si="5"/>
        <v>3517008</v>
      </c>
      <c r="O35" s="12">
        <v>-12</v>
      </c>
      <c r="P35" s="13">
        <v>75026394</v>
      </c>
      <c r="Q35" s="13">
        <v>2344574.8125</v>
      </c>
      <c r="R35" s="13">
        <v>30516.15625</v>
      </c>
      <c r="S35" s="14">
        <v>4609320</v>
      </c>
      <c r="T35" s="14">
        <v>2257656</v>
      </c>
      <c r="U35" s="14">
        <v>1259352</v>
      </c>
      <c r="V35" s="14">
        <v>1092312</v>
      </c>
      <c r="W35" s="15">
        <v>73.205775000000003</v>
      </c>
      <c r="X35" s="15">
        <v>75.384728124999995</v>
      </c>
      <c r="Y35" s="15">
        <v>31.805303124999998</v>
      </c>
      <c r="Z35" s="15">
        <v>42.135787499999999</v>
      </c>
      <c r="AA35" s="15">
        <v>43.117065625000002</v>
      </c>
      <c r="AB35" s="16">
        <v>18744.3</v>
      </c>
      <c r="AC35" s="16">
        <v>0</v>
      </c>
      <c r="AD35" s="16">
        <v>197.89</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 t="shared" si="0"/>
        <v>5.8328175</v>
      </c>
      <c r="J36" s="21">
        <f t="shared" si="1"/>
        <v>1.8673006795817154E-2</v>
      </c>
      <c r="K36" s="21">
        <f t="shared" si="2"/>
        <v>1.310185471599418E-2</v>
      </c>
      <c r="L36" s="21">
        <f t="shared" si="3"/>
        <v>9.322181268996985E-3</v>
      </c>
      <c r="M36" s="21">
        <f t="shared" si="4"/>
        <v>5.5711520798229748E-3</v>
      </c>
      <c r="N36" s="18">
        <f t="shared" si="5"/>
        <v>4365416</v>
      </c>
      <c r="O36" s="21">
        <v>-12</v>
      </c>
      <c r="P36" s="22">
        <v>80082017</v>
      </c>
      <c r="Q36" s="22">
        <v>2502563.03125</v>
      </c>
      <c r="R36" s="22">
        <v>38887</v>
      </c>
      <c r="S36" s="23">
        <v>6221672</v>
      </c>
      <c r="T36" s="23">
        <v>3106064</v>
      </c>
      <c r="U36" s="23">
        <v>1259352</v>
      </c>
      <c r="V36" s="23">
        <v>1856256</v>
      </c>
      <c r="W36" s="24">
        <v>74.950756249999998</v>
      </c>
      <c r="X36" s="24">
        <v>77.347009374999999</v>
      </c>
      <c r="Y36" s="24">
        <v>34.042753124999997</v>
      </c>
      <c r="Z36" s="24">
        <v>42.974150000000002</v>
      </c>
      <c r="AA36" s="24">
        <v>44.904471874999999</v>
      </c>
      <c r="AB36" s="25">
        <v>19640</v>
      </c>
      <c r="AC36" s="25">
        <v>0</v>
      </c>
      <c r="AD36" s="25">
        <v>208.35</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 t="shared" si="0"/>
        <v>8.4084675000000004</v>
      </c>
      <c r="J37" s="12">
        <f t="shared" si="1"/>
        <v>2.6918615363828488E-2</v>
      </c>
      <c r="K37" s="12">
        <f t="shared" si="2"/>
        <v>1.679883677661833E-2</v>
      </c>
      <c r="L37" s="12">
        <f t="shared" si="3"/>
        <v>1.3019163329621134E-2</v>
      </c>
      <c r="M37" s="12">
        <f t="shared" si="4"/>
        <v>1.011977858721016E-2</v>
      </c>
      <c r="N37" s="54">
        <f t="shared" si="5"/>
        <v>5597216</v>
      </c>
      <c r="O37" s="12">
        <v>-12</v>
      </c>
      <c r="P37" s="13">
        <v>81678386</v>
      </c>
      <c r="Q37" s="13">
        <v>2552449.5625</v>
      </c>
      <c r="R37" s="13">
        <v>42018.5625</v>
      </c>
      <c r="S37" s="14">
        <v>8969032</v>
      </c>
      <c r="T37" s="14">
        <v>4337864</v>
      </c>
      <c r="U37" s="14">
        <v>1259352</v>
      </c>
      <c r="V37" s="14">
        <v>3371816</v>
      </c>
      <c r="W37" s="15">
        <v>76.249899999999997</v>
      </c>
      <c r="X37" s="15">
        <v>78.959259375000002</v>
      </c>
      <c r="Y37" s="15">
        <v>36.14314375</v>
      </c>
      <c r="Z37" s="15">
        <v>43.507246875</v>
      </c>
      <c r="AA37" s="15">
        <v>46.136931250000004</v>
      </c>
      <c r="AB37" s="16">
        <v>20522.3</v>
      </c>
      <c r="AC37" s="16">
        <v>0</v>
      </c>
      <c r="AD37" s="16">
        <v>200.34899999999999</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 t="shared" si="0"/>
        <v>13.7558325</v>
      </c>
      <c r="J38" s="21">
        <f t="shared" si="1"/>
        <v>4.4037509103383138E-2</v>
      </c>
      <c r="K38" s="21">
        <f t="shared" si="2"/>
        <v>2.3020523241572336E-2</v>
      </c>
      <c r="L38" s="21">
        <f t="shared" si="3"/>
        <v>1.9240849794575143E-2</v>
      </c>
      <c r="M38" s="21">
        <f t="shared" si="4"/>
        <v>2.1016985861810802E-2</v>
      </c>
      <c r="N38" s="18">
        <f t="shared" si="5"/>
        <v>7670224</v>
      </c>
      <c r="O38" s="21">
        <v>-12</v>
      </c>
      <c r="P38" s="22">
        <v>83831259</v>
      </c>
      <c r="Q38" s="22">
        <v>2619726.84375</v>
      </c>
      <c r="R38" s="22">
        <v>47003.0625</v>
      </c>
      <c r="S38" s="23">
        <v>14672888</v>
      </c>
      <c r="T38" s="23">
        <v>6410872</v>
      </c>
      <c r="U38" s="23">
        <v>1259352</v>
      </c>
      <c r="V38" s="23">
        <v>7002664</v>
      </c>
      <c r="W38" s="24">
        <v>77.432034375000001</v>
      </c>
      <c r="X38" s="24">
        <v>80.157456249999996</v>
      </c>
      <c r="Y38" s="24">
        <v>38.094084375000001</v>
      </c>
      <c r="Z38" s="24">
        <v>44.219112500000001</v>
      </c>
      <c r="AA38" s="24">
        <v>47.244974999999997</v>
      </c>
      <c r="AB38" s="25">
        <v>21638.799999999999</v>
      </c>
      <c r="AC38" s="25">
        <v>0</v>
      </c>
      <c r="AD38" s="25">
        <v>210.86799999999999</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32</v>
      </c>
      <c r="G39" s="28">
        <v>30</v>
      </c>
      <c r="I39" s="29">
        <f t="shared" si="0"/>
        <v>27.5888025</v>
      </c>
      <c r="J39" s="30">
        <f t="shared" si="1"/>
        <v>8.8321963882970325E-2</v>
      </c>
      <c r="K39" s="30">
        <f t="shared" si="2"/>
        <v>3.7427456443718331E-2</v>
      </c>
      <c r="L39" s="30">
        <f t="shared" si="3"/>
        <v>2.9699365338507405E-2</v>
      </c>
      <c r="M39" s="30">
        <f t="shared" si="4"/>
        <v>5.0894507439252001E-2</v>
      </c>
      <c r="N39" s="27">
        <f t="shared" si="5"/>
        <v>12470480</v>
      </c>
      <c r="O39" s="30">
        <v>-12</v>
      </c>
      <c r="P39" s="31">
        <v>81982633</v>
      </c>
      <c r="Q39" s="31">
        <v>2561957.28125</v>
      </c>
      <c r="R39" s="31">
        <v>18515.375</v>
      </c>
      <c r="S39" s="32">
        <v>29428056</v>
      </c>
      <c r="T39" s="32">
        <v>9895552</v>
      </c>
      <c r="U39" s="32">
        <v>2574928</v>
      </c>
      <c r="V39" s="32">
        <v>16957576</v>
      </c>
      <c r="W39" s="33">
        <v>78.306631249999995</v>
      </c>
      <c r="X39" s="33">
        <v>81.86231875</v>
      </c>
      <c r="Y39" s="33">
        <v>40.168896875000002</v>
      </c>
      <c r="Z39" s="33">
        <v>45.123678124999998</v>
      </c>
      <c r="AA39" s="33">
        <v>48.623590624999999</v>
      </c>
      <c r="AB39" s="34">
        <v>23181.7</v>
      </c>
      <c r="AC39" s="34">
        <v>0</v>
      </c>
      <c r="AD39" s="34">
        <v>217.91</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1.7525940122878107E-2</v>
      </c>
      <c r="K40" s="48">
        <f>AVERAGE(K5:K24)</f>
        <v>9.4899123025431326E-3</v>
      </c>
      <c r="L40" s="48">
        <f>AVERAGE(L5:L24)</f>
        <v>6.9778830479007058E-3</v>
      </c>
      <c r="M40" s="48">
        <f>AVERAGE(M5:M24)</f>
        <v>8.0360278203349712E-3</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3.8156504722103815E-2</v>
      </c>
      <c r="K41" s="48">
        <f>AVERAGE(K25:K29)</f>
        <v>1.1376252642975707E-2</v>
      </c>
      <c r="L41" s="48">
        <f>AVERAGE(L25:L29)</f>
        <v>8.7893616490667785E-3</v>
      </c>
      <c r="M41" s="48">
        <f>AVERAGE(M25:M29)</f>
        <v>2.6780252079128108E-2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3.3868965523540753E-2</v>
      </c>
      <c r="K42" s="48">
        <f>AVERAGE(K30:K39)</f>
        <v>1.8101812357031441E-2</v>
      </c>
      <c r="L42" s="48">
        <f>AVERAGE(L30:L39)</f>
        <v>1.3974457075202751E-2</v>
      </c>
      <c r="M42" s="48">
        <f>AVERAGE(M30:M39)</f>
        <v>1.5767153166509316E-2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2.5142599465813969E-2</v>
      </c>
      <c r="K43" s="48">
        <f>AVERAGE(K5:K39)</f>
        <v>1.2219932366744447E-2</v>
      </c>
      <c r="L43" s="48">
        <f>AVERAGE(L5:L39)</f>
        <v>9.2356868558678713E-3</v>
      </c>
      <c r="M43" s="48">
        <f>AVERAGE(M5:M39)</f>
        <v>1.2922667099069514E-2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376437.55</v>
      </c>
      <c r="AC44" s="49">
        <f>SUM(AC5:AC24,AC25:AC29,AC30:AC39)</f>
        <v>0</v>
      </c>
      <c r="AD44" s="49">
        <f>SUM(AD5:AD24,AD25:AD29,AD30:AD39)</f>
        <v>4111.6729999999998</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8891.4150134685369</v>
      </c>
      <c r="AC46" s="49" t="e">
        <f>GEOMEAN(AC5:AC24,AC25:AC29,AC30:AC39)</f>
        <v>#NUM!</v>
      </c>
      <c r="AD46" s="49">
        <f>GEOMEAN(AD5:AD24,AD25:AD29,AD30:AD39)</f>
        <v>100.5680026060089</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2022-10-10T07:56:57Z</dcterms:modified>
</cp:coreProperties>
</file>