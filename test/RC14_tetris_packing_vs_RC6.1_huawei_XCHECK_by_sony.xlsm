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5Meeting\new_anchor\"/>
    </mc:Choice>
  </mc:AlternateContent>
  <bookViews>
    <workbookView xWindow="0" yWindow="465" windowWidth="28800" windowHeight="1632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2511"/>
</workbook>
</file>

<file path=xl/calcChain.xml><?xml version="1.0" encoding="utf-8"?>
<calcChain xmlns="http://schemas.openxmlformats.org/spreadsheetml/2006/main">
  <c r="BI5" i="6" l="1"/>
  <c r="BJ5" i="6"/>
  <c r="BK5" i="6"/>
  <c r="BL5" i="6"/>
  <c r="BI6" i="6"/>
  <c r="BJ6" i="6"/>
  <c r="BK6" i="6"/>
  <c r="BL6" i="6"/>
  <c r="BI7" i="6"/>
  <c r="BJ7" i="6"/>
  <c r="BK7" i="6"/>
  <c r="BL7" i="6"/>
  <c r="BI8" i="6"/>
  <c r="BJ8" i="6"/>
  <c r="BK8" i="6"/>
  <c r="BL8" i="6"/>
  <c r="BI9" i="6"/>
  <c r="BJ9" i="6"/>
  <c r="BK9" i="6"/>
  <c r="BL9" i="6"/>
  <c r="BH6" i="6"/>
  <c r="BH7" i="6"/>
  <c r="BH8" i="6"/>
  <c r="BH9" i="6"/>
  <c r="BH5" i="6"/>
  <c r="BI5" i="5"/>
  <c r="BJ5" i="5"/>
  <c r="BK5" i="5"/>
  <c r="BL5" i="5"/>
  <c r="BI6" i="5"/>
  <c r="BJ6" i="5"/>
  <c r="BK6" i="5"/>
  <c r="BL6" i="5"/>
  <c r="BI7" i="5"/>
  <c r="BJ7" i="5"/>
  <c r="BK7" i="5"/>
  <c r="BL7" i="5"/>
  <c r="BI8" i="5"/>
  <c r="BJ8" i="5"/>
  <c r="BK8" i="5"/>
  <c r="BL8" i="5"/>
  <c r="BI9" i="5"/>
  <c r="BJ9" i="5"/>
  <c r="BK9" i="5"/>
  <c r="BL9" i="5"/>
  <c r="BH6" i="5"/>
  <c r="BH7" i="5"/>
  <c r="BH8" i="5"/>
  <c r="BH9" i="5"/>
  <c r="BH5" i="5"/>
  <c r="BV5" i="7" l="1"/>
  <c r="BW5" i="7"/>
  <c r="BX5" i="7"/>
  <c r="BY5" i="7"/>
  <c r="BZ5" i="7"/>
  <c r="CA5" i="7"/>
  <c r="CB5" i="7"/>
  <c r="CC5" i="7"/>
  <c r="CD5" i="7"/>
  <c r="CE5" i="7"/>
  <c r="CF5" i="7"/>
  <c r="BV6" i="7"/>
  <c r="BW6" i="7"/>
  <c r="BX6" i="7"/>
  <c r="BY6" i="7"/>
  <c r="BZ6" i="7"/>
  <c r="CA6" i="7"/>
  <c r="CB6" i="7"/>
  <c r="CC6" i="7"/>
  <c r="CD6" i="7"/>
  <c r="CE6" i="7"/>
  <c r="CF6" i="7"/>
  <c r="BV7" i="7"/>
  <c r="BW7" i="7"/>
  <c r="BX7" i="7"/>
  <c r="BY7" i="7"/>
  <c r="BZ7" i="7"/>
  <c r="CA7" i="7"/>
  <c r="CB7" i="7"/>
  <c r="CC7" i="7"/>
  <c r="CD7" i="7"/>
  <c r="CE7" i="7"/>
  <c r="CF7" i="7"/>
  <c r="BV8" i="7"/>
  <c r="BW8" i="7"/>
  <c r="BX8" i="7"/>
  <c r="BY8" i="7"/>
  <c r="BZ8" i="7"/>
  <c r="CA8" i="7"/>
  <c r="CB8" i="7"/>
  <c r="CC8" i="7"/>
  <c r="CD8" i="7"/>
  <c r="CE8" i="7"/>
  <c r="CF8" i="7"/>
  <c r="BV9" i="7"/>
  <c r="BW9" i="7"/>
  <c r="BX9" i="7"/>
  <c r="BY9" i="7"/>
  <c r="BZ9" i="7"/>
  <c r="CA9" i="7"/>
  <c r="CB9" i="7"/>
  <c r="CC9" i="7"/>
  <c r="CD9" i="7"/>
  <c r="CE9" i="7"/>
  <c r="CF9" i="7"/>
  <c r="BV10" i="7"/>
  <c r="BW10" i="7"/>
  <c r="BX10" i="7"/>
  <c r="BY10" i="7"/>
  <c r="BZ10" i="7"/>
  <c r="CA10" i="7"/>
  <c r="CB10" i="7"/>
  <c r="CC10" i="7"/>
  <c r="CD10" i="7"/>
  <c r="CE10" i="7"/>
  <c r="CF10" i="7"/>
  <c r="BV11" i="7"/>
  <c r="BW11" i="7"/>
  <c r="BX11" i="7"/>
  <c r="BY11" i="7"/>
  <c r="BZ11" i="7"/>
  <c r="CA11" i="7"/>
  <c r="CB11" i="7"/>
  <c r="CC11" i="7"/>
  <c r="CD11" i="7"/>
  <c r="CE11" i="7"/>
  <c r="CF11" i="7"/>
  <c r="BV12" i="7"/>
  <c r="BW12" i="7"/>
  <c r="BX12" i="7"/>
  <c r="BY12" i="7"/>
  <c r="BZ12" i="7"/>
  <c r="CA12" i="7"/>
  <c r="CB12" i="7"/>
  <c r="CC12" i="7"/>
  <c r="CD12" i="7"/>
  <c r="CE12" i="7"/>
  <c r="CF12" i="7"/>
  <c r="BV13" i="7"/>
  <c r="BW13" i="7"/>
  <c r="BX13" i="7"/>
  <c r="BY13" i="7"/>
  <c r="BZ13" i="7"/>
  <c r="CA13" i="7"/>
  <c r="CB13" i="7"/>
  <c r="CC13" i="7"/>
  <c r="CD13" i="7"/>
  <c r="CE13" i="7"/>
  <c r="CF13" i="7"/>
  <c r="BV14" i="7"/>
  <c r="BW14" i="7"/>
  <c r="BX14" i="7"/>
  <c r="BY14" i="7"/>
  <c r="BZ14" i="7"/>
  <c r="CA14" i="7"/>
  <c r="CB14" i="7"/>
  <c r="CC14" i="7"/>
  <c r="CD14" i="7"/>
  <c r="CE14" i="7"/>
  <c r="CF14" i="7"/>
  <c r="BV15" i="7"/>
  <c r="BW15" i="7"/>
  <c r="BX15" i="7"/>
  <c r="BY15" i="7"/>
  <c r="BZ15" i="7"/>
  <c r="CA15" i="7"/>
  <c r="CB15" i="7"/>
  <c r="CC15" i="7"/>
  <c r="CD15" i="7"/>
  <c r="CE15" i="7"/>
  <c r="CF15" i="7"/>
  <c r="BV16" i="7"/>
  <c r="BW16" i="7"/>
  <c r="BX16" i="7"/>
  <c r="BY16" i="7"/>
  <c r="BZ16" i="7"/>
  <c r="CA16" i="7"/>
  <c r="CB16" i="7"/>
  <c r="CC16" i="7"/>
  <c r="CD16" i="7"/>
  <c r="CE16" i="7"/>
  <c r="CF16" i="7"/>
  <c r="BV17" i="7"/>
  <c r="BW17" i="7"/>
  <c r="BX17" i="7"/>
  <c r="BY17" i="7"/>
  <c r="BZ17" i="7"/>
  <c r="CA17" i="7"/>
  <c r="CB17" i="7"/>
  <c r="CC17" i="7"/>
  <c r="CD17" i="7"/>
  <c r="CE17" i="7"/>
  <c r="CF17" i="7"/>
  <c r="BV18" i="7"/>
  <c r="BW18" i="7"/>
  <c r="BX18" i="7"/>
  <c r="BY18" i="7"/>
  <c r="BZ18" i="7"/>
  <c r="CA18" i="7"/>
  <c r="CB18" i="7"/>
  <c r="CC18" i="7"/>
  <c r="CD18" i="7"/>
  <c r="CE18" i="7"/>
  <c r="CF18" i="7"/>
  <c r="BV19" i="7"/>
  <c r="BW19" i="7"/>
  <c r="BX19" i="7"/>
  <c r="BY19" i="7"/>
  <c r="BZ19" i="7"/>
  <c r="CA19" i="7"/>
  <c r="CB19" i="7"/>
  <c r="CC19" i="7"/>
  <c r="CD19" i="7"/>
  <c r="CE19" i="7"/>
  <c r="CF19" i="7"/>
  <c r="BV20" i="7"/>
  <c r="BW20" i="7"/>
  <c r="BX20" i="7"/>
  <c r="BY20" i="7"/>
  <c r="BZ20" i="7"/>
  <c r="CA20" i="7"/>
  <c r="CB20" i="7"/>
  <c r="CC20" i="7"/>
  <c r="CD20" i="7"/>
  <c r="CE20" i="7"/>
  <c r="CF20" i="7"/>
  <c r="BV21" i="7"/>
  <c r="BW21" i="7"/>
  <c r="BX21" i="7"/>
  <c r="BY21" i="7"/>
  <c r="BZ21" i="7"/>
  <c r="CA21" i="7"/>
  <c r="CB21" i="7"/>
  <c r="CC21" i="7"/>
  <c r="CD21" i="7"/>
  <c r="CE21" i="7"/>
  <c r="CF21" i="7"/>
  <c r="BV22" i="7"/>
  <c r="BW22" i="7"/>
  <c r="BX22" i="7"/>
  <c r="BY22" i="7"/>
  <c r="BZ22" i="7"/>
  <c r="CA22" i="7"/>
  <c r="CB22" i="7"/>
  <c r="CC22" i="7"/>
  <c r="CD22" i="7"/>
  <c r="CE22" i="7"/>
  <c r="CF22" i="7"/>
  <c r="BV23" i="7"/>
  <c r="BW23" i="7"/>
  <c r="BX23" i="7"/>
  <c r="BY23" i="7"/>
  <c r="BZ23" i="7"/>
  <c r="CA23" i="7"/>
  <c r="CB23" i="7"/>
  <c r="CC23" i="7"/>
  <c r="CD23" i="7"/>
  <c r="CE23" i="7"/>
  <c r="CF23" i="7"/>
  <c r="BV24" i="7"/>
  <c r="BW24" i="7"/>
  <c r="BX24" i="7"/>
  <c r="BY24" i="7"/>
  <c r="BZ24" i="7"/>
  <c r="CA24" i="7"/>
  <c r="CB24" i="7"/>
  <c r="CC24" i="7"/>
  <c r="CD24" i="7"/>
  <c r="CE24" i="7"/>
  <c r="CF24" i="7"/>
  <c r="BV25" i="7"/>
  <c r="BW25" i="7"/>
  <c r="BX25" i="7"/>
  <c r="BY25" i="7"/>
  <c r="BZ25" i="7"/>
  <c r="CA25" i="7"/>
  <c r="CB25" i="7"/>
  <c r="CC25" i="7"/>
  <c r="CD25" i="7"/>
  <c r="CE25" i="7"/>
  <c r="CF25" i="7"/>
  <c r="BV26" i="7"/>
  <c r="BW26" i="7"/>
  <c r="BX26" i="7"/>
  <c r="BY26" i="7"/>
  <c r="BZ26" i="7"/>
  <c r="CA26" i="7"/>
  <c r="CB26" i="7"/>
  <c r="CC26" i="7"/>
  <c r="CD26" i="7"/>
  <c r="CE26" i="7"/>
  <c r="CF26" i="7"/>
  <c r="BV27" i="7"/>
  <c r="BW27" i="7"/>
  <c r="BX27" i="7"/>
  <c r="BY27" i="7"/>
  <c r="BZ27" i="7"/>
  <c r="CA27" i="7"/>
  <c r="CB27" i="7"/>
  <c r="CC27" i="7"/>
  <c r="CD27" i="7"/>
  <c r="CE27" i="7"/>
  <c r="CF27" i="7"/>
  <c r="BV28" i="7"/>
  <c r="BW28" i="7"/>
  <c r="BX28" i="7"/>
  <c r="BY28" i="7"/>
  <c r="BZ28" i="7"/>
  <c r="CA28" i="7"/>
  <c r="CB28" i="7"/>
  <c r="CC28" i="7"/>
  <c r="CD28" i="7"/>
  <c r="CE28" i="7"/>
  <c r="CF28" i="7"/>
  <c r="BV29" i="7"/>
  <c r="BW29" i="7"/>
  <c r="BX29" i="7"/>
  <c r="BY29" i="7"/>
  <c r="BZ29" i="7"/>
  <c r="CA29" i="7"/>
  <c r="CB29" i="7"/>
  <c r="CC29" i="7"/>
  <c r="CD29" i="7"/>
  <c r="CE29" i="7"/>
  <c r="CF29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V5" i="3"/>
  <c r="BW5" i="3"/>
  <c r="BX5" i="3"/>
  <c r="BY5" i="3"/>
  <c r="BZ5" i="3"/>
  <c r="CA5" i="3"/>
  <c r="CB5" i="3"/>
  <c r="CC5" i="3"/>
  <c r="CD5" i="3"/>
  <c r="CE5" i="3"/>
  <c r="CF5" i="3"/>
  <c r="BV6" i="3"/>
  <c r="BW6" i="3"/>
  <c r="BX6" i="3"/>
  <c r="BY6" i="3"/>
  <c r="BZ6" i="3"/>
  <c r="CA6" i="3"/>
  <c r="CB6" i="3"/>
  <c r="CC6" i="3"/>
  <c r="CD6" i="3"/>
  <c r="CE6" i="3"/>
  <c r="CF6" i="3"/>
  <c r="BV7" i="3"/>
  <c r="BW7" i="3"/>
  <c r="BX7" i="3"/>
  <c r="BY7" i="3"/>
  <c r="BZ7" i="3"/>
  <c r="CA7" i="3"/>
  <c r="CB7" i="3"/>
  <c r="CC7" i="3"/>
  <c r="CD7" i="3"/>
  <c r="CE7" i="3"/>
  <c r="CF7" i="3"/>
  <c r="BV8" i="3"/>
  <c r="BW8" i="3"/>
  <c r="BX8" i="3"/>
  <c r="BY8" i="3"/>
  <c r="BZ8" i="3"/>
  <c r="CA8" i="3"/>
  <c r="CB8" i="3"/>
  <c r="CC8" i="3"/>
  <c r="CD8" i="3"/>
  <c r="CE8" i="3"/>
  <c r="CF8" i="3"/>
  <c r="BV9" i="3"/>
  <c r="BW9" i="3"/>
  <c r="BX9" i="3"/>
  <c r="BY9" i="3"/>
  <c r="BZ9" i="3"/>
  <c r="CA9" i="3"/>
  <c r="CB9" i="3"/>
  <c r="CC9" i="3"/>
  <c r="CD9" i="3"/>
  <c r="CE9" i="3"/>
  <c r="CF9" i="3"/>
  <c r="BV10" i="3"/>
  <c r="BW10" i="3"/>
  <c r="BX10" i="3"/>
  <c r="BY10" i="3"/>
  <c r="BZ10" i="3"/>
  <c r="CA10" i="3"/>
  <c r="CB10" i="3"/>
  <c r="CC10" i="3"/>
  <c r="CD10" i="3"/>
  <c r="CE10" i="3"/>
  <c r="CF10" i="3"/>
  <c r="BV11" i="3"/>
  <c r="BW11" i="3"/>
  <c r="BX11" i="3"/>
  <c r="BY11" i="3"/>
  <c r="BZ11" i="3"/>
  <c r="CA11" i="3"/>
  <c r="CB11" i="3"/>
  <c r="CC11" i="3"/>
  <c r="CD11" i="3"/>
  <c r="CE11" i="3"/>
  <c r="CF11" i="3"/>
  <c r="BV12" i="3"/>
  <c r="BW12" i="3"/>
  <c r="BX12" i="3"/>
  <c r="BY12" i="3"/>
  <c r="BZ12" i="3"/>
  <c r="CA12" i="3"/>
  <c r="CB12" i="3"/>
  <c r="CC12" i="3"/>
  <c r="CD12" i="3"/>
  <c r="CE12" i="3"/>
  <c r="CF12" i="3"/>
  <c r="BV13" i="3"/>
  <c r="BW13" i="3"/>
  <c r="BX13" i="3"/>
  <c r="BY13" i="3"/>
  <c r="BZ13" i="3"/>
  <c r="CA13" i="3"/>
  <c r="CB13" i="3"/>
  <c r="CC13" i="3"/>
  <c r="CD13" i="3"/>
  <c r="CE13" i="3"/>
  <c r="CF13" i="3"/>
  <c r="BV14" i="3"/>
  <c r="BW14" i="3"/>
  <c r="BX14" i="3"/>
  <c r="BY14" i="3"/>
  <c r="BZ14" i="3"/>
  <c r="CA14" i="3"/>
  <c r="CB14" i="3"/>
  <c r="CC14" i="3"/>
  <c r="CD14" i="3"/>
  <c r="CE14" i="3"/>
  <c r="CF14" i="3"/>
  <c r="BV15" i="3"/>
  <c r="BW15" i="3"/>
  <c r="BX15" i="3"/>
  <c r="BY15" i="3"/>
  <c r="BZ15" i="3"/>
  <c r="CA15" i="3"/>
  <c r="CB15" i="3"/>
  <c r="CC15" i="3"/>
  <c r="CD15" i="3"/>
  <c r="CE15" i="3"/>
  <c r="CF15" i="3"/>
  <c r="BV16" i="3"/>
  <c r="BW16" i="3"/>
  <c r="BX16" i="3"/>
  <c r="BY16" i="3"/>
  <c r="BZ16" i="3"/>
  <c r="CA16" i="3"/>
  <c r="CB16" i="3"/>
  <c r="CC16" i="3"/>
  <c r="CD16" i="3"/>
  <c r="CE16" i="3"/>
  <c r="CF16" i="3"/>
  <c r="BV17" i="3"/>
  <c r="BW17" i="3"/>
  <c r="BX17" i="3"/>
  <c r="BY17" i="3"/>
  <c r="BZ17" i="3"/>
  <c r="CA17" i="3"/>
  <c r="CB17" i="3"/>
  <c r="CC17" i="3"/>
  <c r="CD17" i="3"/>
  <c r="CE17" i="3"/>
  <c r="CF17" i="3"/>
  <c r="BV18" i="3"/>
  <c r="BW18" i="3"/>
  <c r="BX18" i="3"/>
  <c r="BY18" i="3"/>
  <c r="BZ18" i="3"/>
  <c r="CA18" i="3"/>
  <c r="CB18" i="3"/>
  <c r="CC18" i="3"/>
  <c r="CD18" i="3"/>
  <c r="CE18" i="3"/>
  <c r="CF18" i="3"/>
  <c r="BV19" i="3"/>
  <c r="BW19" i="3"/>
  <c r="BX19" i="3"/>
  <c r="BY19" i="3"/>
  <c r="BZ19" i="3"/>
  <c r="CA19" i="3"/>
  <c r="CB19" i="3"/>
  <c r="CC19" i="3"/>
  <c r="CD19" i="3"/>
  <c r="CE19" i="3"/>
  <c r="CF19" i="3"/>
  <c r="BV20" i="3"/>
  <c r="BW20" i="3"/>
  <c r="BX20" i="3"/>
  <c r="BY20" i="3"/>
  <c r="BZ20" i="3"/>
  <c r="CA20" i="3"/>
  <c r="CB20" i="3"/>
  <c r="CC20" i="3"/>
  <c r="CD20" i="3"/>
  <c r="CE20" i="3"/>
  <c r="CF20" i="3"/>
  <c r="BV21" i="3"/>
  <c r="BW21" i="3"/>
  <c r="BX21" i="3"/>
  <c r="BY21" i="3"/>
  <c r="BZ21" i="3"/>
  <c r="CA21" i="3"/>
  <c r="CB21" i="3"/>
  <c r="CC21" i="3"/>
  <c r="CD21" i="3"/>
  <c r="CE21" i="3"/>
  <c r="CF21" i="3"/>
  <c r="BV22" i="3"/>
  <c r="BW22" i="3"/>
  <c r="BX22" i="3"/>
  <c r="BY22" i="3"/>
  <c r="BZ22" i="3"/>
  <c r="CA22" i="3"/>
  <c r="CB22" i="3"/>
  <c r="CC22" i="3"/>
  <c r="CD22" i="3"/>
  <c r="CE22" i="3"/>
  <c r="CF22" i="3"/>
  <c r="BV23" i="3"/>
  <c r="BW23" i="3"/>
  <c r="BX23" i="3"/>
  <c r="BY23" i="3"/>
  <c r="BZ23" i="3"/>
  <c r="CA23" i="3"/>
  <c r="CB23" i="3"/>
  <c r="CC23" i="3"/>
  <c r="CD23" i="3"/>
  <c r="CE23" i="3"/>
  <c r="CF23" i="3"/>
  <c r="BV24" i="3"/>
  <c r="BW24" i="3"/>
  <c r="BX24" i="3"/>
  <c r="BY24" i="3"/>
  <c r="BZ24" i="3"/>
  <c r="CA24" i="3"/>
  <c r="CB24" i="3"/>
  <c r="CC24" i="3"/>
  <c r="CD24" i="3"/>
  <c r="CE24" i="3"/>
  <c r="CF24" i="3"/>
  <c r="BV25" i="3"/>
  <c r="BW25" i="3"/>
  <c r="BX25" i="3"/>
  <c r="BY25" i="3"/>
  <c r="BZ25" i="3"/>
  <c r="CA25" i="3"/>
  <c r="CB25" i="3"/>
  <c r="CC25" i="3"/>
  <c r="CD25" i="3"/>
  <c r="CE25" i="3"/>
  <c r="CF25" i="3"/>
  <c r="BV26" i="3"/>
  <c r="BW26" i="3"/>
  <c r="BX26" i="3"/>
  <c r="BY26" i="3"/>
  <c r="BZ26" i="3"/>
  <c r="CA26" i="3"/>
  <c r="CB26" i="3"/>
  <c r="CC26" i="3"/>
  <c r="CD26" i="3"/>
  <c r="CE26" i="3"/>
  <c r="CF26" i="3"/>
  <c r="BV27" i="3"/>
  <c r="BW27" i="3"/>
  <c r="BX27" i="3"/>
  <c r="BY27" i="3"/>
  <c r="BZ27" i="3"/>
  <c r="CA27" i="3"/>
  <c r="CB27" i="3"/>
  <c r="CC27" i="3"/>
  <c r="CD27" i="3"/>
  <c r="CE27" i="3"/>
  <c r="CF27" i="3"/>
  <c r="BV28" i="3"/>
  <c r="BW28" i="3"/>
  <c r="BX28" i="3"/>
  <c r="BY28" i="3"/>
  <c r="BZ28" i="3"/>
  <c r="CA28" i="3"/>
  <c r="CB28" i="3"/>
  <c r="CC28" i="3"/>
  <c r="CD28" i="3"/>
  <c r="CE28" i="3"/>
  <c r="CF28" i="3"/>
  <c r="BV29" i="3"/>
  <c r="BW29" i="3"/>
  <c r="BX29" i="3"/>
  <c r="BY29" i="3"/>
  <c r="BZ29" i="3"/>
  <c r="CA29" i="3"/>
  <c r="CB29" i="3"/>
  <c r="CC29" i="3"/>
  <c r="CD29" i="3"/>
  <c r="CE29" i="3"/>
  <c r="CF29" i="3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R20" i="7"/>
  <c r="BS10" i="7"/>
  <c r="BL10" i="7"/>
  <c r="BL25" i="7"/>
  <c r="BO20" i="7"/>
  <c r="BL5" i="7"/>
  <c r="BO25" i="7"/>
  <c r="BR15" i="7"/>
  <c r="BL15" i="7"/>
  <c r="BS20" i="7"/>
  <c r="BK10" i="7"/>
  <c r="BR25" i="7"/>
  <c r="BS25" i="7"/>
  <c r="BK5" i="7"/>
  <c r="BL20" i="7"/>
  <c r="BS5" i="7"/>
  <c r="BM20" i="7"/>
  <c r="BP25" i="7"/>
  <c r="BP15" i="7"/>
  <c r="BK20" i="7"/>
  <c r="BQ10" i="7"/>
  <c r="BK25" i="7"/>
  <c r="BR5" i="7"/>
  <c r="BO10" i="7"/>
  <c r="BP20" i="7"/>
  <c r="BM15" i="7"/>
  <c r="BS15" i="7"/>
  <c r="BM10" i="7"/>
  <c r="BM25" i="7"/>
  <c r="BK15" i="7"/>
  <c r="BO15" i="7"/>
  <c r="BQ15" i="7"/>
  <c r="BO5" i="7"/>
  <c r="BR10" i="7"/>
  <c r="BP5" i="7"/>
  <c r="BM5" i="7"/>
  <c r="BQ5" i="7"/>
  <c r="BP10" i="7"/>
  <c r="BQ25" i="7"/>
  <c r="BQ20" i="7"/>
  <c r="BJ25" i="7"/>
  <c r="BP15" i="3"/>
  <c r="BS25" i="3"/>
  <c r="BP25" i="3"/>
  <c r="BR10" i="3"/>
  <c r="BO10" i="3"/>
  <c r="BK5" i="3"/>
  <c r="BS10" i="3"/>
  <c r="BK25" i="3"/>
  <c r="BP10" i="3"/>
  <c r="BQ25" i="3"/>
  <c r="BL20" i="3"/>
  <c r="BS5" i="3"/>
  <c r="BP5" i="3"/>
  <c r="BM20" i="3"/>
  <c r="BQ20" i="3"/>
  <c r="BK20" i="3"/>
  <c r="BO20" i="3"/>
  <c r="BJ15" i="3"/>
  <c r="BQ5" i="3"/>
  <c r="BL10" i="3"/>
  <c r="BR25" i="3"/>
  <c r="BR5" i="3"/>
  <c r="BR15" i="3"/>
  <c r="BM5" i="3"/>
  <c r="BO5" i="3"/>
  <c r="BR20" i="3"/>
  <c r="BM25" i="3"/>
  <c r="BS20" i="3"/>
  <c r="BL25" i="3"/>
  <c r="BK10" i="3"/>
  <c r="BO25" i="3"/>
  <c r="BQ10" i="3"/>
  <c r="BL15" i="3"/>
  <c r="BQ15" i="3"/>
  <c r="BO15" i="3"/>
  <c r="BK15" i="3"/>
  <c r="BM15" i="3"/>
  <c r="BS15" i="3"/>
  <c r="BP20" i="3"/>
  <c r="BL5" i="3"/>
  <c r="BM10" i="3"/>
  <c r="BC34" i="3" l="1"/>
  <c r="BE9" i="6"/>
  <c r="BF7" i="6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7"/>
  <c r="BJ15" i="7"/>
  <c r="BI15" i="7"/>
  <c r="BI25" i="7"/>
  <c r="BJ5" i="7"/>
  <c r="BI20" i="7"/>
  <c r="BJ10" i="7"/>
  <c r="BJ20" i="7"/>
  <c r="BI5" i="7"/>
  <c r="BJ25" i="3"/>
  <c r="BI20" i="3"/>
  <c r="BJ10" i="3"/>
  <c r="BJ5" i="3"/>
  <c r="BI10" i="3"/>
  <c r="BI25" i="3"/>
  <c r="BJ20" i="3"/>
  <c r="BI5" i="3"/>
  <c r="BI15" i="3"/>
  <c r="AH10" i="5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<sst xmlns="http://schemas.openxmlformats.org/spreadsheetml/2006/main" count="1448" uniqueCount="551">
  <si>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</si>
  <si>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</si>
  <si>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</si>
  <si>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</si>
  <si>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</si>
  <si>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</si>
  <si>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</si>
  <si>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</si>
  <si>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</si>
  <si>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</si>
  <si>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</si>
  <si>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</si>
  <si>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</si>
  <si>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</si>
  <si>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</si>
  <si>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</si>
  <si>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</si>
  <si>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</si>
  <si>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</si>
  <si>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</si>
  <si>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</si>
  <si>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</si>
  <si>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</si>
  <si>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</si>
  <si>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</si>
  <si>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</si>
  <si>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</si>
  <si>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</si>
  <si>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</si>
  <si>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</si>
  <si>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</si>
  <si>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</si>
  <si>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</si>
  <si>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</si>
  <si>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</si>
  <si>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</si>
  <si>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</si>
  <si>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</si>
  <si>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</si>
  <si>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</si>
  <si>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</si>
  <si>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</si>
  <si>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</si>
  <si>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</si>
  <si>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</si>
  <si>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</si>
  <si>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</si>
  <si>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</si>
  <si>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</si>
  <si>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</si>
  <si>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</si>
  <si>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</si>
  <si>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</si>
  <si>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</si>
  <si>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</si>
  <si>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</si>
  <si>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</si>
  <si>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</si>
  <si>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</si>
  <si>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</si>
  <si>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</si>
  <si>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</si>
  <si>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</si>
  <si>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</si>
  <si>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</si>
  <si>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</si>
  <si>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</si>
  <si>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</si>
  <si>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</si>
  <si>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</si>
  <si>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</si>
  <si>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</si>
  <si>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</si>
  <si>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</si>
  <si>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</si>
  <si>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</si>
  <si>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</si>
  <si>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</si>
  <si>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</si>
  <si>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</si>
  <si>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</si>
  <si>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</si>
  <si>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</si>
  <si>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</si>
  <si>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</si>
  <si>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</si>
  <si>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</si>
  <si>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</si>
  <si>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</si>
  <si>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</si>
  <si>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</si>
  <si>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</si>
  <si>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</si>
  <si>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</si>
  <si>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</si>
  <si>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</si>
  <si>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</si>
  <si>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</si>
  <si>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</si>
  <si>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</si>
  <si>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</si>
  <si>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</si>
  <si>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</si>
  <si>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</si>
  <si>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</si>
  <si>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</si>
  <si>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</si>
  <si>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</si>
  <si>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</si>
  <si>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</si>
  <si>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</si>
  <si>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</si>
  <si>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</si>
  <si>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</si>
  <si>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</si>
  <si>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</si>
  <si>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</si>
  <si>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</si>
  <si>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</si>
  <si>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</si>
  <si>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</si>
  <si>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</si>
  <si>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</si>
  <si>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</si>
  <si>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</si>
  <si>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</si>
  <si>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</si>
  <si>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</si>
  <si>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</si>
  <si>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</si>
  <si>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</si>
  <si>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</si>
  <si>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</si>
  <si>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</si>
  <si>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</si>
  <si>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</si>
  <si>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</si>
  <si>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</si>
  <si>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</si>
  <si>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</si>
  <si>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</si>
  <si>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</si>
  <si>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</si>
  <si>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</si>
  <si>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</si>
  <si>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</si>
  <si>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</si>
  <si>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</si>
  <si>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</si>
  <si>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</si>
  <si>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</si>
  <si>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</si>
  <si>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</si>
  <si>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</si>
  <si>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</si>
  <si>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</si>
  <si>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</si>
  <si>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</si>
  <si>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</si>
  <si>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</si>
  <si>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</si>
  <si>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</si>
  <si>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</si>
  <si>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</si>
  <si>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</si>
  <si>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</si>
  <si>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</si>
  <si>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</si>
  <si>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</si>
  <si>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</si>
  <si>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</si>
  <si>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</si>
  <si>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</si>
  <si>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</si>
  <si>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</si>
  <si>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</si>
  <si>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</si>
  <si>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</si>
  <si>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</si>
  <si>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</si>
  <si>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</si>
  <si>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</si>
  <si>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</si>
  <si>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</si>
  <si>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</si>
  <si>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</si>
  <si>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</si>
  <si>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</si>
  <si>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</si>
  <si>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</si>
  <si>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</si>
  <si>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</si>
  <si>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</si>
  <si>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</si>
  <si>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</si>
  <si>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</si>
  <si>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</si>
  <si>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</si>
  <si>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</si>
  <si>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</si>
  <si>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</si>
  <si>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</si>
  <si>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</si>
  <si>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</si>
  <si>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</si>
  <si>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</si>
  <si>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</si>
  <si>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</si>
  <si>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</si>
  <si>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</si>
  <si>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</si>
  <si>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</si>
  <si>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</si>
  <si>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</si>
  <si>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</si>
  <si>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</si>
  <si>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</si>
  <si>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</si>
  <si>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</si>
  <si>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</si>
  <si>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</si>
  <si>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</si>
  <si>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</si>
  <si>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</si>
  <si>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</si>
  <si>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</si>
  <si>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</si>
  <si>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</si>
  <si>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</si>
  <si>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</si>
  <si>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</si>
  <si>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</si>
  <si>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</si>
  <si>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</si>
  <si>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</si>
  <si>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</si>
  <si>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</si>
  <si>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</si>
  <si>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</si>
  <si>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</si>
  <si>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</si>
  <si>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</si>
  <si>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</si>
  <si>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</si>
  <si>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</si>
  <si>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</si>
  <si>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</si>
  <si>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</si>
  <si>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</si>
  <si>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</si>
  <si>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</si>
  <si>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</si>
  <si>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</si>
  <si>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</si>
  <si>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</si>
  <si>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</si>
  <si>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</si>
  <si>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</si>
  <si>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</si>
  <si>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</si>
  <si>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</si>
  <si>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</si>
  <si>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</si>
  <si>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</si>
  <si>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</si>
  <si>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</si>
  <si>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</si>
  <si>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</si>
  <si>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</si>
  <si>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</si>
  <si>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</si>
  <si>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</si>
  <si>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</si>
  <si>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</si>
  <si>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</si>
  <si>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</si>
  <si>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</si>
  <si>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</si>
  <si>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</si>
  <si>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</si>
  <si>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</si>
  <si>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</si>
  <si>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</si>
  <si>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</si>
  <si>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</si>
  <si>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</si>
  <si>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</si>
  <si>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</si>
  <si>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</si>
  <si>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</si>
  <si>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</si>
  <si>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</si>
  <si>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</si>
  <si>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</si>
  <si>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</si>
  <si>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</si>
  <si>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</si>
  <si>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</si>
  <si>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</si>
  <si>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</si>
  <si>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</si>
  <si>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</si>
  <si>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</si>
  <si>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</si>
  <si>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</si>
  <si>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</si>
  <si>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</si>
  <si>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</si>
  <si>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</si>
  <si>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</si>
  <si>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</si>
  <si>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</si>
  <si>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</si>
  <si>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</si>
  <si>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</si>
  <si>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</si>
  <si>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</si>
  <si>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</si>
  <si>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</si>
  <si>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</si>
  <si>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</si>
  <si>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</si>
  <si>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</si>
  <si>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</si>
  <si>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</si>
  <si>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</si>
  <si>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</si>
  <si>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</si>
  <si>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</si>
  <si>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</si>
  <si>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</si>
  <si>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</si>
  <si>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</si>
  <si>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</si>
  <si>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</si>
  <si>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</si>
  <si>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</si>
  <si>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</si>
  <si>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</si>
  <si>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</si>
  <si>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</si>
  <si>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</si>
  <si>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</si>
  <si>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</si>
  <si>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</si>
  <si>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</si>
  <si>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</si>
  <si>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</si>
  <si>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</si>
  <si>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</si>
  <si>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</si>
  <si>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</si>
  <si>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</si>
  <si>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</si>
  <si>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</si>
  <si>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</si>
  <si>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</si>
  <si>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</si>
  <si>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</si>
  <si>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</si>
  <si>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</si>
  <si>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</si>
  <si>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</si>
  <si>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</si>
  <si>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</si>
  <si>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</si>
  <si>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</si>
  <si>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</si>
  <si>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</si>
  <si>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</si>
  <si>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</si>
  <si>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</si>
  <si>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</si>
  <si>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</si>
  <si>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</si>
  <si>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</si>
  <si>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</si>
  <si>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</si>
  <si>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</si>
  <si>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</si>
  <si>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</si>
  <si>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</si>
  <si>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</si>
  <si>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</si>
  <si>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</si>
  <si>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</si>
  <si>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</si>
  <si>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</si>
  <si>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</si>
  <si>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</si>
  <si>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</si>
  <si>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</si>
  <si>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</si>
  <si>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</si>
  <si>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</si>
  <si>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</si>
  <si>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</si>
  <si>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</si>
  <si>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</si>
  <si>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</si>
  <si>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</si>
  <si>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</si>
  <si>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</si>
  <si>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</si>
  <si>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</si>
  <si>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</si>
  <si>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</si>
  <si>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</si>
  <si>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</si>
  <si>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</si>
  <si>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</si>
  <si>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</si>
  <si>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</si>
  <si>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</si>
  <si>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</si>
  <si>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</si>
  <si>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</si>
  <si>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</si>
  <si>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</si>
  <si>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</si>
  <si>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</si>
  <si>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</si>
  <si>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</si>
  <si>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</si>
  <si>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</si>
  <si>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</si>
  <si>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</si>
  <si>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</si>
  <si>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</si>
  <si>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</si>
  <si>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</si>
  <si>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</si>
  <si>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</si>
  <si>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</si>
  <si>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</si>
  <si>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</si>
  <si>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</si>
  <si>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</si>
  <si>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</si>
  <si>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</si>
  <si>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</si>
  <si>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</si>
  <si>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</si>
  <si>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</si>
  <si>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</si>
  <si>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</si>
  <si>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</si>
  <si>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</si>
  <si>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</si>
  <si>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</si>
  <si>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</si>
  <si>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</si>
  <si>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</si>
  <si>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</si>
  <si>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</si>
  <si>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</si>
  <si>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</si>
  <si>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</si>
  <si>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</si>
  <si>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</si>
  <si>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</si>
  <si>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</si>
  <si>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</si>
  <si>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</si>
  <si>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</si>
  <si>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</si>
  <si>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</si>
  <si>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</si>
  <si>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</si>
  <si>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</si>
  <si>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</si>
  <si>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</si>
  <si>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</si>
  <si>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</si>
  <si>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</si>
  <si>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</si>
  <si>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</si>
  <si>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</si>
  <si>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</si>
  <si>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</si>
  <si>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</si>
  <si>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</si>
  <si>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</si>
  <si>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</si>
  <si>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</si>
  <si>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</si>
  <si>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</si>
  <si>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</si>
  <si>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</si>
  <si>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</si>
  <si>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</si>
  <si>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</si>
  <si>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</si>
  <si>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</si>
  <si>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</si>
  <si>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</si>
  <si>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</si>
  <si>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</si>
  <si>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</si>
  <si>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</si>
  <si>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</si>
  <si>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</si>
  <si>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</si>
  <si>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</si>
  <si>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</si>
  <si>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</si>
  <si>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</si>
  <si>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</si>
  <si>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</si>
  <si>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</si>
  <si>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</si>
  <si>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</si>
  <si>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</si>
  <si>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</si>
  <si>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</si>
  <si>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</si>
  <si>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</si>
  <si>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</si>
  <si>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</si>
  <si>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</si>
  <si>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</si>
  <si>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</si>
  <si>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</si>
  <si>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</si>
  <si>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</si>
  <si>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</si>
  <si>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</si>
  <si>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</si>
  <si>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</si>
  <si>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</si>
  <si>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</si>
  <si>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</si>
  <si>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</si>
  <si>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</si>
  <si>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</si>
  <si>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</si>
  <si>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</si>
  <si>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</si>
  <si>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</si>
  <si>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</si>
  <si>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</si>
  <si>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</si>
  <si>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</si>
  <si>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</si>
  <si>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</si>
  <si>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</si>
  <si>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</si>
  <si>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huawei RC6.1 (sony xcheck)</t>
  </si>
  <si>
    <t>sony xcheck of TMCv5 RC6.1</t>
  </si>
  <si>
    <t>TMC2v5.0 RC14 - tetris packing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</si>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</sst>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7"/>
      <tableStyleElement type="headerRow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66.315199999999905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72.1473625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TMC2v5.0 RC14 - tetris packing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9.7562519274993084E-2</c:v>
                </c:pt>
                <c:pt idx="1">
                  <c:v>0.15104584575254759</c:v>
                </c:pt>
                <c:pt idx="2">
                  <c:v>0.24679778248502535</c:v>
                </c:pt>
                <c:pt idx="3">
                  <c:v>0.42772561070208104</c:v>
                </c:pt>
                <c:pt idx="4">
                  <c:v>0.77559139253866149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66.339568749999998</c:v>
                </c:pt>
                <c:pt idx="1">
                  <c:v>68.254128124999994</c:v>
                </c:pt>
                <c:pt idx="2">
                  <c:v>69.66915625</c:v>
                </c:pt>
                <c:pt idx="3">
                  <c:v>70.757543749999996</c:v>
                </c:pt>
                <c:pt idx="4">
                  <c:v>72.156974999999903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20936"/>
        <c:axId val="283220544"/>
      </c:scatterChart>
      <c:valAx>
        <c:axId val="283220936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0544"/>
        <c:crosses val="autoZero"/>
        <c:crossBetween val="midCat"/>
      </c:valAx>
      <c:valAx>
        <c:axId val="283220544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0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72.030415624999904</c:v>
                </c:pt>
                <c:pt idx="3">
                  <c:v>73.278437499999995</c:v>
                </c:pt>
                <c:pt idx="4">
                  <c:v>75.316325000000006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TMC2v5.0 RC14 - tetris packing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9.7562519274993084E-2</c:v>
                </c:pt>
                <c:pt idx="1">
                  <c:v>0.15104584575254759</c:v>
                </c:pt>
                <c:pt idx="2">
                  <c:v>0.24679778248502535</c:v>
                </c:pt>
                <c:pt idx="3">
                  <c:v>0.42772561070208104</c:v>
                </c:pt>
                <c:pt idx="4">
                  <c:v>0.77559139253866149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68.362721875000005</c:v>
                </c:pt>
                <c:pt idx="1">
                  <c:v>70.360934374999999</c:v>
                </c:pt>
                <c:pt idx="2">
                  <c:v>72.045403124999893</c:v>
                </c:pt>
                <c:pt idx="3">
                  <c:v>73.301956249999904</c:v>
                </c:pt>
                <c:pt idx="4">
                  <c:v>75.310878125000002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22112"/>
        <c:axId val="283222504"/>
      </c:scatterChart>
      <c:valAx>
        <c:axId val="283222112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2504"/>
        <c:crosses val="autoZero"/>
        <c:crossBetween val="midCat"/>
      </c:valAx>
      <c:valAx>
        <c:axId val="283222504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21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34.471631249999902</c:v>
                </c:pt>
                <c:pt idx="2">
                  <c:v>37.006359374999903</c:v>
                </c:pt>
                <c:pt idx="3">
                  <c:v>39.627543749999901</c:v>
                </c:pt>
                <c:pt idx="4">
                  <c:v>42.067243750000003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TMC2v5.0 RC14 - tetris packing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9.7562519274993084E-2</c:v>
                </c:pt>
                <c:pt idx="1">
                  <c:v>0.15104584575254759</c:v>
                </c:pt>
                <c:pt idx="2">
                  <c:v>0.24679778248502535</c:v>
                </c:pt>
                <c:pt idx="3">
                  <c:v>0.42772561070208104</c:v>
                </c:pt>
                <c:pt idx="4">
                  <c:v>0.77559139253866149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32.172049999999999</c:v>
                </c:pt>
                <c:pt idx="1">
                  <c:v>34.455093750000003</c:v>
                </c:pt>
                <c:pt idx="2">
                  <c:v>37.004221874999999</c:v>
                </c:pt>
                <c:pt idx="3">
                  <c:v>39.62633125</c:v>
                </c:pt>
                <c:pt idx="4">
                  <c:v>42.071925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23288"/>
        <c:axId val="283223680"/>
      </c:scatterChart>
      <c:valAx>
        <c:axId val="283223288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3680"/>
        <c:crosses val="autoZero"/>
        <c:crossBetween val="midCat"/>
      </c:valAx>
      <c:valAx>
        <c:axId val="283223680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32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46.569612499999899</c:v>
                </c:pt>
                <c:pt idx="3">
                  <c:v>47.914721874999998</c:v>
                </c:pt>
                <c:pt idx="4">
                  <c:v>49.445281250000001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TMC2v5.0 RC14 - tetris packing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9.7562519274993084E-2</c:v>
                </c:pt>
                <c:pt idx="1">
                  <c:v>0.15104584575254759</c:v>
                </c:pt>
                <c:pt idx="2">
                  <c:v>0.24679778248502535</c:v>
                </c:pt>
                <c:pt idx="3">
                  <c:v>0.42772561070208104</c:v>
                </c:pt>
                <c:pt idx="4">
                  <c:v>0.77559139253866149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44.150578125000003</c:v>
                </c:pt>
                <c:pt idx="1">
                  <c:v>45.502443749999998</c:v>
                </c:pt>
                <c:pt idx="2">
                  <c:v>46.616293749999997</c:v>
                </c:pt>
                <c:pt idx="3">
                  <c:v>47.917846874999903</c:v>
                </c:pt>
                <c:pt idx="4">
                  <c:v>49.455793749999899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26032"/>
        <c:axId val="283226424"/>
      </c:scatterChart>
      <c:valAx>
        <c:axId val="283226032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6424"/>
        <c:crosses val="autoZero"/>
        <c:crossBetween val="midCat"/>
      </c:valAx>
      <c:valAx>
        <c:axId val="283226424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832260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47.9543156249999</c:v>
                </c:pt>
                <c:pt idx="4">
                  <c:v>49.630746875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TMC2v5.0 RC14 - tetris packing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9.7562519274993084E-2</c:v>
                </c:pt>
                <c:pt idx="1">
                  <c:v>0.15104584575254759</c:v>
                </c:pt>
                <c:pt idx="2">
                  <c:v>0.24679778248502535</c:v>
                </c:pt>
                <c:pt idx="3">
                  <c:v>0.42772561070208104</c:v>
                </c:pt>
                <c:pt idx="4">
                  <c:v>0.77559139253866149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43.750756250000002</c:v>
                </c:pt>
                <c:pt idx="1">
                  <c:v>45.300596874999997</c:v>
                </c:pt>
                <c:pt idx="2">
                  <c:v>46.545278125000003</c:v>
                </c:pt>
                <c:pt idx="3">
                  <c:v>47.981165625000003</c:v>
                </c:pt>
                <c:pt idx="4">
                  <c:v>49.633593749999903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91624"/>
        <c:axId val="364392016"/>
      </c:scatterChart>
      <c:valAx>
        <c:axId val="364391624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4392016"/>
        <c:crosses val="autoZero"/>
        <c:crossBetween val="midCat"/>
      </c:valAx>
      <c:valAx>
        <c:axId val="364392016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43916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TMC2v5.0 RC14 - tetris packing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9.7562519274993084E-2</c:v>
                </c:pt>
                <c:pt idx="1">
                  <c:v>0.15104584575254759</c:v>
                </c:pt>
                <c:pt idx="2">
                  <c:v>0.24679778248502535</c:v>
                </c:pt>
                <c:pt idx="3">
                  <c:v>0.42772561070208104</c:v>
                </c:pt>
                <c:pt idx="4">
                  <c:v>0.77559139253866149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92800"/>
        <c:axId val="364393192"/>
      </c:scatterChart>
      <c:valAx>
        <c:axId val="364392800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4393192"/>
        <c:crosses val="autoZero"/>
        <c:crossBetween val="midCat"/>
      </c:valAx>
      <c:valAx>
        <c:axId val="36439319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364392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>
      <selection activeCell="H26" sqref="H26"/>
    </sheetView>
  </sheetViews>
  <sheetFormatPr defaultColWidth="8.85546875"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2" t="s">
        <v>548</v>
      </c>
      <c r="D1" s="62"/>
      <c r="E1" s="62"/>
    </row>
    <row r="2" spans="2:12">
      <c r="B2" t="s">
        <v>1</v>
      </c>
      <c r="C2" s="63" t="s">
        <v>549</v>
      </c>
      <c r="D2" s="63"/>
      <c r="E2" s="63"/>
    </row>
    <row r="4" spans="2:12" s="1" customFormat="1">
      <c r="B4" s="1" t="s">
        <v>294</v>
      </c>
    </row>
    <row r="6" spans="2:12">
      <c r="B6" s="64" t="s">
        <v>295</v>
      </c>
      <c r="C6" s="65" t="s">
        <v>296</v>
      </c>
      <c r="D6" s="65"/>
      <c r="E6" s="65"/>
      <c r="F6" s="65"/>
      <c r="G6" s="65"/>
      <c r="H6" s="65"/>
      <c r="I6" s="65"/>
      <c r="J6" s="65"/>
      <c r="K6" s="65"/>
      <c r="L6" s="65"/>
    </row>
    <row r="7" spans="2:12">
      <c r="B7" s="64"/>
      <c r="C7" s="66" t="s">
        <v>235</v>
      </c>
      <c r="D7" s="66"/>
      <c r="E7" s="67" t="s">
        <v>240</v>
      </c>
      <c r="F7" s="67"/>
      <c r="G7" s="67"/>
      <c r="H7" s="66" t="s">
        <v>247</v>
      </c>
      <c r="I7" s="66"/>
      <c r="J7" s="67" t="s">
        <v>252</v>
      </c>
      <c r="K7" s="67"/>
      <c r="L7" s="67"/>
    </row>
    <row r="8" spans="2:12">
      <c r="B8" s="64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2.4724501364984941E-2</v>
      </c>
      <c r="D9" s="5">
        <f>'C2 lossyG,lossyA,intra'!$BJ$30:$BJ$30</f>
        <v>2.4907316181797312E-2</v>
      </c>
      <c r="E9" s="5">
        <f>'C2 lossyG,lossyA,intra'!$BK$30:$BK$30</f>
        <v>7.9959823495150961E-3</v>
      </c>
      <c r="F9" s="5">
        <f>'C2 lossyG,lossyA,intra'!$BL$30:$BL$30</f>
        <v>-8.3581887316748205E-3</v>
      </c>
      <c r="G9" s="5">
        <f>'C2 lossyG,lossyA,intra'!$BM$30:$BM$30</f>
        <v>-3.0253877571040366E-3</v>
      </c>
      <c r="H9" s="5">
        <f>'C2 lossyG,lossyA,intra'!$BO$30:$BO$30</f>
        <v>1.5711215083366481E-2</v>
      </c>
      <c r="I9" s="5">
        <f>'C2 lossyG,lossyA,intra'!$BP$30:$BP$30</f>
        <v>1.4741692158208697E-2</v>
      </c>
      <c r="J9" s="5">
        <f>'C2 lossyG,lossyA,intra'!$BQ$30:$BQ$30</f>
        <v>1.332879875282994E-2</v>
      </c>
      <c r="K9" s="5">
        <f>'C2 lossyG,lossyA,intra'!$BR$30:$BR$30</f>
        <v>1.0000923684756191E-3</v>
      </c>
      <c r="L9" s="5">
        <f>'C2 lossyG,lossyA,intra'!$BS$30:$BS$30</f>
        <v>6.0013363171863288E-3</v>
      </c>
    </row>
    <row r="10" spans="2:12">
      <c r="B10" s="4" t="s">
        <v>287</v>
      </c>
      <c r="C10" s="5">
        <f>'C2 lossyG,lossyA,intra'!$BI$31:$BI$31</f>
        <v>2.6920164675291236E-2</v>
      </c>
      <c r="D10" s="5">
        <f>'C2 lossyG,lossyA,intra'!$BJ$31:$BJ$31</f>
        <v>2.5269631379988278E-2</v>
      </c>
      <c r="E10" s="5">
        <f>'C2 lossyG,lossyA,intra'!$BK$31:$BK$31</f>
        <v>1.4517674140216874E-2</v>
      </c>
      <c r="F10" s="5">
        <f>'C2 lossyG,lossyA,intra'!$BL$31:$BL$31</f>
        <v>1.2520592306631606E-2</v>
      </c>
      <c r="G10" s="5">
        <f>'C2 lossyG,lossyA,intra'!$BM$31:$BM$31</f>
        <v>1.5054257658228876E-2</v>
      </c>
      <c r="H10" s="5">
        <f>'C2 lossyG,lossyA,intra'!$BO$31:$BO$31</f>
        <v>2.1081351711302654E-2</v>
      </c>
      <c r="I10" s="5">
        <f>'C2 lossyG,lossyA,intra'!$BP$31:$BP$31</f>
        <v>1.5979355719301536E-2</v>
      </c>
      <c r="J10" s="5">
        <f>'C2 lossyG,lossyA,intra'!$BQ$31:$BQ$31</f>
        <v>1.6406226008432112E-2</v>
      </c>
      <c r="K10" s="5">
        <f>'C2 lossyG,lossyA,intra'!$BR$31:$BR$31</f>
        <v>1.4310285503497333E-2</v>
      </c>
      <c r="L10" s="5">
        <f>'C2 lossyG,lossyA,intra'!$BS$31:$BS$31</f>
        <v>1.6637293037215173E-2</v>
      </c>
    </row>
    <row r="11" spans="2:12">
      <c r="B11" s="6" t="s">
        <v>288</v>
      </c>
      <c r="C11" s="7">
        <f>'C2 lossyG,lossyA,intra'!$BI$32:$BI$32</f>
        <v>2.5163634027046199E-2</v>
      </c>
      <c r="D11" s="7">
        <f>'C2 lossyG,lossyA,intra'!$BJ$32:$BJ$32</f>
        <v>2.4979779221435506E-2</v>
      </c>
      <c r="E11" s="7">
        <f>'C2 lossyG,lossyA,intra'!$BK$32:$BK$32</f>
        <v>9.3003207076554524E-3</v>
      </c>
      <c r="F11" s="7">
        <f>'C2 lossyG,lossyA,intra'!$BL$32:$BL$32</f>
        <v>-4.1824325240135355E-3</v>
      </c>
      <c r="G11" s="7">
        <f>'C2 lossyG,lossyA,intra'!$BM$32:$BM$32</f>
        <v>5.9054132596254578E-4</v>
      </c>
      <c r="H11" s="7">
        <f>'C2 lossyG,lossyA,intra'!$BO$32:$BO$32</f>
        <v>1.6785242408953717E-2</v>
      </c>
      <c r="I11" s="7">
        <f>'C2 lossyG,lossyA,intra'!$BP$32:$BP$32</f>
        <v>1.4989224870427264E-2</v>
      </c>
      <c r="J11" s="7">
        <f>'C2 lossyG,lossyA,intra'!$BQ$32:$BQ$32</f>
        <v>1.3944284203950375E-2</v>
      </c>
      <c r="K11" s="7">
        <f>'C2 lossyG,lossyA,intra'!$BR$32:$BR$32</f>
        <v>3.6621309954799619E-3</v>
      </c>
      <c r="L11" s="7">
        <f>'C2 lossyG,lossyA,intra'!$BS$32:$BS$32</f>
        <v>8.1285276611920976E-3</v>
      </c>
    </row>
    <row r="12" spans="2:12">
      <c r="B12" t="s">
        <v>297</v>
      </c>
      <c r="C12" s="68">
        <f>'C2 lossyG,lossyA,intra'!AZ36</f>
        <v>0.79966471735089395</v>
      </c>
      <c r="D12" s="68"/>
      <c r="E12" s="68"/>
      <c r="F12" s="68"/>
      <c r="G12" s="68"/>
      <c r="H12" s="68"/>
      <c r="I12" s="68"/>
      <c r="J12" s="68"/>
      <c r="K12" s="68"/>
      <c r="L12" s="68"/>
    </row>
    <row r="13" spans="2:12">
      <c r="B13" s="9" t="s">
        <v>298</v>
      </c>
      <c r="C13" s="69">
        <f>'C2 lossyG,lossyA,intra'!BB36</f>
        <v>1.0741029385164707</v>
      </c>
      <c r="D13" s="69"/>
      <c r="E13" s="69"/>
      <c r="F13" s="69"/>
      <c r="G13" s="69"/>
      <c r="H13" s="69"/>
      <c r="I13" s="69"/>
      <c r="J13" s="69"/>
      <c r="K13" s="69"/>
      <c r="L13" s="69"/>
    </row>
    <row r="15" spans="2:12">
      <c r="B15" s="64" t="s">
        <v>379</v>
      </c>
      <c r="C15" s="65" t="s">
        <v>380</v>
      </c>
      <c r="D15" s="65"/>
      <c r="E15" s="65"/>
    </row>
    <row r="16" spans="2:12">
      <c r="B16" s="64"/>
      <c r="C16" s="66" t="s">
        <v>355</v>
      </c>
      <c r="D16" s="66"/>
      <c r="E16" s="66"/>
    </row>
    <row r="17" spans="2:5">
      <c r="B17" s="64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>
        <f>'CW losslG,losslA,intra'!BC10</f>
        <v>0.99717876587337262</v>
      </c>
      <c r="D18" s="5">
        <f>'CW losslG,losslA,intra'!BB10</f>
        <v>0.99573868878797112</v>
      </c>
      <c r="E18" s="5">
        <f>'CW losslG,losslA,intra'!BD10</f>
        <v>0.99537211776560985</v>
      </c>
    </row>
    <row r="19" spans="2:5">
      <c r="B19" s="4" t="s">
        <v>287</v>
      </c>
      <c r="C19" s="5">
        <f>'CW losslG,losslA,intra'!BC11</f>
        <v>1.0003109342220999</v>
      </c>
      <c r="D19" s="5">
        <f>'CW losslG,losslA,intra'!BB11</f>
        <v>0.99948481863598559</v>
      </c>
      <c r="E19" s="5">
        <f>'CW losslG,losslA,intra'!BD11</f>
        <v>0.9993439276692172</v>
      </c>
    </row>
    <row r="20" spans="2:5">
      <c r="B20" s="6" t="s">
        <v>288</v>
      </c>
      <c r="C20" s="7">
        <f>'CW losslG,losslA,intra'!BC12</f>
        <v>0.99786695443171236</v>
      </c>
      <c r="D20" s="7">
        <f>'CW losslG,losslA,intra'!BB12</f>
        <v>0.99678095312159332</v>
      </c>
      <c r="E20" s="7">
        <f>'CW losslG,losslA,intra'!BD12</f>
        <v>0.99651425220570899</v>
      </c>
    </row>
    <row r="21" spans="2:5">
      <c r="B21" t="s">
        <v>297</v>
      </c>
      <c r="C21" s="68">
        <f>'CW losslG,losslA,intra'!AW16</f>
        <v>1.0557860976347508</v>
      </c>
      <c r="D21" s="68"/>
      <c r="E21" s="68"/>
    </row>
    <row r="22" spans="2:5">
      <c r="B22" s="9" t="s">
        <v>298</v>
      </c>
      <c r="C22" s="69">
        <f>'CW losslG,losslA,intra'!AY16</f>
        <v>0.86273140265805004</v>
      </c>
      <c r="D22" s="69"/>
      <c r="E22" s="69"/>
    </row>
    <row r="24" spans="2:5" s="1" customFormat="1">
      <c r="B24" s="1" t="s">
        <v>454</v>
      </c>
    </row>
    <row r="26" spans="2:5">
      <c r="B26" s="64" t="s">
        <v>455</v>
      </c>
      <c r="C26" s="65" t="s">
        <v>456</v>
      </c>
      <c r="D26" s="65"/>
      <c r="E26" s="65"/>
    </row>
    <row r="27" spans="2:5">
      <c r="B27" s="64"/>
      <c r="C27" s="66" t="s">
        <v>355</v>
      </c>
      <c r="D27" s="66"/>
      <c r="E27" s="66"/>
    </row>
    <row r="28" spans="2:5">
      <c r="B28" s="64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>
        <f>'CW losslG,losslA,interLD'!BB10</f>
        <v>0.99828272305960042</v>
      </c>
      <c r="D29" s="5">
        <f>'CW losslG,losslA,interLD'!BC10</f>
        <v>0.99949770141272498</v>
      </c>
      <c r="E29" s="5">
        <f>'CW losslG,losslA,interLD'!BD10</f>
        <v>0.99801532367643409</v>
      </c>
    </row>
    <row r="30" spans="2:5">
      <c r="B30" s="4" t="s">
        <v>287</v>
      </c>
      <c r="C30" s="5">
        <f>'CW losslG,losslA,interLD'!BB11</f>
        <v>0.9998739431485506</v>
      </c>
      <c r="D30" s="5">
        <f>'CW losslG,losslA,interLD'!BC11</f>
        <v>1.0015953211672279</v>
      </c>
      <c r="E30" s="5">
        <f>'CW losslG,losslA,interLD'!BD11</f>
        <v>0.99952114486774479</v>
      </c>
    </row>
    <row r="31" spans="2:5">
      <c r="B31" s="6" t="s">
        <v>288</v>
      </c>
      <c r="C31" s="7">
        <f>'CW losslG,losslA,interLD'!BB12</f>
        <v>0.99872867044375291</v>
      </c>
      <c r="D31" s="7">
        <f>'CW losslG,losslA,interLD'!BC12</f>
        <v>0.99996334579865942</v>
      </c>
      <c r="E31" s="7">
        <f>'CW losslG,losslA,interLD'!BD12</f>
        <v>0.99845093237618288</v>
      </c>
    </row>
    <row r="32" spans="2:5">
      <c r="B32" t="s">
        <v>297</v>
      </c>
      <c r="C32" s="68">
        <f>'CW losslG,losslA,interLD'!AW16</f>
        <v>0.67290550845533093</v>
      </c>
      <c r="D32" s="68"/>
      <c r="E32" s="68"/>
    </row>
    <row r="33" spans="2:12">
      <c r="B33" s="9" t="s">
        <v>298</v>
      </c>
      <c r="C33" s="69">
        <f>'CW losslG,losslA,interLD'!AY16</f>
        <v>1.019965092367914</v>
      </c>
      <c r="D33" s="69"/>
      <c r="E33" s="69"/>
    </row>
    <row r="35" spans="2:12" s="1" customFormat="1">
      <c r="B35" s="1" t="s">
        <v>541</v>
      </c>
    </row>
    <row r="37" spans="2:12">
      <c r="B37" s="64" t="s">
        <v>542</v>
      </c>
      <c r="C37" s="65" t="s">
        <v>543</v>
      </c>
      <c r="D37" s="65"/>
      <c r="E37" s="65"/>
      <c r="F37" s="65"/>
      <c r="G37" s="65"/>
      <c r="H37" s="65"/>
      <c r="I37" s="65"/>
      <c r="J37" s="65"/>
      <c r="K37" s="65"/>
      <c r="L37" s="65"/>
    </row>
    <row r="38" spans="2:12">
      <c r="B38" s="64"/>
      <c r="C38" s="66" t="s">
        <v>235</v>
      </c>
      <c r="D38" s="66"/>
      <c r="E38" s="67" t="s">
        <v>240</v>
      </c>
      <c r="F38" s="67"/>
      <c r="G38" s="67"/>
      <c r="H38" s="66" t="s">
        <v>247</v>
      </c>
      <c r="I38" s="66"/>
      <c r="J38" s="67" t="s">
        <v>252</v>
      </c>
      <c r="K38" s="67"/>
      <c r="L38" s="67"/>
    </row>
    <row r="39" spans="2:12">
      <c r="B39" s="64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1.6244563699904624E-2</v>
      </c>
      <c r="D40" s="5">
        <f>'C2 lossyG,lossyA,interRA'!$BJ$30:$BJ$30</f>
        <v>1.5388470042097147E-2</v>
      </c>
      <c r="E40" s="5">
        <f>'C2 lossyG,lossyA,interRA'!$BK$30:$BK$30</f>
        <v>-6.272478389535438E-2</v>
      </c>
      <c r="F40" s="5">
        <f>'C2 lossyG,lossyA,interRA'!$BL$30:$BL$30</f>
        <v>-8.9425479874864544E-2</v>
      </c>
      <c r="G40" s="5">
        <f>'C2 lossyG,lossyA,interRA'!$BM$30:$BM$30</f>
        <v>-9.608603351257114E-2</v>
      </c>
      <c r="H40" s="5">
        <f>'C2 lossyG,lossyA,interRA'!$BO$30:$BO$30</f>
        <v>-8.4166214137759154E-3</v>
      </c>
      <c r="I40" s="5">
        <f>'C2 lossyG,lossyA,interRA'!$BP$30:$BP$30</f>
        <v>-1.1025126291524856E-2</v>
      </c>
      <c r="J40" s="5">
        <f>'C2 lossyG,lossyA,interRA'!$BQ$30:$BQ$30</f>
        <v>-1.3097257414767055E-2</v>
      </c>
      <c r="K40" s="5">
        <f>'C2 lossyG,lossyA,interRA'!$BR$30:$BR$30</f>
        <v>-3.0264820330614117E-2</v>
      </c>
      <c r="L40" s="5">
        <f>'C2 lossyG,lossyA,interRA'!$BS$30:$BS$30</f>
        <v>-3.5242395461206361E-2</v>
      </c>
    </row>
    <row r="41" spans="2:12">
      <c r="B41" s="4" t="s">
        <v>287</v>
      </c>
      <c r="C41" s="5">
        <f>'C2 lossyG,lossyA,interRA'!$BI$31:$BI$31</f>
        <v>3.3759277335114302E-2</v>
      </c>
      <c r="D41" s="5">
        <f>'C2 lossyG,lossyA,interRA'!$BJ$31:$BJ$31</f>
        <v>3.0013308199760003E-2</v>
      </c>
      <c r="E41" s="5">
        <f>'C2 lossyG,lossyA,interRA'!$BK$31:$BK$31</f>
        <v>2.0138079402330034E-2</v>
      </c>
      <c r="F41" s="5">
        <f>'C2 lossyG,lossyA,interRA'!$BL$31:$BL$31</f>
        <v>1.6284801815851679E-2</v>
      </c>
      <c r="G41" s="5">
        <f>'C2 lossyG,lossyA,interRA'!$BM$31:$BM$31</f>
        <v>2.1400918543676539E-2</v>
      </c>
      <c r="H41" s="5">
        <f>'C2 lossyG,lossyA,interRA'!$BO$31:$BO$31</f>
        <v>2.4396774598214543E-2</v>
      </c>
      <c r="I41" s="5">
        <f>'C2 lossyG,lossyA,interRA'!$BP$31:$BP$31</f>
        <v>1.63858696507444E-2</v>
      </c>
      <c r="J41" s="5">
        <f>'C2 lossyG,lossyA,interRA'!$BQ$31:$BQ$31</f>
        <v>2.5204104520672566E-2</v>
      </c>
      <c r="K41" s="5">
        <f>'C2 lossyG,lossyA,interRA'!$BR$31:$BR$31</f>
        <v>2.2775395316775526E-2</v>
      </c>
      <c r="L41" s="5">
        <f>'C2 lossyG,lossyA,interRA'!$BS$31:$BS$31</f>
        <v>2.6465330017085842E-2</v>
      </c>
    </row>
    <row r="42" spans="2:12">
      <c r="B42" s="6" t="s">
        <v>288</v>
      </c>
      <c r="C42" s="7">
        <f>'C2 lossyG,lossyA,interRA'!$BI$32:$BI$32</f>
        <v>1.9747506426946559E-2</v>
      </c>
      <c r="D42" s="7">
        <f>'C2 lossyG,lossyA,interRA'!$BJ$32:$BJ$32</f>
        <v>1.8313437673629716E-2</v>
      </c>
      <c r="E42" s="7">
        <f>'C2 lossyG,lossyA,interRA'!$BK$32:$BK$32</f>
        <v>-4.6152211235817496E-2</v>
      </c>
      <c r="F42" s="7">
        <f>'C2 lossyG,lossyA,interRA'!$BL$32:$BL$32</f>
        <v>-6.8283423536721302E-2</v>
      </c>
      <c r="G42" s="7">
        <f>'C2 lossyG,lossyA,interRA'!$BM$32:$BM$32</f>
        <v>-7.2588643101321598E-2</v>
      </c>
      <c r="H42" s="7">
        <f>'C2 lossyG,lossyA,interRA'!$BO$32:$BO$32</f>
        <v>-1.8539422113778236E-3</v>
      </c>
      <c r="I42" s="7">
        <f>'C2 lossyG,lossyA,interRA'!$BP$32:$BP$32</f>
        <v>-5.5429271030710044E-3</v>
      </c>
      <c r="J42" s="7">
        <f>'C2 lossyG,lossyA,interRA'!$BQ$32:$BQ$32</f>
        <v>-5.4369850276791308E-3</v>
      </c>
      <c r="K42" s="7">
        <f>'C2 lossyG,lossyA,interRA'!$BR$32:$BR$32</f>
        <v>-1.9656777201136188E-2</v>
      </c>
      <c r="L42" s="7">
        <f>'C2 lossyG,lossyA,interRA'!$BS$32:$BS$32</f>
        <v>-2.2900850365547919E-2</v>
      </c>
    </row>
    <row r="43" spans="2:12">
      <c r="B43" t="s">
        <v>297</v>
      </c>
      <c r="C43" s="68">
        <f>'C2 lossyG,lossyA,interRA'!AZ36</f>
        <v>0.5848756268485229</v>
      </c>
      <c r="D43" s="68"/>
      <c r="E43" s="68"/>
      <c r="F43" s="68"/>
      <c r="G43" s="68"/>
      <c r="H43" s="68"/>
      <c r="I43" s="68"/>
      <c r="J43" s="68"/>
      <c r="K43" s="68"/>
      <c r="L43" s="68"/>
    </row>
    <row r="44" spans="2:12">
      <c r="B44" s="9" t="s">
        <v>298</v>
      </c>
      <c r="C44" s="69">
        <f>'C2 lossyG,lossyA,interRA'!BB36</f>
        <v>0.92249152620363029</v>
      </c>
      <c r="D44" s="69"/>
      <c r="E44" s="69"/>
      <c r="F44" s="69"/>
      <c r="G44" s="69"/>
      <c r="H44" s="69"/>
      <c r="I44" s="69"/>
      <c r="J44" s="69"/>
      <c r="K44" s="69"/>
      <c r="L44" s="69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85546875"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zoomScale="85" zoomScaleNormal="85" workbookViewId="0">
      <pane xSplit="2" topLeftCell="BB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259</v>
      </c>
      <c r="B1" s="74"/>
      <c r="C1" s="74"/>
      <c r="D1" s="74"/>
      <c r="E1" s="74"/>
      <c r="F1" s="74"/>
      <c r="G1" s="74"/>
      <c r="I1" s="62" t="s">
        <v>547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549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91</v>
      </c>
      <c r="B2" s="72" t="s">
        <v>94</v>
      </c>
      <c r="C2" s="71" t="s">
        <v>97</v>
      </c>
      <c r="D2" s="72" t="s">
        <v>100</v>
      </c>
      <c r="E2" s="71" t="s">
        <v>103</v>
      </c>
      <c r="F2" s="72" t="s">
        <v>106</v>
      </c>
      <c r="G2" s="71" t="s">
        <v>109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2" t="s">
        <v>24</v>
      </c>
      <c r="R2" s="71" t="s">
        <v>20</v>
      </c>
      <c r="S2" s="70" t="s">
        <v>140</v>
      </c>
      <c r="T2" s="70"/>
      <c r="U2" s="70"/>
      <c r="V2" s="70"/>
      <c r="W2" s="73" t="s">
        <v>151</v>
      </c>
      <c r="X2" s="73"/>
      <c r="Y2" s="70" t="s">
        <v>158</v>
      </c>
      <c r="Z2" s="70"/>
      <c r="AA2" s="70"/>
      <c r="AB2" s="73" t="s">
        <v>168</v>
      </c>
      <c r="AC2" s="73"/>
      <c r="AD2" s="70" t="s">
        <v>175</v>
      </c>
      <c r="AE2" s="70"/>
      <c r="AG2" s="71" t="s">
        <v>112</v>
      </c>
      <c r="AH2" s="70" t="s">
        <v>115</v>
      </c>
      <c r="AI2" s="70"/>
      <c r="AJ2" s="70"/>
      <c r="AK2" s="70"/>
      <c r="AL2" s="72" t="s">
        <v>190</v>
      </c>
      <c r="AM2" s="71" t="s">
        <v>131</v>
      </c>
      <c r="AN2" s="72" t="s">
        <v>22</v>
      </c>
      <c r="AO2" s="71" t="s">
        <v>24</v>
      </c>
      <c r="AP2" s="72" t="s">
        <v>20</v>
      </c>
      <c r="AQ2" s="73" t="s">
        <v>140</v>
      </c>
      <c r="AR2" s="73"/>
      <c r="AS2" s="73"/>
      <c r="AT2" s="73"/>
      <c r="AU2" s="70" t="s">
        <v>151</v>
      </c>
      <c r="AV2" s="70"/>
      <c r="AW2" s="73" t="s">
        <v>158</v>
      </c>
      <c r="AX2" s="73"/>
      <c r="AY2" s="73"/>
      <c r="AZ2" s="70" t="s">
        <v>168</v>
      </c>
      <c r="BA2" s="70"/>
      <c r="BB2" s="73" t="s">
        <v>175</v>
      </c>
      <c r="BC2" s="73"/>
      <c r="BE2" s="72" t="s">
        <v>227</v>
      </c>
      <c r="BF2" s="71" t="s">
        <v>230</v>
      </c>
      <c r="BG2" s="72" t="s">
        <v>230</v>
      </c>
      <c r="BI2" s="73" t="s">
        <v>235</v>
      </c>
      <c r="BJ2" s="73"/>
      <c r="BK2" s="70" t="s">
        <v>240</v>
      </c>
      <c r="BL2" s="70"/>
      <c r="BM2" s="70"/>
      <c r="BO2" s="73" t="s">
        <v>247</v>
      </c>
      <c r="BP2" s="73"/>
      <c r="BQ2" s="70" t="s">
        <v>252</v>
      </c>
      <c r="BR2" s="70"/>
      <c r="BS2" s="70"/>
      <c r="BU2" s="71" t="s">
        <v>22</v>
      </c>
      <c r="BV2" s="72" t="s">
        <v>24</v>
      </c>
      <c r="BW2" s="71" t="s">
        <v>20</v>
      </c>
      <c r="BX2" s="70" t="s">
        <v>140</v>
      </c>
      <c r="BY2" s="70"/>
      <c r="BZ2" s="70"/>
      <c r="CA2" s="70"/>
      <c r="CB2" s="73" t="s">
        <v>151</v>
      </c>
      <c r="CC2" s="73"/>
      <c r="CD2" s="70" t="s">
        <v>158</v>
      </c>
      <c r="CE2" s="70"/>
      <c r="CF2" s="70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72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1"/>
      <c r="AN3" s="72"/>
      <c r="AO3" s="71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1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1"/>
      <c r="BV3" s="72"/>
      <c r="BW3" s="71"/>
      <c r="BX3" s="60" t="s">
        <v>116</v>
      </c>
      <c r="BY3" s="60" t="s">
        <v>122</v>
      </c>
      <c r="BZ3" s="60" t="s">
        <v>145</v>
      </c>
      <c r="CA3" s="60" t="s">
        <v>148</v>
      </c>
      <c r="CB3" s="59" t="s">
        <v>152</v>
      </c>
      <c r="CC3" s="59" t="s">
        <v>155</v>
      </c>
      <c r="CD3" s="60" t="s">
        <v>159</v>
      </c>
      <c r="CE3" s="60" t="s">
        <v>162</v>
      </c>
      <c r="CF3" s="60" t="s">
        <v>165</v>
      </c>
    </row>
    <row r="4" spans="1:84" ht="123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2.2602150000000001</v>
      </c>
      <c r="J5" s="18">
        <f t="shared" ref="J5:J29" si="1">IF(ISBLANK(S5),"·",S5/D5)</f>
        <v>9.6573588703983818E-2</v>
      </c>
      <c r="K5" s="18">
        <f t="shared" ref="K5:K29" si="2">IF(N5="","·",N5/D5)</f>
        <v>6.1326193228974077E-2</v>
      </c>
      <c r="L5" s="18">
        <f t="shared" ref="L5:L29" si="3">IF(T5="","·",T5/D5)</f>
        <v>3.3651198723811698E-2</v>
      </c>
      <c r="M5" s="18">
        <f t="shared" ref="M5:M29" si="4">IF(ISBLANK(V5),"·",V5/D5)</f>
        <v>3.522752713560514E-2</v>
      </c>
      <c r="N5" s="15">
        <f t="shared" ref="N5:N29" si="5">IF(OR(ISBLANK(T5),ISBLANK(U5)),"",T5+U5)</f>
        <v>1530968</v>
      </c>
      <c r="O5" s="18">
        <f t="shared" ref="O5:O29" si="6">IF(ISBLANK(S5),"·",S5/P5)</f>
        <v>0.1118295642067616</v>
      </c>
      <c r="P5" s="19">
        <v>21558664</v>
      </c>
      <c r="Q5" s="19">
        <v>673708.25</v>
      </c>
      <c r="R5" s="19">
        <v>13654.3125</v>
      </c>
      <c r="S5" s="20">
        <v>2410896</v>
      </c>
      <c r="T5" s="20">
        <v>840080</v>
      </c>
      <c r="U5" s="20">
        <v>690888</v>
      </c>
      <c r="V5" s="20">
        <v>879432</v>
      </c>
      <c r="W5" s="21">
        <v>66.315199999999905</v>
      </c>
      <c r="X5" s="21">
        <v>68.412687500000004</v>
      </c>
      <c r="Y5" s="21">
        <v>32.179003125000001</v>
      </c>
      <c r="Z5" s="21">
        <v>44.135365624999999</v>
      </c>
      <c r="AA5" s="21">
        <v>43.688628125000001</v>
      </c>
      <c r="AB5" s="22">
        <v>8448.7000000000007</v>
      </c>
      <c r="AC5" s="22">
        <v>1143.9000000000001</v>
      </c>
      <c r="AD5" s="22">
        <v>10.78</v>
      </c>
      <c r="AE5" s="22">
        <v>30.956</v>
      </c>
      <c r="AG5" s="17">
        <f t="shared" ref="AG5:AG29" si="7">IF(OR(ISBLANK(AQ5),ISBLANK(G5)),"·",AQ5*G5/F5/1000000)</f>
        <v>2.2833600000000001</v>
      </c>
      <c r="AH5" s="18">
        <f t="shared" ref="AH5:AH29" si="8">IF(ISBLANK(AQ5),"·",AQ5/D5)</f>
        <v>9.7562519274993084E-2</v>
      </c>
      <c r="AI5" s="18">
        <f t="shared" ref="AI5:AI29" si="9">IF(AL5="","·",AL5/D5)</f>
        <v>6.2242380041195561E-2</v>
      </c>
      <c r="AJ5" s="18">
        <f t="shared" ref="AJ5:AJ29" si="10">IF(AR5="","·",AR5/D5)</f>
        <v>3.4385686367607297E-2</v>
      </c>
      <c r="AK5" s="18">
        <f t="shared" ref="AK5:AK29" si="11">IF(ISBLANK(AT5),"·",AT5/D5)</f>
        <v>3.5300270894392929E-2</v>
      </c>
      <c r="AL5" s="15">
        <f t="shared" ref="AL5:AL29" si="12">IF(OR(ISBLANK(AR5),ISBLANK(AS5)),"",AR5+AS5)</f>
        <v>1553840</v>
      </c>
      <c r="AM5" s="18">
        <f t="shared" ref="AM5:AM29" si="13">IF(ISBLANK(AQ5),"·",AQ5/AN5)</f>
        <v>0.11191337564773576</v>
      </c>
      <c r="AN5" s="19">
        <v>21763118</v>
      </c>
      <c r="AO5" s="19">
        <v>680097.4375</v>
      </c>
      <c r="AP5" s="19">
        <v>14217.59375</v>
      </c>
      <c r="AQ5" s="20">
        <v>2435584</v>
      </c>
      <c r="AR5" s="20">
        <v>858416</v>
      </c>
      <c r="AS5" s="20">
        <v>695424</v>
      </c>
      <c r="AT5" s="20">
        <v>881248</v>
      </c>
      <c r="AU5" s="21">
        <v>66.339568749999998</v>
      </c>
      <c r="AV5" s="21">
        <v>68.362721875000005</v>
      </c>
      <c r="AW5" s="21">
        <v>32.172049999999999</v>
      </c>
      <c r="AX5" s="21">
        <v>44.150578125000003</v>
      </c>
      <c r="AY5" s="21">
        <v>43.750756250000002</v>
      </c>
      <c r="AZ5" s="22">
        <v>10000.1</v>
      </c>
      <c r="BA5" s="22">
        <v>1440.99</v>
      </c>
      <c r="BB5" s="22">
        <v>6.6639999999999997</v>
      </c>
      <c r="BC5" s="22">
        <v>23.712</v>
      </c>
      <c r="BE5" s="23">
        <f t="shared" ref="BE5:BE29" si="14">(AP5/AO5) - (R5/Q5)</f>
        <v>6.3783367959798984E-4</v>
      </c>
      <c r="BF5" s="23">
        <f t="shared" ref="BF5:BF29" si="15">(AL5/AQ5) - (N5/S5)</f>
        <v>2.9539600448006409E-3</v>
      </c>
      <c r="BG5" s="23">
        <f t="array" ref="BG5">AVERAGE(AL5:AL9/AQ5:AQ9) - AVERAGE(N5:N9/S5:S9)</f>
        <v>2.4326565195572636E-3</v>
      </c>
      <c r="BI5" s="24">
        <f>IF( OR(ISBLANK(N5:N9),ISBLANK(AL5:AL9), ISBLANK(W5:W9),ISBLANK(AU5:AU9)), "·", bdRateExtend( N5:N9,W5:W9, AL5:AL9,AU5:AU9))</f>
        <v>1.1831800842101003E-2</v>
      </c>
      <c r="BJ5" s="24">
        <f>IF( OR(ISBLANK(N5:N9),ISBLANK(AL5:AL9), ISBLANK(X5:X9),ISBLANK(AV5:AV9)), "·", bdRateExtend( N5:N9,X5:X9, AL5:AL9,AV5:AV9))</f>
        <v>1.284012350700503E-2</v>
      </c>
      <c r="BK5" s="24">
        <f>IF( OR(ISBLANK(V5:V9),ISBLANK(AT5:AT9), ISBLANK(Y5:Y9),ISBLANK(AW5:AW9)), "·", bdRateExtend( V5:V9,Y5:Y9, AT5:AT9,AW5:AW9))</f>
        <v>6.1345005990962598E-3</v>
      </c>
      <c r="BL5" s="24">
        <f>IF( OR(ISBLANK(V5:V9),ISBLANK(AT5:AT9), ISBLANK(Z5:Z9),ISBLANK(AX5:AX9)), "·", bdRateExtend( V5:V9,Z5:Z9, AT5:AT9,AX5:AX9))</f>
        <v>-9.4030754467537836E-3</v>
      </c>
      <c r="BM5" s="24">
        <f>IF( OR(ISBLANK(V5:V9),ISBLANK(AT5:AT9), ISBLANK(AA5:AA9),ISBLANK(AY5:AY9)), "·", bdRateExtend( V5:V9,AA5:AA9, AT5:AT9,AY5:AY9))</f>
        <v>-2.9202671621411436E-2</v>
      </c>
      <c r="BO5" s="24">
        <f>IF( OR(ISBLANK(S5:S9),ISBLANK(AQ5:AQ9), ISBLANK(W5:W9),ISBLANK(AU5:AU9)), "·", bdRateExtend( S5:S9,W5:W9, AQ5:AQ9,AU5:AU9))</f>
        <v>3.2198688476545723E-3</v>
      </c>
      <c r="BP5" s="24">
        <f>IF( OR(ISBLANK(S5:S9),ISBLANK(AQ5:AQ9), ISBLANK(X5:X9),ISBLANK(AV5:AV9)), "·", bdRateExtend( S5:S9,X5:X9, AQ5:AQ9,AV5:AV9))</f>
        <v>4.9118770677294421E-3</v>
      </c>
      <c r="BQ5" s="24">
        <f>IF( OR(ISBLANK(S5:S9),ISBLANK(AQ5:AQ9), ISBLANK(Y5:Y9),ISBLANK(AW5:AW9)), "·", bdRateExtend( S5:S9,Y5:Y9, AQ5:AQ9,AW5:AW9))</f>
        <v>9.6392199350372465E-3</v>
      </c>
      <c r="BR5" s="24">
        <f>IF( OR(ISBLANK(S5:S9),ISBLANK(AQ5:AQ9), ISBLANK(Z5:Z9),ISBLANK(AX5:AX9)), "·", bdRateExtend( S5:S9,Z5:Z9, AQ5:AQ9,AX5:AX9))</f>
        <v>-1.0602172638497498E-3</v>
      </c>
      <c r="BS5" s="24">
        <f>IF( OR(ISBLANK(S5:S9),ISBLANK(AQ5:AQ9), ISBLANK(AA5:AA9),ISBLANK(AY5:AY9)), "·", bdRateExtend( S5:S9,AA5:AA9, AQ5:AQ9,AY5:AY9))</f>
        <v>-1.4625228169768412E-2</v>
      </c>
      <c r="BU5">
        <f>AN5-P5</f>
        <v>204454</v>
      </c>
      <c r="BV5" s="4">
        <f t="shared" ref="BV5:CF20" si="16">AO5-Q5</f>
        <v>6389.1875</v>
      </c>
      <c r="BW5" s="4">
        <f t="shared" si="16"/>
        <v>563.28125</v>
      </c>
      <c r="BX5" s="4">
        <f t="shared" si="16"/>
        <v>24688</v>
      </c>
      <c r="BY5" s="4">
        <f t="shared" si="16"/>
        <v>18336</v>
      </c>
      <c r="BZ5" s="4">
        <f t="shared" si="16"/>
        <v>4536</v>
      </c>
      <c r="CA5" s="4">
        <f t="shared" si="16"/>
        <v>1816</v>
      </c>
      <c r="CB5" s="4">
        <f t="shared" si="16"/>
        <v>2.4368750000093087E-2</v>
      </c>
      <c r="CC5" s="4">
        <f t="shared" si="16"/>
        <v>-4.9965624999998681E-2</v>
      </c>
      <c r="CD5" s="4">
        <f t="shared" si="16"/>
        <v>-6.953125000002558E-3</v>
      </c>
      <c r="CE5" s="4">
        <f t="shared" si="16"/>
        <v>1.521250000000407E-2</v>
      </c>
      <c r="CF5" s="4">
        <f t="shared" si="16"/>
        <v>6.2128125000000978E-2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3.5025824999999999</v>
      </c>
      <c r="J6" s="28">
        <f t="shared" si="1"/>
        <v>0.1496569847367491</v>
      </c>
      <c r="K6" s="28">
        <f t="shared" si="2"/>
        <v>7.417267693947939E-2</v>
      </c>
      <c r="L6" s="28">
        <f t="shared" si="3"/>
        <v>4.6497682434317011E-2</v>
      </c>
      <c r="M6" s="28">
        <f t="shared" si="4"/>
        <v>7.5464439457865115E-2</v>
      </c>
      <c r="N6" s="25">
        <f t="shared" si="5"/>
        <v>1851672</v>
      </c>
      <c r="O6" s="28">
        <f t="shared" si="6"/>
        <v>0.15473447344883587</v>
      </c>
      <c r="P6" s="29">
        <v>24145156</v>
      </c>
      <c r="Q6" s="29">
        <v>754536.125</v>
      </c>
      <c r="R6" s="29">
        <v>19085.875</v>
      </c>
      <c r="S6" s="30">
        <v>3736088</v>
      </c>
      <c r="T6" s="30">
        <v>1160784</v>
      </c>
      <c r="U6" s="30">
        <v>690888</v>
      </c>
      <c r="V6" s="30">
        <v>1883920</v>
      </c>
      <c r="W6" s="31">
        <v>68.236996875000003</v>
      </c>
      <c r="X6" s="31">
        <v>70.346675000000005</v>
      </c>
      <c r="Y6" s="31">
        <v>34.471631249999902</v>
      </c>
      <c r="Z6" s="31">
        <v>45.462893749999999</v>
      </c>
      <c r="AA6" s="31">
        <v>45.183921875000003</v>
      </c>
      <c r="AB6" s="32">
        <v>11407.6</v>
      </c>
      <c r="AC6" s="32">
        <v>1198.76</v>
      </c>
      <c r="AD6" s="32">
        <v>6.72</v>
      </c>
      <c r="AE6" s="32">
        <v>20.224</v>
      </c>
      <c r="AG6" s="27">
        <f t="shared" si="7"/>
        <v>3.5350874999999999</v>
      </c>
      <c r="AH6" s="28">
        <f t="shared" si="8"/>
        <v>0.15104584575254759</v>
      </c>
      <c r="AI6" s="28">
        <f t="shared" si="9"/>
        <v>7.5322156511161253E-2</v>
      </c>
      <c r="AJ6" s="28">
        <f t="shared" si="10"/>
        <v>4.7465462837573004E-2</v>
      </c>
      <c r="AK6" s="28">
        <f t="shared" si="11"/>
        <v>7.5703820901981744E-2</v>
      </c>
      <c r="AL6" s="25">
        <f t="shared" si="12"/>
        <v>1880368</v>
      </c>
      <c r="AM6" s="28">
        <f t="shared" si="13"/>
        <v>0.15603197555633119</v>
      </c>
      <c r="AN6" s="29">
        <v>24166585</v>
      </c>
      <c r="AO6" s="29">
        <v>755205.78125</v>
      </c>
      <c r="AP6" s="29">
        <v>19499</v>
      </c>
      <c r="AQ6" s="30">
        <v>3770760</v>
      </c>
      <c r="AR6" s="30">
        <v>1184944</v>
      </c>
      <c r="AS6" s="30">
        <v>695424</v>
      </c>
      <c r="AT6" s="30">
        <v>1889896</v>
      </c>
      <c r="AU6" s="31">
        <v>68.254128124999994</v>
      </c>
      <c r="AV6" s="31">
        <v>70.360934374999999</v>
      </c>
      <c r="AW6" s="31">
        <v>34.455093750000003</v>
      </c>
      <c r="AX6" s="31">
        <v>45.502443749999998</v>
      </c>
      <c r="AY6" s="31">
        <v>45.300596874999997</v>
      </c>
      <c r="AZ6" s="32">
        <v>10571.3</v>
      </c>
      <c r="BA6" s="32">
        <v>1446.67</v>
      </c>
      <c r="BB6" s="32">
        <v>6.992</v>
      </c>
      <c r="BC6" s="32">
        <v>24.204000000000001</v>
      </c>
      <c r="BE6" s="33">
        <f t="shared" si="14"/>
        <v>5.2460687959974758E-4</v>
      </c>
      <c r="BF6" s="33">
        <f t="shared" si="15"/>
        <v>3.0529487411184997E-3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21429</v>
      </c>
      <c r="BV6" s="4">
        <f t="shared" si="16"/>
        <v>669.65625</v>
      </c>
      <c r="BW6" s="4">
        <f t="shared" si="16"/>
        <v>413.125</v>
      </c>
      <c r="BX6" s="4">
        <f t="shared" si="16"/>
        <v>34672</v>
      </c>
      <c r="BY6" s="4">
        <f t="shared" si="16"/>
        <v>24160</v>
      </c>
      <c r="BZ6" s="4">
        <f t="shared" si="16"/>
        <v>4536</v>
      </c>
      <c r="CA6" s="4">
        <f t="shared" si="16"/>
        <v>5976</v>
      </c>
      <c r="CB6" s="4">
        <f t="shared" si="16"/>
        <v>1.7131249999991383E-2</v>
      </c>
      <c r="CC6" s="4">
        <f t="shared" si="16"/>
        <v>1.4259374999994634E-2</v>
      </c>
      <c r="CD6" s="4">
        <f t="shared" si="16"/>
        <v>-1.6537499999898841E-2</v>
      </c>
      <c r="CE6" s="4">
        <f t="shared" si="16"/>
        <v>3.954999999999842E-2</v>
      </c>
      <c r="CF6" s="4">
        <f t="shared" si="16"/>
        <v>0.11667499999999364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5.7207074999999996</v>
      </c>
      <c r="J7" s="18">
        <f t="shared" si="1"/>
        <v>0.24443216826753009</v>
      </c>
      <c r="K7" s="18">
        <f t="shared" si="2"/>
        <v>9.1931126882139613E-2</v>
      </c>
      <c r="L7" s="18">
        <f t="shared" si="3"/>
        <v>6.4256132376977221E-2</v>
      </c>
      <c r="M7" s="18">
        <f t="shared" si="4"/>
        <v>0.15248117304598588</v>
      </c>
      <c r="N7" s="15">
        <f t="shared" si="5"/>
        <v>2295000</v>
      </c>
      <c r="O7" s="18">
        <f t="shared" si="6"/>
        <v>0.24609445623971724</v>
      </c>
      <c r="P7" s="19">
        <v>24795715</v>
      </c>
      <c r="Q7" s="19">
        <v>774866.09375</v>
      </c>
      <c r="R7" s="19">
        <v>21114.21875</v>
      </c>
      <c r="S7" s="20">
        <v>6102088</v>
      </c>
      <c r="T7" s="20">
        <v>1604112</v>
      </c>
      <c r="U7" s="20">
        <v>690888</v>
      </c>
      <c r="V7" s="20">
        <v>3806592</v>
      </c>
      <c r="W7" s="21">
        <v>69.661175</v>
      </c>
      <c r="X7" s="21">
        <v>72.030415624999904</v>
      </c>
      <c r="Y7" s="21">
        <v>37.006359374999903</v>
      </c>
      <c r="Z7" s="21">
        <v>46.569612499999899</v>
      </c>
      <c r="AA7" s="21">
        <v>46.45190625</v>
      </c>
      <c r="AB7" s="22">
        <v>10293.4</v>
      </c>
      <c r="AC7" s="22">
        <v>1287.33</v>
      </c>
      <c r="AD7" s="22">
        <v>6.7960000000000003</v>
      </c>
      <c r="AE7" s="22">
        <v>21.335999999999999</v>
      </c>
      <c r="AG7" s="17">
        <f t="shared" si="7"/>
        <v>5.7760724999999997</v>
      </c>
      <c r="AH7" s="18">
        <f t="shared" si="8"/>
        <v>0.24679778248502535</v>
      </c>
      <c r="AI7" s="18">
        <f t="shared" si="9"/>
        <v>9.3226414428484214E-2</v>
      </c>
      <c r="AJ7" s="18">
        <f t="shared" si="10"/>
        <v>6.5369720754895957E-2</v>
      </c>
      <c r="AK7" s="18">
        <f t="shared" si="11"/>
        <v>0.15355149971713652</v>
      </c>
      <c r="AL7" s="15">
        <f t="shared" si="12"/>
        <v>2327336</v>
      </c>
      <c r="AM7" s="18">
        <f t="shared" si="13"/>
        <v>0.24832875750294242</v>
      </c>
      <c r="AN7" s="19">
        <v>24810433</v>
      </c>
      <c r="AO7" s="19">
        <v>775326.03125</v>
      </c>
      <c r="AP7" s="19">
        <v>21424.03125</v>
      </c>
      <c r="AQ7" s="20">
        <v>6161144</v>
      </c>
      <c r="AR7" s="20">
        <v>1631912</v>
      </c>
      <c r="AS7" s="20">
        <v>695424</v>
      </c>
      <c r="AT7" s="20">
        <v>3833312</v>
      </c>
      <c r="AU7" s="21">
        <v>69.66915625</v>
      </c>
      <c r="AV7" s="21">
        <v>72.045403124999893</v>
      </c>
      <c r="AW7" s="21">
        <v>37.004221874999999</v>
      </c>
      <c r="AX7" s="21">
        <v>46.616293749999997</v>
      </c>
      <c r="AY7" s="21">
        <v>46.545278125000003</v>
      </c>
      <c r="AZ7" s="22">
        <v>9563.7900000000009</v>
      </c>
      <c r="BA7" s="22">
        <v>1616.48</v>
      </c>
      <c r="BB7" s="22">
        <v>6.0960000000000001</v>
      </c>
      <c r="BC7" s="22">
        <v>21.58</v>
      </c>
      <c r="BE7" s="23">
        <f t="shared" si="14"/>
        <v>3.8342544278511734E-4</v>
      </c>
      <c r="BF7" s="23">
        <f t="shared" si="15"/>
        <v>1.6433624798310453E-3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14718</v>
      </c>
      <c r="BV7" s="4">
        <f t="shared" si="16"/>
        <v>459.9375</v>
      </c>
      <c r="BW7" s="4">
        <f t="shared" si="16"/>
        <v>309.8125</v>
      </c>
      <c r="BX7" s="4">
        <f t="shared" si="16"/>
        <v>59056</v>
      </c>
      <c r="BY7" s="4">
        <f t="shared" si="16"/>
        <v>27800</v>
      </c>
      <c r="BZ7" s="4">
        <f t="shared" si="16"/>
        <v>4536</v>
      </c>
      <c r="CA7" s="4">
        <f t="shared" si="16"/>
        <v>26720</v>
      </c>
      <c r="CB7" s="4">
        <f t="shared" si="16"/>
        <v>7.9812500000002728E-3</v>
      </c>
      <c r="CC7" s="4">
        <f t="shared" si="16"/>
        <v>1.4987499999989495E-2</v>
      </c>
      <c r="CD7" s="4">
        <f t="shared" si="16"/>
        <v>-2.1374999999039801E-3</v>
      </c>
      <c r="CE7" s="4">
        <f t="shared" si="16"/>
        <v>4.6681250000098373E-2</v>
      </c>
      <c r="CF7" s="4">
        <f t="shared" si="16"/>
        <v>9.3371875000002547E-2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9.9448050000000006</v>
      </c>
      <c r="J8" s="28">
        <f t="shared" si="1"/>
        <v>0.42491776570428996</v>
      </c>
      <c r="K8" s="28">
        <f t="shared" si="2"/>
        <v>0.12183233677187794</v>
      </c>
      <c r="L8" s="28">
        <f t="shared" si="3"/>
        <v>9.4157342266715557E-2</v>
      </c>
      <c r="M8" s="28">
        <f t="shared" si="4"/>
        <v>0.30306556059300743</v>
      </c>
      <c r="N8" s="25">
        <f t="shared" si="5"/>
        <v>3041464</v>
      </c>
      <c r="O8" s="28">
        <f t="shared" si="6"/>
        <v>0.40859148227978953</v>
      </c>
      <c r="P8" s="29">
        <v>25961853</v>
      </c>
      <c r="Q8" s="29">
        <v>811307.90625</v>
      </c>
      <c r="R8" s="29">
        <v>24718.375</v>
      </c>
      <c r="S8" s="30">
        <v>10607792</v>
      </c>
      <c r="T8" s="30">
        <v>2350576</v>
      </c>
      <c r="U8" s="30">
        <v>690888</v>
      </c>
      <c r="V8" s="30">
        <v>7565832</v>
      </c>
      <c r="W8" s="31">
        <v>70.739718749999994</v>
      </c>
      <c r="X8" s="31">
        <v>73.278437499999995</v>
      </c>
      <c r="Y8" s="31">
        <v>39.627543749999901</v>
      </c>
      <c r="Z8" s="31">
        <v>47.914721874999998</v>
      </c>
      <c r="AA8" s="31">
        <v>47.9543156249999</v>
      </c>
      <c r="AB8" s="32">
        <v>11319.9</v>
      </c>
      <c r="AC8" s="32">
        <v>1383.56</v>
      </c>
      <c r="AD8" s="32">
        <v>6.9560000000000004</v>
      </c>
      <c r="AE8" s="32">
        <v>22</v>
      </c>
      <c r="AG8" s="27">
        <f t="shared" si="7"/>
        <v>10.01052</v>
      </c>
      <c r="AH8" s="28">
        <f t="shared" si="8"/>
        <v>0.42772561070208104</v>
      </c>
      <c r="AI8" s="28">
        <f t="shared" si="9"/>
        <v>0.12342949489433749</v>
      </c>
      <c r="AJ8" s="28">
        <f t="shared" si="10"/>
        <v>9.5572801220749223E-2</v>
      </c>
      <c r="AK8" s="28">
        <f t="shared" si="11"/>
        <v>0.30427624746833892</v>
      </c>
      <c r="AL8" s="25">
        <f t="shared" si="12"/>
        <v>3081336</v>
      </c>
      <c r="AM8" s="28">
        <f t="shared" si="13"/>
        <v>0.41165116873842433</v>
      </c>
      <c r="AN8" s="29">
        <v>25939166</v>
      </c>
      <c r="AO8" s="29">
        <v>810598.9375</v>
      </c>
      <c r="AP8" s="29">
        <v>24947.4375</v>
      </c>
      <c r="AQ8" s="30">
        <v>10677888</v>
      </c>
      <c r="AR8" s="30">
        <v>2385912</v>
      </c>
      <c r="AS8" s="30">
        <v>695424</v>
      </c>
      <c r="AT8" s="30">
        <v>7596056</v>
      </c>
      <c r="AU8" s="31">
        <v>70.757543749999996</v>
      </c>
      <c r="AV8" s="31">
        <v>73.301956249999904</v>
      </c>
      <c r="AW8" s="31">
        <v>39.62633125</v>
      </c>
      <c r="AX8" s="31">
        <v>47.917846874999903</v>
      </c>
      <c r="AY8" s="31">
        <v>47.981165625000003</v>
      </c>
      <c r="AZ8" s="32">
        <v>9827.06</v>
      </c>
      <c r="BA8" s="32">
        <v>1748.97</v>
      </c>
      <c r="BB8" s="32">
        <v>7.28</v>
      </c>
      <c r="BC8" s="32">
        <v>25.872</v>
      </c>
      <c r="BE8" s="33">
        <f t="shared" si="14"/>
        <v>3.0923168525094288E-4</v>
      </c>
      <c r="BF8" s="33">
        <f t="shared" si="15"/>
        <v>1.8518726646790107E-3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-22687</v>
      </c>
      <c r="BV8" s="4">
        <f t="shared" si="16"/>
        <v>-708.96875</v>
      </c>
      <c r="BW8" s="4">
        <f t="shared" si="16"/>
        <v>229.0625</v>
      </c>
      <c r="BX8" s="4">
        <f t="shared" si="16"/>
        <v>70096</v>
      </c>
      <c r="BY8" s="4">
        <f t="shared" si="16"/>
        <v>35336</v>
      </c>
      <c r="BZ8" s="4">
        <f t="shared" si="16"/>
        <v>4536</v>
      </c>
      <c r="CA8" s="4">
        <f t="shared" si="16"/>
        <v>30224</v>
      </c>
      <c r="CB8" s="4">
        <f t="shared" si="16"/>
        <v>1.7825000000001978E-2</v>
      </c>
      <c r="CC8" s="4">
        <f t="shared" si="16"/>
        <v>2.351874999990855E-2</v>
      </c>
      <c r="CD8" s="4">
        <f t="shared" si="16"/>
        <v>-1.212499999901695E-3</v>
      </c>
      <c r="CE8" s="4">
        <f t="shared" si="16"/>
        <v>3.1249999999047873E-3</v>
      </c>
      <c r="CF8" s="4">
        <f t="shared" si="16"/>
        <v>2.6850000000102625E-2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18.0068175</v>
      </c>
      <c r="J9" s="38">
        <f t="shared" si="1"/>
        <v>0.76938830470229513</v>
      </c>
      <c r="K9" s="38">
        <f t="shared" si="2"/>
        <v>0.19596752023215835</v>
      </c>
      <c r="L9" s="38">
        <f t="shared" si="3"/>
        <v>0.14397528058120981</v>
      </c>
      <c r="M9" s="38">
        <f t="shared" si="4"/>
        <v>0.57340091613073219</v>
      </c>
      <c r="N9" s="35">
        <f t="shared" si="5"/>
        <v>4892200</v>
      </c>
      <c r="O9" s="38">
        <f t="shared" si="6"/>
        <v>0.76770601085269197</v>
      </c>
      <c r="P9" s="39">
        <v>25019046</v>
      </c>
      <c r="Q9" s="39">
        <v>781845.1875</v>
      </c>
      <c r="R9" s="39">
        <v>7631.8125</v>
      </c>
      <c r="S9" s="40">
        <v>19207272</v>
      </c>
      <c r="T9" s="40">
        <v>3594248</v>
      </c>
      <c r="U9" s="40">
        <v>1297952</v>
      </c>
      <c r="V9" s="40">
        <v>14314576</v>
      </c>
      <c r="W9" s="41">
        <v>72.1473625</v>
      </c>
      <c r="X9" s="41">
        <v>75.316325000000006</v>
      </c>
      <c r="Y9" s="41">
        <v>42.067243750000003</v>
      </c>
      <c r="Z9" s="41">
        <v>49.445281250000001</v>
      </c>
      <c r="AA9" s="41">
        <v>49.630746875</v>
      </c>
      <c r="AB9" s="42">
        <v>11293.1</v>
      </c>
      <c r="AC9" s="42">
        <v>1579.5</v>
      </c>
      <c r="AD9" s="42">
        <v>6.5839999999999996</v>
      </c>
      <c r="AE9" s="42">
        <v>19.867999999999999</v>
      </c>
      <c r="AG9" s="37">
        <f t="shared" si="7"/>
        <v>18.151994999999999</v>
      </c>
      <c r="AH9" s="38">
        <f t="shared" si="8"/>
        <v>0.77559139253866149</v>
      </c>
      <c r="AI9" s="38">
        <f t="shared" si="9"/>
        <v>0.19961143777037815</v>
      </c>
      <c r="AJ9" s="38">
        <f t="shared" si="10"/>
        <v>0.14719587430727693</v>
      </c>
      <c r="AK9" s="38">
        <f t="shared" si="11"/>
        <v>0.57596008642887875</v>
      </c>
      <c r="AL9" s="35">
        <f t="shared" si="12"/>
        <v>4983168</v>
      </c>
      <c r="AM9" s="38">
        <f t="shared" si="13"/>
        <v>0.77352916172077901</v>
      </c>
      <c r="AN9" s="39">
        <v>25030896</v>
      </c>
      <c r="AO9" s="39">
        <v>782215.5</v>
      </c>
      <c r="AP9" s="39">
        <v>7652.21875</v>
      </c>
      <c r="AQ9" s="40">
        <v>19362128</v>
      </c>
      <c r="AR9" s="40">
        <v>3674648</v>
      </c>
      <c r="AS9" s="40">
        <v>1308520</v>
      </c>
      <c r="AT9" s="40">
        <v>14378464</v>
      </c>
      <c r="AU9" s="41">
        <v>72.156974999999903</v>
      </c>
      <c r="AV9" s="41">
        <v>75.310878125000002</v>
      </c>
      <c r="AW9" s="41">
        <v>42.071925</v>
      </c>
      <c r="AX9" s="41">
        <v>49.455793749999899</v>
      </c>
      <c r="AY9" s="41">
        <v>49.633593749999903</v>
      </c>
      <c r="AZ9" s="42">
        <v>7914.84</v>
      </c>
      <c r="BA9" s="42">
        <v>1886.44</v>
      </c>
      <c r="BB9" s="42">
        <v>8.5</v>
      </c>
      <c r="BC9" s="42">
        <v>27.696000000000002</v>
      </c>
      <c r="BE9" s="43">
        <f t="shared" si="14"/>
        <v>2.1466622327619492E-5</v>
      </c>
      <c r="BF9" s="43">
        <f t="shared" si="15"/>
        <v>2.6611386673570658E-3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11850</v>
      </c>
      <c r="BV9" s="4">
        <f t="shared" si="16"/>
        <v>370.3125</v>
      </c>
      <c r="BW9" s="4">
        <f t="shared" si="16"/>
        <v>20.40625</v>
      </c>
      <c r="BX9" s="4">
        <f t="shared" si="16"/>
        <v>154856</v>
      </c>
      <c r="BY9" s="4">
        <f t="shared" si="16"/>
        <v>80400</v>
      </c>
      <c r="BZ9" s="4">
        <f t="shared" si="16"/>
        <v>10568</v>
      </c>
      <c r="CA9" s="4">
        <f t="shared" si="16"/>
        <v>63888</v>
      </c>
      <c r="CB9" s="4">
        <f t="shared" si="16"/>
        <v>9.6124999999034344E-3</v>
      </c>
      <c r="CC9" s="4">
        <f t="shared" si="16"/>
        <v>-5.44687500000407E-3</v>
      </c>
      <c r="CD9" s="4">
        <f t="shared" si="16"/>
        <v>4.6812499999973056E-3</v>
      </c>
      <c r="CE9" s="4">
        <f t="shared" si="16"/>
        <v>1.0512499999897784E-2</v>
      </c>
      <c r="CF9" s="4">
        <f t="shared" si="16"/>
        <v>2.8468749999035481E-3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3.28416</v>
      </c>
      <c r="J10" s="28">
        <f t="shared" si="1"/>
        <v>0.15462973413700742</v>
      </c>
      <c r="K10" s="28">
        <f t="shared" si="2"/>
        <v>7.9413143066571934E-2</v>
      </c>
      <c r="L10" s="28">
        <f t="shared" si="3"/>
        <v>4.0193885716613822E-2</v>
      </c>
      <c r="M10" s="28">
        <f t="shared" si="4"/>
        <v>7.5194697244807707E-2</v>
      </c>
      <c r="N10" s="25">
        <f t="shared" si="5"/>
        <v>1799088</v>
      </c>
      <c r="O10" s="28">
        <f t="shared" si="6"/>
        <v>0.16991675975109172</v>
      </c>
      <c r="P10" s="29">
        <v>20616589</v>
      </c>
      <c r="Q10" s="29">
        <v>644268.40625</v>
      </c>
      <c r="R10" s="29">
        <v>18739.96875</v>
      </c>
      <c r="S10" s="30">
        <v>3503104</v>
      </c>
      <c r="T10" s="30">
        <v>910584</v>
      </c>
      <c r="U10" s="30">
        <v>888504</v>
      </c>
      <c r="V10" s="30">
        <v>1703520</v>
      </c>
      <c r="W10" s="31">
        <v>65.911412499999997</v>
      </c>
      <c r="X10" s="31">
        <v>67.863568749999999</v>
      </c>
      <c r="Y10" s="31">
        <v>32.553737499999997</v>
      </c>
      <c r="Z10" s="31">
        <v>39.252949999999998</v>
      </c>
      <c r="AA10" s="31">
        <v>32.229006249999998</v>
      </c>
      <c r="AB10" s="32">
        <v>10982.2</v>
      </c>
      <c r="AC10" s="32">
        <v>1146.1400000000001</v>
      </c>
      <c r="AD10" s="32">
        <v>5.8440000000000003</v>
      </c>
      <c r="AE10" s="32">
        <v>18.239999999999998</v>
      </c>
      <c r="AG10" s="27">
        <f t="shared" si="7"/>
        <v>3.3279074999999998</v>
      </c>
      <c r="AH10" s="28">
        <f t="shared" si="8"/>
        <v>0.15668951937711714</v>
      </c>
      <c r="AI10" s="28">
        <f t="shared" si="9"/>
        <v>8.0945710860516065E-2</v>
      </c>
      <c r="AJ10" s="28">
        <f t="shared" si="10"/>
        <v>4.1109542004562481E-2</v>
      </c>
      <c r="AK10" s="28">
        <f t="shared" si="11"/>
        <v>7.572191469097328E-2</v>
      </c>
      <c r="AL10" s="25">
        <f t="shared" si="12"/>
        <v>1833808</v>
      </c>
      <c r="AM10" s="28">
        <f t="shared" si="13"/>
        <v>0.17471425216133193</v>
      </c>
      <c r="AN10" s="29">
        <v>20317564</v>
      </c>
      <c r="AO10" s="29">
        <v>634923.875</v>
      </c>
      <c r="AP10" s="29">
        <v>19045.75</v>
      </c>
      <c r="AQ10" s="30">
        <v>3549768</v>
      </c>
      <c r="AR10" s="30">
        <v>931328</v>
      </c>
      <c r="AS10" s="30">
        <v>902480</v>
      </c>
      <c r="AT10" s="30">
        <v>1715464</v>
      </c>
      <c r="AU10" s="31">
        <v>65.845162499999901</v>
      </c>
      <c r="AV10" s="31">
        <v>67.804271874999898</v>
      </c>
      <c r="AW10" s="31">
        <v>32.5492249999999</v>
      </c>
      <c r="AX10" s="31">
        <v>39.312293750000002</v>
      </c>
      <c r="AY10" s="31">
        <v>32.236949999999901</v>
      </c>
      <c r="AZ10" s="32">
        <v>7034.02</v>
      </c>
      <c r="BA10" s="32">
        <v>1281.03</v>
      </c>
      <c r="BB10" s="32">
        <v>6.3680000000000003</v>
      </c>
      <c r="BC10" s="32">
        <v>20.236000000000001</v>
      </c>
      <c r="BE10" s="33">
        <f t="shared" si="14"/>
        <v>9.0969577804666732E-4</v>
      </c>
      <c r="BF10" s="33">
        <f t="shared" si="15"/>
        <v>3.0297147465128127E-3</v>
      </c>
      <c r="BG10" s="33">
        <f t="array" ref="BG10">AVERAGE(AL10:AL14/AQ10:AQ14) - AVERAGE(N10:N14/S10:S14)</f>
        <v>2.5846611084661131E-3</v>
      </c>
      <c r="BI10" s="34">
        <f>IF( OR(ISBLANK(N10:N14),ISBLANK(AL10:AL14), ISBLANK(W10:W14),ISBLANK(AU10:AU14)), "·", bdRateExtend( N10:N14,W10:W14, AL10:AL14,AU10:AU14))</f>
        <v>2.0732411651575022E-2</v>
      </c>
      <c r="BJ10" s="34">
        <f>IF( OR(ISBLANK(N10:N14),ISBLANK(AL10:AL14), ISBLANK(X10:X14),ISBLANK(AV10:AV14)), "·", bdRateExtend( N10:N14,X10:X14, AL10:AL14,AV10:AV14))</f>
        <v>1.9150690505236989E-2</v>
      </c>
      <c r="BK10" s="34">
        <f>IF( OR(ISBLANK(V10:V14),ISBLANK(AT10:AT14), ISBLANK(Y10:Y14),ISBLANK(AW10:AW14)), "·", bdRateExtend( V10:V14,Y10:Y14, AT10:AT14,AW10:AW14))</f>
        <v>6.9739143007854221E-3</v>
      </c>
      <c r="BL10" s="34">
        <f>IF( OR(ISBLANK(V10:V14),ISBLANK(AT10:AT14), ISBLANK(Z10:Z14),ISBLANK(AX10:AX14)), "·", bdRateExtend( V10:V14,Z10:Z14, AT10:AT14,AX10:AX14))</f>
        <v>1.9811396928059999E-3</v>
      </c>
      <c r="BM10" s="34">
        <f>IF( OR(ISBLANK(V10:V14),ISBLANK(AT10:AT14), ISBLANK(AA10:AA14),ISBLANK(AY10:AY14)), "·", bdRateExtend( V10:V14,AA10:AA14, AT10:AT14,AY10:AY14))</f>
        <v>6.7122638972645365E-3</v>
      </c>
      <c r="BO10" s="34">
        <f>IF( OR(ISBLANK(S10:S14),ISBLANK(AQ10:AQ14), ISBLANK(W10:W14),ISBLANK(AU10:AU14)), "·", bdRateExtend( S10:S14,W10:W14, AQ10:AQ14,AU10:AU14))</f>
        <v>1.5921687960144926E-2</v>
      </c>
      <c r="BP10" s="34">
        <f>IF( OR(ISBLANK(S10:S14),ISBLANK(AQ10:AQ14), ISBLANK(X10:X14),ISBLANK(AV10:AV14)), "·", bdRateExtend( S10:S14,X10:X14, AQ10:AQ14,AV10:AV14))</f>
        <v>1.2010762040072898E-2</v>
      </c>
      <c r="BQ10" s="34">
        <f>IF( OR(ISBLANK(S10:S14),ISBLANK(AQ10:AQ14), ISBLANK(Y10:Y14),ISBLANK(AW10:AW14)), "·", bdRateExtend( S10:S14,Y10:Y14, AQ10:AQ14,AW10:AW14))</f>
        <v>1.0843543329411398E-2</v>
      </c>
      <c r="BR10" s="34">
        <f>IF( OR(ISBLANK(S10:S14),ISBLANK(AQ10:AQ14), ISBLANK(Z10:Z14),ISBLANK(AX10:AX14)), "·", bdRateExtend( S10:S14,Z10:Z14, AQ10:AQ14,AX10:AX14))</f>
        <v>6.9211761150145268E-3</v>
      </c>
      <c r="BS10" s="34">
        <f>IF( OR(ISBLANK(S10:S14),ISBLANK(AQ10:AQ14), ISBLANK(AA10:AA14),ISBLANK(AY10:AY14)), "·", bdRateExtend( S10:S14,AA10:AA14, AQ10:AQ14,AY10:AY14))</f>
        <v>1.0807794223935296E-2</v>
      </c>
      <c r="BU10" s="4">
        <f t="shared" si="17"/>
        <v>-299025</v>
      </c>
      <c r="BV10" s="4">
        <f t="shared" si="16"/>
        <v>-9344.53125</v>
      </c>
      <c r="BW10" s="4">
        <f t="shared" si="16"/>
        <v>305.78125</v>
      </c>
      <c r="BX10" s="4">
        <f t="shared" si="16"/>
        <v>46664</v>
      </c>
      <c r="BY10" s="4">
        <f t="shared" si="16"/>
        <v>20744</v>
      </c>
      <c r="BZ10" s="4">
        <f t="shared" si="16"/>
        <v>13976</v>
      </c>
      <c r="CA10" s="4">
        <f t="shared" si="16"/>
        <v>11944</v>
      </c>
      <c r="CB10" s="4">
        <f t="shared" si="16"/>
        <v>-6.6250000000096065E-2</v>
      </c>
      <c r="CC10" s="4">
        <f t="shared" si="16"/>
        <v>-5.9296875000100613E-2</v>
      </c>
      <c r="CD10" s="4">
        <f t="shared" si="16"/>
        <v>-4.5125000000965088E-3</v>
      </c>
      <c r="CE10" s="4">
        <f t="shared" si="16"/>
        <v>5.9343750000003581E-2</v>
      </c>
      <c r="CF10" s="4">
        <f t="shared" si="16"/>
        <v>7.9437499999031047E-3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4.7411775</v>
      </c>
      <c r="J11" s="18">
        <f t="shared" si="1"/>
        <v>0.2232312117318771</v>
      </c>
      <c r="K11" s="18">
        <f t="shared" si="2"/>
        <v>9.547614855296159E-2</v>
      </c>
      <c r="L11" s="18">
        <f t="shared" si="3"/>
        <v>5.6256891203003478E-2</v>
      </c>
      <c r="M11" s="18">
        <f t="shared" si="4"/>
        <v>0.12773316935328774</v>
      </c>
      <c r="N11" s="15">
        <f t="shared" si="5"/>
        <v>2162992</v>
      </c>
      <c r="O11" s="18">
        <f t="shared" si="6"/>
        <v>0.22622560587661161</v>
      </c>
      <c r="P11" s="19">
        <v>22354923</v>
      </c>
      <c r="Q11" s="19">
        <v>698591.34375</v>
      </c>
      <c r="R11" s="19">
        <v>24804.25</v>
      </c>
      <c r="S11" s="20">
        <v>5057256</v>
      </c>
      <c r="T11" s="20">
        <v>1274488</v>
      </c>
      <c r="U11" s="20">
        <v>888504</v>
      </c>
      <c r="V11" s="20">
        <v>2893768</v>
      </c>
      <c r="W11" s="21">
        <v>67.647353124999995</v>
      </c>
      <c r="X11" s="21">
        <v>69.711856249999997</v>
      </c>
      <c r="Y11" s="21">
        <v>34.420765625000001</v>
      </c>
      <c r="Z11" s="21">
        <v>40.133781249999899</v>
      </c>
      <c r="AA11" s="21">
        <v>34.021765625</v>
      </c>
      <c r="AB11" s="22">
        <v>12179.5</v>
      </c>
      <c r="AC11" s="22">
        <v>1195.1400000000001</v>
      </c>
      <c r="AD11" s="22">
        <v>6.68</v>
      </c>
      <c r="AE11" s="22">
        <v>22.596</v>
      </c>
      <c r="AG11" s="17">
        <f t="shared" si="7"/>
        <v>4.7987549999999999</v>
      </c>
      <c r="AH11" s="18">
        <f t="shared" si="8"/>
        <v>0.22594216172130316</v>
      </c>
      <c r="AI11" s="18">
        <f t="shared" si="9"/>
        <v>9.723860151599735E-2</v>
      </c>
      <c r="AJ11" s="18">
        <f t="shared" si="10"/>
        <v>5.7402432660043752E-2</v>
      </c>
      <c r="AK11" s="18">
        <f t="shared" si="11"/>
        <v>0.12868166637967804</v>
      </c>
      <c r="AL11" s="15">
        <f t="shared" si="12"/>
        <v>2202920</v>
      </c>
      <c r="AM11" s="18">
        <f t="shared" si="13"/>
        <v>0.23087782632030637</v>
      </c>
      <c r="AN11" s="19">
        <v>22170479</v>
      </c>
      <c r="AO11" s="19">
        <v>692827.46875</v>
      </c>
      <c r="AP11" s="19">
        <v>24565.1875</v>
      </c>
      <c r="AQ11" s="20">
        <v>5118672</v>
      </c>
      <c r="AR11" s="20">
        <v>1300440</v>
      </c>
      <c r="AS11" s="20">
        <v>902480</v>
      </c>
      <c r="AT11" s="20">
        <v>2915256</v>
      </c>
      <c r="AU11" s="21">
        <v>67.611643749999899</v>
      </c>
      <c r="AV11" s="21">
        <v>69.710190624999996</v>
      </c>
      <c r="AW11" s="21">
        <v>34.420243749999997</v>
      </c>
      <c r="AX11" s="21">
        <v>40.134343749999999</v>
      </c>
      <c r="AY11" s="21">
        <v>34.032684374999903</v>
      </c>
      <c r="AZ11" s="22">
        <v>8274.9599999999991</v>
      </c>
      <c r="BA11" s="22">
        <v>1266.58</v>
      </c>
      <c r="BB11" s="22">
        <v>5.4</v>
      </c>
      <c r="BC11" s="22">
        <v>17.231999999999999</v>
      </c>
      <c r="BE11" s="23">
        <f t="shared" si="14"/>
        <v>-4.9665772977589007E-5</v>
      </c>
      <c r="BF11" s="23">
        <f t="shared" si="15"/>
        <v>2.6687259848346412E-3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-184444</v>
      </c>
      <c r="BV11" s="4">
        <f t="shared" si="16"/>
        <v>-5763.875</v>
      </c>
      <c r="BW11" s="4">
        <f t="shared" si="16"/>
        <v>-239.0625</v>
      </c>
      <c r="BX11" s="4">
        <f t="shared" si="16"/>
        <v>61416</v>
      </c>
      <c r="BY11" s="4">
        <f t="shared" si="16"/>
        <v>25952</v>
      </c>
      <c r="BZ11" s="4">
        <f t="shared" si="16"/>
        <v>13976</v>
      </c>
      <c r="CA11" s="4">
        <f t="shared" si="16"/>
        <v>21488</v>
      </c>
      <c r="CB11" s="4">
        <f t="shared" si="16"/>
        <v>-3.5709375000095633E-2</v>
      </c>
      <c r="CC11" s="4">
        <f t="shared" si="16"/>
        <v>-1.6656250000011141E-3</v>
      </c>
      <c r="CD11" s="4">
        <f t="shared" si="16"/>
        <v>-5.2187500000400178E-4</v>
      </c>
      <c r="CE11" s="4">
        <f t="shared" si="16"/>
        <v>5.6250000010038548E-4</v>
      </c>
      <c r="CF11" s="4">
        <f t="shared" si="16"/>
        <v>1.0918749999902388E-2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7.3449299999999997</v>
      </c>
      <c r="J12" s="28">
        <f t="shared" si="1"/>
        <v>0.3458249820821549</v>
      </c>
      <c r="K12" s="28">
        <f t="shared" si="2"/>
        <v>0.11914054904682626</v>
      </c>
      <c r="L12" s="28">
        <f t="shared" si="3"/>
        <v>7.9921291696868152E-2</v>
      </c>
      <c r="M12" s="28">
        <f t="shared" si="4"/>
        <v>0.22666253920970086</v>
      </c>
      <c r="N12" s="25">
        <f t="shared" si="5"/>
        <v>2699104</v>
      </c>
      <c r="O12" s="28">
        <f t="shared" si="6"/>
        <v>0.34446573242636447</v>
      </c>
      <c r="P12" s="29">
        <v>22744184</v>
      </c>
      <c r="Q12" s="29">
        <v>710755.75</v>
      </c>
      <c r="R12" s="29">
        <v>26442.53125</v>
      </c>
      <c r="S12" s="30">
        <v>7834592</v>
      </c>
      <c r="T12" s="30">
        <v>1810600</v>
      </c>
      <c r="U12" s="30">
        <v>888504</v>
      </c>
      <c r="V12" s="30">
        <v>5134992</v>
      </c>
      <c r="W12" s="31">
        <v>69.019006249999904</v>
      </c>
      <c r="X12" s="31">
        <v>71.354128125000003</v>
      </c>
      <c r="Y12" s="31">
        <v>36.533206249999999</v>
      </c>
      <c r="Z12" s="31">
        <v>41.055356249999903</v>
      </c>
      <c r="AA12" s="31">
        <v>35.828487500000001</v>
      </c>
      <c r="AB12" s="32">
        <v>12192</v>
      </c>
      <c r="AC12" s="32">
        <v>1270.79</v>
      </c>
      <c r="AD12" s="32">
        <v>6.7119999999999997</v>
      </c>
      <c r="AE12" s="32">
        <v>20.46</v>
      </c>
      <c r="AG12" s="27">
        <f t="shared" si="7"/>
        <v>7.4226749999999999</v>
      </c>
      <c r="AH12" s="28">
        <f t="shared" si="8"/>
        <v>0.34948548847663069</v>
      </c>
      <c r="AI12" s="28">
        <f t="shared" si="9"/>
        <v>0.12124941883148857</v>
      </c>
      <c r="AJ12" s="28">
        <f t="shared" si="10"/>
        <v>8.1413249975534979E-2</v>
      </c>
      <c r="AK12" s="28">
        <f t="shared" si="11"/>
        <v>0.22821417581951436</v>
      </c>
      <c r="AL12" s="25">
        <f t="shared" si="12"/>
        <v>2746880</v>
      </c>
      <c r="AM12" s="28">
        <f t="shared" si="13"/>
        <v>0.34797641949847924</v>
      </c>
      <c r="AN12" s="29">
        <v>22753036</v>
      </c>
      <c r="AO12" s="29">
        <v>711032.375</v>
      </c>
      <c r="AP12" s="29">
        <v>26566.40625</v>
      </c>
      <c r="AQ12" s="30">
        <v>7917520</v>
      </c>
      <c r="AR12" s="30">
        <v>1844400</v>
      </c>
      <c r="AS12" s="30">
        <v>902480</v>
      </c>
      <c r="AT12" s="30">
        <v>5170144</v>
      </c>
      <c r="AU12" s="31">
        <v>69.014312500000003</v>
      </c>
      <c r="AV12" s="31">
        <v>71.358184374999993</v>
      </c>
      <c r="AW12" s="31">
        <v>36.531928124999901</v>
      </c>
      <c r="AX12" s="31">
        <v>41.05743125</v>
      </c>
      <c r="AY12" s="31">
        <v>35.815750000000001</v>
      </c>
      <c r="AZ12" s="32">
        <v>5827.79</v>
      </c>
      <c r="BA12" s="32">
        <v>1256.26</v>
      </c>
      <c r="BB12" s="32">
        <v>6.3559999999999999</v>
      </c>
      <c r="BC12" s="32">
        <v>20.155999999999999</v>
      </c>
      <c r="BE12" s="33">
        <f t="shared" si="14"/>
        <v>1.5974463774768438E-4</v>
      </c>
      <c r="BF12" s="33">
        <f t="shared" si="15"/>
        <v>2.4258078950338824E-3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8852</v>
      </c>
      <c r="BV12" s="4">
        <f t="shared" si="16"/>
        <v>276.625</v>
      </c>
      <c r="BW12" s="4">
        <f t="shared" si="16"/>
        <v>123.875</v>
      </c>
      <c r="BX12" s="4">
        <f t="shared" si="16"/>
        <v>82928</v>
      </c>
      <c r="BY12" s="4">
        <f t="shared" si="16"/>
        <v>33800</v>
      </c>
      <c r="BZ12" s="4">
        <f t="shared" si="16"/>
        <v>13976</v>
      </c>
      <c r="CA12" s="4">
        <f t="shared" si="16"/>
        <v>35152</v>
      </c>
      <c r="CB12" s="4">
        <f t="shared" si="16"/>
        <v>-4.6937499999017973E-3</v>
      </c>
      <c r="CC12" s="4">
        <f t="shared" si="16"/>
        <v>4.0562499999907686E-3</v>
      </c>
      <c r="CD12" s="4">
        <f t="shared" si="16"/>
        <v>-1.2781250000983846E-3</v>
      </c>
      <c r="CE12" s="4">
        <f t="shared" si="16"/>
        <v>2.0750000000973046E-3</v>
      </c>
      <c r="CF12" s="4">
        <f t="shared" si="16"/>
        <v>-1.2737500000000068E-2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12.714952500000001</v>
      </c>
      <c r="J13" s="18">
        <f t="shared" si="1"/>
        <v>0.59866441483961741</v>
      </c>
      <c r="K13" s="18">
        <f t="shared" si="2"/>
        <v>0.16078613665304939</v>
      </c>
      <c r="L13" s="18">
        <f t="shared" si="3"/>
        <v>0.12156687930309128</v>
      </c>
      <c r="M13" s="18">
        <f t="shared" si="4"/>
        <v>0.43785638436094021</v>
      </c>
      <c r="N13" s="15">
        <f t="shared" si="5"/>
        <v>3642576</v>
      </c>
      <c r="O13" s="18">
        <f t="shared" si="6"/>
        <v>0.57167731027630753</v>
      </c>
      <c r="P13" s="19">
        <v>23724251</v>
      </c>
      <c r="Q13" s="19">
        <v>741382.84375</v>
      </c>
      <c r="R13" s="19">
        <v>30299.78125</v>
      </c>
      <c r="S13" s="20">
        <v>13562616</v>
      </c>
      <c r="T13" s="20">
        <v>2754072</v>
      </c>
      <c r="U13" s="20">
        <v>888504</v>
      </c>
      <c r="V13" s="20">
        <v>9919544</v>
      </c>
      <c r="W13" s="21">
        <v>70.047775000000001</v>
      </c>
      <c r="X13" s="21">
        <v>72.594934374999994</v>
      </c>
      <c r="Y13" s="21">
        <v>38.872250000000001</v>
      </c>
      <c r="Z13" s="21">
        <v>42.220149999999997</v>
      </c>
      <c r="AA13" s="21">
        <v>37.913215624999999</v>
      </c>
      <c r="AB13" s="22">
        <v>12134.2</v>
      </c>
      <c r="AC13" s="22">
        <v>1442.16</v>
      </c>
      <c r="AD13" s="22">
        <v>8.1359999999999992</v>
      </c>
      <c r="AE13" s="22">
        <v>25.48</v>
      </c>
      <c r="AG13" s="17">
        <f t="shared" si="7"/>
        <v>12.84918</v>
      </c>
      <c r="AH13" s="18">
        <f t="shared" si="8"/>
        <v>0.60498431479542802</v>
      </c>
      <c r="AI13" s="18">
        <f t="shared" si="9"/>
        <v>0.16368459666519075</v>
      </c>
      <c r="AJ13" s="18">
        <f t="shared" si="10"/>
        <v>0.12384842780923716</v>
      </c>
      <c r="AK13" s="18">
        <f t="shared" si="11"/>
        <v>0.44127782430460949</v>
      </c>
      <c r="AL13" s="15">
        <f t="shared" si="12"/>
        <v>3708240</v>
      </c>
      <c r="AM13" s="18">
        <f t="shared" si="13"/>
        <v>0.57820755553161207</v>
      </c>
      <c r="AN13" s="19">
        <v>23703931</v>
      </c>
      <c r="AO13" s="19">
        <v>740747.84375</v>
      </c>
      <c r="AP13" s="19">
        <v>30522.5625</v>
      </c>
      <c r="AQ13" s="20">
        <v>13705792</v>
      </c>
      <c r="AR13" s="20">
        <v>2805760</v>
      </c>
      <c r="AS13" s="20">
        <v>902480</v>
      </c>
      <c r="AT13" s="20">
        <v>9997056</v>
      </c>
      <c r="AU13" s="21">
        <v>70.048653125000001</v>
      </c>
      <c r="AV13" s="21">
        <v>72.597162499999996</v>
      </c>
      <c r="AW13" s="21">
        <v>38.877156249999999</v>
      </c>
      <c r="AX13" s="21">
        <v>42.231249999999903</v>
      </c>
      <c r="AY13" s="21">
        <v>37.917209374999899</v>
      </c>
      <c r="AZ13" s="22">
        <v>7170.79</v>
      </c>
      <c r="BA13" s="22">
        <v>1635.42</v>
      </c>
      <c r="BB13" s="22">
        <v>6.492</v>
      </c>
      <c r="BC13" s="22">
        <v>21.372</v>
      </c>
      <c r="BE13" s="23">
        <f t="shared" si="14"/>
        <v>3.3578665584441808E-4</v>
      </c>
      <c r="BF13" s="23">
        <f t="shared" si="15"/>
        <v>1.9853317284878047E-3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-20320</v>
      </c>
      <c r="BV13" s="4">
        <f t="shared" si="16"/>
        <v>-635</v>
      </c>
      <c r="BW13" s="4">
        <f t="shared" si="16"/>
        <v>222.78125</v>
      </c>
      <c r="BX13" s="4">
        <f t="shared" si="16"/>
        <v>143176</v>
      </c>
      <c r="BY13" s="4">
        <f t="shared" si="16"/>
        <v>51688</v>
      </c>
      <c r="BZ13" s="4">
        <f t="shared" si="16"/>
        <v>13976</v>
      </c>
      <c r="CA13" s="4">
        <f t="shared" si="16"/>
        <v>77512</v>
      </c>
      <c r="CB13" s="4">
        <f t="shared" si="16"/>
        <v>8.7812499999984084E-4</v>
      </c>
      <c r="CC13" s="4">
        <f t="shared" si="16"/>
        <v>2.2281250000020236E-3</v>
      </c>
      <c r="CD13" s="4">
        <f t="shared" si="16"/>
        <v>4.9062499999976694E-3</v>
      </c>
      <c r="CE13" s="4">
        <f t="shared" si="16"/>
        <v>1.1099999999906629E-2</v>
      </c>
      <c r="CF13" s="4">
        <f t="shared" si="16"/>
        <v>3.993749999899876E-3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22.8675225</v>
      </c>
      <c r="J14" s="48">
        <f t="shared" si="1"/>
        <v>1.076682903557389</v>
      </c>
      <c r="K14" s="48">
        <f t="shared" si="2"/>
        <v>0.26419738449119962</v>
      </c>
      <c r="L14" s="48">
        <f t="shared" si="3"/>
        <v>0.19096183151385784</v>
      </c>
      <c r="M14" s="48">
        <f t="shared" si="4"/>
        <v>0.8124636252405617</v>
      </c>
      <c r="N14" s="45">
        <f t="shared" si="5"/>
        <v>5985336</v>
      </c>
      <c r="O14" s="48">
        <f t="shared" si="6"/>
        <v>1.0848596272991367</v>
      </c>
      <c r="P14" s="49">
        <v>22484037</v>
      </c>
      <c r="Q14" s="49">
        <v>702626.15625</v>
      </c>
      <c r="R14" s="49">
        <v>8241</v>
      </c>
      <c r="S14" s="50">
        <v>24392024</v>
      </c>
      <c r="T14" s="50">
        <v>4326200</v>
      </c>
      <c r="U14" s="50">
        <v>1659136</v>
      </c>
      <c r="V14" s="50">
        <v>18406192</v>
      </c>
      <c r="W14" s="51">
        <v>71.405093749999907</v>
      </c>
      <c r="X14" s="51">
        <v>74.817315624999907</v>
      </c>
      <c r="Y14" s="51">
        <v>41.202268749999902</v>
      </c>
      <c r="Z14" s="51">
        <v>43.569840624999998</v>
      </c>
      <c r="AA14" s="51">
        <v>39.829659374999999</v>
      </c>
      <c r="AB14" s="52">
        <v>7874.47</v>
      </c>
      <c r="AC14" s="52">
        <v>2004.69</v>
      </c>
      <c r="AD14" s="52">
        <v>7</v>
      </c>
      <c r="AE14" s="52">
        <v>22.931999999999999</v>
      </c>
      <c r="AG14" s="47">
        <f t="shared" si="7"/>
        <v>23.071312500000001</v>
      </c>
      <c r="AH14" s="48">
        <f t="shared" si="8"/>
        <v>1.0862780492018707</v>
      </c>
      <c r="AI14" s="48">
        <f t="shared" si="9"/>
        <v>0.2696083375572379</v>
      </c>
      <c r="AJ14" s="48">
        <f t="shared" si="10"/>
        <v>0.1955270472834684</v>
      </c>
      <c r="AK14" s="48">
        <f t="shared" si="11"/>
        <v>0.81664781781900508</v>
      </c>
      <c r="AL14" s="45">
        <f t="shared" si="12"/>
        <v>6107920</v>
      </c>
      <c r="AM14" s="48">
        <f t="shared" si="13"/>
        <v>1.0933688693543848</v>
      </c>
      <c r="AN14" s="49">
        <v>22507866</v>
      </c>
      <c r="AO14" s="49">
        <v>703370.8125</v>
      </c>
      <c r="AP14" s="49">
        <v>8280.59375</v>
      </c>
      <c r="AQ14" s="50">
        <v>24609400</v>
      </c>
      <c r="AR14" s="50">
        <v>4429624</v>
      </c>
      <c r="AS14" s="50">
        <v>1678296</v>
      </c>
      <c r="AT14" s="50">
        <v>18500984</v>
      </c>
      <c r="AU14" s="51">
        <v>71.409371874999906</v>
      </c>
      <c r="AV14" s="51">
        <v>74.804843750000003</v>
      </c>
      <c r="AW14" s="51">
        <v>41.201109375000001</v>
      </c>
      <c r="AX14" s="51">
        <v>43.574915624999903</v>
      </c>
      <c r="AY14" s="51">
        <v>39.826549999999997</v>
      </c>
      <c r="AZ14" s="52">
        <v>6422.64</v>
      </c>
      <c r="BA14" s="52">
        <v>1688.19</v>
      </c>
      <c r="BB14" s="52">
        <v>8.5920000000000005</v>
      </c>
      <c r="BC14" s="52">
        <v>26.475999999999999</v>
      </c>
      <c r="BE14" s="53">
        <f t="shared" si="14"/>
        <v>4.3874133806293472E-5</v>
      </c>
      <c r="BF14" s="53">
        <f t="shared" si="15"/>
        <v>2.8137251874615077E-3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23829</v>
      </c>
      <c r="BV14" s="4">
        <f t="shared" si="16"/>
        <v>744.65625</v>
      </c>
      <c r="BW14" s="4">
        <f t="shared" si="16"/>
        <v>39.59375</v>
      </c>
      <c r="BX14" s="4">
        <f t="shared" si="16"/>
        <v>217376</v>
      </c>
      <c r="BY14" s="4">
        <f t="shared" si="16"/>
        <v>103424</v>
      </c>
      <c r="BZ14" s="4">
        <f t="shared" si="16"/>
        <v>19160</v>
      </c>
      <c r="CA14" s="4">
        <f t="shared" si="16"/>
        <v>94792</v>
      </c>
      <c r="CB14" s="4">
        <f t="shared" si="16"/>
        <v>4.2781249999990223E-3</v>
      </c>
      <c r="CC14" s="4">
        <f t="shared" si="16"/>
        <v>-1.2471874999903321E-2</v>
      </c>
      <c r="CD14" s="4">
        <f t="shared" si="16"/>
        <v>-1.1593749999008196E-3</v>
      </c>
      <c r="CE14" s="4">
        <f t="shared" si="16"/>
        <v>5.0749999999055717E-3</v>
      </c>
      <c r="CF14" s="4">
        <f t="shared" si="16"/>
        <v>-3.10937500000108E-3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4.5230100000000002</v>
      </c>
      <c r="J15" s="18">
        <f t="shared" si="1"/>
        <v>0.14211688691416607</v>
      </c>
      <c r="K15" s="18">
        <f t="shared" si="2"/>
        <v>7.8552555432444673E-2</v>
      </c>
      <c r="L15" s="18">
        <f t="shared" si="3"/>
        <v>4.1034864258033488E-2</v>
      </c>
      <c r="M15" s="18">
        <f t="shared" si="4"/>
        <v>6.3549720779464469E-2</v>
      </c>
      <c r="N15" s="15">
        <f t="shared" si="5"/>
        <v>2666680</v>
      </c>
      <c r="O15" s="18">
        <f t="shared" si="6"/>
        <v>0.15553484785400457</v>
      </c>
      <c r="P15" s="19">
        <v>31019055</v>
      </c>
      <c r="Q15" s="19">
        <v>969345.46875</v>
      </c>
      <c r="R15" s="19">
        <v>30632.5625</v>
      </c>
      <c r="S15" s="20">
        <v>4824544</v>
      </c>
      <c r="T15" s="20">
        <v>1393040</v>
      </c>
      <c r="U15" s="20">
        <v>1273640</v>
      </c>
      <c r="V15" s="20">
        <v>2157368</v>
      </c>
      <c r="W15" s="21">
        <v>65.993662499999999</v>
      </c>
      <c r="X15" s="21">
        <v>67.834546875000001</v>
      </c>
      <c r="Y15" s="21">
        <v>29.619846875</v>
      </c>
      <c r="Z15" s="21">
        <v>43.190931249999998</v>
      </c>
      <c r="AA15" s="21">
        <v>43.488174999999998</v>
      </c>
      <c r="AB15" s="22">
        <v>13158.2</v>
      </c>
      <c r="AC15" s="22">
        <v>1414.6</v>
      </c>
      <c r="AD15" s="22">
        <v>6.4720000000000004</v>
      </c>
      <c r="AE15" s="22">
        <v>17.768000000000001</v>
      </c>
      <c r="AG15" s="17">
        <f t="shared" si="7"/>
        <v>4.6536074999999997</v>
      </c>
      <c r="AH15" s="18">
        <f t="shared" si="8"/>
        <v>0.14622037333996943</v>
      </c>
      <c r="AI15" s="18">
        <f t="shared" si="9"/>
        <v>8.1227727884389755E-2</v>
      </c>
      <c r="AJ15" s="18">
        <f t="shared" si="10"/>
        <v>4.2819726498258291E-2</v>
      </c>
      <c r="AK15" s="18">
        <f t="shared" si="11"/>
        <v>6.4978034753322741E-2</v>
      </c>
      <c r="AL15" s="15">
        <f t="shared" si="12"/>
        <v>2757496</v>
      </c>
      <c r="AM15" s="18">
        <f t="shared" si="13"/>
        <v>0.16238148838837033</v>
      </c>
      <c r="AN15" s="19">
        <v>30569051</v>
      </c>
      <c r="AO15" s="19">
        <v>955282.84375</v>
      </c>
      <c r="AP15" s="19">
        <v>30021.90625</v>
      </c>
      <c r="AQ15" s="20">
        <v>4963848</v>
      </c>
      <c r="AR15" s="20">
        <v>1453632</v>
      </c>
      <c r="AS15" s="20">
        <v>1303864</v>
      </c>
      <c r="AT15" s="20">
        <v>2205856</v>
      </c>
      <c r="AU15" s="21">
        <v>65.932074999999998</v>
      </c>
      <c r="AV15" s="21">
        <v>67.791303124999999</v>
      </c>
      <c r="AW15" s="21">
        <v>29.611134374999999</v>
      </c>
      <c r="AX15" s="21">
        <v>43.212956249999998</v>
      </c>
      <c r="AY15" s="21">
        <v>43.509803124999998</v>
      </c>
      <c r="AZ15" s="22">
        <v>7274.62</v>
      </c>
      <c r="BA15" s="22">
        <v>1824.45</v>
      </c>
      <c r="BB15" s="22">
        <v>10.076000000000001</v>
      </c>
      <c r="BC15" s="22">
        <v>32.92</v>
      </c>
      <c r="BE15" s="23">
        <f t="shared" si="14"/>
        <v>-1.740418866252591E-4</v>
      </c>
      <c r="BF15" s="23">
        <f t="shared" si="15"/>
        <v>2.7837712319954688E-3</v>
      </c>
      <c r="BG15" s="23">
        <f t="array" ref="BG15">AVERAGE(AL15:AL19/AQ15:AQ19) - AVERAGE(N15:N19/S15:S19)</f>
        <v>3.6710465783661994E-3</v>
      </c>
      <c r="BI15" s="24">
        <f>IF( OR(ISBLANK(N15:N19),ISBLANK(AL15:AL19), ISBLANK(W15:W19),ISBLANK(AU15:AU19)), "·", bdRateExtend( N15:N19,W15:W19, AL15:AL19,AU15:AU19))</f>
        <v>3.848228842421042E-2</v>
      </c>
      <c r="BJ15" s="24">
        <f>IF( OR(ISBLANK(N15:N19),ISBLANK(AL15:AL19), ISBLANK(X15:X19),ISBLANK(AV15:AV19)), "·", bdRateExtend( N15:N19,X15:X19, AL15:AL19,AV15:AV19))</f>
        <v>3.8767966081870497E-2</v>
      </c>
      <c r="BK15" s="24">
        <f>IF( OR(ISBLANK(V15:V19),ISBLANK(AT15:AT19), ISBLANK(Y15:Y19),ISBLANK(AW15:AW19)), "·", bdRateExtend( V15:V19,Y15:Y19, AT15:AT19,AW15:AW19))</f>
        <v>1.674037775233006E-2</v>
      </c>
      <c r="BL15" s="24">
        <f>IF( OR(ISBLANK(V15:V19),ISBLANK(AT15:AT19), ISBLANK(Z15:Z19),ISBLANK(AX15:AX19)), "·", bdRateExtend( V15:V19,Z15:Z19, AT15:AT19,AX15:AX19))</f>
        <v>-8.5584460728446166E-3</v>
      </c>
      <c r="BM15" s="24">
        <f>IF( OR(ISBLANK(V15:V19),ISBLANK(AT15:AT19), ISBLANK(AA15:AA19),ISBLANK(AY15:AY19)), "·", bdRateExtend( V15:V19,AA15:AA19, AT15:AT19,AY15:AY19))</f>
        <v>1.3505741430566154E-2</v>
      </c>
      <c r="BO15" s="24">
        <f>IF( OR(ISBLANK(S15:S19),ISBLANK(AQ15:AQ19), ISBLANK(W15:W19),ISBLANK(AU15:AU19)), "·", bdRateExtend( S15:S19,W15:W19, AQ15:AQ19,AU15:AU19))</f>
        <v>2.9956528747323574E-2</v>
      </c>
      <c r="BP15" s="24">
        <f>IF( OR(ISBLANK(S15:S19),ISBLANK(AQ15:AQ19), ISBLANK(X15:X19),ISBLANK(AV15:AV19)), "·", bdRateExtend( S15:S19,X15:X19, AQ15:AQ19,AV15:AV19))</f>
        <v>2.8178974901469811E-2</v>
      </c>
      <c r="BQ15" s="24">
        <f>IF( OR(ISBLANK(S15:S19),ISBLANK(AQ15:AQ19), ISBLANK(Y15:Y19),ISBLANK(AW15:AW19)), "·", bdRateExtend( S15:S19,Y15:Y19, AQ15:AQ19,AW15:AW19))</f>
        <v>2.2320119894218005E-2</v>
      </c>
      <c r="BR15" s="24">
        <f>IF( OR(ISBLANK(S15:S19),ISBLANK(AQ15:AQ19), ISBLANK(Z15:Z19),ISBLANK(AX15:AX19)), "·", bdRateExtend( S15:S19,Z15:Z19, AQ15:AQ19,AX15:AX19))</f>
        <v>1.9075184908701193E-3</v>
      </c>
      <c r="BS15" s="24">
        <f>IF( OR(ISBLANK(S15:S19),ISBLANK(AQ15:AQ19), ISBLANK(AA15:AA19),ISBLANK(AY15:AY19)), "·", bdRateExtend( S15:S19,AA15:AA19, AQ15:AQ19,AY15:AY19))</f>
        <v>1.9603964492419967E-2</v>
      </c>
      <c r="BU15" s="4">
        <f t="shared" si="17"/>
        <v>-450004</v>
      </c>
      <c r="BV15" s="4">
        <f t="shared" si="16"/>
        <v>-14062.625</v>
      </c>
      <c r="BW15" s="4">
        <f t="shared" si="16"/>
        <v>-610.65625</v>
      </c>
      <c r="BX15" s="4">
        <f t="shared" si="16"/>
        <v>139304</v>
      </c>
      <c r="BY15" s="4">
        <f t="shared" si="16"/>
        <v>60592</v>
      </c>
      <c r="BZ15" s="4">
        <f t="shared" si="16"/>
        <v>30224</v>
      </c>
      <c r="CA15" s="4">
        <f t="shared" si="16"/>
        <v>48488</v>
      </c>
      <c r="CB15" s="4">
        <f t="shared" si="16"/>
        <v>-6.1587500000001683E-2</v>
      </c>
      <c r="CC15" s="4">
        <f t="shared" si="16"/>
        <v>-4.3243750000002024E-2</v>
      </c>
      <c r="CD15" s="4">
        <f t="shared" si="16"/>
        <v>-8.7125000000014552E-3</v>
      </c>
      <c r="CE15" s="4">
        <f t="shared" si="16"/>
        <v>2.2024999999999295E-2</v>
      </c>
      <c r="CF15" s="4">
        <f t="shared" si="16"/>
        <v>2.1628124999999443E-2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7.223535</v>
      </c>
      <c r="J16" s="28">
        <f t="shared" si="1"/>
        <v>0.22696971855368894</v>
      </c>
      <c r="K16" s="28">
        <f t="shared" si="2"/>
        <v>9.4459839686426045E-2</v>
      </c>
      <c r="L16" s="28">
        <f t="shared" si="3"/>
        <v>5.6942148512014859E-2</v>
      </c>
      <c r="M16" s="28">
        <f t="shared" si="4"/>
        <v>0.13249526816500595</v>
      </c>
      <c r="N16" s="25">
        <f t="shared" si="5"/>
        <v>3206696</v>
      </c>
      <c r="O16" s="28">
        <f t="shared" si="6"/>
        <v>0.22978563124064225</v>
      </c>
      <c r="P16" s="29">
        <v>33531705</v>
      </c>
      <c r="Q16" s="29">
        <v>1047865.78125</v>
      </c>
      <c r="R16" s="29">
        <v>38886.46875</v>
      </c>
      <c r="S16" s="30">
        <v>7705104</v>
      </c>
      <c r="T16" s="30">
        <v>1933056</v>
      </c>
      <c r="U16" s="30">
        <v>1273640</v>
      </c>
      <c r="V16" s="30">
        <v>4497912</v>
      </c>
      <c r="W16" s="31">
        <v>67.824271874999994</v>
      </c>
      <c r="X16" s="31">
        <v>69.877096874999907</v>
      </c>
      <c r="Y16" s="31">
        <v>32.069268749999999</v>
      </c>
      <c r="Z16" s="31">
        <v>44.0404499999999</v>
      </c>
      <c r="AA16" s="31">
        <v>44.459962500000003</v>
      </c>
      <c r="AB16" s="32">
        <v>13340.7</v>
      </c>
      <c r="AC16" s="32">
        <v>1477.68</v>
      </c>
      <c r="AD16" s="32">
        <v>6.8239999999999998</v>
      </c>
      <c r="AE16" s="32">
        <v>18.059999999999999</v>
      </c>
      <c r="AG16" s="27">
        <f t="shared" si="7"/>
        <v>7.4203425000000003</v>
      </c>
      <c r="AH16" s="28">
        <f t="shared" si="8"/>
        <v>0.23315358045568776</v>
      </c>
      <c r="AI16" s="28">
        <f t="shared" si="9"/>
        <v>9.7999400136409759E-2</v>
      </c>
      <c r="AJ16" s="28">
        <f t="shared" si="10"/>
        <v>5.9591398750278295E-2</v>
      </c>
      <c r="AK16" s="28">
        <f t="shared" si="11"/>
        <v>0.13513956961702109</v>
      </c>
      <c r="AL16" s="25">
        <f t="shared" si="12"/>
        <v>3326856</v>
      </c>
      <c r="AM16" s="28">
        <f t="shared" si="13"/>
        <v>0.23730329802280531</v>
      </c>
      <c r="AN16" s="29">
        <v>33354075</v>
      </c>
      <c r="AO16" s="29">
        <v>1042314.84375</v>
      </c>
      <c r="AP16" s="29">
        <v>38391.71875</v>
      </c>
      <c r="AQ16" s="30">
        <v>7915032</v>
      </c>
      <c r="AR16" s="30">
        <v>2022992</v>
      </c>
      <c r="AS16" s="30">
        <v>1303864</v>
      </c>
      <c r="AT16" s="30">
        <v>4587680</v>
      </c>
      <c r="AU16" s="31">
        <v>67.799624999999907</v>
      </c>
      <c r="AV16" s="31">
        <v>69.851996874999998</v>
      </c>
      <c r="AW16" s="31">
        <v>32.065149999999903</v>
      </c>
      <c r="AX16" s="31">
        <v>44.074725000000001</v>
      </c>
      <c r="AY16" s="31">
        <v>44.452315624999997</v>
      </c>
      <c r="AZ16" s="32">
        <v>7700.95</v>
      </c>
      <c r="BA16" s="32">
        <v>1789.18</v>
      </c>
      <c r="BB16" s="32">
        <v>9.9239999999999995</v>
      </c>
      <c r="BC16" s="32">
        <v>29.524000000000001</v>
      </c>
      <c r="BE16" s="33">
        <f t="shared" si="14"/>
        <v>-2.7703127575159914E-4</v>
      </c>
      <c r="BF16" s="33">
        <f t="shared" si="15"/>
        <v>4.1430724945522024E-3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-177630</v>
      </c>
      <c r="BV16" s="4">
        <f t="shared" si="16"/>
        <v>-5550.9375</v>
      </c>
      <c r="BW16" s="4">
        <f t="shared" si="16"/>
        <v>-494.75</v>
      </c>
      <c r="BX16" s="4">
        <f t="shared" si="16"/>
        <v>209928</v>
      </c>
      <c r="BY16" s="4">
        <f t="shared" si="16"/>
        <v>89936</v>
      </c>
      <c r="BZ16" s="4">
        <f t="shared" si="16"/>
        <v>30224</v>
      </c>
      <c r="CA16" s="4">
        <f t="shared" si="16"/>
        <v>89768</v>
      </c>
      <c r="CB16" s="4">
        <f t="shared" si="16"/>
        <v>-2.4646875000087221E-2</v>
      </c>
      <c r="CC16" s="4">
        <f t="shared" si="16"/>
        <v>-2.5099999999909528E-2</v>
      </c>
      <c r="CD16" s="4">
        <f t="shared" si="16"/>
        <v>-4.1187500000958721E-3</v>
      </c>
      <c r="CE16" s="4">
        <f t="shared" si="16"/>
        <v>3.427500000010042E-2</v>
      </c>
      <c r="CF16" s="4">
        <f t="shared" si="16"/>
        <v>-7.6468750000060481E-3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12.1654125</v>
      </c>
      <c r="J17" s="18">
        <f t="shared" si="1"/>
        <v>0.38224778466699882</v>
      </c>
      <c r="K17" s="18">
        <f t="shared" si="2"/>
        <v>0.11806413615194988</v>
      </c>
      <c r="L17" s="18">
        <f t="shared" si="3"/>
        <v>8.0546444977538698E-2</v>
      </c>
      <c r="M17" s="18">
        <f t="shared" si="4"/>
        <v>0.264169037812792</v>
      </c>
      <c r="N17" s="15">
        <f t="shared" si="5"/>
        <v>4008008</v>
      </c>
      <c r="O17" s="18">
        <f t="shared" si="6"/>
        <v>0.3812197024560075</v>
      </c>
      <c r="P17" s="19">
        <v>34039269</v>
      </c>
      <c r="Q17" s="19">
        <v>1063727.15625</v>
      </c>
      <c r="R17" s="19">
        <v>40807.28125</v>
      </c>
      <c r="S17" s="20">
        <v>12976440</v>
      </c>
      <c r="T17" s="20">
        <v>2734368</v>
      </c>
      <c r="U17" s="20">
        <v>1273640</v>
      </c>
      <c r="V17" s="20">
        <v>8967936</v>
      </c>
      <c r="W17" s="21">
        <v>69.261243749999906</v>
      </c>
      <c r="X17" s="21">
        <v>71.672759374999998</v>
      </c>
      <c r="Y17" s="21">
        <v>34.620124999999902</v>
      </c>
      <c r="Z17" s="21">
        <v>44.856715625</v>
      </c>
      <c r="AA17" s="21">
        <v>45.372</v>
      </c>
      <c r="AB17" s="22">
        <v>13360.2</v>
      </c>
      <c r="AC17" s="22">
        <v>1589.31</v>
      </c>
      <c r="AD17" s="22">
        <v>7.1</v>
      </c>
      <c r="AE17" s="22">
        <v>18.623999999999999</v>
      </c>
      <c r="AG17" s="17">
        <f t="shared" si="7"/>
        <v>12.416332499999999</v>
      </c>
      <c r="AH17" s="18">
        <f t="shared" si="8"/>
        <v>0.39013190813002513</v>
      </c>
      <c r="AI17" s="18">
        <f t="shared" si="9"/>
        <v>0.12170550020475603</v>
      </c>
      <c r="AJ17" s="18">
        <f t="shared" si="10"/>
        <v>8.3297498818624569E-2</v>
      </c>
      <c r="AK17" s="18">
        <f t="shared" si="11"/>
        <v>0.26841179722301217</v>
      </c>
      <c r="AL17" s="15">
        <f t="shared" si="12"/>
        <v>4131624</v>
      </c>
      <c r="AM17" s="18">
        <f t="shared" si="13"/>
        <v>0.38909185700258303</v>
      </c>
      <c r="AN17" s="19">
        <v>34038461</v>
      </c>
      <c r="AO17" s="19">
        <v>1063701.90625</v>
      </c>
      <c r="AP17" s="19">
        <v>40790.84375</v>
      </c>
      <c r="AQ17" s="20">
        <v>13244088</v>
      </c>
      <c r="AR17" s="20">
        <v>2827760</v>
      </c>
      <c r="AS17" s="20">
        <v>1303864</v>
      </c>
      <c r="AT17" s="20">
        <v>9111968</v>
      </c>
      <c r="AU17" s="21">
        <v>69.249350000000007</v>
      </c>
      <c r="AV17" s="21">
        <v>71.667037500000006</v>
      </c>
      <c r="AW17" s="21">
        <v>34.620037500000002</v>
      </c>
      <c r="AX17" s="21">
        <v>44.940634375000002</v>
      </c>
      <c r="AY17" s="21">
        <v>45.395059374999903</v>
      </c>
      <c r="AZ17" s="22">
        <v>9118.93</v>
      </c>
      <c r="BA17" s="22">
        <v>2004.13</v>
      </c>
      <c r="BB17" s="22">
        <v>10.092000000000001</v>
      </c>
      <c r="BC17" s="22">
        <v>31.367999999999999</v>
      </c>
      <c r="BE17" s="23">
        <f t="shared" si="14"/>
        <v>-1.4542463108821457E-5</v>
      </c>
      <c r="BF17" s="23">
        <f t="shared" si="15"/>
        <v>3.0918005341296628E-3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-808</v>
      </c>
      <c r="BV17" s="4">
        <f t="shared" si="16"/>
        <v>-25.25</v>
      </c>
      <c r="BW17" s="4">
        <f t="shared" si="16"/>
        <v>-16.4375</v>
      </c>
      <c r="BX17" s="4">
        <f t="shared" si="16"/>
        <v>267648</v>
      </c>
      <c r="BY17" s="4">
        <f t="shared" si="16"/>
        <v>93392</v>
      </c>
      <c r="BZ17" s="4">
        <f t="shared" si="16"/>
        <v>30224</v>
      </c>
      <c r="CA17" s="4">
        <f t="shared" si="16"/>
        <v>144032</v>
      </c>
      <c r="CB17" s="4">
        <f t="shared" si="16"/>
        <v>-1.1893749999899228E-2</v>
      </c>
      <c r="CC17" s="4">
        <f t="shared" si="16"/>
        <v>-5.7218749999918828E-3</v>
      </c>
      <c r="CD17" s="4">
        <f t="shared" si="16"/>
        <v>-8.7499999899876002E-5</v>
      </c>
      <c r="CE17" s="4">
        <f t="shared" si="16"/>
        <v>8.3918750000002262E-2</v>
      </c>
      <c r="CF17" s="4">
        <f t="shared" si="16"/>
        <v>2.3059374999903071E-2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21.973485</v>
      </c>
      <c r="J18" s="28">
        <f t="shared" si="1"/>
        <v>0.6904259072730603</v>
      </c>
      <c r="K18" s="28">
        <f t="shared" si="2"/>
        <v>0.15696772313237667</v>
      </c>
      <c r="L18" s="28">
        <f t="shared" si="3"/>
        <v>0.11945003195796548</v>
      </c>
      <c r="M18" s="28">
        <f t="shared" si="4"/>
        <v>0.53344357343842674</v>
      </c>
      <c r="N18" s="25">
        <f t="shared" si="5"/>
        <v>5328696</v>
      </c>
      <c r="O18" s="28">
        <f t="shared" si="6"/>
        <v>0.65917191275066989</v>
      </c>
      <c r="P18" s="29">
        <v>35557316</v>
      </c>
      <c r="Q18" s="29">
        <v>1111166.125</v>
      </c>
      <c r="R18" s="29">
        <v>46580.46875</v>
      </c>
      <c r="S18" s="30">
        <v>23438384</v>
      </c>
      <c r="T18" s="30">
        <v>4055056</v>
      </c>
      <c r="U18" s="30">
        <v>1273640</v>
      </c>
      <c r="V18" s="30">
        <v>18109192</v>
      </c>
      <c r="W18" s="31">
        <v>70.382015624999994</v>
      </c>
      <c r="X18" s="31">
        <v>73.005503125000004</v>
      </c>
      <c r="Y18" s="31">
        <v>37.274690624999998</v>
      </c>
      <c r="Z18" s="31">
        <v>46.213653125</v>
      </c>
      <c r="AA18" s="31">
        <v>46.780184374999997</v>
      </c>
      <c r="AB18" s="32">
        <v>14172.8</v>
      </c>
      <c r="AC18" s="32">
        <v>1851.86</v>
      </c>
      <c r="AD18" s="32">
        <v>9.1679999999999993</v>
      </c>
      <c r="AE18" s="32">
        <v>24.911999999999999</v>
      </c>
      <c r="AG18" s="27">
        <f t="shared" si="7"/>
        <v>22.348199999999999</v>
      </c>
      <c r="AH18" s="28">
        <f t="shared" si="8"/>
        <v>0.70219977672726042</v>
      </c>
      <c r="AI18" s="28">
        <f t="shared" si="9"/>
        <v>0.16236896983767804</v>
      </c>
      <c r="AJ18" s="28">
        <f t="shared" si="10"/>
        <v>0.12396096845154658</v>
      </c>
      <c r="AK18" s="28">
        <f t="shared" si="11"/>
        <v>0.53981619618732546</v>
      </c>
      <c r="AL18" s="25">
        <f t="shared" si="12"/>
        <v>5512056</v>
      </c>
      <c r="AM18" s="28">
        <f t="shared" si="13"/>
        <v>0.66962081998583622</v>
      </c>
      <c r="AN18" s="29">
        <v>35599371</v>
      </c>
      <c r="AO18" s="29">
        <v>1112480.34375</v>
      </c>
      <c r="AP18" s="29">
        <v>46735.53125</v>
      </c>
      <c r="AQ18" s="30">
        <v>23838080</v>
      </c>
      <c r="AR18" s="30">
        <v>4208192</v>
      </c>
      <c r="AS18" s="30">
        <v>1303864</v>
      </c>
      <c r="AT18" s="30">
        <v>18325528</v>
      </c>
      <c r="AU18" s="31">
        <v>70.364324999999994</v>
      </c>
      <c r="AV18" s="31">
        <v>72.987318749999901</v>
      </c>
      <c r="AW18" s="31">
        <v>37.276462500000001</v>
      </c>
      <c r="AX18" s="31">
        <v>46.240331249999997</v>
      </c>
      <c r="AY18" s="31">
        <v>46.77006875</v>
      </c>
      <c r="AZ18" s="32">
        <v>10401.799999999999</v>
      </c>
      <c r="BA18" s="32">
        <v>2318.13</v>
      </c>
      <c r="BB18" s="32">
        <v>10.32</v>
      </c>
      <c r="BC18" s="32">
        <v>33.520000000000003</v>
      </c>
      <c r="BE18" s="33">
        <f t="shared" si="14"/>
        <v>8.986225730257813E-5</v>
      </c>
      <c r="BF18" s="33">
        <f t="shared" si="15"/>
        <v>3.8799041589681338E-3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42055</v>
      </c>
      <c r="BV18" s="4">
        <f t="shared" si="16"/>
        <v>1314.21875</v>
      </c>
      <c r="BW18" s="4">
        <f t="shared" si="16"/>
        <v>155.0625</v>
      </c>
      <c r="BX18" s="4">
        <f t="shared" si="16"/>
        <v>399696</v>
      </c>
      <c r="BY18" s="4">
        <f t="shared" si="16"/>
        <v>153136</v>
      </c>
      <c r="BZ18" s="4">
        <f t="shared" si="16"/>
        <v>30224</v>
      </c>
      <c r="CA18" s="4">
        <f t="shared" si="16"/>
        <v>216336</v>
      </c>
      <c r="CB18" s="4">
        <f t="shared" si="16"/>
        <v>-1.7690625000000182E-2</v>
      </c>
      <c r="CC18" s="4">
        <f t="shared" si="16"/>
        <v>-1.8184375000103614E-2</v>
      </c>
      <c r="CD18" s="4">
        <f t="shared" si="16"/>
        <v>1.7718750000028649E-3</v>
      </c>
      <c r="CE18" s="4">
        <f t="shared" si="16"/>
        <v>2.6678124999996555E-2</v>
      </c>
      <c r="CF18" s="4">
        <f t="shared" si="16"/>
        <v>-1.0115624999997408E-2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39.4071675</v>
      </c>
      <c r="J19" s="38">
        <f t="shared" si="1"/>
        <v>1.2382072927552892</v>
      </c>
      <c r="K19" s="38">
        <f t="shared" si="2"/>
        <v>0.25350840960797422</v>
      </c>
      <c r="L19" s="38">
        <f t="shared" si="3"/>
        <v>0.18329267375203245</v>
      </c>
      <c r="M19" s="38">
        <f t="shared" si="4"/>
        <v>0.98468427244505796</v>
      </c>
      <c r="N19" s="35">
        <f t="shared" si="5"/>
        <v>8606032</v>
      </c>
      <c r="O19" s="38">
        <f t="shared" si="6"/>
        <v>1.245438659949474</v>
      </c>
      <c r="P19" s="39">
        <v>33750608</v>
      </c>
      <c r="Q19" s="39">
        <v>1054706.5</v>
      </c>
      <c r="R19" s="39">
        <v>12599.84375</v>
      </c>
      <c r="S19" s="40">
        <v>42034312</v>
      </c>
      <c r="T19" s="40">
        <v>6222368</v>
      </c>
      <c r="U19" s="40">
        <v>2383664</v>
      </c>
      <c r="V19" s="40">
        <v>33427784</v>
      </c>
      <c r="W19" s="41">
        <v>71.71376875</v>
      </c>
      <c r="X19" s="41">
        <v>75.179740624999994</v>
      </c>
      <c r="Y19" s="41">
        <v>39.388859375000003</v>
      </c>
      <c r="Z19" s="41">
        <v>47.980259375000003</v>
      </c>
      <c r="AA19" s="41">
        <v>48.576546874999899</v>
      </c>
      <c r="AB19" s="42">
        <v>14159.8</v>
      </c>
      <c r="AC19" s="42">
        <v>2351.8200000000002</v>
      </c>
      <c r="AD19" s="42">
        <v>9.58</v>
      </c>
      <c r="AE19" s="42">
        <v>26.74</v>
      </c>
      <c r="AG19" s="37">
        <f t="shared" si="7"/>
        <v>40.0154025</v>
      </c>
      <c r="AH19" s="38">
        <f t="shared" si="8"/>
        <v>1.2573185626203212</v>
      </c>
      <c r="AI19" s="38">
        <f t="shared" si="9"/>
        <v>0.26302468990699168</v>
      </c>
      <c r="AJ19" s="38">
        <f t="shared" si="10"/>
        <v>0.19110044451294192</v>
      </c>
      <c r="AK19" s="38">
        <f t="shared" si="11"/>
        <v>0.99427926201107242</v>
      </c>
      <c r="AL19" s="35">
        <f t="shared" si="12"/>
        <v>8929088</v>
      </c>
      <c r="AM19" s="38">
        <f t="shared" si="13"/>
        <v>1.2624631389277177</v>
      </c>
      <c r="AN19" s="39">
        <v>33809380</v>
      </c>
      <c r="AO19" s="39">
        <v>1056543.125</v>
      </c>
      <c r="AP19" s="39">
        <v>12689.4375</v>
      </c>
      <c r="AQ19" s="40">
        <v>42683096</v>
      </c>
      <c r="AR19" s="40">
        <v>6487424</v>
      </c>
      <c r="AS19" s="40">
        <v>2441664</v>
      </c>
      <c r="AT19" s="40">
        <v>33753512</v>
      </c>
      <c r="AU19" s="41">
        <v>71.719068749999906</v>
      </c>
      <c r="AV19" s="41">
        <v>75.143396874999993</v>
      </c>
      <c r="AW19" s="41">
        <v>39.385181250000002</v>
      </c>
      <c r="AX19" s="41">
        <v>47.9943375</v>
      </c>
      <c r="AY19" s="41">
        <v>48.583590624999999</v>
      </c>
      <c r="AZ19" s="42">
        <v>8214.18</v>
      </c>
      <c r="BA19" s="42">
        <v>2713.3</v>
      </c>
      <c r="BB19" s="42">
        <v>11.144</v>
      </c>
      <c r="BC19" s="42">
        <v>36.508000000000003</v>
      </c>
      <c r="BE19" s="43">
        <f t="shared" si="14"/>
        <v>6.4032285181737925E-5</v>
      </c>
      <c r="BF19" s="43">
        <f t="shared" si="15"/>
        <v>4.4566844721853627E-3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58772</v>
      </c>
      <c r="BV19" s="4">
        <f t="shared" si="16"/>
        <v>1836.625</v>
      </c>
      <c r="BW19" s="4">
        <f t="shared" si="16"/>
        <v>89.59375</v>
      </c>
      <c r="BX19" s="4">
        <f t="shared" si="16"/>
        <v>648784</v>
      </c>
      <c r="BY19" s="4">
        <f t="shared" si="16"/>
        <v>265056</v>
      </c>
      <c r="BZ19" s="4">
        <f t="shared" si="16"/>
        <v>58000</v>
      </c>
      <c r="CA19" s="4">
        <f t="shared" si="16"/>
        <v>325728</v>
      </c>
      <c r="CB19" s="4">
        <f t="shared" si="16"/>
        <v>5.2999999999059355E-3</v>
      </c>
      <c r="CC19" s="4">
        <f t="shared" si="16"/>
        <v>-3.6343750000000341E-2</v>
      </c>
      <c r="CD19" s="4">
        <f t="shared" si="16"/>
        <v>-3.6781250000004206E-3</v>
      </c>
      <c r="CE19" s="4">
        <f t="shared" si="16"/>
        <v>1.4078124999997499E-2</v>
      </c>
      <c r="CF19" s="4">
        <f t="shared" si="16"/>
        <v>7.0437500001006015E-3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5.3381499999999997</v>
      </c>
      <c r="J20" s="28">
        <f t="shared" si="1"/>
        <v>0.10606811134168734</v>
      </c>
      <c r="K20" s="28">
        <f t="shared" si="2"/>
        <v>5.9300750399499925E-2</v>
      </c>
      <c r="L20" s="28">
        <f t="shared" si="3"/>
        <v>2.9250619139119301E-2</v>
      </c>
      <c r="M20" s="28">
        <f t="shared" si="4"/>
        <v>4.6751961827083896E-2</v>
      </c>
      <c r="N20" s="25">
        <f t="shared" si="5"/>
        <v>1910056</v>
      </c>
      <c r="O20" s="28">
        <f t="shared" si="6"/>
        <v>0.11301245453340769</v>
      </c>
      <c r="P20" s="29">
        <v>30230438</v>
      </c>
      <c r="Q20" s="29">
        <v>944701.1875</v>
      </c>
      <c r="R20" s="29">
        <v>27161</v>
      </c>
      <c r="S20" s="30">
        <v>3416416</v>
      </c>
      <c r="T20" s="30">
        <v>942152</v>
      </c>
      <c r="U20" s="30">
        <v>967904</v>
      </c>
      <c r="V20" s="30">
        <v>1505864</v>
      </c>
      <c r="W20" s="31">
        <v>67.065771874999996</v>
      </c>
      <c r="X20" s="31">
        <v>68.733975000000001</v>
      </c>
      <c r="Y20" s="31">
        <v>30.891359375</v>
      </c>
      <c r="Z20" s="31">
        <v>39.5859406249999</v>
      </c>
      <c r="AA20" s="31">
        <v>38.404590624999997</v>
      </c>
      <c r="AB20" s="32">
        <v>13187.7</v>
      </c>
      <c r="AC20" s="32">
        <v>1243.6099999999999</v>
      </c>
      <c r="AD20" s="32">
        <v>6.9039999999999999</v>
      </c>
      <c r="AE20" s="32">
        <v>19.536000000000001</v>
      </c>
      <c r="AG20" s="27">
        <f t="shared" si="7"/>
        <v>5.4105875000000001</v>
      </c>
      <c r="AH20" s="28">
        <f t="shared" si="8"/>
        <v>0.10750743185821712</v>
      </c>
      <c r="AI20" s="28">
        <f t="shared" si="9"/>
        <v>6.0832713979475025E-2</v>
      </c>
      <c r="AJ20" s="28">
        <f t="shared" si="10"/>
        <v>3.0387173182888118E-2</v>
      </c>
      <c r="AK20" s="28">
        <f t="shared" si="11"/>
        <v>4.6659318763638581E-2</v>
      </c>
      <c r="AL20" s="25">
        <f t="shared" si="12"/>
        <v>1959400</v>
      </c>
      <c r="AM20" s="28">
        <f t="shared" si="13"/>
        <v>0.11533820962734988</v>
      </c>
      <c r="AN20" s="29">
        <v>30022800</v>
      </c>
      <c r="AO20" s="29">
        <v>938212.5</v>
      </c>
      <c r="AP20" s="29">
        <v>26764.9375</v>
      </c>
      <c r="AQ20" s="30">
        <v>3462776</v>
      </c>
      <c r="AR20" s="30">
        <v>978760</v>
      </c>
      <c r="AS20" s="30">
        <v>980640</v>
      </c>
      <c r="AT20" s="30">
        <v>1502880</v>
      </c>
      <c r="AU20" s="31">
        <v>67.083403125000004</v>
      </c>
      <c r="AV20" s="31">
        <v>68.758271874999906</v>
      </c>
      <c r="AW20" s="31">
        <v>30.8688031249999</v>
      </c>
      <c r="AX20" s="31">
        <v>39.633318750000001</v>
      </c>
      <c r="AY20" s="31">
        <v>38.449787499999999</v>
      </c>
      <c r="AZ20" s="32">
        <v>8160.24</v>
      </c>
      <c r="BA20" s="32">
        <v>1408.24</v>
      </c>
      <c r="BB20" s="32">
        <v>6.6079999999999997</v>
      </c>
      <c r="BC20" s="32">
        <v>20.388000000000002</v>
      </c>
      <c r="BE20" s="33">
        <f t="shared" si="14"/>
        <v>-2.2330437819342852E-4</v>
      </c>
      <c r="BF20" s="33">
        <f t="shared" si="15"/>
        <v>6.7647944437252416E-3</v>
      </c>
      <c r="BG20" s="33">
        <f t="array" ref="BG20">AVERAGE(AL20:AL24/AQ20:AQ24) - AVERAGE(N20:N24/S20:S24)</f>
        <v>5.2601101070086642E-3</v>
      </c>
      <c r="BI20" s="34">
        <f>IF( OR(ISBLANK(N20:N24),ISBLANK(AL20:AL24), ISBLANK(W20:W24),ISBLANK(AU20:AU24)), "·", bdRateExtend( N20:N24,W20:W24, AL20:AL24,AU20:AU24))</f>
        <v>2.7851504542053318E-2</v>
      </c>
      <c r="BJ20" s="34">
        <f>IF( OR(ISBLANK(N20:N24),ISBLANK(AL20:AL24), ISBLANK(X20:X24),ISBLANK(AV20:AV24)), "·", bdRateExtend( N20:N24,X20:X24, AL20:AL24,AV20:AV24))</f>
        <v>2.8870484633076732E-2</v>
      </c>
      <c r="BK20" s="34">
        <f>IF( OR(ISBLANK(V20:V24),ISBLANK(AT20:AT24), ISBLANK(Y20:Y24),ISBLANK(AW20:AW24)), "·", bdRateExtend( V20:V24,Y20:Y24, AT20:AT24,AW20:AW24))</f>
        <v>2.1351367458486425E-3</v>
      </c>
      <c r="BL20" s="34">
        <f>IF( OR(ISBLANK(V20:V24),ISBLANK(AT20:AT24), ISBLANK(Z20:Z24),ISBLANK(AX20:AX24)), "·", bdRateExtend( V20:V24,Z20:Z24, AT20:AT24,AX20:AX24))</f>
        <v>-1.7452373099906882E-2</v>
      </c>
      <c r="BM20" s="34">
        <f>IF( OR(ISBLANK(V20:V24),ISBLANK(AT20:AT24), ISBLANK(AA20:AA24),ISBLANK(AY20:AY24)), "·", bdRateExtend( V20:V24,AA20:AA24, AT20:AT24,AY20:AY24))</f>
        <v>-3.1168847348354012E-3</v>
      </c>
      <c r="BO20" s="34">
        <f>IF( OR(ISBLANK(S20:S24),ISBLANK(AQ20:AQ24), ISBLANK(W20:W24),ISBLANK(AU20:AU24)), "·", bdRateExtend( S20:S24,W20:W24, AQ20:AQ24,AU20:AU24))</f>
        <v>1.3746774778342852E-2</v>
      </c>
      <c r="BP20" s="34">
        <f>IF( OR(ISBLANK(S20:S24),ISBLANK(AQ20:AQ24), ISBLANK(X20:X24),ISBLANK(AV20:AV24)), "·", bdRateExtend( S20:S24,X20:X24, AQ20:AQ24,AV20:AV24))</f>
        <v>1.3865154623562637E-2</v>
      </c>
      <c r="BQ20" s="34">
        <f>IF( OR(ISBLANK(S20:S24),ISBLANK(AQ20:AQ24), ISBLANK(Y20:Y24),ISBLANK(AW20:AW24)), "·", bdRateExtend( S20:S24,Y20:Y24, AQ20:AQ24,AW20:AW24))</f>
        <v>1.0512311852653111E-2</v>
      </c>
      <c r="BR20" s="34">
        <f>IF( OR(ISBLANK(S20:S24),ISBLANK(AQ20:AQ24), ISBLANK(Z20:Z24),ISBLANK(AX20:AX24)), "·", bdRateExtend( S20:S24,Z20:Z24, AQ20:AQ24,AX20:AX24))</f>
        <v>-3.7681078681324198E-3</v>
      </c>
      <c r="BS20" s="34">
        <f>IF( OR(ISBLANK(S20:S24),ISBLANK(AQ20:AQ24), ISBLANK(AA20:AA24),ISBLANK(AY20:AY24)), "·", bdRateExtend( S20:S24,AA20:AA24, AQ20:AQ24,AY20:AY24))</f>
        <v>8.2188147221584629E-3</v>
      </c>
      <c r="BU20" s="4">
        <f t="shared" si="17"/>
        <v>-207638</v>
      </c>
      <c r="BV20" s="4">
        <f t="shared" si="16"/>
        <v>-6488.6875</v>
      </c>
      <c r="BW20" s="4">
        <f t="shared" si="16"/>
        <v>-396.0625</v>
      </c>
      <c r="BX20" s="4">
        <f t="shared" si="16"/>
        <v>46360</v>
      </c>
      <c r="BY20" s="4">
        <f t="shared" si="16"/>
        <v>36608</v>
      </c>
      <c r="BZ20" s="4">
        <f t="shared" si="16"/>
        <v>12736</v>
      </c>
      <c r="CA20" s="4">
        <f t="shared" si="16"/>
        <v>-2984</v>
      </c>
      <c r="CB20" s="4">
        <f t="shared" si="16"/>
        <v>1.7631250000007981E-2</v>
      </c>
      <c r="CC20" s="4">
        <f t="shared" si="16"/>
        <v>2.4296874999905071E-2</v>
      </c>
      <c r="CD20" s="4">
        <f t="shared" si="16"/>
        <v>-2.255625000010042E-2</v>
      </c>
      <c r="CE20" s="4">
        <f t="shared" si="16"/>
        <v>4.7378125000101079E-2</v>
      </c>
      <c r="CF20" s="4">
        <f t="shared" si="16"/>
        <v>4.5196875000002024E-2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8.3959875000000004</v>
      </c>
      <c r="J21" s="18">
        <f t="shared" si="1"/>
        <v>0.1668268102195358</v>
      </c>
      <c r="K21" s="18">
        <f t="shared" si="2"/>
        <v>7.0274855266169819E-2</v>
      </c>
      <c r="L21" s="18">
        <f t="shared" si="3"/>
        <v>4.0224724005789199E-2</v>
      </c>
      <c r="M21" s="18">
        <f t="shared" si="4"/>
        <v>9.6536555838262469E-2</v>
      </c>
      <c r="N21" s="15">
        <f t="shared" si="5"/>
        <v>2263528</v>
      </c>
      <c r="O21" s="18">
        <f t="shared" si="6"/>
        <v>0.17013866658864918</v>
      </c>
      <c r="P21" s="19">
        <v>31582662</v>
      </c>
      <c r="Q21" s="19">
        <v>986958.1875</v>
      </c>
      <c r="R21" s="19">
        <v>32537.78125</v>
      </c>
      <c r="S21" s="20">
        <v>5373432</v>
      </c>
      <c r="T21" s="20">
        <v>1295624</v>
      </c>
      <c r="U21" s="20">
        <v>967904</v>
      </c>
      <c r="V21" s="20">
        <v>3109408</v>
      </c>
      <c r="W21" s="21">
        <v>68.659734374999999</v>
      </c>
      <c r="X21" s="21">
        <v>70.740428124999994</v>
      </c>
      <c r="Y21" s="21">
        <v>32.783678124999902</v>
      </c>
      <c r="Z21" s="21">
        <v>40.733424999999997</v>
      </c>
      <c r="AA21" s="21">
        <v>39.702150000000003</v>
      </c>
      <c r="AB21" s="22">
        <v>14248</v>
      </c>
      <c r="AC21" s="22">
        <v>1263.05</v>
      </c>
      <c r="AD21" s="22">
        <v>7.4560000000000004</v>
      </c>
      <c r="AE21" s="22">
        <v>20.263999999999999</v>
      </c>
      <c r="AG21" s="17">
        <f t="shared" si="7"/>
        <v>8.4936624999999992</v>
      </c>
      <c r="AH21" s="18">
        <f t="shared" si="8"/>
        <v>0.1687675954682267</v>
      </c>
      <c r="AI21" s="18">
        <f t="shared" si="9"/>
        <v>7.2267053689480512E-2</v>
      </c>
      <c r="AJ21" s="18">
        <f t="shared" si="10"/>
        <v>4.1821512892893598E-2</v>
      </c>
      <c r="AK21" s="18">
        <f t="shared" si="11"/>
        <v>9.6485142663642692E-2</v>
      </c>
      <c r="AL21" s="15">
        <f t="shared" si="12"/>
        <v>2327696</v>
      </c>
      <c r="AM21" s="18">
        <f t="shared" si="13"/>
        <v>0.17193852723139272</v>
      </c>
      <c r="AN21" s="19">
        <v>31615625</v>
      </c>
      <c r="AO21" s="19">
        <v>987988.28125</v>
      </c>
      <c r="AP21" s="19">
        <v>32416.75</v>
      </c>
      <c r="AQ21" s="20">
        <v>5435944</v>
      </c>
      <c r="AR21" s="20">
        <v>1347056</v>
      </c>
      <c r="AS21" s="20">
        <v>980640</v>
      </c>
      <c r="AT21" s="20">
        <v>3107752</v>
      </c>
      <c r="AU21" s="21">
        <v>68.630640624999998</v>
      </c>
      <c r="AV21" s="21">
        <v>70.708550000000002</v>
      </c>
      <c r="AW21" s="21">
        <v>32.787793749999999</v>
      </c>
      <c r="AX21" s="21">
        <v>40.790659374999997</v>
      </c>
      <c r="AY21" s="21">
        <v>39.7222875</v>
      </c>
      <c r="AZ21" s="22">
        <v>9214.0499999999993</v>
      </c>
      <c r="BA21" s="22">
        <v>1608.38</v>
      </c>
      <c r="BB21" s="22">
        <v>7.3159999999999998</v>
      </c>
      <c r="BC21" s="22">
        <v>22.524000000000001</v>
      </c>
      <c r="BE21" s="23">
        <f t="shared" si="14"/>
        <v>-1.5687545714382356E-4</v>
      </c>
      <c r="BF21" s="23">
        <f t="shared" si="15"/>
        <v>6.9601842259064961E-3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32963</v>
      </c>
      <c r="BV21" s="4">
        <f t="shared" ref="BV21:BV29" si="18">AO21-Q21</f>
        <v>1030.09375</v>
      </c>
      <c r="BW21" s="4">
        <f t="shared" ref="BW21:BW29" si="19">AP21-R21</f>
        <v>-121.03125</v>
      </c>
      <c r="BX21" s="4">
        <f t="shared" ref="BX21:BX29" si="20">AQ21-S21</f>
        <v>62512</v>
      </c>
      <c r="BY21" s="4">
        <f t="shared" ref="BY21:BY29" si="21">AR21-T21</f>
        <v>51432</v>
      </c>
      <c r="BZ21" s="4">
        <f t="shared" ref="BZ21:BZ29" si="22">AS21-U21</f>
        <v>12736</v>
      </c>
      <c r="CA21" s="4">
        <f t="shared" ref="CA21:CA29" si="23">AT21-V21</f>
        <v>-1656</v>
      </c>
      <c r="CB21" s="4">
        <f t="shared" ref="CB21:CB29" si="24">AU21-W21</f>
        <v>-2.9093750000001251E-2</v>
      </c>
      <c r="CC21" s="4">
        <f t="shared" ref="CC21:CC29" si="25">AV21-X21</f>
        <v>-3.1878124999991542E-2</v>
      </c>
      <c r="CD21" s="4">
        <f t="shared" ref="CD21:CD29" si="26">AW21-Y21</f>
        <v>4.1156250000966565E-3</v>
      </c>
      <c r="CE21" s="4">
        <f t="shared" ref="CE21:CE29" si="27">AX21-Z21</f>
        <v>5.7234375000000171E-2</v>
      </c>
      <c r="CF21" s="4">
        <f t="shared" ref="CF21:CF29" si="28">AY21-AA21</f>
        <v>2.0137499999997033E-2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13.905637499999999</v>
      </c>
      <c r="J22" s="28">
        <f t="shared" si="1"/>
        <v>0.27630259670993557</v>
      </c>
      <c r="K22" s="28">
        <f t="shared" si="2"/>
        <v>8.6776497336527453E-2</v>
      </c>
      <c r="L22" s="28">
        <f t="shared" si="3"/>
        <v>5.6726366076146825E-2</v>
      </c>
      <c r="M22" s="28">
        <f t="shared" si="4"/>
        <v>0.18951070025830463</v>
      </c>
      <c r="N22" s="25">
        <f t="shared" si="5"/>
        <v>2795040</v>
      </c>
      <c r="O22" s="28">
        <f t="shared" si="6"/>
        <v>0.27041804673303138</v>
      </c>
      <c r="P22" s="29">
        <v>32910555</v>
      </c>
      <c r="Q22" s="29">
        <v>1028454.84375</v>
      </c>
      <c r="R22" s="29">
        <v>34769.59375</v>
      </c>
      <c r="S22" s="30">
        <v>8899608</v>
      </c>
      <c r="T22" s="30">
        <v>1827136</v>
      </c>
      <c r="U22" s="30">
        <v>967904</v>
      </c>
      <c r="V22" s="30">
        <v>6104072</v>
      </c>
      <c r="W22" s="31">
        <v>69.831643749999998</v>
      </c>
      <c r="X22" s="31">
        <v>72.240359374999898</v>
      </c>
      <c r="Y22" s="31">
        <v>34.627749999999999</v>
      </c>
      <c r="Z22" s="31">
        <v>41.769931249999999</v>
      </c>
      <c r="AA22" s="31">
        <v>40.774081249999902</v>
      </c>
      <c r="AB22" s="32">
        <v>8827.76</v>
      </c>
      <c r="AC22" s="32">
        <v>1509.9</v>
      </c>
      <c r="AD22" s="32">
        <v>6.024</v>
      </c>
      <c r="AE22" s="32">
        <v>15.724</v>
      </c>
      <c r="AG22" s="27">
        <f t="shared" si="7"/>
        <v>13.9858125</v>
      </c>
      <c r="AH22" s="28">
        <f t="shared" si="8"/>
        <v>0.27789566000467625</v>
      </c>
      <c r="AI22" s="28">
        <f t="shared" si="9"/>
        <v>8.8482073520653431E-2</v>
      </c>
      <c r="AJ22" s="28">
        <f t="shared" si="10"/>
        <v>5.8036532724066517E-2</v>
      </c>
      <c r="AK22" s="28">
        <f t="shared" si="11"/>
        <v>0.18939818736891931</v>
      </c>
      <c r="AL22" s="25">
        <f t="shared" si="12"/>
        <v>2849976</v>
      </c>
      <c r="AM22" s="28">
        <f t="shared" si="13"/>
        <v>0.27258348137866045</v>
      </c>
      <c r="AN22" s="29">
        <v>32837353</v>
      </c>
      <c r="AO22" s="29">
        <v>1026167.28125</v>
      </c>
      <c r="AP22" s="29">
        <v>34651.8125</v>
      </c>
      <c r="AQ22" s="30">
        <v>8950920</v>
      </c>
      <c r="AR22" s="30">
        <v>1869336</v>
      </c>
      <c r="AS22" s="30">
        <v>980640</v>
      </c>
      <c r="AT22" s="30">
        <v>6100448</v>
      </c>
      <c r="AU22" s="31">
        <v>69.854031249999906</v>
      </c>
      <c r="AV22" s="31">
        <v>72.266999999999996</v>
      </c>
      <c r="AW22" s="31">
        <v>34.616571874999998</v>
      </c>
      <c r="AX22" s="31">
        <v>41.799781249999903</v>
      </c>
      <c r="AY22" s="31">
        <v>40.781631249999997</v>
      </c>
      <c r="AZ22" s="32">
        <v>10608.8</v>
      </c>
      <c r="BA22" s="32">
        <v>1588.94</v>
      </c>
      <c r="BB22" s="32">
        <v>7.4960000000000004</v>
      </c>
      <c r="BC22" s="32">
        <v>23.568000000000001</v>
      </c>
      <c r="BE22" s="33">
        <f t="shared" si="14"/>
        <v>-3.9412914803096943E-5</v>
      </c>
      <c r="BF22" s="33">
        <f t="shared" si="15"/>
        <v>4.3370721035654869E-3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-73202</v>
      </c>
      <c r="BV22" s="4">
        <f t="shared" si="18"/>
        <v>-2287.5625</v>
      </c>
      <c r="BW22" s="4">
        <f t="shared" si="19"/>
        <v>-117.78125</v>
      </c>
      <c r="BX22" s="4">
        <f t="shared" si="20"/>
        <v>51312</v>
      </c>
      <c r="BY22" s="4">
        <f t="shared" si="21"/>
        <v>42200</v>
      </c>
      <c r="BZ22" s="4">
        <f t="shared" si="22"/>
        <v>12736</v>
      </c>
      <c r="CA22" s="4">
        <f t="shared" si="23"/>
        <v>-3624</v>
      </c>
      <c r="CB22" s="4">
        <f t="shared" si="24"/>
        <v>2.23874999999083E-2</v>
      </c>
      <c r="CC22" s="4">
        <f t="shared" si="25"/>
        <v>2.6640625000098339E-2</v>
      </c>
      <c r="CD22" s="4">
        <f t="shared" si="26"/>
        <v>-1.1178125000000705E-2</v>
      </c>
      <c r="CE22" s="4">
        <f t="shared" si="27"/>
        <v>2.9849999999903787E-2</v>
      </c>
      <c r="CF22" s="4">
        <f t="shared" si="28"/>
        <v>7.5500000000943146E-3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24.242312500000001</v>
      </c>
      <c r="J23" s="18">
        <f t="shared" si="1"/>
        <v>0.48169052975843291</v>
      </c>
      <c r="K23" s="18">
        <f t="shared" si="2"/>
        <v>0.11521593083164566</v>
      </c>
      <c r="L23" s="18">
        <f t="shared" si="3"/>
        <v>8.5165799571265036E-2</v>
      </c>
      <c r="M23" s="18">
        <f t="shared" si="4"/>
        <v>0.36645919981168373</v>
      </c>
      <c r="N23" s="15">
        <f t="shared" si="5"/>
        <v>3711064</v>
      </c>
      <c r="O23" s="18">
        <f t="shared" si="6"/>
        <v>0.47079999111508047</v>
      </c>
      <c r="P23" s="19">
        <v>32954716</v>
      </c>
      <c r="Q23" s="19">
        <v>1029834.875</v>
      </c>
      <c r="R23" s="19">
        <v>36665.46875</v>
      </c>
      <c r="S23" s="20">
        <v>15515080</v>
      </c>
      <c r="T23" s="20">
        <v>2743160</v>
      </c>
      <c r="U23" s="20">
        <v>967904</v>
      </c>
      <c r="V23" s="20">
        <v>11803520</v>
      </c>
      <c r="W23" s="21">
        <v>70.837203125000002</v>
      </c>
      <c r="X23" s="21">
        <v>73.567968750000006</v>
      </c>
      <c r="Y23" s="21">
        <v>36.275915624999897</v>
      </c>
      <c r="Z23" s="21">
        <v>42.959853125000002</v>
      </c>
      <c r="AA23" s="21">
        <v>41.852284374999897</v>
      </c>
      <c r="AB23" s="22">
        <v>8718.89</v>
      </c>
      <c r="AC23" s="22">
        <v>1687.38</v>
      </c>
      <c r="AD23" s="22">
        <v>5.9640000000000004</v>
      </c>
      <c r="AE23" s="22">
        <v>16.212</v>
      </c>
      <c r="AG23" s="17">
        <f t="shared" si="7"/>
        <v>24.4242375</v>
      </c>
      <c r="AH23" s="18">
        <f t="shared" si="8"/>
        <v>0.48530534784257001</v>
      </c>
      <c r="AI23" s="18">
        <f t="shared" si="9"/>
        <v>0.11791872390513611</v>
      </c>
      <c r="AJ23" s="18">
        <f t="shared" si="10"/>
        <v>8.7473183108549207E-2</v>
      </c>
      <c r="AK23" s="18">
        <f t="shared" si="11"/>
        <v>0.36737122482233037</v>
      </c>
      <c r="AL23" s="15">
        <f t="shared" si="12"/>
        <v>3798120</v>
      </c>
      <c r="AM23" s="18">
        <f t="shared" si="13"/>
        <v>0.47391358089481689</v>
      </c>
      <c r="AN23" s="19">
        <v>32983887</v>
      </c>
      <c r="AO23" s="19">
        <v>1030746.46875</v>
      </c>
      <c r="AP23" s="19">
        <v>37020.34375</v>
      </c>
      <c r="AQ23" s="20">
        <v>15631512</v>
      </c>
      <c r="AR23" s="20">
        <v>2817480</v>
      </c>
      <c r="AS23" s="20">
        <v>980640</v>
      </c>
      <c r="AT23" s="20">
        <v>11832896</v>
      </c>
      <c r="AU23" s="21">
        <v>70.814487499999998</v>
      </c>
      <c r="AV23" s="21">
        <v>73.542093749999907</v>
      </c>
      <c r="AW23" s="21">
        <v>36.269950000000001</v>
      </c>
      <c r="AX23" s="21">
        <v>42.961756250000001</v>
      </c>
      <c r="AY23" s="21">
        <v>41.832490624999998</v>
      </c>
      <c r="AZ23" s="22">
        <v>11061.9</v>
      </c>
      <c r="BA23" s="22">
        <v>1808.16</v>
      </c>
      <c r="BB23" s="22">
        <v>7.4720000000000004</v>
      </c>
      <c r="BC23" s="22">
        <v>23.783999999999999</v>
      </c>
      <c r="BE23" s="23">
        <f t="shared" si="14"/>
        <v>3.1280175036818569E-4</v>
      </c>
      <c r="BF23" s="23">
        <f t="shared" si="15"/>
        <v>3.7876399772232006E-3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29171</v>
      </c>
      <c r="BV23" s="4">
        <f t="shared" si="18"/>
        <v>911.59375</v>
      </c>
      <c r="BW23" s="4">
        <f t="shared" si="19"/>
        <v>354.875</v>
      </c>
      <c r="BX23" s="4">
        <f t="shared" si="20"/>
        <v>116432</v>
      </c>
      <c r="BY23" s="4">
        <f t="shared" si="21"/>
        <v>74320</v>
      </c>
      <c r="BZ23" s="4">
        <f t="shared" si="22"/>
        <v>12736</v>
      </c>
      <c r="CA23" s="4">
        <f t="shared" si="23"/>
        <v>29376</v>
      </c>
      <c r="CB23" s="4">
        <f t="shared" si="24"/>
        <v>-2.271562500000357E-2</v>
      </c>
      <c r="CC23" s="4">
        <f t="shared" si="25"/>
        <v>-2.587500000009868E-2</v>
      </c>
      <c r="CD23" s="4">
        <f t="shared" si="26"/>
        <v>-5.9656249998951694E-3</v>
      </c>
      <c r="CE23" s="4">
        <f t="shared" si="27"/>
        <v>1.9031249999983402E-3</v>
      </c>
      <c r="CF23" s="4">
        <f t="shared" si="28"/>
        <v>-1.979374999989858E-2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40.182237499999999</v>
      </c>
      <c r="J24" s="48">
        <f t="shared" si="1"/>
        <v>0.79841406500531531</v>
      </c>
      <c r="K24" s="48">
        <f t="shared" si="2"/>
        <v>0.19028860394385619</v>
      </c>
      <c r="L24" s="48">
        <f t="shared" si="3"/>
        <v>0.13218525893006638</v>
      </c>
      <c r="M24" s="48">
        <f t="shared" si="4"/>
        <v>0.60811006194635564</v>
      </c>
      <c r="N24" s="45">
        <f t="shared" si="5"/>
        <v>6129128</v>
      </c>
      <c r="O24" s="48">
        <f t="shared" si="6"/>
        <v>0.81420614872637775</v>
      </c>
      <c r="P24" s="49">
        <v>31584915</v>
      </c>
      <c r="Q24" s="49">
        <v>987028.59375</v>
      </c>
      <c r="R24" s="49">
        <v>10420.40625</v>
      </c>
      <c r="S24" s="50">
        <v>25716632</v>
      </c>
      <c r="T24" s="50">
        <v>4257640</v>
      </c>
      <c r="U24" s="50">
        <v>1871488</v>
      </c>
      <c r="V24" s="50">
        <v>19587008</v>
      </c>
      <c r="W24" s="51">
        <v>72.175037500000002</v>
      </c>
      <c r="X24" s="51">
        <v>75.995553125000001</v>
      </c>
      <c r="Y24" s="51">
        <v>37.542568750000001</v>
      </c>
      <c r="Z24" s="51">
        <v>44.079475000000002</v>
      </c>
      <c r="AA24" s="51">
        <v>42.783065624999999</v>
      </c>
      <c r="AB24" s="52">
        <v>8830.01</v>
      </c>
      <c r="AC24" s="52">
        <v>1895.35</v>
      </c>
      <c r="AD24" s="52">
        <v>6.3840000000000003</v>
      </c>
      <c r="AE24" s="52">
        <v>16.88</v>
      </c>
      <c r="AG24" s="47">
        <f t="shared" si="7"/>
        <v>40.56315</v>
      </c>
      <c r="AH24" s="48">
        <f t="shared" si="8"/>
        <v>0.80598273007869103</v>
      </c>
      <c r="AI24" s="48">
        <f t="shared" si="9"/>
        <v>0.19567978446703058</v>
      </c>
      <c r="AJ24" s="48">
        <f t="shared" si="10"/>
        <v>0.13711545949143242</v>
      </c>
      <c r="AK24" s="48">
        <f t="shared" si="11"/>
        <v>0.61028754649655692</v>
      </c>
      <c r="AL24" s="45">
        <f t="shared" si="12"/>
        <v>6302776</v>
      </c>
      <c r="AM24" s="48">
        <f t="shared" si="13"/>
        <v>0.82104537072719708</v>
      </c>
      <c r="AN24" s="49">
        <v>31618735</v>
      </c>
      <c r="AO24" s="49">
        <v>988085.46875</v>
      </c>
      <c r="AP24" s="49">
        <v>10428.5</v>
      </c>
      <c r="AQ24" s="50">
        <v>25960416</v>
      </c>
      <c r="AR24" s="50">
        <v>4416440</v>
      </c>
      <c r="AS24" s="50">
        <v>1886336</v>
      </c>
      <c r="AT24" s="50">
        <v>19657144</v>
      </c>
      <c r="AU24" s="51">
        <v>72.174437499999996</v>
      </c>
      <c r="AV24" s="51">
        <v>75.951915624999998</v>
      </c>
      <c r="AW24" s="51">
        <v>37.552512499999899</v>
      </c>
      <c r="AX24" s="51">
        <v>44.088165624999903</v>
      </c>
      <c r="AY24" s="51">
        <v>42.754918749999902</v>
      </c>
      <c r="AZ24" s="52">
        <v>10582.5</v>
      </c>
      <c r="BA24" s="52">
        <v>2018.24</v>
      </c>
      <c r="BB24" s="52">
        <v>8.7080000000000002</v>
      </c>
      <c r="BC24" s="52">
        <v>26.52</v>
      </c>
      <c r="BE24" s="53">
        <f t="shared" si="14"/>
        <v>-3.10099611691185E-6</v>
      </c>
      <c r="BF24" s="53">
        <f t="shared" si="15"/>
        <v>4.4508597846228404E-3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33820</v>
      </c>
      <c r="BV24" s="4">
        <f t="shared" si="18"/>
        <v>1056.875</v>
      </c>
      <c r="BW24" s="4">
        <f t="shared" si="19"/>
        <v>8.09375</v>
      </c>
      <c r="BX24" s="4">
        <f t="shared" si="20"/>
        <v>243784</v>
      </c>
      <c r="BY24" s="4">
        <f t="shared" si="21"/>
        <v>158800</v>
      </c>
      <c r="BZ24" s="4">
        <f t="shared" si="22"/>
        <v>14848</v>
      </c>
      <c r="CA24" s="4">
        <f t="shared" si="23"/>
        <v>70136</v>
      </c>
      <c r="CB24" s="4">
        <f t="shared" si="24"/>
        <v>-6.0000000000570708E-4</v>
      </c>
      <c r="CC24" s="4">
        <f t="shared" si="25"/>
        <v>-4.363750000000266E-2</v>
      </c>
      <c r="CD24" s="4">
        <f t="shared" si="26"/>
        <v>9.9437499998984435E-3</v>
      </c>
      <c r="CE24" s="4">
        <f t="shared" si="27"/>
        <v>8.6906249999003649E-3</v>
      </c>
      <c r="CF24" s="4">
        <f t="shared" si="28"/>
        <v>-2.8146875000096827E-2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4.7430374999999998</v>
      </c>
      <c r="J25" s="18">
        <f t="shared" si="1"/>
        <v>0.19987193632466732</v>
      </c>
      <c r="K25" s="18">
        <f t="shared" si="2"/>
        <v>6.9763098003161134E-2</v>
      </c>
      <c r="L25" s="18">
        <f t="shared" si="3"/>
        <v>3.7842626430484215E-2</v>
      </c>
      <c r="M25" s="18">
        <f t="shared" si="4"/>
        <v>0.13008924318855797</v>
      </c>
      <c r="N25" s="15">
        <f t="shared" si="5"/>
        <v>1765872</v>
      </c>
      <c r="O25" s="18">
        <f t="shared" si="6"/>
        <v>0.21950595583952728</v>
      </c>
      <c r="P25" s="19">
        <v>23048304</v>
      </c>
      <c r="Q25" s="19">
        <v>720259.5</v>
      </c>
      <c r="R25" s="19">
        <v>17695.40625</v>
      </c>
      <c r="S25" s="20">
        <v>5059240</v>
      </c>
      <c r="T25" s="20">
        <v>957888</v>
      </c>
      <c r="U25" s="20">
        <v>807984</v>
      </c>
      <c r="V25" s="20">
        <v>3292872</v>
      </c>
      <c r="W25" s="21">
        <v>66.198771875000006</v>
      </c>
      <c r="X25" s="21">
        <v>68.019856250000004</v>
      </c>
      <c r="Y25" s="21">
        <v>27.514909374999899</v>
      </c>
      <c r="Z25" s="21">
        <v>33.295200000000001</v>
      </c>
      <c r="AA25" s="21">
        <v>32.739334374999999</v>
      </c>
      <c r="AB25" s="22">
        <v>6126.82</v>
      </c>
      <c r="AC25" s="22">
        <v>1858.24</v>
      </c>
      <c r="AD25" s="22">
        <v>7.016</v>
      </c>
      <c r="AE25" s="22">
        <v>28.216000000000001</v>
      </c>
      <c r="AG25" s="17">
        <f t="shared" si="7"/>
        <v>4.8563549999999998</v>
      </c>
      <c r="AH25" s="18">
        <f t="shared" si="8"/>
        <v>0.20464714380393995</v>
      </c>
      <c r="AI25" s="18">
        <f t="shared" si="9"/>
        <v>7.1843658651519843E-2</v>
      </c>
      <c r="AJ25" s="18">
        <f t="shared" si="10"/>
        <v>3.890834882244313E-2</v>
      </c>
      <c r="AK25" s="18">
        <f t="shared" si="11"/>
        <v>0.13278389001947188</v>
      </c>
      <c r="AL25" s="15">
        <f t="shared" si="12"/>
        <v>1818536</v>
      </c>
      <c r="AM25" s="18">
        <f t="shared" si="13"/>
        <v>0.22503859024278097</v>
      </c>
      <c r="AN25" s="19">
        <v>23018772</v>
      </c>
      <c r="AO25" s="19">
        <v>719336.625</v>
      </c>
      <c r="AP25" s="19">
        <v>18164.53125</v>
      </c>
      <c r="AQ25" s="20">
        <v>5180112</v>
      </c>
      <c r="AR25" s="20">
        <v>984864</v>
      </c>
      <c r="AS25" s="20">
        <v>833672</v>
      </c>
      <c r="AT25" s="20">
        <v>3361080</v>
      </c>
      <c r="AU25" s="21">
        <v>66.184228124999905</v>
      </c>
      <c r="AV25" s="21">
        <v>67.991068749999997</v>
      </c>
      <c r="AW25" s="21">
        <v>27.515140625000001</v>
      </c>
      <c r="AX25" s="21">
        <v>33.286634374999998</v>
      </c>
      <c r="AY25" s="21">
        <v>32.736546875000002</v>
      </c>
      <c r="AZ25" s="22">
        <v>8144.18</v>
      </c>
      <c r="BA25" s="22">
        <v>1692.34</v>
      </c>
      <c r="BB25" s="22">
        <v>7.0039999999999996</v>
      </c>
      <c r="BC25" s="22">
        <v>28.9</v>
      </c>
      <c r="BE25" s="23">
        <f t="shared" si="14"/>
        <v>6.8368308618495591E-4</v>
      </c>
      <c r="BF25" s="23">
        <f t="shared" si="15"/>
        <v>2.0221492649182826E-3</v>
      </c>
      <c r="BG25" s="23">
        <f t="array" ref="BG25">AVERAGE(AL25:AL29/AQ25:AQ29) - AVERAGE(N25:N29/S25:S29)</f>
        <v>1.6715805330410893E-3</v>
      </c>
      <c r="BI25" s="24">
        <f>IF( OR(ISBLANK(N25:N29),ISBLANK(AL25:AL29), ISBLANK(W25:W29),ISBLANK(AU25:AU29)), "·", bdRateExtend( N25:N29,W25:W29, AL25:AL29,AU25:AU29))</f>
        <v>2.6920164675291236E-2</v>
      </c>
      <c r="BJ25" s="24">
        <f>IF( OR(ISBLANK(N25:N29),ISBLANK(AL25:AL29), ISBLANK(X25:X29),ISBLANK(AV25:AV29)), "·", bdRateExtend( N25:N29,X25:X29, AL25:AL29,AV25:AV29))</f>
        <v>2.5269631379988278E-2</v>
      </c>
      <c r="BK25" s="24">
        <f>IF( OR(ISBLANK(V25:V29),ISBLANK(AT25:AT29), ISBLANK(Y25:Y29),ISBLANK(AW25:AW29)), "·", bdRateExtend( V25:V29,Y25:Y29, AT25:AT29,AW25:AW29))</f>
        <v>1.4517674140216874E-2</v>
      </c>
      <c r="BL25" s="24">
        <f>IF( OR(ISBLANK(V25:V29),ISBLANK(AT25:AT29), ISBLANK(Z25:Z29),ISBLANK(AX25:AX29)), "·", bdRateExtend( V25:V29,Z25:Z29, AT25:AT29,AX25:AX29))</f>
        <v>1.2520592306631606E-2</v>
      </c>
      <c r="BM25" s="24">
        <f>IF( OR(ISBLANK(V25:V29),ISBLANK(AT25:AT29), ISBLANK(AA25:AA29),ISBLANK(AY25:AY29)), "·", bdRateExtend( V25:V29,AA25:AA29, AT25:AT29,AY25:AY29))</f>
        <v>1.5054257658228876E-2</v>
      </c>
      <c r="BO25" s="24">
        <f>IF( OR(ISBLANK(S25:S29),ISBLANK(AQ25:AQ29), ISBLANK(W25:W29),ISBLANK(AU25:AU29)), "·", bdRateExtend( S25:S29,W25:W29, AQ25:AQ29,AU25:AU29))</f>
        <v>2.1081351711302654E-2</v>
      </c>
      <c r="BP25" s="24">
        <f>IF( OR(ISBLANK(S25:S29),ISBLANK(AQ25:AQ29), ISBLANK(X25:X29),ISBLANK(AV25:AV29)), "·", bdRateExtend( S25:S29,X25:X29, AQ25:AQ29,AV25:AV29))</f>
        <v>1.5979355719301536E-2</v>
      </c>
      <c r="BQ25" s="24">
        <f>IF( OR(ISBLANK(S25:S29),ISBLANK(AQ25:AQ29), ISBLANK(Y25:Y29),ISBLANK(AW25:AW29)), "·", bdRateExtend( S25:S29,Y25:Y29, AQ25:AQ29,AW25:AW29))</f>
        <v>1.6406226008432112E-2</v>
      </c>
      <c r="BR25" s="24">
        <f>IF( OR(ISBLANK(S25:S29),ISBLANK(AQ25:AQ29), ISBLANK(Z25:Z29),ISBLANK(AX25:AX29)), "·", bdRateExtend( S25:S29,Z25:Z29, AQ25:AQ29,AX25:AX29))</f>
        <v>1.4310285503497333E-2</v>
      </c>
      <c r="BS25" s="24">
        <f>IF( OR(ISBLANK(S25:S29),ISBLANK(AQ25:AQ29), ISBLANK(AA25:AA29),ISBLANK(AY25:AY29)), "·", bdRateExtend( S25:S29,AA25:AA29, AQ25:AQ29,AY25:AY29))</f>
        <v>1.6637293037215173E-2</v>
      </c>
      <c r="BU25" s="4">
        <f t="shared" si="17"/>
        <v>-29532</v>
      </c>
      <c r="BV25" s="4">
        <f t="shared" si="18"/>
        <v>-922.875</v>
      </c>
      <c r="BW25" s="4">
        <f t="shared" si="19"/>
        <v>469.125</v>
      </c>
      <c r="BX25" s="4">
        <f t="shared" si="20"/>
        <v>120872</v>
      </c>
      <c r="BY25" s="4">
        <f t="shared" si="21"/>
        <v>26976</v>
      </c>
      <c r="BZ25" s="4">
        <f t="shared" si="22"/>
        <v>25688</v>
      </c>
      <c r="CA25" s="4">
        <f t="shared" si="23"/>
        <v>68208</v>
      </c>
      <c r="CB25" s="4">
        <f t="shared" si="24"/>
        <v>-1.4543750000100886E-2</v>
      </c>
      <c r="CC25" s="4">
        <f t="shared" si="25"/>
        <v>-2.8787500000007071E-2</v>
      </c>
      <c r="CD25" s="4">
        <f t="shared" si="26"/>
        <v>2.3125000010182362E-4</v>
      </c>
      <c r="CE25" s="4">
        <f t="shared" si="27"/>
        <v>-8.5656250000027967E-3</v>
      </c>
      <c r="CF25" s="4">
        <f t="shared" si="28"/>
        <v>-2.7874999999966121E-3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8.1527250000000002</v>
      </c>
      <c r="J26" s="28">
        <f t="shared" si="1"/>
        <v>0.34355640917292418</v>
      </c>
      <c r="K26" s="28">
        <f t="shared" si="2"/>
        <v>8.4498637980234825E-2</v>
      </c>
      <c r="L26" s="28">
        <f t="shared" si="3"/>
        <v>5.2578166407557907E-2</v>
      </c>
      <c r="M26" s="28">
        <f t="shared" si="4"/>
        <v>0.25903817605974111</v>
      </c>
      <c r="N26" s="25">
        <f t="shared" si="5"/>
        <v>2138864</v>
      </c>
      <c r="O26" s="28">
        <f t="shared" si="6"/>
        <v>0.34839383297436594</v>
      </c>
      <c r="P26" s="29">
        <v>24960947</v>
      </c>
      <c r="Q26" s="29">
        <v>780029.59375</v>
      </c>
      <c r="R26" s="29">
        <v>23056.625</v>
      </c>
      <c r="S26" s="30">
        <v>8696240</v>
      </c>
      <c r="T26" s="30">
        <v>1330880</v>
      </c>
      <c r="U26" s="30">
        <v>807984</v>
      </c>
      <c r="V26" s="30">
        <v>6556880</v>
      </c>
      <c r="W26" s="31">
        <v>68.025268749999995</v>
      </c>
      <c r="X26" s="31">
        <v>69.988003125000006</v>
      </c>
      <c r="Y26" s="31">
        <v>29.930174999999998</v>
      </c>
      <c r="Z26" s="31">
        <v>34.4803</v>
      </c>
      <c r="AA26" s="31">
        <v>34.073531249999903</v>
      </c>
      <c r="AB26" s="32">
        <v>7375.06</v>
      </c>
      <c r="AC26" s="32">
        <v>1868.62</v>
      </c>
      <c r="AD26" s="32">
        <v>7.2519999999999998</v>
      </c>
      <c r="AE26" s="32">
        <v>29.244</v>
      </c>
      <c r="AG26" s="27">
        <f t="shared" si="7"/>
        <v>8.2977524999999996</v>
      </c>
      <c r="AH26" s="28">
        <f t="shared" si="8"/>
        <v>0.34966787829905399</v>
      </c>
      <c r="AI26" s="28">
        <f t="shared" si="9"/>
        <v>8.6645253189660973E-2</v>
      </c>
      <c r="AJ26" s="28">
        <f t="shared" si="10"/>
        <v>5.3709943360584267E-2</v>
      </c>
      <c r="AK26" s="28">
        <f t="shared" si="11"/>
        <v>0.26300302997644476</v>
      </c>
      <c r="AL26" s="25">
        <f t="shared" si="12"/>
        <v>2193200</v>
      </c>
      <c r="AM26" s="28">
        <f t="shared" si="13"/>
        <v>0.35553648135561006</v>
      </c>
      <c r="AN26" s="29">
        <v>24894593</v>
      </c>
      <c r="AO26" s="29">
        <v>777956.03125</v>
      </c>
      <c r="AP26" s="29">
        <v>23160.96875</v>
      </c>
      <c r="AQ26" s="30">
        <v>8850936</v>
      </c>
      <c r="AR26" s="30">
        <v>1359528</v>
      </c>
      <c r="AS26" s="30">
        <v>833672</v>
      </c>
      <c r="AT26" s="30">
        <v>6657240</v>
      </c>
      <c r="AU26" s="31">
        <v>67.996568749999994</v>
      </c>
      <c r="AV26" s="31">
        <v>69.980234374999995</v>
      </c>
      <c r="AW26" s="31">
        <v>29.922262499999999</v>
      </c>
      <c r="AX26" s="31">
        <v>34.4765656249999</v>
      </c>
      <c r="AY26" s="31">
        <v>34.060962500000002</v>
      </c>
      <c r="AZ26" s="32">
        <v>8064.61</v>
      </c>
      <c r="BA26" s="32">
        <v>1743.78</v>
      </c>
      <c r="BB26" s="32">
        <v>7.28</v>
      </c>
      <c r="BC26" s="32">
        <v>29.692</v>
      </c>
      <c r="BE26" s="33">
        <f t="shared" si="14"/>
        <v>2.1291109031001607E-4</v>
      </c>
      <c r="BF26" s="33">
        <f t="shared" si="15"/>
        <v>1.8402681844898183E-3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-66354</v>
      </c>
      <c r="BV26" s="4">
        <f t="shared" si="18"/>
        <v>-2073.5625</v>
      </c>
      <c r="BW26" s="4">
        <f t="shared" si="19"/>
        <v>104.34375</v>
      </c>
      <c r="BX26" s="4">
        <f t="shared" si="20"/>
        <v>154696</v>
      </c>
      <c r="BY26" s="4">
        <f t="shared" si="21"/>
        <v>28648</v>
      </c>
      <c r="BZ26" s="4">
        <f t="shared" si="22"/>
        <v>25688</v>
      </c>
      <c r="CA26" s="4">
        <f t="shared" si="23"/>
        <v>100360</v>
      </c>
      <c r="CB26" s="4">
        <f t="shared" si="24"/>
        <v>-2.8700000000000614E-2</v>
      </c>
      <c r="CC26" s="4">
        <f t="shared" si="25"/>
        <v>-7.7687500000109821E-3</v>
      </c>
      <c r="CD26" s="4">
        <f t="shared" si="26"/>
        <v>-7.9124999999997669E-3</v>
      </c>
      <c r="CE26" s="4">
        <f t="shared" si="27"/>
        <v>-3.7343750000999876E-3</v>
      </c>
      <c r="CF26" s="4">
        <f t="shared" si="28"/>
        <v>-1.2568749999900319E-2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14.7292275</v>
      </c>
      <c r="J27" s="18">
        <f t="shared" si="1"/>
        <v>0.62069069051036152</v>
      </c>
      <c r="K27" s="18">
        <f t="shared" si="2"/>
        <v>0.10577895236201945</v>
      </c>
      <c r="L27" s="18">
        <f t="shared" si="3"/>
        <v>7.3858480789342526E-2</v>
      </c>
      <c r="M27" s="18">
        <f t="shared" si="4"/>
        <v>0.51489214301539388</v>
      </c>
      <c r="N27" s="15">
        <f t="shared" si="5"/>
        <v>2677520</v>
      </c>
      <c r="O27" s="18">
        <f t="shared" si="6"/>
        <v>0.62017078643453671</v>
      </c>
      <c r="P27" s="19">
        <v>25333628</v>
      </c>
      <c r="Q27" s="19">
        <v>791675.875</v>
      </c>
      <c r="R27" s="19">
        <v>24569.1875</v>
      </c>
      <c r="S27" s="20">
        <v>15711176</v>
      </c>
      <c r="T27" s="20">
        <v>1869536</v>
      </c>
      <c r="U27" s="20">
        <v>807984</v>
      </c>
      <c r="V27" s="20">
        <v>13033160</v>
      </c>
      <c r="W27" s="21">
        <v>69.401209374999993</v>
      </c>
      <c r="X27" s="21">
        <v>71.729034374999998</v>
      </c>
      <c r="Y27" s="21">
        <v>32.428381250000001</v>
      </c>
      <c r="Z27" s="21">
        <v>35.743596874999902</v>
      </c>
      <c r="AA27" s="21">
        <v>35.411506250000002</v>
      </c>
      <c r="AB27" s="22">
        <v>7245.14</v>
      </c>
      <c r="AC27" s="22">
        <v>2002.85</v>
      </c>
      <c r="AD27" s="22">
        <v>7.3760000000000003</v>
      </c>
      <c r="AE27" s="22">
        <v>30.824000000000002</v>
      </c>
      <c r="AG27" s="17">
        <f t="shared" si="7"/>
        <v>14.931495</v>
      </c>
      <c r="AH27" s="18">
        <f t="shared" si="8"/>
        <v>0.62921425729231295</v>
      </c>
      <c r="AI27" s="18">
        <f t="shared" si="9"/>
        <v>0.10795243186661656</v>
      </c>
      <c r="AJ27" s="18">
        <f t="shared" si="10"/>
        <v>7.5017122037539852E-2</v>
      </c>
      <c r="AK27" s="18">
        <f t="shared" si="11"/>
        <v>0.52124223029274808</v>
      </c>
      <c r="AL27" s="15">
        <f t="shared" si="12"/>
        <v>2732536</v>
      </c>
      <c r="AM27" s="18">
        <f t="shared" si="13"/>
        <v>0.62992756808771799</v>
      </c>
      <c r="AN27" s="19">
        <v>25283745</v>
      </c>
      <c r="AO27" s="19">
        <v>790117.03125</v>
      </c>
      <c r="AP27" s="19">
        <v>24569.28125</v>
      </c>
      <c r="AQ27" s="20">
        <v>15926928</v>
      </c>
      <c r="AR27" s="20">
        <v>1898864</v>
      </c>
      <c r="AS27" s="20">
        <v>833672</v>
      </c>
      <c r="AT27" s="20">
        <v>13193896</v>
      </c>
      <c r="AU27" s="21">
        <v>69.385665624999902</v>
      </c>
      <c r="AV27" s="21">
        <v>71.733253125000005</v>
      </c>
      <c r="AW27" s="21">
        <v>32.427778125000003</v>
      </c>
      <c r="AX27" s="21">
        <v>35.743846875000003</v>
      </c>
      <c r="AY27" s="21">
        <v>35.405393749999902</v>
      </c>
      <c r="AZ27" s="22">
        <v>6265.18</v>
      </c>
      <c r="BA27" s="22">
        <v>2023.97</v>
      </c>
      <c r="BB27" s="22">
        <v>6.3360000000000003</v>
      </c>
      <c r="BC27" s="22">
        <v>26.792000000000002</v>
      </c>
      <c r="BE27" s="23">
        <f t="shared" si="14"/>
        <v>6.1347283951997122E-5</v>
      </c>
      <c r="BF27" s="23">
        <f t="shared" si="15"/>
        <v>1.1456855005562705E-3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-49883</v>
      </c>
      <c r="BV27" s="4">
        <f t="shared" si="18"/>
        <v>-1558.84375</v>
      </c>
      <c r="BW27" s="4">
        <f t="shared" si="19"/>
        <v>9.375E-2</v>
      </c>
      <c r="BX27" s="4">
        <f t="shared" si="20"/>
        <v>215752</v>
      </c>
      <c r="BY27" s="4">
        <f t="shared" si="21"/>
        <v>29328</v>
      </c>
      <c r="BZ27" s="4">
        <f t="shared" si="22"/>
        <v>25688</v>
      </c>
      <c r="CA27" s="4">
        <f t="shared" si="23"/>
        <v>160736</v>
      </c>
      <c r="CB27" s="4">
        <f t="shared" si="24"/>
        <v>-1.554375000009145E-2</v>
      </c>
      <c r="CC27" s="4">
        <f t="shared" si="25"/>
        <v>4.2187500000068212E-3</v>
      </c>
      <c r="CD27" s="4">
        <f t="shared" si="26"/>
        <v>-6.0312499999781721E-4</v>
      </c>
      <c r="CE27" s="4">
        <f t="shared" si="27"/>
        <v>2.5000000010066969E-4</v>
      </c>
      <c r="CF27" s="4">
        <f t="shared" si="28"/>
        <v>-6.1125000000998853E-3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27.910852500000001</v>
      </c>
      <c r="J28" s="28">
        <f t="shared" si="1"/>
        <v>1.1761653020131471</v>
      </c>
      <c r="K28" s="28">
        <f t="shared" si="2"/>
        <v>0.14075468442196412</v>
      </c>
      <c r="L28" s="28">
        <f t="shared" si="3"/>
        <v>0.1088342128492872</v>
      </c>
      <c r="M28" s="28">
        <f t="shared" si="4"/>
        <v>1.0353910224582348</v>
      </c>
      <c r="N28" s="25">
        <f t="shared" si="5"/>
        <v>3562840</v>
      </c>
      <c r="O28" s="28">
        <f t="shared" si="6"/>
        <v>1.1321628421084176</v>
      </c>
      <c r="P28" s="29">
        <v>26296196</v>
      </c>
      <c r="Q28" s="29">
        <v>821756.125</v>
      </c>
      <c r="R28" s="29">
        <v>28036.40625</v>
      </c>
      <c r="S28" s="30">
        <v>29771576</v>
      </c>
      <c r="T28" s="30">
        <v>2754856</v>
      </c>
      <c r="U28" s="30">
        <v>807984</v>
      </c>
      <c r="V28" s="30">
        <v>26208240</v>
      </c>
      <c r="W28" s="31">
        <v>70.442159374999903</v>
      </c>
      <c r="X28" s="31">
        <v>73.004240624999994</v>
      </c>
      <c r="Y28" s="31">
        <v>34.886721874999999</v>
      </c>
      <c r="Z28" s="31">
        <v>37.569025000000003</v>
      </c>
      <c r="AA28" s="31">
        <v>37.178337499999998</v>
      </c>
      <c r="AB28" s="32">
        <v>7501.38</v>
      </c>
      <c r="AC28" s="32">
        <v>2266</v>
      </c>
      <c r="AD28" s="32">
        <v>6.3360000000000003</v>
      </c>
      <c r="AE28" s="32">
        <v>27.175999999999998</v>
      </c>
      <c r="AG28" s="27">
        <f t="shared" si="7"/>
        <v>28.219844999999999</v>
      </c>
      <c r="AH28" s="28">
        <f t="shared" si="8"/>
        <v>1.18918626785725</v>
      </c>
      <c r="AI28" s="28">
        <f t="shared" si="9"/>
        <v>0.1440561482732105</v>
      </c>
      <c r="AJ28" s="28">
        <f t="shared" si="10"/>
        <v>0.1111208384441338</v>
      </c>
      <c r="AK28" s="28">
        <f t="shared" si="11"/>
        <v>1.0451105244510914</v>
      </c>
      <c r="AL28" s="25">
        <f t="shared" si="12"/>
        <v>3646408</v>
      </c>
      <c r="AM28" s="28">
        <f t="shared" si="13"/>
        <v>1.1450608347976039</v>
      </c>
      <c r="AN28" s="29">
        <v>26287833</v>
      </c>
      <c r="AO28" s="29">
        <v>821494.78125</v>
      </c>
      <c r="AP28" s="29">
        <v>28261.375</v>
      </c>
      <c r="AQ28" s="30">
        <v>30101168</v>
      </c>
      <c r="AR28" s="30">
        <v>2812736</v>
      </c>
      <c r="AS28" s="30">
        <v>833672</v>
      </c>
      <c r="AT28" s="30">
        <v>26454264</v>
      </c>
      <c r="AU28" s="31">
        <v>70.443537499999906</v>
      </c>
      <c r="AV28" s="31">
        <v>73.006459374999906</v>
      </c>
      <c r="AW28" s="31">
        <v>34.880459374999901</v>
      </c>
      <c r="AX28" s="31">
        <v>37.569743749999901</v>
      </c>
      <c r="AY28" s="31">
        <v>37.174740624999998</v>
      </c>
      <c r="AZ28" s="32">
        <v>5216.8599999999997</v>
      </c>
      <c r="BA28" s="32">
        <v>2340.14</v>
      </c>
      <c r="BB28" s="32">
        <v>7.5359999999999996</v>
      </c>
      <c r="BC28" s="32">
        <v>32.576000000000001</v>
      </c>
      <c r="BE28" s="33">
        <f t="shared" si="14"/>
        <v>2.8470684875867014E-4</v>
      </c>
      <c r="BF28" s="33">
        <f t="shared" si="15"/>
        <v>1.4658862912474702E-3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-8363</v>
      </c>
      <c r="BV28" s="4">
        <f t="shared" si="18"/>
        <v>-261.34375</v>
      </c>
      <c r="BW28" s="4">
        <f t="shared" si="19"/>
        <v>224.96875</v>
      </c>
      <c r="BX28" s="4">
        <f t="shared" si="20"/>
        <v>329592</v>
      </c>
      <c r="BY28" s="4">
        <f t="shared" si="21"/>
        <v>57880</v>
      </c>
      <c r="BZ28" s="4">
        <f t="shared" si="22"/>
        <v>25688</v>
      </c>
      <c r="CA28" s="4">
        <f t="shared" si="23"/>
        <v>246024</v>
      </c>
      <c r="CB28" s="4">
        <f t="shared" si="24"/>
        <v>1.3781250000022283E-3</v>
      </c>
      <c r="CC28" s="4">
        <f t="shared" si="25"/>
        <v>2.2187499999120064E-3</v>
      </c>
      <c r="CD28" s="4">
        <f t="shared" si="26"/>
        <v>-6.2625000000977593E-3</v>
      </c>
      <c r="CE28" s="4">
        <f t="shared" si="27"/>
        <v>7.1874999989773869E-4</v>
      </c>
      <c r="CF28" s="4">
        <f t="shared" si="28"/>
        <v>-3.5968749999994998E-3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48.560782500000002</v>
      </c>
      <c r="J29" s="38">
        <f t="shared" si="1"/>
        <v>2.0463548153933044</v>
      </c>
      <c r="K29" s="38">
        <f t="shared" si="2"/>
        <v>0.22623560745386215</v>
      </c>
      <c r="L29" s="38">
        <f t="shared" si="3"/>
        <v>0.16645212103091891</v>
      </c>
      <c r="M29" s="38">
        <f t="shared" si="4"/>
        <v>1.8200996128064939</v>
      </c>
      <c r="N29" s="35">
        <f t="shared" si="5"/>
        <v>5726568</v>
      </c>
      <c r="O29" s="38">
        <f t="shared" si="6"/>
        <v>2.0600598687297742</v>
      </c>
      <c r="P29" s="39">
        <v>25144011</v>
      </c>
      <c r="Q29" s="39">
        <v>785750.34375</v>
      </c>
      <c r="R29" s="39">
        <v>7357.28125</v>
      </c>
      <c r="S29" s="40">
        <v>51798168</v>
      </c>
      <c r="T29" s="40">
        <v>4213304</v>
      </c>
      <c r="U29" s="40">
        <v>1513264</v>
      </c>
      <c r="V29" s="40">
        <v>46071104</v>
      </c>
      <c r="W29" s="41">
        <v>71.735059375000006</v>
      </c>
      <c r="X29" s="41">
        <v>75.106865624999998</v>
      </c>
      <c r="Y29" s="41">
        <v>36.584949999999999</v>
      </c>
      <c r="Z29" s="41">
        <v>39.675212500000001</v>
      </c>
      <c r="AA29" s="41">
        <v>39.083446875</v>
      </c>
      <c r="AB29" s="42">
        <v>7462.34</v>
      </c>
      <c r="AC29" s="42">
        <v>2593.91</v>
      </c>
      <c r="AD29" s="42">
        <v>7.6559999999999997</v>
      </c>
      <c r="AE29" s="42">
        <v>33.24</v>
      </c>
      <c r="AG29" s="37">
        <f t="shared" si="7"/>
        <v>49.029975</v>
      </c>
      <c r="AH29" s="38">
        <f t="shared" si="8"/>
        <v>2.0661266205886064</v>
      </c>
      <c r="AI29" s="38">
        <f t="shared" si="9"/>
        <v>0.2323138912741925</v>
      </c>
      <c r="AJ29" s="38">
        <f t="shared" si="10"/>
        <v>0.17082720853740979</v>
      </c>
      <c r="AK29" s="38">
        <f t="shared" si="11"/>
        <v>1.8337931341814655</v>
      </c>
      <c r="AL29" s="35">
        <f t="shared" si="12"/>
        <v>5880424</v>
      </c>
      <c r="AM29" s="38">
        <f t="shared" si="13"/>
        <v>2.0797678934580772</v>
      </c>
      <c r="AN29" s="39">
        <v>25146383</v>
      </c>
      <c r="AO29" s="39">
        <v>785824.46875</v>
      </c>
      <c r="AP29" s="39">
        <v>7376.125</v>
      </c>
      <c r="AQ29" s="40">
        <v>52298640</v>
      </c>
      <c r="AR29" s="40">
        <v>4324048</v>
      </c>
      <c r="AS29" s="40">
        <v>1556376</v>
      </c>
      <c r="AT29" s="40">
        <v>46417720</v>
      </c>
      <c r="AU29" s="41">
        <v>71.730906249999904</v>
      </c>
      <c r="AV29" s="41">
        <v>75.094703124999995</v>
      </c>
      <c r="AW29" s="41">
        <v>36.574240624999902</v>
      </c>
      <c r="AX29" s="41">
        <v>39.675631250000002</v>
      </c>
      <c r="AY29" s="41">
        <v>39.078140624999897</v>
      </c>
      <c r="AZ29" s="42">
        <v>7570.4</v>
      </c>
      <c r="BA29" s="42">
        <v>2418.94</v>
      </c>
      <c r="BB29" s="42">
        <v>8.3320000000000007</v>
      </c>
      <c r="BC29" s="42">
        <v>35.103999999999999</v>
      </c>
      <c r="BE29" s="43">
        <f t="shared" si="14"/>
        <v>2.3096365628796564E-5</v>
      </c>
      <c r="BF29" s="43">
        <f t="shared" si="15"/>
        <v>1.8839134239937022E-3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2372</v>
      </c>
      <c r="BV29" s="4">
        <f t="shared" si="18"/>
        <v>74.125</v>
      </c>
      <c r="BW29" s="4">
        <f t="shared" si="19"/>
        <v>18.84375</v>
      </c>
      <c r="BX29" s="4">
        <f t="shared" si="20"/>
        <v>500472</v>
      </c>
      <c r="BY29" s="4">
        <f t="shared" si="21"/>
        <v>110744</v>
      </c>
      <c r="BZ29" s="4">
        <f t="shared" si="22"/>
        <v>43112</v>
      </c>
      <c r="CA29" s="4">
        <f t="shared" si="23"/>
        <v>346616</v>
      </c>
      <c r="CB29" s="4">
        <f t="shared" si="24"/>
        <v>-4.1531250001014541E-3</v>
      </c>
      <c r="CC29" s="4">
        <f t="shared" si="25"/>
        <v>-1.2162500000002296E-2</v>
      </c>
      <c r="CD29" s="4">
        <f t="shared" si="26"/>
        <v>-1.0709375000097054E-2</v>
      </c>
      <c r="CE29" s="4">
        <f t="shared" si="27"/>
        <v>4.1875000000146656E-4</v>
      </c>
      <c r="CF29" s="4">
        <f t="shared" si="28"/>
        <v>-5.3062500001033186E-3</v>
      </c>
    </row>
    <row r="30" spans="1:84">
      <c r="B30" s="55" t="s">
        <v>286</v>
      </c>
      <c r="J30" s="56">
        <f>AVERAGE(J5:J24)</f>
        <v>0.42966358808305022</v>
      </c>
      <c r="K30" s="56">
        <f>AVERAGE(K5:K24)</f>
        <v>0.12438262588270543</v>
      </c>
      <c r="L30" s="56">
        <f>AVERAGE(L5:L24)</f>
        <v>8.481286734982188E-2</v>
      </c>
      <c r="M30" s="56">
        <f>AVERAGE(M5:M24)</f>
        <v>0.30526301920474658</v>
      </c>
      <c r="AH30" s="56">
        <f>AVERAGE(AH5:AH24)</f>
        <v>0.43482928254256503</v>
      </c>
      <c r="AI30" s="56">
        <f>AVERAGE(AI5:AI24)</f>
        <v>0.12740325933039942</v>
      </c>
      <c r="AJ30" s="56">
        <f>AVERAGE(AJ5:AJ24)</f>
        <v>8.7244707182621423E-2</v>
      </c>
      <c r="AK30" s="56">
        <f>AVERAGE(AK5:AK24)</f>
        <v>0.30740808021656757</v>
      </c>
      <c r="BG30" s="8">
        <f>AVERAGE(BG5:BG24)</f>
        <v>3.4871185783495601E-3</v>
      </c>
      <c r="BI30" s="5">
        <f>AVERAGE(BI5:BI24)</f>
        <v>2.4724501364984941E-2</v>
      </c>
      <c r="BJ30" s="5">
        <f>AVERAGE(BJ5:BJ24)</f>
        <v>2.4907316181797312E-2</v>
      </c>
      <c r="BK30" s="5">
        <f>AVERAGE(BK5:BK24)</f>
        <v>7.9959823495150961E-3</v>
      </c>
      <c r="BL30" s="5">
        <f>AVERAGE(BL5:BL24)</f>
        <v>-8.3581887316748205E-3</v>
      </c>
      <c r="BM30" s="5">
        <f>AVERAGE(BM5:BM24)</f>
        <v>-3.0253877571040366E-3</v>
      </c>
      <c r="BO30" s="5">
        <f>AVERAGE(BO5:BO24)</f>
        <v>1.5711215083366481E-2</v>
      </c>
      <c r="BP30" s="5">
        <f>AVERAGE(BP5:BP24)</f>
        <v>1.4741692158208697E-2</v>
      </c>
      <c r="BQ30" s="5">
        <f>AVERAGE(BQ5:BQ24)</f>
        <v>1.332879875282994E-2</v>
      </c>
      <c r="BR30" s="5">
        <f>AVERAGE(BR5:BR24)</f>
        <v>1.0000923684756191E-3</v>
      </c>
      <c r="BS30" s="5">
        <f>AVERAGE(BS5:BS24)</f>
        <v>6.0013363171863288E-3</v>
      </c>
    </row>
    <row r="31" spans="1:84">
      <c r="B31" s="55" t="s">
        <v>287</v>
      </c>
      <c r="J31" s="56">
        <f>AVERAGE(J25:J29)</f>
        <v>0.87732783068288089</v>
      </c>
      <c r="K31" s="56">
        <f>AVERAGE(K25:K29)</f>
        <v>0.12540619604424835</v>
      </c>
      <c r="L31" s="56">
        <f>AVERAGE(L25:L29)</f>
        <v>8.7913121501518157E-2</v>
      </c>
      <c r="M31" s="56">
        <f>AVERAGE(M25:M29)</f>
        <v>0.75190203950568435</v>
      </c>
      <c r="AH31" s="56">
        <f>AVERAGE(AH25:AH29)</f>
        <v>0.88776843356823265</v>
      </c>
      <c r="AI31" s="56">
        <f>AVERAGE(AI25:AI29)</f>
        <v>0.12856227665104009</v>
      </c>
      <c r="AJ31" s="56">
        <f>AVERAGE(AJ25:AJ29)</f>
        <v>8.9916692240422175E-2</v>
      </c>
      <c r="AK31" s="56">
        <f>AVERAGE(AK25:AK29)</f>
        <v>0.75918656178424437</v>
      </c>
      <c r="BG31" s="8">
        <f>AVERAGE(BG25:BG29)</f>
        <v>1.6715805330410893E-3</v>
      </c>
      <c r="BI31" s="5">
        <f>AVERAGE(BI25:BI29)</f>
        <v>2.6920164675291236E-2</v>
      </c>
      <c r="BJ31" s="5">
        <f>AVERAGE(BJ25:BJ29)</f>
        <v>2.5269631379988278E-2</v>
      </c>
      <c r="BK31" s="5">
        <f>AVERAGE(BK25:BK29)</f>
        <v>1.4517674140216874E-2</v>
      </c>
      <c r="BL31" s="5">
        <f>AVERAGE(BL25:BL29)</f>
        <v>1.2520592306631606E-2</v>
      </c>
      <c r="BM31" s="5">
        <f>AVERAGE(BM25:BM29)</f>
        <v>1.5054257658228876E-2</v>
      </c>
      <c r="BO31" s="5">
        <f>AVERAGE(BO25:BO29)</f>
        <v>2.1081351711302654E-2</v>
      </c>
      <c r="BP31" s="5">
        <f>AVERAGE(BP25:BP29)</f>
        <v>1.5979355719301536E-2</v>
      </c>
      <c r="BQ31" s="5">
        <f>AVERAGE(BQ25:BQ29)</f>
        <v>1.6406226008432112E-2</v>
      </c>
      <c r="BR31" s="5">
        <f>AVERAGE(BR25:BR29)</f>
        <v>1.4310285503497333E-2</v>
      </c>
      <c r="BS31" s="5">
        <f>AVERAGE(BS25:BS29)</f>
        <v>1.6637293037215173E-2</v>
      </c>
    </row>
    <row r="32" spans="1:84" collapsed="1">
      <c r="B32" s="55" t="s">
        <v>288</v>
      </c>
      <c r="J32" s="56">
        <f>AVERAGE(J5:J29)</f>
        <v>0.51919643660301629</v>
      </c>
      <c r="K32" s="56">
        <f>AVERAGE(K5:K29)</f>
        <v>0.12458733991501403</v>
      </c>
      <c r="L32" s="56">
        <f>AVERAGE(L5:L29)</f>
        <v>8.5432918180161133E-2</v>
      </c>
      <c r="M32" s="56">
        <f>AVERAGE(M5:M29)</f>
        <v>0.39459082326493417</v>
      </c>
      <c r="AH32" s="56">
        <f>AVERAGE(AH5:AH29)</f>
        <v>0.52541711274769864</v>
      </c>
      <c r="AI32" s="56">
        <f>AVERAGE(AI5:AI29)</f>
        <v>0.12763506279452758</v>
      </c>
      <c r="AJ32" s="56">
        <f>AVERAGE(AJ5:AJ29)</f>
        <v>8.777910419418157E-2</v>
      </c>
      <c r="AK32" s="56">
        <f>AVERAGE(AK5:AK29)</f>
        <v>0.39776377653010292</v>
      </c>
      <c r="BG32" s="8">
        <f>AVERAGE(BG5:BG29)</f>
        <v>3.1240109692878661E-3</v>
      </c>
      <c r="BI32" s="5">
        <f>AVERAGE(BI5:BI29)</f>
        <v>2.5163634027046199E-2</v>
      </c>
      <c r="BJ32" s="5">
        <f>AVERAGE(BJ5:BJ29)</f>
        <v>2.4979779221435506E-2</v>
      </c>
      <c r="BK32" s="5">
        <f>AVERAGE(BK5:BK29)</f>
        <v>9.3003207076554524E-3</v>
      </c>
      <c r="BL32" s="5">
        <f>AVERAGE(BL5:BL29)</f>
        <v>-4.1824325240135355E-3</v>
      </c>
      <c r="BM32" s="5">
        <f>AVERAGE(BM5:BM29)</f>
        <v>5.9054132596254578E-4</v>
      </c>
      <c r="BO32" s="5">
        <f>AVERAGE(BO5:BO29)</f>
        <v>1.6785242408953717E-2</v>
      </c>
      <c r="BP32" s="5">
        <f>AVERAGE(BP5:BP29)</f>
        <v>1.4989224870427264E-2</v>
      </c>
      <c r="BQ32" s="5">
        <f>AVERAGE(BQ5:BQ29)</f>
        <v>1.3944284203950375E-2</v>
      </c>
      <c r="BR32" s="5">
        <f>AVERAGE(BR5:BR29)</f>
        <v>3.6621309954799619E-3</v>
      </c>
      <c r="BS32" s="5">
        <f>AVERAGE(BS5:BS29)</f>
        <v>8.1285276611920976E-3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265839.87000000005</v>
      </c>
      <c r="AC33" s="57">
        <f>SUM(AC5:AC24,AC25:AC29)</f>
        <v>40526.150000000009</v>
      </c>
      <c r="AD33" s="57">
        <f>SUM(AD5:AD24,AD25:AD29)</f>
        <v>179.72000000000003</v>
      </c>
      <c r="AE33" s="57">
        <f>SUM(AE5:AE24,AE25:AE29)</f>
        <v>567.51199999999994</v>
      </c>
      <c r="AZ33" s="57">
        <f>SUM(AZ5:AZ24,AZ25:AZ29)</f>
        <v>210206.4899999999</v>
      </c>
      <c r="BA33" s="57">
        <f>SUM(BA5:BA24,BA25:BA29)</f>
        <v>44567.35</v>
      </c>
      <c r="BB33" s="57">
        <f>SUM(BB5:BB24,BB25:BB29)</f>
        <v>194.38400000000004</v>
      </c>
      <c r="BC33" s="57">
        <f>SUM(BC5:BC24,BC25:BC29)</f>
        <v>662.22400000000005</v>
      </c>
    </row>
    <row r="34" spans="1:55" hidden="1" outlineLevel="2">
      <c r="B34" s="55" t="s">
        <v>291</v>
      </c>
      <c r="AZ34" s="8">
        <f>AZ33/AB33</f>
        <v>0.79072597349675144</v>
      </c>
      <c r="BA34" s="8">
        <f>BA33/AC33</f>
        <v>1.0997183300165445</v>
      </c>
      <c r="BB34" s="8">
        <f>BB33/AD33</f>
        <v>1.081593590028934</v>
      </c>
      <c r="BC34" s="8">
        <f>BC33/AE33</f>
        <v>1.1668898631218372</v>
      </c>
    </row>
    <row r="35" spans="1:55" hidden="1" outlineLevel="2">
      <c r="B35" s="55" t="s">
        <v>292</v>
      </c>
      <c r="AB35" s="57">
        <f>GEOMEAN(AB5:AB24,AB25:AB29)</f>
        <v>10316.001967089069</v>
      </c>
      <c r="AC35" s="57">
        <f>GEOMEAN(AC5:AC24,AC25:AC29)</f>
        <v>1576.15816578412</v>
      </c>
      <c r="AD35" s="57">
        <f>GEOMEAN(AD5:AD24,AD25:AD29)</f>
        <v>7.1116254732644339</v>
      </c>
      <c r="AE35" s="57">
        <f>GEOMEAN(AE5:AE24,AE25:AE29)</f>
        <v>22.185039241268782</v>
      </c>
      <c r="AZ35" s="57">
        <f>GEOMEAN(AZ5:AZ24,AZ25:AZ29)</f>
        <v>8249.3427972035461</v>
      </c>
      <c r="BA35" s="57">
        <f>GEOMEAN(BA5:BA24,BA25:BA29)</f>
        <v>1747.1296798632725</v>
      </c>
      <c r="BB35" s="57">
        <f>GEOMEAN(BB5:BB24,BB25:BB29)</f>
        <v>7.6386178184619151</v>
      </c>
      <c r="BC35" s="57">
        <f>GEOMEAN(BC5:BC24,BC25:BC29)</f>
        <v>25.998070799728641</v>
      </c>
    </row>
    <row r="36" spans="1:55" outlineLevel="2" collapsed="1">
      <c r="B36" s="55" t="s">
        <v>293</v>
      </c>
      <c r="AZ36" s="8">
        <f>AZ35/AB35</f>
        <v>0.79966471735089395</v>
      </c>
      <c r="BA36" s="8">
        <f>BA35/AC35</f>
        <v>1.1084735769484759</v>
      </c>
      <c r="BB36" s="8">
        <f>BB35/AD35</f>
        <v>1.0741029385164707</v>
      </c>
      <c r="BC36" s="8">
        <f>BC35/AE35</f>
        <v>1.1718740055851165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>
      <c r="AQ65" s="4"/>
      <c r="AR65" s="4"/>
      <c r="AS65" s="4"/>
      <c r="AT65" s="4"/>
      <c r="AU65" s="4"/>
      <c r="AV65" s="4"/>
      <c r="AW65" s="4"/>
      <c r="AX65" s="4"/>
      <c r="AY65" s="4"/>
    </row>
    <row r="66" spans="40:51">
      <c r="AQ66" s="4"/>
      <c r="AR66" s="4"/>
      <c r="AS66" s="4"/>
      <c r="AT66" s="4"/>
      <c r="AU66" s="4"/>
      <c r="AV66" s="4"/>
      <c r="AW66" s="4"/>
      <c r="AX66" s="4"/>
      <c r="AY66" s="4"/>
    </row>
    <row r="67" spans="40:51">
      <c r="AQ67" s="4"/>
      <c r="AR67" s="4"/>
      <c r="AS67" s="4"/>
      <c r="AT67" s="4"/>
      <c r="AU67" s="4"/>
      <c r="AV67" s="4"/>
      <c r="AW67" s="4"/>
      <c r="AX67" s="4"/>
      <c r="AY67" s="4"/>
    </row>
    <row r="68" spans="40:51">
      <c r="AQ68" s="4"/>
      <c r="AR68" s="4"/>
      <c r="AS68" s="4"/>
      <c r="AT68" s="4"/>
      <c r="AU68" s="4"/>
      <c r="AV68" s="4"/>
      <c r="AW68" s="4"/>
      <c r="AX68" s="4"/>
      <c r="AY68" s="4"/>
    </row>
    <row r="69" spans="40:51">
      <c r="AQ69" s="4"/>
      <c r="AR69" s="4"/>
      <c r="AS69" s="4"/>
      <c r="AT69" s="4"/>
      <c r="AU69" s="4"/>
      <c r="AV69" s="4"/>
      <c r="AW69" s="4"/>
      <c r="AX69" s="4"/>
      <c r="AY69" s="4"/>
    </row>
    <row r="70" spans="40:51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85546875"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38"/>
  <sheetViews>
    <sheetView zoomScale="85" zoomScaleNormal="85" workbookViewId="0">
      <pane xSplit="2" topLeftCell="AP1" activePane="topRight" state="frozen"/>
      <selection pane="topRight" activeCell="AM5" sqref="AM5:AZ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364</v>
      </c>
      <c r="B1" s="74"/>
      <c r="C1" s="74"/>
      <c r="D1" s="74"/>
      <c r="E1" s="74"/>
      <c r="F1" s="74"/>
      <c r="H1" s="62" t="s">
        <v>547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549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91</v>
      </c>
      <c r="B2" s="72" t="s">
        <v>94</v>
      </c>
      <c r="C2" s="71" t="s">
        <v>100</v>
      </c>
      <c r="D2" s="72" t="s">
        <v>103</v>
      </c>
      <c r="E2" s="71" t="s">
        <v>106</v>
      </c>
      <c r="F2" s="72" t="s">
        <v>109</v>
      </c>
      <c r="H2" s="71" t="s">
        <v>308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0" t="s">
        <v>140</v>
      </c>
      <c r="R2" s="70"/>
      <c r="S2" s="70"/>
      <c r="T2" s="70"/>
      <c r="U2" s="73" t="s">
        <v>151</v>
      </c>
      <c r="V2" s="73"/>
      <c r="W2" s="70" t="s">
        <v>158</v>
      </c>
      <c r="X2" s="70"/>
      <c r="Y2" s="70"/>
      <c r="Z2" s="73" t="s">
        <v>168</v>
      </c>
      <c r="AA2" s="73"/>
      <c r="AB2" s="70" t="s">
        <v>175</v>
      </c>
      <c r="AC2" s="70"/>
      <c r="AE2" s="71" t="s">
        <v>308</v>
      </c>
      <c r="AF2" s="72" t="s">
        <v>112</v>
      </c>
      <c r="AG2" s="73" t="s">
        <v>115</v>
      </c>
      <c r="AH2" s="73"/>
      <c r="AI2" s="73"/>
      <c r="AJ2" s="73"/>
      <c r="AK2" s="71" t="s">
        <v>190</v>
      </c>
      <c r="AL2" s="72" t="s">
        <v>131</v>
      </c>
      <c r="AM2" s="71" t="s">
        <v>22</v>
      </c>
      <c r="AN2" s="70" t="s">
        <v>140</v>
      </c>
      <c r="AO2" s="70"/>
      <c r="AP2" s="70"/>
      <c r="AQ2" s="70"/>
      <c r="AR2" s="73" t="s">
        <v>151</v>
      </c>
      <c r="AS2" s="73"/>
      <c r="AT2" s="70" t="s">
        <v>158</v>
      </c>
      <c r="AU2" s="70"/>
      <c r="AV2" s="70"/>
      <c r="AW2" s="73" t="s">
        <v>168</v>
      </c>
      <c r="AX2" s="73"/>
      <c r="AY2" s="70" t="s">
        <v>175</v>
      </c>
      <c r="AZ2" s="70"/>
      <c r="BB2" s="73" t="s">
        <v>355</v>
      </c>
      <c r="BC2" s="73"/>
      <c r="BD2" s="73"/>
      <c r="BE2" s="72" t="s">
        <v>230</v>
      </c>
      <c r="BF2" s="71" t="s">
        <v>230</v>
      </c>
      <c r="BH2" s="71" t="s">
        <v>22</v>
      </c>
      <c r="BI2" s="70" t="s">
        <v>140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2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1"/>
      <c r="BH3" s="71"/>
      <c r="BI3" s="61" t="s">
        <v>116</v>
      </c>
      <c r="BJ3" s="61" t="s">
        <v>122</v>
      </c>
      <c r="BK3" s="61" t="s">
        <v>145</v>
      </c>
      <c r="BL3" s="61" t="s">
        <v>148</v>
      </c>
    </row>
    <row r="4" spans="1:64" ht="123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0.29534966962142789</v>
      </c>
      <c r="I5" s="17">
        <f>IF(OR(ISBLANK(Q5),ISBLANK(F5)),"·",Q5*F5/E5/1000000)</f>
        <v>207.37152750000001</v>
      </c>
      <c r="J5" s="18">
        <f>IF(ISBLANK(Q5),"·",Q5/C5)</f>
        <v>8.8604900886428357</v>
      </c>
      <c r="K5" s="18">
        <f>IF(N5="","·",N5/C5)</f>
        <v>1.3561718292503695</v>
      </c>
      <c r="L5" s="18">
        <f>IF(R5="","·",R5/C5)</f>
        <v>1.275532007834695</v>
      </c>
      <c r="M5" s="18">
        <f>IF(ISBLANK(T5),"·",T5/C5)</f>
        <v>7.5042157131245721</v>
      </c>
      <c r="N5" s="15">
        <f>IF(OR(ISBLANK(R5),ISBLANK(S5)),"",R5+S5)</f>
        <v>33855936</v>
      </c>
      <c r="O5" s="18">
        <f>IF(ISBLANK(Q5),"·",Q5/P5)</f>
        <v>8.8604900886428357</v>
      </c>
      <c r="P5" s="19">
        <v>24964341</v>
      </c>
      <c r="Q5" s="20">
        <v>221196296</v>
      </c>
      <c r="R5" s="20">
        <v>31842816</v>
      </c>
      <c r="S5" s="20">
        <v>2013120</v>
      </c>
      <c r="T5" s="20">
        <v>187337800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3146.23</v>
      </c>
      <c r="AA5" s="22">
        <v>4139.1099999999997</v>
      </c>
      <c r="AB5" s="22">
        <v>3.1960000000000002</v>
      </c>
      <c r="AC5" s="22">
        <v>22.468</v>
      </c>
      <c r="AE5" s="23">
        <f>IF(ISBLANK(AN5),"·",AN5/(C5*D5*3))</f>
        <v>0.29624051895995707</v>
      </c>
      <c r="AF5" s="17">
        <f>IF(OR(ISBLANK(AN5),ISBLANK(F5)),"·",AN5*F5/E5/1000000)</f>
        <v>207.99701250000001</v>
      </c>
      <c r="AG5" s="18">
        <f>IF(ISBLANK(AN5),"·",AN5/C5)</f>
        <v>8.8872155687987124</v>
      </c>
      <c r="AH5" s="18">
        <f>IF(AK5="","·",AK5/C5)</f>
        <v>1.3617666895352856</v>
      </c>
      <c r="AI5" s="18">
        <f>IF(AO5="","·",AO5/C5)</f>
        <v>1.2800911508138748</v>
      </c>
      <c r="AJ5" s="18">
        <f>IF(ISBLANK(AQ5),"·",AQ5/C5)</f>
        <v>7.5253463329955315</v>
      </c>
      <c r="AK5" s="15">
        <f>IF(OR(ISBLANK(AO5),ISBLANK(AP5)),"",AO5+AP5)</f>
        <v>33995608</v>
      </c>
      <c r="AL5" s="18">
        <f>IF(ISBLANK(AN5),"·",AN5/AM5)</f>
        <v>8.8872155687987124</v>
      </c>
      <c r="AM5" s="19">
        <v>24964341</v>
      </c>
      <c r="AN5" s="20">
        <v>221863480</v>
      </c>
      <c r="AO5" s="20">
        <v>31956632</v>
      </c>
      <c r="AP5" s="20">
        <v>2038976</v>
      </c>
      <c r="AQ5" s="20">
        <v>187865312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4757.13</v>
      </c>
      <c r="AX5" s="22">
        <v>6342.93</v>
      </c>
      <c r="AY5" s="22">
        <v>2.528</v>
      </c>
      <c r="AZ5" s="22">
        <v>16.68</v>
      </c>
      <c r="BB5" s="24">
        <f t="shared" ref="BB5:BB12" si="0">AG5/J5</f>
        <v>1.0030162530388846</v>
      </c>
      <c r="BC5" s="24">
        <f t="shared" ref="BC5:BD12" si="1">AI5/L5</f>
        <v>1.0035743069959642</v>
      </c>
      <c r="BD5" s="24">
        <f t="shared" si="1"/>
        <v>1.002815833216788</v>
      </c>
      <c r="BE5" s="23">
        <f>(AK5/AN5) - (N5/Q5)</f>
        <v>1.6926593847585436E-4</v>
      </c>
      <c r="BF5" s="23">
        <f t="array" ref="BF5">AVERAGE(AK5:AK5/AN5:AN5) - AVERAGE(N5:N5/Q5:Q5)</f>
        <v>1.6926593847585436E-4</v>
      </c>
      <c r="BH5">
        <f>AM5-P5</f>
        <v>0</v>
      </c>
      <c r="BI5" s="4">
        <f t="shared" ref="BI5:BL9" si="2">AN5-Q5</f>
        <v>667184</v>
      </c>
      <c r="BJ5" s="4">
        <f t="shared" si="2"/>
        <v>113816</v>
      </c>
      <c r="BK5" s="4">
        <f t="shared" si="2"/>
        <v>25856</v>
      </c>
      <c r="BL5" s="4">
        <f t="shared" si="2"/>
        <v>527512</v>
      </c>
    </row>
    <row r="6" spans="1:64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0.42494935029704611</v>
      </c>
      <c r="I6" s="27">
        <f>IF(OR(ISBLANK(Q6),ISBLANK(F6)),"·",Q6*F6/E6/1000000)</f>
        <v>270.76325250000002</v>
      </c>
      <c r="J6" s="28">
        <f>IF(ISBLANK(Q6),"·",Q6/C6)</f>
        <v>12.748480508911383</v>
      </c>
      <c r="K6" s="28">
        <f>IF(N6="","·",N6/C6)</f>
        <v>1.6686089638707295</v>
      </c>
      <c r="L6" s="28">
        <f>IF(R6="","·",R6/C6)</f>
        <v>1.5278087118798591</v>
      </c>
      <c r="M6" s="28">
        <f>IF(ISBLANK(T6),"·",T6/C6)</f>
        <v>11.079758544650316</v>
      </c>
      <c r="N6" s="25">
        <f>IF(OR(ISBLANK(R6),ISBLANK(S6)),"",R6+S6)</f>
        <v>37801984</v>
      </c>
      <c r="O6" s="28">
        <f>IF(ISBLANK(Q6),"·",Q6/P6)</f>
        <v>12.748480508911383</v>
      </c>
      <c r="P6" s="29">
        <v>22654789</v>
      </c>
      <c r="Q6" s="30">
        <v>288814136</v>
      </c>
      <c r="R6" s="30">
        <v>34612184</v>
      </c>
      <c r="S6" s="30">
        <v>3189800</v>
      </c>
      <c r="T6" s="30">
        <v>251009592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3636.26</v>
      </c>
      <c r="AA6" s="32">
        <v>5772.39</v>
      </c>
      <c r="AB6" s="32">
        <v>2.7879999999999998</v>
      </c>
      <c r="AC6" s="32">
        <v>19.788</v>
      </c>
      <c r="AE6" s="33">
        <f>IF(ISBLANK(AN6),"·",AN6/(C6*D6*3))</f>
        <v>0.42372069469873824</v>
      </c>
      <c r="AF6" s="27">
        <f>IF(OR(ISBLANK(AN6),ISBLANK(F6)),"·",AN6*F6/E6/1000000)</f>
        <v>269.98039499999999</v>
      </c>
      <c r="AG6" s="28">
        <f>IF(ISBLANK(AN6),"·",AN6/C6)</f>
        <v>12.711620840962148</v>
      </c>
      <c r="AH6" s="28">
        <f>IF(AK6="","·",AK6/C6)</f>
        <v>1.6678582175274288</v>
      </c>
      <c r="AI6" s="28">
        <f>IF(AO6="","·",AO6/C6)</f>
        <v>1.5264738947690044</v>
      </c>
      <c r="AJ6" s="28">
        <f>IF(ISBLANK(AQ6),"·",AQ6/C6)</f>
        <v>11.043649623044381</v>
      </c>
      <c r="AK6" s="25">
        <f>IF(OR(ISBLANK(AO6),ISBLANK(AP6)),"",AO6+AP6)</f>
        <v>37784976</v>
      </c>
      <c r="AL6" s="28">
        <f>IF(ISBLANK(AN6),"·",AN6/AM6)</f>
        <v>12.711620840962148</v>
      </c>
      <c r="AM6" s="29">
        <v>22654789</v>
      </c>
      <c r="AN6" s="30">
        <v>287979088</v>
      </c>
      <c r="AO6" s="30">
        <v>34581944</v>
      </c>
      <c r="AP6" s="30">
        <v>3203032</v>
      </c>
      <c r="AQ6" s="30">
        <v>250191552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4538.17</v>
      </c>
      <c r="AX6" s="32">
        <v>5874.76</v>
      </c>
      <c r="AY6" s="32">
        <v>2.3919999999999999</v>
      </c>
      <c r="AZ6" s="32">
        <v>16.68</v>
      </c>
      <c r="BB6" s="34">
        <f t="shared" si="0"/>
        <v>0.99710870107826033</v>
      </c>
      <c r="BC6" s="34">
        <f t="shared" si="1"/>
        <v>0.99912631921753325</v>
      </c>
      <c r="BD6" s="34">
        <f t="shared" si="1"/>
        <v>0.99674100103712371</v>
      </c>
      <c r="BE6" s="33">
        <f>(AK6/AN6) - (N6/Q6)</f>
        <v>3.2047061548728939E-4</v>
      </c>
      <c r="BF6" s="33">
        <f t="array" ref="BF6">AVERAGE(AK6:AK6/AN6:AN6) - AVERAGE(N6:N6/Q6:Q6)</f>
        <v>3.2047061548728939E-4</v>
      </c>
      <c r="BH6" s="4">
        <f t="shared" ref="BH6:BH9" si="3">AM6-P6</f>
        <v>0</v>
      </c>
      <c r="BI6" s="4">
        <f t="shared" si="2"/>
        <v>-835048</v>
      </c>
      <c r="BJ6" s="4">
        <f t="shared" si="2"/>
        <v>-30240</v>
      </c>
      <c r="BK6" s="4">
        <f t="shared" si="2"/>
        <v>13232</v>
      </c>
      <c r="BL6" s="4">
        <f t="shared" si="2"/>
        <v>-818040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0.32540039362881473</v>
      </c>
      <c r="I7" s="17">
        <f>IF(OR(ISBLANK(Q7),ISBLANK(F7)),"·",Q7*F7/E7/1000000)</f>
        <v>310.68564750000002</v>
      </c>
      <c r="J7" s="18">
        <f>IF(ISBLANK(Q7),"·",Q7/C7)</f>
        <v>9.7620118088644432</v>
      </c>
      <c r="K7" s="18">
        <f>IF(N7="","·",N7/C7)</f>
        <v>1.4943915817846725</v>
      </c>
      <c r="L7" s="18">
        <f>IF(R7="","·",R7/C7)</f>
        <v>1.3811864467591017</v>
      </c>
      <c r="M7" s="18">
        <f>IF(ISBLANK(T7),"·",T7/C7)</f>
        <v>8.2675448170036052</v>
      </c>
      <c r="N7" s="15">
        <f>IF(OR(ISBLANK(R7),ISBLANK(S7)),"",R7+S7)</f>
        <v>50731184</v>
      </c>
      <c r="O7" s="18">
        <f>IF(ISBLANK(Q7),"·",Q7/P7)</f>
        <v>9.7620118088644432</v>
      </c>
      <c r="P7" s="19">
        <v>33947718</v>
      </c>
      <c r="Q7" s="20">
        <v>331398024</v>
      </c>
      <c r="R7" s="20">
        <v>46888128</v>
      </c>
      <c r="S7" s="20">
        <v>3843056</v>
      </c>
      <c r="T7" s="20">
        <v>280664280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5422.14</v>
      </c>
      <c r="AA7" s="22">
        <v>8108.62</v>
      </c>
      <c r="AB7" s="22">
        <v>4.556</v>
      </c>
      <c r="AC7" s="22">
        <v>30.448</v>
      </c>
      <c r="AE7" s="23">
        <f>IF(ISBLANK(AN7),"·",AN7/(C7*D7*3))</f>
        <v>0.32352869197275647</v>
      </c>
      <c r="AF7" s="17">
        <f>IF(OR(ISBLANK(AN7),ISBLANK(F7)),"·",AN7*F7/E7/1000000)</f>
        <v>308.89858500000003</v>
      </c>
      <c r="AG7" s="18">
        <f>IF(ISBLANK(AN7),"·",AN7/C7)</f>
        <v>9.7058607591826931</v>
      </c>
      <c r="AH7" s="18">
        <f>IF(AK7="","·",AK7/C7)</f>
        <v>1.4919643199581192</v>
      </c>
      <c r="AI7" s="18">
        <f>IF(AO7="","·",AO7/C7)</f>
        <v>1.3781101869645553</v>
      </c>
      <c r="AJ7" s="18">
        <f>IF(ISBLANK(AQ7),"·",AQ7/C7)</f>
        <v>8.2138210291484093</v>
      </c>
      <c r="AK7" s="15">
        <f>IF(OR(ISBLANK(AO7),ISBLANK(AP7)),"",AO7+AP7)</f>
        <v>50648784</v>
      </c>
      <c r="AL7" s="18">
        <f>IF(ISBLANK(AN7),"·",AN7/AM7)</f>
        <v>9.7058607591826931</v>
      </c>
      <c r="AM7" s="19">
        <v>33947718</v>
      </c>
      <c r="AN7" s="20">
        <v>329491824</v>
      </c>
      <c r="AO7" s="20">
        <v>46783696</v>
      </c>
      <c r="AP7" s="20">
        <v>3865088</v>
      </c>
      <c r="AQ7" s="20">
        <v>278840480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6562.43</v>
      </c>
      <c r="AX7" s="22">
        <v>9140.9500000000007</v>
      </c>
      <c r="AY7" s="22">
        <v>4.5279999999999996</v>
      </c>
      <c r="AZ7" s="22">
        <v>26.256</v>
      </c>
      <c r="BB7" s="24">
        <f t="shared" si="0"/>
        <v>0.99424800432726768</v>
      </c>
      <c r="BC7" s="24">
        <f t="shared" si="1"/>
        <v>0.99777274110836756</v>
      </c>
      <c r="BD7" s="24">
        <f t="shared" si="1"/>
        <v>0.99350184498005945</v>
      </c>
      <c r="BE7" s="23">
        <f>(AK7/AN7) - (N7/Q7)</f>
        <v>6.3554096213502831E-4</v>
      </c>
      <c r="BF7" s="23">
        <f t="array" ref="BF7">AVERAGE(AK7:AK7/AN7:AN7) - AVERAGE(N7:N7/Q7:Q7)</f>
        <v>6.3554096213502831E-4</v>
      </c>
      <c r="BH7" s="4">
        <f t="shared" si="3"/>
        <v>0</v>
      </c>
      <c r="BI7" s="4">
        <f t="shared" si="2"/>
        <v>-1906200</v>
      </c>
      <c r="BJ7" s="4">
        <f t="shared" si="2"/>
        <v>-104432</v>
      </c>
      <c r="BK7" s="4">
        <f t="shared" si="2"/>
        <v>22032</v>
      </c>
      <c r="BL7" s="4">
        <f t="shared" si="2"/>
        <v>-1823800</v>
      </c>
    </row>
    <row r="8" spans="1:64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0.25481219604534788</v>
      </c>
      <c r="I8" s="47">
        <f>IF(OR(ISBLANK(Q8),ISBLANK(F8)),"·",Q8*F8/E8/1000000)</f>
        <v>384.72233749999998</v>
      </c>
      <c r="J8" s="48">
        <f>IF(ISBLANK(Q8),"·",Q8/C8)</f>
        <v>7.6443658813604358</v>
      </c>
      <c r="K8" s="48">
        <f>IF(N8="","·",N8/C8)</f>
        <v>0.9869620721968263</v>
      </c>
      <c r="L8" s="48">
        <f>IF(R8="","·",R8/C8)</f>
        <v>0.8366470873334424</v>
      </c>
      <c r="M8" s="48">
        <f>IF(ISBLANK(T8),"·",T8/C8)</f>
        <v>6.6573243298598497</v>
      </c>
      <c r="N8" s="45">
        <f>IF(OR(ISBLANK(R8),ISBLANK(S8)),"",R8+S8)</f>
        <v>31789696</v>
      </c>
      <c r="O8" s="48">
        <f>IF(ISBLANK(Q8),"·",Q8/P8)</f>
        <v>7.6443658813604358</v>
      </c>
      <c r="P8" s="49">
        <v>32209643</v>
      </c>
      <c r="Q8" s="50">
        <v>246222296</v>
      </c>
      <c r="R8" s="50">
        <v>26948104</v>
      </c>
      <c r="S8" s="50">
        <v>4841592</v>
      </c>
      <c r="T8" s="50">
        <v>214430040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7970.12</v>
      </c>
      <c r="AA8" s="52">
        <v>5417.78</v>
      </c>
      <c r="AB8" s="52">
        <v>3.3559999999999999</v>
      </c>
      <c r="AC8" s="52">
        <v>18.071999999999999</v>
      </c>
      <c r="AE8" s="53">
        <f>IF(ISBLANK(AN8),"·",AN8/(C8*D8*3))</f>
        <v>0.25147981925785395</v>
      </c>
      <c r="AF8" s="47">
        <f>IF(OR(ISBLANK(AN8),ISBLANK(F8)),"·",AN8*F8/E8/1000000)</f>
        <v>379.69102500000002</v>
      </c>
      <c r="AG8" s="48">
        <f>IF(ISBLANK(AN8),"·",AN8/C8)</f>
        <v>7.5443945777356181</v>
      </c>
      <c r="AH8" s="48">
        <f>IF(AK8="","·",AK8/C8)</f>
        <v>0.973363660069129</v>
      </c>
      <c r="AI8" s="48">
        <f>IF(AO8="","·",AO8/C8)</f>
        <v>0.8223331130990803</v>
      </c>
      <c r="AJ8" s="48">
        <f>IF(ISBLANK(AQ8),"·",AQ8/C8)</f>
        <v>6.5709514383627292</v>
      </c>
      <c r="AK8" s="45">
        <f>IF(OR(ISBLANK(AO8),ISBLANK(AP8)),"",AO8+AP8)</f>
        <v>31351696</v>
      </c>
      <c r="AL8" s="48">
        <f>IF(ISBLANK(AN8),"·",AN8/AM8)</f>
        <v>7.5443945777356181</v>
      </c>
      <c r="AM8" s="49">
        <v>32209643</v>
      </c>
      <c r="AN8" s="50">
        <v>243002256</v>
      </c>
      <c r="AO8" s="50">
        <v>26487056</v>
      </c>
      <c r="AP8" s="50">
        <v>4864640</v>
      </c>
      <c r="AQ8" s="50">
        <v>211648000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6365.2</v>
      </c>
      <c r="AX8" s="52">
        <v>6361.76</v>
      </c>
      <c r="AY8" s="52">
        <v>3.52</v>
      </c>
      <c r="AZ8" s="52">
        <v>20.084</v>
      </c>
      <c r="BB8" s="54">
        <f t="shared" si="0"/>
        <v>0.98692222413521813</v>
      </c>
      <c r="BC8" s="54">
        <f t="shared" si="1"/>
        <v>0.98289126389003101</v>
      </c>
      <c r="BD8" s="54">
        <f t="shared" si="1"/>
        <v>0.98702588499260646</v>
      </c>
      <c r="BE8" s="53">
        <f>(AK8/AN8) - (N8/Q8)</f>
        <v>-9.1610182015949837E-5</v>
      </c>
      <c r="BF8" s="53">
        <f t="array" ref="BF8">AVERAGE(AK8:AK8/AN8:AN8) - AVERAGE(N8:N8/Q8:Q8)</f>
        <v>-9.1610182015949837E-5</v>
      </c>
      <c r="BH8" s="4">
        <f t="shared" si="3"/>
        <v>0</v>
      </c>
      <c r="BI8" s="4">
        <f t="shared" si="2"/>
        <v>-3220040</v>
      </c>
      <c r="BJ8" s="4">
        <f t="shared" si="2"/>
        <v>-461048</v>
      </c>
      <c r="BK8" s="4">
        <f t="shared" si="2"/>
        <v>23048</v>
      </c>
      <c r="BL8" s="4">
        <f t="shared" si="2"/>
        <v>-2782040</v>
      </c>
    </row>
    <row r="9" spans="1:64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0.50131075636897127</v>
      </c>
      <c r="I9" s="37">
        <f>IF(OR(ISBLANK(Q9),ISBLANK(F9)),"·",Q9*F9/E9/1000000)</f>
        <v>356.88887999999997</v>
      </c>
      <c r="J9" s="38">
        <f>IF(ISBLANK(Q9),"·",Q9/C9)</f>
        <v>15.039322691069138</v>
      </c>
      <c r="K9" s="38">
        <f>IF(N9="","·",N9/C9)</f>
        <v>1.5141355180431668</v>
      </c>
      <c r="L9" s="38">
        <f>IF(R9="","·",R9/C9)</f>
        <v>1.4138883981326471</v>
      </c>
      <c r="M9" s="38">
        <f>IF(ISBLANK(T9),"·",T9/C9)</f>
        <v>13.525086036855917</v>
      </c>
      <c r="N9" s="35">
        <f>IF(OR(ISBLANK(R9),ISBLANK(S9)),"",R9+S9)</f>
        <v>38326416</v>
      </c>
      <c r="O9" s="38">
        <f>IF(ISBLANK(Q9),"·",Q9/P9)</f>
        <v>15.039322691069138</v>
      </c>
      <c r="P9" s="39">
        <v>25312408</v>
      </c>
      <c r="Q9" s="40">
        <v>380681472</v>
      </c>
      <c r="R9" s="40">
        <v>35788920</v>
      </c>
      <c r="S9" s="40">
        <v>2537496</v>
      </c>
      <c r="T9" s="40">
        <v>342352496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7267.6</v>
      </c>
      <c r="AA9" s="42">
        <v>6928.24</v>
      </c>
      <c r="AB9" s="42">
        <v>4.92</v>
      </c>
      <c r="AC9" s="42">
        <v>57.088000000000001</v>
      </c>
      <c r="AE9" s="43">
        <f>IF(ISBLANK(AN9),"·",AN9/(C9*D9*3))</f>
        <v>0.50105249040971001</v>
      </c>
      <c r="AF9" s="37">
        <f>IF(OR(ISBLANK(AN9),ISBLANK(F9)),"·",AN9*F9/E9/1000000)</f>
        <v>356.7050175</v>
      </c>
      <c r="AG9" s="38">
        <f>IF(ISBLANK(AN9),"·",AN9/C9)</f>
        <v>15.031574712291301</v>
      </c>
      <c r="AH9" s="38">
        <f>IF(AK9="","·",AK9/C9)</f>
        <v>1.5152609739855647</v>
      </c>
      <c r="AI9" s="38">
        <f>IF(AO9="","·",AO9/C9)</f>
        <v>1.4143280244218566</v>
      </c>
      <c r="AJ9" s="38">
        <f>IF(ISBLANK(AQ9),"·",AQ9/C9)</f>
        <v>13.516212602135679</v>
      </c>
      <c r="AK9" s="35">
        <f>IF(OR(ISBLANK(AO9),ISBLANK(AP9)),"",AO9+AP9)</f>
        <v>38354904</v>
      </c>
      <c r="AL9" s="38">
        <f>IF(ISBLANK(AN9),"·",AN9/AM9)</f>
        <v>15.031574712291301</v>
      </c>
      <c r="AM9" s="39">
        <v>25312408</v>
      </c>
      <c r="AN9" s="40">
        <v>380485352</v>
      </c>
      <c r="AO9" s="40">
        <v>35800048</v>
      </c>
      <c r="AP9" s="40">
        <v>2554856</v>
      </c>
      <c r="AQ9" s="40">
        <v>342127888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5226.96</v>
      </c>
      <c r="AX9" s="42">
        <v>7285.82</v>
      </c>
      <c r="AY9" s="42">
        <v>3.3239999999999998</v>
      </c>
      <c r="AZ9" s="42">
        <v>26.036000000000001</v>
      </c>
      <c r="BB9" s="44">
        <f t="shared" si="0"/>
        <v>0.99948481863598559</v>
      </c>
      <c r="BC9" s="44">
        <f t="shared" si="1"/>
        <v>1.0003109342220999</v>
      </c>
      <c r="BD9" s="44">
        <f t="shared" si="1"/>
        <v>0.9993439276692172</v>
      </c>
      <c r="BE9" s="43">
        <f>(AK9/AN9) - (N9/Q9)</f>
        <v>1.2676718044238311E-4</v>
      </c>
      <c r="BF9" s="43">
        <f t="array" ref="BF9">AVERAGE(AK9:AK9/AN9:AN9) - AVERAGE(N9:N9/Q9:Q9)</f>
        <v>1.2676718044238311E-4</v>
      </c>
      <c r="BH9" s="4">
        <f t="shared" si="3"/>
        <v>0</v>
      </c>
      <c r="BI9" s="4">
        <f t="shared" si="2"/>
        <v>-196120</v>
      </c>
      <c r="BJ9" s="4">
        <f t="shared" si="2"/>
        <v>11128</v>
      </c>
      <c r="BK9" s="4">
        <f t="shared" si="2"/>
        <v>17360</v>
      </c>
      <c r="BL9" s="4">
        <f t="shared" si="2"/>
        <v>-224608</v>
      </c>
    </row>
    <row r="10" spans="1:64">
      <c r="B10" s="55" t="s">
        <v>286</v>
      </c>
      <c r="J10" s="56">
        <f>AVERAGE(J5:J8)</f>
        <v>9.7538370719447745</v>
      </c>
      <c r="K10" s="56">
        <f>AVERAGE(K5:K8)</f>
        <v>1.3765336117756495</v>
      </c>
      <c r="L10" s="56">
        <f>AVERAGE(L5:L8)</f>
        <v>1.2552935634517746</v>
      </c>
      <c r="M10" s="56">
        <f>AVERAGE(M5:M8)</f>
        <v>8.3772108511595853</v>
      </c>
      <c r="AG10" s="56">
        <f>AVERAGE(AG5:AG8)</f>
        <v>9.7122729366697929</v>
      </c>
      <c r="AH10" s="56">
        <f>AVERAGE(AH5:AH8)</f>
        <v>1.3737382217724907</v>
      </c>
      <c r="AI10" s="56">
        <f>AVERAGE(AI5:AI8)</f>
        <v>1.2517520864116287</v>
      </c>
      <c r="AJ10" s="56">
        <f>AVERAGE(AJ5:AJ8)</f>
        <v>8.3384421058877631</v>
      </c>
      <c r="BB10" s="5">
        <f t="shared" si="0"/>
        <v>0.99573868878797112</v>
      </c>
      <c r="BC10" s="5">
        <f t="shared" si="1"/>
        <v>0.99717876587337262</v>
      </c>
      <c r="BD10" s="5">
        <f t="shared" si="1"/>
        <v>0.99537211776560985</v>
      </c>
      <c r="BF10" s="8">
        <f>AVERAGE(BF5:BF8)</f>
        <v>2.5841683352055556E-4</v>
      </c>
    </row>
    <row r="11" spans="1:64">
      <c r="B11" s="55" t="s">
        <v>287</v>
      </c>
      <c r="J11" s="56">
        <f>AVERAGE(J9:J9)</f>
        <v>15.039322691069138</v>
      </c>
      <c r="K11" s="56">
        <f>AVERAGE(K9:K9)</f>
        <v>1.5141355180431668</v>
      </c>
      <c r="L11" s="56">
        <f>AVERAGE(L9:L9)</f>
        <v>1.4138883981326471</v>
      </c>
      <c r="M11" s="56">
        <f>AVERAGE(M9:M9)</f>
        <v>13.525086036855917</v>
      </c>
      <c r="AG11" s="56">
        <f>AVERAGE(AG9:AG9)</f>
        <v>15.031574712291301</v>
      </c>
      <c r="AH11" s="56">
        <f>AVERAGE(AH9:AH9)</f>
        <v>1.5152609739855647</v>
      </c>
      <c r="AI11" s="56">
        <f>AVERAGE(AI9:AI9)</f>
        <v>1.4143280244218566</v>
      </c>
      <c r="AJ11" s="56">
        <f>AVERAGE(AJ9:AJ9)</f>
        <v>13.516212602135679</v>
      </c>
      <c r="BB11" s="5">
        <f t="shared" si="0"/>
        <v>0.99948481863598559</v>
      </c>
      <c r="BC11" s="5">
        <f t="shared" si="1"/>
        <v>1.0003109342220999</v>
      </c>
      <c r="BD11" s="5">
        <f t="shared" si="1"/>
        <v>0.9993439276692172</v>
      </c>
      <c r="BF11" s="8">
        <f>AVERAGE(BF9:BF9)</f>
        <v>1.2676718044238311E-4</v>
      </c>
    </row>
    <row r="12" spans="1:64" collapsed="1">
      <c r="B12" s="55" t="s">
        <v>288</v>
      </c>
      <c r="J12" s="56">
        <f>AVERAGE(J5:J9)</f>
        <v>10.810934195769647</v>
      </c>
      <c r="K12" s="56">
        <f>AVERAGE(K5:K9)</f>
        <v>1.4040539930291529</v>
      </c>
      <c r="L12" s="56">
        <f>AVERAGE(L5:L9)</f>
        <v>1.2870125303879489</v>
      </c>
      <c r="M12" s="56">
        <f>AVERAGE(M5:M9)</f>
        <v>9.4067858882988524</v>
      </c>
      <c r="AG12" s="56">
        <f>AVERAGE(AG5:AG9)</f>
        <v>10.776133291794094</v>
      </c>
      <c r="AH12" s="56">
        <f>AVERAGE(AH5:AH9)</f>
        <v>1.4020427722151054</v>
      </c>
      <c r="AI12" s="56">
        <f>AVERAGE(AI5:AI9)</f>
        <v>1.2842672740136742</v>
      </c>
      <c r="AJ12" s="56">
        <f>AVERAGE(AJ5:AJ9)</f>
        <v>9.3739962051373471</v>
      </c>
      <c r="BB12" s="5">
        <f t="shared" si="0"/>
        <v>0.99678095312159332</v>
      </c>
      <c r="BC12" s="5">
        <f t="shared" si="1"/>
        <v>0.99786695443171236</v>
      </c>
      <c r="BD12" s="5">
        <f t="shared" si="1"/>
        <v>0.99651425220570899</v>
      </c>
      <c r="BF12" s="8">
        <f>AVERAGE(BF5:BF9)</f>
        <v>2.3208690290492108E-4</v>
      </c>
    </row>
    <row r="13" spans="1:64" hidden="1" outlineLevel="2">
      <c r="A13" s="55" t="s">
        <v>289</v>
      </c>
      <c r="B13" s="55" t="s">
        <v>290</v>
      </c>
      <c r="Z13" s="57">
        <f>SUM(Z5:Z8,Z9:Z9)</f>
        <v>27442.35</v>
      </c>
      <c r="AA13" s="57">
        <f>SUM(AA5:AA8,AA9:AA9)</f>
        <v>30366.14</v>
      </c>
      <c r="AB13" s="57">
        <f>SUM(AB5:AB8,AB9:AB9)</f>
        <v>18.815999999999999</v>
      </c>
      <c r="AC13" s="57">
        <f>SUM(AC5:AC8,AC9:AC9)</f>
        <v>147.864</v>
      </c>
      <c r="AW13" s="57">
        <f>SUM(AW5:AW8,AW9:AW9)</f>
        <v>27449.89</v>
      </c>
      <c r="AX13" s="57">
        <f>SUM(AX5:AX8,AX9:AX9)</f>
        <v>35006.22</v>
      </c>
      <c r="AY13" s="57">
        <f>SUM(AY5:AY8,AY9:AY9)</f>
        <v>16.292000000000002</v>
      </c>
      <c r="AZ13" s="57">
        <f>SUM(AZ5:AZ8,AZ9:AZ9)</f>
        <v>105.736</v>
      </c>
    </row>
    <row r="14" spans="1:64" hidden="1" outlineLevel="2">
      <c r="B14" s="55" t="s">
        <v>291</v>
      </c>
      <c r="AW14" s="8">
        <f>AW13/Z13</f>
        <v>1.0002747578104645</v>
      </c>
      <c r="AX14" s="8">
        <f>AX13/AA13</f>
        <v>1.1528044064869623</v>
      </c>
      <c r="AY14" s="8">
        <f>AY13/AB13</f>
        <v>0.86585884353741505</v>
      </c>
      <c r="AZ14" s="8">
        <f>AZ13/AC13</f>
        <v>0.71508954174105932</v>
      </c>
    </row>
    <row r="15" spans="1:64" hidden="1" outlineLevel="2">
      <c r="B15" s="55" t="s">
        <v>292</v>
      </c>
      <c r="Z15" s="57">
        <f>GEOMEAN(Z5:Z8,Z9:Z9)</f>
        <v>5141.5539829662603</v>
      </c>
      <c r="AA15" s="57">
        <f>GEOMEAN(AA5:AA8,AA9:AA9)</f>
        <v>5920.1236038955094</v>
      </c>
      <c r="AB15" s="57">
        <f>GEOMEAN(AB5:AB8,AB9:AB9)</f>
        <v>3.6749722334016237</v>
      </c>
      <c r="AC15" s="57">
        <f>GEOMEAN(AC5:AC8,AC9:AC9)</f>
        <v>26.854385983157858</v>
      </c>
      <c r="AW15" s="57">
        <f>GEOMEAN(AW5:AW8,AW9:AW9)</f>
        <v>5428.3812154543584</v>
      </c>
      <c r="AX15" s="57">
        <f>GEOMEAN(AX5:AX8,AX9:AX9)</f>
        <v>6912.9819030509643</v>
      </c>
      <c r="AY15" s="57">
        <f>GEOMEAN(AY5:AY8,AY9:AY9)</f>
        <v>3.1705139496519696</v>
      </c>
      <c r="AZ15" s="57">
        <f>GEOMEAN(AZ5:AZ8,AZ9:AZ9)</f>
        <v>20.720919636727938</v>
      </c>
    </row>
    <row r="16" spans="1:64" outlineLevel="2" collapsed="1">
      <c r="B16" s="55" t="s">
        <v>293</v>
      </c>
      <c r="AW16" s="8">
        <f>AW15/Z15</f>
        <v>1.0557860976347508</v>
      </c>
      <c r="AX16" s="8">
        <f>AX15/AA15</f>
        <v>1.1677090489296782</v>
      </c>
      <c r="AY16" s="8">
        <f>AY15/AB15</f>
        <v>0.86273140265805004</v>
      </c>
      <c r="AZ16" s="8">
        <f>AZ15/AC15</f>
        <v>0.77160280818646843</v>
      </c>
    </row>
    <row r="23" spans="41:41">
      <c r="AO23" s="4"/>
    </row>
    <row r="24" spans="41:41">
      <c r="AO24" s="4"/>
    </row>
    <row r="25" spans="41:41">
      <c r="AO25" s="4"/>
    </row>
    <row r="26" spans="41:41">
      <c r="AO26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23"/>
  <sheetViews>
    <sheetView zoomScale="85" zoomScaleNormal="85" workbookViewId="0">
      <pane xSplit="2" topLeftCell="AP1" activePane="topRight" state="frozen"/>
      <selection pane="topRight" activeCell="AS21" sqref="AS21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439</v>
      </c>
      <c r="B1" s="74"/>
      <c r="C1" s="74"/>
      <c r="D1" s="74"/>
      <c r="E1" s="74"/>
      <c r="F1" s="74"/>
      <c r="H1" s="62" t="s">
        <v>547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549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91</v>
      </c>
      <c r="B2" s="72" t="s">
        <v>94</v>
      </c>
      <c r="C2" s="71" t="s">
        <v>100</v>
      </c>
      <c r="D2" s="72" t="s">
        <v>103</v>
      </c>
      <c r="E2" s="71" t="s">
        <v>106</v>
      </c>
      <c r="F2" s="72" t="s">
        <v>109</v>
      </c>
      <c r="H2" s="71" t="s">
        <v>308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0" t="s">
        <v>140</v>
      </c>
      <c r="R2" s="70"/>
      <c r="S2" s="70"/>
      <c r="T2" s="70"/>
      <c r="U2" s="73" t="s">
        <v>151</v>
      </c>
      <c r="V2" s="73"/>
      <c r="W2" s="70" t="s">
        <v>158</v>
      </c>
      <c r="X2" s="70"/>
      <c r="Y2" s="70"/>
      <c r="Z2" s="73" t="s">
        <v>168</v>
      </c>
      <c r="AA2" s="73"/>
      <c r="AB2" s="70" t="s">
        <v>175</v>
      </c>
      <c r="AC2" s="70"/>
      <c r="AE2" s="71" t="s">
        <v>308</v>
      </c>
      <c r="AF2" s="72" t="s">
        <v>112</v>
      </c>
      <c r="AG2" s="73" t="s">
        <v>115</v>
      </c>
      <c r="AH2" s="73"/>
      <c r="AI2" s="73"/>
      <c r="AJ2" s="73"/>
      <c r="AK2" s="71" t="s">
        <v>190</v>
      </c>
      <c r="AL2" s="72" t="s">
        <v>131</v>
      </c>
      <c r="AM2" s="71" t="s">
        <v>22</v>
      </c>
      <c r="AN2" s="70" t="s">
        <v>140</v>
      </c>
      <c r="AO2" s="70"/>
      <c r="AP2" s="70"/>
      <c r="AQ2" s="70"/>
      <c r="AR2" s="73" t="s">
        <v>151</v>
      </c>
      <c r="AS2" s="73"/>
      <c r="AT2" s="70" t="s">
        <v>158</v>
      </c>
      <c r="AU2" s="70"/>
      <c r="AV2" s="70"/>
      <c r="AW2" s="73" t="s">
        <v>168</v>
      </c>
      <c r="AX2" s="73"/>
      <c r="AY2" s="70" t="s">
        <v>175</v>
      </c>
      <c r="AZ2" s="70"/>
      <c r="BB2" s="73" t="s">
        <v>355</v>
      </c>
      <c r="BC2" s="73"/>
      <c r="BD2" s="73"/>
      <c r="BE2" s="72" t="s">
        <v>230</v>
      </c>
      <c r="BF2" s="71" t="s">
        <v>230</v>
      </c>
      <c r="BH2" s="71" t="s">
        <v>22</v>
      </c>
      <c r="BI2" s="70" t="s">
        <v>140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2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1"/>
      <c r="BH3" s="71"/>
      <c r="BI3" s="61" t="s">
        <v>116</v>
      </c>
      <c r="BJ3" s="61" t="s">
        <v>122</v>
      </c>
      <c r="BK3" s="61" t="s">
        <v>145</v>
      </c>
      <c r="BL3" s="61" t="s">
        <v>148</v>
      </c>
    </row>
    <row r="4" spans="1:64" ht="123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0.29286802857457095</v>
      </c>
      <c r="I5" s="17">
        <f>IF(OR(ISBLANK(Q5),ISBLANK(F5)),"·",Q5*F5/E5/1000000)</f>
        <v>205.62911249999999</v>
      </c>
      <c r="J5" s="18">
        <f>IF(ISBLANK(Q5),"·",Q5/C5)</f>
        <v>8.7860408572371291</v>
      </c>
      <c r="K5" s="18">
        <f>IF(N5="","·",N5/C5)</f>
        <v>1.3511775055468118</v>
      </c>
      <c r="L5" s="18">
        <f>IF(R5="","·",R5/C5)</f>
        <v>1.2699522090328761</v>
      </c>
      <c r="M5" s="18">
        <f>IF(ISBLANK(T5),"·",T5/C5)</f>
        <v>7.4347608054224219</v>
      </c>
      <c r="N5" s="15">
        <f>IF(OR(ISBLANK(R5),ISBLANK(S5)),"",R5+S5)</f>
        <v>33731256</v>
      </c>
      <c r="O5" s="18">
        <f>IF(ISBLANK(Q5),"·",Q5/P5)</f>
        <v>8.7860408572371291</v>
      </c>
      <c r="P5" s="19">
        <v>24964341</v>
      </c>
      <c r="Q5" s="20">
        <v>219337720</v>
      </c>
      <c r="R5" s="20">
        <v>31703520</v>
      </c>
      <c r="S5" s="20">
        <v>2027736</v>
      </c>
      <c r="T5" s="20">
        <v>185603904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7262.08</v>
      </c>
      <c r="AA5" s="22">
        <v>7107.53</v>
      </c>
      <c r="AB5" s="22">
        <v>4.0679999999999996</v>
      </c>
      <c r="AC5" s="22">
        <v>23.956</v>
      </c>
      <c r="AD5" s="22">
        <v>19.712</v>
      </c>
      <c r="AE5" s="23">
        <f>IF(ISBLANK(AN5),"·",AN5/(C5*D5*3))</f>
        <v>0.29248155732744291</v>
      </c>
      <c r="AF5" s="17">
        <f>IF(OR(ISBLANK(AN5),ISBLANK(F5)),"·",AN5*F5/E5/1000000)</f>
        <v>205.35776250000001</v>
      </c>
      <c r="AG5" s="18">
        <f>IF(ISBLANK(AN5),"·",AN5/C5)</f>
        <v>8.7744467198232865</v>
      </c>
      <c r="AH5" s="18">
        <f>IF(AK5="","·",AK5/C5)</f>
        <v>1.3485632166296719</v>
      </c>
      <c r="AI5" s="18">
        <f>IF(AO5="","·",AO5/C5)</f>
        <v>1.2674443118686769</v>
      </c>
      <c r="AJ5" s="18">
        <f>IF(ISBLANK(AQ5),"·",AQ5/C5)</f>
        <v>7.4257809569257205</v>
      </c>
      <c r="AK5" s="15">
        <f>IF(OR(ISBLANK(AO5),ISBLANK(AP5)),"",AO5+AP5)</f>
        <v>33665992</v>
      </c>
      <c r="AL5" s="18">
        <f>IF(ISBLANK(AN5),"·",AN5/AM5)</f>
        <v>8.7744467198232865</v>
      </c>
      <c r="AM5" s="19">
        <v>24964341</v>
      </c>
      <c r="AN5" s="20">
        <v>219048280</v>
      </c>
      <c r="AO5" s="20">
        <v>31640912</v>
      </c>
      <c r="AP5" s="20">
        <v>2025080</v>
      </c>
      <c r="AQ5" s="20">
        <v>185379728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4406</v>
      </c>
      <c r="AX5" s="22">
        <v>8288.17</v>
      </c>
      <c r="AY5" s="22">
        <v>3.6240000000000001</v>
      </c>
      <c r="AZ5" s="22">
        <v>28.236000000000001</v>
      </c>
      <c r="BB5" s="24">
        <f t="shared" ref="BB5:BB12" si="0">AG5/J5</f>
        <v>0.99868039113381857</v>
      </c>
      <c r="BC5" s="24">
        <f t="shared" ref="BC5:BD12" si="1">AI5/L5</f>
        <v>0.99802520351052493</v>
      </c>
      <c r="BD5" s="24">
        <f t="shared" si="1"/>
        <v>0.99879218057827068</v>
      </c>
      <c r="BE5" s="23">
        <f>(AK5/AN5) - (N5/Q5)</f>
        <v>-9.4736811058121484E-5</v>
      </c>
      <c r="BF5" s="23">
        <f t="array" ref="BF5">AVERAGE(AK5:AK5/AN5:AN5) - AVERAGE(N5:N5/Q5:Q5)</f>
        <v>-9.4736811058121484E-5</v>
      </c>
      <c r="BH5">
        <f>AM5-P5</f>
        <v>0</v>
      </c>
      <c r="BI5" s="4">
        <f t="shared" ref="BI5:BL9" si="2">AN5-Q5</f>
        <v>-289440</v>
      </c>
      <c r="BJ5" s="4">
        <f t="shared" si="2"/>
        <v>-62608</v>
      </c>
      <c r="BK5" s="4">
        <f t="shared" si="2"/>
        <v>-2656</v>
      </c>
      <c r="BL5" s="4">
        <f t="shared" si="2"/>
        <v>-224176</v>
      </c>
    </row>
    <row r="6" spans="1:64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0.42262391997265275</v>
      </c>
      <c r="I6" s="27">
        <f>IF(OR(ISBLANK(Q6),ISBLANK(F6)),"·",Q6*F6/E6/1000000)</f>
        <v>269.28156749999999</v>
      </c>
      <c r="J6" s="28">
        <f>IF(ISBLANK(Q6),"·",Q6/C6)</f>
        <v>12.678717599179581</v>
      </c>
      <c r="K6" s="28">
        <f>IF(N6="","·",N6/C6)</f>
        <v>1.675194061617612</v>
      </c>
      <c r="L6" s="28">
        <f>IF(R6="","·",R6/C6)</f>
        <v>1.5267694614149794</v>
      </c>
      <c r="M6" s="28">
        <f>IF(ISBLANK(T6),"·",T6/C6)</f>
        <v>11.003410537171632</v>
      </c>
      <c r="N6" s="25">
        <f>IF(OR(ISBLANK(R6),ISBLANK(S6)),"",R6+S6)</f>
        <v>37951168</v>
      </c>
      <c r="O6" s="28">
        <f>IF(ISBLANK(Q6),"·",Q6/P6)</f>
        <v>12.678717599179581</v>
      </c>
      <c r="P6" s="29">
        <v>22654789</v>
      </c>
      <c r="Q6" s="30">
        <v>287233672</v>
      </c>
      <c r="R6" s="30">
        <v>34588640</v>
      </c>
      <c r="S6" s="30">
        <v>3362528</v>
      </c>
      <c r="T6" s="30">
        <v>249279944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5993.7</v>
      </c>
      <c r="AA6" s="32">
        <v>9849.7900000000009</v>
      </c>
      <c r="AB6" s="32">
        <v>2.9159999999999999</v>
      </c>
      <c r="AC6" s="32">
        <v>22.128</v>
      </c>
      <c r="AD6" s="32">
        <v>32.856000000000002</v>
      </c>
      <c r="AE6" s="33">
        <f>IF(ISBLANK(AN6),"·",AN6/(C6*D6*3))</f>
        <v>0.42239452918026882</v>
      </c>
      <c r="AF6" s="27">
        <f>IF(OR(ISBLANK(AN6),ISBLANK(F6)),"·",AN6*F6/E6/1000000)</f>
        <v>269.13540749999999</v>
      </c>
      <c r="AG6" s="28">
        <f>IF(ISBLANK(AN6),"·",AN6/C6)</f>
        <v>12.671835875408066</v>
      </c>
      <c r="AH6" s="28">
        <f>IF(AK6="","·",AK6/C6)</f>
        <v>1.6811852010627863</v>
      </c>
      <c r="AI6" s="28">
        <f>IF(AO6="","·",AO6/C6)</f>
        <v>1.5291735447193968</v>
      </c>
      <c r="AJ6" s="28">
        <f>IF(ISBLANK(AQ6),"·",AQ6/C6)</f>
        <v>10.990537673954941</v>
      </c>
      <c r="AK6" s="25">
        <f>IF(OR(ISBLANK(AO6),ISBLANK(AP6)),"",AO6+AP6)</f>
        <v>38086896</v>
      </c>
      <c r="AL6" s="28">
        <f>IF(ISBLANK(AN6),"·",AN6/AM6)</f>
        <v>12.671835875408066</v>
      </c>
      <c r="AM6" s="29">
        <v>22654789</v>
      </c>
      <c r="AN6" s="30">
        <v>287077768</v>
      </c>
      <c r="AO6" s="30">
        <v>34643104</v>
      </c>
      <c r="AP6" s="30">
        <v>3443792</v>
      </c>
      <c r="AQ6" s="30">
        <v>248988312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5550.04</v>
      </c>
      <c r="AX6" s="32">
        <v>11382.1</v>
      </c>
      <c r="AY6" s="32">
        <v>3.8919999999999999</v>
      </c>
      <c r="AZ6" s="32">
        <v>34.764000000000003</v>
      </c>
      <c r="BB6" s="34">
        <f t="shared" si="0"/>
        <v>0.99945722241088797</v>
      </c>
      <c r="BC6" s="34">
        <f t="shared" si="1"/>
        <v>1.001574621031645</v>
      </c>
      <c r="BD6" s="34">
        <f t="shared" si="1"/>
        <v>0.9988301024329499</v>
      </c>
      <c r="BE6" s="33">
        <f>(AK6/AN6) - (N6/Q6)</f>
        <v>5.4454597637471069E-4</v>
      </c>
      <c r="BF6" s="33">
        <f t="array" ref="BF6">AVERAGE(AK6:AK6/AN6:AN6) - AVERAGE(N6:N6/Q6:Q6)</f>
        <v>5.4454597637471069E-4</v>
      </c>
      <c r="BH6" s="4">
        <f t="shared" ref="BH6:BH9" si="3">AM6-P6</f>
        <v>0</v>
      </c>
      <c r="BI6" s="4">
        <f t="shared" si="2"/>
        <v>-155904</v>
      </c>
      <c r="BJ6" s="4">
        <f t="shared" si="2"/>
        <v>54464</v>
      </c>
      <c r="BK6" s="4">
        <f t="shared" si="2"/>
        <v>81264</v>
      </c>
      <c r="BL6" s="4">
        <f t="shared" si="2"/>
        <v>-291632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0.32102606720133586</v>
      </c>
      <c r="I7" s="17">
        <f>IF(OR(ISBLANK(Q7),ISBLANK(F7)),"·",Q7*F7/E7/1000000)</f>
        <v>306.50913000000003</v>
      </c>
      <c r="J7" s="18">
        <f>IF(ISBLANK(Q7),"·",Q7/C7)</f>
        <v>9.6307820160400759</v>
      </c>
      <c r="K7" s="18">
        <f>IF(N7="","·",N7/C7)</f>
        <v>1.4772327259228442</v>
      </c>
      <c r="L7" s="18">
        <f>IF(R7="","·",R7/C7)</f>
        <v>1.3633168509294205</v>
      </c>
      <c r="M7" s="18">
        <f>IF(ISBLANK(T7),"·",T7/C7)</f>
        <v>8.1534738800410675</v>
      </c>
      <c r="N7" s="15">
        <f>IF(OR(ISBLANK(R7),ISBLANK(S7)),"",R7+S7)</f>
        <v>50148680</v>
      </c>
      <c r="O7" s="18">
        <f>IF(ISBLANK(Q7),"·",Q7/P7)</f>
        <v>9.6307820160400759</v>
      </c>
      <c r="P7" s="19">
        <v>33947718</v>
      </c>
      <c r="Q7" s="20">
        <v>326943072</v>
      </c>
      <c r="R7" s="20">
        <v>46281496</v>
      </c>
      <c r="S7" s="20">
        <v>3867184</v>
      </c>
      <c r="T7" s="20">
        <v>276791832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9484.56</v>
      </c>
      <c r="AA7" s="22">
        <v>10463.1</v>
      </c>
      <c r="AB7" s="22">
        <v>5.8559999999999999</v>
      </c>
      <c r="AC7" s="22">
        <v>37.892000000000003</v>
      </c>
      <c r="AD7" s="22">
        <v>34.671999999999997</v>
      </c>
      <c r="AE7" s="23">
        <f>IF(ISBLANK(AN7),"·",AN7/(C7*D7*3))</f>
        <v>0.32038578066818313</v>
      </c>
      <c r="AF7" s="17">
        <f>IF(OR(ISBLANK(AN7),ISBLANK(F7)),"·",AN7*F7/E7/1000000)</f>
        <v>305.89779750000002</v>
      </c>
      <c r="AG7" s="18">
        <f>IF(ISBLANK(AN7),"·",AN7/C7)</f>
        <v>9.6115734200454952</v>
      </c>
      <c r="AH7" s="18">
        <f>IF(AK7="","·",AK7/C7)</f>
        <v>1.4742599193265362</v>
      </c>
      <c r="AI7" s="18">
        <f>IF(AO7="","·",AO7/C7)</f>
        <v>1.3618378708106389</v>
      </c>
      <c r="AJ7" s="18">
        <f>IF(ISBLANK(AQ7),"·",AQ7/C7)</f>
        <v>8.1372380906427946</v>
      </c>
      <c r="AK7" s="15">
        <f>IF(OR(ISBLANK(AO7),ISBLANK(AP7)),"",AO7+AP7)</f>
        <v>50047760</v>
      </c>
      <c r="AL7" s="18">
        <f>IF(ISBLANK(AN7),"·",AN7/AM7)</f>
        <v>9.6115734200454952</v>
      </c>
      <c r="AM7" s="19">
        <v>33947718</v>
      </c>
      <c r="AN7" s="20">
        <v>326290984</v>
      </c>
      <c r="AO7" s="20">
        <v>46231288</v>
      </c>
      <c r="AP7" s="20">
        <v>3816472</v>
      </c>
      <c r="AQ7" s="20">
        <v>276240664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6849.25</v>
      </c>
      <c r="AX7" s="22">
        <v>11284</v>
      </c>
      <c r="AY7" s="22">
        <v>5.4880000000000004</v>
      </c>
      <c r="AZ7" s="22">
        <v>37.776000000000003</v>
      </c>
      <c r="BB7" s="24">
        <f t="shared" si="0"/>
        <v>0.99800549986879683</v>
      </c>
      <c r="BC7" s="24">
        <f t="shared" si="1"/>
        <v>0.99891516039153094</v>
      </c>
      <c r="BD7" s="24">
        <f t="shared" si="1"/>
        <v>0.99800872736735979</v>
      </c>
      <c r="BE7" s="23">
        <f>(AK7/AN7) - (N7/Q7)</f>
        <v>-2.7535273862400178E-6</v>
      </c>
      <c r="BF7" s="23">
        <f t="array" ref="BF7">AVERAGE(AK7:AK7/AN7:AN7) - AVERAGE(N7:N7/Q7:Q7)</f>
        <v>-2.7535273862400178E-6</v>
      </c>
      <c r="BH7" s="4">
        <f t="shared" si="3"/>
        <v>0</v>
      </c>
      <c r="BI7" s="4">
        <f t="shared" si="2"/>
        <v>-652088</v>
      </c>
      <c r="BJ7" s="4">
        <f t="shared" si="2"/>
        <v>-50208</v>
      </c>
      <c r="BK7" s="4">
        <f t="shared" si="2"/>
        <v>-50712</v>
      </c>
      <c r="BL7" s="4">
        <f t="shared" si="2"/>
        <v>-551168</v>
      </c>
    </row>
    <row r="8" spans="1:64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0.2407559334534278</v>
      </c>
      <c r="I8" s="47">
        <f>IF(OR(ISBLANK(Q8),ISBLANK(F8)),"·",Q8*F8/E8/1000000)</f>
        <v>363.49981250000002</v>
      </c>
      <c r="J8" s="48">
        <f>IF(ISBLANK(Q8),"·",Q8/C8)</f>
        <v>7.2226780036028337</v>
      </c>
      <c r="K8" s="48">
        <f>IF(N8="","·",N8/C8)</f>
        <v>0.88901177824293176</v>
      </c>
      <c r="L8" s="48">
        <f>IF(R8="","·",R8/C8)</f>
        <v>0.78847070735928371</v>
      </c>
      <c r="M8" s="48">
        <f>IF(ISBLANK(T8),"·",T8/C8)</f>
        <v>6.3335867460561426</v>
      </c>
      <c r="N8" s="45">
        <f>IF(OR(ISBLANK(R8),ISBLANK(S8)),"",R8+S8)</f>
        <v>28634752</v>
      </c>
      <c r="O8" s="48">
        <f>IF(ISBLANK(Q8),"·",Q8/P8)</f>
        <v>7.2226780036028337</v>
      </c>
      <c r="P8" s="49">
        <v>32209643</v>
      </c>
      <c r="Q8" s="50">
        <v>232639880</v>
      </c>
      <c r="R8" s="50">
        <v>25396360</v>
      </c>
      <c r="S8" s="50">
        <v>3238392</v>
      </c>
      <c r="T8" s="50">
        <v>204002568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9460.58</v>
      </c>
      <c r="AA8" s="52">
        <v>6561.79</v>
      </c>
      <c r="AB8" s="52">
        <v>3.74</v>
      </c>
      <c r="AC8" s="52">
        <v>22.391999999999999</v>
      </c>
      <c r="AD8" s="52">
        <v>26.904</v>
      </c>
      <c r="AE8" s="53">
        <f>IF(ISBLANK(AN8),"·",AN8/(C8*D8*3))</f>
        <v>0.23981864892655491</v>
      </c>
      <c r="AF8" s="47">
        <f>IF(OR(ISBLANK(AN8),ISBLANK(F8)),"·",AN8*F8/E8/1000000)</f>
        <v>362.084675</v>
      </c>
      <c r="AG8" s="48">
        <f>IF(ISBLANK(AN8),"·",AN8/C8)</f>
        <v>7.1945594677966467</v>
      </c>
      <c r="AH8" s="48">
        <f>IF(AK8="","·",AK8/C8)</f>
        <v>0.88815066966125644</v>
      </c>
      <c r="AI8" s="48">
        <f>IF(AO8="","·",AO8/C8)</f>
        <v>0.78756787214313428</v>
      </c>
      <c r="AJ8" s="48">
        <f>IF(ISBLANK(AQ8),"·",AQ8/C8)</f>
        <v>6.3063293188316303</v>
      </c>
      <c r="AK8" s="45">
        <f>IF(OR(ISBLANK(AO8),ISBLANK(AP8)),"",AO8+AP8)</f>
        <v>28607016</v>
      </c>
      <c r="AL8" s="48">
        <f>IF(ISBLANK(AN8),"·",AN8/AM8)</f>
        <v>7.1945594677966467</v>
      </c>
      <c r="AM8" s="49">
        <v>32209643</v>
      </c>
      <c r="AN8" s="50">
        <v>231734192</v>
      </c>
      <c r="AO8" s="50">
        <v>25367280</v>
      </c>
      <c r="AP8" s="50">
        <v>3239736</v>
      </c>
      <c r="AQ8" s="50">
        <v>203124616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5348.68</v>
      </c>
      <c r="AX8" s="52">
        <v>7089.16</v>
      </c>
      <c r="AY8" s="52">
        <v>3.3719999999999999</v>
      </c>
      <c r="AZ8" s="52">
        <v>21.995999999999999</v>
      </c>
      <c r="BB8" s="54">
        <f t="shared" si="0"/>
        <v>0.99610690995885998</v>
      </c>
      <c r="BC8" s="54">
        <f t="shared" si="1"/>
        <v>0.99885495401703228</v>
      </c>
      <c r="BD8" s="54">
        <f t="shared" si="1"/>
        <v>0.99569636790062355</v>
      </c>
      <c r="BE8" s="53">
        <f>(AK8/AN8) - (N8/Q8)</f>
        <v>3.6136949458762113E-4</v>
      </c>
      <c r="BF8" s="53">
        <f t="array" ref="BF8">AVERAGE(AK8:AK8/AN8:AN8) - AVERAGE(N8:N8/Q8:Q8)</f>
        <v>3.6136949458762113E-4</v>
      </c>
      <c r="BH8" s="4">
        <f t="shared" si="3"/>
        <v>0</v>
      </c>
      <c r="BI8" s="4">
        <f t="shared" si="2"/>
        <v>-905688</v>
      </c>
      <c r="BJ8" s="4">
        <f t="shared" si="2"/>
        <v>-29080</v>
      </c>
      <c r="BK8" s="4">
        <f t="shared" si="2"/>
        <v>1344</v>
      </c>
      <c r="BL8" s="4">
        <f t="shared" si="2"/>
        <v>-877952</v>
      </c>
    </row>
    <row r="9" spans="1:64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0.49734615529269283</v>
      </c>
      <c r="I9" s="37">
        <f>IF(OR(ISBLANK(Q9),ISBLANK(F9)),"·",Q9*F9/E9/1000000)</f>
        <v>354.06643500000001</v>
      </c>
      <c r="J9" s="38">
        <f>IF(ISBLANK(Q9),"·",Q9/C9)</f>
        <v>14.920384658780785</v>
      </c>
      <c r="K9" s="38">
        <f>IF(N9="","·",N9/C9)</f>
        <v>1.5187229915067741</v>
      </c>
      <c r="L9" s="38">
        <f>IF(R9="","·",R9/C9)</f>
        <v>1.4119364700505777</v>
      </c>
      <c r="M9" s="38">
        <f>IF(ISBLANK(T9),"·",T9/C9)</f>
        <v>13.401560531103955</v>
      </c>
      <c r="N9" s="35">
        <f>IF(OR(ISBLANK(R9),ISBLANK(S9)),"",R9+S9)</f>
        <v>38442536</v>
      </c>
      <c r="O9" s="38">
        <f>IF(ISBLANK(Q9),"·",Q9/P9)</f>
        <v>14.920384658780785</v>
      </c>
      <c r="P9" s="39">
        <v>25312408</v>
      </c>
      <c r="Q9" s="40">
        <v>377670864</v>
      </c>
      <c r="R9" s="40">
        <v>35739512</v>
      </c>
      <c r="S9" s="40">
        <v>2703024</v>
      </c>
      <c r="T9" s="40">
        <v>339225768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7855.11</v>
      </c>
      <c r="AA9" s="42">
        <v>10422.799999999999</v>
      </c>
      <c r="AB9" s="42">
        <v>3.5640000000000001</v>
      </c>
      <c r="AC9" s="42">
        <v>30.692</v>
      </c>
      <c r="AD9" s="42">
        <v>34.74</v>
      </c>
      <c r="AE9" s="43">
        <f>IF(ISBLANK(AN9),"·",AN9/(C9*D9*3))</f>
        <v>0.49728346140227619</v>
      </c>
      <c r="AF9" s="37">
        <f>IF(OR(ISBLANK(AN9),ISBLANK(F9)),"·",AN9*F9/E9/1000000)</f>
        <v>354.02180249999998</v>
      </c>
      <c r="AG9" s="38">
        <f>IF(ISBLANK(AN9),"·",AN9/C9)</f>
        <v>14.918503842068285</v>
      </c>
      <c r="AH9" s="38">
        <f>IF(AK9="","·",AK9/C9)</f>
        <v>1.5232595808348222</v>
      </c>
      <c r="AI9" s="38">
        <f>IF(AO9="","·",AO9/C9)</f>
        <v>1.4141889621880304</v>
      </c>
      <c r="AJ9" s="38">
        <f>IF(ISBLANK(AQ9),"·",AQ9/C9)</f>
        <v>13.395143125063408</v>
      </c>
      <c r="AK9" s="35">
        <f>IF(OR(ISBLANK(AO9),ISBLANK(AP9)),"",AO9+AP9)</f>
        <v>38557368</v>
      </c>
      <c r="AL9" s="38">
        <f>IF(ISBLANK(AN9),"·",AN9/AM9)</f>
        <v>14.918503842068285</v>
      </c>
      <c r="AM9" s="39">
        <v>25312408</v>
      </c>
      <c r="AN9" s="40">
        <v>377623256</v>
      </c>
      <c r="AO9" s="40">
        <v>35796528</v>
      </c>
      <c r="AP9" s="40">
        <v>2760840</v>
      </c>
      <c r="AQ9" s="40">
        <v>339063328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4724.8</v>
      </c>
      <c r="AX9" s="42">
        <v>11589.8</v>
      </c>
      <c r="AY9" s="42">
        <v>3.9159999999999999</v>
      </c>
      <c r="AZ9" s="42">
        <v>35.456000000000003</v>
      </c>
      <c r="BB9" s="44">
        <f t="shared" si="0"/>
        <v>0.9998739431485506</v>
      </c>
      <c r="BC9" s="44">
        <f t="shared" si="1"/>
        <v>1.0015953211672279</v>
      </c>
      <c r="BD9" s="44">
        <f t="shared" si="1"/>
        <v>0.99952114486774479</v>
      </c>
      <c r="BE9" s="43">
        <f>(AK9/AN9) - (N9/Q9)</f>
        <v>3.1692419136890304E-4</v>
      </c>
      <c r="BF9" s="43">
        <f t="array" ref="BF9">AVERAGE(AK9:AK9/AN9:AN9) - AVERAGE(N9:N9/Q9:Q9)</f>
        <v>3.1692419136890304E-4</v>
      </c>
      <c r="BH9" s="4">
        <f t="shared" si="3"/>
        <v>0</v>
      </c>
      <c r="BI9" s="4">
        <f t="shared" si="2"/>
        <v>-47608</v>
      </c>
      <c r="BJ9" s="4">
        <f t="shared" si="2"/>
        <v>57016</v>
      </c>
      <c r="BK9" s="4">
        <f t="shared" si="2"/>
        <v>57816</v>
      </c>
      <c r="BL9" s="4">
        <f t="shared" si="2"/>
        <v>-162440</v>
      </c>
    </row>
    <row r="10" spans="1:64">
      <c r="B10" s="55" t="s">
        <v>286</v>
      </c>
      <c r="J10" s="56">
        <f>AVERAGE(J5:J8)</f>
        <v>9.579554619014905</v>
      </c>
      <c r="K10" s="56">
        <f>AVERAGE(K5:K8)</f>
        <v>1.34815401783255</v>
      </c>
      <c r="L10" s="56">
        <f>AVERAGE(L5:L8)</f>
        <v>1.2371273071841398</v>
      </c>
      <c r="M10" s="56">
        <f>AVERAGE(M5:M8)</f>
        <v>8.2313079921728161</v>
      </c>
      <c r="AG10" s="56">
        <f>AVERAGE(AG5:AG8)</f>
        <v>9.5631038707683729</v>
      </c>
      <c r="AH10" s="56">
        <f>AVERAGE(AH5:AH8)</f>
        <v>1.3480397516700628</v>
      </c>
      <c r="AI10" s="56">
        <f>AVERAGE(AI5:AI8)</f>
        <v>1.2365058998854619</v>
      </c>
      <c r="AJ10" s="56">
        <f>AVERAGE(AJ5:AJ8)</f>
        <v>8.2149715100887715</v>
      </c>
      <c r="BB10" s="5">
        <f t="shared" si="0"/>
        <v>0.99828272305960042</v>
      </c>
      <c r="BC10" s="5">
        <f t="shared" si="1"/>
        <v>0.99949770141272498</v>
      </c>
      <c r="BD10" s="5">
        <f t="shared" si="1"/>
        <v>0.99801532367643409</v>
      </c>
      <c r="BF10" s="8">
        <f>AVERAGE(BF5:BF8)</f>
        <v>2.0210628312949258E-4</v>
      </c>
    </row>
    <row r="11" spans="1:64">
      <c r="B11" s="55" t="s">
        <v>287</v>
      </c>
      <c r="J11" s="56">
        <f>AVERAGE(J9:J9)</f>
        <v>14.920384658780785</v>
      </c>
      <c r="K11" s="56">
        <f>AVERAGE(K9:K9)</f>
        <v>1.5187229915067741</v>
      </c>
      <c r="L11" s="56">
        <f>AVERAGE(L9:L9)</f>
        <v>1.4119364700505777</v>
      </c>
      <c r="M11" s="56">
        <f>AVERAGE(M9:M9)</f>
        <v>13.401560531103955</v>
      </c>
      <c r="AG11" s="56">
        <f>AVERAGE(AG9:AG9)</f>
        <v>14.918503842068285</v>
      </c>
      <c r="AH11" s="56">
        <f>AVERAGE(AH9:AH9)</f>
        <v>1.5232595808348222</v>
      </c>
      <c r="AI11" s="56">
        <f>AVERAGE(AI9:AI9)</f>
        <v>1.4141889621880304</v>
      </c>
      <c r="AJ11" s="56">
        <f>AVERAGE(AJ9:AJ9)</f>
        <v>13.395143125063408</v>
      </c>
      <c r="BB11" s="5">
        <f t="shared" si="0"/>
        <v>0.9998739431485506</v>
      </c>
      <c r="BC11" s="5">
        <f t="shared" si="1"/>
        <v>1.0015953211672279</v>
      </c>
      <c r="BD11" s="5">
        <f t="shared" si="1"/>
        <v>0.99952114486774479</v>
      </c>
      <c r="BF11" s="8">
        <f>AVERAGE(BF9:BF9)</f>
        <v>3.1692419136890304E-4</v>
      </c>
    </row>
    <row r="12" spans="1:64">
      <c r="B12" s="55" t="s">
        <v>288</v>
      </c>
      <c r="J12" s="56">
        <f>AVERAGE(J5:J9)</f>
        <v>10.647720626968081</v>
      </c>
      <c r="K12" s="56">
        <f>AVERAGE(K5:K9)</f>
        <v>1.3822678125673948</v>
      </c>
      <c r="L12" s="56">
        <f>AVERAGE(L5:L9)</f>
        <v>1.2720891397574274</v>
      </c>
      <c r="M12" s="56">
        <f>AVERAGE(M5:M9)</f>
        <v>9.2653584999590439</v>
      </c>
      <c r="AG12" s="56">
        <f>AVERAGE(AG5:AG9)</f>
        <v>10.634183865028355</v>
      </c>
      <c r="AH12" s="56">
        <f>AVERAGE(AH5:AH9)</f>
        <v>1.3830837175030148</v>
      </c>
      <c r="AI12" s="56">
        <f>AVERAGE(AI5:AI9)</f>
        <v>1.2720425123459755</v>
      </c>
      <c r="AJ12" s="56">
        <f>AVERAGE(AJ5:AJ9)</f>
        <v>9.2510058330836991</v>
      </c>
      <c r="AN12" s="4"/>
      <c r="BB12" s="5">
        <f t="shared" si="0"/>
        <v>0.99872867044375291</v>
      </c>
      <c r="BC12" s="5">
        <f t="shared" si="1"/>
        <v>0.99996334579865942</v>
      </c>
      <c r="BD12" s="5">
        <f t="shared" si="1"/>
        <v>0.99845093237618288</v>
      </c>
      <c r="BF12" s="8">
        <f>AVERAGE(BF5:BF9)</f>
        <v>2.2506986477737468E-4</v>
      </c>
    </row>
    <row r="13" spans="1:64" outlineLevel="2">
      <c r="A13" s="55" t="s">
        <v>289</v>
      </c>
      <c r="B13" s="55" t="s">
        <v>290</v>
      </c>
      <c r="Z13" s="57">
        <f>SUM(Z5:Z8,Z9:Z9)</f>
        <v>40056.03</v>
      </c>
      <c r="AA13" s="57">
        <f>SUM(AA5:AA8,AA9:AA9)</f>
        <v>44405.009999999995</v>
      </c>
      <c r="AB13" s="57">
        <f>SUM(AB5:AB8,AB9:AB9)</f>
        <v>20.143999999999998</v>
      </c>
      <c r="AC13" s="57">
        <f>SUM(AC5:AC8,AC9:AC9)</f>
        <v>137.06</v>
      </c>
      <c r="AN13" s="4"/>
      <c r="AW13" s="57">
        <f>SUM(AW5:AW8,AW9:AW9)</f>
        <v>26878.77</v>
      </c>
      <c r="AX13" s="57">
        <f>SUM(AX5:AX8,AX9:AX9)</f>
        <v>49633.229999999996</v>
      </c>
      <c r="AY13" s="57">
        <f>SUM(AY5:AY8,AY9:AY9)</f>
        <v>20.292000000000002</v>
      </c>
      <c r="AZ13" s="57">
        <f>SUM(AZ5:AZ8,AZ9:AZ9)</f>
        <v>158.22800000000001</v>
      </c>
    </row>
    <row r="14" spans="1:64" outlineLevel="2">
      <c r="B14" s="55" t="s">
        <v>291</v>
      </c>
      <c r="AN14" s="4"/>
      <c r="AW14" s="8">
        <f>AW13/Z13</f>
        <v>0.67102930570004071</v>
      </c>
      <c r="AX14" s="8">
        <f>AX13/AA13</f>
        <v>1.117739417241433</v>
      </c>
      <c r="AY14" s="8">
        <f>AY13/AB13</f>
        <v>1.0073471008737094</v>
      </c>
      <c r="AZ14" s="8">
        <f>AZ13/AC13</f>
        <v>1.1544433094994893</v>
      </c>
    </row>
    <row r="15" spans="1:64" outlineLevel="2">
      <c r="B15" s="55" t="s">
        <v>292</v>
      </c>
      <c r="Z15" s="57">
        <f>GEOMEAN(Z5:Z8,Z9:Z9)</f>
        <v>7895.3002508306527</v>
      </c>
      <c r="AA15" s="57">
        <f>GEOMEAN(AA5:AA8,AA9:AA9)</f>
        <v>8708.8850066075429</v>
      </c>
      <c r="AB15" s="57">
        <f>GEOMEAN(AB5:AB8,AB9:AB9)</f>
        <v>3.9202680752416201</v>
      </c>
      <c r="AC15" s="57">
        <f>GEOMEAN(AC5:AC8,AC9:AC9)</f>
        <v>26.791955559647914</v>
      </c>
      <c r="AN15" s="4"/>
      <c r="AW15" s="57">
        <f>GEOMEAN(AW5:AW8,AW9:AW9)</f>
        <v>5312.7910296927021</v>
      </c>
      <c r="AX15" s="57">
        <f>GEOMEAN(AX5:AX8,AX9:AX9)</f>
        <v>9735.6055350490333</v>
      </c>
      <c r="AY15" s="57">
        <f>GEOMEAN(AY5:AY8,AY9:AY9)</f>
        <v>3.9985365894708034</v>
      </c>
      <c r="AZ15" s="57">
        <f>GEOMEAN(AZ5:AZ8,AZ9:AZ9)</f>
        <v>31.062504342151051</v>
      </c>
    </row>
    <row r="16" spans="1:64" outlineLevel="2" collapsed="1">
      <c r="B16" s="55" t="s">
        <v>293</v>
      </c>
      <c r="AN16" s="4"/>
      <c r="AW16" s="8">
        <f>AW15/Z15</f>
        <v>0.67290550845533093</v>
      </c>
      <c r="AX16" s="8">
        <f>AX15/AA15</f>
        <v>1.1178934533711842</v>
      </c>
      <c r="AY16" s="8">
        <f>AY15/AB15</f>
        <v>1.019965092367914</v>
      </c>
      <c r="AZ16" s="8">
        <f>AZ15/AC15</f>
        <v>1.1593966805818059</v>
      </c>
    </row>
    <row r="17" spans="17:43">
      <c r="Q17" s="4"/>
      <c r="R17" s="4"/>
      <c r="S17" s="4"/>
      <c r="T17" s="4"/>
      <c r="AN17" s="4"/>
      <c r="AP17" s="4"/>
      <c r="AQ17" s="4"/>
    </row>
    <row r="18" spans="17:43">
      <c r="Q18" s="4"/>
      <c r="R18" s="4"/>
      <c r="S18" s="4"/>
      <c r="T18" s="4"/>
      <c r="AN18" s="4"/>
      <c r="AO18" s="4"/>
      <c r="AP18" s="4"/>
      <c r="AQ18" s="4"/>
    </row>
    <row r="19" spans="17:43">
      <c r="Q19" s="4"/>
      <c r="R19" s="4"/>
      <c r="S19" s="4"/>
      <c r="T19" s="4"/>
      <c r="AN19" s="4"/>
      <c r="AO19" s="4"/>
      <c r="AP19" s="4"/>
      <c r="AQ19" s="4"/>
    </row>
    <row r="20" spans="17:43">
      <c r="Q20" s="4"/>
      <c r="R20" s="4"/>
      <c r="S20" s="4"/>
      <c r="T20" s="4"/>
      <c r="AN20" s="4"/>
      <c r="AO20" s="4"/>
      <c r="AP20" s="4"/>
      <c r="AQ20" s="4"/>
    </row>
    <row r="21" spans="17:43">
      <c r="Q21" s="4"/>
      <c r="R21" s="4"/>
      <c r="S21" s="4"/>
      <c r="T21" s="4"/>
      <c r="AN21" s="4"/>
      <c r="AO21" s="4"/>
      <c r="AP21" s="4"/>
      <c r="AQ21" s="4"/>
    </row>
    <row r="22" spans="17:43">
      <c r="AN22" s="4"/>
      <c r="AO22" s="4"/>
      <c r="AP22" s="4"/>
      <c r="AQ22" s="4"/>
    </row>
    <row r="23" spans="17:43">
      <c r="AN23" s="4"/>
      <c r="AO23" s="4"/>
      <c r="AP23" s="4"/>
      <c r="AQ23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tabSelected="1" zoomScale="85" zoomScaleNormal="85" workbookViewId="0">
      <pane xSplit="2" topLeftCell="BE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526</v>
      </c>
      <c r="B1" s="74"/>
      <c r="C1" s="74"/>
      <c r="D1" s="74"/>
      <c r="E1" s="74"/>
      <c r="F1" s="74"/>
      <c r="G1" s="74"/>
      <c r="I1" s="62" t="s">
        <v>547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549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91</v>
      </c>
      <c r="B2" s="72" t="s">
        <v>94</v>
      </c>
      <c r="C2" s="71" t="s">
        <v>97</v>
      </c>
      <c r="D2" s="72" t="s">
        <v>100</v>
      </c>
      <c r="E2" s="71" t="s">
        <v>103</v>
      </c>
      <c r="F2" s="72" t="s">
        <v>106</v>
      </c>
      <c r="G2" s="71" t="s">
        <v>109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2" t="s">
        <v>24</v>
      </c>
      <c r="R2" s="71" t="s">
        <v>20</v>
      </c>
      <c r="S2" s="70" t="s">
        <v>140</v>
      </c>
      <c r="T2" s="70"/>
      <c r="U2" s="70"/>
      <c r="V2" s="70"/>
      <c r="W2" s="73" t="s">
        <v>151</v>
      </c>
      <c r="X2" s="73"/>
      <c r="Y2" s="70" t="s">
        <v>158</v>
      </c>
      <c r="Z2" s="70"/>
      <c r="AA2" s="70"/>
      <c r="AB2" s="73" t="s">
        <v>168</v>
      </c>
      <c r="AC2" s="73"/>
      <c r="AD2" s="70" t="s">
        <v>175</v>
      </c>
      <c r="AE2" s="70"/>
      <c r="AG2" s="71" t="s">
        <v>112</v>
      </c>
      <c r="AH2" s="70" t="s">
        <v>115</v>
      </c>
      <c r="AI2" s="70"/>
      <c r="AJ2" s="70"/>
      <c r="AK2" s="70"/>
      <c r="AL2" s="72" t="s">
        <v>190</v>
      </c>
      <c r="AM2" s="71" t="s">
        <v>131</v>
      </c>
      <c r="AN2" s="72" t="s">
        <v>22</v>
      </c>
      <c r="AO2" s="71" t="s">
        <v>24</v>
      </c>
      <c r="AP2" s="72" t="s">
        <v>20</v>
      </c>
      <c r="AQ2" s="73" t="s">
        <v>140</v>
      </c>
      <c r="AR2" s="73"/>
      <c r="AS2" s="73"/>
      <c r="AT2" s="73"/>
      <c r="AU2" s="70" t="s">
        <v>151</v>
      </c>
      <c r="AV2" s="70"/>
      <c r="AW2" s="73" t="s">
        <v>158</v>
      </c>
      <c r="AX2" s="73"/>
      <c r="AY2" s="73"/>
      <c r="AZ2" s="70" t="s">
        <v>168</v>
      </c>
      <c r="BA2" s="70"/>
      <c r="BB2" s="73" t="s">
        <v>175</v>
      </c>
      <c r="BC2" s="73"/>
      <c r="BE2" s="72" t="s">
        <v>227</v>
      </c>
      <c r="BF2" s="71" t="s">
        <v>230</v>
      </c>
      <c r="BG2" s="72" t="s">
        <v>230</v>
      </c>
      <c r="BI2" s="73" t="s">
        <v>235</v>
      </c>
      <c r="BJ2" s="73"/>
      <c r="BK2" s="70" t="s">
        <v>240</v>
      </c>
      <c r="BL2" s="70"/>
      <c r="BM2" s="70"/>
      <c r="BO2" s="73" t="s">
        <v>247</v>
      </c>
      <c r="BP2" s="73"/>
      <c r="BQ2" s="70" t="s">
        <v>252</v>
      </c>
      <c r="BR2" s="70"/>
      <c r="BS2" s="70"/>
      <c r="BU2" s="72" t="s">
        <v>22</v>
      </c>
      <c r="BV2" s="71" t="s">
        <v>24</v>
      </c>
      <c r="BW2" s="72" t="s">
        <v>20</v>
      </c>
      <c r="BX2" s="73" t="s">
        <v>140</v>
      </c>
      <c r="BY2" s="73"/>
      <c r="BZ2" s="73"/>
      <c r="CA2" s="73"/>
      <c r="CB2" s="70" t="s">
        <v>151</v>
      </c>
      <c r="CC2" s="70"/>
      <c r="CD2" s="73" t="s">
        <v>158</v>
      </c>
      <c r="CE2" s="73"/>
      <c r="CF2" s="73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72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1"/>
      <c r="AN3" s="72"/>
      <c r="AO3" s="71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1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2"/>
      <c r="BV3" s="71"/>
      <c r="BW3" s="72"/>
      <c r="BX3" s="59" t="s">
        <v>116</v>
      </c>
      <c r="BY3" s="59" t="s">
        <v>122</v>
      </c>
      <c r="BZ3" s="59" t="s">
        <v>145</v>
      </c>
      <c r="CA3" s="59" t="s">
        <v>148</v>
      </c>
      <c r="CB3" s="60" t="s">
        <v>152</v>
      </c>
      <c r="CC3" s="60" t="s">
        <v>155</v>
      </c>
      <c r="CD3" s="59" t="s">
        <v>159</v>
      </c>
      <c r="CE3" s="59" t="s">
        <v>162</v>
      </c>
      <c r="CF3" s="59" t="s">
        <v>165</v>
      </c>
    </row>
    <row r="4" spans="1:84" ht="123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1.2289049999999999</v>
      </c>
      <c r="J5" s="18">
        <f t="shared" ref="J5:J29" si="1">IF(ISBLANK(S5),"·",S5/D5)</f>
        <v>5.2508175561293606E-2</v>
      </c>
      <c r="K5" s="18">
        <f t="shared" ref="K5:K29" si="2">IF(N5="","·",N5/D5)</f>
        <v>4.3744956055519348E-2</v>
      </c>
      <c r="L5" s="18">
        <f t="shared" ref="L5:L29" si="3">IF(T5="","·",T5/D5)</f>
        <v>2.6164359796238962E-2</v>
      </c>
      <c r="M5" s="18">
        <f t="shared" ref="M5:M29" si="4">IF(ISBLANK(V5),"·",V5/D5)</f>
        <v>8.7433511663696627E-3</v>
      </c>
      <c r="N5" s="15">
        <f t="shared" ref="N5:N29" si="5">IF(OR(ISBLANK(T5),ISBLANK(U5)),"",T5+U5)</f>
        <v>1092064</v>
      </c>
      <c r="O5" s="18">
        <f t="shared" ref="O5:O29" si="6">IF(ISBLANK(S5),"·",S5/P5)</f>
        <v>5.6279470812434951E-2</v>
      </c>
      <c r="P5" s="19">
        <v>23291477</v>
      </c>
      <c r="Q5" s="19">
        <v>727858.65625</v>
      </c>
      <c r="R5" s="19">
        <v>16263.4375</v>
      </c>
      <c r="S5" s="20">
        <v>1310832</v>
      </c>
      <c r="T5" s="20">
        <v>653176</v>
      </c>
      <c r="U5" s="20">
        <v>438888</v>
      </c>
      <c r="V5" s="20">
        <v>218272</v>
      </c>
      <c r="W5" s="21">
        <v>66.755174999999994</v>
      </c>
      <c r="X5" s="21">
        <v>68.482021874999901</v>
      </c>
      <c r="Y5" s="21">
        <v>31.711881249999902</v>
      </c>
      <c r="Z5" s="21">
        <v>44.206637499999999</v>
      </c>
      <c r="AA5" s="21">
        <v>43.811549999999997</v>
      </c>
      <c r="AB5" s="22">
        <v>10826.7</v>
      </c>
      <c r="AC5" s="22">
        <v>3990.43</v>
      </c>
      <c r="AD5" s="22">
        <v>6.6120000000000001</v>
      </c>
      <c r="AE5" s="22">
        <v>21.46</v>
      </c>
      <c r="AG5" s="17">
        <f t="shared" ref="AG5:AG29" si="7">IF(OR(ISBLANK(AQ5),ISBLANK(G5)),"·",AQ5*G5/F5/1000000)</f>
        <v>1.1904375</v>
      </c>
      <c r="AH5" s="18">
        <f t="shared" ref="AH5:AH29" si="8">IF(ISBLANK(AQ5),"·",AQ5/D5)</f>
        <v>5.0864551161194281E-2</v>
      </c>
      <c r="AI5" s="18">
        <f t="shared" ref="AI5:AI29" si="9">IF(AL5="","·",AL5/D5)</f>
        <v>4.3838849982060411E-2</v>
      </c>
      <c r="AJ5" s="18">
        <f t="shared" ref="AJ5:AJ29" si="10">IF(AR5="","·",AR5/D5)</f>
        <v>2.7386583126708611E-2</v>
      </c>
      <c r="AK5" s="18">
        <f t="shared" ref="AK5:AK29" si="11">IF(ISBLANK(AT5),"·",AT5/D5)</f>
        <v>7.0058328397292766E-3</v>
      </c>
      <c r="AL5" s="15">
        <f t="shared" ref="AL5:AL29" si="12">IF(OR(ISBLANK(AR5),ISBLANK(AS5)),"",AR5+AS5)</f>
        <v>1094408</v>
      </c>
      <c r="AM5" s="18">
        <f t="shared" ref="AM5:AM29" si="13">IF(ISBLANK(AQ5),"·",AQ5/AN5)</f>
        <v>5.4571450587631548E-2</v>
      </c>
      <c r="AN5" s="19">
        <v>23268577</v>
      </c>
      <c r="AO5" s="19">
        <v>727143.03125</v>
      </c>
      <c r="AP5" s="19">
        <v>16649.3125</v>
      </c>
      <c r="AQ5" s="20">
        <v>1269800</v>
      </c>
      <c r="AR5" s="20">
        <v>683688</v>
      </c>
      <c r="AS5" s="20">
        <v>410720</v>
      </c>
      <c r="AT5" s="20">
        <v>174896</v>
      </c>
      <c r="AU5" s="21">
        <v>66.766971874999996</v>
      </c>
      <c r="AV5" s="21">
        <v>68.47661875</v>
      </c>
      <c r="AW5" s="21">
        <v>31.750253124999901</v>
      </c>
      <c r="AX5" s="21">
        <v>44.504037499999903</v>
      </c>
      <c r="AY5" s="21">
        <v>43.950334374999997</v>
      </c>
      <c r="AZ5" s="22">
        <v>7539.66</v>
      </c>
      <c r="BA5" s="22">
        <v>4535.33</v>
      </c>
      <c r="BB5" s="22">
        <v>7.032</v>
      </c>
      <c r="BC5" s="22">
        <v>25.135999999999999</v>
      </c>
      <c r="BE5" s="23">
        <f t="shared" ref="BE5:BE29" si="14">(AP5/AO5) - (R5/Q5)</f>
        <v>5.5266305068309846E-4</v>
      </c>
      <c r="BF5" s="23">
        <f t="shared" ref="BF5:BF29" si="15">(AL5/AQ5) - (N5/S5)</f>
        <v>2.8766788364541385E-2</v>
      </c>
      <c r="BG5" s="23">
        <f t="array" ref="BG5">AVERAGE(AL5:AL9/AQ5:AQ9) - AVERAGE(N5:N9/S5:S9)</f>
        <v>2.4594561492933931E-2</v>
      </c>
      <c r="BI5" s="24">
        <f>IF( OR(ISBLANK(N5:N9),ISBLANK(AL5:AL9), ISBLANK(W5:W9),ISBLANK(AU5:AU9)), "·", bdRateExtend( N5:N9,W5:W9, AL5:AL9,AU5:AU9))</f>
        <v>3.2390343286006207E-3</v>
      </c>
      <c r="BJ5" s="24">
        <f>IF( OR(ISBLANK(N5:N9),ISBLANK(AL5:AL9), ISBLANK(X5:X9),ISBLANK(AV5:AV9)), "·", bdRateExtend( N5:N9,X5:X9, AL5:AL9,AV5:AV9))</f>
        <v>1.9861988754417137E-3</v>
      </c>
      <c r="BK5" s="24">
        <f>IF( OR(ISBLANK(V5:V9),ISBLANK(AT5:AT9), ISBLANK(Y5:Y9),ISBLANK(AW5:AW9)), "·", bdRateExtend( V5:V9,Y5:Y9, AT5:AT9,AW5:AW9))</f>
        <v>-0.1355844401033105</v>
      </c>
      <c r="BL5" s="24">
        <f>IF( OR(ISBLANK(V5:V9),ISBLANK(AT5:AT9), ISBLANK(Z5:Z9),ISBLANK(AX5:AX9)), "·", bdRateExtend( V5:V9,Z5:Z9, AT5:AT9,AX5:AX9))</f>
        <v>-0.14742614160079781</v>
      </c>
      <c r="BM5" s="24">
        <f>IF( OR(ISBLANK(V5:V9),ISBLANK(AT5:AT9), ISBLANK(AA5:AA9),ISBLANK(AY5:AY9)), "·", bdRateExtend( V5:V9,AA5:AA9, AT5:AT9,AY5:AY9))</f>
        <v>-0.1961805502023598</v>
      </c>
      <c r="BO5" s="24">
        <f>IF( OR(ISBLANK(S5:S9),ISBLANK(AQ5:AQ9), ISBLANK(W5:W9),ISBLANK(AU5:AU9)), "·", bdRateExtend( S5:S9,W5:W9, AQ5:AQ9,AU5:AU9))</f>
        <v>-3.2896981677239645E-2</v>
      </c>
      <c r="BP5" s="24">
        <f>IF( OR(ISBLANK(S5:S9),ISBLANK(AQ5:AQ9), ISBLANK(X5:X9),ISBLANK(AV5:AV9)), "·", bdRateExtend( S5:S9,X5:X9, AQ5:AQ9,AV5:AV9))</f>
        <v>-3.4946273540138462E-2</v>
      </c>
      <c r="BQ5" s="24">
        <f>IF( OR(ISBLANK(S5:S9),ISBLANK(AQ5:AQ9), ISBLANK(Y5:Y9),ISBLANK(AW5:AW9)), "·", bdRateExtend( S5:S9,Y5:Y9, AQ5:AQ9,AW5:AW9))</f>
        <v>-4.1184223183633906E-2</v>
      </c>
      <c r="BR5" s="24">
        <f>IF( OR(ISBLANK(S5:S9),ISBLANK(AQ5:AQ9), ISBLANK(Z5:Z9),ISBLANK(AX5:AX9)), "·", bdRateExtend( S5:S9,Z5:Z9, AQ5:AQ9,AX5:AX9))</f>
        <v>-5.0188319158310568E-2</v>
      </c>
      <c r="BS5" s="24">
        <f>IF( OR(ISBLANK(S5:S9),ISBLANK(AQ5:AQ9), ISBLANK(AA5:AA9),ISBLANK(AY5:AY9)), "·", bdRateExtend( S5:S9,AA5:AA9, AQ5:AQ9,AY5:AY9))</f>
        <v>-8.2207861743253896E-2</v>
      </c>
      <c r="BU5">
        <f>AN5-P5</f>
        <v>-22900</v>
      </c>
      <c r="BV5" s="4">
        <f t="shared" ref="BV5:CF20" si="16">AO5-Q5</f>
        <v>-715.625</v>
      </c>
      <c r="BW5" s="4">
        <f t="shared" si="16"/>
        <v>385.875</v>
      </c>
      <c r="BX5" s="4">
        <f t="shared" si="16"/>
        <v>-41032</v>
      </c>
      <c r="BY5" s="4">
        <f t="shared" si="16"/>
        <v>30512</v>
      </c>
      <c r="BZ5" s="4">
        <f t="shared" si="16"/>
        <v>-28168</v>
      </c>
      <c r="CA5" s="4">
        <f t="shared" si="16"/>
        <v>-43376</v>
      </c>
      <c r="CB5" s="4">
        <f t="shared" si="16"/>
        <v>1.1796875000001705E-2</v>
      </c>
      <c r="CC5" s="4">
        <f t="shared" si="16"/>
        <v>-5.4031249999013653E-3</v>
      </c>
      <c r="CD5" s="4">
        <f t="shared" si="16"/>
        <v>3.8371874999999278E-2</v>
      </c>
      <c r="CE5" s="4">
        <f t="shared" si="16"/>
        <v>0.29739999999990374</v>
      </c>
      <c r="CF5" s="4">
        <f t="shared" si="16"/>
        <v>0.13878437500000018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1.59093</v>
      </c>
      <c r="J6" s="28">
        <f t="shared" si="1"/>
        <v>6.7976639159030877E-2</v>
      </c>
      <c r="K6" s="28">
        <f t="shared" si="2"/>
        <v>5.2830234933900315E-2</v>
      </c>
      <c r="L6" s="28">
        <f t="shared" si="3"/>
        <v>3.5249638674619929E-2</v>
      </c>
      <c r="M6" s="28">
        <f t="shared" si="4"/>
        <v>1.5126535885725965E-2</v>
      </c>
      <c r="N6" s="25">
        <f t="shared" si="5"/>
        <v>1318872</v>
      </c>
      <c r="O6" s="28">
        <f t="shared" si="6"/>
        <v>6.8505104199297909E-2</v>
      </c>
      <c r="P6" s="29">
        <v>24771760</v>
      </c>
      <c r="Q6" s="29">
        <v>774117.5</v>
      </c>
      <c r="R6" s="29">
        <v>20008.375</v>
      </c>
      <c r="S6" s="30">
        <v>1696992</v>
      </c>
      <c r="T6" s="30">
        <v>879984</v>
      </c>
      <c r="U6" s="30">
        <v>438888</v>
      </c>
      <c r="V6" s="30">
        <v>377624</v>
      </c>
      <c r="W6" s="31">
        <v>68.484087499999902</v>
      </c>
      <c r="X6" s="31">
        <v>70.470168749999999</v>
      </c>
      <c r="Y6" s="31">
        <v>33.798806249999998</v>
      </c>
      <c r="Z6" s="31">
        <v>45.365068749999999</v>
      </c>
      <c r="AA6" s="31">
        <v>44.907209374999901</v>
      </c>
      <c r="AB6" s="32">
        <v>11829.6</v>
      </c>
      <c r="AC6" s="32">
        <v>4205.3</v>
      </c>
      <c r="AD6" s="32">
        <v>6.9320000000000004</v>
      </c>
      <c r="AE6" s="32">
        <v>21.812000000000001</v>
      </c>
      <c r="AG6" s="27">
        <f t="shared" si="7"/>
        <v>1.538475</v>
      </c>
      <c r="AH6" s="28">
        <f t="shared" si="8"/>
        <v>6.5735362291357902E-2</v>
      </c>
      <c r="AI6" s="28">
        <f t="shared" si="9"/>
        <v>5.3107430314303108E-2</v>
      </c>
      <c r="AJ6" s="28">
        <f t="shared" si="10"/>
        <v>3.6655163458951312E-2</v>
      </c>
      <c r="AK6" s="28">
        <f t="shared" si="11"/>
        <v>1.2608063637650199E-2</v>
      </c>
      <c r="AL6" s="25">
        <f t="shared" si="12"/>
        <v>1325792</v>
      </c>
      <c r="AM6" s="28">
        <f t="shared" si="13"/>
        <v>6.6296112346911629E-2</v>
      </c>
      <c r="AN6" s="29">
        <v>24753186</v>
      </c>
      <c r="AO6" s="29">
        <v>773537.0625</v>
      </c>
      <c r="AP6" s="29">
        <v>20218.15625</v>
      </c>
      <c r="AQ6" s="30">
        <v>1641040</v>
      </c>
      <c r="AR6" s="30">
        <v>915072</v>
      </c>
      <c r="AS6" s="30">
        <v>410720</v>
      </c>
      <c r="AT6" s="30">
        <v>314752</v>
      </c>
      <c r="AU6" s="31">
        <v>68.507806250000002</v>
      </c>
      <c r="AV6" s="31">
        <v>70.519343750000004</v>
      </c>
      <c r="AW6" s="31">
        <v>33.885043750000001</v>
      </c>
      <c r="AX6" s="31">
        <v>45.440112499999998</v>
      </c>
      <c r="AY6" s="31">
        <v>45.205140624999999</v>
      </c>
      <c r="AZ6" s="32">
        <v>8333.27</v>
      </c>
      <c r="BA6" s="32">
        <v>4851.1000000000004</v>
      </c>
      <c r="BB6" s="32">
        <v>6.1159999999999997</v>
      </c>
      <c r="BC6" s="32">
        <v>22.3</v>
      </c>
      <c r="BE6" s="33">
        <f t="shared" si="14"/>
        <v>2.9059194315246908E-4</v>
      </c>
      <c r="BF6" s="33">
        <f t="shared" si="15"/>
        <v>3.0715216720865968E-2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-18574</v>
      </c>
      <c r="BV6" s="4">
        <f t="shared" si="16"/>
        <v>-580.4375</v>
      </c>
      <c r="BW6" s="4">
        <f t="shared" si="16"/>
        <v>209.78125</v>
      </c>
      <c r="BX6" s="4">
        <f t="shared" si="16"/>
        <v>-55952</v>
      </c>
      <c r="BY6" s="4">
        <f t="shared" si="16"/>
        <v>35088</v>
      </c>
      <c r="BZ6" s="4">
        <f t="shared" si="16"/>
        <v>-28168</v>
      </c>
      <c r="CA6" s="4">
        <f t="shared" si="16"/>
        <v>-62872</v>
      </c>
      <c r="CB6" s="4">
        <f t="shared" si="16"/>
        <v>2.3718750000099931E-2</v>
      </c>
      <c r="CC6" s="4">
        <f t="shared" si="16"/>
        <v>4.9175000000005298E-2</v>
      </c>
      <c r="CD6" s="4">
        <f t="shared" si="16"/>
        <v>8.6237500000002854E-2</v>
      </c>
      <c r="CE6" s="4">
        <f t="shared" si="16"/>
        <v>7.5043749999998965E-2</v>
      </c>
      <c r="CF6" s="4">
        <f t="shared" si="16"/>
        <v>0.29793125000009724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2.1844725</v>
      </c>
      <c r="J7" s="18">
        <f t="shared" si="1"/>
        <v>9.3337292580645326E-2</v>
      </c>
      <c r="K7" s="18">
        <f t="shared" si="2"/>
        <v>6.4598060088988524E-2</v>
      </c>
      <c r="L7" s="18">
        <f t="shared" si="3"/>
        <v>4.7017463829708145E-2</v>
      </c>
      <c r="M7" s="18">
        <f t="shared" si="4"/>
        <v>2.8719364152252208E-2</v>
      </c>
      <c r="N7" s="15">
        <f t="shared" si="5"/>
        <v>1612648</v>
      </c>
      <c r="O7" s="18">
        <f t="shared" si="6"/>
        <v>9.338971789828647E-2</v>
      </c>
      <c r="P7" s="19">
        <v>24950327</v>
      </c>
      <c r="Q7" s="19">
        <v>779697.71875</v>
      </c>
      <c r="R7" s="19">
        <v>21339.03125</v>
      </c>
      <c r="S7" s="20">
        <v>2330104</v>
      </c>
      <c r="T7" s="20">
        <v>1173760</v>
      </c>
      <c r="U7" s="20">
        <v>438888</v>
      </c>
      <c r="V7" s="20">
        <v>716960</v>
      </c>
      <c r="W7" s="21">
        <v>69.813803125000007</v>
      </c>
      <c r="X7" s="21">
        <v>72.148834375000007</v>
      </c>
      <c r="Y7" s="21">
        <v>36.263181250000002</v>
      </c>
      <c r="Z7" s="21">
        <v>46.865137500000003</v>
      </c>
      <c r="AA7" s="21">
        <v>46.592928125</v>
      </c>
      <c r="AB7" s="22">
        <v>11839.8</v>
      </c>
      <c r="AC7" s="22">
        <v>4557.66</v>
      </c>
      <c r="AD7" s="22">
        <v>5.88</v>
      </c>
      <c r="AE7" s="22">
        <v>19.544</v>
      </c>
      <c r="AG7" s="17">
        <f t="shared" si="7"/>
        <v>2.0901225000000001</v>
      </c>
      <c r="AH7" s="18">
        <f t="shared" si="8"/>
        <v>8.9305942424035945E-2</v>
      </c>
      <c r="AI7" s="18">
        <f t="shared" si="9"/>
        <v>6.4151022452385187E-2</v>
      </c>
      <c r="AJ7" s="18">
        <f t="shared" si="10"/>
        <v>4.7698755597033383E-2</v>
      </c>
      <c r="AK7" s="18">
        <f t="shared" si="11"/>
        <v>2.5135051632246171E-2</v>
      </c>
      <c r="AL7" s="15">
        <f t="shared" si="12"/>
        <v>1601488</v>
      </c>
      <c r="AM7" s="18">
        <f t="shared" si="13"/>
        <v>8.942103407600048E-2</v>
      </c>
      <c r="AN7" s="19">
        <v>24932210</v>
      </c>
      <c r="AO7" s="19">
        <v>779131.5625</v>
      </c>
      <c r="AP7" s="19">
        <v>21254.25</v>
      </c>
      <c r="AQ7" s="20">
        <v>2229464</v>
      </c>
      <c r="AR7" s="20">
        <v>1190768</v>
      </c>
      <c r="AS7" s="20">
        <v>410720</v>
      </c>
      <c r="AT7" s="20">
        <v>627480</v>
      </c>
      <c r="AU7" s="21">
        <v>69.800434374999995</v>
      </c>
      <c r="AV7" s="21">
        <v>72.160787499999998</v>
      </c>
      <c r="AW7" s="21">
        <v>36.297334374999899</v>
      </c>
      <c r="AX7" s="21">
        <v>46.908268749999898</v>
      </c>
      <c r="AY7" s="21">
        <v>46.673731250000003</v>
      </c>
      <c r="AZ7" s="22">
        <v>8330.73</v>
      </c>
      <c r="BA7" s="22">
        <v>5094.3</v>
      </c>
      <c r="BB7" s="22">
        <v>7.2359999999999998</v>
      </c>
      <c r="BC7" s="22">
        <v>25.692</v>
      </c>
      <c r="BE7" s="23">
        <f t="shared" si="14"/>
        <v>-8.8927849066753467E-5</v>
      </c>
      <c r="BF7" s="23">
        <f t="shared" si="15"/>
        <v>2.623599694026979E-2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-18117</v>
      </c>
      <c r="BV7" s="4">
        <f t="shared" si="16"/>
        <v>-566.15625</v>
      </c>
      <c r="BW7" s="4">
        <f t="shared" si="16"/>
        <v>-84.78125</v>
      </c>
      <c r="BX7" s="4">
        <f t="shared" si="16"/>
        <v>-100640</v>
      </c>
      <c r="BY7" s="4">
        <f t="shared" si="16"/>
        <v>17008</v>
      </c>
      <c r="BZ7" s="4">
        <f t="shared" si="16"/>
        <v>-28168</v>
      </c>
      <c r="CA7" s="4">
        <f t="shared" si="16"/>
        <v>-89480</v>
      </c>
      <c r="CB7" s="4">
        <f t="shared" si="16"/>
        <v>-1.3368750000012142E-2</v>
      </c>
      <c r="CC7" s="4">
        <f t="shared" si="16"/>
        <v>1.1953124999990905E-2</v>
      </c>
      <c r="CD7" s="4">
        <f t="shared" si="16"/>
        <v>3.4153124999896534E-2</v>
      </c>
      <c r="CE7" s="4">
        <f t="shared" si="16"/>
        <v>4.313124999989526E-2</v>
      </c>
      <c r="CF7" s="4">
        <f t="shared" si="16"/>
        <v>8.0803125000002751E-2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3.5804174999999998</v>
      </c>
      <c r="J8" s="28">
        <f t="shared" si="1"/>
        <v>0.15298268838740825</v>
      </c>
      <c r="K8" s="28">
        <f t="shared" si="2"/>
        <v>9.0028252698519065E-2</v>
      </c>
      <c r="L8" s="28">
        <f t="shared" si="3"/>
        <v>7.2447656439238672E-2</v>
      </c>
      <c r="M8" s="28">
        <f t="shared" si="4"/>
        <v>6.2934567349484605E-2</v>
      </c>
      <c r="N8" s="25">
        <f t="shared" si="5"/>
        <v>2247496</v>
      </c>
      <c r="O8" s="28">
        <f t="shared" si="6"/>
        <v>0.14664121785972381</v>
      </c>
      <c r="P8" s="29">
        <v>26043919</v>
      </c>
      <c r="Q8" s="29">
        <v>813872.46875</v>
      </c>
      <c r="R8" s="29">
        <v>24933.6875</v>
      </c>
      <c r="S8" s="30">
        <v>3819112</v>
      </c>
      <c r="T8" s="30">
        <v>1808608</v>
      </c>
      <c r="U8" s="30">
        <v>438888</v>
      </c>
      <c r="V8" s="30">
        <v>1571120</v>
      </c>
      <c r="W8" s="31">
        <v>70.797706250000005</v>
      </c>
      <c r="X8" s="31">
        <v>73.331156249999907</v>
      </c>
      <c r="Y8" s="31">
        <v>38.726249999999901</v>
      </c>
      <c r="Z8" s="31">
        <v>48.146503125000002</v>
      </c>
      <c r="AA8" s="31">
        <v>48.046862499999897</v>
      </c>
      <c r="AB8" s="32">
        <v>11701.7</v>
      </c>
      <c r="AC8" s="32">
        <v>5049.6099999999997</v>
      </c>
      <c r="AD8" s="32">
        <v>6.6920000000000002</v>
      </c>
      <c r="AE8" s="32">
        <v>22.02</v>
      </c>
      <c r="AG8" s="27">
        <f t="shared" si="7"/>
        <v>3.4670174999999999</v>
      </c>
      <c r="AH8" s="28">
        <f t="shared" si="8"/>
        <v>0.14813737722938491</v>
      </c>
      <c r="AI8" s="28">
        <f t="shared" si="9"/>
        <v>9.0319868647844539E-2</v>
      </c>
      <c r="AJ8" s="28">
        <f t="shared" si="10"/>
        <v>7.3867601792492743E-2</v>
      </c>
      <c r="AK8" s="28">
        <f t="shared" si="11"/>
        <v>5.7797640242135774E-2</v>
      </c>
      <c r="AL8" s="25">
        <f t="shared" si="12"/>
        <v>2254776</v>
      </c>
      <c r="AM8" s="28">
        <f t="shared" si="13"/>
        <v>0.14197060615195006</v>
      </c>
      <c r="AN8" s="29">
        <v>26048716</v>
      </c>
      <c r="AO8" s="29">
        <v>814022.375</v>
      </c>
      <c r="AP8" s="29">
        <v>24825.09375</v>
      </c>
      <c r="AQ8" s="30">
        <v>3698152</v>
      </c>
      <c r="AR8" s="30">
        <v>1844056</v>
      </c>
      <c r="AS8" s="30">
        <v>410720</v>
      </c>
      <c r="AT8" s="30">
        <v>1442880</v>
      </c>
      <c r="AU8" s="31">
        <v>70.796906249999907</v>
      </c>
      <c r="AV8" s="31">
        <v>73.343256249999996</v>
      </c>
      <c r="AW8" s="31">
        <v>38.767596875000002</v>
      </c>
      <c r="AX8" s="31">
        <v>48.188049999999997</v>
      </c>
      <c r="AY8" s="31">
        <v>48.261681249999903</v>
      </c>
      <c r="AZ8" s="32">
        <v>8441.61</v>
      </c>
      <c r="BA8" s="32">
        <v>5450.55</v>
      </c>
      <c r="BB8" s="32">
        <v>7.4640000000000004</v>
      </c>
      <c r="BC8" s="32">
        <v>26.88</v>
      </c>
      <c r="BE8" s="33">
        <f t="shared" si="14"/>
        <v>-1.3904563460561542E-4</v>
      </c>
      <c r="BF8" s="33">
        <f t="shared" si="15"/>
        <v>2.1216902838102181E-2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4797</v>
      </c>
      <c r="BV8" s="4">
        <f t="shared" si="16"/>
        <v>149.90625</v>
      </c>
      <c r="BW8" s="4">
        <f t="shared" si="16"/>
        <v>-108.59375</v>
      </c>
      <c r="BX8" s="4">
        <f t="shared" si="16"/>
        <v>-120960</v>
      </c>
      <c r="BY8" s="4">
        <f t="shared" si="16"/>
        <v>35448</v>
      </c>
      <c r="BZ8" s="4">
        <f t="shared" si="16"/>
        <v>-28168</v>
      </c>
      <c r="CA8" s="4">
        <f t="shared" si="16"/>
        <v>-128240</v>
      </c>
      <c r="CB8" s="4">
        <f t="shared" si="16"/>
        <v>-8.0000000009761152E-4</v>
      </c>
      <c r="CC8" s="4">
        <f t="shared" si="16"/>
        <v>1.210000000008904E-2</v>
      </c>
      <c r="CD8" s="4">
        <f t="shared" si="16"/>
        <v>4.1346875000101591E-2</v>
      </c>
      <c r="CE8" s="4">
        <f t="shared" si="16"/>
        <v>4.1546874999994543E-2</v>
      </c>
      <c r="CF8" s="4">
        <f t="shared" si="16"/>
        <v>0.21481875000000628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7.4982300000000004</v>
      </c>
      <c r="J9" s="38">
        <f t="shared" si="1"/>
        <v>0.32038145929828471</v>
      </c>
      <c r="K9" s="38">
        <f t="shared" si="2"/>
        <v>0.15414947264179735</v>
      </c>
      <c r="L9" s="38">
        <f t="shared" si="3"/>
        <v>0.11731164864315866</v>
      </c>
      <c r="M9" s="38">
        <f t="shared" si="4"/>
        <v>0.16621211831708274</v>
      </c>
      <c r="N9" s="35">
        <f t="shared" si="5"/>
        <v>3848240</v>
      </c>
      <c r="O9" s="38">
        <f t="shared" si="6"/>
        <v>0.31940521655134813</v>
      </c>
      <c r="P9" s="39">
        <v>25040643</v>
      </c>
      <c r="Q9" s="39">
        <v>782520.09375</v>
      </c>
      <c r="R9" s="39">
        <v>7638.71875</v>
      </c>
      <c r="S9" s="40">
        <v>7998112</v>
      </c>
      <c r="T9" s="40">
        <v>2928608</v>
      </c>
      <c r="U9" s="40">
        <v>919632</v>
      </c>
      <c r="V9" s="40">
        <v>4149376</v>
      </c>
      <c r="W9" s="41">
        <v>72.121134374999897</v>
      </c>
      <c r="X9" s="41">
        <v>75.250753125000003</v>
      </c>
      <c r="Y9" s="41">
        <v>41.194781249999998</v>
      </c>
      <c r="Z9" s="41">
        <v>49.626578124999902</v>
      </c>
      <c r="AA9" s="41">
        <v>49.746503124999997</v>
      </c>
      <c r="AB9" s="42">
        <v>10698.4</v>
      </c>
      <c r="AC9" s="42">
        <v>5713.28</v>
      </c>
      <c r="AD9" s="42">
        <v>7.8440000000000003</v>
      </c>
      <c r="AE9" s="42">
        <v>24.571999999999999</v>
      </c>
      <c r="AG9" s="37">
        <f t="shared" si="7"/>
        <v>7.4054099999999998</v>
      </c>
      <c r="AH9" s="38">
        <f t="shared" si="8"/>
        <v>0.3164154823874582</v>
      </c>
      <c r="AI9" s="38">
        <f t="shared" si="9"/>
        <v>0.1573159091201326</v>
      </c>
      <c r="AJ9" s="38">
        <f t="shared" si="10"/>
        <v>0.12181471163208354</v>
      </c>
      <c r="AK9" s="38">
        <f t="shared" si="11"/>
        <v>0.15907970492792098</v>
      </c>
      <c r="AL9" s="35">
        <f t="shared" si="12"/>
        <v>3927288</v>
      </c>
      <c r="AM9" s="38">
        <f t="shared" si="13"/>
        <v>0.3150617098408004</v>
      </c>
      <c r="AN9" s="39">
        <v>25071609</v>
      </c>
      <c r="AO9" s="39">
        <v>783487.78125</v>
      </c>
      <c r="AP9" s="39">
        <v>7630.03125</v>
      </c>
      <c r="AQ9" s="40">
        <v>7899104</v>
      </c>
      <c r="AR9" s="40">
        <v>3041024</v>
      </c>
      <c r="AS9" s="40">
        <v>886264</v>
      </c>
      <c r="AT9" s="40">
        <v>3971320</v>
      </c>
      <c r="AU9" s="41">
        <v>72.119946874999997</v>
      </c>
      <c r="AV9" s="41">
        <v>75.223540624999998</v>
      </c>
      <c r="AW9" s="41">
        <v>41.218456250000003</v>
      </c>
      <c r="AX9" s="41">
        <v>49.643181249999998</v>
      </c>
      <c r="AY9" s="41">
        <v>49.791975000000001</v>
      </c>
      <c r="AZ9" s="42">
        <v>4701.59</v>
      </c>
      <c r="BA9" s="42">
        <v>4924.1899999999996</v>
      </c>
      <c r="BB9" s="42">
        <v>8.0120000000000005</v>
      </c>
      <c r="BC9" s="42">
        <v>29.244</v>
      </c>
      <c r="BE9" s="43">
        <f t="shared" si="14"/>
        <v>-2.3144924584073481E-5</v>
      </c>
      <c r="BF9" s="43">
        <f t="shared" si="15"/>
        <v>1.603790260088972E-2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30966</v>
      </c>
      <c r="BV9" s="4">
        <f t="shared" si="16"/>
        <v>967.6875</v>
      </c>
      <c r="BW9" s="4">
        <f t="shared" si="16"/>
        <v>-8.6875</v>
      </c>
      <c r="BX9" s="4">
        <f t="shared" si="16"/>
        <v>-99008</v>
      </c>
      <c r="BY9" s="4">
        <f t="shared" si="16"/>
        <v>112416</v>
      </c>
      <c r="BZ9" s="4">
        <f t="shared" si="16"/>
        <v>-33368</v>
      </c>
      <c r="CA9" s="4">
        <f t="shared" si="16"/>
        <v>-178056</v>
      </c>
      <c r="CB9" s="4">
        <f t="shared" si="16"/>
        <v>-1.1874999999008651E-3</v>
      </c>
      <c r="CC9" s="4">
        <f t="shared" si="16"/>
        <v>-2.7212500000004525E-2</v>
      </c>
      <c r="CD9" s="4">
        <f t="shared" si="16"/>
        <v>2.3675000000004331E-2</v>
      </c>
      <c r="CE9" s="4">
        <f t="shared" si="16"/>
        <v>1.6603125000095531E-2</v>
      </c>
      <c r="CF9" s="4">
        <f t="shared" si="16"/>
        <v>4.5471875000004047E-2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2.0947049999999998</v>
      </c>
      <c r="J10" s="28">
        <f t="shared" si="1"/>
        <v>9.8626034433602544E-2</v>
      </c>
      <c r="K10" s="28">
        <f t="shared" si="2"/>
        <v>7.1739710310257138E-2</v>
      </c>
      <c r="L10" s="28">
        <f t="shared" si="3"/>
        <v>3.9494695801404286E-2</v>
      </c>
      <c r="M10" s="28">
        <f t="shared" si="4"/>
        <v>2.6864430297717627E-2</v>
      </c>
      <c r="N10" s="25">
        <f t="shared" si="5"/>
        <v>1625248</v>
      </c>
      <c r="O10" s="28">
        <f t="shared" si="6"/>
        <v>0.10679355731943752</v>
      </c>
      <c r="P10" s="29">
        <v>20922161</v>
      </c>
      <c r="Q10" s="29">
        <v>653817.53125</v>
      </c>
      <c r="R10" s="29">
        <v>19494.9375</v>
      </c>
      <c r="S10" s="30">
        <v>2234352</v>
      </c>
      <c r="T10" s="30">
        <v>894744</v>
      </c>
      <c r="U10" s="30">
        <v>730504</v>
      </c>
      <c r="V10" s="30">
        <v>608608</v>
      </c>
      <c r="W10" s="31">
        <v>65.964271874999994</v>
      </c>
      <c r="X10" s="31">
        <v>67.864968750000003</v>
      </c>
      <c r="Y10" s="31">
        <v>31.110006249999898</v>
      </c>
      <c r="Z10" s="31">
        <v>38.609443749999997</v>
      </c>
      <c r="AA10" s="31">
        <v>30.079318749999999</v>
      </c>
      <c r="AB10" s="32">
        <v>12698</v>
      </c>
      <c r="AC10" s="32">
        <v>5640.27</v>
      </c>
      <c r="AD10" s="32">
        <v>6.28</v>
      </c>
      <c r="AE10" s="32">
        <v>27.2</v>
      </c>
      <c r="AG10" s="27">
        <f t="shared" si="7"/>
        <v>2.1631125</v>
      </c>
      <c r="AH10" s="28">
        <f t="shared" si="8"/>
        <v>0.10184689868442386</v>
      </c>
      <c r="AI10" s="28">
        <f t="shared" si="9"/>
        <v>7.4721508110271964E-2</v>
      </c>
      <c r="AJ10" s="28">
        <f t="shared" si="10"/>
        <v>4.2200348897533324E-2</v>
      </c>
      <c r="AK10" s="28">
        <f t="shared" si="11"/>
        <v>2.7103496748524119E-2</v>
      </c>
      <c r="AL10" s="25">
        <f t="shared" si="12"/>
        <v>1692800</v>
      </c>
      <c r="AM10" s="28">
        <f t="shared" si="13"/>
        <v>0.1103229187386202</v>
      </c>
      <c r="AN10" s="29">
        <v>20914240</v>
      </c>
      <c r="AO10" s="29">
        <v>653570</v>
      </c>
      <c r="AP10" s="29">
        <v>19863.8125</v>
      </c>
      <c r="AQ10" s="30">
        <v>2307320</v>
      </c>
      <c r="AR10" s="30">
        <v>956040</v>
      </c>
      <c r="AS10" s="30">
        <v>736760</v>
      </c>
      <c r="AT10" s="30">
        <v>614024</v>
      </c>
      <c r="AU10" s="31">
        <v>65.958334374999893</v>
      </c>
      <c r="AV10" s="31">
        <v>67.848112499999999</v>
      </c>
      <c r="AW10" s="31">
        <v>31.152849999999901</v>
      </c>
      <c r="AX10" s="31">
        <v>38.793331250000001</v>
      </c>
      <c r="AY10" s="31">
        <v>30.164156249999898</v>
      </c>
      <c r="AZ10" s="32">
        <v>6009.51</v>
      </c>
      <c r="BA10" s="32">
        <v>6361.7</v>
      </c>
      <c r="BB10" s="32">
        <v>5.8319999999999999</v>
      </c>
      <c r="BC10" s="32">
        <v>28.643999999999998</v>
      </c>
      <c r="BE10" s="33">
        <f t="shared" si="14"/>
        <v>5.7569298171811917E-4</v>
      </c>
      <c r="BF10" s="33">
        <f t="shared" si="15"/>
        <v>6.2738234605407284E-3</v>
      </c>
      <c r="BG10" s="33">
        <f t="array" ref="BG10">AVERAGE(AL10:AL14/AQ10:AQ14) - AVERAGE(N10:N14/S10:S14)</f>
        <v>4.4911482705601857E-3</v>
      </c>
      <c r="BI10" s="34">
        <f>IF( OR(ISBLANK(N10:N14),ISBLANK(AL10:AL14), ISBLANK(W10:W14),ISBLANK(AU10:AU14)), "·", bdRateExtend( N10:N14,W10:W14, AL10:AL14,AU10:AU14))</f>
        <v>3.8590066049556171E-2</v>
      </c>
      <c r="BJ10" s="34">
        <f>IF( OR(ISBLANK(N10:N14),ISBLANK(AL10:AL14), ISBLANK(X10:X14),ISBLANK(AV10:AV14)), "·", bdRateExtend( N10:N14,X10:X14, AL10:AL14,AV10:AV14))</f>
        <v>3.3935031671268989E-2</v>
      </c>
      <c r="BK10" s="34">
        <f>IF( OR(ISBLANK(V10:V14),ISBLANK(AT10:AT14), ISBLANK(Y10:Y14),ISBLANK(AW10:AW14)), "·", bdRateExtend( V10:V14,Y10:Y14, AT10:AT14,AW10:AW14))</f>
        <v>1.742529071579102E-2</v>
      </c>
      <c r="BL10" s="34">
        <f>IF( OR(ISBLANK(V10:V14),ISBLANK(AT10:AT14), ISBLANK(Z10:Z14),ISBLANK(AX10:AX14)), "·", bdRateExtend( V10:V14,Z10:Z14, AT10:AT14,AX10:AX14))</f>
        <v>-1.5274390902701884E-2</v>
      </c>
      <c r="BM10" s="34">
        <f>IF( OR(ISBLANK(V10:V14),ISBLANK(AT10:AT14), ISBLANK(AA10:AA14),ISBLANK(AY10:AY14)), "·", bdRateExtend( V10:V14,AA10:AA14, AT10:AT14,AY10:AY14))</f>
        <v>1.0407849159723925E-2</v>
      </c>
      <c r="BO10" s="34">
        <f>IF( OR(ISBLANK(S10:S14),ISBLANK(AQ10:AQ14), ISBLANK(W10:W14),ISBLANK(AU10:AU14)), "·", bdRateExtend( S10:S14,W10:W14, AQ10:AQ14,AU10:AU14))</f>
        <v>3.1335359366002624E-2</v>
      </c>
      <c r="BP10" s="34">
        <f>IF( OR(ISBLANK(S10:S14),ISBLANK(AQ10:AQ14), ISBLANK(X10:X14),ISBLANK(AV10:AV14)), "·", bdRateExtend( S10:S14,X10:X14, AQ10:AQ14,AV10:AV14))</f>
        <v>2.4431219433339812E-2</v>
      </c>
      <c r="BQ10" s="34">
        <f>IF( OR(ISBLANK(S10:S14),ISBLANK(AQ10:AQ14), ISBLANK(Y10:Y14),ISBLANK(AW10:AW14)), "·", bdRateExtend( S10:S14,Y10:Y14, AQ10:AQ14,AW10:AW14))</f>
        <v>2.9226248227838925E-2</v>
      </c>
      <c r="BR10" s="34">
        <f>IF( OR(ISBLANK(S10:S14),ISBLANK(AQ10:AQ14), ISBLANK(Z10:Z14),ISBLANK(AX10:AX14)), "·", bdRateExtend( S10:S14,Z10:Z14, AQ10:AQ14,AX10:AX14))</f>
        <v>8.4858109874192955E-3</v>
      </c>
      <c r="BS10" s="34">
        <f>IF( OR(ISBLANK(S10:S14),ISBLANK(AQ10:AQ14), ISBLANK(AA10:AA14),ISBLANK(AY10:AY14)), "·", bdRateExtend( S10:S14,AA10:AA14, AQ10:AQ14,AY10:AY14))</f>
        <v>2.4595149272123251E-2</v>
      </c>
      <c r="BU10" s="4">
        <f t="shared" si="17"/>
        <v>-7921</v>
      </c>
      <c r="BV10" s="4">
        <f t="shared" si="16"/>
        <v>-247.53125</v>
      </c>
      <c r="BW10" s="4">
        <f t="shared" si="16"/>
        <v>368.875</v>
      </c>
      <c r="BX10" s="4">
        <f t="shared" si="16"/>
        <v>72968</v>
      </c>
      <c r="BY10" s="4">
        <f t="shared" si="16"/>
        <v>61296</v>
      </c>
      <c r="BZ10" s="4">
        <f t="shared" si="16"/>
        <v>6256</v>
      </c>
      <c r="CA10" s="4">
        <f t="shared" si="16"/>
        <v>5416</v>
      </c>
      <c r="CB10" s="4">
        <f t="shared" si="16"/>
        <v>-5.9375000001011813E-3</v>
      </c>
      <c r="CC10" s="4">
        <f t="shared" si="16"/>
        <v>-1.685625000000357E-2</v>
      </c>
      <c r="CD10" s="4">
        <f t="shared" si="16"/>
        <v>4.2843750000002956E-2</v>
      </c>
      <c r="CE10" s="4">
        <f t="shared" si="16"/>
        <v>0.18388750000000442</v>
      </c>
      <c r="CF10" s="4">
        <f t="shared" si="16"/>
        <v>8.4837499999899535E-2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2.8417875000000001</v>
      </c>
      <c r="J11" s="18">
        <f t="shared" si="1"/>
        <v>0.13380129031437901</v>
      </c>
      <c r="K11" s="18">
        <f t="shared" si="2"/>
        <v>8.668860257316896E-2</v>
      </c>
      <c r="L11" s="18">
        <f t="shared" si="3"/>
        <v>5.4443588064316116E-2</v>
      </c>
      <c r="M11" s="18">
        <f t="shared" si="4"/>
        <v>4.7090793915582262E-2</v>
      </c>
      <c r="N11" s="15">
        <f t="shared" si="5"/>
        <v>1963912</v>
      </c>
      <c r="O11" s="18">
        <f t="shared" si="6"/>
        <v>0.13519881930063454</v>
      </c>
      <c r="P11" s="19">
        <v>22420610</v>
      </c>
      <c r="Q11" s="19">
        <v>700644.0625</v>
      </c>
      <c r="R11" s="19">
        <v>24865.21875</v>
      </c>
      <c r="S11" s="20">
        <v>3031240</v>
      </c>
      <c r="T11" s="20">
        <v>1233408</v>
      </c>
      <c r="U11" s="20">
        <v>730504</v>
      </c>
      <c r="V11" s="20">
        <v>1066832</v>
      </c>
      <c r="W11" s="21">
        <v>67.688396874999896</v>
      </c>
      <c r="X11" s="21">
        <v>69.747328124999996</v>
      </c>
      <c r="Y11" s="21">
        <v>32.972578124999998</v>
      </c>
      <c r="Z11" s="21">
        <v>39.676993749999902</v>
      </c>
      <c r="AA11" s="21">
        <v>32.356859374999999</v>
      </c>
      <c r="AB11" s="22">
        <v>13786</v>
      </c>
      <c r="AC11" s="22">
        <v>5939.42</v>
      </c>
      <c r="AD11" s="22">
        <v>6.44</v>
      </c>
      <c r="AE11" s="22">
        <v>27.484000000000002</v>
      </c>
      <c r="AG11" s="17">
        <f t="shared" si="7"/>
        <v>2.9181075000000001</v>
      </c>
      <c r="AH11" s="18">
        <f t="shared" si="8"/>
        <v>0.13739470272709228</v>
      </c>
      <c r="AI11" s="18">
        <f t="shared" si="9"/>
        <v>8.9946191950849769E-2</v>
      </c>
      <c r="AJ11" s="18">
        <f t="shared" si="10"/>
        <v>5.7425032738111136E-2</v>
      </c>
      <c r="AK11" s="18">
        <f t="shared" si="11"/>
        <v>4.7426616950614724E-2</v>
      </c>
      <c r="AL11" s="15">
        <f t="shared" si="12"/>
        <v>2037712</v>
      </c>
      <c r="AM11" s="18">
        <f t="shared" si="13"/>
        <v>0.13998125037495202</v>
      </c>
      <c r="AN11" s="19">
        <v>22236178</v>
      </c>
      <c r="AO11" s="19">
        <v>694880.5625</v>
      </c>
      <c r="AP11" s="19">
        <v>24328.40625</v>
      </c>
      <c r="AQ11" s="20">
        <v>3112648</v>
      </c>
      <c r="AR11" s="20">
        <v>1300952</v>
      </c>
      <c r="AS11" s="20">
        <v>736760</v>
      </c>
      <c r="AT11" s="20">
        <v>1074440</v>
      </c>
      <c r="AU11" s="21">
        <v>67.651859375000001</v>
      </c>
      <c r="AV11" s="21">
        <v>69.775674999999893</v>
      </c>
      <c r="AW11" s="21">
        <v>32.981524999999998</v>
      </c>
      <c r="AX11" s="21">
        <v>39.791271875</v>
      </c>
      <c r="AY11" s="21">
        <v>32.370118749999897</v>
      </c>
      <c r="AZ11" s="22">
        <v>4560.3500000000004</v>
      </c>
      <c r="BA11" s="22">
        <v>5490.17</v>
      </c>
      <c r="BB11" s="22">
        <v>6.6040000000000001</v>
      </c>
      <c r="BC11" s="22">
        <v>32.676000000000002</v>
      </c>
      <c r="BE11" s="23">
        <f t="shared" si="14"/>
        <v>-4.7817014833700933E-4</v>
      </c>
      <c r="BF11" s="23">
        <f t="shared" si="15"/>
        <v>6.7648251304091023E-3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-184432</v>
      </c>
      <c r="BV11" s="4">
        <f t="shared" si="16"/>
        <v>-5763.5</v>
      </c>
      <c r="BW11" s="4">
        <f t="shared" si="16"/>
        <v>-536.8125</v>
      </c>
      <c r="BX11" s="4">
        <f t="shared" si="16"/>
        <v>81408</v>
      </c>
      <c r="BY11" s="4">
        <f t="shared" si="16"/>
        <v>67544</v>
      </c>
      <c r="BZ11" s="4">
        <f t="shared" si="16"/>
        <v>6256</v>
      </c>
      <c r="CA11" s="4">
        <f t="shared" si="16"/>
        <v>7608</v>
      </c>
      <c r="CB11" s="4">
        <f t="shared" si="16"/>
        <v>-3.6537499999894862E-2</v>
      </c>
      <c r="CC11" s="4">
        <f t="shared" si="16"/>
        <v>2.8346874999897409E-2</v>
      </c>
      <c r="CD11" s="4">
        <f t="shared" si="16"/>
        <v>8.9468749999994657E-3</v>
      </c>
      <c r="CE11" s="4">
        <f t="shared" si="16"/>
        <v>0.11427812500009793</v>
      </c>
      <c r="CF11" s="4">
        <f t="shared" si="16"/>
        <v>1.3259374999897489E-2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4.0162199999999997</v>
      </c>
      <c r="J12" s="28">
        <f t="shared" si="1"/>
        <v>0.18909767819951886</v>
      </c>
      <c r="K12" s="28">
        <f t="shared" si="2"/>
        <v>0.10842493390691037</v>
      </c>
      <c r="L12" s="28">
        <f t="shared" si="3"/>
        <v>7.6179919398057516E-2</v>
      </c>
      <c r="M12" s="28">
        <f t="shared" si="4"/>
        <v>8.0650850466980728E-2</v>
      </c>
      <c r="N12" s="25">
        <f t="shared" si="5"/>
        <v>2456344</v>
      </c>
      <c r="O12" s="28">
        <f t="shared" si="6"/>
        <v>0.18798531421778131</v>
      </c>
      <c r="P12" s="29">
        <v>22788844</v>
      </c>
      <c r="Q12" s="29">
        <v>712151.375</v>
      </c>
      <c r="R12" s="29">
        <v>26439.4375</v>
      </c>
      <c r="S12" s="30">
        <v>4283968</v>
      </c>
      <c r="T12" s="30">
        <v>1725840</v>
      </c>
      <c r="U12" s="30">
        <v>730504</v>
      </c>
      <c r="V12" s="30">
        <v>1827128</v>
      </c>
      <c r="W12" s="31">
        <v>69.049474999999902</v>
      </c>
      <c r="X12" s="31">
        <v>71.393259375</v>
      </c>
      <c r="Y12" s="31">
        <v>35.019659375000003</v>
      </c>
      <c r="Z12" s="31">
        <v>40.725065624999999</v>
      </c>
      <c r="AA12" s="31">
        <v>34.284574999999997</v>
      </c>
      <c r="AB12" s="32">
        <v>13746.3</v>
      </c>
      <c r="AC12" s="32">
        <v>6286.61</v>
      </c>
      <c r="AD12" s="32">
        <v>9.1959999999999997</v>
      </c>
      <c r="AE12" s="32">
        <v>37.564</v>
      </c>
      <c r="AG12" s="27">
        <f t="shared" si="7"/>
        <v>4.1248199999999997</v>
      </c>
      <c r="AH12" s="28">
        <f t="shared" si="8"/>
        <v>0.1942109458622634</v>
      </c>
      <c r="AI12" s="28">
        <f t="shared" si="9"/>
        <v>0.11212887482642191</v>
      </c>
      <c r="AJ12" s="28">
        <f t="shared" si="10"/>
        <v>7.9607715613683266E-2</v>
      </c>
      <c r="AK12" s="28">
        <f t="shared" si="11"/>
        <v>8.2060177210213706E-2</v>
      </c>
      <c r="AL12" s="25">
        <f t="shared" si="12"/>
        <v>2540256</v>
      </c>
      <c r="AM12" s="28">
        <f t="shared" si="13"/>
        <v>0.19358162668283671</v>
      </c>
      <c r="AN12" s="29">
        <v>22728438</v>
      </c>
      <c r="AO12" s="29">
        <v>710263.6875</v>
      </c>
      <c r="AP12" s="29">
        <v>26460.8125</v>
      </c>
      <c r="AQ12" s="30">
        <v>4399808</v>
      </c>
      <c r="AR12" s="30">
        <v>1803496</v>
      </c>
      <c r="AS12" s="30">
        <v>736760</v>
      </c>
      <c r="AT12" s="30">
        <v>1859056</v>
      </c>
      <c r="AU12" s="31">
        <v>69.034459374999997</v>
      </c>
      <c r="AV12" s="31">
        <v>71.406937499999998</v>
      </c>
      <c r="AW12" s="31">
        <v>35.01503125</v>
      </c>
      <c r="AX12" s="31">
        <v>40.752643749999997</v>
      </c>
      <c r="AY12" s="31">
        <v>34.294318749999903</v>
      </c>
      <c r="AZ12" s="32">
        <v>5288.42</v>
      </c>
      <c r="BA12" s="32">
        <v>7286.05</v>
      </c>
      <c r="BB12" s="32">
        <v>5.2439999999999998</v>
      </c>
      <c r="BC12" s="32">
        <v>24.852</v>
      </c>
      <c r="BE12" s="33">
        <f t="shared" si="14"/>
        <v>1.2876565072774543E-4</v>
      </c>
      <c r="BF12" s="33">
        <f t="shared" si="15"/>
        <v>3.9755360101396686E-3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-60406</v>
      </c>
      <c r="BV12" s="4">
        <f t="shared" si="16"/>
        <v>-1887.6875</v>
      </c>
      <c r="BW12" s="4">
        <f t="shared" si="16"/>
        <v>21.375</v>
      </c>
      <c r="BX12" s="4">
        <f t="shared" si="16"/>
        <v>115840</v>
      </c>
      <c r="BY12" s="4">
        <f t="shared" si="16"/>
        <v>77656</v>
      </c>
      <c r="BZ12" s="4">
        <f t="shared" si="16"/>
        <v>6256</v>
      </c>
      <c r="CA12" s="4">
        <f t="shared" si="16"/>
        <v>31928</v>
      </c>
      <c r="CB12" s="4">
        <f t="shared" si="16"/>
        <v>-1.5015624999904276E-2</v>
      </c>
      <c r="CC12" s="4">
        <f t="shared" si="16"/>
        <v>1.3678124999998431E-2</v>
      </c>
      <c r="CD12" s="4">
        <f t="shared" si="16"/>
        <v>-4.6281250000035357E-3</v>
      </c>
      <c r="CE12" s="4">
        <f t="shared" si="16"/>
        <v>2.757812499999801E-2</v>
      </c>
      <c r="CF12" s="4">
        <f t="shared" si="16"/>
        <v>9.7437499999060151E-3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6.5089649999999999</v>
      </c>
      <c r="J13" s="18">
        <f t="shared" si="1"/>
        <v>0.30646482737049546</v>
      </c>
      <c r="K13" s="18">
        <f t="shared" si="2"/>
        <v>0.14831830921047201</v>
      </c>
      <c r="L13" s="18">
        <f t="shared" si="3"/>
        <v>0.11607329470161916</v>
      </c>
      <c r="M13" s="18">
        <f t="shared" si="4"/>
        <v>0.1581246243343957</v>
      </c>
      <c r="N13" s="15">
        <f t="shared" si="5"/>
        <v>3360120</v>
      </c>
      <c r="O13" s="18">
        <f t="shared" si="6"/>
        <v>0.29230117770131719</v>
      </c>
      <c r="P13" s="19">
        <v>23752542</v>
      </c>
      <c r="Q13" s="19">
        <v>742266.9375</v>
      </c>
      <c r="R13" s="19">
        <v>30458.15625</v>
      </c>
      <c r="S13" s="20">
        <v>6942896</v>
      </c>
      <c r="T13" s="20">
        <v>2629616</v>
      </c>
      <c r="U13" s="20">
        <v>730504</v>
      </c>
      <c r="V13" s="20">
        <v>3582280</v>
      </c>
      <c r="W13" s="21">
        <v>70.030603124999899</v>
      </c>
      <c r="X13" s="21">
        <v>72.5611718749999</v>
      </c>
      <c r="Y13" s="21">
        <v>37.213606249999998</v>
      </c>
      <c r="Z13" s="21">
        <v>41.784290624999997</v>
      </c>
      <c r="AA13" s="21">
        <v>36.286212499999998</v>
      </c>
      <c r="AB13" s="22">
        <v>9776.5</v>
      </c>
      <c r="AC13" s="22">
        <v>6903.36</v>
      </c>
      <c r="AD13" s="22">
        <v>6.48</v>
      </c>
      <c r="AE13" s="22">
        <v>28.524000000000001</v>
      </c>
      <c r="AG13" s="17">
        <f t="shared" si="7"/>
        <v>6.7201950000000004</v>
      </c>
      <c r="AH13" s="18">
        <f t="shared" si="8"/>
        <v>0.31641027422502149</v>
      </c>
      <c r="AI13" s="18">
        <f t="shared" si="9"/>
        <v>0.15382001571499959</v>
      </c>
      <c r="AJ13" s="18">
        <f t="shared" si="10"/>
        <v>0.12129885650226095</v>
      </c>
      <c r="AK13" s="18">
        <f t="shared" si="11"/>
        <v>0.16256836468439409</v>
      </c>
      <c r="AL13" s="15">
        <f t="shared" si="12"/>
        <v>3484760</v>
      </c>
      <c r="AM13" s="18">
        <f t="shared" si="13"/>
        <v>0.30222133402309304</v>
      </c>
      <c r="AN13" s="19">
        <v>23718405</v>
      </c>
      <c r="AO13" s="19">
        <v>741200.15625</v>
      </c>
      <c r="AP13" s="19">
        <v>30469.96875</v>
      </c>
      <c r="AQ13" s="20">
        <v>7168208</v>
      </c>
      <c r="AR13" s="20">
        <v>2748000</v>
      </c>
      <c r="AS13" s="20">
        <v>736760</v>
      </c>
      <c r="AT13" s="20">
        <v>3682952</v>
      </c>
      <c r="AU13" s="21">
        <v>70.048828125</v>
      </c>
      <c r="AV13" s="21">
        <v>72.591487499999999</v>
      </c>
      <c r="AW13" s="21">
        <v>37.212959374999997</v>
      </c>
      <c r="AX13" s="21">
        <v>41.808928125000001</v>
      </c>
      <c r="AY13" s="21">
        <v>36.306296875000001</v>
      </c>
      <c r="AZ13" s="22">
        <v>8896.7000000000007</v>
      </c>
      <c r="BA13" s="22">
        <v>7221.8</v>
      </c>
      <c r="BB13" s="22">
        <v>5.4119999999999999</v>
      </c>
      <c r="BC13" s="22">
        <v>25.288</v>
      </c>
      <c r="BE13" s="23">
        <f t="shared" si="14"/>
        <v>7.4995620326596957E-5</v>
      </c>
      <c r="BF13" s="23">
        <f t="shared" si="15"/>
        <v>2.1758345349038311E-3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-34137</v>
      </c>
      <c r="BV13" s="4">
        <f t="shared" si="16"/>
        <v>-1066.78125</v>
      </c>
      <c r="BW13" s="4">
        <f t="shared" si="16"/>
        <v>11.8125</v>
      </c>
      <c r="BX13" s="4">
        <f t="shared" si="16"/>
        <v>225312</v>
      </c>
      <c r="BY13" s="4">
        <f t="shared" si="16"/>
        <v>118384</v>
      </c>
      <c r="BZ13" s="4">
        <f t="shared" si="16"/>
        <v>6256</v>
      </c>
      <c r="CA13" s="4">
        <f t="shared" si="16"/>
        <v>100672</v>
      </c>
      <c r="CB13" s="4">
        <f t="shared" si="16"/>
        <v>1.8225000000100522E-2</v>
      </c>
      <c r="CC13" s="4">
        <f t="shared" si="16"/>
        <v>3.0315625000099544E-2</v>
      </c>
      <c r="CD13" s="4">
        <f t="shared" si="16"/>
        <v>-6.4687500000104592E-4</v>
      </c>
      <c r="CE13" s="4">
        <f t="shared" si="16"/>
        <v>2.4637500000004309E-2</v>
      </c>
      <c r="CF13" s="4">
        <f t="shared" si="16"/>
        <v>2.0084375000003263E-2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13.114635</v>
      </c>
      <c r="J14" s="48">
        <f t="shared" si="1"/>
        <v>0.61748286421912824</v>
      </c>
      <c r="K14" s="48">
        <f t="shared" si="2"/>
        <v>0.2497527564701662</v>
      </c>
      <c r="L14" s="48">
        <f t="shared" si="3"/>
        <v>0.1869545551715357</v>
      </c>
      <c r="M14" s="48">
        <f t="shared" si="4"/>
        <v>0.36770821392333425</v>
      </c>
      <c r="N14" s="45">
        <f t="shared" si="5"/>
        <v>5658096</v>
      </c>
      <c r="O14" s="48">
        <f t="shared" si="6"/>
        <v>0.62149683017132396</v>
      </c>
      <c r="P14" s="49">
        <v>22508472</v>
      </c>
      <c r="Q14" s="49">
        <v>703389.75</v>
      </c>
      <c r="R14" s="49">
        <v>8254.25</v>
      </c>
      <c r="S14" s="50">
        <v>13988944</v>
      </c>
      <c r="T14" s="50">
        <v>4235416</v>
      </c>
      <c r="U14" s="50">
        <v>1422680</v>
      </c>
      <c r="V14" s="50">
        <v>8330352</v>
      </c>
      <c r="W14" s="51">
        <v>71.409731249999993</v>
      </c>
      <c r="X14" s="51">
        <v>74.802518750000004</v>
      </c>
      <c r="Y14" s="51">
        <v>39.71280625</v>
      </c>
      <c r="Z14" s="51">
        <v>43.097481250000001</v>
      </c>
      <c r="AA14" s="51">
        <v>38.567306249999902</v>
      </c>
      <c r="AB14" s="52">
        <v>10410</v>
      </c>
      <c r="AC14" s="52">
        <v>7524.88</v>
      </c>
      <c r="AD14" s="52">
        <v>7.4080000000000004</v>
      </c>
      <c r="AE14" s="52">
        <v>31.143999999999998</v>
      </c>
      <c r="AG14" s="47">
        <f t="shared" si="7"/>
        <v>13.467097499999999</v>
      </c>
      <c r="AH14" s="48">
        <f t="shared" si="8"/>
        <v>0.63407803091876069</v>
      </c>
      <c r="AI14" s="48">
        <f t="shared" si="9"/>
        <v>0.2585357118091014</v>
      </c>
      <c r="AJ14" s="48">
        <f t="shared" si="10"/>
        <v>0.19531058091072928</v>
      </c>
      <c r="AK14" s="48">
        <f t="shared" si="11"/>
        <v>0.37552042528403157</v>
      </c>
      <c r="AL14" s="45">
        <f t="shared" si="12"/>
        <v>5857072</v>
      </c>
      <c r="AM14" s="48">
        <f t="shared" si="13"/>
        <v>0.63815723304191885</v>
      </c>
      <c r="AN14" s="49">
        <v>22509976</v>
      </c>
      <c r="AO14" s="49">
        <v>703436.75</v>
      </c>
      <c r="AP14" s="49">
        <v>8303.03125</v>
      </c>
      <c r="AQ14" s="50">
        <v>14364904</v>
      </c>
      <c r="AR14" s="50">
        <v>4424720</v>
      </c>
      <c r="AS14" s="50">
        <v>1432352</v>
      </c>
      <c r="AT14" s="50">
        <v>8507336</v>
      </c>
      <c r="AU14" s="51">
        <v>71.389581250000006</v>
      </c>
      <c r="AV14" s="51">
        <v>74.775509374999999</v>
      </c>
      <c r="AW14" s="51">
        <v>39.692274999999903</v>
      </c>
      <c r="AX14" s="51">
        <v>43.107034374999898</v>
      </c>
      <c r="AY14" s="51">
        <v>38.591103124999997</v>
      </c>
      <c r="AZ14" s="52">
        <v>8516.07</v>
      </c>
      <c r="BA14" s="52">
        <v>7856.39</v>
      </c>
      <c r="BB14" s="52">
        <v>5.76</v>
      </c>
      <c r="BC14" s="52">
        <v>27.007999999999999</v>
      </c>
      <c r="BE14" s="53">
        <f t="shared" si="14"/>
        <v>6.8562961657603685E-5</v>
      </c>
      <c r="BF14" s="53">
        <f t="shared" si="15"/>
        <v>3.2657222168075428E-3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1504</v>
      </c>
      <c r="BV14" s="4">
        <f t="shared" si="16"/>
        <v>47</v>
      </c>
      <c r="BW14" s="4">
        <f t="shared" si="16"/>
        <v>48.78125</v>
      </c>
      <c r="BX14" s="4">
        <f t="shared" si="16"/>
        <v>375960</v>
      </c>
      <c r="BY14" s="4">
        <f t="shared" si="16"/>
        <v>189304</v>
      </c>
      <c r="BZ14" s="4">
        <f t="shared" si="16"/>
        <v>9672</v>
      </c>
      <c r="CA14" s="4">
        <f t="shared" si="16"/>
        <v>176984</v>
      </c>
      <c r="CB14" s="4">
        <f t="shared" si="16"/>
        <v>-2.014999999998679E-2</v>
      </c>
      <c r="CC14" s="4">
        <f t="shared" si="16"/>
        <v>-2.7009375000005775E-2</v>
      </c>
      <c r="CD14" s="4">
        <f t="shared" si="16"/>
        <v>-2.0531250000097145E-2</v>
      </c>
      <c r="CE14" s="4">
        <f t="shared" si="16"/>
        <v>9.5531249998970225E-3</v>
      </c>
      <c r="CF14" s="4">
        <f t="shared" si="16"/>
        <v>2.3796875000094531E-2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2.0009250000000001</v>
      </c>
      <c r="J15" s="18">
        <f t="shared" si="1"/>
        <v>6.2870794437493563E-2</v>
      </c>
      <c r="K15" s="18">
        <f t="shared" si="2"/>
        <v>5.0764649335192424E-2</v>
      </c>
      <c r="L15" s="18">
        <f t="shared" si="3"/>
        <v>2.6397297161476364E-2</v>
      </c>
      <c r="M15" s="18">
        <f t="shared" si="4"/>
        <v>1.2091534400044209E-2</v>
      </c>
      <c r="N15" s="15">
        <f t="shared" si="5"/>
        <v>1723344</v>
      </c>
      <c r="O15" s="18">
        <f t="shared" si="6"/>
        <v>6.5623537989040359E-2</v>
      </c>
      <c r="P15" s="19">
        <v>32523696</v>
      </c>
      <c r="Q15" s="19">
        <v>1016365.5</v>
      </c>
      <c r="R15" s="19">
        <v>34573</v>
      </c>
      <c r="S15" s="20">
        <v>2134320</v>
      </c>
      <c r="T15" s="20">
        <v>896128</v>
      </c>
      <c r="U15" s="20">
        <v>827216</v>
      </c>
      <c r="V15" s="20">
        <v>410480</v>
      </c>
      <c r="W15" s="21">
        <v>66.386921874999999</v>
      </c>
      <c r="X15" s="21">
        <v>67.997512499999999</v>
      </c>
      <c r="Y15" s="21">
        <v>29.264875</v>
      </c>
      <c r="Z15" s="21">
        <v>43.246731250000003</v>
      </c>
      <c r="AA15" s="21">
        <v>43.583284374999998</v>
      </c>
      <c r="AB15" s="22">
        <v>10924</v>
      </c>
      <c r="AC15" s="22">
        <v>4903.5600000000004</v>
      </c>
      <c r="AD15" s="22">
        <v>11.74</v>
      </c>
      <c r="AE15" s="22">
        <v>31.891999999999999</v>
      </c>
      <c r="AG15" s="17">
        <f t="shared" si="7"/>
        <v>1.8970875</v>
      </c>
      <c r="AH15" s="18">
        <f t="shared" si="8"/>
        <v>5.9608130360927353E-2</v>
      </c>
      <c r="AI15" s="18">
        <f t="shared" si="9"/>
        <v>4.9532165902874535E-2</v>
      </c>
      <c r="AJ15" s="18">
        <f t="shared" si="10"/>
        <v>2.7725221471440291E-2</v>
      </c>
      <c r="AK15" s="18">
        <f t="shared" si="11"/>
        <v>1.0061353755795898E-2</v>
      </c>
      <c r="AL15" s="15">
        <f t="shared" si="12"/>
        <v>1681504</v>
      </c>
      <c r="AM15" s="18">
        <f t="shared" si="13"/>
        <v>6.2027593874301519E-2</v>
      </c>
      <c r="AN15" s="19">
        <v>32623545</v>
      </c>
      <c r="AO15" s="19">
        <v>1019485.78125</v>
      </c>
      <c r="AP15" s="19">
        <v>35329.9375</v>
      </c>
      <c r="AQ15" s="20">
        <v>2023560</v>
      </c>
      <c r="AR15" s="20">
        <v>941208</v>
      </c>
      <c r="AS15" s="20">
        <v>740296</v>
      </c>
      <c r="AT15" s="20">
        <v>341560</v>
      </c>
      <c r="AU15" s="21">
        <v>66.406431249999997</v>
      </c>
      <c r="AV15" s="21">
        <v>68.002587499999905</v>
      </c>
      <c r="AW15" s="21">
        <v>29.37054375</v>
      </c>
      <c r="AX15" s="21">
        <v>43.557753124999998</v>
      </c>
      <c r="AY15" s="21">
        <v>43.825593750000003</v>
      </c>
      <c r="AZ15" s="22">
        <v>5659.23</v>
      </c>
      <c r="BA15" s="22">
        <v>4693.93</v>
      </c>
      <c r="BB15" s="22">
        <v>8.9320000000000004</v>
      </c>
      <c r="BC15" s="22">
        <v>32.735999999999997</v>
      </c>
      <c r="BE15" s="23">
        <f t="shared" si="14"/>
        <v>6.3835815047211253E-4</v>
      </c>
      <c r="BF15" s="23">
        <f t="shared" si="15"/>
        <v>2.3519195757480738E-2</v>
      </c>
      <c r="BG15" s="23">
        <f t="array" ref="BG15">AVERAGE(AL15:AL19/AQ15:AQ19) - AVERAGE(N15:N19/S15:S19)</f>
        <v>2.23080486107472E-2</v>
      </c>
      <c r="BI15" s="24">
        <f>IF( OR(ISBLANK(N15:N19),ISBLANK(AL15:AL19), ISBLANK(W15:W19),ISBLANK(AU15:AU19)), "·", bdRateExtend( N15:N19,W15:W19, AL15:AL19,AU15:AU19))</f>
        <v>2.5080937992079111E-3</v>
      </c>
      <c r="BJ15" s="24">
        <f>IF( OR(ISBLANK(N15:N19),ISBLANK(AL15:AL19), ISBLANK(X15:X19),ISBLANK(AV15:AV19)), "·", bdRateExtend( N15:N19,X15:X19, AL15:AL19,AV15:AV19))</f>
        <v>5.8956572798376516E-3</v>
      </c>
      <c r="BK15" s="24">
        <f>IF( OR(ISBLANK(V15:V19),ISBLANK(AT15:AT19), ISBLANK(Y15:Y19),ISBLANK(AW15:AW19)), "·", bdRateExtend( V15:V19,Y15:Y19, AT15:AT19,AW15:AW19))</f>
        <v>-0.11853319798523931</v>
      </c>
      <c r="BL15" s="24">
        <f>IF( OR(ISBLANK(V15:V19),ISBLANK(AT15:AT19), ISBLANK(Z15:Z19),ISBLANK(AX15:AX19)), "·", bdRateExtend( V15:V19,Z15:Z19, AT15:AT19,AX15:AX19))</f>
        <v>-0.15065697024439761</v>
      </c>
      <c r="BM15" s="24">
        <f>IF( OR(ISBLANK(V15:V19),ISBLANK(AT15:AT19), ISBLANK(AA15:AA19),ISBLANK(AY15:AY19)), "·", bdRateExtend( V15:V19,AA15:AA19, AT15:AT19,AY15:AY19))</f>
        <v>-0.15859231358943315</v>
      </c>
      <c r="BO15" s="24">
        <f>IF( OR(ISBLANK(S15:S19),ISBLANK(AQ15:AQ19), ISBLANK(W15:W19),ISBLANK(AU15:AU19)), "·", bdRateExtend( S15:S19,W15:W19, AQ15:AQ19,AU15:AU19))</f>
        <v>-3.7625039037416541E-2</v>
      </c>
      <c r="BP15" s="24">
        <f>IF( OR(ISBLANK(S15:S19),ISBLANK(AQ15:AQ19), ISBLANK(X15:X19),ISBLANK(AV15:AV19)), "·", bdRateExtend( S15:S19,X15:X19, AQ15:AQ19,AV15:AV19))</f>
        <v>-3.4746926029699976E-2</v>
      </c>
      <c r="BQ15" s="24">
        <f>IF( OR(ISBLANK(S15:S19),ISBLANK(AQ15:AQ19), ISBLANK(Y15:Y19),ISBLANK(AW15:AW19)), "·", bdRateExtend( S15:S19,Y15:Y19, AQ15:AQ19,AW15:AW19))</f>
        <v>-4.2035152558463351E-2</v>
      </c>
      <c r="BR15" s="24">
        <f>IF( OR(ISBLANK(S15:S19),ISBLANK(AQ15:AQ19), ISBLANK(Z15:Z19),ISBLANK(AX15:AX19)), "·", bdRateExtend( S15:S19,Z15:Z19, AQ15:AQ19,AX15:AX19))</f>
        <v>-6.5427027629342271E-2</v>
      </c>
      <c r="BS15" s="24">
        <f>IF( OR(ISBLANK(S15:S19),ISBLANK(AQ15:AQ19), ISBLANK(AA15:AA19),ISBLANK(AY15:AY19)), "·", bdRateExtend( S15:S19,AA15:AA19, AQ15:AQ19,AY15:AY19))</f>
        <v>-7.0518953321205724E-2</v>
      </c>
      <c r="BU15" s="4">
        <f t="shared" si="17"/>
        <v>99849</v>
      </c>
      <c r="BV15" s="4">
        <f t="shared" si="16"/>
        <v>3120.28125</v>
      </c>
      <c r="BW15" s="4">
        <f t="shared" si="16"/>
        <v>756.9375</v>
      </c>
      <c r="BX15" s="4">
        <f t="shared" si="16"/>
        <v>-110760</v>
      </c>
      <c r="BY15" s="4">
        <f t="shared" si="16"/>
        <v>45080</v>
      </c>
      <c r="BZ15" s="4">
        <f t="shared" si="16"/>
        <v>-86920</v>
      </c>
      <c r="CA15" s="4">
        <f t="shared" si="16"/>
        <v>-68920</v>
      </c>
      <c r="CB15" s="4">
        <f t="shared" si="16"/>
        <v>1.9509374999998386E-2</v>
      </c>
      <c r="CC15" s="4">
        <f t="shared" si="16"/>
        <v>5.0749999999055717E-3</v>
      </c>
      <c r="CD15" s="4">
        <f t="shared" si="16"/>
        <v>0.10566874999999953</v>
      </c>
      <c r="CE15" s="4">
        <f t="shared" si="16"/>
        <v>0.31102187499999445</v>
      </c>
      <c r="CF15" s="4">
        <f t="shared" si="16"/>
        <v>0.24230937500000493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2.5723124999999998</v>
      </c>
      <c r="J16" s="28">
        <f t="shared" si="1"/>
        <v>8.0824283976908259E-2</v>
      </c>
      <c r="K16" s="28">
        <f t="shared" si="2"/>
        <v>5.907790326289384E-2</v>
      </c>
      <c r="L16" s="28">
        <f t="shared" si="3"/>
        <v>3.4710551089177775E-2</v>
      </c>
      <c r="M16" s="28">
        <f t="shared" si="4"/>
        <v>2.1731770011757492E-2</v>
      </c>
      <c r="N16" s="25">
        <f t="shared" si="5"/>
        <v>2005560</v>
      </c>
      <c r="O16" s="28">
        <f t="shared" si="6"/>
        <v>8.046709981298833E-2</v>
      </c>
      <c r="P16" s="29">
        <v>34098408</v>
      </c>
      <c r="Q16" s="29">
        <v>1065575.25</v>
      </c>
      <c r="R16" s="29">
        <v>40281.5</v>
      </c>
      <c r="S16" s="30">
        <v>2743800</v>
      </c>
      <c r="T16" s="30">
        <v>1178344</v>
      </c>
      <c r="U16" s="30">
        <v>827216</v>
      </c>
      <c r="V16" s="30">
        <v>737744</v>
      </c>
      <c r="W16" s="31">
        <v>68.101581249999995</v>
      </c>
      <c r="X16" s="31">
        <v>70.121399999999994</v>
      </c>
      <c r="Y16" s="31">
        <v>31.679615624999901</v>
      </c>
      <c r="Z16" s="31">
        <v>43.969490624999999</v>
      </c>
      <c r="AA16" s="31">
        <v>44.250634374999997</v>
      </c>
      <c r="AB16" s="32">
        <v>12006.7</v>
      </c>
      <c r="AC16" s="32">
        <v>5214.3999999999996</v>
      </c>
      <c r="AD16" s="32">
        <v>9.4600000000000009</v>
      </c>
      <c r="AE16" s="32">
        <v>28.78</v>
      </c>
      <c r="AG16" s="27">
        <f t="shared" si="7"/>
        <v>2.4806474999999999</v>
      </c>
      <c r="AH16" s="28">
        <f t="shared" si="8"/>
        <v>7.7944090380390227E-2</v>
      </c>
      <c r="AI16" s="28">
        <f t="shared" si="9"/>
        <v>5.917452242297995E-2</v>
      </c>
      <c r="AJ16" s="28">
        <f t="shared" si="10"/>
        <v>3.7367577991545706E-2</v>
      </c>
      <c r="AK16" s="28">
        <f t="shared" si="11"/>
        <v>1.8754957255153352E-2</v>
      </c>
      <c r="AL16" s="25">
        <f t="shared" si="12"/>
        <v>2008840</v>
      </c>
      <c r="AM16" s="28">
        <f t="shared" si="13"/>
        <v>7.733147006901786E-2</v>
      </c>
      <c r="AN16" s="29">
        <v>34216652</v>
      </c>
      <c r="AO16" s="29">
        <v>1069270.375</v>
      </c>
      <c r="AP16" s="29">
        <v>41122.5</v>
      </c>
      <c r="AQ16" s="30">
        <v>2646024</v>
      </c>
      <c r="AR16" s="30">
        <v>1268544</v>
      </c>
      <c r="AS16" s="30">
        <v>740296</v>
      </c>
      <c r="AT16" s="30">
        <v>636688</v>
      </c>
      <c r="AU16" s="31">
        <v>68.095731249999901</v>
      </c>
      <c r="AV16" s="31">
        <v>70.116856249999998</v>
      </c>
      <c r="AW16" s="31">
        <v>31.771659374999999</v>
      </c>
      <c r="AX16" s="31">
        <v>44.227971875000001</v>
      </c>
      <c r="AY16" s="31">
        <v>44.520571875000002</v>
      </c>
      <c r="AZ16" s="32">
        <v>7788.89</v>
      </c>
      <c r="BA16" s="32">
        <v>5989.98</v>
      </c>
      <c r="BB16" s="32">
        <v>7.5039999999999996</v>
      </c>
      <c r="BC16" s="32">
        <v>24.972000000000001</v>
      </c>
      <c r="BE16" s="33">
        <f t="shared" si="14"/>
        <v>6.5588155802263209E-4</v>
      </c>
      <c r="BF16" s="33">
        <f t="shared" si="15"/>
        <v>2.824941601341846E-2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118244</v>
      </c>
      <c r="BV16" s="4">
        <f t="shared" si="16"/>
        <v>3695.125</v>
      </c>
      <c r="BW16" s="4">
        <f t="shared" si="16"/>
        <v>841</v>
      </c>
      <c r="BX16" s="4">
        <f t="shared" si="16"/>
        <v>-97776</v>
      </c>
      <c r="BY16" s="4">
        <f t="shared" si="16"/>
        <v>90200</v>
      </c>
      <c r="BZ16" s="4">
        <f t="shared" si="16"/>
        <v>-86920</v>
      </c>
      <c r="CA16" s="4">
        <f t="shared" si="16"/>
        <v>-101056</v>
      </c>
      <c r="CB16" s="4">
        <f t="shared" si="16"/>
        <v>-5.8500000000947239E-3</v>
      </c>
      <c r="CC16" s="4">
        <f t="shared" si="16"/>
        <v>-4.5437499999962938E-3</v>
      </c>
      <c r="CD16" s="4">
        <f t="shared" si="16"/>
        <v>9.2043750000097901E-2</v>
      </c>
      <c r="CE16" s="4">
        <f t="shared" si="16"/>
        <v>0.25848125000000266</v>
      </c>
      <c r="CF16" s="4">
        <f t="shared" si="16"/>
        <v>0.2699375000000046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3.5621174999999998</v>
      </c>
      <c r="J17" s="18">
        <f t="shared" si="1"/>
        <v>0.11192481332618587</v>
      </c>
      <c r="K17" s="18">
        <f t="shared" si="2"/>
        <v>6.9147976308746292E-2</v>
      </c>
      <c r="L17" s="18">
        <f t="shared" si="3"/>
        <v>4.4780624135030228E-2</v>
      </c>
      <c r="M17" s="18">
        <f t="shared" si="4"/>
        <v>4.2762226315182658E-2</v>
      </c>
      <c r="N17" s="15">
        <f t="shared" si="5"/>
        <v>2347416</v>
      </c>
      <c r="O17" s="18">
        <f t="shared" si="6"/>
        <v>0.11095622943329561</v>
      </c>
      <c r="P17" s="19">
        <v>34244062</v>
      </c>
      <c r="Q17" s="19">
        <v>1070126.9375</v>
      </c>
      <c r="R17" s="19">
        <v>41416.84375</v>
      </c>
      <c r="S17" s="20">
        <v>3799592</v>
      </c>
      <c r="T17" s="20">
        <v>1520200</v>
      </c>
      <c r="U17" s="20">
        <v>827216</v>
      </c>
      <c r="V17" s="20">
        <v>1451680</v>
      </c>
      <c r="W17" s="21">
        <v>69.444721874999999</v>
      </c>
      <c r="X17" s="21">
        <v>71.859571874999901</v>
      </c>
      <c r="Y17" s="21">
        <v>34.128753125000003</v>
      </c>
      <c r="Z17" s="21">
        <v>45.224303124999999</v>
      </c>
      <c r="AA17" s="21">
        <v>45.659125000000003</v>
      </c>
      <c r="AB17" s="22">
        <v>15437.3</v>
      </c>
      <c r="AC17" s="22">
        <v>5417.32</v>
      </c>
      <c r="AD17" s="22">
        <v>9.5359999999999996</v>
      </c>
      <c r="AE17" s="22">
        <v>26.872</v>
      </c>
      <c r="AG17" s="17">
        <f t="shared" si="7"/>
        <v>3.40299</v>
      </c>
      <c r="AH17" s="18">
        <f t="shared" si="8"/>
        <v>0.10692488961997387</v>
      </c>
      <c r="AI17" s="18">
        <f t="shared" si="9"/>
        <v>6.8498507027777239E-2</v>
      </c>
      <c r="AJ17" s="18">
        <f t="shared" si="10"/>
        <v>4.6691562596343002E-2</v>
      </c>
      <c r="AK17" s="18">
        <f t="shared" si="11"/>
        <v>3.8411771889939703E-2</v>
      </c>
      <c r="AL17" s="15">
        <f t="shared" si="12"/>
        <v>2325368</v>
      </c>
      <c r="AM17" s="18">
        <f t="shared" si="13"/>
        <v>0.10576030471830587</v>
      </c>
      <c r="AN17" s="19">
        <v>34321535</v>
      </c>
      <c r="AO17" s="19">
        <v>1072547.96875</v>
      </c>
      <c r="AP17" s="19">
        <v>42060.875</v>
      </c>
      <c r="AQ17" s="20">
        <v>3629856</v>
      </c>
      <c r="AR17" s="20">
        <v>1585072</v>
      </c>
      <c r="AS17" s="20">
        <v>740296</v>
      </c>
      <c r="AT17" s="20">
        <v>1303992</v>
      </c>
      <c r="AU17" s="21">
        <v>69.474903124999997</v>
      </c>
      <c r="AV17" s="21">
        <v>71.898884374999994</v>
      </c>
      <c r="AW17" s="21">
        <v>34.192490624999998</v>
      </c>
      <c r="AX17" s="21">
        <v>45.275915625000003</v>
      </c>
      <c r="AY17" s="21">
        <v>45.763246875</v>
      </c>
      <c r="AZ17" s="22">
        <v>9495.2099999999991</v>
      </c>
      <c r="BA17" s="22">
        <v>6592.72</v>
      </c>
      <c r="BB17" s="22">
        <v>7.58</v>
      </c>
      <c r="BC17" s="22">
        <v>25.495999999999999</v>
      </c>
      <c r="BE17" s="23">
        <f t="shared" si="14"/>
        <v>5.1310591695914731E-4</v>
      </c>
      <c r="BF17" s="23">
        <f t="shared" si="15"/>
        <v>2.2815272674221121E-2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77473</v>
      </c>
      <c r="BV17" s="4">
        <f t="shared" si="16"/>
        <v>2421.03125</v>
      </c>
      <c r="BW17" s="4">
        <f t="shared" si="16"/>
        <v>644.03125</v>
      </c>
      <c r="BX17" s="4">
        <f t="shared" si="16"/>
        <v>-169736</v>
      </c>
      <c r="BY17" s="4">
        <f t="shared" si="16"/>
        <v>64872</v>
      </c>
      <c r="BZ17" s="4">
        <f t="shared" si="16"/>
        <v>-86920</v>
      </c>
      <c r="CA17" s="4">
        <f t="shared" si="16"/>
        <v>-147688</v>
      </c>
      <c r="CB17" s="4">
        <f t="shared" si="16"/>
        <v>3.0181249999998272E-2</v>
      </c>
      <c r="CC17" s="4">
        <f t="shared" si="16"/>
        <v>3.9312500000093564E-2</v>
      </c>
      <c r="CD17" s="4">
        <f t="shared" si="16"/>
        <v>6.3737499999994895E-2</v>
      </c>
      <c r="CE17" s="4">
        <f t="shared" si="16"/>
        <v>5.1612500000004502E-2</v>
      </c>
      <c r="CF17" s="4">
        <f t="shared" si="16"/>
        <v>0.10412187499999703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6.3922875000000001</v>
      </c>
      <c r="J18" s="28">
        <f t="shared" si="1"/>
        <v>0.2008512030175342</v>
      </c>
      <c r="K18" s="28">
        <f t="shared" si="2"/>
        <v>9.6967696031880546E-2</v>
      </c>
      <c r="L18" s="28">
        <f t="shared" si="3"/>
        <v>7.2600343858164482E-2</v>
      </c>
      <c r="M18" s="28">
        <f t="shared" si="4"/>
        <v>0.10386889628339672</v>
      </c>
      <c r="N18" s="25">
        <f t="shared" si="5"/>
        <v>3291832</v>
      </c>
      <c r="O18" s="28">
        <f t="shared" si="6"/>
        <v>0.19143664633623506</v>
      </c>
      <c r="P18" s="29">
        <v>35617214</v>
      </c>
      <c r="Q18" s="29">
        <v>1113037.9375</v>
      </c>
      <c r="R18" s="29">
        <v>46682.59375</v>
      </c>
      <c r="S18" s="30">
        <v>6818440</v>
      </c>
      <c r="T18" s="30">
        <v>2464616</v>
      </c>
      <c r="U18" s="30">
        <v>827216</v>
      </c>
      <c r="V18" s="30">
        <v>3526112</v>
      </c>
      <c r="W18" s="31">
        <v>70.503553124999897</v>
      </c>
      <c r="X18" s="31">
        <v>73.141296874999995</v>
      </c>
      <c r="Y18" s="31">
        <v>36.484928124999897</v>
      </c>
      <c r="Z18" s="31">
        <v>46.496287499999902</v>
      </c>
      <c r="AA18" s="31">
        <v>47.021078124999903</v>
      </c>
      <c r="AB18" s="32">
        <v>15457.5</v>
      </c>
      <c r="AC18" s="32">
        <v>5911.88</v>
      </c>
      <c r="AD18" s="32">
        <v>9.3840000000000003</v>
      </c>
      <c r="AE18" s="32">
        <v>26.948</v>
      </c>
      <c r="AG18" s="27">
        <f t="shared" si="7"/>
        <v>6.2976900000000002</v>
      </c>
      <c r="AH18" s="28">
        <f t="shared" si="8"/>
        <v>0.19787886773420235</v>
      </c>
      <c r="AI18" s="28">
        <f t="shared" si="9"/>
        <v>9.9891250422193323E-2</v>
      </c>
      <c r="AJ18" s="28">
        <f t="shared" si="10"/>
        <v>7.8084305990759079E-2</v>
      </c>
      <c r="AK18" s="28">
        <f t="shared" si="11"/>
        <v>9.7973006609752084E-2</v>
      </c>
      <c r="AL18" s="25">
        <f t="shared" si="12"/>
        <v>3391080</v>
      </c>
      <c r="AM18" s="28">
        <f t="shared" si="13"/>
        <v>0.1884570579434105</v>
      </c>
      <c r="AN18" s="29">
        <v>35644916</v>
      </c>
      <c r="AO18" s="29">
        <v>1113903.625</v>
      </c>
      <c r="AP18" s="29">
        <v>47449.4375</v>
      </c>
      <c r="AQ18" s="30">
        <v>6717536</v>
      </c>
      <c r="AR18" s="30">
        <v>2650784</v>
      </c>
      <c r="AS18" s="30">
        <v>740296</v>
      </c>
      <c r="AT18" s="30">
        <v>3325960</v>
      </c>
      <c r="AU18" s="31">
        <v>70.526321874999994</v>
      </c>
      <c r="AV18" s="31">
        <v>73.182625000000002</v>
      </c>
      <c r="AW18" s="31">
        <v>36.538406250000001</v>
      </c>
      <c r="AX18" s="31">
        <v>46.557609374999998</v>
      </c>
      <c r="AY18" s="31">
        <v>47.098315624999998</v>
      </c>
      <c r="AZ18" s="32">
        <v>7610.95</v>
      </c>
      <c r="BA18" s="32">
        <v>6702.98</v>
      </c>
      <c r="BB18" s="32">
        <v>9.5640000000000001</v>
      </c>
      <c r="BC18" s="32">
        <v>36.167999999999999</v>
      </c>
      <c r="BE18" s="33">
        <f t="shared" si="14"/>
        <v>6.5583360477650121E-4</v>
      </c>
      <c r="BF18" s="33">
        <f t="shared" si="15"/>
        <v>2.2026351780066677E-2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27702</v>
      </c>
      <c r="BV18" s="4">
        <f t="shared" si="16"/>
        <v>865.6875</v>
      </c>
      <c r="BW18" s="4">
        <f t="shared" si="16"/>
        <v>766.84375</v>
      </c>
      <c r="BX18" s="4">
        <f t="shared" si="16"/>
        <v>-100904</v>
      </c>
      <c r="BY18" s="4">
        <f t="shared" si="16"/>
        <v>186168</v>
      </c>
      <c r="BZ18" s="4">
        <f t="shared" si="16"/>
        <v>-86920</v>
      </c>
      <c r="CA18" s="4">
        <f t="shared" si="16"/>
        <v>-200152</v>
      </c>
      <c r="CB18" s="4">
        <f t="shared" si="16"/>
        <v>2.2768750000096816E-2</v>
      </c>
      <c r="CC18" s="4">
        <f t="shared" si="16"/>
        <v>4.1328125000006821E-2</v>
      </c>
      <c r="CD18" s="4">
        <f t="shared" si="16"/>
        <v>5.3478125000104626E-2</v>
      </c>
      <c r="CE18" s="4">
        <f t="shared" si="16"/>
        <v>6.1321875000096782E-2</v>
      </c>
      <c r="CF18" s="4">
        <f t="shared" si="16"/>
        <v>7.7237500000094883E-2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14.460794999999999</v>
      </c>
      <c r="J19" s="38">
        <f t="shared" si="1"/>
        <v>0.45437068848044515</v>
      </c>
      <c r="K19" s="38">
        <f t="shared" si="2"/>
        <v>0.16800516606153026</v>
      </c>
      <c r="L19" s="38">
        <f t="shared" si="3"/>
        <v>0.11774057979390544</v>
      </c>
      <c r="M19" s="38">
        <f t="shared" si="4"/>
        <v>0.28635091171665794</v>
      </c>
      <c r="N19" s="35">
        <f t="shared" si="5"/>
        <v>5703392</v>
      </c>
      <c r="O19" s="38">
        <f t="shared" si="6"/>
        <v>0.45809418527079482</v>
      </c>
      <c r="P19" s="39">
        <v>33671783</v>
      </c>
      <c r="Q19" s="39">
        <v>1052243.21875</v>
      </c>
      <c r="R19" s="39">
        <v>12620.09375</v>
      </c>
      <c r="S19" s="40">
        <v>15424848</v>
      </c>
      <c r="T19" s="40">
        <v>3997024</v>
      </c>
      <c r="U19" s="40">
        <v>1706368</v>
      </c>
      <c r="V19" s="40">
        <v>9720960</v>
      </c>
      <c r="W19" s="41">
        <v>71.727674999999905</v>
      </c>
      <c r="X19" s="41">
        <v>75.248112500000005</v>
      </c>
      <c r="Y19" s="41">
        <v>38.865056249999903</v>
      </c>
      <c r="Z19" s="41">
        <v>48.234778124999998</v>
      </c>
      <c r="AA19" s="41">
        <v>48.802718749999997</v>
      </c>
      <c r="AB19" s="42">
        <v>15205.3</v>
      </c>
      <c r="AC19" s="42">
        <v>6897.63</v>
      </c>
      <c r="AD19" s="42">
        <v>9.9079999999999995</v>
      </c>
      <c r="AE19" s="42">
        <v>29.672000000000001</v>
      </c>
      <c r="AG19" s="37">
        <f t="shared" si="7"/>
        <v>14.382367500000001</v>
      </c>
      <c r="AH19" s="38">
        <f t="shared" si="8"/>
        <v>0.45190642858527341</v>
      </c>
      <c r="AI19" s="38">
        <f t="shared" si="9"/>
        <v>0.1738409633307311</v>
      </c>
      <c r="AJ19" s="38">
        <f t="shared" si="10"/>
        <v>0.12676292409404366</v>
      </c>
      <c r="AK19" s="38">
        <f t="shared" si="11"/>
        <v>0.27805085455228534</v>
      </c>
      <c r="AL19" s="35">
        <f t="shared" si="12"/>
        <v>5901504</v>
      </c>
      <c r="AM19" s="38">
        <f t="shared" si="13"/>
        <v>0.45470841095107678</v>
      </c>
      <c r="AN19" s="39">
        <v>33738527</v>
      </c>
      <c r="AO19" s="39">
        <v>1054328.96875</v>
      </c>
      <c r="AP19" s="39">
        <v>12725</v>
      </c>
      <c r="AQ19" s="40">
        <v>15341192</v>
      </c>
      <c r="AR19" s="40">
        <v>4303312</v>
      </c>
      <c r="AS19" s="40">
        <v>1598192</v>
      </c>
      <c r="AT19" s="40">
        <v>9439192</v>
      </c>
      <c r="AU19" s="41">
        <v>71.737759374999996</v>
      </c>
      <c r="AV19" s="41">
        <v>75.205309374999999</v>
      </c>
      <c r="AW19" s="41">
        <v>38.879606249999902</v>
      </c>
      <c r="AX19" s="41">
        <v>48.332984375000002</v>
      </c>
      <c r="AY19" s="41">
        <v>48.897359375000001</v>
      </c>
      <c r="AZ19" s="42">
        <v>8555.52</v>
      </c>
      <c r="BA19" s="42">
        <v>7846.34</v>
      </c>
      <c r="BB19" s="42">
        <v>8.2119999999999997</v>
      </c>
      <c r="BC19" s="42">
        <v>28.667999999999999</v>
      </c>
      <c r="BE19" s="43">
        <f t="shared" si="14"/>
        <v>7.5774052115564275E-5</v>
      </c>
      <c r="BF19" s="43">
        <f t="shared" si="15"/>
        <v>1.4930006828548947E-2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66744</v>
      </c>
      <c r="BV19" s="4">
        <f t="shared" si="16"/>
        <v>2085.75</v>
      </c>
      <c r="BW19" s="4">
        <f t="shared" si="16"/>
        <v>104.90625</v>
      </c>
      <c r="BX19" s="4">
        <f t="shared" si="16"/>
        <v>-83656</v>
      </c>
      <c r="BY19" s="4">
        <f t="shared" si="16"/>
        <v>306288</v>
      </c>
      <c r="BZ19" s="4">
        <f t="shared" si="16"/>
        <v>-108176</v>
      </c>
      <c r="CA19" s="4">
        <f t="shared" si="16"/>
        <v>-281768</v>
      </c>
      <c r="CB19" s="4">
        <f t="shared" si="16"/>
        <v>1.0084375000090517E-2</v>
      </c>
      <c r="CC19" s="4">
        <f t="shared" si="16"/>
        <v>-4.2803125000006048E-2</v>
      </c>
      <c r="CD19" s="4">
        <f t="shared" si="16"/>
        <v>1.4549999999999841E-2</v>
      </c>
      <c r="CE19" s="4">
        <f t="shared" si="16"/>
        <v>9.8206250000004047E-2</v>
      </c>
      <c r="CF19" s="4">
        <f t="shared" si="16"/>
        <v>9.4640625000003809E-2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2.2681874999999998</v>
      </c>
      <c r="J20" s="28">
        <f t="shared" si="1"/>
        <v>4.5068490824316181E-2</v>
      </c>
      <c r="K20" s="28">
        <f t="shared" si="2"/>
        <v>3.3365411718472009E-2</v>
      </c>
      <c r="L20" s="28">
        <f t="shared" si="3"/>
        <v>1.8870125322407331E-2</v>
      </c>
      <c r="M20" s="28">
        <f t="shared" si="4"/>
        <v>1.1687679990740661E-2</v>
      </c>
      <c r="N20" s="25">
        <f t="shared" si="5"/>
        <v>1074688</v>
      </c>
      <c r="O20" s="28">
        <f t="shared" si="6"/>
        <v>4.7128405392852617E-2</v>
      </c>
      <c r="P20" s="29">
        <v>30801806</v>
      </c>
      <c r="Q20" s="29">
        <v>962556.4375</v>
      </c>
      <c r="R20" s="29">
        <v>28246.0625</v>
      </c>
      <c r="S20" s="30">
        <v>1451640</v>
      </c>
      <c r="T20" s="30">
        <v>607800</v>
      </c>
      <c r="U20" s="30">
        <v>466888</v>
      </c>
      <c r="V20" s="30">
        <v>376456</v>
      </c>
      <c r="W20" s="31">
        <v>67.130621874999903</v>
      </c>
      <c r="X20" s="31">
        <v>68.790568749999906</v>
      </c>
      <c r="Y20" s="31">
        <v>30.040628125000001</v>
      </c>
      <c r="Z20" s="31">
        <v>39.385453124999898</v>
      </c>
      <c r="AA20" s="31">
        <v>38.009237499999898</v>
      </c>
      <c r="AB20" s="32">
        <v>14247.1</v>
      </c>
      <c r="AC20" s="32">
        <v>3776.7</v>
      </c>
      <c r="AD20" s="32">
        <v>9.9039999999999999</v>
      </c>
      <c r="AE20" s="32">
        <v>24.175999999999998</v>
      </c>
      <c r="AG20" s="27">
        <f t="shared" si="7"/>
        <v>2.2693249999999998</v>
      </c>
      <c r="AH20" s="28">
        <f t="shared" si="8"/>
        <v>4.5091092751322948E-2</v>
      </c>
      <c r="AI20" s="28">
        <f t="shared" si="9"/>
        <v>3.34925786044881E-2</v>
      </c>
      <c r="AJ20" s="28">
        <f t="shared" si="10"/>
        <v>1.9554392453216572E-2</v>
      </c>
      <c r="AK20" s="28">
        <f t="shared" si="11"/>
        <v>1.1583115031731336E-2</v>
      </c>
      <c r="AL20" s="25">
        <f t="shared" si="12"/>
        <v>1078784</v>
      </c>
      <c r="AM20" s="28">
        <f t="shared" si="13"/>
        <v>4.7812191784970759E-2</v>
      </c>
      <c r="AN20" s="29">
        <v>30376520</v>
      </c>
      <c r="AO20" s="29">
        <v>949266.25</v>
      </c>
      <c r="AP20" s="29">
        <v>28027.21875</v>
      </c>
      <c r="AQ20" s="30">
        <v>1452368</v>
      </c>
      <c r="AR20" s="30">
        <v>629840</v>
      </c>
      <c r="AS20" s="30">
        <v>448944</v>
      </c>
      <c r="AT20" s="30">
        <v>373088</v>
      </c>
      <c r="AU20" s="31">
        <v>67.204603125000006</v>
      </c>
      <c r="AV20" s="31">
        <v>68.904887500000001</v>
      </c>
      <c r="AW20" s="31">
        <v>30.067206249999899</v>
      </c>
      <c r="AX20" s="31">
        <v>39.526899999999998</v>
      </c>
      <c r="AY20" s="31">
        <v>38.150171874999899</v>
      </c>
      <c r="AZ20" s="32">
        <v>7578.87</v>
      </c>
      <c r="BA20" s="32">
        <v>3688.47</v>
      </c>
      <c r="BB20" s="32">
        <v>7.4039999999999999</v>
      </c>
      <c r="BC20" s="32">
        <v>21.824000000000002</v>
      </c>
      <c r="BE20" s="33">
        <f t="shared" si="14"/>
        <v>1.8030204495340235E-4</v>
      </c>
      <c r="BF20" s="33">
        <f t="shared" si="15"/>
        <v>2.449132786986441E-3</v>
      </c>
      <c r="BG20" s="33">
        <f t="array" ref="BG20">AVERAGE(AL20:AL24/AQ20:AQ24) - AVERAGE(N20:N24/S20:S24)</f>
        <v>4.7808326069326279E-3</v>
      </c>
      <c r="BI20" s="34">
        <f>IF( OR(ISBLANK(N20:N24),ISBLANK(AL20:AL24), ISBLANK(W20:W24),ISBLANK(AU20:AU24)), "·", bdRateExtend( N20:N24,W20:W24, AL20:AL24,AU20:AU24))</f>
        <v>2.0641060622253793E-2</v>
      </c>
      <c r="BJ20" s="34">
        <f>IF( OR(ISBLANK(N20:N24),ISBLANK(AL20:AL24), ISBLANK(X20:X24),ISBLANK(AV20:AV24)), "·", bdRateExtend( N20:N24,X20:X24, AL20:AL24,AV20:AV24))</f>
        <v>1.9736992341840232E-2</v>
      </c>
      <c r="BK20" s="34">
        <f>IF( OR(ISBLANK(V20:V24),ISBLANK(AT20:AT24), ISBLANK(Y20:Y24),ISBLANK(AW20:AW24)), "·", bdRateExtend( V20:V24,Y20:Y24, AT20:AT24,AW20:AW24))</f>
        <v>-1.4206788208658727E-2</v>
      </c>
      <c r="BL20" s="34">
        <f>IF( OR(ISBLANK(V20:V24),ISBLANK(AT20:AT24), ISBLANK(Z20:Z24),ISBLANK(AX20:AX24)), "·", bdRateExtend( V20:V24,Z20:Z24, AT20:AT24,AX20:AX24))</f>
        <v>-4.4344416751560867E-2</v>
      </c>
      <c r="BM20" s="34">
        <f>IF( OR(ISBLANK(V20:V24),ISBLANK(AT20:AT24), ISBLANK(AA20:AA24),ISBLANK(AY20:AY24)), "·", bdRateExtend( V20:V24,AA20:AA24, AT20:AT24,AY20:AY24))</f>
        <v>-3.9979119418215525E-2</v>
      </c>
      <c r="BO20" s="34">
        <f>IF( OR(ISBLANK(S20:S24),ISBLANK(AQ20:AQ24), ISBLANK(W20:W24),ISBLANK(AU20:AU24)), "·", bdRateExtend( S20:S24,W20:W24, AQ20:AQ24,AU20:AU24))</f>
        <v>5.5201756935499002E-3</v>
      </c>
      <c r="BP20" s="34">
        <f>IF( OR(ISBLANK(S20:S24),ISBLANK(AQ20:AQ24), ISBLANK(X20:X24),ISBLANK(AV20:AV24)), "·", bdRateExtend( S20:S24,X20:X24, AQ20:AQ24,AV20:AV24))</f>
        <v>1.1614749703992011E-3</v>
      </c>
      <c r="BQ20" s="34">
        <f>IF( OR(ISBLANK(S20:S24),ISBLANK(AQ20:AQ24), ISBLANK(Y20:Y24),ISBLANK(AW20:AW24)), "·", bdRateExtend( S20:S24,Y20:Y24, AQ20:AQ24,AW20:AW24))</f>
        <v>1.6040978551901119E-3</v>
      </c>
      <c r="BR20" s="34">
        <f>IF( OR(ISBLANK(S20:S24),ISBLANK(AQ20:AQ24), ISBLANK(Z20:Z24),ISBLANK(AX20:AX24)), "·", bdRateExtend( S20:S24,Z20:Z24, AQ20:AQ24,AX20:AX24))</f>
        <v>-1.3929745522222925E-2</v>
      </c>
      <c r="BS20" s="34">
        <f>IF( OR(ISBLANK(S20:S24),ISBLANK(AQ20:AQ24), ISBLANK(AA20:AA24),ISBLANK(AY20:AY24)), "·", bdRateExtend( S20:S24,AA20:AA24, AQ20:AQ24,AY20:AY24))</f>
        <v>-1.2837916052489073E-2</v>
      </c>
      <c r="BU20" s="4">
        <f t="shared" si="17"/>
        <v>-425286</v>
      </c>
      <c r="BV20" s="4">
        <f t="shared" si="16"/>
        <v>-13290.1875</v>
      </c>
      <c r="BW20" s="4">
        <f t="shared" si="16"/>
        <v>-218.84375</v>
      </c>
      <c r="BX20" s="4">
        <f t="shared" si="16"/>
        <v>728</v>
      </c>
      <c r="BY20" s="4">
        <f t="shared" si="16"/>
        <v>22040</v>
      </c>
      <c r="BZ20" s="4">
        <f t="shared" si="16"/>
        <v>-17944</v>
      </c>
      <c r="CA20" s="4">
        <f t="shared" si="16"/>
        <v>-3368</v>
      </c>
      <c r="CB20" s="4">
        <f t="shared" si="16"/>
        <v>7.398125000010225E-2</v>
      </c>
      <c r="CC20" s="4">
        <f t="shared" si="16"/>
        <v>0.11431875000009484</v>
      </c>
      <c r="CD20" s="4">
        <f t="shared" si="16"/>
        <v>2.6578124999897312E-2</v>
      </c>
      <c r="CE20" s="4">
        <f t="shared" si="16"/>
        <v>0.14144687500009923</v>
      </c>
      <c r="CF20" s="4">
        <f t="shared" si="16"/>
        <v>0.1409343750000005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3.1077625000000002</v>
      </c>
      <c r="J21" s="18">
        <f t="shared" si="1"/>
        <v>6.1750699937903691E-2</v>
      </c>
      <c r="K21" s="18">
        <f t="shared" si="2"/>
        <v>3.8931446709918514E-2</v>
      </c>
      <c r="L21" s="18">
        <f t="shared" si="3"/>
        <v>2.4436160313853837E-2</v>
      </c>
      <c r="M21" s="18">
        <f t="shared" si="4"/>
        <v>2.2803854112881661E-2</v>
      </c>
      <c r="N21" s="15">
        <f t="shared" si="5"/>
        <v>1253968</v>
      </c>
      <c r="O21" s="18">
        <f t="shared" si="6"/>
        <v>6.2887052877796099E-2</v>
      </c>
      <c r="P21" s="19">
        <v>31627623</v>
      </c>
      <c r="Q21" s="19">
        <v>988363.21875</v>
      </c>
      <c r="R21" s="19">
        <v>32272.96875</v>
      </c>
      <c r="S21" s="20">
        <v>1988968</v>
      </c>
      <c r="T21" s="20">
        <v>787080</v>
      </c>
      <c r="U21" s="20">
        <v>466888</v>
      </c>
      <c r="V21" s="20">
        <v>734504</v>
      </c>
      <c r="W21" s="21">
        <v>68.791021874999998</v>
      </c>
      <c r="X21" s="21">
        <v>70.898106249999998</v>
      </c>
      <c r="Y21" s="21">
        <v>31.562603124999999</v>
      </c>
      <c r="Z21" s="21">
        <v>40.492534374999998</v>
      </c>
      <c r="AA21" s="21">
        <v>39.295643749999897</v>
      </c>
      <c r="AB21" s="22">
        <v>16383.4</v>
      </c>
      <c r="AC21" s="22">
        <v>3903.34</v>
      </c>
      <c r="AD21" s="22">
        <v>7.508</v>
      </c>
      <c r="AE21" s="22">
        <v>20.388000000000002</v>
      </c>
      <c r="AG21" s="17">
        <f t="shared" si="7"/>
        <v>3.1661999999999999</v>
      </c>
      <c r="AH21" s="18">
        <f t="shared" si="8"/>
        <v>6.2911842891273273E-2</v>
      </c>
      <c r="AI21" s="18">
        <f t="shared" si="9"/>
        <v>3.9930402209052737E-2</v>
      </c>
      <c r="AJ21" s="18">
        <f t="shared" si="10"/>
        <v>2.5992216057781205E-2</v>
      </c>
      <c r="AK21" s="18">
        <f t="shared" si="11"/>
        <v>2.2966041567117026E-2</v>
      </c>
      <c r="AL21" s="15">
        <f t="shared" si="12"/>
        <v>1286144</v>
      </c>
      <c r="AM21" s="18">
        <f t="shared" si="13"/>
        <v>6.3925515125260526E-2</v>
      </c>
      <c r="AN21" s="19">
        <v>31698892</v>
      </c>
      <c r="AO21" s="19">
        <v>990590.375</v>
      </c>
      <c r="AP21" s="19">
        <v>32949.125</v>
      </c>
      <c r="AQ21" s="20">
        <v>2026368</v>
      </c>
      <c r="AR21" s="20">
        <v>837200</v>
      </c>
      <c r="AS21" s="20">
        <v>448944</v>
      </c>
      <c r="AT21" s="20">
        <v>739728</v>
      </c>
      <c r="AU21" s="21">
        <v>68.80078125</v>
      </c>
      <c r="AV21" s="21">
        <v>70.929412499999998</v>
      </c>
      <c r="AW21" s="21">
        <v>31.614225000000001</v>
      </c>
      <c r="AX21" s="21">
        <v>40.626281249999998</v>
      </c>
      <c r="AY21" s="21">
        <v>39.392356249999999</v>
      </c>
      <c r="AZ21" s="22">
        <v>9823.68</v>
      </c>
      <c r="BA21" s="22">
        <v>3906.94</v>
      </c>
      <c r="BB21" s="22">
        <v>7.532</v>
      </c>
      <c r="BC21" s="22">
        <v>22.571999999999999</v>
      </c>
      <c r="BE21" s="23">
        <f t="shared" si="14"/>
        <v>6.0916505662359649E-4</v>
      </c>
      <c r="BF21" s="23">
        <f t="shared" si="15"/>
        <v>4.2424353203498466E-3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71269</v>
      </c>
      <c r="BV21" s="4">
        <f t="shared" ref="BV21:BV29" si="18">AO21-Q21</f>
        <v>2227.15625</v>
      </c>
      <c r="BW21" s="4">
        <f t="shared" ref="BW21:BW29" si="19">AP21-R21</f>
        <v>676.15625</v>
      </c>
      <c r="BX21" s="4">
        <f t="shared" ref="BX21:BX29" si="20">AQ21-S21</f>
        <v>37400</v>
      </c>
      <c r="BY21" s="4">
        <f t="shared" ref="BY21:BY29" si="21">AR21-T21</f>
        <v>50120</v>
      </c>
      <c r="BZ21" s="4">
        <f t="shared" ref="BZ21:BZ29" si="22">AS21-U21</f>
        <v>-17944</v>
      </c>
      <c r="CA21" s="4">
        <f t="shared" ref="CA21:CA29" si="23">AT21-V21</f>
        <v>5224</v>
      </c>
      <c r="CB21" s="4">
        <f t="shared" ref="CB21:CB29" si="24">AU21-W21</f>
        <v>9.7593750000015689E-3</v>
      </c>
      <c r="CC21" s="4">
        <f t="shared" ref="CC21:CC29" si="25">AV21-X21</f>
        <v>3.1306250000000091E-2</v>
      </c>
      <c r="CD21" s="4">
        <f t="shared" ref="CD21:CD29" si="26">AW21-Y21</f>
        <v>5.1621875000002149E-2</v>
      </c>
      <c r="CE21" s="4">
        <f t="shared" ref="CE21:CE29" si="27">AX21-Z21</f>
        <v>0.13374687499999993</v>
      </c>
      <c r="CF21" s="4">
        <f t="shared" ref="CF21:CF29" si="28">AY21-AA21</f>
        <v>9.6712500000101898E-2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5.0993500000000003</v>
      </c>
      <c r="J22" s="28">
        <f t="shared" si="1"/>
        <v>0.10132319690721192</v>
      </c>
      <c r="K22" s="28">
        <f t="shared" si="2"/>
        <v>4.5931089642937052E-2</v>
      </c>
      <c r="L22" s="28">
        <f t="shared" si="3"/>
        <v>3.1435803246872375E-2</v>
      </c>
      <c r="M22" s="28">
        <f t="shared" si="4"/>
        <v>5.5376708149171353E-2</v>
      </c>
      <c r="N22" s="25">
        <f t="shared" si="5"/>
        <v>1479424</v>
      </c>
      <c r="O22" s="28">
        <f t="shared" si="6"/>
        <v>9.966170554396149E-2</v>
      </c>
      <c r="P22" s="29">
        <v>32746620</v>
      </c>
      <c r="Q22" s="29">
        <v>1023331.875</v>
      </c>
      <c r="R22" s="29">
        <v>34640.1875</v>
      </c>
      <c r="S22" s="30">
        <v>3263584</v>
      </c>
      <c r="T22" s="30">
        <v>1012536</v>
      </c>
      <c r="U22" s="30">
        <v>466888</v>
      </c>
      <c r="V22" s="30">
        <v>1783664</v>
      </c>
      <c r="W22" s="31">
        <v>70.003465624999905</v>
      </c>
      <c r="X22" s="31">
        <v>72.449924999999993</v>
      </c>
      <c r="Y22" s="31">
        <v>33.580721874999902</v>
      </c>
      <c r="Z22" s="31">
        <v>41.718596874999903</v>
      </c>
      <c r="AA22" s="31">
        <v>40.583143749999898</v>
      </c>
      <c r="AB22" s="32">
        <v>17869.3</v>
      </c>
      <c r="AC22" s="32">
        <v>4092.97</v>
      </c>
      <c r="AD22" s="32">
        <v>7.5759999999999996</v>
      </c>
      <c r="AE22" s="32">
        <v>20.731999999999999</v>
      </c>
      <c r="AG22" s="27">
        <f t="shared" si="7"/>
        <v>5.1201749999999997</v>
      </c>
      <c r="AH22" s="28">
        <f t="shared" si="8"/>
        <v>0.10173698603241271</v>
      </c>
      <c r="AI22" s="28">
        <f t="shared" si="9"/>
        <v>4.6541341672119742E-2</v>
      </c>
      <c r="AJ22" s="28">
        <f t="shared" si="10"/>
        <v>3.2603155520848213E-2</v>
      </c>
      <c r="AK22" s="28">
        <f t="shared" si="11"/>
        <v>5.5180245245189462E-2</v>
      </c>
      <c r="AL22" s="25">
        <f t="shared" si="12"/>
        <v>1499080</v>
      </c>
      <c r="AM22" s="28">
        <f t="shared" si="13"/>
        <v>0.10009644277868467</v>
      </c>
      <c r="AN22" s="29">
        <v>32737547</v>
      </c>
      <c r="AO22" s="29">
        <v>1023048.34375</v>
      </c>
      <c r="AP22" s="29">
        <v>34857.65625</v>
      </c>
      <c r="AQ22" s="30">
        <v>3276912</v>
      </c>
      <c r="AR22" s="30">
        <v>1050136</v>
      </c>
      <c r="AS22" s="30">
        <v>448944</v>
      </c>
      <c r="AT22" s="30">
        <v>1777336</v>
      </c>
      <c r="AU22" s="31">
        <v>70.036371875</v>
      </c>
      <c r="AV22" s="31">
        <v>72.510518750000003</v>
      </c>
      <c r="AW22" s="31">
        <v>33.626375000000003</v>
      </c>
      <c r="AX22" s="31">
        <v>41.784246875000001</v>
      </c>
      <c r="AY22" s="31">
        <v>40.642556249999998</v>
      </c>
      <c r="AZ22" s="32">
        <v>9329.76</v>
      </c>
      <c r="BA22" s="32">
        <v>4305.7299999999996</v>
      </c>
      <c r="BB22" s="32">
        <v>7.0359999999999996</v>
      </c>
      <c r="BC22" s="32">
        <v>20.783999999999999</v>
      </c>
      <c r="BE22" s="33">
        <f t="shared" si="14"/>
        <v>2.2195079636733867E-4</v>
      </c>
      <c r="BF22" s="33">
        <f t="shared" si="15"/>
        <v>4.154596961875201E-3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-9073</v>
      </c>
      <c r="BV22" s="4">
        <f t="shared" si="18"/>
        <v>-283.53125</v>
      </c>
      <c r="BW22" s="4">
        <f t="shared" si="19"/>
        <v>217.46875</v>
      </c>
      <c r="BX22" s="4">
        <f t="shared" si="20"/>
        <v>13328</v>
      </c>
      <c r="BY22" s="4">
        <f t="shared" si="21"/>
        <v>37600</v>
      </c>
      <c r="BZ22" s="4">
        <f t="shared" si="22"/>
        <v>-17944</v>
      </c>
      <c r="CA22" s="4">
        <f t="shared" si="23"/>
        <v>-6328</v>
      </c>
      <c r="CB22" s="4">
        <f t="shared" si="24"/>
        <v>3.2906250000095838E-2</v>
      </c>
      <c r="CC22" s="4">
        <f t="shared" si="25"/>
        <v>6.059375000000955E-2</v>
      </c>
      <c r="CD22" s="4">
        <f t="shared" si="26"/>
        <v>4.5653125000100658E-2</v>
      </c>
      <c r="CE22" s="4">
        <f t="shared" si="27"/>
        <v>6.5650000000097464E-2</v>
      </c>
      <c r="CF22" s="4">
        <f t="shared" si="28"/>
        <v>5.941250000010001E-2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9.4624625000000009</v>
      </c>
      <c r="J23" s="18">
        <f t="shared" si="1"/>
        <v>0.18801748283891256</v>
      </c>
      <c r="K23" s="18">
        <f t="shared" si="2"/>
        <v>6.5459651322431603E-2</v>
      </c>
      <c r="L23" s="18">
        <f t="shared" si="3"/>
        <v>5.0964364926366926E-2</v>
      </c>
      <c r="M23" s="18">
        <f t="shared" si="4"/>
        <v>0.12254243240137744</v>
      </c>
      <c r="N23" s="15">
        <f t="shared" si="5"/>
        <v>2108432</v>
      </c>
      <c r="O23" s="18">
        <f t="shared" si="6"/>
        <v>0.18323559519247923</v>
      </c>
      <c r="P23" s="19">
        <v>33050216</v>
      </c>
      <c r="Q23" s="19">
        <v>1032819.25</v>
      </c>
      <c r="R23" s="19">
        <v>36820.71875</v>
      </c>
      <c r="S23" s="20">
        <v>6055976</v>
      </c>
      <c r="T23" s="20">
        <v>1641544</v>
      </c>
      <c r="U23" s="20">
        <v>466888</v>
      </c>
      <c r="V23" s="20">
        <v>3947048</v>
      </c>
      <c r="W23" s="21">
        <v>70.935637499999999</v>
      </c>
      <c r="X23" s="21">
        <v>73.669268750000001</v>
      </c>
      <c r="Y23" s="21">
        <v>35.489134374999999</v>
      </c>
      <c r="Z23" s="21">
        <v>42.832921874999897</v>
      </c>
      <c r="AA23" s="21">
        <v>41.608640625</v>
      </c>
      <c r="AB23" s="22">
        <v>17878.599999999999</v>
      </c>
      <c r="AC23" s="22">
        <v>4479.4399999999996</v>
      </c>
      <c r="AD23" s="22">
        <v>7.5960000000000001</v>
      </c>
      <c r="AE23" s="22">
        <v>21.364000000000001</v>
      </c>
      <c r="AG23" s="17">
        <f t="shared" si="7"/>
        <v>9.5867374999999999</v>
      </c>
      <c r="AH23" s="18">
        <f t="shared" si="8"/>
        <v>0.19048680545760782</v>
      </c>
      <c r="AI23" s="18">
        <f t="shared" si="9"/>
        <v>6.7799571699692543E-2</v>
      </c>
      <c r="AJ23" s="18">
        <f t="shared" si="10"/>
        <v>5.3861385548421015E-2</v>
      </c>
      <c r="AK23" s="18">
        <f t="shared" si="11"/>
        <v>0.12267183464281178</v>
      </c>
      <c r="AL23" s="15">
        <f t="shared" si="12"/>
        <v>2183800</v>
      </c>
      <c r="AM23" s="18">
        <f t="shared" si="13"/>
        <v>0.18587936414991357</v>
      </c>
      <c r="AN23" s="19">
        <v>33008032</v>
      </c>
      <c r="AO23" s="19">
        <v>1031501</v>
      </c>
      <c r="AP23" s="19">
        <v>37083.65625</v>
      </c>
      <c r="AQ23" s="20">
        <v>6135512</v>
      </c>
      <c r="AR23" s="20">
        <v>1734856</v>
      </c>
      <c r="AS23" s="20">
        <v>448944</v>
      </c>
      <c r="AT23" s="20">
        <v>3951216</v>
      </c>
      <c r="AU23" s="21">
        <v>70.940271874999993</v>
      </c>
      <c r="AV23" s="21">
        <v>73.698021874999995</v>
      </c>
      <c r="AW23" s="21">
        <v>35.503743749999899</v>
      </c>
      <c r="AX23" s="21">
        <v>42.825853124999902</v>
      </c>
      <c r="AY23" s="21">
        <v>41.631606249999997</v>
      </c>
      <c r="AZ23" s="22">
        <v>9770.44</v>
      </c>
      <c r="BA23" s="22">
        <v>4400.58</v>
      </c>
      <c r="BB23" s="22">
        <v>7.5839999999999996</v>
      </c>
      <c r="BC23" s="22">
        <v>23.9</v>
      </c>
      <c r="BE23" s="23">
        <f t="shared" si="14"/>
        <v>3.004689495125154E-4</v>
      </c>
      <c r="BF23" s="23">
        <f t="shared" si="15"/>
        <v>7.7706578212697885E-3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-42184</v>
      </c>
      <c r="BV23" s="4">
        <f t="shared" si="18"/>
        <v>-1318.25</v>
      </c>
      <c r="BW23" s="4">
        <f t="shared" si="19"/>
        <v>262.9375</v>
      </c>
      <c r="BX23" s="4">
        <f t="shared" si="20"/>
        <v>79536</v>
      </c>
      <c r="BY23" s="4">
        <f t="shared" si="21"/>
        <v>93312</v>
      </c>
      <c r="BZ23" s="4">
        <f t="shared" si="22"/>
        <v>-17944</v>
      </c>
      <c r="CA23" s="4">
        <f t="shared" si="23"/>
        <v>4168</v>
      </c>
      <c r="CB23" s="4">
        <f t="shared" si="24"/>
        <v>4.6343749999948614E-3</v>
      </c>
      <c r="CC23" s="4">
        <f t="shared" si="25"/>
        <v>2.8753124999994384E-2</v>
      </c>
      <c r="CD23" s="4">
        <f t="shared" si="26"/>
        <v>1.4609374999899671E-2</v>
      </c>
      <c r="CE23" s="4">
        <f t="shared" si="27"/>
        <v>-7.06874999999485E-3</v>
      </c>
      <c r="CF23" s="4">
        <f t="shared" si="28"/>
        <v>2.2965624999997658E-2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17.533000000000001</v>
      </c>
      <c r="J24" s="48">
        <f t="shared" si="1"/>
        <v>0.3483776582062707</v>
      </c>
      <c r="K24" s="48">
        <f t="shared" si="2"/>
        <v>0.11173573081825217</v>
      </c>
      <c r="L24" s="48">
        <f t="shared" si="3"/>
        <v>8.0884845572488956E-2</v>
      </c>
      <c r="M24" s="48">
        <f t="shared" si="4"/>
        <v>0.23662652827291503</v>
      </c>
      <c r="N24" s="45">
        <f t="shared" si="5"/>
        <v>3598968</v>
      </c>
      <c r="O24" s="48">
        <f t="shared" si="6"/>
        <v>0.35631017750509397</v>
      </c>
      <c r="P24" s="49">
        <v>31492561</v>
      </c>
      <c r="Q24" s="49">
        <v>984142.53125</v>
      </c>
      <c r="R24" s="49">
        <v>10237.09375</v>
      </c>
      <c r="S24" s="50">
        <v>11221120</v>
      </c>
      <c r="T24" s="50">
        <v>2605272</v>
      </c>
      <c r="U24" s="50">
        <v>993696</v>
      </c>
      <c r="V24" s="50">
        <v>7621656</v>
      </c>
      <c r="W24" s="51">
        <v>72.228803124999999</v>
      </c>
      <c r="X24" s="51">
        <v>76.166456249999996</v>
      </c>
      <c r="Y24" s="51">
        <v>37.177734375</v>
      </c>
      <c r="Z24" s="51">
        <v>43.906037499999996</v>
      </c>
      <c r="AA24" s="51">
        <v>42.582962500000001</v>
      </c>
      <c r="AB24" s="52">
        <v>17814.2</v>
      </c>
      <c r="AC24" s="52">
        <v>5093.16</v>
      </c>
      <c r="AD24" s="52">
        <v>8.048</v>
      </c>
      <c r="AE24" s="52">
        <v>22.696000000000002</v>
      </c>
      <c r="AG24" s="47">
        <f t="shared" si="7"/>
        <v>17.560175000000001</v>
      </c>
      <c r="AH24" s="48">
        <f t="shared" si="8"/>
        <v>0.34891762072619059</v>
      </c>
      <c r="AI24" s="48">
        <f t="shared" si="9"/>
        <v>0.11375376001528487</v>
      </c>
      <c r="AJ24" s="48">
        <f t="shared" si="10"/>
        <v>8.3732191629693004E-2</v>
      </c>
      <c r="AK24" s="48">
        <f t="shared" si="11"/>
        <v>0.23514846159580222</v>
      </c>
      <c r="AL24" s="45">
        <f t="shared" si="12"/>
        <v>3663968</v>
      </c>
      <c r="AM24" s="48">
        <f t="shared" si="13"/>
        <v>0.35673428607542046</v>
      </c>
      <c r="AN24" s="49">
        <v>31503874</v>
      </c>
      <c r="AO24" s="49">
        <v>984496.0625</v>
      </c>
      <c r="AP24" s="49">
        <v>10268.84375</v>
      </c>
      <c r="AQ24" s="50">
        <v>11238512</v>
      </c>
      <c r="AR24" s="50">
        <v>2696984</v>
      </c>
      <c r="AS24" s="50">
        <v>966984</v>
      </c>
      <c r="AT24" s="50">
        <v>7574048</v>
      </c>
      <c r="AU24" s="51">
        <v>72.217596874999998</v>
      </c>
      <c r="AV24" s="51">
        <v>76.136053125000004</v>
      </c>
      <c r="AW24" s="51">
        <v>37.182809374999998</v>
      </c>
      <c r="AX24" s="51">
        <v>43.929884374999901</v>
      </c>
      <c r="AY24" s="51">
        <v>42.583971874999897</v>
      </c>
      <c r="AZ24" s="52">
        <v>7213.2</v>
      </c>
      <c r="BA24" s="52">
        <v>5303.22</v>
      </c>
      <c r="BB24" s="52">
        <v>8.1080000000000005</v>
      </c>
      <c r="BC24" s="52">
        <v>25.308</v>
      </c>
      <c r="BE24" s="53">
        <f t="shared" si="14"/>
        <v>2.851464166261225E-5</v>
      </c>
      <c r="BF24" s="53">
        <f t="shared" si="15"/>
        <v>5.2873401441821399E-3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11313</v>
      </c>
      <c r="BV24" s="4">
        <f t="shared" si="18"/>
        <v>353.53125</v>
      </c>
      <c r="BW24" s="4">
        <f t="shared" si="19"/>
        <v>31.75</v>
      </c>
      <c r="BX24" s="4">
        <f t="shared" si="20"/>
        <v>17392</v>
      </c>
      <c r="BY24" s="4">
        <f t="shared" si="21"/>
        <v>91712</v>
      </c>
      <c r="BZ24" s="4">
        <f t="shared" si="22"/>
        <v>-26712</v>
      </c>
      <c r="CA24" s="4">
        <f t="shared" si="23"/>
        <v>-47608</v>
      </c>
      <c r="CB24" s="4">
        <f t="shared" si="24"/>
        <v>-1.120625000000075E-2</v>
      </c>
      <c r="CC24" s="4">
        <f t="shared" si="25"/>
        <v>-3.0403124999992315E-2</v>
      </c>
      <c r="CD24" s="4">
        <f t="shared" si="26"/>
        <v>5.0749999999979423E-3</v>
      </c>
      <c r="CE24" s="4">
        <f t="shared" si="27"/>
        <v>2.3846874999904344E-2</v>
      </c>
      <c r="CF24" s="4">
        <f t="shared" si="28"/>
        <v>1.0093749998958401E-3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2.2948200000000001</v>
      </c>
      <c r="J25" s="18">
        <f t="shared" si="1"/>
        <v>9.6703877402734659E-2</v>
      </c>
      <c r="K25" s="18">
        <f t="shared" si="2"/>
        <v>6.1812530834679975E-2</v>
      </c>
      <c r="L25" s="18">
        <f t="shared" si="3"/>
        <v>3.6407757017823041E-2</v>
      </c>
      <c r="M25" s="18">
        <f t="shared" si="4"/>
        <v>3.487175143510645E-2</v>
      </c>
      <c r="N25" s="15">
        <f t="shared" si="5"/>
        <v>1564624</v>
      </c>
      <c r="O25" s="18">
        <f t="shared" si="6"/>
        <v>0.10524888735073576</v>
      </c>
      <c r="P25" s="19">
        <v>23257329</v>
      </c>
      <c r="Q25" s="19">
        <v>726791.53125</v>
      </c>
      <c r="R25" s="19">
        <v>18232.34375</v>
      </c>
      <c r="S25" s="20">
        <v>2447808</v>
      </c>
      <c r="T25" s="20">
        <v>921568</v>
      </c>
      <c r="U25" s="20">
        <v>643056</v>
      </c>
      <c r="V25" s="20">
        <v>882688</v>
      </c>
      <c r="W25" s="21">
        <v>66.245468750000001</v>
      </c>
      <c r="X25" s="21">
        <v>68.005784375000005</v>
      </c>
      <c r="Y25" s="21">
        <v>26.016018750000001</v>
      </c>
      <c r="Z25" s="21">
        <v>32.498974999999902</v>
      </c>
      <c r="AA25" s="21">
        <v>31.714106249999901</v>
      </c>
      <c r="AB25" s="22">
        <v>10149.799999999999</v>
      </c>
      <c r="AC25" s="22">
        <v>5485.74</v>
      </c>
      <c r="AD25" s="22">
        <v>7.0960000000000001</v>
      </c>
      <c r="AE25" s="22">
        <v>30.655999999999999</v>
      </c>
      <c r="AG25" s="17">
        <f t="shared" si="7"/>
        <v>2.3648099999999999</v>
      </c>
      <c r="AH25" s="18">
        <f t="shared" si="8"/>
        <v>9.9653260961975645E-2</v>
      </c>
      <c r="AI25" s="18">
        <f t="shared" si="9"/>
        <v>6.4164894940062597E-2</v>
      </c>
      <c r="AJ25" s="18">
        <f t="shared" si="10"/>
        <v>3.8786353317313782E-2</v>
      </c>
      <c r="AK25" s="18">
        <f t="shared" si="11"/>
        <v>3.5468770888964808E-2</v>
      </c>
      <c r="AL25" s="15">
        <f t="shared" si="12"/>
        <v>1624168</v>
      </c>
      <c r="AM25" s="18">
        <f t="shared" si="13"/>
        <v>0.10889780508538638</v>
      </c>
      <c r="AN25" s="19">
        <v>23163589</v>
      </c>
      <c r="AO25" s="19">
        <v>723862.15625</v>
      </c>
      <c r="AP25" s="19">
        <v>18495.3125</v>
      </c>
      <c r="AQ25" s="20">
        <v>2522464</v>
      </c>
      <c r="AR25" s="20">
        <v>981776</v>
      </c>
      <c r="AS25" s="20">
        <v>642392</v>
      </c>
      <c r="AT25" s="20">
        <v>897800</v>
      </c>
      <c r="AU25" s="21">
        <v>66.208834374999995</v>
      </c>
      <c r="AV25" s="21">
        <v>68.006078125000002</v>
      </c>
      <c r="AW25" s="21">
        <v>26.000909374999999</v>
      </c>
      <c r="AX25" s="21">
        <v>32.513221874999999</v>
      </c>
      <c r="AY25" s="21">
        <v>31.715006249999899</v>
      </c>
      <c r="AZ25" s="22">
        <v>6992.4</v>
      </c>
      <c r="BA25" s="22">
        <v>6447.2</v>
      </c>
      <c r="BB25" s="22">
        <v>7.548</v>
      </c>
      <c r="BC25" s="22">
        <v>35.795999999999999</v>
      </c>
      <c r="BE25" s="23">
        <f t="shared" si="14"/>
        <v>4.648057029971453E-4</v>
      </c>
      <c r="BF25" s="23">
        <f t="shared" si="15"/>
        <v>4.6876143452483365E-3</v>
      </c>
      <c r="BG25" s="23">
        <f t="array" ref="BG25">AVERAGE(AL25:AL29/AQ25:AQ29) - AVERAGE(N25:N29/S25:S29)</f>
        <v>3.1121310150483694E-3</v>
      </c>
      <c r="BI25" s="24">
        <f>IF( OR(ISBLANK(N25:N29),ISBLANK(AL25:AL29), ISBLANK(W25:W29),ISBLANK(AU25:AU29)), "·", bdRateExtend( N25:N29,W25:W29, AL25:AL29,AU25:AU29))</f>
        <v>3.3759277335114302E-2</v>
      </c>
      <c r="BJ25" s="24">
        <f>IF( OR(ISBLANK(N25:N29),ISBLANK(AL25:AL29), ISBLANK(X25:X29),ISBLANK(AV25:AV29)), "·", bdRateExtend( N25:N29,X25:X29, AL25:AL29,AV25:AV29))</f>
        <v>3.0013308199760003E-2</v>
      </c>
      <c r="BK25" s="24">
        <f>IF( OR(ISBLANK(V25:V29),ISBLANK(AT25:AT29), ISBLANK(Y25:Y29),ISBLANK(AW25:AW29)), "·", bdRateExtend( V25:V29,Y25:Y29, AT25:AT29,AW25:AW29))</f>
        <v>2.0138079402330034E-2</v>
      </c>
      <c r="BL25" s="24">
        <f>IF( OR(ISBLANK(V25:V29),ISBLANK(AT25:AT29), ISBLANK(Z25:Z29),ISBLANK(AX25:AX29)), "·", bdRateExtend( V25:V29,Z25:Z29, AT25:AT29,AX25:AX29))</f>
        <v>1.6284801815851679E-2</v>
      </c>
      <c r="BM25" s="24">
        <f>IF( OR(ISBLANK(V25:V29),ISBLANK(AT25:AT29), ISBLANK(AA25:AA29),ISBLANK(AY25:AY29)), "·", bdRateExtend( V25:V29,AA25:AA29, AT25:AT29,AY25:AY29))</f>
        <v>2.1400918543676539E-2</v>
      </c>
      <c r="BO25" s="24">
        <f>IF( OR(ISBLANK(S25:S29),ISBLANK(AQ25:AQ29), ISBLANK(W25:W29),ISBLANK(AU25:AU29)), "·", bdRateExtend( S25:S29,W25:W29, AQ25:AQ29,AU25:AU29))</f>
        <v>2.4396774598214543E-2</v>
      </c>
      <c r="BP25" s="24">
        <f>IF( OR(ISBLANK(S25:S29),ISBLANK(AQ25:AQ29), ISBLANK(X25:X29),ISBLANK(AV25:AV29)), "·", bdRateExtend( S25:S29,X25:X29, AQ25:AQ29,AV25:AV29))</f>
        <v>1.63858696507444E-2</v>
      </c>
      <c r="BQ25" s="24">
        <f>IF( OR(ISBLANK(S25:S29),ISBLANK(AQ25:AQ29), ISBLANK(Y25:Y29),ISBLANK(AW25:AW29)), "·", bdRateExtend( S25:S29,Y25:Y29, AQ25:AQ29,AW25:AW29))</f>
        <v>2.5204104520672566E-2</v>
      </c>
      <c r="BR25" s="24">
        <f>IF( OR(ISBLANK(S25:S29),ISBLANK(AQ25:AQ29), ISBLANK(Z25:Z29),ISBLANK(AX25:AX29)), "·", bdRateExtend( S25:S29,Z25:Z29, AQ25:AQ29,AX25:AX29))</f>
        <v>2.2775395316775526E-2</v>
      </c>
      <c r="BS25" s="24">
        <f>IF( OR(ISBLANK(S25:S29),ISBLANK(AQ25:AQ29), ISBLANK(AA25:AA29),ISBLANK(AY25:AY29)), "·", bdRateExtend( S25:S29,AA25:AA29, AQ25:AQ29,AY25:AY29))</f>
        <v>2.6465330017085842E-2</v>
      </c>
      <c r="BU25" s="4">
        <f t="shared" si="17"/>
        <v>-93740</v>
      </c>
      <c r="BV25" s="4">
        <f t="shared" si="18"/>
        <v>-2929.375</v>
      </c>
      <c r="BW25" s="4">
        <f t="shared" si="19"/>
        <v>262.96875</v>
      </c>
      <c r="BX25" s="4">
        <f t="shared" si="20"/>
        <v>74656</v>
      </c>
      <c r="BY25" s="4">
        <f t="shared" si="21"/>
        <v>60208</v>
      </c>
      <c r="BZ25" s="4">
        <f t="shared" si="22"/>
        <v>-664</v>
      </c>
      <c r="CA25" s="4">
        <f t="shared" si="23"/>
        <v>15112</v>
      </c>
      <c r="CB25" s="4">
        <f t="shared" si="24"/>
        <v>-3.6634375000005548E-2</v>
      </c>
      <c r="CC25" s="4">
        <f t="shared" si="25"/>
        <v>2.9374999999731699E-4</v>
      </c>
      <c r="CD25" s="4">
        <f t="shared" si="26"/>
        <v>-1.5109375000001535E-2</v>
      </c>
      <c r="CE25" s="4">
        <f t="shared" si="27"/>
        <v>1.4246875000097248E-2</v>
      </c>
      <c r="CF25" s="4">
        <f t="shared" si="28"/>
        <v>8.9999999999790248E-4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3.4924274999999998</v>
      </c>
      <c r="J26" s="28">
        <f t="shared" si="1"/>
        <v>0.14717114231091724</v>
      </c>
      <c r="K26" s="28">
        <f t="shared" si="2"/>
        <v>7.5544610374485108E-2</v>
      </c>
      <c r="L26" s="28">
        <f t="shared" si="3"/>
        <v>5.013983655762818E-2</v>
      </c>
      <c r="M26" s="28">
        <f t="shared" si="4"/>
        <v>7.1606936803483887E-2</v>
      </c>
      <c r="N26" s="25">
        <f t="shared" si="5"/>
        <v>1912216</v>
      </c>
      <c r="O26" s="28">
        <f t="shared" si="6"/>
        <v>0.14906998725089016</v>
      </c>
      <c r="P26" s="29">
        <v>24989980</v>
      </c>
      <c r="Q26" s="29">
        <v>780936.875</v>
      </c>
      <c r="R26" s="29">
        <v>23156.5625</v>
      </c>
      <c r="S26" s="30">
        <v>3725256</v>
      </c>
      <c r="T26" s="30">
        <v>1269160</v>
      </c>
      <c r="U26" s="30">
        <v>643056</v>
      </c>
      <c r="V26" s="30">
        <v>1812544</v>
      </c>
      <c r="W26" s="31">
        <v>68.037143749999899</v>
      </c>
      <c r="X26" s="31">
        <v>70.009271874999996</v>
      </c>
      <c r="Y26" s="31">
        <v>28.059918750000001</v>
      </c>
      <c r="Z26" s="31">
        <v>33.753224999999901</v>
      </c>
      <c r="AA26" s="31">
        <v>33.158000000000001</v>
      </c>
      <c r="AB26" s="32">
        <v>11253.9</v>
      </c>
      <c r="AC26" s="32">
        <v>5811.54</v>
      </c>
      <c r="AD26" s="32">
        <v>6.984</v>
      </c>
      <c r="AE26" s="32">
        <v>29.923999999999999</v>
      </c>
      <c r="AG26" s="27">
        <f t="shared" si="7"/>
        <v>3.6030224999999998</v>
      </c>
      <c r="AH26" s="28">
        <f t="shared" si="8"/>
        <v>0.15183162344728324</v>
      </c>
      <c r="AI26" s="28">
        <f t="shared" si="9"/>
        <v>7.8425094917875846E-2</v>
      </c>
      <c r="AJ26" s="28">
        <f t="shared" si="10"/>
        <v>5.3046553295127037E-2</v>
      </c>
      <c r="AK26" s="28">
        <f t="shared" si="11"/>
        <v>7.3386933396459159E-2</v>
      </c>
      <c r="AL26" s="25">
        <f t="shared" si="12"/>
        <v>1985128</v>
      </c>
      <c r="AM26" s="28">
        <f t="shared" si="13"/>
        <v>0.15447912297951838</v>
      </c>
      <c r="AN26" s="29">
        <v>24878598</v>
      </c>
      <c r="AO26" s="29">
        <v>777456.1875</v>
      </c>
      <c r="AP26" s="29">
        <v>22876.875</v>
      </c>
      <c r="AQ26" s="30">
        <v>3843224</v>
      </c>
      <c r="AR26" s="30">
        <v>1342736</v>
      </c>
      <c r="AS26" s="30">
        <v>642392</v>
      </c>
      <c r="AT26" s="30">
        <v>1857600</v>
      </c>
      <c r="AU26" s="31">
        <v>68.036031249999994</v>
      </c>
      <c r="AV26" s="31">
        <v>70.051965624999994</v>
      </c>
      <c r="AW26" s="31">
        <v>28.064146874999999</v>
      </c>
      <c r="AX26" s="31">
        <v>33.7755624999999</v>
      </c>
      <c r="AY26" s="31">
        <v>33.155615624999903</v>
      </c>
      <c r="AZ26" s="32">
        <v>5918.16</v>
      </c>
      <c r="BA26" s="32">
        <v>7043.48</v>
      </c>
      <c r="BB26" s="32">
        <v>7.6840000000000002</v>
      </c>
      <c r="BC26" s="32">
        <v>36.323999999999998</v>
      </c>
      <c r="BE26" s="33">
        <f t="shared" si="14"/>
        <v>-2.2699306579528414E-4</v>
      </c>
      <c r="BF26" s="33">
        <f t="shared" si="15"/>
        <v>3.2154494683903634E-3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-111382</v>
      </c>
      <c r="BV26" s="4">
        <f t="shared" si="18"/>
        <v>-3480.6875</v>
      </c>
      <c r="BW26" s="4">
        <f t="shared" si="19"/>
        <v>-279.6875</v>
      </c>
      <c r="BX26" s="4">
        <f t="shared" si="20"/>
        <v>117968</v>
      </c>
      <c r="BY26" s="4">
        <f t="shared" si="21"/>
        <v>73576</v>
      </c>
      <c r="BZ26" s="4">
        <f t="shared" si="22"/>
        <v>-664</v>
      </c>
      <c r="CA26" s="4">
        <f t="shared" si="23"/>
        <v>45056</v>
      </c>
      <c r="CB26" s="4">
        <f t="shared" si="24"/>
        <v>-1.1124999999054808E-3</v>
      </c>
      <c r="CC26" s="4">
        <f t="shared" si="25"/>
        <v>4.2693749999997976E-2</v>
      </c>
      <c r="CD26" s="4">
        <f t="shared" si="26"/>
        <v>4.2281249999973625E-3</v>
      </c>
      <c r="CE26" s="4">
        <f t="shared" si="27"/>
        <v>2.2337499999999011E-2</v>
      </c>
      <c r="CF26" s="4">
        <f t="shared" si="28"/>
        <v>-2.3843750000978048E-3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5.9349974999999997</v>
      </c>
      <c r="J27" s="18">
        <f t="shared" si="1"/>
        <v>0.25010121518268824</v>
      </c>
      <c r="K27" s="18">
        <f t="shared" si="2"/>
        <v>9.5430193761099305E-2</v>
      </c>
      <c r="L27" s="18">
        <f t="shared" si="3"/>
        <v>7.002541994424237E-2</v>
      </c>
      <c r="M27" s="18">
        <f t="shared" si="4"/>
        <v>0.15465142628864073</v>
      </c>
      <c r="N27" s="15">
        <f t="shared" si="5"/>
        <v>2415568</v>
      </c>
      <c r="O27" s="18">
        <f t="shared" si="6"/>
        <v>0.25038556519225735</v>
      </c>
      <c r="P27" s="19">
        <v>25283662</v>
      </c>
      <c r="Q27" s="19">
        <v>790114.4375</v>
      </c>
      <c r="R27" s="19">
        <v>24410</v>
      </c>
      <c r="S27" s="20">
        <v>6330664</v>
      </c>
      <c r="T27" s="20">
        <v>1772512</v>
      </c>
      <c r="U27" s="20">
        <v>643056</v>
      </c>
      <c r="V27" s="20">
        <v>3914600</v>
      </c>
      <c r="W27" s="21">
        <v>69.410443749999999</v>
      </c>
      <c r="X27" s="21">
        <v>71.751900000000006</v>
      </c>
      <c r="Y27" s="21">
        <v>30.354290625000001</v>
      </c>
      <c r="Z27" s="21">
        <v>35.0298625</v>
      </c>
      <c r="AA27" s="21">
        <v>34.506781250000003</v>
      </c>
      <c r="AB27" s="22">
        <v>11217.7</v>
      </c>
      <c r="AC27" s="22">
        <v>6236.91</v>
      </c>
      <c r="AD27" s="22">
        <v>7.6079999999999997</v>
      </c>
      <c r="AE27" s="22">
        <v>30.16</v>
      </c>
      <c r="AG27" s="17">
        <f t="shared" si="7"/>
        <v>6.06813</v>
      </c>
      <c r="AH27" s="18">
        <f t="shared" si="8"/>
        <v>0.25571142816598091</v>
      </c>
      <c r="AI27" s="18">
        <f t="shared" si="9"/>
        <v>9.8181729687669389E-2</v>
      </c>
      <c r="AJ27" s="18">
        <f t="shared" si="10"/>
        <v>7.2803188064920574E-2</v>
      </c>
      <c r="AK27" s="18">
        <f t="shared" si="11"/>
        <v>0.15751010334536328</v>
      </c>
      <c r="AL27" s="15">
        <f t="shared" si="12"/>
        <v>2485216</v>
      </c>
      <c r="AM27" s="18">
        <f t="shared" si="13"/>
        <v>0.25642105226461015</v>
      </c>
      <c r="AN27" s="19">
        <v>25242358</v>
      </c>
      <c r="AO27" s="19">
        <v>788823.6875</v>
      </c>
      <c r="AP27" s="19">
        <v>24226.375</v>
      </c>
      <c r="AQ27" s="20">
        <v>6472672</v>
      </c>
      <c r="AR27" s="20">
        <v>1842824</v>
      </c>
      <c r="AS27" s="20">
        <v>642392</v>
      </c>
      <c r="AT27" s="20">
        <v>3986960</v>
      </c>
      <c r="AU27" s="21">
        <v>69.414115624999994</v>
      </c>
      <c r="AV27" s="21">
        <v>71.784740624999998</v>
      </c>
      <c r="AW27" s="21">
        <v>30.352025000000001</v>
      </c>
      <c r="AX27" s="21">
        <v>35.036999999999999</v>
      </c>
      <c r="AY27" s="21">
        <v>34.520056250000003</v>
      </c>
      <c r="AZ27" s="22">
        <v>5691.18</v>
      </c>
      <c r="BA27" s="22">
        <v>7109.27</v>
      </c>
      <c r="BB27" s="22">
        <v>7.6559999999999997</v>
      </c>
      <c r="BC27" s="22">
        <v>37.048000000000002</v>
      </c>
      <c r="BE27" s="23">
        <f t="shared" si="14"/>
        <v>-1.8223113427103671E-4</v>
      </c>
      <c r="BF27" s="23">
        <f t="shared" si="15"/>
        <v>2.3888949949819049E-3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-41304</v>
      </c>
      <c r="BV27" s="4">
        <f t="shared" si="18"/>
        <v>-1290.75</v>
      </c>
      <c r="BW27" s="4">
        <f t="shared" si="19"/>
        <v>-183.625</v>
      </c>
      <c r="BX27" s="4">
        <f t="shared" si="20"/>
        <v>142008</v>
      </c>
      <c r="BY27" s="4">
        <f t="shared" si="21"/>
        <v>70312</v>
      </c>
      <c r="BZ27" s="4">
        <f t="shared" si="22"/>
        <v>-664</v>
      </c>
      <c r="CA27" s="4">
        <f t="shared" si="23"/>
        <v>72360</v>
      </c>
      <c r="CB27" s="4">
        <f t="shared" si="24"/>
        <v>3.6718749999948841E-3</v>
      </c>
      <c r="CC27" s="4">
        <f t="shared" si="25"/>
        <v>3.2840624999991519E-2</v>
      </c>
      <c r="CD27" s="4">
        <f t="shared" si="26"/>
        <v>-2.2656249999997158E-3</v>
      </c>
      <c r="CE27" s="4">
        <f t="shared" si="27"/>
        <v>7.1374999999989086E-3</v>
      </c>
      <c r="CF27" s="4">
        <f t="shared" si="28"/>
        <v>1.3275000000000148E-2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11.9379975</v>
      </c>
      <c r="J28" s="28">
        <f t="shared" si="1"/>
        <v>0.50306806053379038</v>
      </c>
      <c r="K28" s="28">
        <f t="shared" si="2"/>
        <v>0.1295456362745101</v>
      </c>
      <c r="L28" s="28">
        <f t="shared" si="3"/>
        <v>0.10414086245765318</v>
      </c>
      <c r="M28" s="28">
        <f t="shared" si="4"/>
        <v>0.37350282912633204</v>
      </c>
      <c r="N28" s="25">
        <f t="shared" si="5"/>
        <v>3279112</v>
      </c>
      <c r="O28" s="28">
        <f t="shared" si="6"/>
        <v>0.48414720346113815</v>
      </c>
      <c r="P28" s="29">
        <v>26301637</v>
      </c>
      <c r="Q28" s="29">
        <v>821926.15625</v>
      </c>
      <c r="R28" s="29">
        <v>28154.375</v>
      </c>
      <c r="S28" s="30">
        <v>12733864</v>
      </c>
      <c r="T28" s="30">
        <v>2636056</v>
      </c>
      <c r="U28" s="30">
        <v>643056</v>
      </c>
      <c r="V28" s="30">
        <v>9454256</v>
      </c>
      <c r="W28" s="31">
        <v>70.434465624999902</v>
      </c>
      <c r="X28" s="31">
        <v>72.984446875000003</v>
      </c>
      <c r="Y28" s="31">
        <v>32.841746874999998</v>
      </c>
      <c r="Z28" s="31">
        <v>36.576868749999903</v>
      </c>
      <c r="AA28" s="31">
        <v>36.067968749999999</v>
      </c>
      <c r="AB28" s="32">
        <v>11507.1</v>
      </c>
      <c r="AC28" s="32">
        <v>6961.12</v>
      </c>
      <c r="AD28" s="32">
        <v>7.0679999999999996</v>
      </c>
      <c r="AE28" s="32">
        <v>28.56</v>
      </c>
      <c r="AG28" s="27">
        <f t="shared" si="7"/>
        <v>12.210727500000001</v>
      </c>
      <c r="AH28" s="28">
        <f t="shared" si="8"/>
        <v>0.51456092205846238</v>
      </c>
      <c r="AI28" s="28">
        <f t="shared" si="9"/>
        <v>0.13381421475191138</v>
      </c>
      <c r="AJ28" s="28">
        <f t="shared" si="10"/>
        <v>0.10843567312916258</v>
      </c>
      <c r="AK28" s="28">
        <f t="shared" si="11"/>
        <v>0.38072711217360278</v>
      </c>
      <c r="AL28" s="25">
        <f t="shared" si="12"/>
        <v>3387160</v>
      </c>
      <c r="AM28" s="28">
        <f t="shared" si="13"/>
        <v>0.49585505631430404</v>
      </c>
      <c r="AN28" s="29">
        <v>26267305</v>
      </c>
      <c r="AO28" s="29">
        <v>820853.28125</v>
      </c>
      <c r="AP28" s="29">
        <v>27959.15625</v>
      </c>
      <c r="AQ28" s="30">
        <v>13024776</v>
      </c>
      <c r="AR28" s="30">
        <v>2744768</v>
      </c>
      <c r="AS28" s="30">
        <v>642392</v>
      </c>
      <c r="AT28" s="30">
        <v>9637120</v>
      </c>
      <c r="AU28" s="31">
        <v>70.452896874999993</v>
      </c>
      <c r="AV28" s="31">
        <v>73.008928124999997</v>
      </c>
      <c r="AW28" s="31">
        <v>32.839293749999896</v>
      </c>
      <c r="AX28" s="31">
        <v>36.566059375000002</v>
      </c>
      <c r="AY28" s="31">
        <v>36.050262500000002</v>
      </c>
      <c r="AZ28" s="32">
        <v>5948.05</v>
      </c>
      <c r="BA28" s="32">
        <v>8068.23</v>
      </c>
      <c r="BB28" s="32">
        <v>6.8079999999999998</v>
      </c>
      <c r="BC28" s="32">
        <v>35.932000000000002</v>
      </c>
      <c r="BE28" s="33">
        <f t="shared" si="14"/>
        <v>-1.9305318182133435E-4</v>
      </c>
      <c r="BF28" s="33">
        <f t="shared" si="15"/>
        <v>2.5439911961942507E-3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-34332</v>
      </c>
      <c r="BV28" s="4">
        <f t="shared" si="18"/>
        <v>-1072.875</v>
      </c>
      <c r="BW28" s="4">
        <f t="shared" si="19"/>
        <v>-195.21875</v>
      </c>
      <c r="BX28" s="4">
        <f t="shared" si="20"/>
        <v>290912</v>
      </c>
      <c r="BY28" s="4">
        <f t="shared" si="21"/>
        <v>108712</v>
      </c>
      <c r="BZ28" s="4">
        <f t="shared" si="22"/>
        <v>-664</v>
      </c>
      <c r="CA28" s="4">
        <f t="shared" si="23"/>
        <v>182864</v>
      </c>
      <c r="CB28" s="4">
        <f t="shared" si="24"/>
        <v>1.8431250000091381E-2</v>
      </c>
      <c r="CC28" s="4">
        <f t="shared" si="25"/>
        <v>2.4481249999993793E-2</v>
      </c>
      <c r="CD28" s="4">
        <f t="shared" si="26"/>
        <v>-2.4531250001018634E-3</v>
      </c>
      <c r="CE28" s="4">
        <f t="shared" si="27"/>
        <v>-1.0809374999901422E-2</v>
      </c>
      <c r="CF28" s="4">
        <f t="shared" si="28"/>
        <v>-1.770624999999626E-2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27.441825000000001</v>
      </c>
      <c r="J29" s="38">
        <f t="shared" si="1"/>
        <v>1.1564004499295366</v>
      </c>
      <c r="K29" s="38">
        <f t="shared" si="2"/>
        <v>0.21309896711525825</v>
      </c>
      <c r="L29" s="38">
        <f t="shared" si="3"/>
        <v>0.16276128292495917</v>
      </c>
      <c r="M29" s="38">
        <f t="shared" si="4"/>
        <v>0.94328188768133003</v>
      </c>
      <c r="N29" s="35">
        <f t="shared" si="5"/>
        <v>5394048</v>
      </c>
      <c r="O29" s="38">
        <f t="shared" si="6"/>
        <v>1.1640134127293358</v>
      </c>
      <c r="P29" s="39">
        <v>25146858</v>
      </c>
      <c r="Q29" s="39">
        <v>785839.3125</v>
      </c>
      <c r="R29" s="39">
        <v>7368.78125</v>
      </c>
      <c r="S29" s="40">
        <v>29271280</v>
      </c>
      <c r="T29" s="40">
        <v>4119880</v>
      </c>
      <c r="U29" s="40">
        <v>1274168</v>
      </c>
      <c r="V29" s="40">
        <v>23876736</v>
      </c>
      <c r="W29" s="41">
        <v>71.723278124999993</v>
      </c>
      <c r="X29" s="41">
        <v>75.086359375000001</v>
      </c>
      <c r="Y29" s="41">
        <v>35.557456250000001</v>
      </c>
      <c r="Z29" s="41">
        <v>38.595428124999998</v>
      </c>
      <c r="AA29" s="41">
        <v>38.05100625</v>
      </c>
      <c r="AB29" s="42">
        <v>4790.74</v>
      </c>
      <c r="AC29" s="42">
        <v>7483.04</v>
      </c>
      <c r="AD29" s="42">
        <v>8.4480000000000004</v>
      </c>
      <c r="AE29" s="42">
        <v>34.396000000000001</v>
      </c>
      <c r="AG29" s="37">
        <f t="shared" si="7"/>
        <v>27.850972500000001</v>
      </c>
      <c r="AH29" s="38">
        <f t="shared" si="8"/>
        <v>1.1736419545702645</v>
      </c>
      <c r="AI29" s="38">
        <f t="shared" si="9"/>
        <v>0.21947402238459493</v>
      </c>
      <c r="AJ29" s="38">
        <f t="shared" si="10"/>
        <v>0.16952065564050642</v>
      </c>
      <c r="AK29" s="38">
        <f t="shared" si="11"/>
        <v>0.95414833705272128</v>
      </c>
      <c r="AL29" s="35">
        <f t="shared" si="12"/>
        <v>5555416</v>
      </c>
      <c r="AM29" s="38">
        <f t="shared" si="13"/>
        <v>1.1821489276571209</v>
      </c>
      <c r="AN29" s="39">
        <v>25130255</v>
      </c>
      <c r="AO29" s="39">
        <v>785320.46875</v>
      </c>
      <c r="AP29" s="39">
        <v>7343.03125</v>
      </c>
      <c r="AQ29" s="40">
        <v>29707704</v>
      </c>
      <c r="AR29" s="40">
        <v>4290976</v>
      </c>
      <c r="AS29" s="40">
        <v>1264440</v>
      </c>
      <c r="AT29" s="40">
        <v>24151792</v>
      </c>
      <c r="AU29" s="41">
        <v>71.707553124999905</v>
      </c>
      <c r="AV29" s="41">
        <v>75.079528124999996</v>
      </c>
      <c r="AW29" s="41">
        <v>35.555624999999999</v>
      </c>
      <c r="AX29" s="41">
        <v>38.603050000000003</v>
      </c>
      <c r="AY29" s="41">
        <v>38.0521687499999</v>
      </c>
      <c r="AZ29" s="42">
        <v>7312.84</v>
      </c>
      <c r="BA29" s="42">
        <v>8922.92</v>
      </c>
      <c r="BB29" s="42">
        <v>7.524</v>
      </c>
      <c r="BC29" s="42">
        <v>38.847999999999999</v>
      </c>
      <c r="BE29" s="43">
        <f t="shared" si="14"/>
        <v>-2.6594015340879185E-5</v>
      </c>
      <c r="BF29" s="43">
        <f t="shared" si="15"/>
        <v>2.7247050704273801E-3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-16603</v>
      </c>
      <c r="BV29" s="4">
        <f t="shared" si="18"/>
        <v>-518.84375</v>
      </c>
      <c r="BW29" s="4">
        <f t="shared" si="19"/>
        <v>-25.75</v>
      </c>
      <c r="BX29" s="4">
        <f t="shared" si="20"/>
        <v>436424</v>
      </c>
      <c r="BY29" s="4">
        <f t="shared" si="21"/>
        <v>171096</v>
      </c>
      <c r="BZ29" s="4">
        <f t="shared" si="22"/>
        <v>-9728</v>
      </c>
      <c r="CA29" s="4">
        <f t="shared" si="23"/>
        <v>275056</v>
      </c>
      <c r="CB29" s="4">
        <f t="shared" si="24"/>
        <v>-1.5725000000088585E-2</v>
      </c>
      <c r="CC29" s="4">
        <f t="shared" si="25"/>
        <v>-6.8312500000047294E-3</v>
      </c>
      <c r="CD29" s="4">
        <f t="shared" si="26"/>
        <v>-1.8312500000021714E-3</v>
      </c>
      <c r="CE29" s="4">
        <f t="shared" si="27"/>
        <v>7.6218750000052182E-3</v>
      </c>
      <c r="CF29" s="4">
        <f t="shared" si="28"/>
        <v>1.1624999999000352E-3</v>
      </c>
    </row>
    <row r="30" spans="1:84">
      <c r="B30" s="55" t="s">
        <v>286</v>
      </c>
      <c r="J30" s="56">
        <f>AVERAGE(J5:J24)</f>
        <v>0.18440191307384843</v>
      </c>
      <c r="K30" s="56">
        <f>AVERAGE(K5:K24)</f>
        <v>9.0483100505097711E-2</v>
      </c>
      <c r="L30" s="56">
        <f>AVERAGE(L5:L24)</f>
        <v>6.3707875796982033E-2</v>
      </c>
      <c r="M30" s="56">
        <f>AVERAGE(M5:M24)</f>
        <v>9.3900869573152551E-2</v>
      </c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H30" s="56">
        <f>AVERAGE(AH5:AH24)</f>
        <v>0.1848903161225284</v>
      </c>
      <c r="AI30" s="56">
        <f>AVERAGE(AI5:AI24)</f>
        <v>9.2517022311778246E-2</v>
      </c>
      <c r="AJ30" s="56">
        <f>AVERAGE(AJ5:AJ24)</f>
        <v>6.6782014181183971E-2</v>
      </c>
      <c r="AK30" s="56">
        <f>AVERAGE(AK5:AK24)</f>
        <v>9.2355350815151935E-2</v>
      </c>
      <c r="BG30" s="8">
        <f>AVERAGE(BG5:BG24)</f>
        <v>1.4043647745293486E-2</v>
      </c>
      <c r="BI30" s="5">
        <f>AVERAGE(BI5:BI24)</f>
        <v>1.6244563699904624E-2</v>
      </c>
      <c r="BJ30" s="5">
        <f>AVERAGE(BJ5:BJ24)</f>
        <v>1.5388470042097147E-2</v>
      </c>
      <c r="BK30" s="5">
        <f>AVERAGE(BK5:BK24)</f>
        <v>-6.272478389535438E-2</v>
      </c>
      <c r="BL30" s="5">
        <f>AVERAGE(BL5:BL24)</f>
        <v>-8.9425479874864544E-2</v>
      </c>
      <c r="BM30" s="5">
        <f>AVERAGE(BM5:BM24)</f>
        <v>-9.608603351257114E-2</v>
      </c>
      <c r="BO30" s="5">
        <f>AVERAGE(BO5:BO24)</f>
        <v>-8.4166214137759154E-3</v>
      </c>
      <c r="BP30" s="5">
        <f>AVERAGE(BP5:BP24)</f>
        <v>-1.1025126291524856E-2</v>
      </c>
      <c r="BQ30" s="5">
        <f>AVERAGE(BQ5:BQ24)</f>
        <v>-1.3097257414767055E-2</v>
      </c>
      <c r="BR30" s="5">
        <f>AVERAGE(BR5:BR24)</f>
        <v>-3.0264820330614117E-2</v>
      </c>
      <c r="BS30" s="5">
        <f>AVERAGE(BS5:BS24)</f>
        <v>-3.5242395461206361E-2</v>
      </c>
    </row>
    <row r="31" spans="1:84">
      <c r="B31" s="55" t="s">
        <v>287</v>
      </c>
      <c r="J31" s="56">
        <f>AVERAGE(J25:J29)</f>
        <v>0.43068894907193345</v>
      </c>
      <c r="K31" s="56">
        <f>AVERAGE(K25:K29)</f>
        <v>0.11508638767200655</v>
      </c>
      <c r="L31" s="56">
        <f>AVERAGE(L25:L29)</f>
        <v>8.46950317804612E-2</v>
      </c>
      <c r="M31" s="56">
        <f>AVERAGE(M25:M29)</f>
        <v>0.31558296626697863</v>
      </c>
      <c r="AH31" s="56">
        <f>AVERAGE(AH25:AH29)</f>
        <v>0.43907983784079335</v>
      </c>
      <c r="AI31" s="56">
        <f>AVERAGE(AI25:AI29)</f>
        <v>0.11881199133642281</v>
      </c>
      <c r="AJ31" s="56">
        <f>AVERAGE(AJ25:AJ29)</f>
        <v>8.8518484689406082E-2</v>
      </c>
      <c r="AK31" s="56">
        <f>AVERAGE(AK25:AK29)</f>
        <v>0.32024825137142227</v>
      </c>
      <c r="BG31" s="8">
        <f>AVERAGE(BG25:BG29)</f>
        <v>3.1121310150483694E-3</v>
      </c>
      <c r="BI31" s="5">
        <f>AVERAGE(BI25:BI29)</f>
        <v>3.3759277335114302E-2</v>
      </c>
      <c r="BJ31" s="5">
        <f>AVERAGE(BJ25:BJ29)</f>
        <v>3.0013308199760003E-2</v>
      </c>
      <c r="BK31" s="5">
        <f>AVERAGE(BK25:BK29)</f>
        <v>2.0138079402330034E-2</v>
      </c>
      <c r="BL31" s="5">
        <f>AVERAGE(BL25:BL29)</f>
        <v>1.6284801815851679E-2</v>
      </c>
      <c r="BM31" s="5">
        <f>AVERAGE(BM25:BM29)</f>
        <v>2.1400918543676539E-2</v>
      </c>
      <c r="BO31" s="5">
        <f>AVERAGE(BO25:BO29)</f>
        <v>2.4396774598214543E-2</v>
      </c>
      <c r="BP31" s="5">
        <f>AVERAGE(BP25:BP29)</f>
        <v>1.63858696507444E-2</v>
      </c>
      <c r="BQ31" s="5">
        <f>AVERAGE(BQ25:BQ29)</f>
        <v>2.5204104520672566E-2</v>
      </c>
      <c r="BR31" s="5">
        <f>AVERAGE(BR25:BR29)</f>
        <v>2.2775395316775526E-2</v>
      </c>
      <c r="BS31" s="5">
        <f>AVERAGE(BS25:BS29)</f>
        <v>2.6465330017085842E-2</v>
      </c>
    </row>
    <row r="32" spans="1:84" collapsed="1">
      <c r="B32" s="55" t="s">
        <v>288</v>
      </c>
      <c r="J32" s="56">
        <f>AVERAGE(J5:J29)</f>
        <v>0.23365932027346545</v>
      </c>
      <c r="K32" s="56">
        <f>AVERAGE(K5:K29)</f>
        <v>9.540375793847948E-2</v>
      </c>
      <c r="L32" s="56">
        <f>AVERAGE(L5:L29)</f>
        <v>6.7905306993677861E-2</v>
      </c>
      <c r="M32" s="56">
        <f>AVERAGE(M5:M29)</f>
        <v>0.13823728891191778</v>
      </c>
      <c r="AH32" s="56">
        <f>AVERAGE(AH5:AH29)</f>
        <v>0.23572822046618136</v>
      </c>
      <c r="AI32" s="56">
        <f>AVERAGE(AI5:AI29)</f>
        <v>9.7776016116707165E-2</v>
      </c>
      <c r="AJ32" s="56">
        <f>AVERAGE(AJ5:AJ29)</f>
        <v>7.1129308282828388E-2</v>
      </c>
      <c r="AK32" s="56">
        <f>AVERAGE(AK5:AK29)</f>
        <v>0.13793393092640599</v>
      </c>
      <c r="BG32" s="8">
        <f>AVERAGE(BG5:BG29)</f>
        <v>1.1857344399244463E-2</v>
      </c>
      <c r="BI32" s="5">
        <f>AVERAGE(BI5:BI29)</f>
        <v>1.9747506426946559E-2</v>
      </c>
      <c r="BJ32" s="5">
        <f>AVERAGE(BJ5:BJ29)</f>
        <v>1.8313437673629716E-2</v>
      </c>
      <c r="BK32" s="5">
        <f>AVERAGE(BK5:BK29)</f>
        <v>-4.6152211235817496E-2</v>
      </c>
      <c r="BL32" s="5">
        <f>AVERAGE(BL5:BL29)</f>
        <v>-6.8283423536721302E-2</v>
      </c>
      <c r="BM32" s="5">
        <f>AVERAGE(BM5:BM29)</f>
        <v>-7.2588643101321598E-2</v>
      </c>
      <c r="BO32" s="5">
        <f>AVERAGE(BO5:BO29)</f>
        <v>-1.8539422113778236E-3</v>
      </c>
      <c r="BP32" s="5">
        <f>AVERAGE(BP5:BP29)</f>
        <v>-5.5429271030710044E-3</v>
      </c>
      <c r="BQ32" s="5">
        <f>AVERAGE(BQ5:BQ29)</f>
        <v>-5.4369850276791308E-3</v>
      </c>
      <c r="BR32" s="5">
        <f>AVERAGE(BR5:BR29)</f>
        <v>-1.9656777201136188E-2</v>
      </c>
      <c r="BS32" s="5">
        <f>AVERAGE(BS5:BS29)</f>
        <v>-2.2900850365547919E-2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319455.63999999996</v>
      </c>
      <c r="AC33" s="57">
        <f>SUM(AC5:AC24,AC25:AC29)</f>
        <v>137479.57</v>
      </c>
      <c r="AD33" s="57">
        <f>SUM(AD5:AD24,AD25:AD29)</f>
        <v>197.62800000000004</v>
      </c>
      <c r="AE33" s="57">
        <f>SUM(AE5:AE24,AE25:AE29)</f>
        <v>668.53999999999974</v>
      </c>
      <c r="AZ33" s="57">
        <f>SUM(AZ5:AZ24,AZ25:AZ29)</f>
        <v>185306.28999999998</v>
      </c>
      <c r="BA33" s="57">
        <f>SUM(BA5:BA24,BA25:BA29)</f>
        <v>150093.57</v>
      </c>
      <c r="BB33" s="57">
        <f>SUM(BB5:BB24,BB25:BB29)</f>
        <v>181.38800000000001</v>
      </c>
      <c r="BC33" s="57">
        <f>SUM(BC5:BC24,BC25:BC29)</f>
        <v>714.096</v>
      </c>
    </row>
    <row r="34" spans="1:55" hidden="1" outlineLevel="2">
      <c r="B34" s="55" t="s">
        <v>291</v>
      </c>
      <c r="AZ34" s="8">
        <f>AZ33/AB33</f>
        <v>0.58006892600174476</v>
      </c>
      <c r="BA34" s="8">
        <f>BA33/AC33</f>
        <v>1.0917518144695972</v>
      </c>
      <c r="BB34" s="8">
        <f>BB33/AD33</f>
        <v>0.9178254093549495</v>
      </c>
      <c r="BC34" s="8">
        <f>BC33/AE33</f>
        <v>1.0681425195201488</v>
      </c>
    </row>
    <row r="35" spans="1:55" hidden="1" outlineLevel="2">
      <c r="B35" s="55" t="s">
        <v>292</v>
      </c>
      <c r="AB35" s="57">
        <f>GEOMEAN(AB5:AB24,AB25:AB29)</f>
        <v>12379.130507759475</v>
      </c>
      <c r="AC35" s="57">
        <f>GEOMEAN(AC5:AC24,AC25:AC29)</f>
        <v>5389.4940513923175</v>
      </c>
      <c r="AD35" s="57">
        <f>GEOMEAN(AD5:AD24,AD25:AD29)</f>
        <v>7.7876558248795904</v>
      </c>
      <c r="AE35" s="57">
        <f>GEOMEAN(AE5:AE24,AE25:AE29)</f>
        <v>26.341015019656517</v>
      </c>
      <c r="AZ35" s="57">
        <f>GEOMEAN(AZ5:AZ24,AZ25:AZ29)</f>
        <v>7240.2517155654969</v>
      </c>
      <c r="BA35" s="57">
        <f>GEOMEAN(BA5:BA24,BA25:BA29)</f>
        <v>5836.5138990459418</v>
      </c>
      <c r="BB35" s="57">
        <f>GEOMEAN(BB5:BB24,BB25:BB29)</f>
        <v>7.1840465074417645</v>
      </c>
      <c r="BC35" s="57">
        <f>GEOMEAN(BC5:BC24,BC25:BC29)</f>
        <v>28.077862085836923</v>
      </c>
    </row>
    <row r="36" spans="1:55" outlineLevel="2" collapsed="1">
      <c r="B36" s="55" t="s">
        <v>293</v>
      </c>
      <c r="AZ36" s="8">
        <f>AZ35/AB35</f>
        <v>0.5848756268485229</v>
      </c>
      <c r="BA36" s="8">
        <f>BA35/AC35</f>
        <v>1.0829428223486288</v>
      </c>
      <c r="BB36" s="8">
        <f>BB35/AD35</f>
        <v>0.92249152620363029</v>
      </c>
      <c r="BC36" s="8">
        <f>BC35/AE35</f>
        <v>1.0659369832515686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>
      <c r="P65" s="4"/>
      <c r="Q65" s="4"/>
      <c r="R65" s="4"/>
      <c r="S65" s="4"/>
      <c r="T65" s="4"/>
      <c r="U65" s="58"/>
      <c r="V65" s="4"/>
    </row>
    <row r="66" spans="16:51">
      <c r="P66" s="4"/>
      <c r="Q66" s="4"/>
      <c r="R66" s="4"/>
      <c r="S66" s="4"/>
      <c r="T66" s="4"/>
      <c r="U66" s="58"/>
      <c r="V66" s="4"/>
    </row>
    <row r="67" spans="16:51">
      <c r="P67" s="4"/>
      <c r="Q67" s="4"/>
      <c r="R67" s="4"/>
      <c r="S67" s="4"/>
      <c r="T67" s="4"/>
      <c r="U67" s="58"/>
      <c r="V67" s="4"/>
    </row>
    <row r="68" spans="16:51">
      <c r="P68" s="4"/>
      <c r="Q68" s="4"/>
      <c r="R68" s="4"/>
      <c r="S68" s="4"/>
      <c r="T68" s="4"/>
      <c r="U68" s="58"/>
      <c r="V68" s="4"/>
    </row>
    <row r="69" spans="16:51">
      <c r="P69" s="4"/>
      <c r="Q69" s="4"/>
      <c r="R69" s="4"/>
      <c r="S69" s="4"/>
      <c r="U69" s="58"/>
    </row>
    <row r="70" spans="16:51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Graziosi, Danillo</cp:lastModifiedBy>
  <dcterms:created xsi:type="dcterms:W3CDTF">2018-08-31T19:13:00Z</dcterms:created>
  <dcterms:modified xsi:type="dcterms:W3CDTF">2019-02-04T06:23:53Z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  <property fmtid="{D5CDD505-2E9C-101B-9397-08002B2CF9AE}" pid="4" name="WorkbookGuid">
    <vt:lpwstr>54943bd3-034f-4482-9724-bfec53f6805a</vt:lpwstr>
  </property>
</Properties>
</file>