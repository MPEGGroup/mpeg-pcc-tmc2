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1" defaultThemeVersion="124226"/>
  <mc:AlternateContent xmlns:mc="http://schemas.openxmlformats.org/markup-compatibility/2006">
    <mc:Choice Requires="x15">
      <x15ac:absPath xmlns:x15ac="http://schemas.microsoft.com/office/spreadsheetml/2010/11/ac" url="\\rennsrdnas04\sgework01\PCC\ricardj\r6.0_v07\F32_gitclones_mpeg+tm2_r60rc19.1+mpeg126-integration+r60rc19.1\MacroXlsm\"/>
    </mc:Choice>
  </mc:AlternateContent>
  <xr:revisionPtr revIDLastSave="0" documentId="13_ncr:1_{914FD8B6-C2D2-40D3-A6D3-F2BCCE86487D}" xr6:coauthVersionLast="43" xr6:coauthVersionMax="43" xr10:uidLastSave="{00000000-0000-0000-0000-000000000000}"/>
  <bookViews>
    <workbookView xWindow="-108" yWindow="-108" windowWidth="23256" windowHeight="12768"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 name="Results" sheetId="8" r:id="rId8"/>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0" i="8" l="1"/>
  <c r="F60" i="8"/>
  <c r="E60" i="8"/>
  <c r="D60" i="8"/>
  <c r="G59" i="8"/>
  <c r="F59" i="8"/>
  <c r="E59" i="8"/>
  <c r="D59" i="8"/>
  <c r="G58" i="8"/>
  <c r="F58" i="8"/>
  <c r="E58" i="8"/>
  <c r="D58" i="8"/>
  <c r="G57" i="8"/>
  <c r="F57" i="8"/>
  <c r="E57" i="8"/>
  <c r="D57" i="8"/>
  <c r="S46" i="8"/>
  <c r="R46" i="8"/>
  <c r="Q46" i="8"/>
  <c r="E30" i="8" s="1"/>
  <c r="P46" i="8"/>
  <c r="D30" i="8" s="1"/>
  <c r="O46" i="8"/>
  <c r="N46" i="8"/>
  <c r="M46" i="8"/>
  <c r="E29" i="8" s="1"/>
  <c r="L46" i="8"/>
  <c r="D29" i="8" s="1"/>
  <c r="K46" i="8"/>
  <c r="J46" i="8"/>
  <c r="I46" i="8"/>
  <c r="E28" i="8" s="1"/>
  <c r="H46" i="8"/>
  <c r="D28" i="8" s="1"/>
  <c r="G46" i="8"/>
  <c r="F46" i="8"/>
  <c r="E46" i="8"/>
  <c r="E27" i="8" s="1"/>
  <c r="E31" i="8" s="1"/>
  <c r="D46" i="8"/>
  <c r="D27" i="8" s="1"/>
  <c r="S45" i="8"/>
  <c r="R45" i="8"/>
  <c r="Q45" i="8"/>
  <c r="P45" i="8"/>
  <c r="O45" i="8"/>
  <c r="N45" i="8"/>
  <c r="M45" i="8"/>
  <c r="L45" i="8"/>
  <c r="K45" i="8"/>
  <c r="J45" i="8"/>
  <c r="I45" i="8"/>
  <c r="H45" i="8"/>
  <c r="G45" i="8"/>
  <c r="F45" i="8"/>
  <c r="E45" i="8"/>
  <c r="D45" i="8"/>
  <c r="S44" i="8"/>
  <c r="R44" i="8"/>
  <c r="Q44" i="8"/>
  <c r="P44" i="8"/>
  <c r="O44" i="8"/>
  <c r="N44" i="8"/>
  <c r="M44" i="8"/>
  <c r="L44" i="8"/>
  <c r="K44" i="8"/>
  <c r="J44" i="8"/>
  <c r="I44" i="8"/>
  <c r="H44" i="8"/>
  <c r="G44" i="8"/>
  <c r="F44" i="8"/>
  <c r="E44" i="8"/>
  <c r="D44" i="8"/>
  <c r="S43" i="8"/>
  <c r="R43" i="8"/>
  <c r="Q43" i="8"/>
  <c r="P43" i="8"/>
  <c r="O43" i="8"/>
  <c r="N43" i="8"/>
  <c r="M43" i="8"/>
  <c r="L43" i="8"/>
  <c r="K43" i="8"/>
  <c r="J43" i="8"/>
  <c r="I43" i="8"/>
  <c r="H43" i="8"/>
  <c r="G43" i="8"/>
  <c r="F43" i="8"/>
  <c r="E43" i="8"/>
  <c r="D43" i="8"/>
  <c r="G30" i="8"/>
  <c r="F30" i="8"/>
  <c r="G29" i="8"/>
  <c r="F29" i="8"/>
  <c r="G28" i="8"/>
  <c r="F28" i="8"/>
  <c r="G27" i="8"/>
  <c r="G31" i="8" s="1"/>
  <c r="F27" i="8"/>
  <c r="F31" i="8" s="1"/>
  <c r="E21" i="8"/>
  <c r="F19" i="8"/>
  <c r="BC47" i="7"/>
  <c r="G22" i="8" s="1"/>
  <c r="BB47" i="7"/>
  <c r="F22" i="8" s="1"/>
  <c r="BC46" i="7"/>
  <c r="BB46" i="7"/>
  <c r="BA46" i="7"/>
  <c r="BA47" i="7" s="1"/>
  <c r="E22" i="8" s="1"/>
  <c r="AZ46" i="7"/>
  <c r="AZ47" i="7" s="1"/>
  <c r="C47" i="1" s="1"/>
  <c r="AE46" i="7"/>
  <c r="AD46" i="7"/>
  <c r="AC46" i="7"/>
  <c r="AB46" i="7"/>
  <c r="BB45" i="7"/>
  <c r="BC44" i="7"/>
  <c r="BB44" i="7"/>
  <c r="BA44" i="7"/>
  <c r="BA45" i="7" s="1"/>
  <c r="AZ44" i="7"/>
  <c r="AZ45" i="7" s="1"/>
  <c r="AE44" i="7"/>
  <c r="AD44" i="7"/>
  <c r="AC44" i="7"/>
  <c r="AB44" i="7"/>
  <c r="J41" i="7"/>
  <c r="BF39" i="7"/>
  <c r="AL39" i="7"/>
  <c r="AI39" i="7" s="1"/>
  <c r="AK39" i="7"/>
  <c r="AJ39" i="7"/>
  <c r="AH39" i="7"/>
  <c r="AG39" i="7"/>
  <c r="N39" i="7"/>
  <c r="M39" i="7"/>
  <c r="L39" i="7"/>
  <c r="J39" i="7"/>
  <c r="I39" i="7"/>
  <c r="BF38" i="7"/>
  <c r="AL38" i="7"/>
  <c r="AK38" i="7"/>
  <c r="AJ38" i="7"/>
  <c r="AI38" i="7"/>
  <c r="AH38" i="7"/>
  <c r="AG38" i="7"/>
  <c r="N38" i="7"/>
  <c r="M38" i="7"/>
  <c r="L38" i="7"/>
  <c r="J38" i="7"/>
  <c r="I38" i="7"/>
  <c r="BF37" i="7"/>
  <c r="AL37" i="7"/>
  <c r="AK37" i="7"/>
  <c r="AJ37" i="7"/>
  <c r="AH37" i="7"/>
  <c r="AG37" i="7"/>
  <c r="N37" i="7"/>
  <c r="K37" i="7" s="1"/>
  <c r="M37" i="7"/>
  <c r="L37" i="7"/>
  <c r="J37" i="7"/>
  <c r="I37" i="7"/>
  <c r="BF36" i="7"/>
  <c r="AL36" i="7"/>
  <c r="AK36" i="7"/>
  <c r="AJ36" i="7"/>
  <c r="AH36" i="7"/>
  <c r="AG36" i="7"/>
  <c r="N36" i="7"/>
  <c r="M36" i="7"/>
  <c r="L36" i="7"/>
  <c r="K36" i="7"/>
  <c r="J36" i="7"/>
  <c r="I36" i="7"/>
  <c r="BF35" i="7"/>
  <c r="AL35" i="7"/>
  <c r="AK35" i="7"/>
  <c r="AJ35" i="7"/>
  <c r="AH35" i="7"/>
  <c r="AG35" i="7"/>
  <c r="N35" i="7"/>
  <c r="BG35" i="7" s="1"/>
  <c r="M35" i="7"/>
  <c r="L35" i="7"/>
  <c r="J35" i="7"/>
  <c r="I35" i="7"/>
  <c r="BF34" i="7"/>
  <c r="AL34" i="7"/>
  <c r="BG34" i="7" s="1"/>
  <c r="AK34" i="7"/>
  <c r="AJ34" i="7"/>
  <c r="AI34" i="7"/>
  <c r="BE34" i="7" s="1"/>
  <c r="AH34" i="7"/>
  <c r="AG34" i="7"/>
  <c r="N34" i="7"/>
  <c r="M34" i="7"/>
  <c r="L34" i="7"/>
  <c r="K34" i="7"/>
  <c r="J34" i="7"/>
  <c r="I34" i="7"/>
  <c r="BF33" i="7"/>
  <c r="AL33" i="7"/>
  <c r="AI33" i="7" s="1"/>
  <c r="AK33" i="7"/>
  <c r="AJ33" i="7"/>
  <c r="AH33" i="7"/>
  <c r="AG33" i="7"/>
  <c r="N33" i="7"/>
  <c r="M33" i="7"/>
  <c r="L33" i="7"/>
  <c r="J33" i="7"/>
  <c r="I33" i="7"/>
  <c r="BG32" i="7"/>
  <c r="BF32" i="7"/>
  <c r="AL32" i="7"/>
  <c r="AK32" i="7"/>
  <c r="AK42" i="7" s="1"/>
  <c r="AJ32" i="7"/>
  <c r="AI32" i="7"/>
  <c r="BE32" i="7" s="1"/>
  <c r="AH32" i="7"/>
  <c r="AG32" i="7"/>
  <c r="N32" i="7"/>
  <c r="M32" i="7"/>
  <c r="L32" i="7"/>
  <c r="K32" i="7"/>
  <c r="J32" i="7"/>
  <c r="I32" i="7"/>
  <c r="BF31" i="7"/>
  <c r="AL31" i="7"/>
  <c r="AK31" i="7"/>
  <c r="AJ31" i="7"/>
  <c r="AI31" i="7"/>
  <c r="AH31" i="7"/>
  <c r="AG31" i="7"/>
  <c r="N31" i="7"/>
  <c r="K31" i="7" s="1"/>
  <c r="M31" i="7"/>
  <c r="L31" i="7"/>
  <c r="J31" i="7"/>
  <c r="I31" i="7"/>
  <c r="BF30" i="7"/>
  <c r="AL30" i="7"/>
  <c r="BG30" i="7" s="1"/>
  <c r="AK30" i="7"/>
  <c r="AJ30" i="7"/>
  <c r="AH30" i="7"/>
  <c r="AG30" i="7"/>
  <c r="N30" i="7"/>
  <c r="M30" i="7"/>
  <c r="L30" i="7"/>
  <c r="K30" i="7"/>
  <c r="J30" i="7"/>
  <c r="I30" i="7"/>
  <c r="BG29" i="7"/>
  <c r="BF29" i="7"/>
  <c r="AL29" i="7"/>
  <c r="AI29" i="7" s="1"/>
  <c r="AK29" i="7"/>
  <c r="AJ29" i="7"/>
  <c r="AH29" i="7"/>
  <c r="AG29" i="7"/>
  <c r="N29" i="7"/>
  <c r="M29" i="7"/>
  <c r="L29" i="7"/>
  <c r="K29" i="7"/>
  <c r="J29" i="7"/>
  <c r="I29" i="7"/>
  <c r="BF28" i="7"/>
  <c r="AL28" i="7"/>
  <c r="AK28" i="7"/>
  <c r="AK41" i="7" s="1"/>
  <c r="AJ28" i="7"/>
  <c r="AI28" i="7"/>
  <c r="AH28" i="7"/>
  <c r="AG28" i="7"/>
  <c r="N28" i="7"/>
  <c r="BG28" i="7" s="1"/>
  <c r="M28" i="7"/>
  <c r="L28" i="7"/>
  <c r="K28" i="7"/>
  <c r="J28" i="7"/>
  <c r="I28" i="7"/>
  <c r="BF27" i="7"/>
  <c r="AL27" i="7"/>
  <c r="BG27" i="7" s="1"/>
  <c r="AK27" i="7"/>
  <c r="AJ27" i="7"/>
  <c r="AJ41" i="7" s="1"/>
  <c r="AI27" i="7"/>
  <c r="BE27" i="7" s="1"/>
  <c r="AH27" i="7"/>
  <c r="AG27" i="7"/>
  <c r="N27" i="7"/>
  <c r="K27" i="7" s="1"/>
  <c r="M27" i="7"/>
  <c r="L27" i="7"/>
  <c r="J27" i="7"/>
  <c r="I27" i="7"/>
  <c r="BG26" i="7"/>
  <c r="BF26" i="7"/>
  <c r="AL26" i="7"/>
  <c r="AI26" i="7" s="1"/>
  <c r="AK26" i="7"/>
  <c r="AJ26" i="7"/>
  <c r="AH26" i="7"/>
  <c r="AG26" i="7"/>
  <c r="N26" i="7"/>
  <c r="M26" i="7"/>
  <c r="M41" i="7" s="1"/>
  <c r="L26" i="7"/>
  <c r="K26" i="7"/>
  <c r="J26" i="7"/>
  <c r="I26" i="7"/>
  <c r="BF25" i="7"/>
  <c r="AL25" i="7"/>
  <c r="AK25" i="7"/>
  <c r="AJ25" i="7"/>
  <c r="AH25" i="7"/>
  <c r="AH41" i="7" s="1"/>
  <c r="AG25" i="7"/>
  <c r="N25" i="7"/>
  <c r="M25" i="7"/>
  <c r="L25" i="7"/>
  <c r="L41" i="7" s="1"/>
  <c r="K25" i="7"/>
  <c r="J25" i="7"/>
  <c r="I25" i="7"/>
  <c r="BG24" i="7"/>
  <c r="BF24" i="7"/>
  <c r="AL24" i="7"/>
  <c r="AK24" i="7"/>
  <c r="AJ24" i="7"/>
  <c r="AI24" i="7"/>
  <c r="AH24" i="7"/>
  <c r="AG24" i="7"/>
  <c r="N24" i="7"/>
  <c r="M24" i="7"/>
  <c r="L24" i="7"/>
  <c r="K24" i="7"/>
  <c r="J24" i="7"/>
  <c r="I24" i="7"/>
  <c r="BF23" i="7"/>
  <c r="AL23" i="7"/>
  <c r="BG23" i="7" s="1"/>
  <c r="AK23" i="7"/>
  <c r="AJ23" i="7"/>
  <c r="AI23" i="7"/>
  <c r="BE23" i="7" s="1"/>
  <c r="AH23" i="7"/>
  <c r="AG23" i="7"/>
  <c r="N23" i="7"/>
  <c r="K23" i="7" s="1"/>
  <c r="M23" i="7"/>
  <c r="L23" i="7"/>
  <c r="J23" i="7"/>
  <c r="I23" i="7"/>
  <c r="BG22" i="7"/>
  <c r="BF22" i="7"/>
  <c r="AL22" i="7"/>
  <c r="AK22" i="7"/>
  <c r="AJ22" i="7"/>
  <c r="AI22" i="7"/>
  <c r="AH22" i="7"/>
  <c r="AG22" i="7"/>
  <c r="N22" i="7"/>
  <c r="M22" i="7"/>
  <c r="L22" i="7"/>
  <c r="K22" i="7"/>
  <c r="J22" i="7"/>
  <c r="I22" i="7"/>
  <c r="BF21" i="7"/>
  <c r="AL21" i="7"/>
  <c r="AK21" i="7"/>
  <c r="AJ21" i="7"/>
  <c r="AH21" i="7"/>
  <c r="AG21" i="7"/>
  <c r="N21" i="7"/>
  <c r="M21" i="7"/>
  <c r="L21" i="7"/>
  <c r="K21" i="7"/>
  <c r="J21" i="7"/>
  <c r="I21" i="7"/>
  <c r="BF20" i="7"/>
  <c r="AL20" i="7"/>
  <c r="AK20" i="7"/>
  <c r="AJ20" i="7"/>
  <c r="AH20" i="7"/>
  <c r="AG20" i="7"/>
  <c r="N20" i="7"/>
  <c r="K20" i="7" s="1"/>
  <c r="M20" i="7"/>
  <c r="L20" i="7"/>
  <c r="J20" i="7"/>
  <c r="I20" i="7"/>
  <c r="BG19" i="7"/>
  <c r="BF19" i="7"/>
  <c r="AL19" i="7"/>
  <c r="AK19" i="7"/>
  <c r="AJ19" i="7"/>
  <c r="AI19" i="7"/>
  <c r="BE19" i="7" s="1"/>
  <c r="AH19" i="7"/>
  <c r="AG19" i="7"/>
  <c r="N19" i="7"/>
  <c r="M19" i="7"/>
  <c r="L19" i="7"/>
  <c r="K19" i="7"/>
  <c r="J19" i="7"/>
  <c r="I19" i="7"/>
  <c r="BF18" i="7"/>
  <c r="AL18" i="7"/>
  <c r="AK18" i="7"/>
  <c r="AJ18" i="7"/>
  <c r="AH18" i="7"/>
  <c r="AG18" i="7"/>
  <c r="N18" i="7"/>
  <c r="M18" i="7"/>
  <c r="L18" i="7"/>
  <c r="K18" i="7"/>
  <c r="J18" i="7"/>
  <c r="I18" i="7"/>
  <c r="BF17" i="7"/>
  <c r="AL17" i="7"/>
  <c r="AK17" i="7"/>
  <c r="AJ17" i="7"/>
  <c r="AI17" i="7"/>
  <c r="AH17" i="7"/>
  <c r="AG17" i="7"/>
  <c r="N17" i="7"/>
  <c r="M17" i="7"/>
  <c r="L17" i="7"/>
  <c r="J17" i="7"/>
  <c r="I17" i="7"/>
  <c r="BF16" i="7"/>
  <c r="AL16" i="7"/>
  <c r="AK16" i="7"/>
  <c r="AJ16" i="7"/>
  <c r="AH16" i="7"/>
  <c r="AG16" i="7"/>
  <c r="N16" i="7"/>
  <c r="K16" i="7" s="1"/>
  <c r="M16" i="7"/>
  <c r="L16" i="7"/>
  <c r="J16" i="7"/>
  <c r="I16" i="7"/>
  <c r="BH15" i="7" a="1"/>
  <c r="BH15" i="7" s="1"/>
  <c r="BF15" i="7"/>
  <c r="AL15" i="7"/>
  <c r="BG15" i="7" s="1"/>
  <c r="AK15" i="7"/>
  <c r="AJ15" i="7"/>
  <c r="AI15" i="7"/>
  <c r="BE15" i="7" s="1"/>
  <c r="AH15" i="7"/>
  <c r="AG15" i="7"/>
  <c r="N15" i="7"/>
  <c r="M15" i="7"/>
  <c r="L15" i="7"/>
  <c r="K15" i="7"/>
  <c r="J15" i="7"/>
  <c r="I15" i="7"/>
  <c r="BF14" i="7"/>
  <c r="AL14" i="7"/>
  <c r="AI14" i="7" s="1"/>
  <c r="AK14" i="7"/>
  <c r="AJ14" i="7"/>
  <c r="AH14" i="7"/>
  <c r="AG14" i="7"/>
  <c r="N14" i="7"/>
  <c r="M14" i="7"/>
  <c r="L14" i="7"/>
  <c r="J14" i="7"/>
  <c r="I14" i="7"/>
  <c r="BF13" i="7"/>
  <c r="AL13" i="7"/>
  <c r="AK13" i="7"/>
  <c r="AJ13" i="7"/>
  <c r="AI13" i="7"/>
  <c r="AH13" i="7"/>
  <c r="AG13" i="7"/>
  <c r="N13" i="7"/>
  <c r="BG13" i="7" s="1"/>
  <c r="M13" i="7"/>
  <c r="L13" i="7"/>
  <c r="J13" i="7"/>
  <c r="I13" i="7"/>
  <c r="BF12" i="7"/>
  <c r="AL12" i="7"/>
  <c r="AK12" i="7"/>
  <c r="AJ12" i="7"/>
  <c r="AH12" i="7"/>
  <c r="AG12" i="7"/>
  <c r="N12" i="7"/>
  <c r="K12" i="7" s="1"/>
  <c r="M12" i="7"/>
  <c r="L12" i="7"/>
  <c r="J12" i="7"/>
  <c r="J40" i="7" s="1"/>
  <c r="I12" i="7"/>
  <c r="BF11" i="7"/>
  <c r="AL11" i="7"/>
  <c r="BG11" i="7" s="1"/>
  <c r="AK11" i="7"/>
  <c r="AJ11" i="7"/>
  <c r="AI11" i="7"/>
  <c r="BE11" i="7" s="1"/>
  <c r="AH11" i="7"/>
  <c r="AG11" i="7"/>
  <c r="N11" i="7"/>
  <c r="M11" i="7"/>
  <c r="L11" i="7"/>
  <c r="K11" i="7"/>
  <c r="J11" i="7"/>
  <c r="I11" i="7"/>
  <c r="BG10" i="7"/>
  <c r="BF10" i="7"/>
  <c r="AL10" i="7"/>
  <c r="AK10" i="7"/>
  <c r="AJ10" i="7"/>
  <c r="AH10" i="7"/>
  <c r="AG10" i="7"/>
  <c r="N10" i="7"/>
  <c r="M10" i="7"/>
  <c r="L10" i="7"/>
  <c r="J10" i="7"/>
  <c r="I10" i="7"/>
  <c r="BG9" i="7"/>
  <c r="BF9" i="7"/>
  <c r="AL9" i="7"/>
  <c r="AK9" i="7"/>
  <c r="AJ9" i="7"/>
  <c r="AI9" i="7"/>
  <c r="BE9" i="7" s="1"/>
  <c r="AH9" i="7"/>
  <c r="AG9" i="7"/>
  <c r="N9" i="7"/>
  <c r="M9" i="7"/>
  <c r="L9" i="7"/>
  <c r="K9" i="7"/>
  <c r="J9" i="7"/>
  <c r="I9" i="7"/>
  <c r="BF8" i="7"/>
  <c r="AL8" i="7"/>
  <c r="AK8" i="7"/>
  <c r="AJ8" i="7"/>
  <c r="AI8" i="7"/>
  <c r="BE8" i="7" s="1"/>
  <c r="AH8" i="7"/>
  <c r="AG8" i="7"/>
  <c r="N8" i="7"/>
  <c r="K8" i="7" s="1"/>
  <c r="M8" i="7"/>
  <c r="L8" i="7"/>
  <c r="J8" i="7"/>
  <c r="I8" i="7"/>
  <c r="BF7" i="7"/>
  <c r="AL7" i="7"/>
  <c r="AK7" i="7"/>
  <c r="AJ7" i="7"/>
  <c r="AH7" i="7"/>
  <c r="AG7" i="7"/>
  <c r="N7" i="7"/>
  <c r="M7" i="7"/>
  <c r="L7" i="7"/>
  <c r="K7" i="7"/>
  <c r="J7" i="7"/>
  <c r="I7" i="7"/>
  <c r="BG6" i="7"/>
  <c r="BF6" i="7"/>
  <c r="AL6" i="7"/>
  <c r="AI6" i="7" s="1"/>
  <c r="AK6" i="7"/>
  <c r="AJ6" i="7"/>
  <c r="AH6" i="7"/>
  <c r="AG6" i="7"/>
  <c r="N6" i="7"/>
  <c r="K6" i="7" s="1"/>
  <c r="M6" i="7"/>
  <c r="L6" i="7"/>
  <c r="J6" i="7"/>
  <c r="I6" i="7"/>
  <c r="BG5" i="7"/>
  <c r="BF5" i="7"/>
  <c r="AL5" i="7"/>
  <c r="AK5" i="7"/>
  <c r="AJ5" i="7"/>
  <c r="AI5" i="7"/>
  <c r="AH5" i="7"/>
  <c r="AG5" i="7"/>
  <c r="N5" i="7"/>
  <c r="M5" i="7"/>
  <c r="L5" i="7"/>
  <c r="K5" i="7"/>
  <c r="J5" i="7"/>
  <c r="I5" i="7"/>
  <c r="AX19" i="6"/>
  <c r="E20" i="8" s="1"/>
  <c r="AZ18" i="6"/>
  <c r="AZ19" i="6" s="1"/>
  <c r="G20" i="8" s="1"/>
  <c r="AY18" i="6"/>
  <c r="AY19" i="6" s="1"/>
  <c r="F20" i="8" s="1"/>
  <c r="AX18" i="6"/>
  <c r="AW18" i="6"/>
  <c r="AW19" i="6" s="1"/>
  <c r="AC18" i="6"/>
  <c r="AB18" i="6"/>
  <c r="AA18" i="6"/>
  <c r="Z18" i="6"/>
  <c r="AZ16" i="6"/>
  <c r="AZ17" i="6" s="1"/>
  <c r="AY16" i="6"/>
  <c r="AY17" i="6" s="1"/>
  <c r="AX16" i="6"/>
  <c r="AX17" i="6" s="1"/>
  <c r="AW16" i="6"/>
  <c r="AW17" i="6" s="1"/>
  <c r="AC16" i="6"/>
  <c r="AB16" i="6"/>
  <c r="AA16" i="6"/>
  <c r="Z16" i="6"/>
  <c r="AJ15" i="6"/>
  <c r="AG14" i="6"/>
  <c r="AJ13" i="6"/>
  <c r="K13" i="6"/>
  <c r="J13" i="6"/>
  <c r="AK11" i="6"/>
  <c r="AJ11" i="6"/>
  <c r="AI11" i="6"/>
  <c r="BD11" i="6" s="1"/>
  <c r="J11" i="8" s="1"/>
  <c r="AH11" i="6"/>
  <c r="AG11" i="6"/>
  <c r="AF11" i="6"/>
  <c r="AE11" i="6"/>
  <c r="N11" i="6"/>
  <c r="K11" i="6" s="1"/>
  <c r="M11" i="6"/>
  <c r="M14" i="6" s="1"/>
  <c r="L11" i="6"/>
  <c r="J11" i="6"/>
  <c r="BB11" i="6" s="1"/>
  <c r="H11" i="8" s="1"/>
  <c r="I11" i="6"/>
  <c r="H11" i="6"/>
  <c r="BB10" i="6"/>
  <c r="H10" i="8" s="1"/>
  <c r="AK10" i="6"/>
  <c r="AJ10" i="6"/>
  <c r="BE10" i="6" s="1"/>
  <c r="K10" i="8" s="1"/>
  <c r="AI10" i="6"/>
  <c r="BD10" i="6" s="1"/>
  <c r="J10" i="8" s="1"/>
  <c r="AH10" i="6"/>
  <c r="AG10" i="6"/>
  <c r="AF10" i="6"/>
  <c r="AE10" i="6"/>
  <c r="N10" i="6"/>
  <c r="M10" i="6"/>
  <c r="L10" i="6"/>
  <c r="L14" i="6" s="1"/>
  <c r="J10" i="6"/>
  <c r="I10" i="6"/>
  <c r="H10" i="6"/>
  <c r="AK9" i="6"/>
  <c r="AJ9" i="6"/>
  <c r="BE9" i="6" s="1"/>
  <c r="K9" i="8" s="1"/>
  <c r="AI9" i="6"/>
  <c r="AI13" i="6" s="1"/>
  <c r="AG9" i="6"/>
  <c r="BB9" i="6" s="1"/>
  <c r="H9" i="8" s="1"/>
  <c r="AF9" i="6"/>
  <c r="AE9" i="6"/>
  <c r="N9" i="6"/>
  <c r="M9" i="6"/>
  <c r="M13" i="6" s="1"/>
  <c r="L9" i="6"/>
  <c r="L13" i="6" s="1"/>
  <c r="K9" i="6"/>
  <c r="J9" i="6"/>
  <c r="I9" i="6"/>
  <c r="H9" i="6"/>
  <c r="BD8" i="6"/>
  <c r="J8" i="8" s="1"/>
  <c r="AK8" i="6"/>
  <c r="BF8" i="6" s="1"/>
  <c r="AJ8" i="6"/>
  <c r="BE8" i="6" s="1"/>
  <c r="K8" i="8" s="1"/>
  <c r="AI8" i="6"/>
  <c r="AH8" i="6"/>
  <c r="AG8" i="6"/>
  <c r="AF8" i="6"/>
  <c r="AE8" i="6"/>
  <c r="N8" i="6"/>
  <c r="K8" i="6" s="1"/>
  <c r="M8" i="6"/>
  <c r="L8" i="6"/>
  <c r="J8" i="6"/>
  <c r="BB8" i="6" s="1"/>
  <c r="H8" i="8" s="1"/>
  <c r="I8" i="6"/>
  <c r="H8" i="6"/>
  <c r="BF7" i="6"/>
  <c r="AK7" i="6"/>
  <c r="AJ7" i="6"/>
  <c r="AI7" i="6"/>
  <c r="BD7" i="6" s="1"/>
  <c r="J7" i="8" s="1"/>
  <c r="AG7" i="6"/>
  <c r="AF7" i="6"/>
  <c r="AE7" i="6"/>
  <c r="N7" i="6"/>
  <c r="K7" i="6" s="1"/>
  <c r="M7" i="6"/>
  <c r="L7" i="6"/>
  <c r="J7" i="6"/>
  <c r="I7" i="6"/>
  <c r="H7" i="6"/>
  <c r="BF6" i="6"/>
  <c r="AK6" i="6"/>
  <c r="AJ6" i="6"/>
  <c r="BE6" i="6" s="1"/>
  <c r="K6" i="8" s="1"/>
  <c r="AI6" i="6"/>
  <c r="AH6" i="6"/>
  <c r="AG6" i="6"/>
  <c r="AF6" i="6"/>
  <c r="AE6" i="6"/>
  <c r="N6" i="6"/>
  <c r="BG6" i="6" s="1" a="1"/>
  <c r="BG6" i="6" s="1"/>
  <c r="M6" i="6"/>
  <c r="L6" i="6"/>
  <c r="L12" i="6" s="1"/>
  <c r="J6" i="6"/>
  <c r="J12" i="6" s="1"/>
  <c r="I6" i="6"/>
  <c r="H6" i="6"/>
  <c r="AK5" i="6"/>
  <c r="AJ5" i="6"/>
  <c r="AJ12" i="6" s="1"/>
  <c r="AI5" i="6"/>
  <c r="AI15" i="6" s="1"/>
  <c r="AG5" i="6"/>
  <c r="AF5" i="6"/>
  <c r="AE5" i="6"/>
  <c r="N5" i="6"/>
  <c r="M5" i="6"/>
  <c r="L5" i="6"/>
  <c r="K5" i="6"/>
  <c r="J5" i="6"/>
  <c r="I5" i="6"/>
  <c r="H5" i="6"/>
  <c r="AZ19" i="5"/>
  <c r="G19" i="8" s="1"/>
  <c r="AZ18" i="5"/>
  <c r="AY18" i="5"/>
  <c r="AY19" i="5" s="1"/>
  <c r="AX18" i="5"/>
  <c r="AX19" i="5" s="1"/>
  <c r="E19" i="8" s="1"/>
  <c r="E23" i="8" s="1"/>
  <c r="AW18" i="5"/>
  <c r="AW19" i="5" s="1"/>
  <c r="AC18" i="5"/>
  <c r="AB18" i="5"/>
  <c r="AA18" i="5"/>
  <c r="Z18" i="5"/>
  <c r="AZ17" i="5"/>
  <c r="AZ16" i="5"/>
  <c r="AY16" i="5"/>
  <c r="AY17" i="5" s="1"/>
  <c r="AX16" i="5"/>
  <c r="AW16" i="5"/>
  <c r="AW17" i="5" s="1"/>
  <c r="AC16" i="5"/>
  <c r="AB16" i="5"/>
  <c r="AA16" i="5"/>
  <c r="Z16" i="5"/>
  <c r="AI14" i="5"/>
  <c r="K14" i="5"/>
  <c r="AG13" i="5"/>
  <c r="M13" i="5"/>
  <c r="J12" i="5"/>
  <c r="BD11" i="5"/>
  <c r="F11" i="8" s="1"/>
  <c r="AK11" i="5"/>
  <c r="BF11" i="5" s="1"/>
  <c r="AJ11" i="5"/>
  <c r="AJ14" i="5" s="1"/>
  <c r="AI11" i="5"/>
  <c r="AH11" i="5"/>
  <c r="AG11" i="5"/>
  <c r="AF11" i="5"/>
  <c r="AE11" i="5"/>
  <c r="N11" i="5"/>
  <c r="K11" i="5" s="1"/>
  <c r="M11" i="5"/>
  <c r="L11" i="5"/>
  <c r="L14" i="5" s="1"/>
  <c r="J11" i="5"/>
  <c r="BB11" i="5" s="1"/>
  <c r="D11" i="8" s="1"/>
  <c r="I11" i="5"/>
  <c r="H11" i="5"/>
  <c r="AK10" i="5"/>
  <c r="AJ10" i="5"/>
  <c r="AI10" i="5"/>
  <c r="BD10" i="5" s="1"/>
  <c r="F10" i="8" s="1"/>
  <c r="AG10" i="5"/>
  <c r="AF10" i="5"/>
  <c r="AE10" i="5"/>
  <c r="N10" i="5"/>
  <c r="K10" i="5" s="1"/>
  <c r="M10" i="5"/>
  <c r="L10" i="5"/>
  <c r="J10" i="5"/>
  <c r="I10" i="5"/>
  <c r="H10" i="5"/>
  <c r="BF9" i="5"/>
  <c r="AK9" i="5"/>
  <c r="AJ9" i="5"/>
  <c r="BE9" i="5" s="1"/>
  <c r="G9" i="8" s="1"/>
  <c r="AI9" i="5"/>
  <c r="AI13" i="5" s="1"/>
  <c r="AH9" i="5"/>
  <c r="AH13" i="5" s="1"/>
  <c r="AG9" i="5"/>
  <c r="AF9" i="5"/>
  <c r="AE9" i="5"/>
  <c r="N9" i="5"/>
  <c r="BG9" i="5" s="1" a="1"/>
  <c r="BG9" i="5" s="1"/>
  <c r="BG13" i="5" s="1"/>
  <c r="M9" i="5"/>
  <c r="L9" i="5"/>
  <c r="L13" i="5" s="1"/>
  <c r="J9" i="5"/>
  <c r="J13" i="5" s="1"/>
  <c r="BB13" i="5" s="1"/>
  <c r="I9" i="5"/>
  <c r="H9" i="5"/>
  <c r="AK8" i="5"/>
  <c r="AJ8" i="5"/>
  <c r="BE8" i="5" s="1"/>
  <c r="G8" i="8" s="1"/>
  <c r="AI8" i="5"/>
  <c r="BD8" i="5" s="1"/>
  <c r="F8" i="8" s="1"/>
  <c r="AG8" i="5"/>
  <c r="BB8" i="5" s="1"/>
  <c r="D8" i="8" s="1"/>
  <c r="AF8" i="5"/>
  <c r="AE8" i="5"/>
  <c r="N8" i="5"/>
  <c r="M8" i="5"/>
  <c r="L8" i="5"/>
  <c r="K8" i="5"/>
  <c r="J8" i="5"/>
  <c r="I8" i="5"/>
  <c r="H8" i="5"/>
  <c r="BG7" i="5" a="1"/>
  <c r="BG7" i="5" s="1"/>
  <c r="BD7" i="5"/>
  <c r="F7" i="8" s="1"/>
  <c r="BB7" i="5"/>
  <c r="D7" i="8" s="1"/>
  <c r="AK7" i="5"/>
  <c r="AJ7" i="5"/>
  <c r="BE7" i="5" s="1"/>
  <c r="G7" i="8" s="1"/>
  <c r="AI7" i="5"/>
  <c r="AH7" i="5"/>
  <c r="AG7" i="5"/>
  <c r="AG12" i="5" s="1"/>
  <c r="AF7" i="5"/>
  <c r="AE7" i="5"/>
  <c r="N7" i="5"/>
  <c r="K7" i="5" s="1"/>
  <c r="M7" i="5"/>
  <c r="L7" i="5"/>
  <c r="J7" i="5"/>
  <c r="I7" i="5"/>
  <c r="H7" i="5"/>
  <c r="BE6" i="5"/>
  <c r="G6" i="8" s="1"/>
  <c r="AK6" i="5"/>
  <c r="BG6" i="5" s="1" a="1"/>
  <c r="BG6" i="5" s="1"/>
  <c r="AJ6" i="5"/>
  <c r="AI6" i="5"/>
  <c r="BD6" i="5" s="1"/>
  <c r="F6" i="8" s="1"/>
  <c r="AG6" i="5"/>
  <c r="BB6" i="5" s="1"/>
  <c r="D6" i="8" s="1"/>
  <c r="AF6" i="5"/>
  <c r="AE6" i="5"/>
  <c r="N6" i="5"/>
  <c r="M6" i="5"/>
  <c r="M12" i="5" s="1"/>
  <c r="L6" i="5"/>
  <c r="K6" i="5"/>
  <c r="J6" i="5"/>
  <c r="I6" i="5"/>
  <c r="H6" i="5"/>
  <c r="BG5" i="5" a="1"/>
  <c r="BG5" i="5" s="1"/>
  <c r="BF5" i="5"/>
  <c r="BD5" i="5"/>
  <c r="F5" i="8" s="1"/>
  <c r="AK5" i="5"/>
  <c r="AJ5" i="5"/>
  <c r="AI5" i="5"/>
  <c r="AI12" i="5" s="1"/>
  <c r="AH5" i="5"/>
  <c r="AG5" i="5"/>
  <c r="AF5" i="5"/>
  <c r="AE5" i="5"/>
  <c r="N5" i="5"/>
  <c r="M5" i="5"/>
  <c r="L5" i="5"/>
  <c r="K5" i="5"/>
  <c r="BC5" i="5" s="1"/>
  <c r="E5" i="8" s="1"/>
  <c r="J5" i="5"/>
  <c r="BB5" i="5" s="1"/>
  <c r="D5" i="8" s="1"/>
  <c r="I5" i="5"/>
  <c r="H5" i="5"/>
  <c r="BC46" i="3"/>
  <c r="BB46" i="3"/>
  <c r="BB47" i="3" s="1"/>
  <c r="BA46" i="3"/>
  <c r="BA47" i="3" s="1"/>
  <c r="AZ46" i="3"/>
  <c r="AZ47" i="3" s="1"/>
  <c r="D21" i="8" s="1"/>
  <c r="AE46" i="3"/>
  <c r="AD46" i="3"/>
  <c r="AC46" i="3"/>
  <c r="AB46" i="3"/>
  <c r="BC45" i="3"/>
  <c r="BC44" i="3"/>
  <c r="BB44" i="3"/>
  <c r="BA44" i="3"/>
  <c r="BA45" i="3" s="1"/>
  <c r="AZ44" i="3"/>
  <c r="AZ45" i="3" s="1"/>
  <c r="AE44" i="3"/>
  <c r="AD44" i="3"/>
  <c r="AC44" i="3"/>
  <c r="AB44" i="3"/>
  <c r="AH41" i="3"/>
  <c r="BF39" i="3"/>
  <c r="AL39" i="3"/>
  <c r="AK39" i="3"/>
  <c r="AJ39" i="3"/>
  <c r="AH39" i="3"/>
  <c r="AG39" i="3"/>
  <c r="N39" i="3"/>
  <c r="M39" i="3"/>
  <c r="L39" i="3"/>
  <c r="K39" i="3"/>
  <c r="J39" i="3"/>
  <c r="I39" i="3"/>
  <c r="BF38" i="3"/>
  <c r="AL38" i="3"/>
  <c r="AK38" i="3"/>
  <c r="AJ38" i="3"/>
  <c r="AI38" i="3"/>
  <c r="AH38" i="3"/>
  <c r="AG38" i="3"/>
  <c r="N38" i="3"/>
  <c r="K38" i="3" s="1"/>
  <c r="M38" i="3"/>
  <c r="L38" i="3"/>
  <c r="J38" i="3"/>
  <c r="I38" i="3"/>
  <c r="BF37" i="3"/>
  <c r="AL37" i="3"/>
  <c r="AK37" i="3"/>
  <c r="AJ37" i="3"/>
  <c r="AH37" i="3"/>
  <c r="AG37" i="3"/>
  <c r="N37" i="3"/>
  <c r="K37" i="3" s="1"/>
  <c r="M37" i="3"/>
  <c r="L37" i="3"/>
  <c r="J37" i="3"/>
  <c r="I37" i="3"/>
  <c r="BG36" i="3"/>
  <c r="BF36" i="3"/>
  <c r="AL36" i="3"/>
  <c r="AI36" i="3" s="1"/>
  <c r="AK36" i="3"/>
  <c r="AJ36" i="3"/>
  <c r="AH36" i="3"/>
  <c r="AG36" i="3"/>
  <c r="N36" i="3"/>
  <c r="M36" i="3"/>
  <c r="L36" i="3"/>
  <c r="K36" i="3"/>
  <c r="J36" i="3"/>
  <c r="I36" i="3"/>
  <c r="BF35" i="3"/>
  <c r="AL35" i="3"/>
  <c r="AK35" i="3"/>
  <c r="AJ35" i="3"/>
  <c r="AH35" i="3"/>
  <c r="AG35" i="3"/>
  <c r="N35" i="3"/>
  <c r="M35" i="3"/>
  <c r="L35" i="3"/>
  <c r="J35" i="3"/>
  <c r="J42" i="3" s="1"/>
  <c r="I35" i="3"/>
  <c r="BF34" i="3"/>
  <c r="AL34" i="3"/>
  <c r="AK34" i="3"/>
  <c r="AJ34" i="3"/>
  <c r="AI34" i="3"/>
  <c r="AH34" i="3"/>
  <c r="AG34" i="3"/>
  <c r="N34" i="3"/>
  <c r="M34" i="3"/>
  <c r="L34" i="3"/>
  <c r="J34" i="3"/>
  <c r="I34" i="3"/>
  <c r="BF33" i="3"/>
  <c r="AL33" i="3"/>
  <c r="AK33" i="3"/>
  <c r="AJ33" i="3"/>
  <c r="AH33" i="3"/>
  <c r="AG33" i="3"/>
  <c r="N33" i="3"/>
  <c r="K33" i="3" s="1"/>
  <c r="M33" i="3"/>
  <c r="L33" i="3"/>
  <c r="J33" i="3"/>
  <c r="I33" i="3"/>
  <c r="BF32" i="3"/>
  <c r="AL32" i="3"/>
  <c r="AK32" i="3"/>
  <c r="AJ32" i="3"/>
  <c r="AJ42" i="3" s="1"/>
  <c r="AI32" i="3"/>
  <c r="AH32" i="3"/>
  <c r="AG32" i="3"/>
  <c r="N32" i="3"/>
  <c r="M32" i="3"/>
  <c r="L32" i="3"/>
  <c r="J32" i="3"/>
  <c r="I32" i="3"/>
  <c r="BF31" i="3"/>
  <c r="AL31" i="3"/>
  <c r="BG31" i="3" s="1"/>
  <c r="AK31" i="3"/>
  <c r="AJ31" i="3"/>
  <c r="AI31" i="3"/>
  <c r="BE31" i="3" s="1"/>
  <c r="AH31" i="3"/>
  <c r="AG31" i="3"/>
  <c r="N31" i="3"/>
  <c r="K31" i="3" s="1"/>
  <c r="M31" i="3"/>
  <c r="L31" i="3"/>
  <c r="J31" i="3"/>
  <c r="I31" i="3"/>
  <c r="BG30" i="3"/>
  <c r="BF30" i="3"/>
  <c r="AL30" i="3"/>
  <c r="AK30" i="3"/>
  <c r="AJ30" i="3"/>
  <c r="AH30" i="3"/>
  <c r="AH42" i="3" s="1"/>
  <c r="AG30" i="3"/>
  <c r="N30" i="3"/>
  <c r="M30" i="3"/>
  <c r="M42" i="3" s="1"/>
  <c r="L30" i="3"/>
  <c r="K30" i="3"/>
  <c r="J30" i="3"/>
  <c r="I30" i="3"/>
  <c r="BF29" i="3"/>
  <c r="AL29" i="3"/>
  <c r="AI29" i="3" s="1"/>
  <c r="AK29" i="3"/>
  <c r="AJ29" i="3"/>
  <c r="AH29" i="3"/>
  <c r="AG29" i="3"/>
  <c r="N29" i="3"/>
  <c r="M29" i="3"/>
  <c r="L29" i="3"/>
  <c r="J29" i="3"/>
  <c r="I29" i="3"/>
  <c r="BF28" i="3"/>
  <c r="AL28" i="3"/>
  <c r="AK28" i="3"/>
  <c r="AJ28" i="3"/>
  <c r="AI28" i="3"/>
  <c r="AH28" i="3"/>
  <c r="AG28" i="3"/>
  <c r="N28" i="3"/>
  <c r="M28" i="3"/>
  <c r="L28" i="3"/>
  <c r="J28" i="3"/>
  <c r="I28" i="3"/>
  <c r="BF27" i="3"/>
  <c r="AL27" i="3"/>
  <c r="BG27" i="3" s="1"/>
  <c r="AK27" i="3"/>
  <c r="AJ27" i="3"/>
  <c r="AI27" i="3"/>
  <c r="BE27" i="3" s="1"/>
  <c r="AH27" i="3"/>
  <c r="AG27" i="3"/>
  <c r="N27" i="3"/>
  <c r="K27" i="3" s="1"/>
  <c r="M27" i="3"/>
  <c r="M41" i="3" s="1"/>
  <c r="L27" i="3"/>
  <c r="J27" i="3"/>
  <c r="I27" i="3"/>
  <c r="BG26" i="3"/>
  <c r="BF26" i="3"/>
  <c r="AL26" i="3"/>
  <c r="AI26" i="3" s="1"/>
  <c r="AK26" i="3"/>
  <c r="AJ26" i="3"/>
  <c r="AH26" i="3"/>
  <c r="AG26" i="3"/>
  <c r="N26" i="3"/>
  <c r="M26" i="3"/>
  <c r="L26" i="3"/>
  <c r="K26" i="3"/>
  <c r="J26" i="3"/>
  <c r="I26" i="3"/>
  <c r="BF25" i="3"/>
  <c r="AL25" i="3"/>
  <c r="AK25" i="3"/>
  <c r="AK41" i="3" s="1"/>
  <c r="AJ25" i="3"/>
  <c r="AH25" i="3"/>
  <c r="AG25" i="3"/>
  <c r="N25" i="3"/>
  <c r="M25" i="3"/>
  <c r="L25" i="3"/>
  <c r="L41" i="3" s="1"/>
  <c r="J25" i="3"/>
  <c r="J41" i="3" s="1"/>
  <c r="I25" i="3"/>
  <c r="BF24" i="3"/>
  <c r="AL24" i="3"/>
  <c r="AK24" i="3"/>
  <c r="AJ24" i="3"/>
  <c r="AI24" i="3"/>
  <c r="AH24" i="3"/>
  <c r="AG24" i="3"/>
  <c r="N24" i="3"/>
  <c r="M24" i="3"/>
  <c r="L24" i="3"/>
  <c r="J24" i="3"/>
  <c r="I24" i="3"/>
  <c r="BF23" i="3"/>
  <c r="AL23" i="3"/>
  <c r="BG23" i="3" s="1"/>
  <c r="AK23" i="3"/>
  <c r="AJ23" i="3"/>
  <c r="AI23" i="3"/>
  <c r="BE23" i="3" s="1"/>
  <c r="AH23" i="3"/>
  <c r="AG23" i="3"/>
  <c r="N23" i="3"/>
  <c r="K23" i="3" s="1"/>
  <c r="M23" i="3"/>
  <c r="L23" i="3"/>
  <c r="J23" i="3"/>
  <c r="I23" i="3"/>
  <c r="BF22" i="3"/>
  <c r="AL22" i="3"/>
  <c r="AK22" i="3"/>
  <c r="AJ22" i="3"/>
  <c r="AH22" i="3"/>
  <c r="AG22" i="3"/>
  <c r="N22" i="3"/>
  <c r="M22" i="3"/>
  <c r="L22" i="3"/>
  <c r="K22" i="3"/>
  <c r="J22" i="3"/>
  <c r="I22" i="3"/>
  <c r="BF21" i="3"/>
  <c r="AL21" i="3"/>
  <c r="AI21" i="3" s="1"/>
  <c r="AK21" i="3"/>
  <c r="AJ21" i="3"/>
  <c r="AH21" i="3"/>
  <c r="AG21" i="3"/>
  <c r="N21" i="3"/>
  <c r="M21" i="3"/>
  <c r="L21" i="3"/>
  <c r="J21" i="3"/>
  <c r="I21" i="3"/>
  <c r="BF20" i="3"/>
  <c r="AL20" i="3"/>
  <c r="AK20" i="3"/>
  <c r="AJ20" i="3"/>
  <c r="AI20" i="3"/>
  <c r="AH20" i="3"/>
  <c r="AG20" i="3"/>
  <c r="N20" i="3"/>
  <c r="M20" i="3"/>
  <c r="L20" i="3"/>
  <c r="J20" i="3"/>
  <c r="I20" i="3"/>
  <c r="BF19" i="3"/>
  <c r="AL19" i="3"/>
  <c r="BG19" i="3" s="1"/>
  <c r="AK19" i="3"/>
  <c r="AJ19" i="3"/>
  <c r="AI19" i="3"/>
  <c r="BE19" i="3" s="1"/>
  <c r="AH19" i="3"/>
  <c r="AG19" i="3"/>
  <c r="N19" i="3"/>
  <c r="K19" i="3" s="1"/>
  <c r="M19" i="3"/>
  <c r="M40" i="3" s="1"/>
  <c r="L19" i="3"/>
  <c r="J19" i="3"/>
  <c r="I19" i="3"/>
  <c r="BG18" i="3"/>
  <c r="BF18" i="3"/>
  <c r="AL18" i="3"/>
  <c r="AI18" i="3" s="1"/>
  <c r="AK18" i="3"/>
  <c r="AJ18" i="3"/>
  <c r="AH18" i="3"/>
  <c r="AG18" i="3"/>
  <c r="N18" i="3"/>
  <c r="M18" i="3"/>
  <c r="L18" i="3"/>
  <c r="K18" i="3"/>
  <c r="J18" i="3"/>
  <c r="I18" i="3"/>
  <c r="BF17" i="3"/>
  <c r="AL17" i="3"/>
  <c r="AI17" i="3" s="1"/>
  <c r="AK17" i="3"/>
  <c r="AJ17" i="3"/>
  <c r="AH17" i="3"/>
  <c r="AG17" i="3"/>
  <c r="N17" i="3"/>
  <c r="M17" i="3"/>
  <c r="L17" i="3"/>
  <c r="J17" i="3"/>
  <c r="I17" i="3"/>
  <c r="BF16" i="3"/>
  <c r="AL16" i="3"/>
  <c r="AK16" i="3"/>
  <c r="AJ16" i="3"/>
  <c r="AI16" i="3"/>
  <c r="AH16" i="3"/>
  <c r="AG16" i="3"/>
  <c r="N16" i="3"/>
  <c r="M16" i="3"/>
  <c r="L16" i="3"/>
  <c r="J16" i="3"/>
  <c r="I16" i="3"/>
  <c r="BF15" i="3"/>
  <c r="AL15" i="3"/>
  <c r="BG15" i="3" s="1"/>
  <c r="AK15" i="3"/>
  <c r="AJ15" i="3"/>
  <c r="AI15" i="3"/>
  <c r="AH15" i="3"/>
  <c r="AG15" i="3"/>
  <c r="N15" i="3"/>
  <c r="M15" i="3"/>
  <c r="L15" i="3"/>
  <c r="J15" i="3"/>
  <c r="I15" i="3"/>
  <c r="BF14" i="3"/>
  <c r="AL14" i="3"/>
  <c r="AI14" i="3" s="1"/>
  <c r="AK14" i="3"/>
  <c r="AJ14" i="3"/>
  <c r="AH14" i="3"/>
  <c r="AG14" i="3"/>
  <c r="N14" i="3"/>
  <c r="M14" i="3"/>
  <c r="L14" i="3"/>
  <c r="K14" i="3"/>
  <c r="J14" i="3"/>
  <c r="I14" i="3"/>
  <c r="BF13" i="3"/>
  <c r="AL13" i="3"/>
  <c r="AI13" i="3" s="1"/>
  <c r="AK13" i="3"/>
  <c r="AJ13" i="3"/>
  <c r="AH13" i="3"/>
  <c r="AG13" i="3"/>
  <c r="N13" i="3"/>
  <c r="M13" i="3"/>
  <c r="L13" i="3"/>
  <c r="J13" i="3"/>
  <c r="I13" i="3"/>
  <c r="BF12" i="3"/>
  <c r="AL12" i="3"/>
  <c r="AK12" i="3"/>
  <c r="AJ12" i="3"/>
  <c r="AI12" i="3"/>
  <c r="AH12" i="3"/>
  <c r="AG12" i="3"/>
  <c r="N12" i="3"/>
  <c r="M12" i="3"/>
  <c r="L12" i="3"/>
  <c r="J12" i="3"/>
  <c r="I12" i="3"/>
  <c r="BF11" i="3"/>
  <c r="AL11" i="3"/>
  <c r="BG11" i="3" s="1"/>
  <c r="AK11" i="3"/>
  <c r="AJ11" i="3"/>
  <c r="AI11" i="3"/>
  <c r="BE11" i="3" s="1"/>
  <c r="AH11" i="3"/>
  <c r="AG11" i="3"/>
  <c r="N11" i="3"/>
  <c r="K11" i="3" s="1"/>
  <c r="M11" i="3"/>
  <c r="L11" i="3"/>
  <c r="J11" i="3"/>
  <c r="I11" i="3"/>
  <c r="BG10" i="3"/>
  <c r="BF10" i="3"/>
  <c r="AL10" i="3"/>
  <c r="AK10" i="3"/>
  <c r="AJ10" i="3"/>
  <c r="AH10" i="3"/>
  <c r="AG10" i="3"/>
  <c r="N10" i="3"/>
  <c r="M10" i="3"/>
  <c r="L10" i="3"/>
  <c r="K10" i="3"/>
  <c r="J10" i="3"/>
  <c r="I10" i="3"/>
  <c r="BF9" i="3"/>
  <c r="AL9" i="3"/>
  <c r="AI9" i="3" s="1"/>
  <c r="AK9" i="3"/>
  <c r="AJ9" i="3"/>
  <c r="AH9" i="3"/>
  <c r="AG9" i="3"/>
  <c r="N9" i="3"/>
  <c r="M9" i="3"/>
  <c r="L9" i="3"/>
  <c r="J9" i="3"/>
  <c r="I9" i="3"/>
  <c r="BF8" i="3"/>
  <c r="AL8" i="3"/>
  <c r="AK8" i="3"/>
  <c r="AJ8" i="3"/>
  <c r="AI8" i="3"/>
  <c r="AH8" i="3"/>
  <c r="AG8" i="3"/>
  <c r="N8" i="3"/>
  <c r="M8" i="3"/>
  <c r="L8" i="3"/>
  <c r="J8" i="3"/>
  <c r="I8" i="3"/>
  <c r="BF7" i="3"/>
  <c r="AL7" i="3"/>
  <c r="AK7" i="3"/>
  <c r="AJ7" i="3"/>
  <c r="AI7" i="3"/>
  <c r="BE7" i="3" s="1"/>
  <c r="AH7" i="3"/>
  <c r="AG7" i="3"/>
  <c r="N7" i="3"/>
  <c r="K7" i="3" s="1"/>
  <c r="M7" i="3"/>
  <c r="L7" i="3"/>
  <c r="J7" i="3"/>
  <c r="J43" i="3" s="1"/>
  <c r="I7" i="3"/>
  <c r="BG6" i="3"/>
  <c r="BF6" i="3"/>
  <c r="AL6" i="3"/>
  <c r="AK6" i="3"/>
  <c r="AJ6" i="3"/>
  <c r="AI6" i="3"/>
  <c r="BE6" i="3" s="1"/>
  <c r="AH6" i="3"/>
  <c r="AG6" i="3"/>
  <c r="N6" i="3"/>
  <c r="M6" i="3"/>
  <c r="L6" i="3"/>
  <c r="K6" i="3"/>
  <c r="J6" i="3"/>
  <c r="I6" i="3"/>
  <c r="BF5" i="3"/>
  <c r="AL5" i="3"/>
  <c r="AK5" i="3"/>
  <c r="AK43" i="3" s="1"/>
  <c r="AJ5" i="3"/>
  <c r="AJ43" i="3" s="1"/>
  <c r="AH5" i="3"/>
  <c r="AG5" i="3"/>
  <c r="N5" i="3"/>
  <c r="M5" i="3"/>
  <c r="L5" i="3"/>
  <c r="K5" i="3"/>
  <c r="J5" i="3"/>
  <c r="I5" i="3"/>
  <c r="B1" i="2"/>
  <c r="B2" i="2" s="1"/>
  <c r="C36" i="1"/>
  <c r="C24" i="1"/>
  <c r="C13" i="1"/>
  <c r="BQ35" i="7"/>
  <c r="BL35" i="7"/>
  <c r="BS30" i="7"/>
  <c r="BN30" i="7"/>
  <c r="BR25" i="7"/>
  <c r="BM25" i="7"/>
  <c r="BJ25" i="7"/>
  <c r="BR20" i="7"/>
  <c r="BM20" i="7"/>
  <c r="BR15" i="7"/>
  <c r="BM15" i="7"/>
  <c r="BS10" i="7"/>
  <c r="BN10" i="7"/>
  <c r="BR5" i="7"/>
  <c r="BM5" i="7"/>
  <c r="BS35" i="3"/>
  <c r="BN35" i="3"/>
  <c r="BQ30" i="3"/>
  <c r="BL30" i="3"/>
  <c r="BR25" i="3"/>
  <c r="BM25" i="3"/>
  <c r="BT20" i="3"/>
  <c r="BP20" i="3"/>
  <c r="BT15" i="3"/>
  <c r="BP15" i="3"/>
  <c r="BS10" i="3"/>
  <c r="BN10" i="3"/>
  <c r="BR5" i="3"/>
  <c r="BM5" i="3"/>
  <c r="BT35" i="7"/>
  <c r="BP35" i="7"/>
  <c r="BK35" i="7"/>
  <c r="BR30" i="7"/>
  <c r="BM30" i="7"/>
  <c r="BQ25" i="7"/>
  <c r="BL25" i="7"/>
  <c r="BQ20" i="7"/>
  <c r="BL20" i="7"/>
  <c r="BQ15" i="7"/>
  <c r="BL15" i="7"/>
  <c r="BR10" i="7"/>
  <c r="BM10" i="7"/>
  <c r="BQ5" i="7"/>
  <c r="BL5" i="7"/>
  <c r="BR35" i="3"/>
  <c r="BM35" i="3"/>
  <c r="BJ35" i="3"/>
  <c r="BT30" i="3"/>
  <c r="BP30" i="3"/>
  <c r="BQ25" i="3"/>
  <c r="BL25" i="3"/>
  <c r="BS20" i="3"/>
  <c r="BN20" i="3"/>
  <c r="BS15" i="3"/>
  <c r="BN15" i="3"/>
  <c r="BR10" i="3"/>
  <c r="BM10" i="3"/>
  <c r="BQ5" i="3"/>
  <c r="BL5" i="3"/>
  <c r="BS35" i="7"/>
  <c r="BL30" i="7"/>
  <c r="BT25" i="7"/>
  <c r="BT20" i="7"/>
  <c r="BT15" i="7"/>
  <c r="BL10" i="7"/>
  <c r="BT5" i="7"/>
  <c r="BK5" i="7"/>
  <c r="BL35" i="3"/>
  <c r="BN30" i="3"/>
  <c r="BP25" i="3"/>
  <c r="BR20" i="3"/>
  <c r="BR15" i="3"/>
  <c r="BL10" i="3"/>
  <c r="BP5" i="3"/>
  <c r="BR35" i="7"/>
  <c r="BM35" i="7"/>
  <c r="BT30" i="7"/>
  <c r="BP30" i="7"/>
  <c r="BS25" i="7"/>
  <c r="BN25" i="7"/>
  <c r="BS20" i="7"/>
  <c r="BN20" i="7"/>
  <c r="BS15" i="7"/>
  <c r="BN15" i="7"/>
  <c r="BT10" i="7"/>
  <c r="BP10" i="7"/>
  <c r="BK10" i="7"/>
  <c r="BJ10" i="7"/>
  <c r="BS5" i="7"/>
  <c r="BN5" i="7"/>
  <c r="BT35" i="3"/>
  <c r="BP35" i="3"/>
  <c r="BR30" i="3"/>
  <c r="BM30" i="3"/>
  <c r="BK30" i="3"/>
  <c r="BS25" i="3"/>
  <c r="BN25" i="3"/>
  <c r="BQ20" i="3"/>
  <c r="BL20" i="3"/>
  <c r="BQ15" i="3"/>
  <c r="BL15" i="3"/>
  <c r="BT10" i="3"/>
  <c r="BP10" i="3"/>
  <c r="BK10" i="3"/>
  <c r="BS5" i="3"/>
  <c r="BN5" i="3"/>
  <c r="BN35" i="7"/>
  <c r="BQ30" i="7"/>
  <c r="BP25" i="7"/>
  <c r="BP20" i="7"/>
  <c r="BP15" i="7"/>
  <c r="BQ10" i="7"/>
  <c r="BP5" i="7"/>
  <c r="BQ35" i="3"/>
  <c r="BS30" i="3"/>
  <c r="BT25" i="3"/>
  <c r="BM20" i="3"/>
  <c r="BM15" i="3"/>
  <c r="BQ10" i="3"/>
  <c r="BT5" i="3"/>
  <c r="BJ5" i="3"/>
  <c r="BT40" i="3" l="1"/>
  <c r="M6" i="8"/>
  <c r="P9" i="8"/>
  <c r="BT41" i="3"/>
  <c r="O10" i="8"/>
  <c r="BS42" i="3"/>
  <c r="M11" i="8"/>
  <c r="Q5" i="8"/>
  <c r="R6" i="8"/>
  <c r="Q7" i="8"/>
  <c r="Q8" i="8"/>
  <c r="BN43" i="3"/>
  <c r="G12" i="1" s="1"/>
  <c r="BS43" i="3"/>
  <c r="L6" i="8"/>
  <c r="P6" i="8"/>
  <c r="M7" i="8"/>
  <c r="M8" i="8"/>
  <c r="BN41" i="3"/>
  <c r="G10" i="1" s="1"/>
  <c r="BM42" i="3"/>
  <c r="F11" i="1" s="1"/>
  <c r="BR42" i="3"/>
  <c r="N10" i="8"/>
  <c r="L11" i="8"/>
  <c r="P11" i="8"/>
  <c r="BS40" i="7"/>
  <c r="T12" i="8" s="1"/>
  <c r="Q6" i="8"/>
  <c r="U6" i="8"/>
  <c r="T7" i="8"/>
  <c r="T8" i="8"/>
  <c r="BN41" i="7"/>
  <c r="G44" i="1" s="1"/>
  <c r="BS41" i="7"/>
  <c r="T9" i="8"/>
  <c r="BP42" i="7"/>
  <c r="S11" i="8"/>
  <c r="N7" i="8"/>
  <c r="N8" i="8"/>
  <c r="L9" i="8"/>
  <c r="BP41" i="3"/>
  <c r="BN42" i="3"/>
  <c r="G11" i="1" s="1"/>
  <c r="BT43" i="7"/>
  <c r="U7" i="8"/>
  <c r="U8" i="8"/>
  <c r="U9" i="8"/>
  <c r="BT41" i="7"/>
  <c r="BL42" i="7"/>
  <c r="E45" i="1" s="1"/>
  <c r="T11" i="8"/>
  <c r="N6" i="8"/>
  <c r="O7" i="8"/>
  <c r="O8" i="8"/>
  <c r="BL41" i="3"/>
  <c r="E10" i="1" s="1"/>
  <c r="M9" i="8"/>
  <c r="N11" i="8"/>
  <c r="BL43" i="7"/>
  <c r="E46" i="1" s="1"/>
  <c r="BL40" i="7"/>
  <c r="E43" i="1" s="1"/>
  <c r="R5" i="8"/>
  <c r="BQ43" i="7"/>
  <c r="S6" i="8"/>
  <c r="R7" i="8"/>
  <c r="R8" i="8"/>
  <c r="BL41" i="7"/>
  <c r="E44" i="1" s="1"/>
  <c r="R9" i="8"/>
  <c r="BQ41" i="7"/>
  <c r="R13" i="8" s="1"/>
  <c r="BM42" i="7"/>
  <c r="F45" i="1" s="1"/>
  <c r="Q11" i="8"/>
  <c r="U11" i="8"/>
  <c r="O6" i="8"/>
  <c r="L7" i="8"/>
  <c r="P7" i="8"/>
  <c r="L8" i="8"/>
  <c r="P8" i="8"/>
  <c r="BM41" i="3"/>
  <c r="F10" i="1" s="1"/>
  <c r="BR41" i="3"/>
  <c r="N9" i="8"/>
  <c r="BL42" i="3"/>
  <c r="E11" i="1" s="1"/>
  <c r="M10" i="8"/>
  <c r="BQ42" i="3"/>
  <c r="O11" i="8"/>
  <c r="S5" i="8"/>
  <c r="T6" i="8"/>
  <c r="S7" i="8"/>
  <c r="S8" i="8"/>
  <c r="BJ41" i="7"/>
  <c r="C44" i="1" s="1"/>
  <c r="BM41" i="7"/>
  <c r="F44" i="1" s="1"/>
  <c r="BR41" i="7"/>
  <c r="S9" i="8"/>
  <c r="BN42" i="7"/>
  <c r="G45" i="1" s="1"/>
  <c r="T10" i="8"/>
  <c r="BS42" i="7"/>
  <c r="R11" i="8"/>
  <c r="BE14" i="3"/>
  <c r="AI22" i="3"/>
  <c r="BE22" i="3" s="1"/>
  <c r="BH20" i="3" a="1"/>
  <c r="BH20" i="3" s="1"/>
  <c r="BG24" i="3"/>
  <c r="K24" i="3"/>
  <c r="BG25" i="3"/>
  <c r="K25" i="3"/>
  <c r="K12" i="1"/>
  <c r="O15" i="8"/>
  <c r="F21" i="8"/>
  <c r="F23" i="8" s="1"/>
  <c r="C14" i="1"/>
  <c r="BE7" i="6"/>
  <c r="K7" i="8" s="1"/>
  <c r="M15" i="6"/>
  <c r="BE15" i="6"/>
  <c r="BL43" i="3"/>
  <c r="E12" i="1" s="1"/>
  <c r="BL40" i="3"/>
  <c r="E9" i="1" s="1"/>
  <c r="K17" i="3"/>
  <c r="BG17" i="3"/>
  <c r="L43" i="3"/>
  <c r="BH10" i="3" a="1"/>
  <c r="BH10" i="3" s="1"/>
  <c r="AI10" i="3"/>
  <c r="BE10" i="3" s="1"/>
  <c r="BE12" i="3"/>
  <c r="BG14" i="3"/>
  <c r="BE18" i="3"/>
  <c r="BG20" i="3"/>
  <c r="K20" i="3"/>
  <c r="BE20" i="3" s="1"/>
  <c r="BG22" i="3"/>
  <c r="BS41" i="3"/>
  <c r="O9" i="8"/>
  <c r="BE26" i="3"/>
  <c r="BG28" i="3"/>
  <c r="K28" i="3"/>
  <c r="BE28" i="3" s="1"/>
  <c r="K29" i="3"/>
  <c r="BG29" i="3"/>
  <c r="L10" i="8"/>
  <c r="BP42" i="3"/>
  <c r="P10" i="8"/>
  <c r="BT42" i="3"/>
  <c r="BN40" i="3"/>
  <c r="G9" i="1" s="1"/>
  <c r="H10" i="1"/>
  <c r="L13" i="8"/>
  <c r="L12" i="5"/>
  <c r="BD12" i="5" s="1"/>
  <c r="F12" i="8" s="1"/>
  <c r="L15" i="5"/>
  <c r="AJ15" i="5"/>
  <c r="BE5" i="5"/>
  <c r="G5" i="8" s="1"/>
  <c r="AJ12" i="5"/>
  <c r="BE12" i="5" s="1"/>
  <c r="BC7" i="5"/>
  <c r="E7" i="8" s="1"/>
  <c r="BF10" i="6"/>
  <c r="BG10" i="6" a="1"/>
  <c r="BG10" i="6" s="1"/>
  <c r="K10" i="6"/>
  <c r="K14" i="6" s="1"/>
  <c r="AH14" i="6"/>
  <c r="BC10" i="6"/>
  <c r="I10" i="8" s="1"/>
  <c r="BE13" i="7"/>
  <c r="BG20" i="7"/>
  <c r="BH20" i="7" a="1"/>
  <c r="BH20" i="7" s="1"/>
  <c r="AI20" i="7"/>
  <c r="BE20" i="7" s="1"/>
  <c r="BG32" i="3"/>
  <c r="K32" i="3"/>
  <c r="BE32" i="3" s="1"/>
  <c r="BG10" i="5" a="1"/>
  <c r="BG10" i="5" s="1"/>
  <c r="AH10" i="5"/>
  <c r="BF10" i="5"/>
  <c r="AX17" i="5"/>
  <c r="BB7" i="6"/>
  <c r="H7" i="8" s="1"/>
  <c r="AG12" i="6"/>
  <c r="BB12" i="6" s="1"/>
  <c r="K40" i="3"/>
  <c r="BH5" i="3" a="1"/>
  <c r="BH5" i="3" s="1"/>
  <c r="AI5" i="3"/>
  <c r="M5" i="8"/>
  <c r="BQ43" i="3"/>
  <c r="BQ40" i="3"/>
  <c r="M43" i="3"/>
  <c r="BG8" i="3"/>
  <c r="K8" i="3"/>
  <c r="BE8" i="3" s="1"/>
  <c r="K9" i="3"/>
  <c r="BG9" i="3"/>
  <c r="BG16" i="3"/>
  <c r="K16" i="3"/>
  <c r="BE16" i="3" s="1"/>
  <c r="BG33" i="3"/>
  <c r="AI33" i="3"/>
  <c r="BE33" i="3" s="1"/>
  <c r="BG37" i="3"/>
  <c r="AI37" i="3"/>
  <c r="BE37" i="3" s="1"/>
  <c r="D13" i="8"/>
  <c r="E20" i="1"/>
  <c r="D20" i="8"/>
  <c r="C35" i="1"/>
  <c r="BQ42" i="7"/>
  <c r="R10" i="8"/>
  <c r="AJ40" i="3"/>
  <c r="BG5" i="3"/>
  <c r="O5" i="8"/>
  <c r="BS40" i="3"/>
  <c r="BG12" i="3"/>
  <c r="K12" i="3"/>
  <c r="K43" i="3" s="1"/>
  <c r="BG13" i="3"/>
  <c r="K13" i="3"/>
  <c r="BG21" i="3"/>
  <c r="K21" i="3"/>
  <c r="BE21" i="3" s="1"/>
  <c r="BE24" i="3"/>
  <c r="BH30" i="3" a="1"/>
  <c r="BH30" i="3" s="1"/>
  <c r="AI30" i="3"/>
  <c r="BG34" i="3"/>
  <c r="K34" i="3"/>
  <c r="BE34" i="3" s="1"/>
  <c r="K35" i="3"/>
  <c r="BG38" i="3"/>
  <c r="P12" i="8"/>
  <c r="L9" i="1"/>
  <c r="M14" i="8"/>
  <c r="I11" i="1"/>
  <c r="BD15" i="6"/>
  <c r="J15" i="8" s="1"/>
  <c r="BG14" i="7"/>
  <c r="K14" i="7"/>
  <c r="BE14" i="7" s="1"/>
  <c r="J43" i="7"/>
  <c r="AJ40" i="7"/>
  <c r="BE24" i="7"/>
  <c r="K33" i="7"/>
  <c r="BG33" i="7"/>
  <c r="BG38" i="7"/>
  <c r="K38" i="7"/>
  <c r="BE38" i="7" s="1"/>
  <c r="K39" i="7"/>
  <c r="BG39" i="7"/>
  <c r="I46" i="1"/>
  <c r="R15" i="8"/>
  <c r="D31" i="8"/>
  <c r="C48" i="1"/>
  <c r="J40" i="3"/>
  <c r="BG7" i="3"/>
  <c r="BE13" i="3"/>
  <c r="BH25" i="3" a="1"/>
  <c r="BH25" i="3" s="1"/>
  <c r="BH41" i="3" s="1"/>
  <c r="L42" i="3"/>
  <c r="BH35" i="3" a="1"/>
  <c r="BH35" i="3" s="1"/>
  <c r="AI35" i="3"/>
  <c r="BE35" i="3" s="1"/>
  <c r="BG35" i="3"/>
  <c r="L40" i="3"/>
  <c r="BB45" i="3"/>
  <c r="J15" i="5"/>
  <c r="BD14" i="5"/>
  <c r="F14" i="8" s="1"/>
  <c r="BE5" i="6"/>
  <c r="K5" i="8" s="1"/>
  <c r="BC11" i="6"/>
  <c r="I11" i="8" s="1"/>
  <c r="AK43" i="7"/>
  <c r="AK40" i="7"/>
  <c r="BG16" i="7"/>
  <c r="AI16" i="7"/>
  <c r="BE16" i="7" s="1"/>
  <c r="AI18" i="7"/>
  <c r="BE18" i="7" s="1"/>
  <c r="BG18" i="7"/>
  <c r="BE22" i="7"/>
  <c r="L42" i="7"/>
  <c r="AH42" i="7"/>
  <c r="M42" i="7"/>
  <c r="BE31" i="7"/>
  <c r="T14" i="8"/>
  <c r="K45" i="1"/>
  <c r="D22" i="8"/>
  <c r="AH43" i="3"/>
  <c r="AH40" i="3"/>
  <c r="BP43" i="3"/>
  <c r="L5" i="8"/>
  <c r="BP40" i="3"/>
  <c r="P5" i="8"/>
  <c r="BT43" i="3"/>
  <c r="BE9" i="3"/>
  <c r="BH15" i="3" a="1"/>
  <c r="BH15" i="3" s="1"/>
  <c r="BE17" i="3"/>
  <c r="AJ41" i="3"/>
  <c r="BE29" i="3"/>
  <c r="AK42" i="3"/>
  <c r="BE36" i="3"/>
  <c r="BE38" i="3"/>
  <c r="AI39" i="3"/>
  <c r="BE39" i="3" s="1"/>
  <c r="BG39" i="3"/>
  <c r="AK40" i="3"/>
  <c r="BC47" i="3"/>
  <c r="G21" i="8" s="1"/>
  <c r="BB12" i="5"/>
  <c r="BF7" i="5"/>
  <c r="BD13" i="5"/>
  <c r="F13" i="8" s="1"/>
  <c r="BE10" i="5"/>
  <c r="G10" i="8" s="1"/>
  <c r="M14" i="5"/>
  <c r="BE14" i="5" s="1"/>
  <c r="AG14" i="5"/>
  <c r="BB14" i="5" s="1"/>
  <c r="BB10" i="5"/>
  <c r="D10" i="8" s="1"/>
  <c r="AG15" i="5"/>
  <c r="D19" i="8"/>
  <c r="D23" i="8" s="1"/>
  <c r="C23" i="1"/>
  <c r="G23" i="8"/>
  <c r="K12" i="6"/>
  <c r="BE12" i="6"/>
  <c r="BG7" i="6" a="1"/>
  <c r="BG7" i="6" s="1"/>
  <c r="AH7" i="6"/>
  <c r="BC7" i="6" s="1"/>
  <c r="I7" i="8" s="1"/>
  <c r="BF9" i="6"/>
  <c r="AH9" i="6"/>
  <c r="BG9" i="6" a="1"/>
  <c r="BG9" i="6" s="1"/>
  <c r="BG13" i="6" s="1"/>
  <c r="J14" i="6"/>
  <c r="BB14" i="6" s="1"/>
  <c r="BE13" i="6"/>
  <c r="L15" i="6"/>
  <c r="AH43" i="7"/>
  <c r="BG7" i="7"/>
  <c r="AI7" i="7"/>
  <c r="BE7" i="7" s="1"/>
  <c r="BH5" i="7" a="1"/>
  <c r="BH5" i="7" s="1"/>
  <c r="BG17" i="7"/>
  <c r="K17" i="7"/>
  <c r="BE17" i="7" s="1"/>
  <c r="AI21" i="7"/>
  <c r="BE21" i="7" s="1"/>
  <c r="BG21" i="7"/>
  <c r="BQ41" i="3"/>
  <c r="M15" i="5"/>
  <c r="BF6" i="5"/>
  <c r="BF8" i="5"/>
  <c r="AH8" i="5"/>
  <c r="BC8" i="5" s="1"/>
  <c r="E8" i="8" s="1"/>
  <c r="BC13" i="5"/>
  <c r="BB9" i="5"/>
  <c r="D9" i="8" s="1"/>
  <c r="J14" i="5"/>
  <c r="BE11" i="5"/>
  <c r="G11" i="8" s="1"/>
  <c r="K12" i="5"/>
  <c r="BF5" i="6"/>
  <c r="AH5" i="6"/>
  <c r="BB6" i="6"/>
  <c r="H6" i="8" s="1"/>
  <c r="AI14" i="6"/>
  <c r="BD14" i="6" s="1"/>
  <c r="J14" i="8" s="1"/>
  <c r="BM43" i="7"/>
  <c r="F46" i="1" s="1"/>
  <c r="BM40" i="7"/>
  <c r="F43" i="1" s="1"/>
  <c r="BR43" i="7"/>
  <c r="BR40" i="7"/>
  <c r="BG12" i="7"/>
  <c r="AJ42" i="7"/>
  <c r="S10" i="8"/>
  <c r="BR42" i="7"/>
  <c r="AH40" i="7"/>
  <c r="BC45" i="7"/>
  <c r="Q10" i="8"/>
  <c r="K43" i="1"/>
  <c r="BM43" i="3"/>
  <c r="F12" i="1" s="1"/>
  <c r="BM40" i="3"/>
  <c r="F9" i="1" s="1"/>
  <c r="BR43" i="3"/>
  <c r="BR40" i="3"/>
  <c r="K15" i="3"/>
  <c r="BE15" i="3" s="1"/>
  <c r="AI25" i="3"/>
  <c r="AH6" i="5"/>
  <c r="BG8" i="5" a="1"/>
  <c r="BG8" i="5" s="1"/>
  <c r="BG12" i="5" s="1"/>
  <c r="K9" i="5"/>
  <c r="K13" i="5" s="1"/>
  <c r="K15" i="5"/>
  <c r="AI15" i="5"/>
  <c r="BD15" i="5" s="1"/>
  <c r="F15" i="8" s="1"/>
  <c r="M12" i="6"/>
  <c r="AG15" i="6"/>
  <c r="BB5" i="6"/>
  <c r="H5" i="8" s="1"/>
  <c r="BG5" i="6" a="1"/>
  <c r="BG5" i="6" s="1"/>
  <c r="K6" i="6"/>
  <c r="BC6" i="6" s="1"/>
  <c r="I6" i="8" s="1"/>
  <c r="BD13" i="6"/>
  <c r="J13" i="8" s="1"/>
  <c r="BD9" i="6"/>
  <c r="J9" i="8" s="1"/>
  <c r="BE11" i="6"/>
  <c r="K11" i="8" s="1"/>
  <c r="AI12" i="6"/>
  <c r="BD12" i="6" s="1"/>
  <c r="J12" i="8" s="1"/>
  <c r="AG13" i="6"/>
  <c r="BB13" i="6" s="1"/>
  <c r="AJ14" i="6"/>
  <c r="BE14" i="6" s="1"/>
  <c r="M40" i="7"/>
  <c r="BE5" i="7"/>
  <c r="BN40" i="7"/>
  <c r="G43" i="1" s="1"/>
  <c r="BN43" i="7"/>
  <c r="G46" i="1" s="1"/>
  <c r="T5" i="8"/>
  <c r="BS43" i="7"/>
  <c r="BE6" i="7"/>
  <c r="BG8" i="7"/>
  <c r="K10" i="7"/>
  <c r="K43" i="7" s="1"/>
  <c r="BH10" i="7" a="1"/>
  <c r="BH10" i="7" s="1"/>
  <c r="AI10" i="7"/>
  <c r="AI12" i="7"/>
  <c r="BE12" i="7" s="1"/>
  <c r="K13" i="7"/>
  <c r="BE26" i="7"/>
  <c r="BE28" i="7"/>
  <c r="BE29" i="7"/>
  <c r="J42" i="7"/>
  <c r="BG37" i="7"/>
  <c r="AI37" i="7"/>
  <c r="BE37" i="7" s="1"/>
  <c r="BP40" i="7"/>
  <c r="M43" i="7"/>
  <c r="N5" i="8"/>
  <c r="BD9" i="5"/>
  <c r="F9" i="8" s="1"/>
  <c r="BC11" i="5"/>
  <c r="E11" i="8" s="1"/>
  <c r="BG11" i="5" a="1"/>
  <c r="BG11" i="5" s="1"/>
  <c r="AJ13" i="5"/>
  <c r="BE13" i="5" s="1"/>
  <c r="J15" i="6"/>
  <c r="BD5" i="6"/>
  <c r="J5" i="8" s="1"/>
  <c r="BD6" i="6"/>
  <c r="J6" i="8" s="1"/>
  <c r="BC8" i="6"/>
  <c r="I8" i="8" s="1"/>
  <c r="BG8" i="6" a="1"/>
  <c r="BG8" i="6" s="1"/>
  <c r="BG11" i="6" a="1"/>
  <c r="BG11" i="6" s="1"/>
  <c r="BF11" i="6"/>
  <c r="AJ43" i="7"/>
  <c r="U5" i="8"/>
  <c r="BT40" i="7"/>
  <c r="K41" i="7"/>
  <c r="BH25" i="7" a="1"/>
  <c r="BH25" i="7" s="1"/>
  <c r="BH41" i="7" s="1"/>
  <c r="AI25" i="7"/>
  <c r="BG25" i="7"/>
  <c r="Q9" i="8"/>
  <c r="BP41" i="7"/>
  <c r="K42" i="7"/>
  <c r="BH30" i="7" a="1"/>
  <c r="BH30" i="7" s="1"/>
  <c r="BH42" i="7" s="1"/>
  <c r="AI30" i="7"/>
  <c r="U10" i="8"/>
  <c r="BT42" i="7"/>
  <c r="K35" i="7"/>
  <c r="BG36" i="7"/>
  <c r="AI36" i="7"/>
  <c r="BE36" i="7" s="1"/>
  <c r="BP43" i="7"/>
  <c r="L43" i="7"/>
  <c r="BG31" i="7"/>
  <c r="BE33" i="7"/>
  <c r="BE39" i="7"/>
  <c r="L40" i="7"/>
  <c r="BQ40" i="7"/>
  <c r="BH35" i="7" a="1"/>
  <c r="BH35" i="7" s="1"/>
  <c r="AI35" i="7"/>
  <c r="BE35" i="7" s="1"/>
  <c r="BK25" i="3"/>
  <c r="BK20" i="7"/>
  <c r="BK5" i="3"/>
  <c r="BJ25" i="3"/>
  <c r="BK15" i="3"/>
  <c r="BJ15" i="3"/>
  <c r="BJ15" i="7"/>
  <c r="BK30" i="7"/>
  <c r="BJ20" i="7"/>
  <c r="BJ10" i="3"/>
  <c r="BJ5" i="7"/>
  <c r="BJ30" i="7"/>
  <c r="BK20" i="3"/>
  <c r="BK35" i="3"/>
  <c r="BK15" i="7"/>
  <c r="BJ20" i="3"/>
  <c r="BK25" i="7"/>
  <c r="BJ30" i="3"/>
  <c r="BJ35" i="7"/>
  <c r="BJ42" i="3" l="1"/>
  <c r="C11" i="1" s="1"/>
  <c r="BK41" i="7"/>
  <c r="D44" i="1" s="1"/>
  <c r="BK40" i="7"/>
  <c r="D43" i="1" s="1"/>
  <c r="BK43" i="7"/>
  <c r="D46" i="1" s="1"/>
  <c r="BK42" i="3"/>
  <c r="D11" i="1" s="1"/>
  <c r="BJ42" i="7"/>
  <c r="C45" i="1" s="1"/>
  <c r="BJ40" i="3"/>
  <c r="C9" i="1" s="1"/>
  <c r="BJ43" i="3"/>
  <c r="C12" i="1" s="1"/>
  <c r="BK42" i="7"/>
  <c r="D45" i="1" s="1"/>
  <c r="BJ41" i="3"/>
  <c r="C10" i="1" s="1"/>
  <c r="BK41" i="3"/>
  <c r="D10" i="1" s="1"/>
  <c r="P13" i="8"/>
  <c r="L10" i="1"/>
  <c r="T13" i="8"/>
  <c r="K44" i="1"/>
  <c r="I44" i="1"/>
  <c r="O14" i="8"/>
  <c r="K11" i="1"/>
  <c r="S13" i="8"/>
  <c r="J44" i="1"/>
  <c r="N13" i="8"/>
  <c r="J10" i="1"/>
  <c r="U13" i="8"/>
  <c r="L44" i="1"/>
  <c r="U15" i="8"/>
  <c r="L46" i="1"/>
  <c r="Q14" i="8"/>
  <c r="H45" i="1"/>
  <c r="J11" i="1"/>
  <c r="N14" i="8"/>
  <c r="H14" i="8"/>
  <c r="E33" i="1"/>
  <c r="T15" i="8"/>
  <c r="K46" i="1"/>
  <c r="BG15" i="6"/>
  <c r="BG12" i="6"/>
  <c r="K13" i="8"/>
  <c r="D32" i="1"/>
  <c r="K12" i="8"/>
  <c r="D31" i="1"/>
  <c r="P15" i="8"/>
  <c r="L12" i="1"/>
  <c r="R14" i="8"/>
  <c r="I45" i="1"/>
  <c r="BG15" i="5"/>
  <c r="L14" i="8"/>
  <c r="H11" i="1"/>
  <c r="O13" i="8"/>
  <c r="K10" i="1"/>
  <c r="K15" i="8"/>
  <c r="D34" i="1"/>
  <c r="Q15" i="8"/>
  <c r="H46" i="1"/>
  <c r="Q13" i="8"/>
  <c r="H44" i="1"/>
  <c r="AI41" i="7"/>
  <c r="BE41" i="7" s="1"/>
  <c r="BE25" i="7"/>
  <c r="Q12" i="8"/>
  <c r="H43" i="1"/>
  <c r="N15" i="8"/>
  <c r="J12" i="1"/>
  <c r="S14" i="8"/>
  <c r="J45" i="1"/>
  <c r="G14" i="8"/>
  <c r="D21" i="1"/>
  <c r="D12" i="8"/>
  <c r="E19" i="1"/>
  <c r="K40" i="7"/>
  <c r="BH42" i="3"/>
  <c r="BK40" i="3"/>
  <c r="D9" i="1" s="1"/>
  <c r="BK43" i="3"/>
  <c r="D12" i="1" s="1"/>
  <c r="G12" i="8"/>
  <c r="D19" i="1"/>
  <c r="AI42" i="7"/>
  <c r="BE42" i="7" s="1"/>
  <c r="BE30" i="7"/>
  <c r="G13" i="8"/>
  <c r="D20" i="1"/>
  <c r="AI40" i="7"/>
  <c r="BE40" i="7" s="1"/>
  <c r="H13" i="8"/>
  <c r="E32" i="1"/>
  <c r="BB15" i="6"/>
  <c r="BC9" i="5"/>
  <c r="E9" i="8" s="1"/>
  <c r="AI41" i="3"/>
  <c r="BE25" i="3"/>
  <c r="AH15" i="6"/>
  <c r="BC15" i="6" s="1"/>
  <c r="BC5" i="6"/>
  <c r="I5" i="8" s="1"/>
  <c r="AH12" i="6"/>
  <c r="BC12" i="6" s="1"/>
  <c r="K15" i="6"/>
  <c r="BB15" i="5"/>
  <c r="L12" i="8"/>
  <c r="H9" i="1"/>
  <c r="K42" i="3"/>
  <c r="I9" i="1"/>
  <c r="M12" i="8"/>
  <c r="AI43" i="3"/>
  <c r="BE43" i="3" s="1"/>
  <c r="AI40" i="3"/>
  <c r="BE40" i="3" s="1"/>
  <c r="BE5" i="3"/>
  <c r="H12" i="8"/>
  <c r="E31" i="1"/>
  <c r="AH14" i="5"/>
  <c r="BC14" i="5" s="1"/>
  <c r="BC10" i="5"/>
  <c r="E10" i="8" s="1"/>
  <c r="BC14" i="6"/>
  <c r="P14" i="8"/>
  <c r="L11" i="1"/>
  <c r="L43" i="1"/>
  <c r="U12" i="8"/>
  <c r="BJ40" i="7"/>
  <c r="C43" i="1" s="1"/>
  <c r="BJ43" i="7"/>
  <c r="C46" i="1" s="1"/>
  <c r="N12" i="8"/>
  <c r="J9" i="1"/>
  <c r="S12" i="8"/>
  <c r="J43" i="1"/>
  <c r="E13" i="8"/>
  <c r="C20" i="1"/>
  <c r="D14" i="8"/>
  <c r="E21" i="1"/>
  <c r="L15" i="8"/>
  <c r="H12" i="1"/>
  <c r="AI42" i="3"/>
  <c r="BE42" i="3" s="1"/>
  <c r="BE30" i="3"/>
  <c r="BG14" i="6"/>
  <c r="K14" i="8"/>
  <c r="D33" i="1"/>
  <c r="BC6" i="5"/>
  <c r="E6" i="8" s="1"/>
  <c r="AH15" i="5"/>
  <c r="BC15" i="5" s="1"/>
  <c r="AH12" i="5"/>
  <c r="BC12" i="5" s="1"/>
  <c r="S15" i="8"/>
  <c r="J46" i="1"/>
  <c r="M13" i="8"/>
  <c r="I10" i="1"/>
  <c r="R12" i="8"/>
  <c r="I43" i="1"/>
  <c r="U14" i="8"/>
  <c r="L45" i="1"/>
  <c r="BE10" i="7"/>
  <c r="AI43" i="7"/>
  <c r="BE43" i="7" s="1"/>
  <c r="BH43" i="7"/>
  <c r="BH40" i="7"/>
  <c r="AH13" i="6"/>
  <c r="BC13" i="6" s="1"/>
  <c r="BC9" i="6"/>
  <c r="I9" i="8" s="1"/>
  <c r="O12" i="8"/>
  <c r="K9" i="1"/>
  <c r="M15" i="8"/>
  <c r="I12" i="1"/>
  <c r="BH43" i="3"/>
  <c r="BH40" i="3"/>
  <c r="BG14" i="5"/>
  <c r="BE15" i="5"/>
  <c r="K41" i="3"/>
  <c r="E15" i="8" l="1"/>
  <c r="C22" i="1"/>
  <c r="I15" i="8"/>
  <c r="C34" i="1"/>
  <c r="G15" i="8"/>
  <c r="D22" i="1"/>
  <c r="E14" i="8"/>
  <c r="C21" i="1"/>
  <c r="C19" i="1"/>
  <c r="E12" i="8"/>
  <c r="I14" i="8"/>
  <c r="C33" i="1"/>
  <c r="D15" i="8"/>
  <c r="E22" i="1"/>
  <c r="H15" i="8"/>
  <c r="E34" i="1"/>
  <c r="I13" i="8"/>
  <c r="C32" i="1"/>
  <c r="I12" i="8"/>
  <c r="C31" i="1"/>
  <c r="BE41" i="3"/>
</calcChain>
</file>

<file path=xl/sharedStrings.xml><?xml version="1.0" encoding="utf-8"?>
<sst xmlns="http://schemas.openxmlformats.org/spreadsheetml/2006/main" count="1672" uniqueCount="611">
  <si>
    <t>Reference:</t>
  </si>
  <si>
    <t>mpeg126-integration+r60rc19</t>
  </si>
  <si>
    <t>Tested:</t>
  </si>
  <si>
    <t>mpeg126-integration+r60rc19.1</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</si>
  <si>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</si>
  <si>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</si>
  <si>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</si>
  <si>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</si>
  <si>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</si>
  <si>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</si>
  <si>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</si>
  <si>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</si>
  <si>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</si>
  <si>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</si>
  <si>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</si>
  <si>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</si>
  <si>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</si>
  <si>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</si>
  <si>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</si>
  <si>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</si>
  <si>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</si>
  <si>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</si>
  <si>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</si>
  <si>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</si>
  <si>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</si>
  <si>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</si>
  <si>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</si>
  <si>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</si>
  <si>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</si>
  <si>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</si>
  <si>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</si>
  <si>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</si>
  <si>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</si>
  <si>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</si>
  <si>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</si>
  <si>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</si>
  <si>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</si>
  <si>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</si>
  <si>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</si>
  <si>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</si>
  <si>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</si>
  <si>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</si>
  <si>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</si>
  <si>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</si>
  <si>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</si>
  <si>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</si>
  <si>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</si>
  <si>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</si>
  <si>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</si>
  <si>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</si>
  <si>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</si>
  <si>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</si>
  <si>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</si>
  <si>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</si>
  <si>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</si>
  <si>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</si>
  <si>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</si>
  <si>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</si>
  <si>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</si>
  <si>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</si>
  <si>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</si>
  <si>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</si>
  <si>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</si>
  <si>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</si>
  <si>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</si>
  <si>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</si>
  <si>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</si>
  <si>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</si>
  <si>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</si>
  <si>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</si>
  <si>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</si>
  <si>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</si>
  <si>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</si>
  <si>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</si>
  <si>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</si>
  <si>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</si>
  <si>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</si>
  <si>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</si>
  <si>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</si>
  <si>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</si>
  <si>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</si>
  <si>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</si>
  <si>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</si>
  <si>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</si>
  <si>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</si>
  <si>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</si>
  <si>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</si>
  <si>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</si>
  <si>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</si>
  <si>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</si>
  <si>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</si>
  <si>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</si>
  <si>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</si>
  <si>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</si>
  <si>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</si>
  <si>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</si>
  <si>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</si>
  <si>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</si>
  <si>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</si>
  <si>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</si>
  <si>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</si>
  <si>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</si>
  <si>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</si>
  <si>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</si>
  <si>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</si>
  <si>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</si>
  <si>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</si>
  <si>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</si>
  <si>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</si>
  <si>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</si>
  <si>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</si>
  <si>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</si>
  <si>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</si>
  <si>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</si>
  <si>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</si>
  <si>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</si>
  <si>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</si>
  <si>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</si>
  <si>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</si>
  <si>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</si>
  <si>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</si>
  <si>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</si>
  <si>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</si>
  <si>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</si>
  <si>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</si>
  <si>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</si>
  <si>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</si>
  <si>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</si>
  <si>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</si>
  <si>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</si>
  <si>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</si>
  <si>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</si>
  <si>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</si>
  <si>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</si>
  <si>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</si>
  <si>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</si>
  <si>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</si>
  <si>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</si>
  <si>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</si>
  <si>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reference</t>
  </si>
  <si>
    <t>tested</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</si>
  <si>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</si>
  <si>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</si>
  <si>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</si>
  <si>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</si>
  <si>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</si>
  <si>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</si>
  <si>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</si>
  <si>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</si>
  <si>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</si>
  <si>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</si>
  <si>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</si>
  <si>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</si>
  <si>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</si>
  <si>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</si>
  <si>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</si>
  <si>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</si>
  <si>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</si>
  <si>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</si>
  <si>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</si>
  <si>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</si>
  <si>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</si>
  <si>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</si>
  <si>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</si>
  <si>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</si>
  <si>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</si>
  <si>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</si>
  <si>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</si>
  <si>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</si>
  <si>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</si>
  <si>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</si>
  <si>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</si>
  <si>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</si>
  <si>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</si>
  <si>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</si>
  <si>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</si>
  <si>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</si>
  <si>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</si>
  <si>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</si>
  <si>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</si>
  <si>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</si>
  <si>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</si>
  <si>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</si>
  <si>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</si>
  <si>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</si>
  <si>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</si>
  <si>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</si>
  <si>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</si>
  <si>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</si>
  <si>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</si>
  <si>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</si>
  <si>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</si>
  <si>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</si>
  <si>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</si>
  <si>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</si>
  <si>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</si>
  <si>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</si>
  <si>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</si>
  <si>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</si>
  <si>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</si>
  <si>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</si>
  <si>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</si>
  <si>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</si>
  <si>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</si>
  <si>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</si>
  <si>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</si>
  <si>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</si>
  <si>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</si>
  <si>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</si>
  <si>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</si>
  <si>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</si>
  <si>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</si>
  <si>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</si>
  <si>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</si>
  <si>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</si>
  <si>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</si>
  <si>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</si>
  <si>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</si>
  <si>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</si>
  <si>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</si>
  <si>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</si>
  <si>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</si>
  <si>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</si>
  <si>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</si>
  <si>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</si>
  <si>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</si>
  <si>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</si>
  <si>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</si>
  <si>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</si>
  <si>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</si>
  <si>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</si>
  <si>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</si>
  <si>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</si>
  <si>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</si>
  <si>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</si>
  <si>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</si>
  <si>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</si>
  <si>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</si>
  <si>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</si>
  <si>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</si>
  <si>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</si>
  <si>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</si>
  <si>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</si>
  <si>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</si>
  <si>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</si>
  <si>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</si>
  <si>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</si>
  <si>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</si>
  <si>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</si>
  <si>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</si>
  <si>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</si>
  <si>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</si>
  <si>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</si>
  <si>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</si>
  <si>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</si>
  <si>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</si>
  <si>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</si>
  <si>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</si>
  <si>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</si>
  <si>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</si>
  <si>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</si>
  <si>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</si>
  <si>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</si>
  <si>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</si>
  <si>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</si>
  <si>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</si>
  <si>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</si>
  <si>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</si>
  <si>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</si>
  <si>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</si>
  <si>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</si>
  <si>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</si>
  <si>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</si>
  <si>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</si>
  <si>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</si>
  <si>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</si>
  <si>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</si>
  <si>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</si>
  <si>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</si>
  <si>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</si>
  <si>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</si>
  <si>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</si>
  <si>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</si>
  <si>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</si>
  <si>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</si>
  <si>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</si>
  <si>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</si>
  <si>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</si>
  <si>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</si>
  <si>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</si>
  <si>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</si>
  <si>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</si>
  <si>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</si>
  <si>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</si>
  <si>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</si>
  <si>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</si>
  <si>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</si>
  <si>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</si>
  <si>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</si>
  <si>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</si>
  <si>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</si>
  <si>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</si>
  <si>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</si>
  <si>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</si>
  <si>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</si>
  <si>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</si>
  <si>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</si>
  <si>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</si>
  <si>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</si>
  <si>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</si>
  <si>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</si>
  <si>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</si>
  <si>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</si>
  <si>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</si>
  <si>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</si>
  <si>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</si>
  <si>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</si>
  <si>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</si>
  <si>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</si>
  <si>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</si>
  <si>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</si>
  <si>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</si>
  <si>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</si>
  <si>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</si>
  <si>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</si>
  <si>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</si>
  <si>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</si>
  <si>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</si>
  <si>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</si>
  <si>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</si>
  <si>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</si>
  <si>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</si>
  <si>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</si>
  <si>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</si>
  <si>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</si>
  <si>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</si>
  <si>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</si>
  <si>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</si>
  <si>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</si>
  <si>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</si>
  <si>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</si>
  <si>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</si>
  <si>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</si>
  <si>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</si>
  <si>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</si>
  <si>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</si>
  <si>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</si>
  <si>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</si>
  <si>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</si>
  <si>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</si>
  <si>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</si>
  <si>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</si>
  <si>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</si>
  <si>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</si>
  <si>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</si>
  <si>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</si>
  <si>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</si>
  <si>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</si>
  <si>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</si>
  <si>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</si>
  <si>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</si>
  <si>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</si>
  <si>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</si>
  <si>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</si>
  <si>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</si>
  <si>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</si>
  <si>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</si>
  <si>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</si>
  <si>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</si>
  <si>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</si>
  <si>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</si>
  <si>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</si>
  <si>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</si>
  <si>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</si>
  <si>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</si>
  <si>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</si>
  <si>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</si>
  <si>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</si>
  <si>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</si>
  <si>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</si>
  <si>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</si>
  <si>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</si>
  <si>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</si>
  <si>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</si>
  <si>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</si>
  <si>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</si>
  <si>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</si>
  <si>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</si>
  <si>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</si>
  <si>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</si>
  <si>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</si>
  <si>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</si>
  <si>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</si>
  <si>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</si>
  <si>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</si>
  <si>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</si>
  <si>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</si>
  <si>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</si>
  <si>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</si>
  <si>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</si>
  <si>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</si>
  <si>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</si>
  <si>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</si>
  <si>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</si>
  <si>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</si>
  <si>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</si>
  <si>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</si>
  <si>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</si>
  <si>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</si>
  <si>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</si>
  <si>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</si>
  <si>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</si>
  <si>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</si>
  <si>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</si>
  <si>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</si>
  <si>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</si>
  <si>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</si>
  <si>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</si>
  <si>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</si>
  <si>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</si>
  <si>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</si>
  <si>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</si>
  <si>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</si>
  <si>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</si>
  <si>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</si>
  <si>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</si>
  <si>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</si>
  <si>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</si>
  <si>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</si>
  <si>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</si>
  <si>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</si>
  <si>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</si>
  <si>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</si>
  <si>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</si>
  <si>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</si>
  <si>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</si>
  <si>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</si>
  <si>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</si>
  <si>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</si>
  <si>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</si>
  <si>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</si>
  <si>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</si>
  <si>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</si>
  <si>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</si>
  <si>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</si>
  <si>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</si>
  <si>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</si>
  <si>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</si>
  <si>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</si>
  <si>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</si>
  <si>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</si>
  <si>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</si>
  <si>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</si>
  <si>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</si>
  <si>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</si>
  <si>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</si>
  <si>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</si>
  <si>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</si>
  <si>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</si>
  <si>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</si>
  <si>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</si>
  <si>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</si>
  <si>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</si>
  <si>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</si>
  <si>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</si>
  <si>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</si>
  <si>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</si>
  <si>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</si>
  <si>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</si>
  <si>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</si>
  <si>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</si>
  <si>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</si>
  <si>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</si>
  <si>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</si>
  <si>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</si>
  <si>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</si>
  <si>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</si>
  <si>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</si>
  <si>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</si>
  <si>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</si>
  <si>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</si>
  <si>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</si>
  <si>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</si>
  <si>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</si>
  <si>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</si>
  <si>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</si>
  <si>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</si>
  <si>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</si>
  <si>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</si>
  <si>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</si>
  <si>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</si>
  <si>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</si>
  <si>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</si>
  <si>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</si>
  <si>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</si>
  <si>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</si>
  <si>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</si>
  <si>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</si>
  <si>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</si>
  <si>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</si>
  <si>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</si>
  <si>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</si>
  <si>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</si>
  <si>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</si>
  <si>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</si>
  <si>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</si>
  <si>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</si>
  <si>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</si>
  <si>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</si>
  <si>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</si>
  <si>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</si>
  <si>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</si>
  <si>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</si>
  <si>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</si>
  <si>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</si>
  <si>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</si>
  <si>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</si>
  <si>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</si>
  <si>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</si>
  <si>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</si>
  <si>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</si>
  <si>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</si>
  <si>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</si>
  <si>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</si>
  <si>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</si>
  <si>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</si>
  <si>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</si>
  <si>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</si>
  <si>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</si>
  <si>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</si>
  <si>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</si>
  <si>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</si>
  <si>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</si>
  <si>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</si>
  <si>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</si>
  <si>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</si>
  <si>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</si>
  <si>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</si>
  <si>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</si>
  <si>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</si>
  <si>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</si>
  <si>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</si>
  <si>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</si>
  <si>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</si>
  <si>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</si>
  <si>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</si>
  <si>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</si>
  <si>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</si>
  <si>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</si>
  <si>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</si>
  <si>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</si>
  <si>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</si>
  <si>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</si>
  <si>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</si>
  <si>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</si>
  <si>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</si>
  <si>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</si>
  <si>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</si>
  <si>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</si>
  <si>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</si>
  <si>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</si>
  <si>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</si>
  <si>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</si>
  <si>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</si>
  <si>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</si>
  <si>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</si>
  <si>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</si>
  <si>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</si>
  <si>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</si>
  <si>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</si>
  <si>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</si>
  <si>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</si>
  <si>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</si>
  <si>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</si>
  <si>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</si>
  <si>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</si>
  <si>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</si>
  <si>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</si>
  <si>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Seq.</t>
  </si>
  <si>
    <t>CWAI</t>
  </si>
  <si>
    <t>CWLD</t>
  </si>
  <si>
    <t>C2AI</t>
  </si>
  <si>
    <t>C2RA</t>
  </si>
  <si>
    <t>T.Geom</t>
  </si>
  <si>
    <t>Geom.</t>
  </si>
  <si>
    <t xml:space="preserve"> Cb</t>
  </si>
  <si>
    <t>Cr</t>
  </si>
  <si>
    <t>Cb</t>
  </si>
  <si>
    <t>A</t>
  </si>
  <si>
    <t>Loot</t>
  </si>
  <si>
    <t>R&amp;B</t>
  </si>
  <si>
    <t>Soldier</t>
  </si>
  <si>
    <t>Queen</t>
  </si>
  <si>
    <t>B</t>
  </si>
  <si>
    <t>Long.</t>
  </si>
  <si>
    <t xml:space="preserve">C </t>
  </si>
  <si>
    <t>Basket</t>
  </si>
  <si>
    <t>Dancer</t>
  </si>
  <si>
    <t>A avg</t>
  </si>
  <si>
    <t>B avg</t>
  </si>
  <si>
    <t>C avg</t>
  </si>
  <si>
    <t>Cond.</t>
  </si>
  <si>
    <t>Encoder runtime [%]</t>
  </si>
  <si>
    <t>Decoder runtime [%]</t>
  </si>
  <si>
    <t>Avg.</t>
  </si>
  <si>
    <t>Encoder Memory (Go)</t>
  </si>
  <si>
    <t>Decoder Memory (Go)</t>
  </si>
  <si>
    <t>Anchor</t>
  </si>
  <si>
    <t>Tested</t>
  </si>
  <si>
    <t>Memory Enc (Go)</t>
  </si>
  <si>
    <t>Memory Dec (Go)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</si>
</sst>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5">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numFmtId="0" fontId="0" fillId="0" borderId="0"/>
  </cellStyleXfs>
  <cellXfs count="19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2" borderId="9" xfId="0" applyFont="1" applyFill="1" applyBorder="1" applyAlignment="1">
      <alignment horizontal="center" wrapText="1"/>
    </xf>
    <xf numFmtId="0" fontId="1" fillId="12" borderId="10" xfId="0" applyFont="1" applyFill="1" applyBorder="1" applyAlignment="1">
      <alignment horizontal="center" wrapText="1"/>
    </xf>
    <xf numFmtId="0" fontId="0" fillId="8" borderId="5" xfId="0" applyFill="1" applyBorder="1"/>
    <xf numFmtId="164" fontId="0" fillId="8" borderId="5" xfId="0" applyNumberFormat="1" applyFill="1" applyBorder="1" applyAlignment="1">
      <alignment horizontal="center"/>
    </xf>
    <xf numFmtId="164" fontId="0" fillId="8" borderId="2" xfId="0" applyNumberFormat="1" applyFill="1" applyBorder="1" applyAlignment="1">
      <alignment horizontal="center"/>
    </xf>
    <xf numFmtId="164" fontId="0" fillId="8" borderId="6" xfId="0" applyNumberFormat="1" applyFill="1" applyBorder="1" applyAlignment="1">
      <alignment horizontal="center"/>
    </xf>
    <xf numFmtId="0" fontId="0" fillId="10" borderId="9" xfId="0" applyFill="1" applyBorder="1"/>
    <xf numFmtId="164" fontId="0" fillId="10" borderId="9" xfId="0" applyNumberFormat="1" applyFill="1" applyBorder="1" applyAlignment="1">
      <alignment horizontal="center"/>
    </xf>
    <xf numFmtId="164" fontId="0" fillId="10" borderId="0" xfId="0" applyNumberFormat="1" applyFill="1" applyAlignment="1">
      <alignment horizontal="center"/>
    </xf>
    <xf numFmtId="164" fontId="0" fillId="10" borderId="10" xfId="0" applyNumberFormat="1" applyFill="1" applyBorder="1" applyAlignment="1">
      <alignment horizontal="center"/>
    </xf>
    <xf numFmtId="0" fontId="0" fillId="8" borderId="9" xfId="0" applyFill="1" applyBorder="1"/>
    <xf numFmtId="164" fontId="0" fillId="8" borderId="9" xfId="0" applyNumberFormat="1" applyFill="1" applyBorder="1" applyAlignment="1">
      <alignment horizontal="center"/>
    </xf>
    <xf numFmtId="164" fontId="0" fillId="8" borderId="0" xfId="0" applyNumberFormat="1" applyFill="1" applyAlignment="1">
      <alignment horizontal="center"/>
    </xf>
    <xf numFmtId="164" fontId="0" fillId="8" borderId="10" xfId="0" applyNumberFormat="1" applyFill="1" applyBorder="1" applyAlignment="1">
      <alignment horizontal="center"/>
    </xf>
    <xf numFmtId="0" fontId="0" fillId="10" borderId="11" xfId="0" applyFill="1" applyBorder="1"/>
    <xf numFmtId="164" fontId="0" fillId="10" borderId="11" xfId="0" applyNumberFormat="1" applyFill="1" applyBorder="1" applyAlignment="1">
      <alignment horizontal="center"/>
    </xf>
    <xf numFmtId="164" fontId="0" fillId="10" borderId="12" xfId="0" applyNumberFormat="1" applyFill="1" applyBorder="1" applyAlignment="1">
      <alignment horizontal="center"/>
    </xf>
    <xf numFmtId="0" fontId="0" fillId="8" borderId="11" xfId="0" applyFill="1" applyBorder="1"/>
    <xf numFmtId="164" fontId="0" fillId="8" borderId="11" xfId="0" applyNumberFormat="1" applyFill="1" applyBorder="1" applyAlignment="1">
      <alignment horizontal="center"/>
    </xf>
    <xf numFmtId="164" fontId="0" fillId="8" borderId="12" xfId="0" applyNumberFormat="1" applyFill="1" applyBorder="1" applyAlignment="1">
      <alignment horizontal="center"/>
    </xf>
    <xf numFmtId="164" fontId="0" fillId="0" borderId="9" xfId="0" applyNumberFormat="1" applyBorder="1" applyAlignment="1">
      <alignment horizontal="center"/>
    </xf>
    <xf numFmtId="164" fontId="0" fillId="0" borderId="0" xfId="0" applyNumberFormat="1" applyAlignment="1">
      <alignment horizontal="center"/>
    </xf>
    <xf numFmtId="164" fontId="0" fillId="0" borderId="10" xfId="0" applyNumberFormat="1" applyBorder="1" applyAlignment="1">
      <alignment horizontal="center"/>
    </xf>
    <xf numFmtId="164" fontId="0" fillId="0" borderId="11" xfId="0" applyNumberFormat="1" applyBorder="1" applyAlignment="1">
      <alignment horizontal="center"/>
    </xf>
    <xf numFmtId="164" fontId="0" fillId="0" borderId="3" xfId="0" applyNumberFormat="1" applyBorder="1" applyAlignment="1">
      <alignment horizontal="center"/>
    </xf>
    <xf numFmtId="164" fontId="0" fillId="0" borderId="12" xfId="0" applyNumberFormat="1" applyBorder="1" applyAlignment="1">
      <alignment horizontal="center"/>
    </xf>
    <xf numFmtId="0" fontId="0" fillId="0" borderId="0" xfId="0"/>
    <xf numFmtId="0" fontId="1" fillId="5" borderId="11" xfId="0" applyFont="1" applyFill="1" applyBorder="1" applyAlignment="1">
      <alignment horizontal="center" wrapText="1"/>
    </xf>
    <xf numFmtId="0" fontId="1" fillId="5" borderId="12" xfId="0" applyFont="1" applyFill="1" applyBorder="1" applyAlignment="1">
      <alignment horizontal="center" wrapText="1"/>
    </xf>
    <xf numFmtId="0" fontId="1" fillId="12" borderId="0" xfId="0" applyFont="1" applyFill="1" applyAlignment="1">
      <alignment horizontal="center" wrapText="1"/>
    </xf>
    <xf numFmtId="0" fontId="0" fillId="8" borderId="6" xfId="0" applyFill="1" applyBorder="1"/>
    <xf numFmtId="0" fontId="0" fillId="10" borderId="10" xfId="0" applyFill="1" applyBorder="1"/>
    <xf numFmtId="0" fontId="0" fillId="8" borderId="10" xfId="0" applyFill="1" applyBorder="1"/>
    <xf numFmtId="0" fontId="0" fillId="10" borderId="12" xfId="0" applyFill="1" applyBorder="1"/>
    <xf numFmtId="0" fontId="0" fillId="8" borderId="12" xfId="0" applyFill="1" applyBorder="1"/>
    <xf numFmtId="164" fontId="0" fillId="8" borderId="1" xfId="0" applyNumberFormat="1" applyFill="1" applyBorder="1" applyAlignment="1">
      <alignment horizontal="center"/>
    </xf>
    <xf numFmtId="164" fontId="0" fillId="8" borderId="8" xfId="0" applyNumberFormat="1" applyFill="1" applyBorder="1" applyAlignment="1">
      <alignment horizontal="center"/>
    </xf>
    <xf numFmtId="164" fontId="0" fillId="0" borderId="5" xfId="0" applyNumberFormat="1" applyBorder="1" applyAlignment="1">
      <alignment horizontal="center"/>
    </xf>
    <xf numFmtId="164" fontId="0" fillId="0" borderId="2" xfId="0" applyNumberFormat="1" applyBorder="1" applyAlignment="1">
      <alignment horizontal="center"/>
    </xf>
    <xf numFmtId="164" fontId="0" fillId="0" borderId="6" xfId="0" applyNumberFormat="1" applyBorder="1" applyAlignment="1">
      <alignment horizontal="center"/>
    </xf>
    <xf numFmtId="164" fontId="0" fillId="0" borderId="7" xfId="0" applyNumberFormat="1" applyBorder="1" applyAlignment="1">
      <alignment horizontal="center"/>
    </xf>
    <xf numFmtId="164" fontId="0" fillId="0" borderId="1" xfId="0" applyNumberFormat="1" applyBorder="1" applyAlignment="1">
      <alignment horizontal="center"/>
    </xf>
    <xf numFmtId="164" fontId="0" fillId="0" borderId="8" xfId="0" applyNumberFormat="1" applyBorder="1" applyAlignment="1">
      <alignment horizontal="center"/>
    </xf>
    <xf numFmtId="0" fontId="0" fillId="12" borderId="10" xfId="0" applyFill="1" applyBorder="1"/>
    <xf numFmtId="0" fontId="0" fillId="14" borderId="9" xfId="0" applyFill="1" applyBorder="1"/>
    <xf numFmtId="9" fontId="0" fillId="14" borderId="10" xfId="0" applyNumberFormat="1" applyFill="1" applyBorder="1"/>
    <xf numFmtId="0" fontId="0" fillId="13" borderId="9" xfId="0" applyFill="1" applyBorder="1"/>
    <xf numFmtId="9" fontId="0" fillId="13" borderId="10" xfId="0" applyNumberFormat="1" applyFill="1" applyBorder="1"/>
    <xf numFmtId="9" fontId="0" fillId="0" borderId="3" xfId="0" applyNumberFormat="1" applyBorder="1"/>
    <xf numFmtId="9" fontId="0" fillId="0" borderId="12" xfId="0" applyNumberFormat="1" applyBorder="1"/>
    <xf numFmtId="0" fontId="0" fillId="13" borderId="5" xfId="0" applyFill="1" applyBorder="1"/>
    <xf numFmtId="9" fontId="0" fillId="0" borderId="6" xfId="0" applyNumberFormat="1" applyBorder="1"/>
    <xf numFmtId="0" fontId="0" fillId="14" borderId="11" xfId="0" applyFill="1" applyBorder="1"/>
    <xf numFmtId="9" fontId="0" fillId="14" borderId="12" xfId="0" applyNumberFormat="1" applyFill="1" applyBorder="1"/>
    <xf numFmtId="0" fontId="0" fillId="12" borderId="5" xfId="0" applyFill="1" applyBorder="1" applyAlignment="1">
      <alignment horizontal="center" vertical="center"/>
    </xf>
    <xf numFmtId="0" fontId="0" fillId="12" borderId="9" xfId="0" applyFill="1" applyBorder="1" applyAlignment="1">
      <alignment horizontal="center" vertical="center"/>
    </xf>
    <xf numFmtId="9" fontId="0" fillId="0" borderId="2" xfId="0" applyNumberFormat="1" applyBorder="1"/>
    <xf numFmtId="9" fontId="0" fillId="14" borderId="3" xfId="0" applyNumberFormat="1" applyFill="1" applyBorder="1"/>
    <xf numFmtId="0" fontId="0" fillId="12" borderId="9" xfId="0" applyFill="1" applyBorder="1" applyAlignment="1">
      <alignment horizontal="center"/>
    </xf>
    <xf numFmtId="9" fontId="0" fillId="0" borderId="5" xfId="0" applyNumberFormat="1" applyBorder="1"/>
    <xf numFmtId="9" fontId="0" fillId="14" borderId="9" xfId="0" applyNumberFormat="1" applyFill="1" applyBorder="1"/>
    <xf numFmtId="9" fontId="0" fillId="13" borderId="9" xfId="0" applyNumberFormat="1" applyFill="1" applyBorder="1"/>
    <xf numFmtId="9" fontId="0" fillId="14" borderId="11" xfId="0" applyNumberFormat="1" applyFill="1" applyBorder="1"/>
    <xf numFmtId="9" fontId="0" fillId="0" borderId="11" xfId="0" applyNumberFormat="1" applyBorder="1"/>
    <xf numFmtId="2" fontId="0" fillId="0" borderId="5" xfId="0" applyNumberFormat="1" applyBorder="1"/>
    <xf numFmtId="2" fontId="0" fillId="0" borderId="6" xfId="0" applyNumberFormat="1" applyBorder="1"/>
    <xf numFmtId="2" fontId="0" fillId="0" borderId="2" xfId="0" applyNumberFormat="1" applyBorder="1"/>
    <xf numFmtId="2" fontId="0" fillId="14" borderId="9" xfId="0" applyNumberFormat="1" applyFill="1" applyBorder="1"/>
    <xf numFmtId="2" fontId="0" fillId="14" borderId="10" xfId="0" applyNumberFormat="1" applyFill="1" applyBorder="1"/>
    <xf numFmtId="2" fontId="0" fillId="13" borderId="9" xfId="0" applyNumberFormat="1" applyFill="1" applyBorder="1"/>
    <xf numFmtId="2" fontId="0" fillId="13" borderId="10" xfId="0" applyNumberFormat="1" applyFill="1" applyBorder="1"/>
    <xf numFmtId="2" fontId="0" fillId="14" borderId="11" xfId="0" applyNumberFormat="1" applyFill="1" applyBorder="1"/>
    <xf numFmtId="2" fontId="0" fillId="14" borderId="12" xfId="0" applyNumberFormat="1" applyFill="1" applyBorder="1"/>
    <xf numFmtId="2" fontId="0" fillId="14" borderId="3" xfId="0" applyNumberFormat="1" applyFill="1" applyBorder="1"/>
    <xf numFmtId="2" fontId="0" fillId="0" borderId="11" xfId="0" applyNumberFormat="1" applyBorder="1"/>
    <xf numFmtId="2" fontId="0" fillId="0" borderId="12" xfId="0" applyNumberFormat="1" applyBorder="1"/>
    <xf numFmtId="2" fontId="0" fillId="0" borderId="3" xfId="0" applyNumberFormat="1" applyBorder="1"/>
    <xf numFmtId="0" fontId="0" fillId="12" borderId="0" xfId="0" applyFill="1" applyAlignment="1">
      <alignment horizontal="center"/>
    </xf>
    <xf numFmtId="0" fontId="0" fillId="8" borderId="2" xfId="0" applyFill="1" applyBorder="1"/>
    <xf numFmtId="0" fontId="0" fillId="8" borderId="0" xfId="0" applyFill="1"/>
    <xf numFmtId="2" fontId="0" fillId="0" borderId="9" xfId="0" applyNumberFormat="1" applyBorder="1"/>
    <xf numFmtId="2" fontId="0" fillId="0" borderId="10" xfId="0" applyNumberFormat="1" applyBorder="1"/>
    <xf numFmtId="2" fontId="0" fillId="0" borderId="7" xfId="0" applyNumberFormat="1" applyBorder="1"/>
    <xf numFmtId="2" fontId="0" fillId="0" borderId="1" xfId="0" applyNumberFormat="1" applyBorder="1"/>
    <xf numFmtId="2" fontId="0" fillId="0" borderId="8" xfId="0" applyNumberFormat="1" applyBorder="1"/>
    <xf numFmtId="2" fontId="0" fillId="14" borderId="5" xfId="0" applyNumberFormat="1" applyFill="1" applyBorder="1"/>
    <xf numFmtId="2" fontId="0" fillId="14" borderId="6" xfId="0" applyNumberFormat="1" applyFill="1" applyBorder="1"/>
    <xf numFmtId="2" fontId="0" fillId="14" borderId="2" xfId="0" applyNumberFormat="1" applyFill="1" applyBorder="1"/>
    <xf numFmtId="2" fontId="0" fillId="13" borderId="11" xfId="0" applyNumberFormat="1" applyFill="1" applyBorder="1"/>
    <xf numFmtId="2" fontId="0" fillId="13" borderId="12" xfId="0" applyNumberFormat="1" applyFill="1" applyBorder="1"/>
    <xf numFmtId="2" fontId="0" fillId="13" borderId="3" xfId="0" applyNumberFormat="1" applyFill="1" applyBorder="1"/>
    <xf numFmtId="0" fontId="0" fillId="12" borderId="11" xfId="0" applyFill="1" applyBorder="1" applyAlignment="1">
      <alignment horizontal="center"/>
    </xf>
    <xf numFmtId="0" fontId="0" fillId="12" borderId="12" xfId="0" applyFill="1" applyBorder="1"/>
    <xf numFmtId="2" fontId="0" fillId="13" borderId="0" xfId="0" applyNumberFormat="1" applyFill="1"/>
    <xf numFmtId="2" fontId="0" fillId="14" borderId="0" xfId="0" applyNumberFormat="1" applyFill="1"/>
    <xf numFmtId="9" fontId="0" fillId="14" borderId="0" xfId="0" applyNumberFormat="1" applyFill="1"/>
    <xf numFmtId="9" fontId="0" fillId="13" borderId="0" xfId="0" applyNumberFormat="1" applyFill="1"/>
    <xf numFmtId="0" fontId="0" fillId="10" borderId="5" xfId="0" applyFill="1" applyBorder="1"/>
    <xf numFmtId="0" fontId="0" fillId="10" borderId="6" xfId="0" applyFill="1" applyBorder="1"/>
    <xf numFmtId="0" fontId="0" fillId="12" borderId="0" xfId="0" applyFill="1"/>
    <xf numFmtId="2" fontId="0" fillId="0" borderId="0" xfId="0" applyNumberFormat="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11" xfId="0" applyBorder="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12" borderId="13" xfId="0" applyFill="1" applyBorder="1" applyAlignment="1">
      <alignment horizontal="center"/>
    </xf>
    <xf numFmtId="0" fontId="0" fillId="0" borderId="18" xfId="0" applyBorder="1"/>
    <xf numFmtId="0" fontId="0" fillId="0" borderId="8" xfId="0" applyBorder="1"/>
    <xf numFmtId="0" fontId="0" fillId="12" borderId="7" xfId="0" applyFill="1" applyBorder="1" applyAlignment="1">
      <alignment horizontal="center"/>
    </xf>
    <xf numFmtId="0" fontId="1" fillId="12" borderId="7" xfId="0" applyFont="1" applyFill="1" applyBorder="1" applyAlignment="1">
      <alignment horizontal="center" vertical="top" textRotation="180" wrapText="1"/>
    </xf>
    <xf numFmtId="0" fontId="0" fillId="0" borderId="11" xfId="0" applyBorder="1"/>
    <xf numFmtId="0" fontId="1" fillId="12" borderId="8" xfId="0" applyFont="1" applyFill="1" applyBorder="1" applyAlignment="1">
      <alignment horizontal="center" vertical="top" textRotation="180"/>
    </xf>
    <xf numFmtId="0" fontId="0" fillId="0" borderId="12" xfId="0" applyBorder="1"/>
    <xf numFmtId="0" fontId="0" fillId="12" borderId="14" xfId="0" applyFill="1" applyBorder="1" applyAlignment="1">
      <alignment horizontal="center"/>
    </xf>
    <xf numFmtId="0" fontId="0" fillId="0" borderId="6" xfId="0" applyBorder="1"/>
    <xf numFmtId="0" fontId="0" fillId="12" borderId="8" xfId="0" applyFill="1" applyBorder="1" applyAlignment="1">
      <alignment horizontal="center"/>
    </xf>
    <xf numFmtId="0" fontId="1" fillId="12" borderId="6" xfId="0" applyFont="1" applyFill="1" applyBorder="1" applyAlignment="1">
      <alignment horizontal="center" wrapText="1"/>
    </xf>
    <xf numFmtId="0" fontId="0" fillId="0" borderId="17" xfId="0" applyBorder="1"/>
    <xf numFmtId="0" fontId="1" fillId="12" borderId="14" xfId="0" applyFont="1" applyFill="1" applyBorder="1" applyAlignment="1">
      <alignment horizontal="center" wrapText="1"/>
    </xf>
    <xf numFmtId="0" fontId="1" fillId="12" borderId="2" xfId="0" applyFont="1" applyFill="1" applyBorder="1" applyAlignment="1">
      <alignment horizontal="center" wrapText="1"/>
    </xf>
    <xf numFmtId="0" fontId="1" fillId="12" borderId="5" xfId="0" applyFont="1" applyFill="1" applyBorder="1" applyAlignment="1">
      <alignment horizontal="center" wrapText="1"/>
    </xf>
    <xf numFmtId="0" fontId="0" fillId="0" borderId="9" xfId="0" applyBorder="1"/>
    <xf numFmtId="0" fontId="0" fillId="0" borderId="10" xfId="0" applyBorder="1"/>
    <xf numFmtId="0" fontId="1" fillId="0" borderId="15" xfId="0" applyFont="1" applyBorder="1" applyAlignment="1">
      <alignment horizontal="left" wrapText="1"/>
    </xf>
    <xf numFmtId="0" fontId="1" fillId="0" borderId="13" xfId="0" applyFont="1" applyBorder="1" applyAlignment="1">
      <alignment horizontal="left" wrapText="1"/>
    </xf>
    <xf numFmtId="0" fontId="0" fillId="12" borderId="19" xfId="0" applyFill="1" applyBorder="1" applyAlignment="1">
      <alignment horizontal="center"/>
    </xf>
    <xf numFmtId="0" fontId="0" fillId="0" borderId="19" xfId="0" applyBorder="1"/>
    <xf numFmtId="0" fontId="0" fillId="0" borderId="15" xfId="0" applyBorder="1" applyAlignment="1">
      <alignment horizontal="left" wrapText="1"/>
    </xf>
    <xf numFmtId="0" fontId="1" fillId="0" borderId="16" xfId="0" applyFont="1" applyBorder="1" applyAlignment="1">
      <alignment horizontal="left" wrapText="1"/>
    </xf>
  </cellXfs>
  <cellStyles count="1">
    <cellStyle name="Normal" xfId="0" builtin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spPr>
            <a:ln>
              <a:prstDash val="solid"/>
            </a:ln>
          </c:spPr>
          <c:marker>
            <c:symbol val="none"/>
          </c:marker>
          <c:xVal>
            <c:numRef>
              <c:f>Graphs!graph_a_x_range_A</c:f>
              <c:numCache>
                <c:formatCode>0.00</c:formatCode>
                <c:ptCount val="5"/>
                <c:pt idx="0">
                  <c:v>3.5558632505163601E-3</c:v>
                </c:pt>
                <c:pt idx="1">
                  <c:v>4.884189070074969E-3</c:v>
                </c:pt>
                <c:pt idx="2">
                  <c:v>6.7608834769198748E-3</c:v>
                </c:pt>
                <c:pt idx="3">
                  <c:v>9.8394940614489508E-3</c:v>
                </c:pt>
                <c:pt idx="4">
                  <c:v>1.5071032506220092E-2</c:v>
                </c:pt>
              </c:numCache>
            </c:numRef>
          </c:xVal>
          <c:yVal>
            <c:numRef>
              <c:f>Graphs!graph_a_y_range_A</c:f>
              <c:numCache>
                <c:formatCode>0.00</c:formatCode>
                <c:ptCount val="5"/>
                <c:pt idx="0">
                  <c:v>66.332715625000006</c:v>
                </c:pt>
                <c:pt idx="1">
                  <c:v>68.236621874999997</c:v>
                </c:pt>
                <c:pt idx="2">
                  <c:v>69.675028124999997</c:v>
                </c:pt>
                <c:pt idx="3">
                  <c:v>70.771603124999999</c:v>
                </c:pt>
                <c:pt idx="4">
                  <c:v>72.030068749999998</c:v>
                </c:pt>
              </c:numCache>
            </c:numRef>
          </c:yVal>
          <c:smooth val="1"/>
          <c:extLst>
            <c:ext xmlns:c16="http://schemas.microsoft.com/office/drawing/2014/chart" uri="{C3380CC4-5D6E-409C-BE32-E72D297353CC}">
              <c16:uniqueId val="{00000000-7C2B-4A44-8B23-F3CA391D470D}"/>
            </c:ext>
          </c:extLst>
        </c:ser>
        <c:ser>
          <c:idx val="1"/>
          <c:order val="1"/>
          <c:tx>
            <c:strRef>
              <c:f>Graphs!graph_a_B_title</c:f>
              <c:strCache>
                <c:ptCount val="1"/>
                <c:pt idx="0">
                  <c:v>tested</c:v>
                </c:pt>
              </c:strCache>
            </c:strRef>
          </c:tx>
          <c:spPr>
            <a:ln>
              <a:prstDash val="solid"/>
            </a:ln>
          </c:spPr>
          <c:marker>
            <c:symbol val="none"/>
          </c:marker>
          <c:xVal>
            <c:numRef>
              <c:f>Graphs!graph_a_x_range_B</c:f>
              <c:numCache>
                <c:formatCode>0.00</c:formatCode>
                <c:ptCount val="5"/>
                <c:pt idx="0">
                  <c:v>3.5558632505163601E-3</c:v>
                </c:pt>
                <c:pt idx="1">
                  <c:v>4.884189070074969E-3</c:v>
                </c:pt>
                <c:pt idx="2">
                  <c:v>6.7608834769198748E-3</c:v>
                </c:pt>
                <c:pt idx="3">
                  <c:v>9.8394940614489508E-3</c:v>
                </c:pt>
                <c:pt idx="4">
                  <c:v>1.5071032506220092E-2</c:v>
                </c:pt>
              </c:numCache>
            </c:numRef>
          </c:xVal>
          <c:yVal>
            <c:numRef>
              <c:f>Graphs!graph_a_y_range_B</c:f>
              <c:numCache>
                <c:formatCode>0.00</c:formatCode>
                <c:ptCount val="5"/>
                <c:pt idx="0">
                  <c:v>66.332715625000006</c:v>
                </c:pt>
                <c:pt idx="1">
                  <c:v>68.236621874999997</c:v>
                </c:pt>
                <c:pt idx="2">
                  <c:v>69.675028124999997</c:v>
                </c:pt>
                <c:pt idx="3">
                  <c:v>70.771603124999999</c:v>
                </c:pt>
                <c:pt idx="4">
                  <c:v>72.030068749999998</c:v>
                </c:pt>
              </c:numCache>
            </c:numRef>
          </c:yVal>
          <c:smooth val="1"/>
          <c:extLst>
            <c:ext xmlns:c16="http://schemas.microsoft.com/office/drawing/2014/chart" uri="{C3380CC4-5D6E-409C-BE32-E72D297353CC}">
              <c16:uniqueId val="{00000001-7C2B-4A44-8B23-F3CA391D470D}"/>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spPr>
            <a:ln>
              <a:prstDash val="solid"/>
            </a:ln>
          </c:spPr>
          <c:marker>
            <c:symbol val="none"/>
          </c:marker>
          <c:xVal>
            <c:numRef>
              <c:f>Graphs!graph_b_x_range_A</c:f>
              <c:numCache>
                <c:formatCode>0.00</c:formatCode>
                <c:ptCount val="5"/>
                <c:pt idx="0">
                  <c:v>3.5558632505163601E-3</c:v>
                </c:pt>
                <c:pt idx="1">
                  <c:v>4.884189070074969E-3</c:v>
                </c:pt>
                <c:pt idx="2">
                  <c:v>6.7608834769198748E-3</c:v>
                </c:pt>
                <c:pt idx="3">
                  <c:v>9.8394940614489508E-3</c:v>
                </c:pt>
                <c:pt idx="4">
                  <c:v>1.5071032506220092E-2</c:v>
                </c:pt>
              </c:numCache>
            </c:numRef>
          </c:xVal>
          <c:yVal>
            <c:numRef>
              <c:f>Graphs!graph_b_y_range_A</c:f>
              <c:numCache>
                <c:formatCode>0.00</c:formatCode>
                <c:ptCount val="5"/>
                <c:pt idx="0">
                  <c:v>68.421768749999998</c:v>
                </c:pt>
                <c:pt idx="1">
                  <c:v>70.381965625000007</c:v>
                </c:pt>
                <c:pt idx="2">
                  <c:v>72.069987499999996</c:v>
                </c:pt>
                <c:pt idx="3">
                  <c:v>73.323878124999993</c:v>
                </c:pt>
                <c:pt idx="4">
                  <c:v>75.292543749999993</c:v>
                </c:pt>
              </c:numCache>
            </c:numRef>
          </c:yVal>
          <c:smooth val="1"/>
          <c:extLst>
            <c:ext xmlns:c16="http://schemas.microsoft.com/office/drawing/2014/chart" uri="{C3380CC4-5D6E-409C-BE32-E72D297353CC}">
              <c16:uniqueId val="{00000000-C989-4BDD-8F6F-29BB958830F2}"/>
            </c:ext>
          </c:extLst>
        </c:ser>
        <c:ser>
          <c:idx val="1"/>
          <c:order val="1"/>
          <c:tx>
            <c:strRef>
              <c:f>Graphs!graph_b_B_title</c:f>
              <c:strCache>
                <c:ptCount val="1"/>
                <c:pt idx="0">
                  <c:v>tested</c:v>
                </c:pt>
              </c:strCache>
            </c:strRef>
          </c:tx>
          <c:spPr>
            <a:ln>
              <a:prstDash val="solid"/>
            </a:ln>
          </c:spPr>
          <c:marker>
            <c:symbol val="none"/>
          </c:marker>
          <c:xVal>
            <c:numRef>
              <c:f>Graphs!graph_b_x_range_B</c:f>
              <c:numCache>
                <c:formatCode>0.00</c:formatCode>
                <c:ptCount val="5"/>
                <c:pt idx="0">
                  <c:v>3.5558632505163601E-3</c:v>
                </c:pt>
                <c:pt idx="1">
                  <c:v>4.884189070074969E-3</c:v>
                </c:pt>
                <c:pt idx="2">
                  <c:v>6.7608834769198748E-3</c:v>
                </c:pt>
                <c:pt idx="3">
                  <c:v>9.8394940614489508E-3</c:v>
                </c:pt>
                <c:pt idx="4">
                  <c:v>1.5071032506220092E-2</c:v>
                </c:pt>
              </c:numCache>
            </c:numRef>
          </c:xVal>
          <c:yVal>
            <c:numRef>
              <c:f>Graphs!graph_b_y_range_B</c:f>
              <c:numCache>
                <c:formatCode>0.00</c:formatCode>
                <c:ptCount val="5"/>
                <c:pt idx="0">
                  <c:v>68.421768749999998</c:v>
                </c:pt>
                <c:pt idx="1">
                  <c:v>70.381965625000007</c:v>
                </c:pt>
                <c:pt idx="2">
                  <c:v>72.069987499999996</c:v>
                </c:pt>
                <c:pt idx="3">
                  <c:v>73.323878124999993</c:v>
                </c:pt>
                <c:pt idx="4">
                  <c:v>75.292543749999993</c:v>
                </c:pt>
              </c:numCache>
            </c:numRef>
          </c:yVal>
          <c:smooth val="1"/>
          <c:extLst>
            <c:ext xmlns:c16="http://schemas.microsoft.com/office/drawing/2014/chart" uri="{C3380CC4-5D6E-409C-BE32-E72D297353CC}">
              <c16:uniqueId val="{00000001-C989-4BDD-8F6F-29BB958830F2}"/>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spPr>
            <a:ln>
              <a:prstDash val="solid"/>
            </a:ln>
          </c:spPr>
          <c:marker>
            <c:symbol val="none"/>
          </c:marker>
          <c:xVal>
            <c:numRef>
              <c:f>Graphs!graph_c_x_range_A</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Graphs!graph_c_y_range_A</c:f>
              <c:numCache>
                <c:formatCode>0.00</c:formatCode>
                <c:ptCount val="5"/>
                <c:pt idx="0">
                  <c:v>32.160259375000003</c:v>
                </c:pt>
                <c:pt idx="1">
                  <c:v>34.447521875</c:v>
                </c:pt>
                <c:pt idx="2">
                  <c:v>36.982671875000001</c:v>
                </c:pt>
                <c:pt idx="3">
                  <c:v>39.609809374999998</c:v>
                </c:pt>
                <c:pt idx="4">
                  <c:v>42.033321874999999</c:v>
                </c:pt>
              </c:numCache>
            </c:numRef>
          </c:yVal>
          <c:smooth val="1"/>
          <c:extLst>
            <c:ext xmlns:c16="http://schemas.microsoft.com/office/drawing/2014/chart" uri="{C3380CC4-5D6E-409C-BE32-E72D297353CC}">
              <c16:uniqueId val="{00000000-D026-4D7F-A34F-FBB59726371C}"/>
            </c:ext>
          </c:extLst>
        </c:ser>
        <c:ser>
          <c:idx val="1"/>
          <c:order val="1"/>
          <c:tx>
            <c:strRef>
              <c:f>Graphs!graph_c_B_title</c:f>
              <c:strCache>
                <c:ptCount val="1"/>
                <c:pt idx="0">
                  <c:v>tested</c:v>
                </c:pt>
              </c:strCache>
            </c:strRef>
          </c:tx>
          <c:spPr>
            <a:ln>
              <a:prstDash val="solid"/>
            </a:ln>
          </c:spPr>
          <c:marker>
            <c:symbol val="none"/>
          </c:marker>
          <c:xVal>
            <c:numRef>
              <c:f>Graphs!graph_c_x_range_B</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Graphs!graph_c_y_range_B</c:f>
              <c:numCache>
                <c:formatCode>0.00</c:formatCode>
                <c:ptCount val="5"/>
                <c:pt idx="0">
                  <c:v>32.160259375000003</c:v>
                </c:pt>
                <c:pt idx="1">
                  <c:v>34.447521875</c:v>
                </c:pt>
                <c:pt idx="2">
                  <c:v>36.982671875000001</c:v>
                </c:pt>
                <c:pt idx="3">
                  <c:v>39.609809374999998</c:v>
                </c:pt>
                <c:pt idx="4">
                  <c:v>42.033321874999999</c:v>
                </c:pt>
              </c:numCache>
            </c:numRef>
          </c:yVal>
          <c:smooth val="1"/>
          <c:extLst>
            <c:ext xmlns:c16="http://schemas.microsoft.com/office/drawing/2014/chart" uri="{C3380CC4-5D6E-409C-BE32-E72D297353CC}">
              <c16:uniqueId val="{00000001-D026-4D7F-A34F-FBB59726371C}"/>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spPr>
            <a:ln>
              <a:prstDash val="solid"/>
            </a:ln>
          </c:spPr>
          <c:marker>
            <c:symbol val="none"/>
          </c:marker>
          <c:xVal>
            <c:numRef>
              <c:f>Graphs!graph_d_x_range_A</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Graphs!graph_d_y_range_A</c:f>
              <c:numCache>
                <c:formatCode>0.00</c:formatCode>
                <c:ptCount val="5"/>
                <c:pt idx="0">
                  <c:v>44.153634375000003</c:v>
                </c:pt>
                <c:pt idx="1">
                  <c:v>45.458003124999998</c:v>
                </c:pt>
                <c:pt idx="2">
                  <c:v>46.565084374999998</c:v>
                </c:pt>
                <c:pt idx="3">
                  <c:v>47.886146875000001</c:v>
                </c:pt>
                <c:pt idx="4">
                  <c:v>49.423381249999998</c:v>
                </c:pt>
              </c:numCache>
            </c:numRef>
          </c:yVal>
          <c:smooth val="1"/>
          <c:extLst>
            <c:ext xmlns:c16="http://schemas.microsoft.com/office/drawing/2014/chart" uri="{C3380CC4-5D6E-409C-BE32-E72D297353CC}">
              <c16:uniqueId val="{00000000-055C-4292-A4F5-B0A6B41FEF14}"/>
            </c:ext>
          </c:extLst>
        </c:ser>
        <c:ser>
          <c:idx val="1"/>
          <c:order val="1"/>
          <c:tx>
            <c:strRef>
              <c:f>Graphs!graph_d_B_title</c:f>
              <c:strCache>
                <c:ptCount val="1"/>
                <c:pt idx="0">
                  <c:v>tested</c:v>
                </c:pt>
              </c:strCache>
            </c:strRef>
          </c:tx>
          <c:spPr>
            <a:ln>
              <a:prstDash val="solid"/>
            </a:ln>
          </c:spPr>
          <c:marker>
            <c:symbol val="none"/>
          </c:marker>
          <c:xVal>
            <c:numRef>
              <c:f>Graphs!graph_d_x_range_B</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Graphs!graph_d_y_range_B</c:f>
              <c:numCache>
                <c:formatCode>0.00</c:formatCode>
                <c:ptCount val="5"/>
                <c:pt idx="0">
                  <c:v>44.153634375000003</c:v>
                </c:pt>
                <c:pt idx="1">
                  <c:v>45.458003124999998</c:v>
                </c:pt>
                <c:pt idx="2">
                  <c:v>46.565084374999998</c:v>
                </c:pt>
                <c:pt idx="3">
                  <c:v>47.886146875000001</c:v>
                </c:pt>
                <c:pt idx="4">
                  <c:v>49.423381249999998</c:v>
                </c:pt>
              </c:numCache>
            </c:numRef>
          </c:yVal>
          <c:smooth val="1"/>
          <c:extLst>
            <c:ext xmlns:c16="http://schemas.microsoft.com/office/drawing/2014/chart" uri="{C3380CC4-5D6E-409C-BE32-E72D297353CC}">
              <c16:uniqueId val="{00000001-055C-4292-A4F5-B0A6B41FEF1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spPr>
            <a:ln>
              <a:prstDash val="solid"/>
            </a:ln>
          </c:spPr>
          <c:marker>
            <c:symbol val="none"/>
          </c:marker>
          <c:xVal>
            <c:numRef>
              <c:f>Graphs!graph_e_x_range_A</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Graphs!graph_e_y_range_A</c:f>
              <c:numCache>
                <c:formatCode>0.00</c:formatCode>
                <c:ptCount val="5"/>
                <c:pt idx="0">
                  <c:v>43.744034374999998</c:v>
                </c:pt>
                <c:pt idx="1">
                  <c:v>45.1736875</c:v>
                </c:pt>
                <c:pt idx="2">
                  <c:v>46.435556249999998</c:v>
                </c:pt>
                <c:pt idx="3">
                  <c:v>47.961171874999998</c:v>
                </c:pt>
                <c:pt idx="4">
                  <c:v>49.554978124999998</c:v>
                </c:pt>
              </c:numCache>
            </c:numRef>
          </c:yVal>
          <c:smooth val="1"/>
          <c:extLst>
            <c:ext xmlns:c16="http://schemas.microsoft.com/office/drawing/2014/chart" uri="{C3380CC4-5D6E-409C-BE32-E72D297353CC}">
              <c16:uniqueId val="{00000000-5BDC-4EE3-B232-EE6FEE8303D9}"/>
            </c:ext>
          </c:extLst>
        </c:ser>
        <c:ser>
          <c:idx val="1"/>
          <c:order val="1"/>
          <c:tx>
            <c:strRef>
              <c:f>Graphs!graph_e_B_title</c:f>
              <c:strCache>
                <c:ptCount val="1"/>
                <c:pt idx="0">
                  <c:v>tested</c:v>
                </c:pt>
              </c:strCache>
            </c:strRef>
          </c:tx>
          <c:spPr>
            <a:ln>
              <a:prstDash val="solid"/>
            </a:ln>
          </c:spPr>
          <c:marker>
            <c:symbol val="none"/>
          </c:marker>
          <c:xVal>
            <c:numRef>
              <c:f>Graphs!graph_e_x_range_B</c:f>
              <c:numCache>
                <c:formatCode>0.00</c:formatCode>
                <c:ptCount val="5"/>
                <c:pt idx="0">
                  <c:v>3.7176460927346154E-3</c:v>
                </c:pt>
                <c:pt idx="1">
                  <c:v>7.9770429945335598E-3</c:v>
                </c:pt>
                <c:pt idx="2">
                  <c:v>1.6108579197406356E-2</c:v>
                </c:pt>
                <c:pt idx="3">
                  <c:v>3.2001559914464545E-2</c:v>
                </c:pt>
                <c:pt idx="4">
                  <c:v>6.1037985664876192E-2</c:v>
                </c:pt>
              </c:numCache>
            </c:numRef>
          </c:xVal>
          <c:yVal>
            <c:numRef>
              <c:f>Graphs!graph_e_y_range_B</c:f>
              <c:numCache>
                <c:formatCode>0.00</c:formatCode>
                <c:ptCount val="5"/>
                <c:pt idx="0">
                  <c:v>43.744034374999998</c:v>
                </c:pt>
                <c:pt idx="1">
                  <c:v>45.1736875</c:v>
                </c:pt>
                <c:pt idx="2">
                  <c:v>46.435556249999998</c:v>
                </c:pt>
                <c:pt idx="3">
                  <c:v>47.961171874999998</c:v>
                </c:pt>
                <c:pt idx="4">
                  <c:v>49.554978124999998</c:v>
                </c:pt>
              </c:numCache>
            </c:numRef>
          </c:yVal>
          <c:smooth val="1"/>
          <c:extLst>
            <c:ext xmlns:c16="http://schemas.microsoft.com/office/drawing/2014/chart" uri="{C3380CC4-5D6E-409C-BE32-E72D297353CC}">
              <c16:uniqueId val="{00000001-5BDC-4EE3-B232-EE6FEE8303D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9029-45F5-97C9-90200EE22A8A}"/>
            </c:ext>
          </c:extLst>
        </c:ser>
        <c:ser>
          <c:idx val="1"/>
          <c:order val="1"/>
          <c:tx>
            <c:strRef>
              <c:f>Graphs!graph_f_B_title</c:f>
              <c:strCache>
                <c:ptCount val="1"/>
                <c:pt idx="0">
                  <c:v>tested</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9029-45F5-97C9-90200EE22A8A}"/>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heetViews>
  <sheetFormatPr defaultRowHeight="14.4" x14ac:dyDescent="0.3"/>
  <cols>
    <col min="2" max="2" width="16.6640625" style="76" customWidth="1"/>
    <col min="3" max="12" width="24.6640625" style="76" customWidth="1"/>
  </cols>
  <sheetData>
    <row r="1" spans="2:12" x14ac:dyDescent="0.3">
      <c r="B1" t="s">
        <v>0</v>
      </c>
      <c r="C1" s="164" t="s">
        <v>1</v>
      </c>
      <c r="D1" s="156"/>
      <c r="E1" s="156"/>
    </row>
    <row r="2" spans="2:12" x14ac:dyDescent="0.3">
      <c r="B2" t="s">
        <v>2</v>
      </c>
      <c r="C2" s="165" t="s">
        <v>3</v>
      </c>
      <c r="D2" s="156"/>
      <c r="E2" s="156"/>
    </row>
    <row r="4" spans="2:12" s="1" customFormat="1" x14ac:dyDescent="0.3">
      <c r="B4" s="1" t="s">
        <v>4</v>
      </c>
    </row>
    <row r="6" spans="2:12" x14ac:dyDescent="0.3">
      <c r="B6" s="159" t="s">
        <v>5</v>
      </c>
      <c r="C6" s="160" t="s">
        <v>6</v>
      </c>
      <c r="D6" s="161"/>
      <c r="E6" s="161"/>
      <c r="F6" s="161"/>
      <c r="G6" s="161"/>
      <c r="H6" s="161"/>
      <c r="I6" s="161"/>
      <c r="J6" s="161"/>
      <c r="K6" s="161"/>
      <c r="L6" s="161"/>
    </row>
    <row r="7" spans="2:12" x14ac:dyDescent="0.3">
      <c r="B7" s="156"/>
      <c r="C7" s="162" t="s">
        <v>7</v>
      </c>
      <c r="D7" s="156"/>
      <c r="E7" s="163" t="s">
        <v>8</v>
      </c>
      <c r="F7" s="156"/>
      <c r="G7" s="156"/>
      <c r="H7" s="162" t="s">
        <v>9</v>
      </c>
      <c r="I7" s="156"/>
      <c r="J7" s="163" t="s">
        <v>10</v>
      </c>
      <c r="K7" s="156"/>
      <c r="L7" s="156"/>
    </row>
    <row r="8" spans="2:12" x14ac:dyDescent="0.3">
      <c r="B8" s="158"/>
      <c r="C8" s="2" t="s">
        <v>11</v>
      </c>
      <c r="D8" s="2" t="s">
        <v>12</v>
      </c>
      <c r="E8" s="3" t="s">
        <v>13</v>
      </c>
      <c r="F8" s="3" t="s">
        <v>14</v>
      </c>
      <c r="G8" s="3" t="s">
        <v>15</v>
      </c>
      <c r="H8" s="2" t="s">
        <v>11</v>
      </c>
      <c r="I8" s="2" t="s">
        <v>12</v>
      </c>
      <c r="J8" s="3" t="s">
        <v>13</v>
      </c>
      <c r="K8" s="3" t="s">
        <v>14</v>
      </c>
      <c r="L8" s="3" t="s">
        <v>15</v>
      </c>
    </row>
    <row r="9" spans="2:12" x14ac:dyDescent="0.3">
      <c r="B9" t="s">
        <v>16</v>
      </c>
      <c r="C9" s="71">
        <f>'C2 lossyG,lossyA,intra'!$BJ$40:$BJ$40</f>
        <v>0</v>
      </c>
      <c r="D9" s="71">
        <f>'C2 lossyG,lossyA,intra'!$BK$40:$BK$40</f>
        <v>0</v>
      </c>
      <c r="E9" s="71">
        <f>'C2 lossyG,lossyA,intra'!$BL$40:$BL$40</f>
        <v>0</v>
      </c>
      <c r="F9" s="71">
        <f>'C2 lossyG,lossyA,intra'!$BM$40:$BM$40</f>
        <v>0</v>
      </c>
      <c r="G9" s="71">
        <f>'C2 lossyG,lossyA,intra'!$BN$40:$BN$40</f>
        <v>0</v>
      </c>
      <c r="H9" s="71">
        <f>'C2 lossyG,lossyA,intra'!$BP$40:$BP$40</f>
        <v>0</v>
      </c>
      <c r="I9" s="71">
        <f>'C2 lossyG,lossyA,intra'!$BQ$40:$BQ$40</f>
        <v>0</v>
      </c>
      <c r="J9" s="71">
        <f>'C2 lossyG,lossyA,intra'!$BR$40:$BR$40</f>
        <v>0</v>
      </c>
      <c r="K9" s="71">
        <f>'C2 lossyG,lossyA,intra'!$BS$40:$BS$40</f>
        <v>0</v>
      </c>
      <c r="L9" s="71">
        <f>'C2 lossyG,lossyA,intra'!$BT$40:$BT$40</f>
        <v>0</v>
      </c>
    </row>
    <row r="10" spans="2:12" x14ac:dyDescent="0.3">
      <c r="B10" t="s">
        <v>17</v>
      </c>
      <c r="C10" s="71">
        <f>'C2 lossyG,lossyA,intra'!$BJ$41:$BJ$41</f>
        <v>0</v>
      </c>
      <c r="D10" s="71">
        <f>'C2 lossyG,lossyA,intra'!$BK$41:$BK$41</f>
        <v>0</v>
      </c>
      <c r="E10" s="71">
        <f>'C2 lossyG,lossyA,intra'!$BL$41:$BL$41</f>
        <v>0</v>
      </c>
      <c r="F10" s="71">
        <f>'C2 lossyG,lossyA,intra'!$BM$41:$BM$41</f>
        <v>0</v>
      </c>
      <c r="G10" s="71">
        <f>'C2 lossyG,lossyA,intra'!$BN$41:$BN$41</f>
        <v>0</v>
      </c>
      <c r="H10" s="71">
        <f>'C2 lossyG,lossyA,intra'!$BP$41:$BP$41</f>
        <v>0</v>
      </c>
      <c r="I10" s="71">
        <f>'C2 lossyG,lossyA,intra'!$BQ$41:$BQ$41</f>
        <v>0</v>
      </c>
      <c r="J10" s="71">
        <f>'C2 lossyG,lossyA,intra'!$BR$41:$BR$41</f>
        <v>0</v>
      </c>
      <c r="K10" s="71">
        <f>'C2 lossyG,lossyA,intra'!$BS$41:$BS$41</f>
        <v>0</v>
      </c>
      <c r="L10" s="71">
        <f>'C2 lossyG,lossyA,intra'!$BT$41:$BT$41</f>
        <v>0</v>
      </c>
    </row>
    <row r="11" spans="2:12" x14ac:dyDescent="0.3">
      <c r="B11" t="s">
        <v>18</v>
      </c>
      <c r="C11" s="71">
        <f>'C2 lossyG,lossyA,intra'!$BJ$42:$BJ$42</f>
        <v>0</v>
      </c>
      <c r="D11" s="71">
        <f>'C2 lossyG,lossyA,intra'!$BK$42:$BK$42</f>
        <v>0</v>
      </c>
      <c r="E11" s="71">
        <f>'C2 lossyG,lossyA,intra'!$BL$42:$BL$42</f>
        <v>0</v>
      </c>
      <c r="F11" s="71">
        <f>'C2 lossyG,lossyA,intra'!$BM$42:$BM$42</f>
        <v>0</v>
      </c>
      <c r="G11" s="71">
        <f>'C2 lossyG,lossyA,intra'!$BN$42:$BN$42</f>
        <v>0</v>
      </c>
      <c r="H11" s="71">
        <f>'C2 lossyG,lossyA,intra'!$BP$42:$BP$42</f>
        <v>0</v>
      </c>
      <c r="I11" s="71">
        <f>'C2 lossyG,lossyA,intra'!$BQ$42:$BQ$42</f>
        <v>0</v>
      </c>
      <c r="J11" s="71">
        <f>'C2 lossyG,lossyA,intra'!$BR$42:$BR$42</f>
        <v>0</v>
      </c>
      <c r="K11" s="71">
        <f>'C2 lossyG,lossyA,intra'!$BS$42:$BS$42</f>
        <v>0</v>
      </c>
      <c r="L11" s="71">
        <f>'C2 lossyG,lossyA,intra'!$BT$42:$BT$42</f>
        <v>0</v>
      </c>
    </row>
    <row r="12" spans="2:12" x14ac:dyDescent="0.3">
      <c r="B12" s="4" t="s">
        <v>19</v>
      </c>
      <c r="C12" s="5">
        <f>'C2 lossyG,lossyA,intra'!$BJ$43:$BJ$43</f>
        <v>0</v>
      </c>
      <c r="D12" s="5">
        <f>'C2 lossyG,lossyA,intra'!$BK$43:$BK$43</f>
        <v>0</v>
      </c>
      <c r="E12" s="5">
        <f>'C2 lossyG,lossyA,intra'!$BL$43:$BL$43</f>
        <v>0</v>
      </c>
      <c r="F12" s="5">
        <f>'C2 lossyG,lossyA,intra'!$BM$43:$BM$43</f>
        <v>0</v>
      </c>
      <c r="G12" s="5">
        <f>'C2 lossyG,lossyA,intra'!$BN$43:$BN$43</f>
        <v>0</v>
      </c>
      <c r="H12" s="5">
        <f>'C2 lossyG,lossyA,intra'!$BP$43:$BP$43</f>
        <v>0</v>
      </c>
      <c r="I12" s="5">
        <f>'C2 lossyG,lossyA,intra'!$BQ$43:$BQ$43</f>
        <v>0</v>
      </c>
      <c r="J12" s="5">
        <f>'C2 lossyG,lossyA,intra'!$BR$43:$BR$43</f>
        <v>0</v>
      </c>
      <c r="K12" s="5">
        <f>'C2 lossyG,lossyA,intra'!$BS$43:$BS$43</f>
        <v>0</v>
      </c>
      <c r="L12" s="5">
        <f>'C2 lossyG,lossyA,intra'!$BT$43:$BT$43</f>
        <v>0</v>
      </c>
    </row>
    <row r="13" spans="2:12" x14ac:dyDescent="0.3">
      <c r="B13" t="s">
        <v>20</v>
      </c>
      <c r="C13" s="155">
        <f>'C2 lossyG,lossyA,intra'!AZ47</f>
        <v>0.89050297308259152</v>
      </c>
      <c r="D13" s="156"/>
      <c r="E13" s="156"/>
      <c r="F13" s="156"/>
      <c r="G13" s="156"/>
      <c r="H13" s="156"/>
      <c r="I13" s="156"/>
      <c r="J13" s="156"/>
      <c r="K13" s="156"/>
      <c r="L13" s="156"/>
    </row>
    <row r="14" spans="2:12" x14ac:dyDescent="0.3">
      <c r="B14" s="6" t="s">
        <v>21</v>
      </c>
      <c r="C14" s="157">
        <f>'C2 lossyG,lossyA,intra'!BB47</f>
        <v>0.92044525763849816</v>
      </c>
      <c r="D14" s="158"/>
      <c r="E14" s="158"/>
      <c r="F14" s="158"/>
      <c r="G14" s="158"/>
      <c r="H14" s="158"/>
      <c r="I14" s="158"/>
      <c r="J14" s="158"/>
      <c r="K14" s="158"/>
      <c r="L14" s="158"/>
    </row>
    <row r="16" spans="2:12" x14ac:dyDescent="0.3">
      <c r="B16" s="159" t="s">
        <v>22</v>
      </c>
      <c r="C16" s="160" t="s">
        <v>23</v>
      </c>
      <c r="D16" s="161"/>
      <c r="E16" s="161"/>
    </row>
    <row r="17" spans="2:5" x14ac:dyDescent="0.3">
      <c r="B17" s="156"/>
      <c r="C17" s="162" t="s">
        <v>24</v>
      </c>
      <c r="D17" s="156"/>
      <c r="E17" s="156"/>
    </row>
    <row r="18" spans="2:5" x14ac:dyDescent="0.3">
      <c r="B18" s="158"/>
      <c r="C18" s="2" t="s">
        <v>25</v>
      </c>
      <c r="D18" s="2" t="s">
        <v>26</v>
      </c>
      <c r="E18" s="2" t="s">
        <v>27</v>
      </c>
    </row>
    <row r="19" spans="2:5" x14ac:dyDescent="0.3">
      <c r="B19" t="s">
        <v>16</v>
      </c>
      <c r="C19" s="71">
        <f>'CW losslG,losslA,intra'!BC12</f>
        <v>1</v>
      </c>
      <c r="D19" s="71">
        <f>'CW losslG,losslA,intra'!BE12</f>
        <v>1</v>
      </c>
      <c r="E19" s="71">
        <f>'CW losslG,losslA,intra'!BB12</f>
        <v>1</v>
      </c>
    </row>
    <row r="20" spans="2:5" x14ac:dyDescent="0.3">
      <c r="B20" t="s">
        <v>17</v>
      </c>
      <c r="C20" s="71">
        <f>'CW losslG,losslA,intra'!BC13</f>
        <v>1</v>
      </c>
      <c r="D20" s="71">
        <f>'CW losslG,losslA,intra'!BE13</f>
        <v>1</v>
      </c>
      <c r="E20" s="71">
        <f>'CW losslG,losslA,intra'!BB13</f>
        <v>1</v>
      </c>
    </row>
    <row r="21" spans="2:5" x14ac:dyDescent="0.3">
      <c r="B21" t="s">
        <v>18</v>
      </c>
      <c r="C21" s="71">
        <f>'CW losslG,losslA,intra'!BC14</f>
        <v>1</v>
      </c>
      <c r="D21" s="71">
        <f>'CW losslG,losslA,intra'!BE14</f>
        <v>1</v>
      </c>
      <c r="E21" s="71">
        <f>'CW losslG,losslA,intra'!BB14</f>
        <v>1</v>
      </c>
    </row>
    <row r="22" spans="2:5" x14ac:dyDescent="0.3">
      <c r="B22" s="4" t="s">
        <v>19</v>
      </c>
      <c r="C22" s="5">
        <f>'CW losslG,losslA,intra'!BC15</f>
        <v>1</v>
      </c>
      <c r="D22" s="5">
        <f>'CW losslG,losslA,intra'!BE15</f>
        <v>1</v>
      </c>
      <c r="E22" s="5">
        <f>'CW losslG,losslA,intra'!BB15</f>
        <v>1</v>
      </c>
    </row>
    <row r="23" spans="2:5" x14ac:dyDescent="0.3">
      <c r="B23" t="s">
        <v>20</v>
      </c>
      <c r="C23" s="155">
        <f>'CW losslG,losslA,intra'!AW19</f>
        <v>0.9507568735919748</v>
      </c>
      <c r="D23" s="156"/>
      <c r="E23" s="156"/>
    </row>
    <row r="24" spans="2:5" x14ac:dyDescent="0.3">
      <c r="B24" s="6" t="s">
        <v>21</v>
      </c>
      <c r="C24" s="157">
        <f>'CW losslG,losslA,intra'!AY19</f>
        <v>1.0230923355167783</v>
      </c>
      <c r="D24" s="158"/>
      <c r="E24" s="158"/>
    </row>
    <row r="26" spans="2:5" s="1" customFormat="1" x14ac:dyDescent="0.3">
      <c r="B26" s="1" t="s">
        <v>28</v>
      </c>
    </row>
    <row r="28" spans="2:5" x14ac:dyDescent="0.3">
      <c r="B28" s="159" t="s">
        <v>29</v>
      </c>
      <c r="C28" s="160" t="s">
        <v>30</v>
      </c>
      <c r="D28" s="161"/>
      <c r="E28" s="161"/>
    </row>
    <row r="29" spans="2:5" x14ac:dyDescent="0.3">
      <c r="B29" s="156"/>
      <c r="C29" s="162" t="s">
        <v>24</v>
      </c>
      <c r="D29" s="156"/>
      <c r="E29" s="156"/>
    </row>
    <row r="30" spans="2:5" x14ac:dyDescent="0.3">
      <c r="B30" s="158"/>
      <c r="C30" s="2" t="s">
        <v>25</v>
      </c>
      <c r="D30" s="2" t="s">
        <v>26</v>
      </c>
      <c r="E30" s="2" t="s">
        <v>27</v>
      </c>
    </row>
    <row r="31" spans="2:5" x14ac:dyDescent="0.3">
      <c r="B31" t="s">
        <v>16</v>
      </c>
      <c r="C31" s="71">
        <f>'CW losslG,losslA,interLD'!BC12</f>
        <v>1</v>
      </c>
      <c r="D31" s="71">
        <f>'CW losslG,losslA,interLD'!BE12</f>
        <v>1</v>
      </c>
      <c r="E31" s="71">
        <f>'CW losslG,losslA,interLD'!BB12</f>
        <v>1</v>
      </c>
    </row>
    <row r="32" spans="2:5" x14ac:dyDescent="0.3">
      <c r="B32" t="s">
        <v>17</v>
      </c>
      <c r="C32" s="71">
        <f>'CW losslG,losslA,interLD'!BC13</f>
        <v>1</v>
      </c>
      <c r="D32" s="71">
        <f>'CW losslG,losslA,interLD'!BE13</f>
        <v>1</v>
      </c>
      <c r="E32" s="71">
        <f>'CW losslG,losslA,interLD'!BB13</f>
        <v>1</v>
      </c>
    </row>
    <row r="33" spans="2:12" x14ac:dyDescent="0.3">
      <c r="B33" t="s">
        <v>18</v>
      </c>
      <c r="C33" s="71">
        <f>'CW losslG,losslA,interLD'!BC14</f>
        <v>1</v>
      </c>
      <c r="D33" s="71">
        <f>'CW losslG,losslA,interLD'!BE14</f>
        <v>1</v>
      </c>
      <c r="E33" s="71">
        <f>'CW losslG,losslA,interLD'!BB14</f>
        <v>1</v>
      </c>
    </row>
    <row r="34" spans="2:12" x14ac:dyDescent="0.3">
      <c r="B34" s="4" t="s">
        <v>19</v>
      </c>
      <c r="C34" s="5">
        <f>'CW losslG,losslA,interLD'!BC15</f>
        <v>1</v>
      </c>
      <c r="D34" s="5">
        <f>'CW losslG,losslA,interLD'!BE15</f>
        <v>1</v>
      </c>
      <c r="E34" s="5">
        <f>'CW losslG,losslA,interLD'!BB15</f>
        <v>1</v>
      </c>
    </row>
    <row r="35" spans="2:12" x14ac:dyDescent="0.3">
      <c r="B35" t="s">
        <v>20</v>
      </c>
      <c r="C35" s="155">
        <f>'CW losslG,losslA,interLD'!AW19</f>
        <v>0.95026672569285919</v>
      </c>
      <c r="D35" s="156"/>
      <c r="E35" s="156"/>
    </row>
    <row r="36" spans="2:12" x14ac:dyDescent="0.3">
      <c r="B36" s="6" t="s">
        <v>21</v>
      </c>
      <c r="C36" s="157">
        <f>'CW losslG,losslA,interLD'!AY19</f>
        <v>1.0642317012557441</v>
      </c>
      <c r="D36" s="158"/>
      <c r="E36" s="158"/>
    </row>
    <row r="38" spans="2:12" s="1" customFormat="1" x14ac:dyDescent="0.3">
      <c r="B38" s="1" t="s">
        <v>31</v>
      </c>
    </row>
    <row r="40" spans="2:12" x14ac:dyDescent="0.3">
      <c r="B40" s="159" t="s">
        <v>32</v>
      </c>
      <c r="C40" s="160" t="s">
        <v>33</v>
      </c>
      <c r="D40" s="161"/>
      <c r="E40" s="161"/>
      <c r="F40" s="161"/>
      <c r="G40" s="161"/>
      <c r="H40" s="161"/>
      <c r="I40" s="161"/>
      <c r="J40" s="161"/>
      <c r="K40" s="161"/>
      <c r="L40" s="161"/>
    </row>
    <row r="41" spans="2:12" x14ac:dyDescent="0.3">
      <c r="B41" s="156"/>
      <c r="C41" s="162" t="s">
        <v>7</v>
      </c>
      <c r="D41" s="156"/>
      <c r="E41" s="163" t="s">
        <v>8</v>
      </c>
      <c r="F41" s="156"/>
      <c r="G41" s="156"/>
      <c r="H41" s="162" t="s">
        <v>9</v>
      </c>
      <c r="I41" s="156"/>
      <c r="J41" s="163" t="s">
        <v>10</v>
      </c>
      <c r="K41" s="156"/>
      <c r="L41" s="156"/>
    </row>
    <row r="42" spans="2:12" x14ac:dyDescent="0.3">
      <c r="B42" s="158"/>
      <c r="C42" s="2" t="s">
        <v>11</v>
      </c>
      <c r="D42" s="2" t="s">
        <v>12</v>
      </c>
      <c r="E42" s="3" t="s">
        <v>13</v>
      </c>
      <c r="F42" s="3" t="s">
        <v>14</v>
      </c>
      <c r="G42" s="3" t="s">
        <v>15</v>
      </c>
      <c r="H42" s="2" t="s">
        <v>11</v>
      </c>
      <c r="I42" s="2" t="s">
        <v>12</v>
      </c>
      <c r="J42" s="3" t="s">
        <v>13</v>
      </c>
      <c r="K42" s="3" t="s">
        <v>14</v>
      </c>
      <c r="L42" s="3" t="s">
        <v>15</v>
      </c>
    </row>
    <row r="43" spans="2:12" x14ac:dyDescent="0.3">
      <c r="B43" t="s">
        <v>16</v>
      </c>
      <c r="C43" s="71">
        <f>'C2 lossyG,lossyA,interRA'!$BJ$40:$BJ$40</f>
        <v>0</v>
      </c>
      <c r="D43" s="71">
        <f>'C2 lossyG,lossyA,interRA'!$BK$40:$BK$40</f>
        <v>0</v>
      </c>
      <c r="E43" s="71">
        <f>'C2 lossyG,lossyA,interRA'!$BL$40:$BL$40</f>
        <v>0</v>
      </c>
      <c r="F43" s="71">
        <f>'C2 lossyG,lossyA,interRA'!$BM$40:$BM$40</f>
        <v>0</v>
      </c>
      <c r="G43" s="71">
        <f>'C2 lossyG,lossyA,interRA'!$BN$40:$BN$40</f>
        <v>0</v>
      </c>
      <c r="H43" s="71">
        <f>'C2 lossyG,lossyA,interRA'!$BP$40:$BP$40</f>
        <v>0</v>
      </c>
      <c r="I43" s="71">
        <f>'C2 lossyG,lossyA,interRA'!$BQ$40:$BQ$40</f>
        <v>0</v>
      </c>
      <c r="J43" s="71">
        <f>'C2 lossyG,lossyA,interRA'!$BR$40:$BR$40</f>
        <v>0</v>
      </c>
      <c r="K43" s="71">
        <f>'C2 lossyG,lossyA,interRA'!$BS$40:$BS$40</f>
        <v>0</v>
      </c>
      <c r="L43" s="71">
        <f>'C2 lossyG,lossyA,interRA'!$BT$40:$BT$40</f>
        <v>0</v>
      </c>
    </row>
    <row r="44" spans="2:12" x14ac:dyDescent="0.3">
      <c r="B44" t="s">
        <v>17</v>
      </c>
      <c r="C44" s="71">
        <f>'C2 lossyG,lossyA,interRA'!$BJ$41:$BJ$41</f>
        <v>0</v>
      </c>
      <c r="D44" s="71">
        <f>'C2 lossyG,lossyA,interRA'!$BK$41:$BK$41</f>
        <v>0</v>
      </c>
      <c r="E44" s="71">
        <f>'C2 lossyG,lossyA,interRA'!$BL$41:$BL$41</f>
        <v>0</v>
      </c>
      <c r="F44" s="71">
        <f>'C2 lossyG,lossyA,interRA'!$BM$41:$BM$41</f>
        <v>0</v>
      </c>
      <c r="G44" s="71">
        <f>'C2 lossyG,lossyA,interRA'!$BN$41:$BN$41</f>
        <v>0</v>
      </c>
      <c r="H44" s="71">
        <f>'C2 lossyG,lossyA,interRA'!$BP$41:$BP$41</f>
        <v>0</v>
      </c>
      <c r="I44" s="71">
        <f>'C2 lossyG,lossyA,interRA'!$BQ$41:$BQ$41</f>
        <v>0</v>
      </c>
      <c r="J44" s="71">
        <f>'C2 lossyG,lossyA,interRA'!$BR$41:$BR$41</f>
        <v>0</v>
      </c>
      <c r="K44" s="71">
        <f>'C2 lossyG,lossyA,interRA'!$BS$41:$BS$41</f>
        <v>0</v>
      </c>
      <c r="L44" s="71">
        <f>'C2 lossyG,lossyA,interRA'!$BT$41:$BT$41</f>
        <v>0</v>
      </c>
    </row>
    <row r="45" spans="2:12" x14ac:dyDescent="0.3">
      <c r="B45" t="s">
        <v>18</v>
      </c>
      <c r="C45" s="71">
        <f>'C2 lossyG,lossyA,interRA'!$BJ$42:$BJ$42</f>
        <v>0</v>
      </c>
      <c r="D45" s="71">
        <f>'C2 lossyG,lossyA,interRA'!$BK$42:$BK$42</f>
        <v>0</v>
      </c>
      <c r="E45" s="71">
        <f>'C2 lossyG,lossyA,interRA'!$BL$42:$BL$42</f>
        <v>0</v>
      </c>
      <c r="F45" s="71">
        <f>'C2 lossyG,lossyA,interRA'!$BM$42:$BM$42</f>
        <v>0</v>
      </c>
      <c r="G45" s="71">
        <f>'C2 lossyG,lossyA,interRA'!$BN$42:$BN$42</f>
        <v>0</v>
      </c>
      <c r="H45" s="71">
        <f>'C2 lossyG,lossyA,interRA'!$BP$42:$BP$42</f>
        <v>0</v>
      </c>
      <c r="I45" s="71">
        <f>'C2 lossyG,lossyA,interRA'!$BQ$42:$BQ$42</f>
        <v>0</v>
      </c>
      <c r="J45" s="71">
        <f>'C2 lossyG,lossyA,interRA'!$BR$42:$BR$42</f>
        <v>0</v>
      </c>
      <c r="K45" s="71">
        <f>'C2 lossyG,lossyA,interRA'!$BS$42:$BS$42</f>
        <v>0</v>
      </c>
      <c r="L45" s="71">
        <f>'C2 lossyG,lossyA,interRA'!$BT$42:$BT$42</f>
        <v>0</v>
      </c>
    </row>
    <row r="46" spans="2:12" x14ac:dyDescent="0.3">
      <c r="B46" s="4" t="s">
        <v>19</v>
      </c>
      <c r="C46" s="5">
        <f>'C2 lossyG,lossyA,interRA'!$BJ$43:$BJ$43</f>
        <v>0</v>
      </c>
      <c r="D46" s="5">
        <f>'C2 lossyG,lossyA,interRA'!$BK$43:$BK$43</f>
        <v>0</v>
      </c>
      <c r="E46" s="5">
        <f>'C2 lossyG,lossyA,interRA'!$BL$43:$BL$43</f>
        <v>0</v>
      </c>
      <c r="F46" s="5">
        <f>'C2 lossyG,lossyA,interRA'!$BM$43:$BM$43</f>
        <v>0</v>
      </c>
      <c r="G46" s="5">
        <f>'C2 lossyG,lossyA,interRA'!$BN$43:$BN$43</f>
        <v>0</v>
      </c>
      <c r="H46" s="5">
        <f>'C2 lossyG,lossyA,interRA'!$BP$43:$BP$43</f>
        <v>0</v>
      </c>
      <c r="I46" s="5">
        <f>'C2 lossyG,lossyA,interRA'!$BQ$43:$BQ$43</f>
        <v>0</v>
      </c>
      <c r="J46" s="5">
        <f>'C2 lossyG,lossyA,interRA'!$BR$43:$BR$43</f>
        <v>0</v>
      </c>
      <c r="K46" s="5">
        <f>'C2 lossyG,lossyA,interRA'!$BS$43:$BS$43</f>
        <v>0</v>
      </c>
      <c r="L46" s="5">
        <f>'C2 lossyG,lossyA,interRA'!$BT$43:$BT$43</f>
        <v>0</v>
      </c>
    </row>
    <row r="47" spans="2:12" x14ac:dyDescent="0.3">
      <c r="B47" t="s">
        <v>20</v>
      </c>
      <c r="C47" s="155">
        <f>'C2 lossyG,lossyA,interRA'!AZ47</f>
        <v>0.86082859128345712</v>
      </c>
      <c r="D47" s="156"/>
      <c r="E47" s="156"/>
      <c r="F47" s="156"/>
      <c r="G47" s="156"/>
      <c r="H47" s="156"/>
      <c r="I47" s="156"/>
      <c r="J47" s="156"/>
      <c r="K47" s="156"/>
      <c r="L47" s="156"/>
    </row>
    <row r="48" spans="2:12" x14ac:dyDescent="0.3">
      <c r="B48" s="6" t="s">
        <v>21</v>
      </c>
      <c r="C48" s="157">
        <f>'C2 lossyG,lossyA,interRA'!BB47</f>
        <v>0.87209436349368274</v>
      </c>
      <c r="D48" s="158"/>
      <c r="E48" s="158"/>
      <c r="F48" s="158"/>
      <c r="G48" s="158"/>
      <c r="H48" s="158"/>
      <c r="I48" s="158"/>
      <c r="J48" s="158"/>
      <c r="K48" s="158"/>
      <c r="L48" s="158"/>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73" priority="23" operator="greaterThanOrEqual">
      <formula>1.03</formula>
    </cfRule>
    <cfRule type="cellIs" dxfId="172" priority="24" operator="lessThanOrEqual">
      <formula>0.97</formula>
    </cfRule>
  </conditionalFormatting>
  <conditionalFormatting sqref="C31 C32 C33 C34">
    <cfRule type="cellIs" dxfId="171" priority="27" operator="greaterThanOrEqual">
      <formula>1.03</formula>
    </cfRule>
    <cfRule type="cellIs" dxfId="170" priority="28" operator="lessThanOrEqual">
      <formula>0.97</formula>
    </cfRule>
  </conditionalFormatting>
  <conditionalFormatting sqref="C43 C44 C45 C46">
    <cfRule type="cellIs" dxfId="169" priority="51" operator="greaterThanOrEqual">
      <formula>0.03</formula>
    </cfRule>
    <cfRule type="cellIs" dxfId="168" priority="52" operator="lessThanOrEqual">
      <formula>-0.03</formula>
    </cfRule>
  </conditionalFormatting>
  <conditionalFormatting sqref="C9 C10 C11 C12">
    <cfRule type="cellIs" dxfId="167" priority="15" operator="greaterThanOrEqual">
      <formula>0.03</formula>
    </cfRule>
    <cfRule type="cellIs" dxfId="166" priority="16" operator="lessThanOrEqual">
      <formula>-0.03</formula>
    </cfRule>
  </conditionalFormatting>
  <conditionalFormatting sqref="D19 D20 D21 D22">
    <cfRule type="cellIs" dxfId="165" priority="25" operator="greaterThanOrEqual">
      <formula>1.03</formula>
    </cfRule>
    <cfRule type="cellIs" dxfId="164" priority="26" operator="lessThanOrEqual">
      <formula>0.97</formula>
    </cfRule>
  </conditionalFormatting>
  <conditionalFormatting sqref="D31 D32 D33 D34">
    <cfRule type="cellIs" dxfId="163" priority="29" operator="greaterThanOrEqual">
      <formula>1.03</formula>
    </cfRule>
    <cfRule type="cellIs" dxfId="162" priority="30" operator="lessThanOrEqual">
      <formula>0.97</formula>
    </cfRule>
  </conditionalFormatting>
  <conditionalFormatting sqref="D43 D44 D45 D46">
    <cfRule type="cellIs" dxfId="161" priority="35" operator="greaterThanOrEqual">
      <formula>0.03</formula>
    </cfRule>
    <cfRule type="cellIs" dxfId="160" priority="36" operator="lessThanOrEqual">
      <formula>-0.03</formula>
    </cfRule>
  </conditionalFormatting>
  <conditionalFormatting sqref="D9 D10 D11 D12">
    <cfRule type="cellIs" dxfId="159" priority="7" operator="greaterThanOrEqual">
      <formula>0.03</formula>
    </cfRule>
    <cfRule type="cellIs" dxfId="158" priority="8" operator="lessThanOrEqual">
      <formula>-0.03</formula>
    </cfRule>
  </conditionalFormatting>
  <conditionalFormatting sqref="E19 E20 E21 E22">
    <cfRule type="cellIs" dxfId="157" priority="21" operator="greaterThanOrEqual">
      <formula>1.03</formula>
    </cfRule>
    <cfRule type="cellIs" dxfId="156" priority="22" operator="lessThanOrEqual">
      <formula>0.97</formula>
    </cfRule>
  </conditionalFormatting>
  <conditionalFormatting sqref="E31 E32 E33 E34">
    <cfRule type="cellIs" dxfId="155" priority="31" operator="greaterThanOrEqual">
      <formula>1.03</formula>
    </cfRule>
    <cfRule type="cellIs" dxfId="154" priority="32" operator="lessThanOrEqual">
      <formula>0.97</formula>
    </cfRule>
  </conditionalFormatting>
  <conditionalFormatting sqref="E43 E44 E45 E46">
    <cfRule type="cellIs" dxfId="153" priority="37" operator="greaterThanOrEqual">
      <formula>0.03</formula>
    </cfRule>
    <cfRule type="cellIs" dxfId="152" priority="38" operator="lessThanOrEqual">
      <formula>-0.03</formula>
    </cfRule>
  </conditionalFormatting>
  <conditionalFormatting sqref="E9 E10 E11 E12">
    <cfRule type="cellIs" dxfId="151" priority="9" operator="greaterThanOrEqual">
      <formula>0.03</formula>
    </cfRule>
    <cfRule type="cellIs" dxfId="150" priority="10" operator="lessThanOrEqual">
      <formula>-0.03</formula>
    </cfRule>
  </conditionalFormatting>
  <conditionalFormatting sqref="F43 F44 F45 F46">
    <cfRule type="cellIs" dxfId="149" priority="47" operator="greaterThanOrEqual">
      <formula>0.03</formula>
    </cfRule>
    <cfRule type="cellIs" dxfId="148" priority="48" operator="lessThanOrEqual">
      <formula>-0.03</formula>
    </cfRule>
  </conditionalFormatting>
  <conditionalFormatting sqref="F9 F10 F11 F12">
    <cfRule type="cellIs" dxfId="147" priority="11" operator="greaterThanOrEqual">
      <formula>0.03</formula>
    </cfRule>
    <cfRule type="cellIs" dxfId="146" priority="12" operator="lessThanOrEqual">
      <formula>-0.03</formula>
    </cfRule>
  </conditionalFormatting>
  <conditionalFormatting sqref="G43 G44 G45 G46">
    <cfRule type="cellIs" dxfId="145" priority="49" operator="greaterThanOrEqual">
      <formula>0.03</formula>
    </cfRule>
    <cfRule type="cellIs" dxfId="144" priority="50" operator="lessThanOrEqual">
      <formula>-0.03</formula>
    </cfRule>
  </conditionalFormatting>
  <conditionalFormatting sqref="G9 G10 G11 G12">
    <cfRule type="cellIs" dxfId="143" priority="13" operator="greaterThanOrEqual">
      <formula>0.03</formula>
    </cfRule>
    <cfRule type="cellIs" dxfId="142" priority="14" operator="lessThanOrEqual">
      <formula>-0.03</formula>
    </cfRule>
  </conditionalFormatting>
  <conditionalFormatting sqref="H43 H44 H45 H46">
    <cfRule type="cellIs" dxfId="141" priority="39" operator="greaterThanOrEqual">
      <formula>0.03</formula>
    </cfRule>
    <cfRule type="cellIs" dxfId="140" priority="40" operator="lessThanOrEqual">
      <formula>-0.03</formula>
    </cfRule>
  </conditionalFormatting>
  <conditionalFormatting sqref="H9 H10 H11 H12">
    <cfRule type="cellIs" dxfId="139" priority="5" operator="greaterThanOrEqual">
      <formula>0.03</formula>
    </cfRule>
    <cfRule type="cellIs" dxfId="138" priority="6" operator="lessThanOrEqual">
      <formula>-0.03</formula>
    </cfRule>
  </conditionalFormatting>
  <conditionalFormatting sqref="I43 I44 I45 I46">
    <cfRule type="cellIs" dxfId="137" priority="45" operator="greaterThanOrEqual">
      <formula>0.03</formula>
    </cfRule>
    <cfRule type="cellIs" dxfId="136" priority="46" operator="lessThanOrEqual">
      <formula>-0.03</formula>
    </cfRule>
  </conditionalFormatting>
  <conditionalFormatting sqref="I9 I10 I11 I12">
    <cfRule type="cellIs" dxfId="135" priority="19" operator="greaterThanOrEqual">
      <formula>0.03</formula>
    </cfRule>
    <cfRule type="cellIs" dxfId="134" priority="20" operator="lessThanOrEqual">
      <formula>-0.03</formula>
    </cfRule>
  </conditionalFormatting>
  <conditionalFormatting sqref="J43 J44 J45 J46">
    <cfRule type="cellIs" dxfId="133" priority="41" operator="greaterThanOrEqual">
      <formula>0.03</formula>
    </cfRule>
    <cfRule type="cellIs" dxfId="132" priority="42" operator="lessThanOrEqual">
      <formula>-0.03</formula>
    </cfRule>
  </conditionalFormatting>
  <conditionalFormatting sqref="J9 J10 J11 J12">
    <cfRule type="cellIs" dxfId="131" priority="1" operator="greaterThanOrEqual">
      <formula>0.03</formula>
    </cfRule>
    <cfRule type="cellIs" dxfId="130" priority="2" operator="lessThanOrEqual">
      <formula>-0.03</formula>
    </cfRule>
  </conditionalFormatting>
  <conditionalFormatting sqref="K43 K44 K45 K46">
    <cfRule type="cellIs" dxfId="129" priority="43" operator="greaterThanOrEqual">
      <formula>0.03</formula>
    </cfRule>
    <cfRule type="cellIs" dxfId="128" priority="44" operator="lessThanOrEqual">
      <formula>-0.03</formula>
    </cfRule>
  </conditionalFormatting>
  <conditionalFormatting sqref="K9 K10 K11 K12">
    <cfRule type="cellIs" dxfId="127" priority="17" operator="greaterThanOrEqual">
      <formula>0.03</formula>
    </cfRule>
    <cfRule type="cellIs" dxfId="126" priority="18" operator="lessThanOrEqual">
      <formula>-0.03</formula>
    </cfRule>
  </conditionalFormatting>
  <conditionalFormatting sqref="L43 L44 L45 L46">
    <cfRule type="cellIs" dxfId="125" priority="33" operator="greaterThanOrEqual">
      <formula>0.03</formula>
    </cfRule>
    <cfRule type="cellIs" dxfId="124" priority="34" operator="lessThanOrEqual">
      <formula>-0.03</formula>
    </cfRule>
  </conditionalFormatting>
  <conditionalFormatting sqref="L9 L10 L11 L12">
    <cfRule type="cellIs" dxfId="123" priority="3" operator="greaterThanOrEqual">
      <formula>0.03</formula>
    </cfRule>
    <cfRule type="cellIs" dxfId="12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76" customWidth="1"/>
    <col min="2" max="2" width="24.6640625" style="76" customWidth="1"/>
    <col min="4" max="4" width="24.6640625" style="76" customWidth="1"/>
    <col min="9" max="9" width="16.6640625" style="76" customWidth="1"/>
  </cols>
  <sheetData>
    <row r="1" spans="1:16" x14ac:dyDescent="0.3">
      <c r="A1" t="s">
        <v>34</v>
      </c>
      <c r="B1" s="7" t="str">
        <f>M1</f>
        <v>C2 lossyG,lossyA,intra</v>
      </c>
      <c r="C1" t="s">
        <v>35</v>
      </c>
      <c r="I1" t="s">
        <v>36</v>
      </c>
      <c r="M1" t="s">
        <v>37</v>
      </c>
      <c r="N1" t="s">
        <v>38</v>
      </c>
      <c r="O1" t="s">
        <v>39</v>
      </c>
      <c r="P1" t="s">
        <v>40</v>
      </c>
    </row>
    <row r="2" spans="1:16" x14ac:dyDescent="0.3">
      <c r="A2" t="s">
        <v>41</v>
      </c>
      <c r="B2" s="7" t="str">
        <f>HLOOKUP(B1,M1:ZZ3,3,0)</f>
        <v>8ivfbv2_loot_vox10</v>
      </c>
      <c r="C2" t="s">
        <v>42</v>
      </c>
      <c r="I2" t="s">
        <v>43</v>
      </c>
      <c r="J2" t="s">
        <v>44</v>
      </c>
      <c r="M2" t="s">
        <v>45</v>
      </c>
      <c r="N2" t="s">
        <v>46</v>
      </c>
      <c r="O2" t="s">
        <v>47</v>
      </c>
      <c r="P2" t="s">
        <v>48</v>
      </c>
    </row>
    <row r="3" spans="1:16" x14ac:dyDescent="0.3">
      <c r="I3" t="s">
        <v>49</v>
      </c>
      <c r="J3" t="s">
        <v>50</v>
      </c>
      <c r="M3" t="s">
        <v>51</v>
      </c>
      <c r="N3" t="s">
        <v>51</v>
      </c>
      <c r="O3" t="s">
        <v>51</v>
      </c>
      <c r="P3" t="s">
        <v>51</v>
      </c>
    </row>
    <row r="4" spans="1:16" x14ac:dyDescent="0.3">
      <c r="A4" t="s">
        <v>52</v>
      </c>
      <c r="B4" s="7" t="s">
        <v>53</v>
      </c>
      <c r="C4" t="s">
        <v>54</v>
      </c>
      <c r="D4" s="7" t="s">
        <v>55</v>
      </c>
      <c r="E4" t="s">
        <v>56</v>
      </c>
      <c r="I4" t="s">
        <v>57</v>
      </c>
      <c r="J4" t="s">
        <v>58</v>
      </c>
      <c r="M4" t="s">
        <v>59</v>
      </c>
      <c r="N4" t="s">
        <v>59</v>
      </c>
      <c r="O4" t="s">
        <v>59</v>
      </c>
      <c r="P4" t="s">
        <v>59</v>
      </c>
    </row>
    <row r="5" spans="1:16" x14ac:dyDescent="0.3">
      <c r="A5" t="s">
        <v>52</v>
      </c>
      <c r="B5" s="7" t="s">
        <v>53</v>
      </c>
      <c r="C5" t="s">
        <v>54</v>
      </c>
      <c r="D5" s="7" t="s">
        <v>60</v>
      </c>
      <c r="E5" t="s">
        <v>61</v>
      </c>
      <c r="I5" t="s">
        <v>62</v>
      </c>
      <c r="J5" t="s">
        <v>63</v>
      </c>
      <c r="M5" t="s">
        <v>64</v>
      </c>
      <c r="N5" t="s">
        <v>64</v>
      </c>
      <c r="O5" t="s">
        <v>64</v>
      </c>
      <c r="P5" t="s">
        <v>64</v>
      </c>
    </row>
    <row r="6" spans="1:16" x14ac:dyDescent="0.3">
      <c r="A6" t="s">
        <v>52</v>
      </c>
      <c r="B6" s="7" t="s">
        <v>65</v>
      </c>
      <c r="C6" t="s">
        <v>54</v>
      </c>
      <c r="D6" s="7" t="s">
        <v>66</v>
      </c>
      <c r="E6" t="s">
        <v>67</v>
      </c>
      <c r="I6" t="s">
        <v>68</v>
      </c>
      <c r="J6" t="s">
        <v>69</v>
      </c>
      <c r="M6" t="s">
        <v>70</v>
      </c>
      <c r="N6" t="s">
        <v>70</v>
      </c>
      <c r="O6" t="s">
        <v>70</v>
      </c>
      <c r="P6" t="s">
        <v>70</v>
      </c>
    </row>
    <row r="7" spans="1:16" x14ac:dyDescent="0.3">
      <c r="A7" t="s">
        <v>52</v>
      </c>
      <c r="B7" s="7" t="s">
        <v>65</v>
      </c>
      <c r="C7" t="s">
        <v>54</v>
      </c>
      <c r="D7" s="7" t="s">
        <v>49</v>
      </c>
      <c r="E7" t="s">
        <v>71</v>
      </c>
      <c r="I7" t="s">
        <v>55</v>
      </c>
      <c r="J7" t="s">
        <v>72</v>
      </c>
      <c r="M7" t="s">
        <v>73</v>
      </c>
      <c r="N7" t="s">
        <v>73</v>
      </c>
      <c r="O7" t="s">
        <v>73</v>
      </c>
      <c r="P7" t="s">
        <v>73</v>
      </c>
    </row>
    <row r="8" spans="1:16" x14ac:dyDescent="0.3">
      <c r="A8" t="s">
        <v>52</v>
      </c>
      <c r="B8" s="7" t="s">
        <v>65</v>
      </c>
      <c r="C8" t="s">
        <v>54</v>
      </c>
      <c r="D8" s="7" t="s">
        <v>62</v>
      </c>
      <c r="E8" t="s">
        <v>74</v>
      </c>
      <c r="I8" t="s">
        <v>75</v>
      </c>
      <c r="J8" t="s">
        <v>76</v>
      </c>
      <c r="M8" t="s">
        <v>77</v>
      </c>
      <c r="N8" t="s">
        <v>77</v>
      </c>
      <c r="O8" t="s">
        <v>77</v>
      </c>
      <c r="P8" t="s">
        <v>77</v>
      </c>
    </row>
    <row r="9" spans="1:16" x14ac:dyDescent="0.3">
      <c r="A9" t="s">
        <v>52</v>
      </c>
      <c r="B9" s="7" t="s">
        <v>78</v>
      </c>
      <c r="C9" t="s">
        <v>54</v>
      </c>
      <c r="D9" s="7" t="s">
        <v>79</v>
      </c>
      <c r="E9" t="s">
        <v>80</v>
      </c>
      <c r="I9" t="s">
        <v>60</v>
      </c>
      <c r="J9" t="s">
        <v>81</v>
      </c>
      <c r="M9" t="s">
        <v>82</v>
      </c>
      <c r="N9" t="s">
        <v>82</v>
      </c>
      <c r="O9" t="s">
        <v>82</v>
      </c>
      <c r="P9" t="s">
        <v>82</v>
      </c>
    </row>
    <row r="10" spans="1:16" x14ac:dyDescent="0.3">
      <c r="I10" t="s">
        <v>83</v>
      </c>
      <c r="J10" t="s">
        <v>84</v>
      </c>
    </row>
    <row r="11" spans="1:16" x14ac:dyDescent="0.3">
      <c r="I11" t="s">
        <v>85</v>
      </c>
      <c r="J11" t="s">
        <v>86</v>
      </c>
    </row>
    <row r="12" spans="1:16" x14ac:dyDescent="0.3">
      <c r="I12" t="s">
        <v>87</v>
      </c>
      <c r="J12" t="s">
        <v>88</v>
      </c>
    </row>
    <row r="13" spans="1:16" x14ac:dyDescent="0.3">
      <c r="I13" t="s">
        <v>89</v>
      </c>
      <c r="J13" t="s">
        <v>90</v>
      </c>
    </row>
    <row r="14" spans="1:16" x14ac:dyDescent="0.3">
      <c r="I14" t="s">
        <v>91</v>
      </c>
      <c r="J14" t="s">
        <v>92</v>
      </c>
    </row>
    <row r="15" spans="1:16" x14ac:dyDescent="0.3">
      <c r="I15" t="s">
        <v>93</v>
      </c>
      <c r="J15" t="s">
        <v>94</v>
      </c>
    </row>
    <row r="16" spans="1:16" x14ac:dyDescent="0.3">
      <c r="I16" t="s">
        <v>95</v>
      </c>
      <c r="J16" t="s">
        <v>96</v>
      </c>
    </row>
    <row r="17" spans="9:10" x14ac:dyDescent="0.3">
      <c r="I17" t="s">
        <v>79</v>
      </c>
      <c r="J17" t="s">
        <v>97</v>
      </c>
    </row>
    <row r="18" spans="9:10" x14ac:dyDescent="0.3">
      <c r="I18" t="s">
        <v>98</v>
      </c>
      <c r="J18" t="s">
        <v>99</v>
      </c>
    </row>
    <row r="19" spans="9:10" x14ac:dyDescent="0.3">
      <c r="I19" t="s">
        <v>100</v>
      </c>
      <c r="J19" t="s">
        <v>101</v>
      </c>
    </row>
    <row r="20" spans="9:10" x14ac:dyDescent="0.3">
      <c r="I20" t="s">
        <v>102</v>
      </c>
      <c r="J20" t="s">
        <v>103</v>
      </c>
    </row>
    <row r="21" spans="9:10" x14ac:dyDescent="0.3">
      <c r="I21" t="s">
        <v>104</v>
      </c>
      <c r="J21" t="s">
        <v>105</v>
      </c>
    </row>
    <row r="22" spans="9:10" x14ac:dyDescent="0.3">
      <c r="I22" t="s">
        <v>66</v>
      </c>
      <c r="J22" t="s">
        <v>106</v>
      </c>
    </row>
    <row r="23" spans="9:10" x14ac:dyDescent="0.3">
      <c r="I23" t="s">
        <v>107</v>
      </c>
      <c r="J23" t="s">
        <v>108</v>
      </c>
    </row>
    <row r="24" spans="9:10" x14ac:dyDescent="0.3">
      <c r="I24" t="s">
        <v>109</v>
      </c>
      <c r="J24" t="s">
        <v>110</v>
      </c>
    </row>
    <row r="25" spans="9:10" x14ac:dyDescent="0.3">
      <c r="I25" t="s">
        <v>111</v>
      </c>
      <c r="J25" t="s">
        <v>112</v>
      </c>
    </row>
    <row r="26" spans="9:10" x14ac:dyDescent="0.3">
      <c r="I26" t="s">
        <v>113</v>
      </c>
      <c r="J26" t="s">
        <v>114</v>
      </c>
    </row>
    <row r="27" spans="9:10" x14ac:dyDescent="0.3">
      <c r="I27" t="s">
        <v>115</v>
      </c>
      <c r="J27" t="s">
        <v>116</v>
      </c>
    </row>
    <row r="28" spans="9:10" x14ac:dyDescent="0.3">
      <c r="I28" t="s">
        <v>117</v>
      </c>
      <c r="J28" t="s">
        <v>118</v>
      </c>
    </row>
    <row r="29" spans="9:10" x14ac:dyDescent="0.3">
      <c r="I29" t="s">
        <v>119</v>
      </c>
      <c r="J29" t="s">
        <v>120</v>
      </c>
    </row>
    <row r="30" spans="9:10" x14ac:dyDescent="0.3">
      <c r="I30" t="s">
        <v>121</v>
      </c>
      <c r="J30" t="s">
        <v>122</v>
      </c>
    </row>
    <row r="31" spans="9:10" x14ac:dyDescent="0.3">
      <c r="I31" t="s">
        <v>123</v>
      </c>
      <c r="J31" t="s">
        <v>124</v>
      </c>
    </row>
    <row r="32" spans="9:10" x14ac:dyDescent="0.3">
      <c r="I32" t="s">
        <v>125</v>
      </c>
      <c r="J32" t="s">
        <v>126</v>
      </c>
    </row>
    <row r="33" spans="9:10" x14ac:dyDescent="0.3">
      <c r="I33" t="s">
        <v>127</v>
      </c>
      <c r="J33" t="s">
        <v>128</v>
      </c>
    </row>
    <row r="34" spans="9:10" x14ac:dyDescent="0.3">
      <c r="I34" t="s">
        <v>129</v>
      </c>
      <c r="J34" t="s">
        <v>130</v>
      </c>
    </row>
    <row r="35" spans="9:10" x14ac:dyDescent="0.3">
      <c r="I35" t="s">
        <v>65</v>
      </c>
      <c r="J35" t="s">
        <v>131</v>
      </c>
    </row>
    <row r="36" spans="9:10" x14ac:dyDescent="0.3">
      <c r="I36" t="s">
        <v>53</v>
      </c>
      <c r="J36" t="s">
        <v>132</v>
      </c>
    </row>
    <row r="37" spans="9:10" x14ac:dyDescent="0.3">
      <c r="I37" t="s">
        <v>133</v>
      </c>
      <c r="J37" t="s">
        <v>134</v>
      </c>
    </row>
    <row r="38" spans="9:10" x14ac:dyDescent="0.3">
      <c r="I38" t="s">
        <v>78</v>
      </c>
      <c r="J38" t="s">
        <v>135</v>
      </c>
    </row>
    <row r="39" spans="9:10" x14ac:dyDescent="0.3">
      <c r="I39" t="s">
        <v>136</v>
      </c>
      <c r="J39" t="s">
        <v>137</v>
      </c>
    </row>
  </sheetData>
  <conditionalFormatting sqref="B2">
    <cfRule type="expression" dxfId="121" priority="1">
      <formula>ISNA(MATCH(B2,OFFSET(M:M,2,MATCH(B1,M1:ZZ1,0)-1,COUNTA(INDEX(M:ZZ,,MATCH(B1,M1:ZZ1,0)))-2),0))</formula>
    </cfRule>
  </conditionalFormatting>
  <conditionalFormatting sqref="B4 D4 B5 D5 B6 D6 B7 D7 B8 D8 B9 D9">
    <cfRule type="expression" dxfId="12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workbookViewId="0">
      <pane xSplit="2" ySplit="4" topLeftCell="BB35" activePane="bottomRight" state="frozen"/>
      <selection pane="topRight" activeCell="C1" sqref="C1"/>
      <selection pane="bottomLeft" activeCell="A5" sqref="A5"/>
      <selection pane="bottomRight" sqref="A1:G1"/>
    </sheetView>
  </sheetViews>
  <sheetFormatPr defaultRowHeight="14.4" outlineLevelRow="2" x14ac:dyDescent="0.3"/>
  <cols>
    <col min="2" max="2" width="24.6640625" style="76" customWidth="1"/>
    <col min="4" max="5" width="10.6640625" style="76" customWidth="1"/>
    <col min="8" max="8" width="1.6640625" style="76" customWidth="1"/>
    <col min="10" max="13" width="10.6640625" style="76" customWidth="1"/>
    <col min="14" max="14" width="24.6640625" style="76" hidden="1" customWidth="1"/>
    <col min="15" max="15" width="12.6640625" style="76" customWidth="1"/>
    <col min="16" max="16" width="10.6640625" style="76" customWidth="1"/>
    <col min="19" max="22" width="12.6640625" style="76" customWidth="1"/>
    <col min="23" max="27" width="11.6640625" style="76" customWidth="1"/>
    <col min="32" max="32" width="1.6640625" style="76" customWidth="1"/>
    <col min="34" max="37" width="10.6640625" style="76" customWidth="1"/>
    <col min="38" max="38" width="24.6640625" style="76" hidden="1" customWidth="1"/>
    <col min="39" max="39" width="12.6640625" style="76" customWidth="1"/>
    <col min="40" max="40" width="10.6640625" style="76" customWidth="1"/>
    <col min="43" max="46" width="12.6640625" style="76" customWidth="1"/>
    <col min="47" max="51" width="11.6640625" style="76" customWidth="1"/>
    <col min="56" max="56" width="1.6640625" style="76" customWidth="1"/>
    <col min="61" max="61" width="1.6640625" style="76" customWidth="1"/>
    <col min="64" max="66" width="11.6640625" style="76" customWidth="1"/>
    <col min="67" max="67" width="1.6640625" style="76" customWidth="1"/>
    <col min="70" max="72" width="11.6640625" style="76" customWidth="1"/>
    <col min="73" max="73" width="1.6640625" style="76" customWidth="1"/>
  </cols>
  <sheetData>
    <row r="1" spans="1:72" x14ac:dyDescent="0.3">
      <c r="A1" s="168" t="s">
        <v>138</v>
      </c>
      <c r="B1" s="156"/>
      <c r="C1" s="156"/>
      <c r="D1" s="156"/>
      <c r="E1" s="156"/>
      <c r="F1" s="156"/>
      <c r="G1" s="156"/>
      <c r="I1" s="164" t="s">
        <v>139</v>
      </c>
      <c r="J1" s="156"/>
      <c r="K1" s="156"/>
      <c r="L1" s="156"/>
      <c r="M1" s="156"/>
      <c r="N1" s="156"/>
      <c r="O1" s="156"/>
      <c r="P1" s="156"/>
      <c r="Q1" s="156"/>
      <c r="R1" s="156"/>
      <c r="S1" s="156"/>
      <c r="T1" s="156"/>
      <c r="U1" s="156"/>
      <c r="V1" s="156"/>
      <c r="W1" s="156"/>
      <c r="X1" s="156"/>
      <c r="Y1" s="156"/>
      <c r="Z1" s="156"/>
      <c r="AA1" s="156"/>
      <c r="AB1" s="156"/>
      <c r="AC1" s="156"/>
      <c r="AD1" s="156"/>
      <c r="AE1" s="156"/>
      <c r="AG1" s="165" t="s">
        <v>140</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3">
      <c r="A2" s="170" t="s">
        <v>141</v>
      </c>
      <c r="B2" s="169" t="s">
        <v>142</v>
      </c>
      <c r="C2" s="170" t="s">
        <v>143</v>
      </c>
      <c r="D2" s="169" t="s">
        <v>144</v>
      </c>
      <c r="E2" s="170" t="s">
        <v>145</v>
      </c>
      <c r="F2" s="169" t="s">
        <v>146</v>
      </c>
      <c r="G2" s="170" t="s">
        <v>147</v>
      </c>
      <c r="I2" s="169" t="s">
        <v>148</v>
      </c>
      <c r="J2" s="167" t="s">
        <v>149</v>
      </c>
      <c r="K2" s="156"/>
      <c r="L2" s="156"/>
      <c r="M2" s="156"/>
      <c r="N2" s="170" t="s">
        <v>150</v>
      </c>
      <c r="O2" s="169" t="s">
        <v>151</v>
      </c>
      <c r="P2" s="170" t="s">
        <v>86</v>
      </c>
      <c r="Q2" s="169" t="s">
        <v>88</v>
      </c>
      <c r="R2" s="170" t="s">
        <v>84</v>
      </c>
      <c r="S2" s="166" t="s">
        <v>152</v>
      </c>
      <c r="T2" s="156"/>
      <c r="U2" s="156"/>
      <c r="V2" s="156"/>
      <c r="W2" s="167" t="s">
        <v>153</v>
      </c>
      <c r="X2" s="156"/>
      <c r="Y2" s="166" t="s">
        <v>154</v>
      </c>
      <c r="Z2" s="156"/>
      <c r="AA2" s="156"/>
      <c r="AB2" s="167" t="s">
        <v>155</v>
      </c>
      <c r="AC2" s="156"/>
      <c r="AD2" s="166" t="s">
        <v>156</v>
      </c>
      <c r="AE2" s="156"/>
      <c r="AG2" s="170" t="s">
        <v>148</v>
      </c>
      <c r="AH2" s="166" t="s">
        <v>149</v>
      </c>
      <c r="AI2" s="156"/>
      <c r="AJ2" s="156"/>
      <c r="AK2" s="156"/>
      <c r="AL2" s="169" t="s">
        <v>157</v>
      </c>
      <c r="AM2" s="170" t="s">
        <v>151</v>
      </c>
      <c r="AN2" s="169" t="s">
        <v>86</v>
      </c>
      <c r="AO2" s="170" t="s">
        <v>88</v>
      </c>
      <c r="AP2" s="169" t="s">
        <v>84</v>
      </c>
      <c r="AQ2" s="167" t="s">
        <v>152</v>
      </c>
      <c r="AR2" s="156"/>
      <c r="AS2" s="156"/>
      <c r="AT2" s="156"/>
      <c r="AU2" s="166" t="s">
        <v>153</v>
      </c>
      <c r="AV2" s="156"/>
      <c r="AW2" s="167" t="s">
        <v>154</v>
      </c>
      <c r="AX2" s="156"/>
      <c r="AY2" s="156"/>
      <c r="AZ2" s="166" t="s">
        <v>155</v>
      </c>
      <c r="BA2" s="156"/>
      <c r="BB2" s="167" t="s">
        <v>156</v>
      </c>
      <c r="BC2" s="156"/>
      <c r="BE2" s="169" t="s">
        <v>158</v>
      </c>
      <c r="BF2" s="170" t="s">
        <v>159</v>
      </c>
      <c r="BG2" s="169" t="s">
        <v>160</v>
      </c>
      <c r="BH2" s="170" t="s">
        <v>160</v>
      </c>
      <c r="BJ2" s="166" t="s">
        <v>7</v>
      </c>
      <c r="BK2" s="156"/>
      <c r="BL2" s="167" t="s">
        <v>8</v>
      </c>
      <c r="BM2" s="156"/>
      <c r="BN2" s="156"/>
      <c r="BP2" s="166" t="s">
        <v>9</v>
      </c>
      <c r="BQ2" s="156"/>
      <c r="BR2" s="167" t="s">
        <v>10</v>
      </c>
      <c r="BS2" s="156"/>
      <c r="BT2" s="156"/>
    </row>
    <row r="3" spans="1:72" x14ac:dyDescent="0.3">
      <c r="A3" s="158"/>
      <c r="B3" s="158"/>
      <c r="C3" s="158"/>
      <c r="D3" s="158"/>
      <c r="E3" s="158"/>
      <c r="F3" s="158"/>
      <c r="G3" s="158"/>
      <c r="I3" s="158"/>
      <c r="J3" s="152" t="s">
        <v>27</v>
      </c>
      <c r="K3" s="152" t="s">
        <v>25</v>
      </c>
      <c r="L3" s="152" t="s">
        <v>161</v>
      </c>
      <c r="M3" s="152" t="s">
        <v>162</v>
      </c>
      <c r="N3" s="158"/>
      <c r="O3" s="158"/>
      <c r="P3" s="158"/>
      <c r="Q3" s="158"/>
      <c r="R3" s="158"/>
      <c r="S3" s="153" t="s">
        <v>27</v>
      </c>
      <c r="T3" s="153" t="s">
        <v>161</v>
      </c>
      <c r="U3" s="153" t="s">
        <v>163</v>
      </c>
      <c r="V3" s="153" t="s">
        <v>26</v>
      </c>
      <c r="W3" s="152" t="s">
        <v>11</v>
      </c>
      <c r="X3" s="152" t="s">
        <v>12</v>
      </c>
      <c r="Y3" s="153" t="s">
        <v>13</v>
      </c>
      <c r="Z3" s="153" t="s">
        <v>14</v>
      </c>
      <c r="AA3" s="153" t="s">
        <v>15</v>
      </c>
      <c r="AB3" s="152" t="s">
        <v>164</v>
      </c>
      <c r="AC3" s="152" t="s">
        <v>165</v>
      </c>
      <c r="AD3" s="153" t="s">
        <v>164</v>
      </c>
      <c r="AE3" s="153" t="s">
        <v>165</v>
      </c>
      <c r="AG3" s="158"/>
      <c r="AH3" s="153" t="s">
        <v>27</v>
      </c>
      <c r="AI3" s="153" t="s">
        <v>25</v>
      </c>
      <c r="AJ3" s="153" t="s">
        <v>161</v>
      </c>
      <c r="AK3" s="153" t="s">
        <v>162</v>
      </c>
      <c r="AL3" s="158"/>
      <c r="AM3" s="158"/>
      <c r="AN3" s="158"/>
      <c r="AO3" s="158"/>
      <c r="AP3" s="158"/>
      <c r="AQ3" s="152" t="s">
        <v>27</v>
      </c>
      <c r="AR3" s="152" t="s">
        <v>161</v>
      </c>
      <c r="AS3" s="152" t="s">
        <v>163</v>
      </c>
      <c r="AT3" s="152" t="s">
        <v>26</v>
      </c>
      <c r="AU3" s="153" t="s">
        <v>11</v>
      </c>
      <c r="AV3" s="153" t="s">
        <v>12</v>
      </c>
      <c r="AW3" s="152" t="s">
        <v>13</v>
      </c>
      <c r="AX3" s="152" t="s">
        <v>14</v>
      </c>
      <c r="AY3" s="152" t="s">
        <v>15</v>
      </c>
      <c r="AZ3" s="153" t="s">
        <v>164</v>
      </c>
      <c r="BA3" s="153" t="s">
        <v>165</v>
      </c>
      <c r="BB3" s="152" t="s">
        <v>164</v>
      </c>
      <c r="BC3" s="152" t="s">
        <v>165</v>
      </c>
      <c r="BE3" s="158"/>
      <c r="BF3" s="158"/>
      <c r="BG3" s="158"/>
      <c r="BH3" s="158"/>
      <c r="BJ3" s="153" t="s">
        <v>11</v>
      </c>
      <c r="BK3" s="153" t="s">
        <v>12</v>
      </c>
      <c r="BL3" s="152" t="s">
        <v>13</v>
      </c>
      <c r="BM3" s="152" t="s">
        <v>14</v>
      </c>
      <c r="BN3" s="152" t="s">
        <v>15</v>
      </c>
      <c r="BP3" s="153" t="s">
        <v>11</v>
      </c>
      <c r="BQ3" s="153" t="s">
        <v>12</v>
      </c>
      <c r="BR3" s="152" t="s">
        <v>13</v>
      </c>
      <c r="BS3" s="152" t="s">
        <v>14</v>
      </c>
      <c r="BT3" s="152" t="s">
        <v>15</v>
      </c>
    </row>
    <row r="4" spans="1:72" ht="123" hidden="1" customHeight="1" x14ac:dyDescent="0.3">
      <c r="A4" s="8" t="s">
        <v>166</v>
      </c>
      <c r="B4" s="9" t="s">
        <v>167</v>
      </c>
      <c r="C4" s="8" t="s">
        <v>168</v>
      </c>
      <c r="D4" s="9" t="s">
        <v>169</v>
      </c>
      <c r="E4" s="8" t="s">
        <v>170</v>
      </c>
      <c r="F4" s="9" t="s">
        <v>171</v>
      </c>
      <c r="G4" s="8" t="s">
        <v>172</v>
      </c>
      <c r="I4" s="9" t="s">
        <v>173</v>
      </c>
      <c r="J4" s="8" t="s">
        <v>174</v>
      </c>
      <c r="K4" s="8" t="s">
        <v>175</v>
      </c>
      <c r="L4" s="8" t="s">
        <v>176</v>
      </c>
      <c r="M4" s="8" t="s">
        <v>177</v>
      </c>
      <c r="N4" s="8" t="s">
        <v>178</v>
      </c>
      <c r="O4" s="9" t="s">
        <v>179</v>
      </c>
      <c r="P4" s="8" t="s">
        <v>180</v>
      </c>
      <c r="Q4" s="9" t="s">
        <v>181</v>
      </c>
      <c r="R4" s="8" t="s">
        <v>182</v>
      </c>
      <c r="S4" s="9" t="s">
        <v>183</v>
      </c>
      <c r="T4" s="9" t="s">
        <v>184</v>
      </c>
      <c r="U4" s="9" t="s">
        <v>185</v>
      </c>
      <c r="V4" s="9" t="s">
        <v>186</v>
      </c>
      <c r="W4" s="8" t="s">
        <v>187</v>
      </c>
      <c r="X4" s="8" t="s">
        <v>188</v>
      </c>
      <c r="Y4" s="9" t="s">
        <v>189</v>
      </c>
      <c r="Z4" s="9" t="s">
        <v>190</v>
      </c>
      <c r="AA4" s="9" t="s">
        <v>191</v>
      </c>
      <c r="AB4" s="8" t="s">
        <v>192</v>
      </c>
      <c r="AC4" s="8" t="s">
        <v>193</v>
      </c>
      <c r="AD4" s="9" t="s">
        <v>194</v>
      </c>
      <c r="AE4" s="9" t="s">
        <v>195</v>
      </c>
      <c r="AG4" s="8" t="s">
        <v>196</v>
      </c>
      <c r="AH4" s="9" t="s">
        <v>197</v>
      </c>
      <c r="AI4" s="9" t="s">
        <v>198</v>
      </c>
      <c r="AJ4" s="9" t="s">
        <v>199</v>
      </c>
      <c r="AK4" s="9" t="s">
        <v>200</v>
      </c>
      <c r="AL4" s="9" t="s">
        <v>201</v>
      </c>
      <c r="AM4" s="8" t="s">
        <v>202</v>
      </c>
      <c r="AN4" s="9" t="s">
        <v>203</v>
      </c>
      <c r="AO4" s="8" t="s">
        <v>204</v>
      </c>
      <c r="AP4" s="9" t="s">
        <v>205</v>
      </c>
      <c r="AQ4" s="8" t="s">
        <v>206</v>
      </c>
      <c r="AR4" s="8" t="s">
        <v>207</v>
      </c>
      <c r="AS4" s="8" t="s">
        <v>208</v>
      </c>
      <c r="AT4" s="8" t="s">
        <v>209</v>
      </c>
      <c r="AU4" s="9" t="s">
        <v>210</v>
      </c>
      <c r="AV4" s="9" t="s">
        <v>211</v>
      </c>
      <c r="AW4" s="8" t="s">
        <v>212</v>
      </c>
      <c r="AX4" s="8" t="s">
        <v>213</v>
      </c>
      <c r="AY4" s="8" t="s">
        <v>214</v>
      </c>
      <c r="AZ4" s="9" t="s">
        <v>215</v>
      </c>
      <c r="BA4" s="9" t="s">
        <v>216</v>
      </c>
      <c r="BB4" s="8" t="s">
        <v>217</v>
      </c>
      <c r="BC4" s="8" t="s">
        <v>218</v>
      </c>
      <c r="BE4" s="9" t="s">
        <v>219</v>
      </c>
      <c r="BF4" s="8" t="s">
        <v>220</v>
      </c>
      <c r="BG4" s="9" t="s">
        <v>221</v>
      </c>
      <c r="BH4" s="8" t="s">
        <v>222</v>
      </c>
      <c r="BJ4" s="9" t="s">
        <v>223</v>
      </c>
      <c r="BK4" s="9" t="s">
        <v>224</v>
      </c>
      <c r="BL4" s="8" t="s">
        <v>225</v>
      </c>
      <c r="BM4" s="8" t="s">
        <v>226</v>
      </c>
      <c r="BN4" s="8" t="s">
        <v>227</v>
      </c>
      <c r="BP4" s="9" t="s">
        <v>228</v>
      </c>
      <c r="BQ4" s="9" t="s">
        <v>229</v>
      </c>
      <c r="BR4" s="8" t="s">
        <v>230</v>
      </c>
      <c r="BS4" s="8" t="s">
        <v>231</v>
      </c>
      <c r="BT4" s="8" t="s">
        <v>232</v>
      </c>
    </row>
    <row r="5" spans="1:72" x14ac:dyDescent="0.3">
      <c r="A5" s="129" t="s">
        <v>233</v>
      </c>
      <c r="B5" s="129" t="s">
        <v>51</v>
      </c>
      <c r="C5" s="10" t="s">
        <v>234</v>
      </c>
      <c r="D5" s="129">
        <v>238146391</v>
      </c>
      <c r="E5" s="10">
        <v>10</v>
      </c>
      <c r="F5" s="10">
        <v>32</v>
      </c>
      <c r="G5" s="10">
        <v>30</v>
      </c>
      <c r="I5" s="11">
        <f t="shared" ref="I5:I39" si="0">IF(OR(ISBLANK(S5),ISBLANK(G5)),"·",S5*G5/F5/1000000)</f>
        <v>2.2731150000000002</v>
      </c>
      <c r="J5" s="12">
        <f t="shared" ref="J5:J39" si="1">IF(ISBLANK(S5),"·",S5/D5)</f>
        <v>1.0181367812540145E-2</v>
      </c>
      <c r="K5" s="12">
        <f t="shared" ref="K5:K39" si="2">IF(N5="","·",N5/D5)</f>
        <v>6.4637217198055289E-3</v>
      </c>
      <c r="L5" s="12">
        <f t="shared" ref="L5:L39" si="3">IF(T5="","·",T5/D5)</f>
        <v>3.5558632505163601E-3</v>
      </c>
      <c r="M5" s="12">
        <f t="shared" ref="M5:M39" si="4">IF(ISBLANK(V5),"·",V5/D5)</f>
        <v>3.7176460927346154E-3</v>
      </c>
      <c r="N5" s="129">
        <f t="shared" ref="N5:N39" si="5">IF(OR(ISBLANK(T5),ISBLANK(U5)),"",T5+U5)</f>
        <v>1539312</v>
      </c>
      <c r="O5" s="12">
        <v>16</v>
      </c>
      <c r="P5" s="13">
        <v>21662034</v>
      </c>
      <c r="Q5" s="13">
        <v>676938.5625</v>
      </c>
      <c r="R5" s="13">
        <v>14041.6875</v>
      </c>
      <c r="S5" s="14">
        <v>2424656</v>
      </c>
      <c r="T5" s="14">
        <v>846816</v>
      </c>
      <c r="U5" s="14">
        <v>692496</v>
      </c>
      <c r="V5" s="14">
        <v>885344</v>
      </c>
      <c r="W5" s="15">
        <v>66.332715625000006</v>
      </c>
      <c r="X5" s="15">
        <v>68.421768749999998</v>
      </c>
      <c r="Y5" s="15">
        <v>32.160259375000003</v>
      </c>
      <c r="Z5" s="15">
        <v>44.153634375000003</v>
      </c>
      <c r="AA5" s="15">
        <v>43.744034374999998</v>
      </c>
      <c r="AB5" s="16">
        <v>2915.97</v>
      </c>
      <c r="AC5" s="16">
        <v>1693.25</v>
      </c>
      <c r="AD5" s="16">
        <v>7.1509999999999998</v>
      </c>
      <c r="AE5" s="16">
        <v>27.526</v>
      </c>
      <c r="AG5" s="11">
        <f t="shared" ref="AG5:AG39" si="6">IF(OR(ISBLANK(AQ5),ISBLANK(G5)),"·",AQ5*G5/F5/1000000)</f>
        <v>2.2731150000000002</v>
      </c>
      <c r="AH5" s="12">
        <f t="shared" ref="AH5:AH39" si="7">IF(ISBLANK(AQ5),"·",AQ5/D5)</f>
        <v>1.0181367812540145E-2</v>
      </c>
      <c r="AI5" s="12">
        <f t="shared" ref="AI5:AI39" si="8">IF(AL5="","·",AL5/D5)</f>
        <v>6.4637217198055289E-3</v>
      </c>
      <c r="AJ5" s="12">
        <f t="shared" ref="AJ5:AJ39" si="9">IF(AR5="","·",AR5/D5)</f>
        <v>3.5558632505163601E-3</v>
      </c>
      <c r="AK5" s="12">
        <f t="shared" ref="AK5:AK39" si="10">IF(ISBLANK(AT5),"·",AT5/D5)</f>
        <v>3.7176460927346154E-3</v>
      </c>
      <c r="AL5" s="129">
        <f t="shared" ref="AL5:AL39" si="11">IF(OR(ISBLANK(AR5),ISBLANK(AS5)),"",AR5+AS5)</f>
        <v>1539312</v>
      </c>
      <c r="AM5" s="12">
        <v>16</v>
      </c>
      <c r="AN5" s="13">
        <v>21662034</v>
      </c>
      <c r="AO5" s="13">
        <v>676938.5625</v>
      </c>
      <c r="AP5" s="13">
        <v>14041.6875</v>
      </c>
      <c r="AQ5" s="14">
        <v>2424656</v>
      </c>
      <c r="AR5" s="14">
        <v>846816</v>
      </c>
      <c r="AS5" s="14">
        <v>692496</v>
      </c>
      <c r="AT5" s="14">
        <v>885344</v>
      </c>
      <c r="AU5" s="15">
        <v>66.332715625000006</v>
      </c>
      <c r="AV5" s="15">
        <v>68.421768749999998</v>
      </c>
      <c r="AW5" s="15">
        <v>32.160259375000003</v>
      </c>
      <c r="AX5" s="15">
        <v>44.153634375000003</v>
      </c>
      <c r="AY5" s="15">
        <v>43.744034374999998</v>
      </c>
      <c r="AZ5" s="16">
        <v>2898.83</v>
      </c>
      <c r="BA5" s="16">
        <v>1702.19</v>
      </c>
      <c r="BB5" s="16">
        <v>7.3140000000000001</v>
      </c>
      <c r="BC5" s="16">
        <v>28.184999999999999</v>
      </c>
      <c r="BE5" s="62">
        <f t="shared" ref="BE5:BE43" si="12">AI5/K5</f>
        <v>1</v>
      </c>
      <c r="BF5" s="17">
        <f t="shared" ref="BF5:BF39" si="13">(AP5/AO5) - (R5/Q5)</f>
        <v>0</v>
      </c>
      <c r="BG5" s="17">
        <f t="shared" ref="BG5:BG39" si="14">(AL5/AQ5) - (N5/S5)</f>
        <v>0</v>
      </c>
      <c r="BH5" s="17">
        <f t="array" ref="BH5">AVERAGE(AL5:AL9/AQ5:AQ9) - AVERAGE(N5:N9/S5:S9)</f>
        <v>0</v>
      </c>
      <c r="BJ5" s="62">
        <f>IF( OR(ISBLANK(N5:N9),ISBLANK(AL5:AL9), ISBLANK(W5:W9),ISBLANK(AU5:AU9)), "·", bdRateExtend( N5:N9,W5:W9, AL5:AL9,AU5:AU9))</f>
        <v>0</v>
      </c>
      <c r="BK5" s="62">
        <f>IF( OR(ISBLANK(N5:N9),ISBLANK(AL5:AL9), ISBLANK(X5:X9),ISBLANK(AV5:AV9)), "·", bdRateExtend( N5:N9,X5:X9, AL5:AL9,AV5:AV9))</f>
        <v>0</v>
      </c>
      <c r="BL5" s="62">
        <f>IF( OR(ISBLANK(V5:V9),ISBLANK(AT5:AT9), ISBLANK(Y5:Y9),ISBLANK(AW5:AW9)), "·", bdRateExtend( V5:V9,Y5:Y9, AT5:AT9,AW5:AW9))</f>
        <v>0</v>
      </c>
      <c r="BM5" s="62">
        <f>IF( OR(ISBLANK(V5:V9),ISBLANK(AT5:AT9), ISBLANK(Z5:Z9),ISBLANK(AX5:AX9)), "·", bdRateExtend( V5:V9,Z5:Z9, AT5:AT9,AX5:AX9))</f>
        <v>0</v>
      </c>
      <c r="BN5" s="62">
        <f>IF( OR(ISBLANK(V5:V9),ISBLANK(AT5:AT9), ISBLANK(AA5:AA9),ISBLANK(AY5:AY9)), "·", bdRateExtend( V5:V9,AA5:AA9, AT5:AT9,AY5:AY9))</f>
        <v>0</v>
      </c>
      <c r="BP5" s="62">
        <f>IF( OR(ISBLANK(S5:S9),ISBLANK(AQ5:AQ9), ISBLANK(W5:W9),ISBLANK(AU5:AU9)), "·", bdRateExtend( S5:S9,W5:W9, AQ5:AQ9,AU5:AU9))</f>
        <v>0</v>
      </c>
      <c r="BQ5" s="62">
        <f>IF( OR(ISBLANK(S5:S9),ISBLANK(AQ5:AQ9), ISBLANK(X5:X9),ISBLANK(AV5:AV9)), "·", bdRateExtend( S5:S9,X5:X9, AQ5:AQ9,AV5:AV9))</f>
        <v>0</v>
      </c>
      <c r="BR5" s="62">
        <f>IF( OR(ISBLANK(S5:S9),ISBLANK(AQ5:AQ9), ISBLANK(Y5:Y9),ISBLANK(AW5:AW9)), "·", bdRateExtend( S5:S9,Y5:Y9, AQ5:AQ9,AW5:AW9))</f>
        <v>0</v>
      </c>
      <c r="BS5" s="62">
        <f>IF( OR(ISBLANK(S5:S9),ISBLANK(AQ5:AQ9), ISBLANK(Z5:Z9),ISBLANK(AX5:AX9)), "·", bdRateExtend( S5:S9,Z5:Z9, AQ5:AQ9,AX5:AX9))</f>
        <v>0</v>
      </c>
      <c r="BT5" s="62">
        <f>IF( OR(ISBLANK(S5:S9),ISBLANK(AQ5:AQ9), ISBLANK(AA5:AA9),ISBLANK(AY5:AY9)), "·", bdRateExtend( S5:S9,AA5:AA9, AQ5:AQ9,AY5:AY9))</f>
        <v>0</v>
      </c>
    </row>
    <row r="6" spans="1:72" outlineLevel="1" x14ac:dyDescent="0.3">
      <c r="A6" s="18"/>
      <c r="B6" s="18" t="s">
        <v>51</v>
      </c>
      <c r="C6" s="19" t="s">
        <v>235</v>
      </c>
      <c r="D6" s="18">
        <v>238146391</v>
      </c>
      <c r="E6" s="19">
        <v>10</v>
      </c>
      <c r="F6" s="19">
        <v>32</v>
      </c>
      <c r="G6" s="19">
        <v>30</v>
      </c>
      <c r="I6" s="20">
        <f t="shared" si="0"/>
        <v>3.5206425000000001</v>
      </c>
      <c r="J6" s="21">
        <f t="shared" si="1"/>
        <v>1.57690905338977E-2</v>
      </c>
      <c r="K6" s="21">
        <f t="shared" si="2"/>
        <v>7.7920475393641383E-3</v>
      </c>
      <c r="L6" s="21">
        <f t="shared" si="3"/>
        <v>4.884189070074969E-3</v>
      </c>
      <c r="M6" s="21">
        <f t="shared" si="4"/>
        <v>7.9770429945335598E-3</v>
      </c>
      <c r="N6" s="18">
        <f t="shared" si="5"/>
        <v>1855648</v>
      </c>
      <c r="O6" s="21">
        <v>16</v>
      </c>
      <c r="P6" s="22">
        <v>24157998</v>
      </c>
      <c r="Q6" s="22">
        <v>754937.4375</v>
      </c>
      <c r="R6" s="22">
        <v>19813.375</v>
      </c>
      <c r="S6" s="23">
        <v>3755352</v>
      </c>
      <c r="T6" s="23">
        <v>1163152</v>
      </c>
      <c r="U6" s="23">
        <v>692496</v>
      </c>
      <c r="V6" s="23">
        <v>1899704</v>
      </c>
      <c r="W6" s="24">
        <v>68.236621874999997</v>
      </c>
      <c r="X6" s="24">
        <v>70.381965625000007</v>
      </c>
      <c r="Y6" s="24">
        <v>34.447521875</v>
      </c>
      <c r="Z6" s="24">
        <v>45.458003124999998</v>
      </c>
      <c r="AA6" s="24">
        <v>45.1736875</v>
      </c>
      <c r="AB6" s="25">
        <v>2918.13</v>
      </c>
      <c r="AC6" s="25">
        <v>1785.45</v>
      </c>
      <c r="AD6" s="25">
        <v>7.4690000000000003</v>
      </c>
      <c r="AE6" s="25">
        <v>27.94</v>
      </c>
      <c r="AG6" s="20">
        <f t="shared" si="6"/>
        <v>3.5206425000000001</v>
      </c>
      <c r="AH6" s="21">
        <f t="shared" si="7"/>
        <v>1.57690905338977E-2</v>
      </c>
      <c r="AI6" s="21">
        <f t="shared" si="8"/>
        <v>7.7920475393641383E-3</v>
      </c>
      <c r="AJ6" s="21">
        <f t="shared" si="9"/>
        <v>4.884189070074969E-3</v>
      </c>
      <c r="AK6" s="21">
        <f t="shared" si="10"/>
        <v>7.9770429945335598E-3</v>
      </c>
      <c r="AL6" s="18">
        <f t="shared" si="11"/>
        <v>1855648</v>
      </c>
      <c r="AM6" s="21">
        <v>16</v>
      </c>
      <c r="AN6" s="22">
        <v>24157998</v>
      </c>
      <c r="AO6" s="22">
        <v>754937.4375</v>
      </c>
      <c r="AP6" s="22">
        <v>19813.375</v>
      </c>
      <c r="AQ6" s="23">
        <v>3755352</v>
      </c>
      <c r="AR6" s="23">
        <v>1163152</v>
      </c>
      <c r="AS6" s="23">
        <v>692496</v>
      </c>
      <c r="AT6" s="23">
        <v>1899704</v>
      </c>
      <c r="AU6" s="24">
        <v>68.236621874999997</v>
      </c>
      <c r="AV6" s="24">
        <v>70.381965625000007</v>
      </c>
      <c r="AW6" s="24">
        <v>34.447521875</v>
      </c>
      <c r="AX6" s="24">
        <v>45.458003124999998</v>
      </c>
      <c r="AY6" s="24">
        <v>45.1736875</v>
      </c>
      <c r="AZ6" s="25">
        <v>2485.2199999999998</v>
      </c>
      <c r="BA6" s="25">
        <v>1244.9100000000001</v>
      </c>
      <c r="BB6" s="25">
        <v>6.1210000000000004</v>
      </c>
      <c r="BC6" s="25">
        <v>22.134</v>
      </c>
      <c r="BE6" s="58">
        <f t="shared" si="12"/>
        <v>1</v>
      </c>
      <c r="BF6" s="26">
        <f t="shared" si="13"/>
        <v>0</v>
      </c>
      <c r="BG6" s="26">
        <f t="shared" si="14"/>
        <v>0</v>
      </c>
      <c r="BH6" s="26"/>
      <c r="BJ6" s="58"/>
      <c r="BK6" s="58"/>
      <c r="BL6" s="58"/>
      <c r="BM6" s="58"/>
      <c r="BN6" s="58"/>
      <c r="BP6" s="58"/>
      <c r="BQ6" s="58"/>
      <c r="BR6" s="58"/>
      <c r="BS6" s="58"/>
      <c r="BT6" s="58"/>
    </row>
    <row r="7" spans="1:72" outlineLevel="1" x14ac:dyDescent="0.3">
      <c r="A7" s="129"/>
      <c r="B7" s="129" t="s">
        <v>51</v>
      </c>
      <c r="C7" s="10" t="s">
        <v>236</v>
      </c>
      <c r="D7" s="129">
        <v>238146391</v>
      </c>
      <c r="E7" s="10">
        <v>10</v>
      </c>
      <c r="F7" s="10">
        <v>32</v>
      </c>
      <c r="G7" s="10">
        <v>30</v>
      </c>
      <c r="I7" s="11">
        <f t="shared" si="0"/>
        <v>5.7551024999999996</v>
      </c>
      <c r="J7" s="12">
        <f t="shared" si="1"/>
        <v>2.57773211436154E-2</v>
      </c>
      <c r="K7" s="12">
        <f t="shared" si="2"/>
        <v>9.6687419462090449E-3</v>
      </c>
      <c r="L7" s="12">
        <f t="shared" si="3"/>
        <v>6.7608834769198748E-3</v>
      </c>
      <c r="M7" s="12">
        <f t="shared" si="4"/>
        <v>1.6108579197406356E-2</v>
      </c>
      <c r="N7" s="129">
        <f t="shared" si="5"/>
        <v>2302576</v>
      </c>
      <c r="O7" s="12">
        <v>16</v>
      </c>
      <c r="P7" s="13">
        <v>24850575</v>
      </c>
      <c r="Q7" s="13">
        <v>776580.46875</v>
      </c>
      <c r="R7" s="13">
        <v>21698.0625</v>
      </c>
      <c r="S7" s="14">
        <v>6138776</v>
      </c>
      <c r="T7" s="14">
        <v>1610080</v>
      </c>
      <c r="U7" s="14">
        <v>692496</v>
      </c>
      <c r="V7" s="14">
        <v>3836200</v>
      </c>
      <c r="W7" s="15">
        <v>69.675028124999997</v>
      </c>
      <c r="X7" s="15">
        <v>72.069987499999996</v>
      </c>
      <c r="Y7" s="15">
        <v>36.982671875000001</v>
      </c>
      <c r="Z7" s="15">
        <v>46.565084374999998</v>
      </c>
      <c r="AA7" s="15">
        <v>46.435556249999998</v>
      </c>
      <c r="AB7" s="16">
        <v>2924.03</v>
      </c>
      <c r="AC7" s="16">
        <v>1858.25</v>
      </c>
      <c r="AD7" s="16">
        <v>7.6360000000000001</v>
      </c>
      <c r="AE7" s="16">
        <v>29.067</v>
      </c>
      <c r="AG7" s="11">
        <f t="shared" si="6"/>
        <v>5.7551024999999996</v>
      </c>
      <c r="AH7" s="12">
        <f t="shared" si="7"/>
        <v>2.57773211436154E-2</v>
      </c>
      <c r="AI7" s="12">
        <f t="shared" si="8"/>
        <v>9.6687419462090449E-3</v>
      </c>
      <c r="AJ7" s="12">
        <f t="shared" si="9"/>
        <v>6.7608834769198748E-3</v>
      </c>
      <c r="AK7" s="12">
        <f t="shared" si="10"/>
        <v>1.6108579197406356E-2</v>
      </c>
      <c r="AL7" s="129">
        <f t="shared" si="11"/>
        <v>2302576</v>
      </c>
      <c r="AM7" s="12">
        <v>16</v>
      </c>
      <c r="AN7" s="13">
        <v>24850575</v>
      </c>
      <c r="AO7" s="13">
        <v>776580.46875</v>
      </c>
      <c r="AP7" s="13">
        <v>21698.0625</v>
      </c>
      <c r="AQ7" s="14">
        <v>6138776</v>
      </c>
      <c r="AR7" s="14">
        <v>1610080</v>
      </c>
      <c r="AS7" s="14">
        <v>692496</v>
      </c>
      <c r="AT7" s="14">
        <v>3836200</v>
      </c>
      <c r="AU7" s="15">
        <v>69.675028124999997</v>
      </c>
      <c r="AV7" s="15">
        <v>72.069987499999996</v>
      </c>
      <c r="AW7" s="15">
        <v>36.982671875000001</v>
      </c>
      <c r="AX7" s="15">
        <v>46.565084374999998</v>
      </c>
      <c r="AY7" s="15">
        <v>46.435556249999998</v>
      </c>
      <c r="AZ7" s="16">
        <v>2447.69</v>
      </c>
      <c r="BA7" s="16">
        <v>1320.16</v>
      </c>
      <c r="BB7" s="16">
        <v>6.327</v>
      </c>
      <c r="BC7" s="16">
        <v>22.785</v>
      </c>
      <c r="BE7" s="62">
        <f t="shared" si="12"/>
        <v>1</v>
      </c>
      <c r="BF7" s="17">
        <f t="shared" si="13"/>
        <v>0</v>
      </c>
      <c r="BG7" s="17">
        <f t="shared" si="14"/>
        <v>0</v>
      </c>
      <c r="BH7" s="17"/>
      <c r="BJ7" s="62"/>
      <c r="BK7" s="62"/>
      <c r="BL7" s="62"/>
      <c r="BM7" s="62"/>
      <c r="BN7" s="62"/>
      <c r="BP7" s="62"/>
      <c r="BQ7" s="62"/>
      <c r="BR7" s="62"/>
      <c r="BS7" s="62"/>
      <c r="BT7" s="62"/>
    </row>
    <row r="8" spans="1:72" outlineLevel="1" x14ac:dyDescent="0.3">
      <c r="A8" s="18"/>
      <c r="B8" s="18" t="s">
        <v>51</v>
      </c>
      <c r="C8" s="19" t="s">
        <v>237</v>
      </c>
      <c r="D8" s="18">
        <v>238146391</v>
      </c>
      <c r="E8" s="19">
        <v>10</v>
      </c>
      <c r="F8" s="19">
        <v>32</v>
      </c>
      <c r="G8" s="19">
        <v>30</v>
      </c>
      <c r="I8" s="20">
        <f t="shared" si="0"/>
        <v>9.9907424999999996</v>
      </c>
      <c r="J8" s="21">
        <f t="shared" si="1"/>
        <v>4.4748912445202668E-2</v>
      </c>
      <c r="K8" s="21">
        <f t="shared" si="2"/>
        <v>1.274735253073812E-2</v>
      </c>
      <c r="L8" s="21">
        <f t="shared" si="3"/>
        <v>9.8394940614489508E-3</v>
      </c>
      <c r="M8" s="21">
        <f t="shared" si="4"/>
        <v>3.2001559914464545E-2</v>
      </c>
      <c r="N8" s="18">
        <f t="shared" si="5"/>
        <v>3035736</v>
      </c>
      <c r="O8" s="21">
        <v>16</v>
      </c>
      <c r="P8" s="22">
        <v>25934081</v>
      </c>
      <c r="Q8" s="22">
        <v>810440.03125</v>
      </c>
      <c r="R8" s="22">
        <v>25113.21875</v>
      </c>
      <c r="S8" s="23">
        <v>10656792</v>
      </c>
      <c r="T8" s="23">
        <v>2343240</v>
      </c>
      <c r="U8" s="23">
        <v>692496</v>
      </c>
      <c r="V8" s="23">
        <v>7621056</v>
      </c>
      <c r="W8" s="24">
        <v>70.771603124999999</v>
      </c>
      <c r="X8" s="24">
        <v>73.323878124999993</v>
      </c>
      <c r="Y8" s="24">
        <v>39.609809374999998</v>
      </c>
      <c r="Z8" s="24">
        <v>47.886146875000001</v>
      </c>
      <c r="AA8" s="24">
        <v>47.961171874999998</v>
      </c>
      <c r="AB8" s="25">
        <v>2915.98</v>
      </c>
      <c r="AC8" s="25">
        <v>2001.16</v>
      </c>
      <c r="AD8" s="25">
        <v>7.6559999999999997</v>
      </c>
      <c r="AE8" s="25">
        <v>29.898</v>
      </c>
      <c r="AG8" s="20">
        <f t="shared" si="6"/>
        <v>9.9907424999999996</v>
      </c>
      <c r="AH8" s="21">
        <f t="shared" si="7"/>
        <v>4.4748912445202668E-2</v>
      </c>
      <c r="AI8" s="21">
        <f t="shared" si="8"/>
        <v>1.274735253073812E-2</v>
      </c>
      <c r="AJ8" s="21">
        <f t="shared" si="9"/>
        <v>9.8394940614489508E-3</v>
      </c>
      <c r="AK8" s="21">
        <f t="shared" si="10"/>
        <v>3.2001559914464545E-2</v>
      </c>
      <c r="AL8" s="18">
        <f t="shared" si="11"/>
        <v>3035736</v>
      </c>
      <c r="AM8" s="21">
        <v>16</v>
      </c>
      <c r="AN8" s="22">
        <v>25934081</v>
      </c>
      <c r="AO8" s="22">
        <v>810440.03125</v>
      </c>
      <c r="AP8" s="22">
        <v>25113.21875</v>
      </c>
      <c r="AQ8" s="23">
        <v>10656792</v>
      </c>
      <c r="AR8" s="23">
        <v>2343240</v>
      </c>
      <c r="AS8" s="23">
        <v>692496</v>
      </c>
      <c r="AT8" s="23">
        <v>7621056</v>
      </c>
      <c r="AU8" s="24">
        <v>70.771603124999999</v>
      </c>
      <c r="AV8" s="24">
        <v>73.323878124999993</v>
      </c>
      <c r="AW8" s="24">
        <v>39.609809374999998</v>
      </c>
      <c r="AX8" s="24">
        <v>47.886146875000001</v>
      </c>
      <c r="AY8" s="24">
        <v>47.961171874999998</v>
      </c>
      <c r="AZ8" s="25">
        <v>2506.89</v>
      </c>
      <c r="BA8" s="25">
        <v>1417.89</v>
      </c>
      <c r="BB8" s="25">
        <v>6.3579999999999997</v>
      </c>
      <c r="BC8" s="25">
        <v>23.436</v>
      </c>
      <c r="BE8" s="58">
        <f t="shared" si="12"/>
        <v>1</v>
      </c>
      <c r="BF8" s="26">
        <f t="shared" si="13"/>
        <v>0</v>
      </c>
      <c r="BG8" s="26">
        <f t="shared" si="14"/>
        <v>0</v>
      </c>
      <c r="BH8" s="26"/>
      <c r="BJ8" s="58"/>
      <c r="BK8" s="58"/>
      <c r="BL8" s="58"/>
      <c r="BM8" s="58"/>
      <c r="BN8" s="58"/>
      <c r="BP8" s="58"/>
      <c r="BQ8" s="58"/>
      <c r="BR8" s="58"/>
      <c r="BS8" s="58"/>
      <c r="BT8" s="58"/>
    </row>
    <row r="9" spans="1:72" outlineLevel="1" x14ac:dyDescent="0.3">
      <c r="A9" s="129"/>
      <c r="B9" s="27" t="s">
        <v>51</v>
      </c>
      <c r="C9" s="28" t="s">
        <v>238</v>
      </c>
      <c r="D9" s="27">
        <v>238146391</v>
      </c>
      <c r="E9" s="28">
        <v>10</v>
      </c>
      <c r="F9" s="28">
        <v>32</v>
      </c>
      <c r="G9" s="28">
        <v>30</v>
      </c>
      <c r="I9" s="29">
        <f t="shared" si="0"/>
        <v>18.2123475</v>
      </c>
      <c r="J9" s="30">
        <f t="shared" si="1"/>
        <v>8.157379130721322E-2</v>
      </c>
      <c r="K9" s="30">
        <f t="shared" si="2"/>
        <v>2.0535805642337028E-2</v>
      </c>
      <c r="L9" s="30">
        <f t="shared" si="3"/>
        <v>1.5071032506220092E-2</v>
      </c>
      <c r="M9" s="30">
        <f t="shared" si="4"/>
        <v>6.1037985664876192E-2</v>
      </c>
      <c r="N9" s="27">
        <f t="shared" si="5"/>
        <v>4890528</v>
      </c>
      <c r="O9" s="30">
        <v>16</v>
      </c>
      <c r="P9" s="31">
        <v>24989824</v>
      </c>
      <c r="Q9" s="31">
        <v>780932</v>
      </c>
      <c r="R9" s="31">
        <v>10633.09375</v>
      </c>
      <c r="S9" s="32">
        <v>19426504</v>
      </c>
      <c r="T9" s="32">
        <v>3589112</v>
      </c>
      <c r="U9" s="32">
        <v>1301416</v>
      </c>
      <c r="V9" s="32">
        <v>14535976</v>
      </c>
      <c r="W9" s="33">
        <v>72.030068749999998</v>
      </c>
      <c r="X9" s="33">
        <v>75.292543749999993</v>
      </c>
      <c r="Y9" s="33">
        <v>42.033321874999999</v>
      </c>
      <c r="Z9" s="33">
        <v>49.423381249999998</v>
      </c>
      <c r="AA9" s="33">
        <v>49.554978124999998</v>
      </c>
      <c r="AB9" s="34">
        <v>2914.11</v>
      </c>
      <c r="AC9" s="34">
        <v>2243.0300000000002</v>
      </c>
      <c r="AD9" s="34">
        <v>7.327</v>
      </c>
      <c r="AE9" s="34">
        <v>30.57</v>
      </c>
      <c r="AG9" s="29">
        <f t="shared" si="6"/>
        <v>18.2123475</v>
      </c>
      <c r="AH9" s="30">
        <f t="shared" si="7"/>
        <v>8.157379130721322E-2</v>
      </c>
      <c r="AI9" s="30">
        <f t="shared" si="8"/>
        <v>2.0535805642337028E-2</v>
      </c>
      <c r="AJ9" s="30">
        <f t="shared" si="9"/>
        <v>1.5071032506220092E-2</v>
      </c>
      <c r="AK9" s="30">
        <f t="shared" si="10"/>
        <v>6.1037985664876192E-2</v>
      </c>
      <c r="AL9" s="27">
        <f t="shared" si="11"/>
        <v>4890528</v>
      </c>
      <c r="AM9" s="30">
        <v>16</v>
      </c>
      <c r="AN9" s="31">
        <v>24989824</v>
      </c>
      <c r="AO9" s="31">
        <v>780932</v>
      </c>
      <c r="AP9" s="31">
        <v>10633.09375</v>
      </c>
      <c r="AQ9" s="32">
        <v>19426504</v>
      </c>
      <c r="AR9" s="32">
        <v>3589112</v>
      </c>
      <c r="AS9" s="32">
        <v>1301416</v>
      </c>
      <c r="AT9" s="32">
        <v>14535976</v>
      </c>
      <c r="AU9" s="33">
        <v>72.030068749999998</v>
      </c>
      <c r="AV9" s="33">
        <v>75.292543749999993</v>
      </c>
      <c r="AW9" s="33">
        <v>42.033321874999999</v>
      </c>
      <c r="AX9" s="33">
        <v>49.423381249999998</v>
      </c>
      <c r="AY9" s="33">
        <v>49.554978124999998</v>
      </c>
      <c r="AZ9" s="34">
        <v>2525.91</v>
      </c>
      <c r="BA9" s="34">
        <v>1582.57</v>
      </c>
      <c r="BB9" s="34">
        <v>6.0880000000000001</v>
      </c>
      <c r="BC9" s="34">
        <v>24.491</v>
      </c>
      <c r="BE9" s="35">
        <f t="shared" si="12"/>
        <v>1</v>
      </c>
      <c r="BF9" s="36">
        <f t="shared" si="13"/>
        <v>0</v>
      </c>
      <c r="BG9" s="36">
        <f t="shared" si="14"/>
        <v>0</v>
      </c>
      <c r="BH9" s="36"/>
      <c r="BJ9" s="35"/>
      <c r="BK9" s="35"/>
      <c r="BL9" s="35"/>
      <c r="BM9" s="35"/>
      <c r="BN9" s="35"/>
      <c r="BP9" s="35"/>
      <c r="BQ9" s="35"/>
      <c r="BR9" s="35"/>
      <c r="BS9" s="35"/>
      <c r="BT9" s="35"/>
    </row>
    <row r="10" spans="1:72" x14ac:dyDescent="0.3">
      <c r="A10" s="18"/>
      <c r="B10" s="18" t="s">
        <v>59</v>
      </c>
      <c r="C10" s="19" t="s">
        <v>234</v>
      </c>
      <c r="D10" s="18">
        <v>218121242</v>
      </c>
      <c r="E10" s="19">
        <v>10</v>
      </c>
      <c r="F10" s="19">
        <v>32</v>
      </c>
      <c r="G10" s="19">
        <v>30</v>
      </c>
      <c r="I10" s="20">
        <f t="shared" si="0"/>
        <v>3.3239100000000001</v>
      </c>
      <c r="J10" s="21">
        <f t="shared" si="1"/>
        <v>1.6254739646127635E-2</v>
      </c>
      <c r="K10" s="21">
        <f t="shared" si="2"/>
        <v>8.4413603329839826E-3</v>
      </c>
      <c r="L10" s="21">
        <f t="shared" si="3"/>
        <v>4.2247696352288328E-3</v>
      </c>
      <c r="M10" s="21">
        <f t="shared" si="4"/>
        <v>7.8133793131436504E-3</v>
      </c>
      <c r="N10" s="18">
        <f t="shared" si="5"/>
        <v>1841240</v>
      </c>
      <c r="O10" s="21">
        <v>16</v>
      </c>
      <c r="P10" s="22">
        <v>20660915</v>
      </c>
      <c r="Q10" s="22">
        <v>645653.59375</v>
      </c>
      <c r="R10" s="22">
        <v>19143.5</v>
      </c>
      <c r="S10" s="23">
        <v>3545504</v>
      </c>
      <c r="T10" s="23">
        <v>921512</v>
      </c>
      <c r="U10" s="23">
        <v>919728</v>
      </c>
      <c r="V10" s="23">
        <v>1704264</v>
      </c>
      <c r="W10" s="24">
        <v>65.90800625</v>
      </c>
      <c r="X10" s="24">
        <v>67.863699999999994</v>
      </c>
      <c r="Y10" s="24">
        <v>32.511781249999999</v>
      </c>
      <c r="Z10" s="24">
        <v>39.230884375000002</v>
      </c>
      <c r="AA10" s="24">
        <v>32.217834375000002</v>
      </c>
      <c r="AB10" s="25">
        <v>2659.78</v>
      </c>
      <c r="AC10" s="25">
        <v>1791.79</v>
      </c>
      <c r="AD10" s="25">
        <v>6.85</v>
      </c>
      <c r="AE10" s="25">
        <v>28.788</v>
      </c>
      <c r="AG10" s="20">
        <f t="shared" si="6"/>
        <v>3.3239100000000001</v>
      </c>
      <c r="AH10" s="21">
        <f t="shared" si="7"/>
        <v>1.6254739646127635E-2</v>
      </c>
      <c r="AI10" s="21">
        <f t="shared" si="8"/>
        <v>8.4413603329839826E-3</v>
      </c>
      <c r="AJ10" s="21">
        <f t="shared" si="9"/>
        <v>4.2247696352288328E-3</v>
      </c>
      <c r="AK10" s="21">
        <f t="shared" si="10"/>
        <v>7.8133793131436504E-3</v>
      </c>
      <c r="AL10" s="18">
        <f t="shared" si="11"/>
        <v>1841240</v>
      </c>
      <c r="AM10" s="21">
        <v>16</v>
      </c>
      <c r="AN10" s="22">
        <v>20660915</v>
      </c>
      <c r="AO10" s="22">
        <v>645653.59375</v>
      </c>
      <c r="AP10" s="22">
        <v>19143.5</v>
      </c>
      <c r="AQ10" s="23">
        <v>3545504</v>
      </c>
      <c r="AR10" s="23">
        <v>921512</v>
      </c>
      <c r="AS10" s="23">
        <v>919728</v>
      </c>
      <c r="AT10" s="23">
        <v>1704264</v>
      </c>
      <c r="AU10" s="24">
        <v>65.90800625</v>
      </c>
      <c r="AV10" s="24">
        <v>67.863699999999994</v>
      </c>
      <c r="AW10" s="24">
        <v>32.511781249999999</v>
      </c>
      <c r="AX10" s="24">
        <v>39.230884375000002</v>
      </c>
      <c r="AY10" s="24">
        <v>32.217834375000002</v>
      </c>
      <c r="AZ10" s="25">
        <v>2232.39</v>
      </c>
      <c r="BA10" s="25">
        <v>1259.54</v>
      </c>
      <c r="BB10" s="25">
        <v>5.6680000000000001</v>
      </c>
      <c r="BC10" s="25">
        <v>23.725000000000001</v>
      </c>
      <c r="BE10" s="58">
        <f t="shared" si="12"/>
        <v>1</v>
      </c>
      <c r="BF10" s="26">
        <f t="shared" si="13"/>
        <v>0</v>
      </c>
      <c r="BG10" s="26">
        <f t="shared" si="14"/>
        <v>0</v>
      </c>
      <c r="BH10" s="26">
        <f t="array" ref="BH10">AVERAGE(AL10:AL14/AQ10:AQ14) - AVERAGE(N10:N14/S10:S14)</f>
        <v>0</v>
      </c>
      <c r="BJ10" s="58">
        <f>IF( OR(ISBLANK(N10:N14),ISBLANK(AL10:AL14), ISBLANK(W10:W14),ISBLANK(AU10:AU14)), "·", bdRateExtend( N10:N14,W10:W14, AL10:AL14,AU10:AU14))</f>
        <v>0</v>
      </c>
      <c r="BK10" s="58">
        <f>IF( OR(ISBLANK(N10:N14),ISBLANK(AL10:AL14), ISBLANK(X10:X14),ISBLANK(AV10:AV14)), "·", bdRateExtend( N10:N14,X10:X14, AL10:AL14,AV10:AV14))</f>
        <v>0</v>
      </c>
      <c r="BL10" s="58">
        <f>IF( OR(ISBLANK(V10:V14),ISBLANK(AT10:AT14), ISBLANK(Y10:Y14),ISBLANK(AW10:AW14)), "·", bdRateExtend( V10:V14,Y10:Y14, AT10:AT14,AW10:AW14))</f>
        <v>0</v>
      </c>
      <c r="BM10" s="58">
        <f>IF( OR(ISBLANK(V10:V14),ISBLANK(AT10:AT14), ISBLANK(Z10:Z14),ISBLANK(AX10:AX14)), "·", bdRateExtend( V10:V14,Z10:Z14, AT10:AT14,AX10:AX14))</f>
        <v>0</v>
      </c>
      <c r="BN10" s="58">
        <f>IF( OR(ISBLANK(V10:V14),ISBLANK(AT10:AT14), ISBLANK(AA10:AA14),ISBLANK(AY10:AY14)), "·", bdRateExtend( V10:V14,AA10:AA14, AT10:AT14,AY10:AY14))</f>
        <v>0</v>
      </c>
      <c r="BP10" s="58">
        <f>IF( OR(ISBLANK(S10:S14),ISBLANK(AQ10:AQ14), ISBLANK(W10:W14),ISBLANK(AU10:AU14)), "·", bdRateExtend( S10:S14,W10:W14, AQ10:AQ14,AU10:AU14))</f>
        <v>0</v>
      </c>
      <c r="BQ10" s="58">
        <f>IF( OR(ISBLANK(S10:S14),ISBLANK(AQ10:AQ14), ISBLANK(X10:X14),ISBLANK(AV10:AV14)), "·", bdRateExtend( S10:S14,X10:X14, AQ10:AQ14,AV10:AV14))</f>
        <v>0</v>
      </c>
      <c r="BR10" s="58">
        <f>IF( OR(ISBLANK(S10:S14),ISBLANK(AQ10:AQ14), ISBLANK(Y10:Y14),ISBLANK(AW10:AW14)), "·", bdRateExtend( S10:S14,Y10:Y14, AQ10:AQ14,AW10:AW14))</f>
        <v>0</v>
      </c>
      <c r="BS10" s="58">
        <f>IF( OR(ISBLANK(S10:S14),ISBLANK(AQ10:AQ14), ISBLANK(Z10:Z14),ISBLANK(AX10:AX14)), "·", bdRateExtend( S10:S14,Z10:Z14, AQ10:AQ14,AX10:AX14))</f>
        <v>0</v>
      </c>
      <c r="BT10" s="58">
        <f>IF( OR(ISBLANK(S10:S14),ISBLANK(AQ10:AQ14), ISBLANK(AA10:AA14),ISBLANK(AY10:AY14)), "·", bdRateExtend( S10:S14,AA10:AA14, AQ10:AQ14,AY10:AY14))</f>
        <v>0</v>
      </c>
    </row>
    <row r="11" spans="1:72" outlineLevel="1" x14ac:dyDescent="0.3">
      <c r="A11" s="129"/>
      <c r="B11" s="129" t="s">
        <v>59</v>
      </c>
      <c r="C11" s="10" t="s">
        <v>235</v>
      </c>
      <c r="D11" s="129">
        <v>218121242</v>
      </c>
      <c r="E11" s="10">
        <v>10</v>
      </c>
      <c r="F11" s="10">
        <v>32</v>
      </c>
      <c r="G11" s="10">
        <v>30</v>
      </c>
      <c r="I11" s="11">
        <f t="shared" si="0"/>
        <v>4.7712975000000002</v>
      </c>
      <c r="J11" s="12">
        <f t="shared" si="1"/>
        <v>2.3332821477332316E-2</v>
      </c>
      <c r="K11" s="12">
        <f t="shared" si="2"/>
        <v>1.0101427902193955E-2</v>
      </c>
      <c r="L11" s="12">
        <f t="shared" si="3"/>
        <v>5.8848372044388048E-3</v>
      </c>
      <c r="M11" s="12">
        <f t="shared" si="4"/>
        <v>1.3231393575138363E-2</v>
      </c>
      <c r="N11" s="129">
        <f t="shared" si="5"/>
        <v>2203336</v>
      </c>
      <c r="O11" s="12">
        <v>16</v>
      </c>
      <c r="P11" s="13">
        <v>22209440</v>
      </c>
      <c r="Q11" s="13">
        <v>694045</v>
      </c>
      <c r="R11" s="13">
        <v>24701.96875</v>
      </c>
      <c r="S11" s="14">
        <v>5089384</v>
      </c>
      <c r="T11" s="14">
        <v>1283608</v>
      </c>
      <c r="U11" s="14">
        <v>919728</v>
      </c>
      <c r="V11" s="14">
        <v>2886048</v>
      </c>
      <c r="W11" s="15">
        <v>67.629084375000005</v>
      </c>
      <c r="X11" s="15">
        <v>69.776278125000005</v>
      </c>
      <c r="Y11" s="15">
        <v>34.395321875</v>
      </c>
      <c r="Z11" s="15">
        <v>40.088096874999998</v>
      </c>
      <c r="AA11" s="15">
        <v>33.995153125000002</v>
      </c>
      <c r="AB11" s="16">
        <v>2653.7</v>
      </c>
      <c r="AC11" s="16">
        <v>1885.09</v>
      </c>
      <c r="AD11" s="16">
        <v>7.1369999999999996</v>
      </c>
      <c r="AE11" s="16">
        <v>29.911999999999999</v>
      </c>
      <c r="AG11" s="11">
        <f t="shared" si="6"/>
        <v>4.7712975000000002</v>
      </c>
      <c r="AH11" s="12">
        <f t="shared" si="7"/>
        <v>2.3332821477332316E-2</v>
      </c>
      <c r="AI11" s="12">
        <f t="shared" si="8"/>
        <v>1.0101427902193955E-2</v>
      </c>
      <c r="AJ11" s="12">
        <f t="shared" si="9"/>
        <v>5.8848372044388048E-3</v>
      </c>
      <c r="AK11" s="12">
        <f t="shared" si="10"/>
        <v>1.3231393575138363E-2</v>
      </c>
      <c r="AL11" s="129">
        <f t="shared" si="11"/>
        <v>2203336</v>
      </c>
      <c r="AM11" s="12">
        <v>16</v>
      </c>
      <c r="AN11" s="13">
        <v>22209440</v>
      </c>
      <c r="AO11" s="13">
        <v>694045</v>
      </c>
      <c r="AP11" s="13">
        <v>24701.96875</v>
      </c>
      <c r="AQ11" s="14">
        <v>5089384</v>
      </c>
      <c r="AR11" s="14">
        <v>1283608</v>
      </c>
      <c r="AS11" s="14">
        <v>919728</v>
      </c>
      <c r="AT11" s="14">
        <v>2886048</v>
      </c>
      <c r="AU11" s="15">
        <v>67.629084375000005</v>
      </c>
      <c r="AV11" s="15">
        <v>69.776278125000005</v>
      </c>
      <c r="AW11" s="15">
        <v>34.395321875</v>
      </c>
      <c r="AX11" s="15">
        <v>40.088096874999998</v>
      </c>
      <c r="AY11" s="15">
        <v>33.995153125000002</v>
      </c>
      <c r="AZ11" s="16">
        <v>2273.4</v>
      </c>
      <c r="BA11" s="16">
        <v>1318.95</v>
      </c>
      <c r="BB11" s="16">
        <v>5.766</v>
      </c>
      <c r="BC11" s="16">
        <v>23.811</v>
      </c>
      <c r="BE11" s="62">
        <f t="shared" si="12"/>
        <v>1</v>
      </c>
      <c r="BF11" s="17">
        <f t="shared" si="13"/>
        <v>0</v>
      </c>
      <c r="BG11" s="17">
        <f t="shared" si="14"/>
        <v>0</v>
      </c>
      <c r="BH11" s="17"/>
      <c r="BJ11" s="62"/>
      <c r="BK11" s="62"/>
      <c r="BL11" s="62"/>
      <c r="BM11" s="62"/>
      <c r="BN11" s="62"/>
      <c r="BP11" s="62"/>
      <c r="BQ11" s="62"/>
      <c r="BR11" s="62"/>
      <c r="BS11" s="62"/>
      <c r="BT11" s="62"/>
    </row>
    <row r="12" spans="1:72" outlineLevel="1" x14ac:dyDescent="0.3">
      <c r="A12" s="18"/>
      <c r="B12" s="18" t="s">
        <v>59</v>
      </c>
      <c r="C12" s="19" t="s">
        <v>236</v>
      </c>
      <c r="D12" s="18">
        <v>218121242</v>
      </c>
      <c r="E12" s="19">
        <v>10</v>
      </c>
      <c r="F12" s="19">
        <v>32</v>
      </c>
      <c r="G12" s="19">
        <v>30</v>
      </c>
      <c r="I12" s="20">
        <f t="shared" si="0"/>
        <v>7.3786575000000001</v>
      </c>
      <c r="J12" s="21">
        <f t="shared" si="1"/>
        <v>3.6083454907156635E-2</v>
      </c>
      <c r="K12" s="21">
        <f t="shared" si="2"/>
        <v>1.2585844344311958E-2</v>
      </c>
      <c r="L12" s="21">
        <f t="shared" si="3"/>
        <v>8.3692536465568082E-3</v>
      </c>
      <c r="M12" s="21">
        <f t="shared" si="4"/>
        <v>2.3497610562844676E-2</v>
      </c>
      <c r="N12" s="18">
        <f t="shared" si="5"/>
        <v>2745240</v>
      </c>
      <c r="O12" s="21">
        <v>16</v>
      </c>
      <c r="P12" s="22">
        <v>22718397</v>
      </c>
      <c r="Q12" s="22">
        <v>709949.90625</v>
      </c>
      <c r="R12" s="22">
        <v>26579.9375</v>
      </c>
      <c r="S12" s="23">
        <v>7870568</v>
      </c>
      <c r="T12" s="23">
        <v>1825512</v>
      </c>
      <c r="U12" s="23">
        <v>919728</v>
      </c>
      <c r="V12" s="23">
        <v>5125328</v>
      </c>
      <c r="W12" s="24">
        <v>69.018078125000002</v>
      </c>
      <c r="X12" s="24">
        <v>71.395475000000005</v>
      </c>
      <c r="Y12" s="24">
        <v>36.5035375</v>
      </c>
      <c r="Z12" s="24">
        <v>41.022387500000001</v>
      </c>
      <c r="AA12" s="24">
        <v>35.783918749999998</v>
      </c>
      <c r="AB12" s="25">
        <v>2661.35</v>
      </c>
      <c r="AC12" s="25">
        <v>1952.62</v>
      </c>
      <c r="AD12" s="25">
        <v>6.9889999999999999</v>
      </c>
      <c r="AE12" s="25">
        <v>30.613</v>
      </c>
      <c r="AG12" s="20">
        <f t="shared" si="6"/>
        <v>7.3786575000000001</v>
      </c>
      <c r="AH12" s="21">
        <f t="shared" si="7"/>
        <v>3.6083454907156635E-2</v>
      </c>
      <c r="AI12" s="21">
        <f t="shared" si="8"/>
        <v>1.2585844344311958E-2</v>
      </c>
      <c r="AJ12" s="21">
        <f t="shared" si="9"/>
        <v>8.3692536465568082E-3</v>
      </c>
      <c r="AK12" s="21">
        <f t="shared" si="10"/>
        <v>2.3497610562844676E-2</v>
      </c>
      <c r="AL12" s="18">
        <f t="shared" si="11"/>
        <v>2745240</v>
      </c>
      <c r="AM12" s="21">
        <v>16</v>
      </c>
      <c r="AN12" s="22">
        <v>22718397</v>
      </c>
      <c r="AO12" s="22">
        <v>709949.90625</v>
      </c>
      <c r="AP12" s="22">
        <v>26579.9375</v>
      </c>
      <c r="AQ12" s="23">
        <v>7870568</v>
      </c>
      <c r="AR12" s="23">
        <v>1825512</v>
      </c>
      <c r="AS12" s="23">
        <v>919728</v>
      </c>
      <c r="AT12" s="23">
        <v>5125328</v>
      </c>
      <c r="AU12" s="24">
        <v>69.018078125000002</v>
      </c>
      <c r="AV12" s="24">
        <v>71.395475000000005</v>
      </c>
      <c r="AW12" s="24">
        <v>36.5035375</v>
      </c>
      <c r="AX12" s="24">
        <v>41.022387500000001</v>
      </c>
      <c r="AY12" s="24">
        <v>35.783918749999998</v>
      </c>
      <c r="AZ12" s="25">
        <v>2224.3200000000002</v>
      </c>
      <c r="BA12" s="25">
        <v>1374.28</v>
      </c>
      <c r="BB12" s="25">
        <v>6.0659999999999998</v>
      </c>
      <c r="BC12" s="25">
        <v>24.629000000000001</v>
      </c>
      <c r="BE12" s="58">
        <f t="shared" si="12"/>
        <v>1</v>
      </c>
      <c r="BF12" s="26">
        <f t="shared" si="13"/>
        <v>0</v>
      </c>
      <c r="BG12" s="26">
        <f t="shared" si="14"/>
        <v>0</v>
      </c>
      <c r="BH12" s="26"/>
      <c r="BJ12" s="58"/>
      <c r="BK12" s="58"/>
      <c r="BL12" s="58"/>
      <c r="BM12" s="58"/>
      <c r="BN12" s="58"/>
      <c r="BP12" s="58"/>
      <c r="BQ12" s="58"/>
      <c r="BR12" s="58"/>
      <c r="BS12" s="58"/>
      <c r="BT12" s="58"/>
    </row>
    <row r="13" spans="1:72" outlineLevel="1" x14ac:dyDescent="0.3">
      <c r="A13" s="129"/>
      <c r="B13" s="129" t="s">
        <v>59</v>
      </c>
      <c r="C13" s="10" t="s">
        <v>237</v>
      </c>
      <c r="D13" s="129">
        <v>218121242</v>
      </c>
      <c r="E13" s="10">
        <v>10</v>
      </c>
      <c r="F13" s="10">
        <v>32</v>
      </c>
      <c r="G13" s="10">
        <v>30</v>
      </c>
      <c r="I13" s="11">
        <f t="shared" si="0"/>
        <v>12.743752499999999</v>
      </c>
      <c r="J13" s="12">
        <f t="shared" si="1"/>
        <v>6.2320092602443554E-2</v>
      </c>
      <c r="K13" s="12">
        <f t="shared" si="2"/>
        <v>1.6892696769074879E-2</v>
      </c>
      <c r="L13" s="12">
        <f t="shared" si="3"/>
        <v>1.2676106071319729E-2</v>
      </c>
      <c r="M13" s="12">
        <f t="shared" si="4"/>
        <v>4.5427395833368675E-2</v>
      </c>
      <c r="N13" s="129">
        <f t="shared" si="5"/>
        <v>3684656</v>
      </c>
      <c r="O13" s="12">
        <v>16</v>
      </c>
      <c r="P13" s="13">
        <v>23594411</v>
      </c>
      <c r="Q13" s="13">
        <v>737325.34375</v>
      </c>
      <c r="R13" s="13">
        <v>30293.96875</v>
      </c>
      <c r="S13" s="14">
        <v>13593336</v>
      </c>
      <c r="T13" s="14">
        <v>2764928</v>
      </c>
      <c r="U13" s="14">
        <v>919728</v>
      </c>
      <c r="V13" s="14">
        <v>9908680</v>
      </c>
      <c r="W13" s="15">
        <v>70.083481250000006</v>
      </c>
      <c r="X13" s="15">
        <v>72.637974999999997</v>
      </c>
      <c r="Y13" s="15">
        <v>38.842237500000003</v>
      </c>
      <c r="Z13" s="15">
        <v>42.200284375000003</v>
      </c>
      <c r="AA13" s="15">
        <v>37.870584375</v>
      </c>
      <c r="AB13" s="16">
        <v>2659.11</v>
      </c>
      <c r="AC13" s="16">
        <v>2123.3200000000002</v>
      </c>
      <c r="AD13" s="16">
        <v>7.29</v>
      </c>
      <c r="AE13" s="16">
        <v>31.997</v>
      </c>
      <c r="AG13" s="11">
        <f t="shared" si="6"/>
        <v>12.743752499999999</v>
      </c>
      <c r="AH13" s="12">
        <f t="shared" si="7"/>
        <v>6.2320092602443554E-2</v>
      </c>
      <c r="AI13" s="12">
        <f t="shared" si="8"/>
        <v>1.6892696769074879E-2</v>
      </c>
      <c r="AJ13" s="12">
        <f t="shared" si="9"/>
        <v>1.2676106071319729E-2</v>
      </c>
      <c r="AK13" s="12">
        <f t="shared" si="10"/>
        <v>4.5427395833368675E-2</v>
      </c>
      <c r="AL13" s="129">
        <f t="shared" si="11"/>
        <v>3684656</v>
      </c>
      <c r="AM13" s="12">
        <v>16</v>
      </c>
      <c r="AN13" s="13">
        <v>23594411</v>
      </c>
      <c r="AO13" s="13">
        <v>737325.34375</v>
      </c>
      <c r="AP13" s="13">
        <v>30293.96875</v>
      </c>
      <c r="AQ13" s="14">
        <v>13593336</v>
      </c>
      <c r="AR13" s="14">
        <v>2764928</v>
      </c>
      <c r="AS13" s="14">
        <v>919728</v>
      </c>
      <c r="AT13" s="14">
        <v>9908680</v>
      </c>
      <c r="AU13" s="15">
        <v>70.083481250000006</v>
      </c>
      <c r="AV13" s="15">
        <v>72.637974999999997</v>
      </c>
      <c r="AW13" s="15">
        <v>38.842237500000003</v>
      </c>
      <c r="AX13" s="15">
        <v>42.200284375000003</v>
      </c>
      <c r="AY13" s="15">
        <v>37.870584375</v>
      </c>
      <c r="AZ13" s="16">
        <v>2160.83</v>
      </c>
      <c r="BA13" s="16">
        <v>1419.98</v>
      </c>
      <c r="BB13" s="16">
        <v>5.8230000000000004</v>
      </c>
      <c r="BC13" s="16">
        <v>23.966000000000001</v>
      </c>
      <c r="BE13" s="62">
        <f t="shared" si="12"/>
        <v>1</v>
      </c>
      <c r="BF13" s="17">
        <f t="shared" si="13"/>
        <v>0</v>
      </c>
      <c r="BG13" s="17">
        <f t="shared" si="14"/>
        <v>0</v>
      </c>
      <c r="BH13" s="17"/>
      <c r="BJ13" s="62"/>
      <c r="BK13" s="62"/>
      <c r="BL13" s="62"/>
      <c r="BM13" s="62"/>
      <c r="BN13" s="62"/>
      <c r="BP13" s="62"/>
      <c r="BQ13" s="62"/>
      <c r="BR13" s="62"/>
      <c r="BS13" s="62"/>
      <c r="BT13" s="62"/>
    </row>
    <row r="14" spans="1:72" outlineLevel="1" x14ac:dyDescent="0.3">
      <c r="A14" s="18"/>
      <c r="B14" s="37" t="s">
        <v>59</v>
      </c>
      <c r="C14" s="38" t="s">
        <v>238</v>
      </c>
      <c r="D14" s="37">
        <v>218121242</v>
      </c>
      <c r="E14" s="38">
        <v>10</v>
      </c>
      <c r="F14" s="38">
        <v>32</v>
      </c>
      <c r="G14" s="38">
        <v>30</v>
      </c>
      <c r="I14" s="39">
        <f t="shared" si="0"/>
        <v>23.040007500000002</v>
      </c>
      <c r="J14" s="40">
        <f t="shared" si="1"/>
        <v>0.11267131882551815</v>
      </c>
      <c r="K14" s="40">
        <f t="shared" si="2"/>
        <v>2.7628634170348252E-2</v>
      </c>
      <c r="L14" s="40">
        <f t="shared" si="3"/>
        <v>1.9923524917394336E-2</v>
      </c>
      <c r="M14" s="40">
        <f t="shared" si="4"/>
        <v>8.5042684655169898E-2</v>
      </c>
      <c r="N14" s="37">
        <f t="shared" si="5"/>
        <v>6026392</v>
      </c>
      <c r="O14" s="40">
        <v>16</v>
      </c>
      <c r="P14" s="41">
        <v>22389052</v>
      </c>
      <c r="Q14" s="41">
        <v>699657.875</v>
      </c>
      <c r="R14" s="41">
        <v>14006.09375</v>
      </c>
      <c r="S14" s="42">
        <v>24576008</v>
      </c>
      <c r="T14" s="42">
        <v>4345744</v>
      </c>
      <c r="U14" s="42">
        <v>1680648</v>
      </c>
      <c r="V14" s="42">
        <v>18549616</v>
      </c>
      <c r="W14" s="43">
        <v>71.117803124999995</v>
      </c>
      <c r="X14" s="43">
        <v>74.714628125000004</v>
      </c>
      <c r="Y14" s="43">
        <v>41.086893750000002</v>
      </c>
      <c r="Z14" s="43">
        <v>43.518868750000003</v>
      </c>
      <c r="AA14" s="43">
        <v>39.693765624999997</v>
      </c>
      <c r="AB14" s="44">
        <v>2651.53</v>
      </c>
      <c r="AC14" s="44">
        <v>2392.61</v>
      </c>
      <c r="AD14" s="44">
        <v>6.7210000000000001</v>
      </c>
      <c r="AE14" s="44">
        <v>32.11</v>
      </c>
      <c r="AG14" s="39">
        <f t="shared" si="6"/>
        <v>23.040007500000002</v>
      </c>
      <c r="AH14" s="40">
        <f t="shared" si="7"/>
        <v>0.11267131882551815</v>
      </c>
      <c r="AI14" s="40">
        <f t="shared" si="8"/>
        <v>2.7628634170348252E-2</v>
      </c>
      <c r="AJ14" s="40">
        <f t="shared" si="9"/>
        <v>1.9923524917394336E-2</v>
      </c>
      <c r="AK14" s="40">
        <f t="shared" si="10"/>
        <v>8.5042684655169898E-2</v>
      </c>
      <c r="AL14" s="37">
        <f t="shared" si="11"/>
        <v>6026392</v>
      </c>
      <c r="AM14" s="40">
        <v>16</v>
      </c>
      <c r="AN14" s="41">
        <v>22389052</v>
      </c>
      <c r="AO14" s="41">
        <v>699657.875</v>
      </c>
      <c r="AP14" s="41">
        <v>14006.09375</v>
      </c>
      <c r="AQ14" s="42">
        <v>24576008</v>
      </c>
      <c r="AR14" s="42">
        <v>4345744</v>
      </c>
      <c r="AS14" s="42">
        <v>1680648</v>
      </c>
      <c r="AT14" s="42">
        <v>18549616</v>
      </c>
      <c r="AU14" s="43">
        <v>71.117803124999995</v>
      </c>
      <c r="AV14" s="43">
        <v>74.714628125000004</v>
      </c>
      <c r="AW14" s="43">
        <v>41.086893750000002</v>
      </c>
      <c r="AX14" s="43">
        <v>43.518868750000003</v>
      </c>
      <c r="AY14" s="43">
        <v>39.693765624999997</v>
      </c>
      <c r="AZ14" s="44">
        <v>2155.08</v>
      </c>
      <c r="BA14" s="44">
        <v>1620.95</v>
      </c>
      <c r="BB14" s="44">
        <v>5.6710000000000003</v>
      </c>
      <c r="BC14" s="44">
        <v>25.581</v>
      </c>
      <c r="BE14" s="45">
        <f t="shared" si="12"/>
        <v>1</v>
      </c>
      <c r="BF14" s="46">
        <f t="shared" si="13"/>
        <v>0</v>
      </c>
      <c r="BG14" s="46">
        <f t="shared" si="14"/>
        <v>0</v>
      </c>
      <c r="BH14" s="46"/>
      <c r="BJ14" s="45"/>
      <c r="BK14" s="45"/>
      <c r="BL14" s="45"/>
      <c r="BM14" s="45"/>
      <c r="BN14" s="45"/>
      <c r="BP14" s="45"/>
      <c r="BQ14" s="45"/>
      <c r="BR14" s="45"/>
      <c r="BS14" s="45"/>
      <c r="BT14" s="45"/>
    </row>
    <row r="15" spans="1:72" x14ac:dyDescent="0.3">
      <c r="A15" s="129"/>
      <c r="B15" s="129" t="s">
        <v>64</v>
      </c>
      <c r="C15" s="10" t="s">
        <v>234</v>
      </c>
      <c r="D15" s="129">
        <v>322589704</v>
      </c>
      <c r="E15" s="10">
        <v>10</v>
      </c>
      <c r="F15" s="10">
        <v>32</v>
      </c>
      <c r="G15" s="10">
        <v>30</v>
      </c>
      <c r="I15" s="11">
        <f t="shared" si="0"/>
        <v>4.5835125000000003</v>
      </c>
      <c r="J15" s="12">
        <f t="shared" si="1"/>
        <v>1.5155722390941529E-2</v>
      </c>
      <c r="K15" s="12">
        <f t="shared" si="2"/>
        <v>8.5198503421547514E-3</v>
      </c>
      <c r="L15" s="12">
        <f t="shared" si="3"/>
        <v>4.3579320188098748E-3</v>
      </c>
      <c r="M15" s="12">
        <f t="shared" si="4"/>
        <v>6.6358720487867768E-3</v>
      </c>
      <c r="N15" s="129">
        <f t="shared" si="5"/>
        <v>2748416</v>
      </c>
      <c r="O15" s="12">
        <v>16</v>
      </c>
      <c r="P15" s="13">
        <v>30895396</v>
      </c>
      <c r="Q15" s="13">
        <v>965481.125</v>
      </c>
      <c r="R15" s="13">
        <v>30811</v>
      </c>
      <c r="S15" s="14">
        <v>4889080</v>
      </c>
      <c r="T15" s="14">
        <v>1405824</v>
      </c>
      <c r="U15" s="14">
        <v>1342592</v>
      </c>
      <c r="V15" s="14">
        <v>2140664</v>
      </c>
      <c r="W15" s="15">
        <v>65.995056250000005</v>
      </c>
      <c r="X15" s="15">
        <v>67.8233125</v>
      </c>
      <c r="Y15" s="15">
        <v>29.587062499999998</v>
      </c>
      <c r="Z15" s="15">
        <v>43.162765624999999</v>
      </c>
      <c r="AA15" s="15">
        <v>43.442771874999998</v>
      </c>
      <c r="AB15" s="16">
        <v>3941.74</v>
      </c>
      <c r="AC15" s="16">
        <v>1781.51</v>
      </c>
      <c r="AD15" s="16">
        <v>8.9429999999999996</v>
      </c>
      <c r="AE15" s="16">
        <v>28.033000000000001</v>
      </c>
      <c r="AG15" s="11">
        <f t="shared" si="6"/>
        <v>4.5835125000000003</v>
      </c>
      <c r="AH15" s="12">
        <f t="shared" si="7"/>
        <v>1.5155722390941529E-2</v>
      </c>
      <c r="AI15" s="12">
        <f t="shared" si="8"/>
        <v>8.5198503421547514E-3</v>
      </c>
      <c r="AJ15" s="12">
        <f t="shared" si="9"/>
        <v>4.3579320188098748E-3</v>
      </c>
      <c r="AK15" s="12">
        <f t="shared" si="10"/>
        <v>6.6358720487867768E-3</v>
      </c>
      <c r="AL15" s="129">
        <f t="shared" si="11"/>
        <v>2748416</v>
      </c>
      <c r="AM15" s="12">
        <v>16</v>
      </c>
      <c r="AN15" s="13">
        <v>30895396</v>
      </c>
      <c r="AO15" s="13">
        <v>965481.125</v>
      </c>
      <c r="AP15" s="13">
        <v>30811</v>
      </c>
      <c r="AQ15" s="14">
        <v>4889080</v>
      </c>
      <c r="AR15" s="14">
        <v>1405824</v>
      </c>
      <c r="AS15" s="14">
        <v>1342592</v>
      </c>
      <c r="AT15" s="14">
        <v>2140664</v>
      </c>
      <c r="AU15" s="15">
        <v>65.995056250000005</v>
      </c>
      <c r="AV15" s="15">
        <v>67.8233125</v>
      </c>
      <c r="AW15" s="15">
        <v>29.587062499999998</v>
      </c>
      <c r="AX15" s="15">
        <v>43.162765624999999</v>
      </c>
      <c r="AY15" s="15">
        <v>43.442771874999998</v>
      </c>
      <c r="AZ15" s="16">
        <v>3237.94</v>
      </c>
      <c r="BA15" s="16">
        <v>1222.6500000000001</v>
      </c>
      <c r="BB15" s="16">
        <v>7.3419999999999996</v>
      </c>
      <c r="BC15" s="16">
        <v>22.13</v>
      </c>
      <c r="BE15" s="62">
        <f t="shared" si="12"/>
        <v>1</v>
      </c>
      <c r="BF15" s="17">
        <f t="shared" si="13"/>
        <v>0</v>
      </c>
      <c r="BG15" s="17">
        <f t="shared" si="14"/>
        <v>0</v>
      </c>
      <c r="BH15" s="17">
        <f t="array" ref="BH15">AVERAGE(AL15:AL19/AQ15:AQ19) - AVERAGE(N15:N19/S15:S19)</f>
        <v>0</v>
      </c>
      <c r="BJ15" s="62">
        <f>IF( OR(ISBLANK(N15:N19),ISBLANK(AL15:AL19), ISBLANK(W15:W19),ISBLANK(AU15:AU19)), "·", bdRateExtend( N15:N19,W15:W19, AL15:AL19,AU15:AU19))</f>
        <v>0</v>
      </c>
      <c r="BK15" s="62">
        <f>IF( OR(ISBLANK(N15:N19),ISBLANK(AL15:AL19), ISBLANK(X15:X19),ISBLANK(AV15:AV19)), "·", bdRateExtend( N15:N19,X15:X19, AL15:AL19,AV15:AV19))</f>
        <v>0</v>
      </c>
      <c r="BL15" s="62">
        <f>IF( OR(ISBLANK(V15:V19),ISBLANK(AT15:AT19), ISBLANK(Y15:Y19),ISBLANK(AW15:AW19)), "·", bdRateExtend( V15:V19,Y15:Y19, AT15:AT19,AW15:AW19))</f>
        <v>0</v>
      </c>
      <c r="BM15" s="62">
        <f>IF( OR(ISBLANK(V15:V19),ISBLANK(AT15:AT19), ISBLANK(Z15:Z19),ISBLANK(AX15:AX19)), "·", bdRateExtend( V15:V19,Z15:Z19, AT15:AT19,AX15:AX19))</f>
        <v>0</v>
      </c>
      <c r="BN15" s="62">
        <f>IF( OR(ISBLANK(V15:V19),ISBLANK(AT15:AT19), ISBLANK(AA15:AA19),ISBLANK(AY15:AY19)), "·", bdRateExtend( V15:V19,AA15:AA19, AT15:AT19,AY15:AY19))</f>
        <v>0</v>
      </c>
      <c r="BP15" s="62">
        <f>IF( OR(ISBLANK(S15:S19),ISBLANK(AQ15:AQ19), ISBLANK(W15:W19),ISBLANK(AU15:AU19)), "·", bdRateExtend( S15:S19,W15:W19, AQ15:AQ19,AU15:AU19))</f>
        <v>0</v>
      </c>
      <c r="BQ15" s="62">
        <f>IF( OR(ISBLANK(S15:S19),ISBLANK(AQ15:AQ19), ISBLANK(X15:X19),ISBLANK(AV15:AV19)), "·", bdRateExtend( S15:S19,X15:X19, AQ15:AQ19,AV15:AV19))</f>
        <v>0</v>
      </c>
      <c r="BR15" s="62">
        <f>IF( OR(ISBLANK(S15:S19),ISBLANK(AQ15:AQ19), ISBLANK(Y15:Y19),ISBLANK(AW15:AW19)), "·", bdRateExtend( S15:S19,Y15:Y19, AQ15:AQ19,AW15:AW19))</f>
        <v>0</v>
      </c>
      <c r="BS15" s="62">
        <f>IF( OR(ISBLANK(S15:S19),ISBLANK(AQ15:AQ19), ISBLANK(Z15:Z19),ISBLANK(AX15:AX19)), "·", bdRateExtend( S15:S19,Z15:Z19, AQ15:AQ19,AX15:AX19))</f>
        <v>0</v>
      </c>
      <c r="BT15" s="62">
        <f>IF( OR(ISBLANK(S15:S19),ISBLANK(AQ15:AQ19), ISBLANK(AA15:AA19),ISBLANK(AY15:AY19)), "·", bdRateExtend( S15:S19,AA15:AA19, AQ15:AQ19,AY15:AY19))</f>
        <v>0</v>
      </c>
    </row>
    <row r="16" spans="1:72" outlineLevel="1" x14ac:dyDescent="0.3">
      <c r="A16" s="18"/>
      <c r="B16" s="18" t="s">
        <v>64</v>
      </c>
      <c r="C16" s="19" t="s">
        <v>235</v>
      </c>
      <c r="D16" s="18">
        <v>322589704</v>
      </c>
      <c r="E16" s="19">
        <v>10</v>
      </c>
      <c r="F16" s="19">
        <v>32</v>
      </c>
      <c r="G16" s="19">
        <v>30</v>
      </c>
      <c r="I16" s="20">
        <f t="shared" si="0"/>
        <v>7.2966300000000004</v>
      </c>
      <c r="J16" s="21">
        <f t="shared" si="1"/>
        <v>2.412684566026943E-2</v>
      </c>
      <c r="K16" s="21">
        <f t="shared" si="2"/>
        <v>1.0225025656739497E-2</v>
      </c>
      <c r="L16" s="21">
        <f t="shared" si="3"/>
        <v>6.0631073333946208E-3</v>
      </c>
      <c r="M16" s="21">
        <f t="shared" si="4"/>
        <v>1.3901820003529932E-2</v>
      </c>
      <c r="N16" s="18">
        <f t="shared" si="5"/>
        <v>3298488</v>
      </c>
      <c r="O16" s="21">
        <v>16</v>
      </c>
      <c r="P16" s="22">
        <v>33521444</v>
      </c>
      <c r="Q16" s="22">
        <v>1047545.125</v>
      </c>
      <c r="R16" s="22">
        <v>39151.9375</v>
      </c>
      <c r="S16" s="23">
        <v>7783072</v>
      </c>
      <c r="T16" s="23">
        <v>1955896</v>
      </c>
      <c r="U16" s="23">
        <v>1342592</v>
      </c>
      <c r="V16" s="23">
        <v>4484584</v>
      </c>
      <c r="W16" s="24">
        <v>67.829209375000005</v>
      </c>
      <c r="X16" s="24">
        <v>69.881384374999996</v>
      </c>
      <c r="Y16" s="24">
        <v>32.041846874999997</v>
      </c>
      <c r="Z16" s="24">
        <v>43.984231250000001</v>
      </c>
      <c r="AA16" s="24">
        <v>44.377890624999999</v>
      </c>
      <c r="AB16" s="25">
        <v>3949.25</v>
      </c>
      <c r="AC16" s="25">
        <v>1892.58</v>
      </c>
      <c r="AD16" s="25">
        <v>9.0540000000000003</v>
      </c>
      <c r="AE16" s="25">
        <v>27.62</v>
      </c>
      <c r="AG16" s="20">
        <f t="shared" si="6"/>
        <v>7.2966300000000004</v>
      </c>
      <c r="AH16" s="21">
        <f t="shared" si="7"/>
        <v>2.412684566026943E-2</v>
      </c>
      <c r="AI16" s="21">
        <f t="shared" si="8"/>
        <v>1.0225025656739497E-2</v>
      </c>
      <c r="AJ16" s="21">
        <f t="shared" si="9"/>
        <v>6.0631073333946208E-3</v>
      </c>
      <c r="AK16" s="21">
        <f t="shared" si="10"/>
        <v>1.3901820003529932E-2</v>
      </c>
      <c r="AL16" s="18">
        <f t="shared" si="11"/>
        <v>3298488</v>
      </c>
      <c r="AM16" s="21">
        <v>16</v>
      </c>
      <c r="AN16" s="22">
        <v>33521444</v>
      </c>
      <c r="AO16" s="22">
        <v>1047545.125</v>
      </c>
      <c r="AP16" s="22">
        <v>39151.9375</v>
      </c>
      <c r="AQ16" s="23">
        <v>7783072</v>
      </c>
      <c r="AR16" s="23">
        <v>1955896</v>
      </c>
      <c r="AS16" s="23">
        <v>1342592</v>
      </c>
      <c r="AT16" s="23">
        <v>4484584</v>
      </c>
      <c r="AU16" s="24">
        <v>67.829209375000005</v>
      </c>
      <c r="AV16" s="24">
        <v>69.881384374999996</v>
      </c>
      <c r="AW16" s="24">
        <v>32.041846874999997</v>
      </c>
      <c r="AX16" s="24">
        <v>43.984231250000001</v>
      </c>
      <c r="AY16" s="24">
        <v>44.377890624999999</v>
      </c>
      <c r="AZ16" s="25">
        <v>3253.04</v>
      </c>
      <c r="BA16" s="25">
        <v>1302.3699999999999</v>
      </c>
      <c r="BB16" s="25">
        <v>7.9050000000000002</v>
      </c>
      <c r="BC16" s="25">
        <v>22.719000000000001</v>
      </c>
      <c r="BE16" s="58">
        <f t="shared" si="12"/>
        <v>1</v>
      </c>
      <c r="BF16" s="26">
        <f t="shared" si="13"/>
        <v>0</v>
      </c>
      <c r="BG16" s="26">
        <f t="shared" si="14"/>
        <v>0</v>
      </c>
      <c r="BH16" s="26"/>
      <c r="BJ16" s="58"/>
      <c r="BK16" s="58"/>
      <c r="BL16" s="58"/>
      <c r="BM16" s="58"/>
      <c r="BN16" s="58"/>
      <c r="BP16" s="58"/>
      <c r="BQ16" s="58"/>
      <c r="BR16" s="58"/>
      <c r="BS16" s="58"/>
      <c r="BT16" s="58"/>
    </row>
    <row r="17" spans="1:72" outlineLevel="1" x14ac:dyDescent="0.3">
      <c r="A17" s="129"/>
      <c r="B17" s="129" t="s">
        <v>64</v>
      </c>
      <c r="C17" s="10" t="s">
        <v>236</v>
      </c>
      <c r="D17" s="129">
        <v>322589704</v>
      </c>
      <c r="E17" s="10">
        <v>10</v>
      </c>
      <c r="F17" s="10">
        <v>32</v>
      </c>
      <c r="G17" s="10">
        <v>30</v>
      </c>
      <c r="I17" s="11">
        <f t="shared" si="0"/>
        <v>12.2718825</v>
      </c>
      <c r="J17" s="12">
        <f t="shared" si="1"/>
        <v>4.0577885275594534E-2</v>
      </c>
      <c r="K17" s="12">
        <f t="shared" si="2"/>
        <v>1.2746122858279444E-2</v>
      </c>
      <c r="L17" s="12">
        <f t="shared" si="3"/>
        <v>8.5842045349345687E-3</v>
      </c>
      <c r="M17" s="12">
        <f t="shared" si="4"/>
        <v>2.7831762417315092E-2</v>
      </c>
      <c r="N17" s="129">
        <f t="shared" si="5"/>
        <v>4111768</v>
      </c>
      <c r="O17" s="12">
        <v>16</v>
      </c>
      <c r="P17" s="13">
        <v>33949459</v>
      </c>
      <c r="Q17" s="13">
        <v>1060920.59375</v>
      </c>
      <c r="R17" s="13">
        <v>40889.5</v>
      </c>
      <c r="S17" s="14">
        <v>13090008</v>
      </c>
      <c r="T17" s="14">
        <v>2769176</v>
      </c>
      <c r="U17" s="14">
        <v>1342592</v>
      </c>
      <c r="V17" s="14">
        <v>8978240</v>
      </c>
      <c r="W17" s="15">
        <v>69.246168749999995</v>
      </c>
      <c r="X17" s="15">
        <v>71.706409375000007</v>
      </c>
      <c r="Y17" s="15">
        <v>34.605525</v>
      </c>
      <c r="Z17" s="15">
        <v>44.828581249999999</v>
      </c>
      <c r="AA17" s="15">
        <v>45.284799999999997</v>
      </c>
      <c r="AB17" s="16">
        <v>3955.05</v>
      </c>
      <c r="AC17" s="16">
        <v>2025.36</v>
      </c>
      <c r="AD17" s="16">
        <v>9.3279999999999994</v>
      </c>
      <c r="AE17" s="16">
        <v>28.007000000000001</v>
      </c>
      <c r="AG17" s="11">
        <f t="shared" si="6"/>
        <v>12.2718825</v>
      </c>
      <c r="AH17" s="12">
        <f t="shared" si="7"/>
        <v>4.0577885275594534E-2</v>
      </c>
      <c r="AI17" s="12">
        <f t="shared" si="8"/>
        <v>1.2746122858279444E-2</v>
      </c>
      <c r="AJ17" s="12">
        <f t="shared" si="9"/>
        <v>8.5842045349345687E-3</v>
      </c>
      <c r="AK17" s="12">
        <f t="shared" si="10"/>
        <v>2.7831762417315092E-2</v>
      </c>
      <c r="AL17" s="129">
        <f t="shared" si="11"/>
        <v>4111768</v>
      </c>
      <c r="AM17" s="12">
        <v>16</v>
      </c>
      <c r="AN17" s="13">
        <v>33949459</v>
      </c>
      <c r="AO17" s="13">
        <v>1060920.59375</v>
      </c>
      <c r="AP17" s="13">
        <v>40889.5</v>
      </c>
      <c r="AQ17" s="14">
        <v>13090008</v>
      </c>
      <c r="AR17" s="14">
        <v>2769176</v>
      </c>
      <c r="AS17" s="14">
        <v>1342592</v>
      </c>
      <c r="AT17" s="14">
        <v>8978240</v>
      </c>
      <c r="AU17" s="15">
        <v>69.246168749999995</v>
      </c>
      <c r="AV17" s="15">
        <v>71.706409375000007</v>
      </c>
      <c r="AW17" s="15">
        <v>34.605525</v>
      </c>
      <c r="AX17" s="15">
        <v>44.828581249999999</v>
      </c>
      <c r="AY17" s="15">
        <v>45.284799999999997</v>
      </c>
      <c r="AZ17" s="16">
        <v>3241.83</v>
      </c>
      <c r="BA17" s="16">
        <v>1401.59</v>
      </c>
      <c r="BB17" s="16">
        <v>8.3710000000000004</v>
      </c>
      <c r="BC17" s="16">
        <v>24.018999999999998</v>
      </c>
      <c r="BE17" s="62">
        <f t="shared" si="12"/>
        <v>1</v>
      </c>
      <c r="BF17" s="17">
        <f t="shared" si="13"/>
        <v>0</v>
      </c>
      <c r="BG17" s="17">
        <f t="shared" si="14"/>
        <v>0</v>
      </c>
      <c r="BH17" s="17"/>
      <c r="BJ17" s="62"/>
      <c r="BK17" s="62"/>
      <c r="BL17" s="62"/>
      <c r="BM17" s="62"/>
      <c r="BN17" s="62"/>
      <c r="BP17" s="62"/>
      <c r="BQ17" s="62"/>
      <c r="BR17" s="62"/>
      <c r="BS17" s="62"/>
      <c r="BT17" s="62"/>
    </row>
    <row r="18" spans="1:72" outlineLevel="1" x14ac:dyDescent="0.3">
      <c r="A18" s="18"/>
      <c r="B18" s="18" t="s">
        <v>64</v>
      </c>
      <c r="C18" s="19" t="s">
        <v>237</v>
      </c>
      <c r="D18" s="18">
        <v>322589704</v>
      </c>
      <c r="E18" s="19">
        <v>10</v>
      </c>
      <c r="F18" s="19">
        <v>32</v>
      </c>
      <c r="G18" s="19">
        <v>30</v>
      </c>
      <c r="I18" s="20">
        <f t="shared" si="0"/>
        <v>22.095855</v>
      </c>
      <c r="J18" s="21">
        <f t="shared" si="1"/>
        <v>7.3061575455613426E-2</v>
      </c>
      <c r="K18" s="21">
        <f t="shared" si="2"/>
        <v>1.6882597096155309E-2</v>
      </c>
      <c r="L18" s="21">
        <f t="shared" si="3"/>
        <v>1.2720678772810431E-2</v>
      </c>
      <c r="M18" s="21">
        <f t="shared" si="4"/>
        <v>5.617897835945812E-2</v>
      </c>
      <c r="N18" s="18">
        <f t="shared" si="5"/>
        <v>5446152</v>
      </c>
      <c r="O18" s="21">
        <v>16</v>
      </c>
      <c r="P18" s="22">
        <v>35406850</v>
      </c>
      <c r="Q18" s="22">
        <v>1106464.0625</v>
      </c>
      <c r="R18" s="22">
        <v>46588.9375</v>
      </c>
      <c r="S18" s="23">
        <v>23568912</v>
      </c>
      <c r="T18" s="23">
        <v>4103560</v>
      </c>
      <c r="U18" s="23">
        <v>1342592</v>
      </c>
      <c r="V18" s="23">
        <v>18122760</v>
      </c>
      <c r="W18" s="24">
        <v>70.412724999999995</v>
      </c>
      <c r="X18" s="24">
        <v>73.041528124999999</v>
      </c>
      <c r="Y18" s="24">
        <v>37.250853124999999</v>
      </c>
      <c r="Z18" s="24">
        <v>46.163278124999998</v>
      </c>
      <c r="AA18" s="24">
        <v>46.698690624999998</v>
      </c>
      <c r="AB18" s="25">
        <v>3961.04</v>
      </c>
      <c r="AC18" s="25">
        <v>2281.6999999999998</v>
      </c>
      <c r="AD18" s="25">
        <v>9.1229999999999993</v>
      </c>
      <c r="AE18" s="25">
        <v>27.992999999999999</v>
      </c>
      <c r="AG18" s="20">
        <f t="shared" si="6"/>
        <v>22.095855</v>
      </c>
      <c r="AH18" s="21">
        <f t="shared" si="7"/>
        <v>7.3061575455613426E-2</v>
      </c>
      <c r="AI18" s="21">
        <f t="shared" si="8"/>
        <v>1.6882597096155309E-2</v>
      </c>
      <c r="AJ18" s="21">
        <f t="shared" si="9"/>
        <v>1.2720678772810431E-2</v>
      </c>
      <c r="AK18" s="21">
        <f t="shared" si="10"/>
        <v>5.617897835945812E-2</v>
      </c>
      <c r="AL18" s="18">
        <f t="shared" si="11"/>
        <v>5446152</v>
      </c>
      <c r="AM18" s="21">
        <v>16</v>
      </c>
      <c r="AN18" s="22">
        <v>35406850</v>
      </c>
      <c r="AO18" s="22">
        <v>1106464.0625</v>
      </c>
      <c r="AP18" s="22">
        <v>46588.9375</v>
      </c>
      <c r="AQ18" s="23">
        <v>23568912</v>
      </c>
      <c r="AR18" s="23">
        <v>4103560</v>
      </c>
      <c r="AS18" s="23">
        <v>1342592</v>
      </c>
      <c r="AT18" s="23">
        <v>18122760</v>
      </c>
      <c r="AU18" s="24">
        <v>70.412724999999995</v>
      </c>
      <c r="AV18" s="24">
        <v>73.041528124999999</v>
      </c>
      <c r="AW18" s="24">
        <v>37.250853124999999</v>
      </c>
      <c r="AX18" s="24">
        <v>46.163278124999998</v>
      </c>
      <c r="AY18" s="24">
        <v>46.698690624999998</v>
      </c>
      <c r="AZ18" s="25">
        <v>3227.21</v>
      </c>
      <c r="BA18" s="25">
        <v>1606.21</v>
      </c>
      <c r="BB18" s="25">
        <v>8.2970000000000006</v>
      </c>
      <c r="BC18" s="25">
        <v>24.47</v>
      </c>
      <c r="BE18" s="58">
        <f t="shared" si="12"/>
        <v>1</v>
      </c>
      <c r="BF18" s="26">
        <f t="shared" si="13"/>
        <v>0</v>
      </c>
      <c r="BG18" s="26">
        <f t="shared" si="14"/>
        <v>0</v>
      </c>
      <c r="BH18" s="26"/>
      <c r="BJ18" s="58"/>
      <c r="BK18" s="58"/>
      <c r="BL18" s="58"/>
      <c r="BM18" s="58"/>
      <c r="BN18" s="58"/>
      <c r="BP18" s="58"/>
      <c r="BQ18" s="58"/>
      <c r="BR18" s="58"/>
      <c r="BS18" s="58"/>
      <c r="BT18" s="58"/>
    </row>
    <row r="19" spans="1:72" outlineLevel="1" x14ac:dyDescent="0.3">
      <c r="A19" s="129"/>
      <c r="B19" s="27" t="s">
        <v>64</v>
      </c>
      <c r="C19" s="28" t="s">
        <v>238</v>
      </c>
      <c r="D19" s="27">
        <v>322589704</v>
      </c>
      <c r="E19" s="28">
        <v>10</v>
      </c>
      <c r="F19" s="28">
        <v>32</v>
      </c>
      <c r="G19" s="28">
        <v>30</v>
      </c>
      <c r="I19" s="29">
        <f t="shared" si="0"/>
        <v>40.02957</v>
      </c>
      <c r="J19" s="30">
        <f t="shared" si="1"/>
        <v>0.13236072779309782</v>
      </c>
      <c r="K19" s="30">
        <f t="shared" si="2"/>
        <v>2.697323532681626E-2</v>
      </c>
      <c r="L19" s="30">
        <f t="shared" si="3"/>
        <v>1.9379986163476564E-2</v>
      </c>
      <c r="M19" s="30">
        <f t="shared" si="4"/>
        <v>0.10538749246628157</v>
      </c>
      <c r="N19" s="27">
        <f t="shared" si="5"/>
        <v>8701288</v>
      </c>
      <c r="O19" s="30">
        <v>16</v>
      </c>
      <c r="P19" s="31">
        <v>33677529</v>
      </c>
      <c r="Q19" s="31">
        <v>1052422.78125</v>
      </c>
      <c r="R19" s="31">
        <v>20771.875</v>
      </c>
      <c r="S19" s="32">
        <v>42698208</v>
      </c>
      <c r="T19" s="32">
        <v>6251784</v>
      </c>
      <c r="U19" s="32">
        <v>2449504</v>
      </c>
      <c r="V19" s="32">
        <v>33996920</v>
      </c>
      <c r="W19" s="33">
        <v>71.447946875</v>
      </c>
      <c r="X19" s="33">
        <v>75.018746875000005</v>
      </c>
      <c r="Y19" s="33">
        <v>39.327009375000003</v>
      </c>
      <c r="Z19" s="33">
        <v>47.945824999999999</v>
      </c>
      <c r="AA19" s="33">
        <v>48.527359375000003</v>
      </c>
      <c r="AB19" s="34">
        <v>3944.89</v>
      </c>
      <c r="AC19" s="34">
        <v>2694.58</v>
      </c>
      <c r="AD19" s="34">
        <v>9.0370000000000008</v>
      </c>
      <c r="AE19" s="34">
        <v>30.669</v>
      </c>
      <c r="AG19" s="29">
        <f t="shared" si="6"/>
        <v>40.02957</v>
      </c>
      <c r="AH19" s="30">
        <f t="shared" si="7"/>
        <v>0.13236072779309782</v>
      </c>
      <c r="AI19" s="30">
        <f t="shared" si="8"/>
        <v>2.697323532681626E-2</v>
      </c>
      <c r="AJ19" s="30">
        <f t="shared" si="9"/>
        <v>1.9379986163476564E-2</v>
      </c>
      <c r="AK19" s="30">
        <f t="shared" si="10"/>
        <v>0.10538749246628157</v>
      </c>
      <c r="AL19" s="27">
        <f t="shared" si="11"/>
        <v>8701288</v>
      </c>
      <c r="AM19" s="30">
        <v>16</v>
      </c>
      <c r="AN19" s="31">
        <v>33677529</v>
      </c>
      <c r="AO19" s="31">
        <v>1052422.78125</v>
      </c>
      <c r="AP19" s="31">
        <v>20771.875</v>
      </c>
      <c r="AQ19" s="32">
        <v>42698208</v>
      </c>
      <c r="AR19" s="32">
        <v>6251784</v>
      </c>
      <c r="AS19" s="32">
        <v>2449504</v>
      </c>
      <c r="AT19" s="32">
        <v>33996920</v>
      </c>
      <c r="AU19" s="33">
        <v>71.447946875</v>
      </c>
      <c r="AV19" s="33">
        <v>75.018746875000005</v>
      </c>
      <c r="AW19" s="33">
        <v>39.327009375000003</v>
      </c>
      <c r="AX19" s="33">
        <v>47.945824999999999</v>
      </c>
      <c r="AY19" s="33">
        <v>48.527359375000003</v>
      </c>
      <c r="AZ19" s="34">
        <v>3542.58</v>
      </c>
      <c r="BA19" s="34">
        <v>2309.67</v>
      </c>
      <c r="BB19" s="34">
        <v>9.3309999999999995</v>
      </c>
      <c r="BC19" s="34">
        <v>31.216999999999999</v>
      </c>
      <c r="BE19" s="35">
        <f t="shared" si="12"/>
        <v>1</v>
      </c>
      <c r="BF19" s="36">
        <f t="shared" si="13"/>
        <v>0</v>
      </c>
      <c r="BG19" s="36">
        <f t="shared" si="14"/>
        <v>0</v>
      </c>
      <c r="BH19" s="36"/>
      <c r="BJ19" s="35"/>
      <c r="BK19" s="35"/>
      <c r="BL19" s="35"/>
      <c r="BM19" s="35"/>
      <c r="BN19" s="35"/>
      <c r="BP19" s="35"/>
      <c r="BQ19" s="35"/>
      <c r="BR19" s="35"/>
      <c r="BS19" s="35"/>
      <c r="BT19" s="35"/>
    </row>
    <row r="20" spans="1:72" x14ac:dyDescent="0.3">
      <c r="A20" s="18"/>
      <c r="B20" s="18" t="s">
        <v>70</v>
      </c>
      <c r="C20" s="19" t="s">
        <v>234</v>
      </c>
      <c r="D20" s="18">
        <v>250602891</v>
      </c>
      <c r="E20" s="19">
        <v>10</v>
      </c>
      <c r="F20" s="19">
        <v>32</v>
      </c>
      <c r="G20" s="19">
        <v>50</v>
      </c>
      <c r="I20" s="20">
        <f t="shared" si="0"/>
        <v>5.4713500000000002</v>
      </c>
      <c r="J20" s="21">
        <f t="shared" si="1"/>
        <v>1.3972959314344063E-2</v>
      </c>
      <c r="K20" s="21">
        <f t="shared" si="2"/>
        <v>7.8635006648825924E-3</v>
      </c>
      <c r="L20" s="21">
        <f t="shared" si="3"/>
        <v>3.772917368299634E-3</v>
      </c>
      <c r="M20" s="21">
        <f t="shared" si="4"/>
        <v>6.1094586494614697E-3</v>
      </c>
      <c r="N20" s="18">
        <f t="shared" si="5"/>
        <v>1970616</v>
      </c>
      <c r="O20" s="21">
        <v>16</v>
      </c>
      <c r="P20" s="22">
        <v>30230669</v>
      </c>
      <c r="Q20" s="22">
        <v>944708.40625</v>
      </c>
      <c r="R20" s="22">
        <v>28550.90625</v>
      </c>
      <c r="S20" s="23">
        <v>3501664</v>
      </c>
      <c r="T20" s="23">
        <v>945504</v>
      </c>
      <c r="U20" s="23">
        <v>1025112</v>
      </c>
      <c r="V20" s="23">
        <v>1531048</v>
      </c>
      <c r="W20" s="24">
        <v>67.089440624999995</v>
      </c>
      <c r="X20" s="24">
        <v>68.766971874999996</v>
      </c>
      <c r="Y20" s="24">
        <v>30.877675</v>
      </c>
      <c r="Z20" s="24">
        <v>39.548846875000002</v>
      </c>
      <c r="AA20" s="24">
        <v>38.408250000000002</v>
      </c>
      <c r="AB20" s="25">
        <v>3850.62</v>
      </c>
      <c r="AC20" s="25">
        <v>1921.57</v>
      </c>
      <c r="AD20" s="25">
        <v>8.1809999999999992</v>
      </c>
      <c r="AE20" s="25">
        <v>29.117000000000001</v>
      </c>
      <c r="AG20" s="20">
        <f t="shared" si="6"/>
        <v>5.4713500000000002</v>
      </c>
      <c r="AH20" s="21">
        <f t="shared" si="7"/>
        <v>1.3972959314344063E-2</v>
      </c>
      <c r="AI20" s="21">
        <f t="shared" si="8"/>
        <v>7.8635006648825924E-3</v>
      </c>
      <c r="AJ20" s="21">
        <f t="shared" si="9"/>
        <v>3.772917368299634E-3</v>
      </c>
      <c r="AK20" s="21">
        <f t="shared" si="10"/>
        <v>6.1094586494614697E-3</v>
      </c>
      <c r="AL20" s="18">
        <f t="shared" si="11"/>
        <v>1970616</v>
      </c>
      <c r="AM20" s="21">
        <v>16</v>
      </c>
      <c r="AN20" s="22">
        <v>30230669</v>
      </c>
      <c r="AO20" s="22">
        <v>944708.40625</v>
      </c>
      <c r="AP20" s="22">
        <v>28550.90625</v>
      </c>
      <c r="AQ20" s="23">
        <v>3501664</v>
      </c>
      <c r="AR20" s="23">
        <v>945504</v>
      </c>
      <c r="AS20" s="23">
        <v>1025112</v>
      </c>
      <c r="AT20" s="23">
        <v>1531048</v>
      </c>
      <c r="AU20" s="24">
        <v>67.089440624999995</v>
      </c>
      <c r="AV20" s="24">
        <v>68.766971874999996</v>
      </c>
      <c r="AW20" s="24">
        <v>30.877675</v>
      </c>
      <c r="AX20" s="24">
        <v>39.548846875000002</v>
      </c>
      <c r="AY20" s="24">
        <v>38.408250000000002</v>
      </c>
      <c r="AZ20" s="25">
        <v>3470.39</v>
      </c>
      <c r="BA20" s="25">
        <v>1619.89</v>
      </c>
      <c r="BB20" s="25">
        <v>7.6449999999999996</v>
      </c>
      <c r="BC20" s="25">
        <v>27.145</v>
      </c>
      <c r="BE20" s="58">
        <f t="shared" si="12"/>
        <v>1</v>
      </c>
      <c r="BF20" s="26">
        <f t="shared" si="13"/>
        <v>0</v>
      </c>
      <c r="BG20" s="26">
        <f t="shared" si="14"/>
        <v>0</v>
      </c>
      <c r="BH20" s="26">
        <f t="array" ref="BH20">AVERAGE(AL20:AL24/AQ20:AQ24) - AVERAGE(N20:N24/S20:S24)</f>
        <v>0</v>
      </c>
      <c r="BJ20" s="58">
        <f>IF( OR(ISBLANK(N20:N24),ISBLANK(AL20:AL24), ISBLANK(W20:W24),ISBLANK(AU20:AU24)), "·", bdRateExtend( N20:N24,W20:W24, AL20:AL24,AU20:AU24))</f>
        <v>0</v>
      </c>
      <c r="BK20" s="58">
        <f>IF( OR(ISBLANK(N20:N24),ISBLANK(AL20:AL24), ISBLANK(X20:X24),ISBLANK(AV20:AV24)), "·", bdRateExtend( N20:N24,X20:X24, AL20:AL24,AV20:AV24))</f>
        <v>0</v>
      </c>
      <c r="BL20" s="58">
        <f>IF( OR(ISBLANK(V20:V24),ISBLANK(AT20:AT24), ISBLANK(Y20:Y24),ISBLANK(AW20:AW24)), "·", bdRateExtend( V20:V24,Y20:Y24, AT20:AT24,AW20:AW24))</f>
        <v>0</v>
      </c>
      <c r="BM20" s="58">
        <f>IF( OR(ISBLANK(V20:V24),ISBLANK(AT20:AT24), ISBLANK(Z20:Z24),ISBLANK(AX20:AX24)), "·", bdRateExtend( V20:V24,Z20:Z24, AT20:AT24,AX20:AX24))</f>
        <v>0</v>
      </c>
      <c r="BN20" s="58">
        <f>IF( OR(ISBLANK(V20:V24),ISBLANK(AT20:AT24), ISBLANK(AA20:AA24),ISBLANK(AY20:AY24)), "·", bdRateExtend( V20:V24,AA20:AA24, AT20:AT24,AY20:AY24))</f>
        <v>0</v>
      </c>
      <c r="BP20" s="58">
        <f>IF( OR(ISBLANK(S20:S24),ISBLANK(AQ20:AQ24), ISBLANK(W20:W24),ISBLANK(AU20:AU24)), "·", bdRateExtend( S20:S24,W20:W24, AQ20:AQ24,AU20:AU24))</f>
        <v>0</v>
      </c>
      <c r="BQ20" s="58">
        <f>IF( OR(ISBLANK(S20:S24),ISBLANK(AQ20:AQ24), ISBLANK(X20:X24),ISBLANK(AV20:AV24)), "·", bdRateExtend( S20:S24,X20:X24, AQ20:AQ24,AV20:AV24))</f>
        <v>0</v>
      </c>
      <c r="BR20" s="58">
        <f>IF( OR(ISBLANK(S20:S24),ISBLANK(AQ20:AQ24), ISBLANK(Y20:Y24),ISBLANK(AW20:AW24)), "·", bdRateExtend( S20:S24,Y20:Y24, AQ20:AQ24,AW20:AW24))</f>
        <v>0</v>
      </c>
      <c r="BS20" s="58">
        <f>IF( OR(ISBLANK(S20:S24),ISBLANK(AQ20:AQ24), ISBLANK(Z20:Z24),ISBLANK(AX20:AX24)), "·", bdRateExtend( S20:S24,Z20:Z24, AQ20:AQ24,AX20:AX24))</f>
        <v>0</v>
      </c>
      <c r="BT20" s="58">
        <f>IF( OR(ISBLANK(S20:S24),ISBLANK(AQ20:AQ24), ISBLANK(AA20:AA24),ISBLANK(AY20:AY24)), "·", bdRateExtend( S20:S24,AA20:AA24, AQ20:AQ24,AY20:AY24))</f>
        <v>0</v>
      </c>
    </row>
    <row r="21" spans="1:72" outlineLevel="1" x14ac:dyDescent="0.3">
      <c r="A21" s="129"/>
      <c r="B21" s="129" t="s">
        <v>70</v>
      </c>
      <c r="C21" s="10" t="s">
        <v>235</v>
      </c>
      <c r="D21" s="129">
        <v>250602891</v>
      </c>
      <c r="E21" s="10">
        <v>10</v>
      </c>
      <c r="F21" s="10">
        <v>32</v>
      </c>
      <c r="G21" s="10">
        <v>50</v>
      </c>
      <c r="I21" s="11">
        <f t="shared" si="0"/>
        <v>8.5603125000000002</v>
      </c>
      <c r="J21" s="12">
        <f t="shared" si="1"/>
        <v>2.1861679161554445E-2</v>
      </c>
      <c r="K21" s="12">
        <f t="shared" si="2"/>
        <v>9.2720718054286142E-3</v>
      </c>
      <c r="L21" s="12">
        <f t="shared" si="3"/>
        <v>5.1814885088456546E-3</v>
      </c>
      <c r="M21" s="12">
        <f t="shared" si="4"/>
        <v>1.2589607356125831E-2</v>
      </c>
      <c r="N21" s="129">
        <f t="shared" si="5"/>
        <v>2323608</v>
      </c>
      <c r="O21" s="12">
        <v>16</v>
      </c>
      <c r="P21" s="13">
        <v>31582378</v>
      </c>
      <c r="Q21" s="13">
        <v>986949.3125</v>
      </c>
      <c r="R21" s="13">
        <v>33974.84375</v>
      </c>
      <c r="S21" s="14">
        <v>5478600</v>
      </c>
      <c r="T21" s="14">
        <v>1298496</v>
      </c>
      <c r="U21" s="14">
        <v>1025112</v>
      </c>
      <c r="V21" s="14">
        <v>3154992</v>
      </c>
      <c r="W21" s="15">
        <v>68.689700000000002</v>
      </c>
      <c r="X21" s="15">
        <v>70.776862499999993</v>
      </c>
      <c r="Y21" s="15">
        <v>32.775312499999998</v>
      </c>
      <c r="Z21" s="15">
        <v>40.710103125000003</v>
      </c>
      <c r="AA21" s="15">
        <v>39.676637499999998</v>
      </c>
      <c r="AB21" s="16">
        <v>3845.8</v>
      </c>
      <c r="AC21" s="16">
        <v>2055.19</v>
      </c>
      <c r="AD21" s="16">
        <v>8.2110000000000003</v>
      </c>
      <c r="AE21" s="16">
        <v>29.704999999999998</v>
      </c>
      <c r="AG21" s="11">
        <f t="shared" si="6"/>
        <v>8.5603125000000002</v>
      </c>
      <c r="AH21" s="12">
        <f t="shared" si="7"/>
        <v>2.1861679161554445E-2</v>
      </c>
      <c r="AI21" s="12">
        <f t="shared" si="8"/>
        <v>9.2720718054286142E-3</v>
      </c>
      <c r="AJ21" s="12">
        <f t="shared" si="9"/>
        <v>5.1814885088456546E-3</v>
      </c>
      <c r="AK21" s="12">
        <f t="shared" si="10"/>
        <v>1.2589607356125831E-2</v>
      </c>
      <c r="AL21" s="129">
        <f t="shared" si="11"/>
        <v>2323608</v>
      </c>
      <c r="AM21" s="12">
        <v>16</v>
      </c>
      <c r="AN21" s="13">
        <v>31582378</v>
      </c>
      <c r="AO21" s="13">
        <v>986949.3125</v>
      </c>
      <c r="AP21" s="13">
        <v>33974.84375</v>
      </c>
      <c r="AQ21" s="14">
        <v>5478600</v>
      </c>
      <c r="AR21" s="14">
        <v>1298496</v>
      </c>
      <c r="AS21" s="14">
        <v>1025112</v>
      </c>
      <c r="AT21" s="14">
        <v>3154992</v>
      </c>
      <c r="AU21" s="15">
        <v>68.689700000000002</v>
      </c>
      <c r="AV21" s="15">
        <v>70.776862499999993</v>
      </c>
      <c r="AW21" s="15">
        <v>32.775312499999998</v>
      </c>
      <c r="AX21" s="15">
        <v>40.710103125000003</v>
      </c>
      <c r="AY21" s="15">
        <v>39.676637499999998</v>
      </c>
      <c r="AZ21" s="16">
        <v>3470.27</v>
      </c>
      <c r="BA21" s="16">
        <v>1701.25</v>
      </c>
      <c r="BB21" s="16">
        <v>7.7359999999999998</v>
      </c>
      <c r="BC21" s="16">
        <v>27.306000000000001</v>
      </c>
      <c r="BE21" s="62">
        <f t="shared" si="12"/>
        <v>1</v>
      </c>
      <c r="BF21" s="17">
        <f t="shared" si="13"/>
        <v>0</v>
      </c>
      <c r="BG21" s="17">
        <f t="shared" si="14"/>
        <v>0</v>
      </c>
      <c r="BH21" s="17"/>
      <c r="BJ21" s="62"/>
      <c r="BK21" s="62"/>
      <c r="BL21" s="62"/>
      <c r="BM21" s="62"/>
      <c r="BN21" s="62"/>
      <c r="BP21" s="62"/>
      <c r="BQ21" s="62"/>
      <c r="BR21" s="62"/>
      <c r="BS21" s="62"/>
      <c r="BT21" s="62"/>
    </row>
    <row r="22" spans="1:72" outlineLevel="1" x14ac:dyDescent="0.3">
      <c r="A22" s="18"/>
      <c r="B22" s="18" t="s">
        <v>70</v>
      </c>
      <c r="C22" s="19" t="s">
        <v>236</v>
      </c>
      <c r="D22" s="18">
        <v>250602891</v>
      </c>
      <c r="E22" s="19">
        <v>10</v>
      </c>
      <c r="F22" s="19">
        <v>32</v>
      </c>
      <c r="G22" s="19">
        <v>50</v>
      </c>
      <c r="I22" s="20">
        <f t="shared" si="0"/>
        <v>14.11645</v>
      </c>
      <c r="J22" s="21">
        <f t="shared" si="1"/>
        <v>3.6051172290745837E-2</v>
      </c>
      <c r="K22" s="21">
        <f t="shared" si="2"/>
        <v>1.139482465108513E-2</v>
      </c>
      <c r="L22" s="21">
        <f t="shared" si="3"/>
        <v>7.3042413545021711E-3</v>
      </c>
      <c r="M22" s="21">
        <f t="shared" si="4"/>
        <v>2.4656347639660708E-2</v>
      </c>
      <c r="N22" s="18">
        <f t="shared" si="5"/>
        <v>2855576</v>
      </c>
      <c r="O22" s="21">
        <v>16</v>
      </c>
      <c r="P22" s="22">
        <v>32909154</v>
      </c>
      <c r="Q22" s="22">
        <v>1028411.0625</v>
      </c>
      <c r="R22" s="22">
        <v>36202.71875</v>
      </c>
      <c r="S22" s="23">
        <v>9034528</v>
      </c>
      <c r="T22" s="23">
        <v>1830464</v>
      </c>
      <c r="U22" s="23">
        <v>1025112</v>
      </c>
      <c r="V22" s="23">
        <v>6178952</v>
      </c>
      <c r="W22" s="24">
        <v>69.860375000000005</v>
      </c>
      <c r="X22" s="24">
        <v>72.275009374999996</v>
      </c>
      <c r="Y22" s="24">
        <v>34.622159375000003</v>
      </c>
      <c r="Z22" s="24">
        <v>41.74589375</v>
      </c>
      <c r="AA22" s="24">
        <v>40.753165625000001</v>
      </c>
      <c r="AB22" s="25">
        <v>3854.32</v>
      </c>
      <c r="AC22" s="25">
        <v>2160.36</v>
      </c>
      <c r="AD22" s="25">
        <v>7.9809999999999999</v>
      </c>
      <c r="AE22" s="25">
        <v>29.048999999999999</v>
      </c>
      <c r="AG22" s="20">
        <f t="shared" si="6"/>
        <v>14.11645</v>
      </c>
      <c r="AH22" s="21">
        <f t="shared" si="7"/>
        <v>3.6051172290745837E-2</v>
      </c>
      <c r="AI22" s="21">
        <f t="shared" si="8"/>
        <v>1.139482465108513E-2</v>
      </c>
      <c r="AJ22" s="21">
        <f t="shared" si="9"/>
        <v>7.3042413545021711E-3</v>
      </c>
      <c r="AK22" s="21">
        <f t="shared" si="10"/>
        <v>2.4656347639660708E-2</v>
      </c>
      <c r="AL22" s="18">
        <f t="shared" si="11"/>
        <v>2855576</v>
      </c>
      <c r="AM22" s="21">
        <v>16</v>
      </c>
      <c r="AN22" s="22">
        <v>32909154</v>
      </c>
      <c r="AO22" s="22">
        <v>1028411.0625</v>
      </c>
      <c r="AP22" s="22">
        <v>36202.71875</v>
      </c>
      <c r="AQ22" s="23">
        <v>9034528</v>
      </c>
      <c r="AR22" s="23">
        <v>1830464</v>
      </c>
      <c r="AS22" s="23">
        <v>1025112</v>
      </c>
      <c r="AT22" s="23">
        <v>6178952</v>
      </c>
      <c r="AU22" s="24">
        <v>69.860375000000005</v>
      </c>
      <c r="AV22" s="24">
        <v>72.275009374999996</v>
      </c>
      <c r="AW22" s="24">
        <v>34.622159375000003</v>
      </c>
      <c r="AX22" s="24">
        <v>41.74589375</v>
      </c>
      <c r="AY22" s="24">
        <v>40.753165625000001</v>
      </c>
      <c r="AZ22" s="25">
        <v>3468.69</v>
      </c>
      <c r="BA22" s="25">
        <v>1800.72</v>
      </c>
      <c r="BB22" s="25">
        <v>7.92</v>
      </c>
      <c r="BC22" s="25">
        <v>28.120999999999999</v>
      </c>
      <c r="BE22" s="58">
        <f t="shared" si="12"/>
        <v>1</v>
      </c>
      <c r="BF22" s="26">
        <f t="shared" si="13"/>
        <v>0</v>
      </c>
      <c r="BG22" s="26">
        <f t="shared" si="14"/>
        <v>0</v>
      </c>
      <c r="BH22" s="26"/>
      <c r="BJ22" s="58"/>
      <c r="BK22" s="58"/>
      <c r="BL22" s="58"/>
      <c r="BM22" s="58"/>
      <c r="BN22" s="58"/>
      <c r="BP22" s="58"/>
      <c r="BQ22" s="58"/>
      <c r="BR22" s="58"/>
      <c r="BS22" s="58"/>
      <c r="BT22" s="58"/>
    </row>
    <row r="23" spans="1:72" outlineLevel="1" x14ac:dyDescent="0.3">
      <c r="A23" s="129"/>
      <c r="B23" s="129" t="s">
        <v>70</v>
      </c>
      <c r="C23" s="10" t="s">
        <v>237</v>
      </c>
      <c r="D23" s="129">
        <v>250602891</v>
      </c>
      <c r="E23" s="10">
        <v>10</v>
      </c>
      <c r="F23" s="10">
        <v>32</v>
      </c>
      <c r="G23" s="10">
        <v>50</v>
      </c>
      <c r="I23" s="11">
        <f t="shared" si="0"/>
        <v>24.542887499999999</v>
      </c>
      <c r="J23" s="12">
        <f t="shared" si="1"/>
        <v>6.2678638451940286E-2</v>
      </c>
      <c r="K23" s="12">
        <f t="shared" si="2"/>
        <v>1.504078418632449E-2</v>
      </c>
      <c r="L23" s="12">
        <f t="shared" si="3"/>
        <v>1.0950200889741531E-2</v>
      </c>
      <c r="M23" s="12">
        <f t="shared" si="4"/>
        <v>4.7637854265615794E-2</v>
      </c>
      <c r="N23" s="129">
        <f t="shared" si="5"/>
        <v>3769264</v>
      </c>
      <c r="O23" s="12">
        <v>16</v>
      </c>
      <c r="P23" s="13">
        <v>32973039</v>
      </c>
      <c r="Q23" s="13">
        <v>1030407.46875</v>
      </c>
      <c r="R23" s="13">
        <v>38213.75</v>
      </c>
      <c r="S23" s="14">
        <v>15707448</v>
      </c>
      <c r="T23" s="14">
        <v>2744152</v>
      </c>
      <c r="U23" s="14">
        <v>1025112</v>
      </c>
      <c r="V23" s="14">
        <v>11938184</v>
      </c>
      <c r="W23" s="15">
        <v>70.864631250000002</v>
      </c>
      <c r="X23" s="15">
        <v>73.600171875000001</v>
      </c>
      <c r="Y23" s="15">
        <v>36.269293750000003</v>
      </c>
      <c r="Z23" s="15">
        <v>42.923159374999997</v>
      </c>
      <c r="AA23" s="15">
        <v>41.827609375000002</v>
      </c>
      <c r="AB23" s="16">
        <v>3842.77</v>
      </c>
      <c r="AC23" s="16">
        <v>2384.1799999999998</v>
      </c>
      <c r="AD23" s="16">
        <v>8.516</v>
      </c>
      <c r="AE23" s="16">
        <v>31.602</v>
      </c>
      <c r="AG23" s="11">
        <f t="shared" si="6"/>
        <v>24.542887499999999</v>
      </c>
      <c r="AH23" s="12">
        <f t="shared" si="7"/>
        <v>6.2678638451940286E-2</v>
      </c>
      <c r="AI23" s="12">
        <f t="shared" si="8"/>
        <v>1.504078418632449E-2</v>
      </c>
      <c r="AJ23" s="12">
        <f t="shared" si="9"/>
        <v>1.0950200889741531E-2</v>
      </c>
      <c r="AK23" s="12">
        <f t="shared" si="10"/>
        <v>4.7637854265615794E-2</v>
      </c>
      <c r="AL23" s="129">
        <f t="shared" si="11"/>
        <v>3769264</v>
      </c>
      <c r="AM23" s="12">
        <v>16</v>
      </c>
      <c r="AN23" s="13">
        <v>32973039</v>
      </c>
      <c r="AO23" s="13">
        <v>1030407.46875</v>
      </c>
      <c r="AP23" s="13">
        <v>38213.75</v>
      </c>
      <c r="AQ23" s="14">
        <v>15707448</v>
      </c>
      <c r="AR23" s="14">
        <v>2744152</v>
      </c>
      <c r="AS23" s="14">
        <v>1025112</v>
      </c>
      <c r="AT23" s="14">
        <v>11938184</v>
      </c>
      <c r="AU23" s="15">
        <v>70.864631250000002</v>
      </c>
      <c r="AV23" s="15">
        <v>73.600171875000001</v>
      </c>
      <c r="AW23" s="15">
        <v>36.269293750000003</v>
      </c>
      <c r="AX23" s="15">
        <v>42.923159374999997</v>
      </c>
      <c r="AY23" s="15">
        <v>41.827609375000002</v>
      </c>
      <c r="AZ23" s="16">
        <v>3458.19</v>
      </c>
      <c r="BA23" s="16">
        <v>1961.5</v>
      </c>
      <c r="BB23" s="16">
        <v>8.0790000000000006</v>
      </c>
      <c r="BC23" s="16">
        <v>29.503</v>
      </c>
      <c r="BE23" s="62">
        <f t="shared" si="12"/>
        <v>1</v>
      </c>
      <c r="BF23" s="17">
        <f t="shared" si="13"/>
        <v>0</v>
      </c>
      <c r="BG23" s="17">
        <f t="shared" si="14"/>
        <v>0</v>
      </c>
      <c r="BH23" s="17"/>
      <c r="BJ23" s="62"/>
      <c r="BK23" s="62"/>
      <c r="BL23" s="62"/>
      <c r="BM23" s="62"/>
      <c r="BN23" s="62"/>
      <c r="BP23" s="62"/>
      <c r="BQ23" s="62"/>
      <c r="BR23" s="62"/>
      <c r="BS23" s="62"/>
      <c r="BT23" s="62"/>
    </row>
    <row r="24" spans="1:72" outlineLevel="1" x14ac:dyDescent="0.3">
      <c r="A24" s="37"/>
      <c r="B24" s="37" t="s">
        <v>70</v>
      </c>
      <c r="C24" s="38" t="s">
        <v>238</v>
      </c>
      <c r="D24" s="37">
        <v>250602891</v>
      </c>
      <c r="E24" s="38">
        <v>10</v>
      </c>
      <c r="F24" s="38">
        <v>32</v>
      </c>
      <c r="G24" s="38">
        <v>50</v>
      </c>
      <c r="I24" s="39">
        <f t="shared" si="0"/>
        <v>41.649324999999997</v>
      </c>
      <c r="J24" s="40">
        <f t="shared" si="1"/>
        <v>0.10636576415233773</v>
      </c>
      <c r="K24" s="40">
        <f t="shared" si="2"/>
        <v>2.4666499158623033E-2</v>
      </c>
      <c r="L24" s="40">
        <f t="shared" si="3"/>
        <v>1.7018925771291282E-2</v>
      </c>
      <c r="M24" s="40">
        <f t="shared" si="4"/>
        <v>8.1699264993714701E-2</v>
      </c>
      <c r="N24" s="37">
        <f t="shared" si="5"/>
        <v>6181496</v>
      </c>
      <c r="O24" s="40">
        <v>16</v>
      </c>
      <c r="P24" s="41">
        <v>31585827</v>
      </c>
      <c r="Q24" s="41">
        <v>987057.09375</v>
      </c>
      <c r="R24" s="41">
        <v>18895.875</v>
      </c>
      <c r="S24" s="42">
        <v>26655568</v>
      </c>
      <c r="T24" s="42">
        <v>4264992</v>
      </c>
      <c r="U24" s="42">
        <v>1916504</v>
      </c>
      <c r="V24" s="42">
        <v>20474072</v>
      </c>
      <c r="W24" s="43">
        <v>71.821934374999998</v>
      </c>
      <c r="X24" s="43">
        <v>75.648462499999994</v>
      </c>
      <c r="Y24" s="43">
        <v>37.268446875000002</v>
      </c>
      <c r="Z24" s="43">
        <v>43.765675000000002</v>
      </c>
      <c r="AA24" s="43">
        <v>42.375665625000003</v>
      </c>
      <c r="AB24" s="44">
        <v>3836.78</v>
      </c>
      <c r="AC24" s="44">
        <v>2609.3200000000002</v>
      </c>
      <c r="AD24" s="44">
        <v>8.4139999999999997</v>
      </c>
      <c r="AE24" s="44">
        <v>33.770000000000003</v>
      </c>
      <c r="AG24" s="39">
        <f t="shared" si="6"/>
        <v>41.649324999999997</v>
      </c>
      <c r="AH24" s="40">
        <f t="shared" si="7"/>
        <v>0.10636576415233773</v>
      </c>
      <c r="AI24" s="40">
        <f t="shared" si="8"/>
        <v>2.4666499158623033E-2</v>
      </c>
      <c r="AJ24" s="40">
        <f t="shared" si="9"/>
        <v>1.7018925771291282E-2</v>
      </c>
      <c r="AK24" s="40">
        <f t="shared" si="10"/>
        <v>8.1699264993714701E-2</v>
      </c>
      <c r="AL24" s="37">
        <f t="shared" si="11"/>
        <v>6181496</v>
      </c>
      <c r="AM24" s="40">
        <v>16</v>
      </c>
      <c r="AN24" s="41">
        <v>31585827</v>
      </c>
      <c r="AO24" s="41">
        <v>987057.09375</v>
      </c>
      <c r="AP24" s="41">
        <v>18895.875</v>
      </c>
      <c r="AQ24" s="42">
        <v>26655568</v>
      </c>
      <c r="AR24" s="42">
        <v>4264992</v>
      </c>
      <c r="AS24" s="42">
        <v>1916504</v>
      </c>
      <c r="AT24" s="42">
        <v>20474072</v>
      </c>
      <c r="AU24" s="43">
        <v>71.821934374999998</v>
      </c>
      <c r="AV24" s="43">
        <v>75.648462499999994</v>
      </c>
      <c r="AW24" s="43">
        <v>37.268446875000002</v>
      </c>
      <c r="AX24" s="43">
        <v>43.765675000000002</v>
      </c>
      <c r="AY24" s="43">
        <v>42.375665625000003</v>
      </c>
      <c r="AZ24" s="44">
        <v>3471.88</v>
      </c>
      <c r="BA24" s="44">
        <v>2206.5700000000002</v>
      </c>
      <c r="BB24" s="44">
        <v>7.9550000000000001</v>
      </c>
      <c r="BC24" s="44">
        <v>30.911999999999999</v>
      </c>
      <c r="BE24" s="45">
        <f t="shared" si="12"/>
        <v>1</v>
      </c>
      <c r="BF24" s="46">
        <f t="shared" si="13"/>
        <v>0</v>
      </c>
      <c r="BG24" s="46">
        <f t="shared" si="14"/>
        <v>0</v>
      </c>
      <c r="BH24" s="46"/>
      <c r="BJ24" s="45"/>
      <c r="BK24" s="45"/>
      <c r="BL24" s="45"/>
      <c r="BM24" s="45"/>
      <c r="BN24" s="45"/>
      <c r="BP24" s="45"/>
      <c r="BQ24" s="45"/>
      <c r="BR24" s="45"/>
      <c r="BS24" s="45"/>
      <c r="BT24" s="45"/>
    </row>
    <row r="25" spans="1:72" x14ac:dyDescent="0.3">
      <c r="A25" s="129" t="s">
        <v>239</v>
      </c>
      <c r="B25" s="129" t="s">
        <v>73</v>
      </c>
      <c r="C25" s="10" t="s">
        <v>234</v>
      </c>
      <c r="D25" s="129">
        <v>250294582</v>
      </c>
      <c r="E25" s="10">
        <v>10</v>
      </c>
      <c r="F25" s="10">
        <v>32</v>
      </c>
      <c r="G25" s="10">
        <v>30</v>
      </c>
      <c r="I25" s="11">
        <f t="shared" si="0"/>
        <v>4.7110500000000002</v>
      </c>
      <c r="J25" s="12">
        <f t="shared" si="1"/>
        <v>2.0076822917405378E-2</v>
      </c>
      <c r="K25" s="12">
        <f t="shared" si="2"/>
        <v>7.098547582624062E-3</v>
      </c>
      <c r="L25" s="12">
        <f t="shared" si="3"/>
        <v>3.8066505171094754E-3</v>
      </c>
      <c r="M25" s="12">
        <f t="shared" si="4"/>
        <v>1.2978275334781318E-2</v>
      </c>
      <c r="N25" s="129">
        <f t="shared" si="5"/>
        <v>1776728</v>
      </c>
      <c r="O25" s="12">
        <v>16</v>
      </c>
      <c r="P25" s="13">
        <v>22943592</v>
      </c>
      <c r="Q25" s="13">
        <v>716987.25</v>
      </c>
      <c r="R25" s="13">
        <v>17447.78125</v>
      </c>
      <c r="S25" s="14">
        <v>5025120</v>
      </c>
      <c r="T25" s="14">
        <v>952784</v>
      </c>
      <c r="U25" s="14">
        <v>823944</v>
      </c>
      <c r="V25" s="14">
        <v>3248392</v>
      </c>
      <c r="W25" s="15">
        <v>66.187425000000005</v>
      </c>
      <c r="X25" s="15">
        <v>68.040975000000003</v>
      </c>
      <c r="Y25" s="15">
        <v>27.491956250000001</v>
      </c>
      <c r="Z25" s="15">
        <v>33.266903124999999</v>
      </c>
      <c r="AA25" s="15">
        <v>32.715625000000003</v>
      </c>
      <c r="AB25" s="16">
        <v>2957.19</v>
      </c>
      <c r="AC25" s="16">
        <v>1748.04</v>
      </c>
      <c r="AD25" s="16">
        <v>7.3230000000000004</v>
      </c>
      <c r="AE25" s="16">
        <v>28.155999999999999</v>
      </c>
      <c r="AG25" s="11">
        <f t="shared" si="6"/>
        <v>4.7110500000000002</v>
      </c>
      <c r="AH25" s="12">
        <f t="shared" si="7"/>
        <v>2.0076822917405378E-2</v>
      </c>
      <c r="AI25" s="12">
        <f t="shared" si="8"/>
        <v>7.098547582624062E-3</v>
      </c>
      <c r="AJ25" s="12">
        <f t="shared" si="9"/>
        <v>3.8066505171094754E-3</v>
      </c>
      <c r="AK25" s="12">
        <f t="shared" si="10"/>
        <v>1.2978275334781318E-2</v>
      </c>
      <c r="AL25" s="129">
        <f t="shared" si="11"/>
        <v>1776728</v>
      </c>
      <c r="AM25" s="12">
        <v>16</v>
      </c>
      <c r="AN25" s="13">
        <v>22943592</v>
      </c>
      <c r="AO25" s="13">
        <v>716987.25</v>
      </c>
      <c r="AP25" s="13">
        <v>17447.78125</v>
      </c>
      <c r="AQ25" s="14">
        <v>5025120</v>
      </c>
      <c r="AR25" s="14">
        <v>952784</v>
      </c>
      <c r="AS25" s="14">
        <v>823944</v>
      </c>
      <c r="AT25" s="14">
        <v>3248392</v>
      </c>
      <c r="AU25" s="15">
        <v>66.187425000000005</v>
      </c>
      <c r="AV25" s="15">
        <v>68.040975000000003</v>
      </c>
      <c r="AW25" s="15">
        <v>27.491956250000001</v>
      </c>
      <c r="AX25" s="15">
        <v>33.266903124999999</v>
      </c>
      <c r="AY25" s="15">
        <v>32.715625000000003</v>
      </c>
      <c r="AZ25" s="16">
        <v>2679.96</v>
      </c>
      <c r="BA25" s="16">
        <v>1417.44</v>
      </c>
      <c r="BB25" s="16">
        <v>6.3170000000000002</v>
      </c>
      <c r="BC25" s="16">
        <v>24.215</v>
      </c>
      <c r="BE25" s="62">
        <f t="shared" si="12"/>
        <v>1</v>
      </c>
      <c r="BF25" s="17">
        <f t="shared" si="13"/>
        <v>0</v>
      </c>
      <c r="BG25" s="17">
        <f t="shared" si="14"/>
        <v>0</v>
      </c>
      <c r="BH25" s="17">
        <f t="array" ref="BH25">AVERAGE(AL25:AL29/AQ25:AQ29) - AVERAGE(N25:N29/S25:S29)</f>
        <v>0</v>
      </c>
      <c r="BJ25" s="62">
        <f>IF( OR(ISBLANK(N25:N29),ISBLANK(AL25:AL29), ISBLANK(W25:W29),ISBLANK(AU25:AU29)), "·", bdRateExtend( N25:N29,W25:W29, AL25:AL29,AU25:AU29))</f>
        <v>0</v>
      </c>
      <c r="BK25" s="62">
        <f>IF( OR(ISBLANK(N25:N29),ISBLANK(AL25:AL29), ISBLANK(X25:X29),ISBLANK(AV25:AV29)), "·", bdRateExtend( N25:N29,X25:X29, AL25:AL29,AV25:AV29))</f>
        <v>0</v>
      </c>
      <c r="BL25" s="62">
        <f>IF( OR(ISBLANK(V25:V29),ISBLANK(AT25:AT29), ISBLANK(Y25:Y29),ISBLANK(AW25:AW29)), "·", bdRateExtend( V25:V29,Y25:Y29, AT25:AT29,AW25:AW29))</f>
        <v>0</v>
      </c>
      <c r="BM25" s="62">
        <f>IF( OR(ISBLANK(V25:V29),ISBLANK(AT25:AT29), ISBLANK(Z25:Z29),ISBLANK(AX25:AX29)), "·", bdRateExtend( V25:V29,Z25:Z29, AT25:AT29,AX25:AX29))</f>
        <v>0</v>
      </c>
      <c r="BN25" s="62">
        <f>IF( OR(ISBLANK(V25:V29),ISBLANK(AT25:AT29), ISBLANK(AA25:AA29),ISBLANK(AY25:AY29)), "·", bdRateExtend( V25:V29,AA25:AA29, AT25:AT29,AY25:AY29))</f>
        <v>0</v>
      </c>
      <c r="BP25" s="62">
        <f>IF( OR(ISBLANK(S25:S29),ISBLANK(AQ25:AQ29), ISBLANK(W25:W29),ISBLANK(AU25:AU29)), "·", bdRateExtend( S25:S29,W25:W29, AQ25:AQ29,AU25:AU29))</f>
        <v>0</v>
      </c>
      <c r="BQ25" s="62">
        <f>IF( OR(ISBLANK(S25:S29),ISBLANK(AQ25:AQ29), ISBLANK(X25:X29),ISBLANK(AV25:AV29)), "·", bdRateExtend( S25:S29,X25:X29, AQ25:AQ29,AV25:AV29))</f>
        <v>0</v>
      </c>
      <c r="BR25" s="62">
        <f>IF( OR(ISBLANK(S25:S29),ISBLANK(AQ25:AQ29), ISBLANK(Y25:Y29),ISBLANK(AW25:AW29)), "·", bdRateExtend( S25:S29,Y25:Y29, AQ25:AQ29,AW25:AW29))</f>
        <v>0</v>
      </c>
      <c r="BS25" s="62">
        <f>IF( OR(ISBLANK(S25:S29),ISBLANK(AQ25:AQ29), ISBLANK(Z25:Z29),ISBLANK(AX25:AX29)), "·", bdRateExtend( S25:S29,Z25:Z29, AQ25:AQ29,AX25:AX29))</f>
        <v>0</v>
      </c>
      <c r="BT25" s="62">
        <f>IF( OR(ISBLANK(S25:S29),ISBLANK(AQ25:AQ29), ISBLANK(AA25:AA29),ISBLANK(AY25:AY29)), "·", bdRateExtend( S25:S29,AA25:AA29, AQ25:AQ29,AY25:AY29))</f>
        <v>0</v>
      </c>
    </row>
    <row r="26" spans="1:72" outlineLevel="1" x14ac:dyDescent="0.3">
      <c r="A26" s="18"/>
      <c r="B26" s="18" t="s">
        <v>73</v>
      </c>
      <c r="C26" s="19" t="s">
        <v>235</v>
      </c>
      <c r="D26" s="18">
        <v>250294582</v>
      </c>
      <c r="E26" s="19">
        <v>10</v>
      </c>
      <c r="F26" s="19">
        <v>32</v>
      </c>
      <c r="G26" s="19">
        <v>30</v>
      </c>
      <c r="I26" s="20">
        <f t="shared" si="0"/>
        <v>8.1165299999999991</v>
      </c>
      <c r="J26" s="21">
        <f t="shared" si="1"/>
        <v>3.4589769905606665E-2</v>
      </c>
      <c r="K26" s="21">
        <f t="shared" si="2"/>
        <v>8.5742487226511364E-3</v>
      </c>
      <c r="L26" s="21">
        <f t="shared" si="3"/>
        <v>5.2823516571365494E-3</v>
      </c>
      <c r="M26" s="21">
        <f t="shared" si="4"/>
        <v>2.6015521182955529E-2</v>
      </c>
      <c r="N26" s="18">
        <f t="shared" si="5"/>
        <v>2146088</v>
      </c>
      <c r="O26" s="21">
        <v>16</v>
      </c>
      <c r="P26" s="22">
        <v>24910184</v>
      </c>
      <c r="Q26" s="22">
        <v>778443.25</v>
      </c>
      <c r="R26" s="22">
        <v>22975.59375</v>
      </c>
      <c r="S26" s="23">
        <v>8657632</v>
      </c>
      <c r="T26" s="23">
        <v>1322144</v>
      </c>
      <c r="U26" s="23">
        <v>823944</v>
      </c>
      <c r="V26" s="23">
        <v>6511544</v>
      </c>
      <c r="W26" s="24">
        <v>68.021196875000001</v>
      </c>
      <c r="X26" s="24">
        <v>70.010321875000002</v>
      </c>
      <c r="Y26" s="24">
        <v>29.910575000000001</v>
      </c>
      <c r="Z26" s="24">
        <v>34.458906249999998</v>
      </c>
      <c r="AA26" s="24">
        <v>34.045993750000001</v>
      </c>
      <c r="AB26" s="25">
        <v>2968.51</v>
      </c>
      <c r="AC26" s="25">
        <v>1845.86</v>
      </c>
      <c r="AD26" s="25">
        <v>7.8159999999999998</v>
      </c>
      <c r="AE26" s="25">
        <v>30.004000000000001</v>
      </c>
      <c r="AG26" s="20">
        <f t="shared" si="6"/>
        <v>8.1165299999999991</v>
      </c>
      <c r="AH26" s="21">
        <f t="shared" si="7"/>
        <v>3.4589769905606665E-2</v>
      </c>
      <c r="AI26" s="21">
        <f t="shared" si="8"/>
        <v>8.5742487226511364E-3</v>
      </c>
      <c r="AJ26" s="21">
        <f t="shared" si="9"/>
        <v>5.2823516571365494E-3</v>
      </c>
      <c r="AK26" s="21">
        <f t="shared" si="10"/>
        <v>2.6015521182955529E-2</v>
      </c>
      <c r="AL26" s="18">
        <f t="shared" si="11"/>
        <v>2146088</v>
      </c>
      <c r="AM26" s="21">
        <v>16</v>
      </c>
      <c r="AN26" s="22">
        <v>24910184</v>
      </c>
      <c r="AO26" s="22">
        <v>778443.25</v>
      </c>
      <c r="AP26" s="22">
        <v>22975.59375</v>
      </c>
      <c r="AQ26" s="23">
        <v>8657632</v>
      </c>
      <c r="AR26" s="23">
        <v>1322144</v>
      </c>
      <c r="AS26" s="23">
        <v>823944</v>
      </c>
      <c r="AT26" s="23">
        <v>6511544</v>
      </c>
      <c r="AU26" s="24">
        <v>68.021196875000001</v>
      </c>
      <c r="AV26" s="24">
        <v>70.010321875000002</v>
      </c>
      <c r="AW26" s="24">
        <v>29.910575000000001</v>
      </c>
      <c r="AX26" s="24">
        <v>34.458906249999998</v>
      </c>
      <c r="AY26" s="24">
        <v>34.045993750000001</v>
      </c>
      <c r="AZ26" s="25">
        <v>2669.18</v>
      </c>
      <c r="BA26" s="25">
        <v>1504.83</v>
      </c>
      <c r="BB26" s="25">
        <v>6.6660000000000004</v>
      </c>
      <c r="BC26" s="25">
        <v>24.57</v>
      </c>
      <c r="BE26" s="58">
        <f t="shared" si="12"/>
        <v>1</v>
      </c>
      <c r="BF26" s="26">
        <f t="shared" si="13"/>
        <v>0</v>
      </c>
      <c r="BG26" s="26">
        <f t="shared" si="14"/>
        <v>0</v>
      </c>
      <c r="BH26" s="26"/>
      <c r="BJ26" s="58"/>
      <c r="BK26" s="58"/>
      <c r="BL26" s="58"/>
      <c r="BM26" s="58"/>
      <c r="BN26" s="58"/>
      <c r="BP26" s="58"/>
      <c r="BQ26" s="58"/>
      <c r="BR26" s="58"/>
      <c r="BS26" s="58"/>
      <c r="BT26" s="58"/>
    </row>
    <row r="27" spans="1:72" outlineLevel="1" x14ac:dyDescent="0.3">
      <c r="A27" s="129"/>
      <c r="B27" s="129" t="s">
        <v>73</v>
      </c>
      <c r="C27" s="10" t="s">
        <v>236</v>
      </c>
      <c r="D27" s="129">
        <v>250294582</v>
      </c>
      <c r="E27" s="10">
        <v>10</v>
      </c>
      <c r="F27" s="10">
        <v>32</v>
      </c>
      <c r="G27" s="10">
        <v>30</v>
      </c>
      <c r="I27" s="11">
        <f t="shared" si="0"/>
        <v>14.675625</v>
      </c>
      <c r="J27" s="12">
        <f t="shared" si="1"/>
        <v>6.2542304651244912E-2</v>
      </c>
      <c r="K27" s="12">
        <f t="shared" si="2"/>
        <v>1.072467481537415E-2</v>
      </c>
      <c r="L27" s="12">
        <f t="shared" si="3"/>
        <v>7.4327777498595631E-3</v>
      </c>
      <c r="M27" s="12">
        <f t="shared" si="4"/>
        <v>5.1817629835870758E-2</v>
      </c>
      <c r="N27" s="129">
        <f t="shared" si="5"/>
        <v>2684328</v>
      </c>
      <c r="O27" s="12">
        <v>16</v>
      </c>
      <c r="P27" s="13">
        <v>25263909</v>
      </c>
      <c r="Q27" s="13">
        <v>789497.15625</v>
      </c>
      <c r="R27" s="13">
        <v>24359.125</v>
      </c>
      <c r="S27" s="14">
        <v>15654000</v>
      </c>
      <c r="T27" s="14">
        <v>1860384</v>
      </c>
      <c r="U27" s="14">
        <v>823944</v>
      </c>
      <c r="V27" s="14">
        <v>12969672</v>
      </c>
      <c r="W27" s="15">
        <v>69.396028125000001</v>
      </c>
      <c r="X27" s="15">
        <v>71.756512499999999</v>
      </c>
      <c r="Y27" s="15">
        <v>32.412637500000002</v>
      </c>
      <c r="Z27" s="15">
        <v>35.724253124999997</v>
      </c>
      <c r="AA27" s="15">
        <v>35.390587500000002</v>
      </c>
      <c r="AB27" s="16">
        <v>2957.6</v>
      </c>
      <c r="AC27" s="16">
        <v>1987.14</v>
      </c>
      <c r="AD27" s="16">
        <v>7.3920000000000003</v>
      </c>
      <c r="AE27" s="16">
        <v>29.222999999999999</v>
      </c>
      <c r="AG27" s="11">
        <f t="shared" si="6"/>
        <v>14.675625</v>
      </c>
      <c r="AH27" s="12">
        <f t="shared" si="7"/>
        <v>6.2542304651244912E-2</v>
      </c>
      <c r="AI27" s="12">
        <f t="shared" si="8"/>
        <v>1.072467481537415E-2</v>
      </c>
      <c r="AJ27" s="12">
        <f t="shared" si="9"/>
        <v>7.4327777498595631E-3</v>
      </c>
      <c r="AK27" s="12">
        <f t="shared" si="10"/>
        <v>5.1817629835870758E-2</v>
      </c>
      <c r="AL27" s="129">
        <f t="shared" si="11"/>
        <v>2684328</v>
      </c>
      <c r="AM27" s="12">
        <v>16</v>
      </c>
      <c r="AN27" s="13">
        <v>25263909</v>
      </c>
      <c r="AO27" s="13">
        <v>789497.15625</v>
      </c>
      <c r="AP27" s="13">
        <v>24359.125</v>
      </c>
      <c r="AQ27" s="14">
        <v>15654000</v>
      </c>
      <c r="AR27" s="14">
        <v>1860384</v>
      </c>
      <c r="AS27" s="14">
        <v>823944</v>
      </c>
      <c r="AT27" s="14">
        <v>12969672</v>
      </c>
      <c r="AU27" s="15">
        <v>69.396028125000001</v>
      </c>
      <c r="AV27" s="15">
        <v>71.756512499999999</v>
      </c>
      <c r="AW27" s="15">
        <v>32.412637500000002</v>
      </c>
      <c r="AX27" s="15">
        <v>35.724253124999997</v>
      </c>
      <c r="AY27" s="15">
        <v>35.390587500000002</v>
      </c>
      <c r="AZ27" s="16">
        <v>2714.28</v>
      </c>
      <c r="BA27" s="16">
        <v>1661.21</v>
      </c>
      <c r="BB27" s="16">
        <v>6.82</v>
      </c>
      <c r="BC27" s="16">
        <v>26.073</v>
      </c>
      <c r="BE27" s="62">
        <f t="shared" si="12"/>
        <v>1</v>
      </c>
      <c r="BF27" s="17">
        <f t="shared" si="13"/>
        <v>0</v>
      </c>
      <c r="BG27" s="17">
        <f t="shared" si="14"/>
        <v>0</v>
      </c>
      <c r="BH27" s="17"/>
      <c r="BJ27" s="62"/>
      <c r="BK27" s="62"/>
      <c r="BL27" s="62"/>
      <c r="BM27" s="62"/>
      <c r="BN27" s="62"/>
      <c r="BP27" s="62"/>
      <c r="BQ27" s="62"/>
      <c r="BR27" s="62"/>
      <c r="BS27" s="62"/>
      <c r="BT27" s="62"/>
    </row>
    <row r="28" spans="1:72" outlineLevel="1" x14ac:dyDescent="0.3">
      <c r="A28" s="18"/>
      <c r="B28" s="18" t="s">
        <v>73</v>
      </c>
      <c r="C28" s="19" t="s">
        <v>237</v>
      </c>
      <c r="D28" s="18">
        <v>250294582</v>
      </c>
      <c r="E28" s="19">
        <v>10</v>
      </c>
      <c r="F28" s="19">
        <v>32</v>
      </c>
      <c r="G28" s="19">
        <v>30</v>
      </c>
      <c r="I28" s="20">
        <f t="shared" si="0"/>
        <v>27.831105000000001</v>
      </c>
      <c r="J28" s="21">
        <f t="shared" si="1"/>
        <v>0.11860629088647233</v>
      </c>
      <c r="K28" s="21">
        <f t="shared" si="2"/>
        <v>1.4290648928229698E-2</v>
      </c>
      <c r="L28" s="21">
        <f t="shared" si="3"/>
        <v>1.099875186271511E-2</v>
      </c>
      <c r="M28" s="21">
        <f t="shared" si="4"/>
        <v>0.10431564195824262</v>
      </c>
      <c r="N28" s="18">
        <f t="shared" si="5"/>
        <v>3576872</v>
      </c>
      <c r="O28" s="21">
        <v>16</v>
      </c>
      <c r="P28" s="22">
        <v>26191171</v>
      </c>
      <c r="Q28" s="22">
        <v>818474.09375</v>
      </c>
      <c r="R28" s="22">
        <v>27712.03125</v>
      </c>
      <c r="S28" s="23">
        <v>29686512</v>
      </c>
      <c r="T28" s="23">
        <v>2752928</v>
      </c>
      <c r="U28" s="23">
        <v>823944</v>
      </c>
      <c r="V28" s="23">
        <v>26109640</v>
      </c>
      <c r="W28" s="24">
        <v>70.477684374999995</v>
      </c>
      <c r="X28" s="24">
        <v>73.046309375000007</v>
      </c>
      <c r="Y28" s="24">
        <v>34.881718749999997</v>
      </c>
      <c r="Z28" s="24">
        <v>37.544387499999999</v>
      </c>
      <c r="AA28" s="24">
        <v>37.153168749999999</v>
      </c>
      <c r="AB28" s="25">
        <v>2966.19</v>
      </c>
      <c r="AC28" s="25">
        <v>2275.63</v>
      </c>
      <c r="AD28" s="25">
        <v>7.4880000000000004</v>
      </c>
      <c r="AE28" s="25">
        <v>30.942</v>
      </c>
      <c r="AG28" s="20">
        <f t="shared" si="6"/>
        <v>27.831105000000001</v>
      </c>
      <c r="AH28" s="21">
        <f t="shared" si="7"/>
        <v>0.11860629088647233</v>
      </c>
      <c r="AI28" s="21">
        <f t="shared" si="8"/>
        <v>1.4290648928229698E-2</v>
      </c>
      <c r="AJ28" s="21">
        <f t="shared" si="9"/>
        <v>1.099875186271511E-2</v>
      </c>
      <c r="AK28" s="21">
        <f t="shared" si="10"/>
        <v>0.10431564195824262</v>
      </c>
      <c r="AL28" s="18">
        <f t="shared" si="11"/>
        <v>3576872</v>
      </c>
      <c r="AM28" s="21">
        <v>16</v>
      </c>
      <c r="AN28" s="22">
        <v>26191171</v>
      </c>
      <c r="AO28" s="22">
        <v>818474.09375</v>
      </c>
      <c r="AP28" s="22">
        <v>27712.03125</v>
      </c>
      <c r="AQ28" s="23">
        <v>29686512</v>
      </c>
      <c r="AR28" s="23">
        <v>2752928</v>
      </c>
      <c r="AS28" s="23">
        <v>823944</v>
      </c>
      <c r="AT28" s="23">
        <v>26109640</v>
      </c>
      <c r="AU28" s="24">
        <v>70.477684374999995</v>
      </c>
      <c r="AV28" s="24">
        <v>73.046309375000007</v>
      </c>
      <c r="AW28" s="24">
        <v>34.881718749999997</v>
      </c>
      <c r="AX28" s="24">
        <v>37.544387499999999</v>
      </c>
      <c r="AY28" s="24">
        <v>37.153168749999999</v>
      </c>
      <c r="AZ28" s="25">
        <v>2978.51</v>
      </c>
      <c r="BA28" s="25">
        <v>2281.52</v>
      </c>
      <c r="BB28" s="25">
        <v>8.4369999999999994</v>
      </c>
      <c r="BC28" s="25">
        <v>32.79</v>
      </c>
      <c r="BE28" s="58">
        <f t="shared" si="12"/>
        <v>1</v>
      </c>
      <c r="BF28" s="26">
        <f t="shared" si="13"/>
        <v>0</v>
      </c>
      <c r="BG28" s="26">
        <f t="shared" si="14"/>
        <v>0</v>
      </c>
      <c r="BH28" s="26"/>
      <c r="BJ28" s="58"/>
      <c r="BK28" s="58"/>
      <c r="BL28" s="58"/>
      <c r="BM28" s="58"/>
      <c r="BN28" s="58"/>
      <c r="BP28" s="58"/>
      <c r="BQ28" s="58"/>
      <c r="BR28" s="58"/>
      <c r="BS28" s="58"/>
      <c r="BT28" s="58"/>
    </row>
    <row r="29" spans="1:72" outlineLevel="1" x14ac:dyDescent="0.3">
      <c r="A29" s="27"/>
      <c r="B29" s="27" t="s">
        <v>73</v>
      </c>
      <c r="C29" s="28" t="s">
        <v>238</v>
      </c>
      <c r="D29" s="27">
        <v>250294582</v>
      </c>
      <c r="E29" s="28">
        <v>10</v>
      </c>
      <c r="F29" s="28">
        <v>32</v>
      </c>
      <c r="G29" s="28">
        <v>30</v>
      </c>
      <c r="I29" s="29">
        <f t="shared" si="0"/>
        <v>48.696195000000003</v>
      </c>
      <c r="J29" s="30">
        <f t="shared" si="1"/>
        <v>0.20752589842316282</v>
      </c>
      <c r="K29" s="30">
        <f t="shared" si="2"/>
        <v>2.2846455381922731E-2</v>
      </c>
      <c r="L29" s="30">
        <f t="shared" si="3"/>
        <v>1.6767730114110101E-2</v>
      </c>
      <c r="M29" s="30">
        <f t="shared" si="4"/>
        <v>0.18467944304124009</v>
      </c>
      <c r="N29" s="27">
        <f t="shared" si="5"/>
        <v>5718344</v>
      </c>
      <c r="O29" s="30">
        <v>16</v>
      </c>
      <c r="P29" s="31">
        <v>25065053</v>
      </c>
      <c r="Q29" s="31">
        <v>783282.90625</v>
      </c>
      <c r="R29" s="31">
        <v>12457.90625</v>
      </c>
      <c r="S29" s="32">
        <v>51942608</v>
      </c>
      <c r="T29" s="32">
        <v>4196872</v>
      </c>
      <c r="U29" s="32">
        <v>1521472</v>
      </c>
      <c r="V29" s="32">
        <v>46224264</v>
      </c>
      <c r="W29" s="33">
        <v>71.463462500000006</v>
      </c>
      <c r="X29" s="33">
        <v>74.903981250000001</v>
      </c>
      <c r="Y29" s="33">
        <v>36.552803124999997</v>
      </c>
      <c r="Z29" s="33">
        <v>39.618412499999998</v>
      </c>
      <c r="AA29" s="33">
        <v>39.014353125</v>
      </c>
      <c r="AB29" s="34">
        <v>2966.73</v>
      </c>
      <c r="AC29" s="34">
        <v>2663.15</v>
      </c>
      <c r="AD29" s="34">
        <v>7.673</v>
      </c>
      <c r="AE29" s="34">
        <v>33.841000000000001</v>
      </c>
      <c r="AG29" s="29">
        <f t="shared" si="6"/>
        <v>48.696195000000003</v>
      </c>
      <c r="AH29" s="30">
        <f t="shared" si="7"/>
        <v>0.20752589842316282</v>
      </c>
      <c r="AI29" s="30">
        <f t="shared" si="8"/>
        <v>2.2846455381922731E-2</v>
      </c>
      <c r="AJ29" s="30">
        <f t="shared" si="9"/>
        <v>1.6767730114110101E-2</v>
      </c>
      <c r="AK29" s="30">
        <f t="shared" si="10"/>
        <v>0.18467944304124009</v>
      </c>
      <c r="AL29" s="27">
        <f t="shared" si="11"/>
        <v>5718344</v>
      </c>
      <c r="AM29" s="30">
        <v>16</v>
      </c>
      <c r="AN29" s="31">
        <v>25065053</v>
      </c>
      <c r="AO29" s="31">
        <v>783282.90625</v>
      </c>
      <c r="AP29" s="31">
        <v>12457.90625</v>
      </c>
      <c r="AQ29" s="32">
        <v>51942608</v>
      </c>
      <c r="AR29" s="32">
        <v>4196872</v>
      </c>
      <c r="AS29" s="32">
        <v>1521472</v>
      </c>
      <c r="AT29" s="32">
        <v>46224264</v>
      </c>
      <c r="AU29" s="33">
        <v>71.463462500000006</v>
      </c>
      <c r="AV29" s="33">
        <v>74.903981250000001</v>
      </c>
      <c r="AW29" s="33">
        <v>36.552803124999997</v>
      </c>
      <c r="AX29" s="33">
        <v>39.618412499999998</v>
      </c>
      <c r="AY29" s="33">
        <v>39.014353125</v>
      </c>
      <c r="AZ29" s="34">
        <v>3005.44</v>
      </c>
      <c r="BA29" s="34">
        <v>2658.73</v>
      </c>
      <c r="BB29" s="34">
        <v>7.8179999999999996</v>
      </c>
      <c r="BC29" s="34">
        <v>35.572000000000003</v>
      </c>
      <c r="BE29" s="35">
        <f t="shared" si="12"/>
        <v>1</v>
      </c>
      <c r="BF29" s="36">
        <f t="shared" si="13"/>
        <v>0</v>
      </c>
      <c r="BG29" s="36">
        <f t="shared" si="14"/>
        <v>0</v>
      </c>
      <c r="BH29" s="36"/>
      <c r="BJ29" s="35"/>
      <c r="BK29" s="35"/>
      <c r="BL29" s="35"/>
      <c r="BM29" s="35"/>
      <c r="BN29" s="35"/>
      <c r="BP29" s="35"/>
      <c r="BQ29" s="35"/>
      <c r="BR29" s="35"/>
      <c r="BS29" s="35"/>
      <c r="BT29" s="35"/>
    </row>
    <row r="30" spans="1:72" x14ac:dyDescent="0.3">
      <c r="A30" s="18" t="s">
        <v>240</v>
      </c>
      <c r="B30" s="18" t="s">
        <v>77</v>
      </c>
      <c r="C30" s="19" t="s">
        <v>234</v>
      </c>
      <c r="D30" s="18">
        <v>375422539</v>
      </c>
      <c r="E30" s="19">
        <v>11</v>
      </c>
      <c r="F30" s="19">
        <v>128</v>
      </c>
      <c r="G30" s="19">
        <v>30</v>
      </c>
      <c r="I30" s="20">
        <f t="shared" si="0"/>
        <v>1.4680949999999999</v>
      </c>
      <c r="J30" s="21">
        <f t="shared" si="1"/>
        <v>1.6684858657354081E-2</v>
      </c>
      <c r="K30" s="21">
        <f t="shared" si="2"/>
        <v>1.0253747711188966E-2</v>
      </c>
      <c r="L30" s="21">
        <f t="shared" si="3"/>
        <v>6.2302279618859004E-3</v>
      </c>
      <c r="M30" s="21">
        <f t="shared" si="4"/>
        <v>6.4311109461651153E-3</v>
      </c>
      <c r="N30" s="18">
        <f t="shared" si="5"/>
        <v>3849488</v>
      </c>
      <c r="O30" s="21">
        <v>16</v>
      </c>
      <c r="P30" s="22">
        <v>83986838</v>
      </c>
      <c r="Q30" s="22">
        <v>2624588.6875</v>
      </c>
      <c r="R30" s="22">
        <v>36067.4375</v>
      </c>
      <c r="S30" s="23">
        <v>6263872</v>
      </c>
      <c r="T30" s="23">
        <v>2338968</v>
      </c>
      <c r="U30" s="23">
        <v>1510520</v>
      </c>
      <c r="V30" s="23">
        <v>2414384</v>
      </c>
      <c r="W30" s="24">
        <v>73.438640625000005</v>
      </c>
      <c r="X30" s="24">
        <v>75.689187500000003</v>
      </c>
      <c r="Y30" s="24">
        <v>34.83245625</v>
      </c>
      <c r="Z30" s="24">
        <v>42.178990624999997</v>
      </c>
      <c r="AA30" s="24">
        <v>43.843743750000002</v>
      </c>
      <c r="AB30" s="25">
        <v>10570.9</v>
      </c>
      <c r="AC30" s="25">
        <v>5017.01</v>
      </c>
      <c r="AD30" s="25">
        <v>23.709</v>
      </c>
      <c r="AE30" s="25">
        <v>84.506</v>
      </c>
      <c r="AG30" s="20">
        <f t="shared" si="6"/>
        <v>1.4680949999999999</v>
      </c>
      <c r="AH30" s="21">
        <f t="shared" si="7"/>
        <v>1.6684858657354081E-2</v>
      </c>
      <c r="AI30" s="21">
        <f t="shared" si="8"/>
        <v>1.0253747711188966E-2</v>
      </c>
      <c r="AJ30" s="21">
        <f t="shared" si="9"/>
        <v>6.2302279618859004E-3</v>
      </c>
      <c r="AK30" s="21">
        <f t="shared" si="10"/>
        <v>6.4311109461651153E-3</v>
      </c>
      <c r="AL30" s="18">
        <f t="shared" si="11"/>
        <v>3849488</v>
      </c>
      <c r="AM30" s="21">
        <v>16</v>
      </c>
      <c r="AN30" s="22">
        <v>83986838</v>
      </c>
      <c r="AO30" s="22">
        <v>2624588.6875</v>
      </c>
      <c r="AP30" s="22">
        <v>36067.4375</v>
      </c>
      <c r="AQ30" s="23">
        <v>6263872</v>
      </c>
      <c r="AR30" s="23">
        <v>2338968</v>
      </c>
      <c r="AS30" s="23">
        <v>1510520</v>
      </c>
      <c r="AT30" s="23">
        <v>2414384</v>
      </c>
      <c r="AU30" s="24">
        <v>73.438640625000005</v>
      </c>
      <c r="AV30" s="24">
        <v>75.689187500000003</v>
      </c>
      <c r="AW30" s="24">
        <v>34.83245625</v>
      </c>
      <c r="AX30" s="24">
        <v>42.178990624999997</v>
      </c>
      <c r="AY30" s="24">
        <v>43.843743750000002</v>
      </c>
      <c r="AZ30" s="25">
        <v>9929.4599999999991</v>
      </c>
      <c r="BA30" s="25">
        <v>4543.67</v>
      </c>
      <c r="BB30" s="25">
        <v>23.166</v>
      </c>
      <c r="BC30" s="25">
        <v>80.501999999999995</v>
      </c>
      <c r="BE30" s="58">
        <f t="shared" si="12"/>
        <v>1</v>
      </c>
      <c r="BF30" s="26">
        <f t="shared" si="13"/>
        <v>0</v>
      </c>
      <c r="BG30" s="26">
        <f t="shared" si="14"/>
        <v>0</v>
      </c>
      <c r="BH30" s="26">
        <f t="array" ref="BH30">AVERAGE(AL30:AL34/AQ30:AQ34) - AVERAGE(N30:N34/S30:S34)</f>
        <v>0</v>
      </c>
      <c r="BJ30" s="58">
        <f>IF( OR(ISBLANK(N30:N34),ISBLANK(AL30:AL34), ISBLANK(W30:W34),ISBLANK(AU30:AU34)), "·", bdRateExtend( N30:N34,W30:W34, AL30:AL34,AU30:AU34))</f>
        <v>0</v>
      </c>
      <c r="BK30" s="58">
        <f>IF( OR(ISBLANK(N30:N34),ISBLANK(AL30:AL34), ISBLANK(X30:X34),ISBLANK(AV30:AV34)), "·", bdRateExtend( N30:N34,X30:X34, AL30:AL34,AV30:AV34))</f>
        <v>0</v>
      </c>
      <c r="BL30" s="58">
        <f>IF( OR(ISBLANK(V30:V34),ISBLANK(AT30:AT34), ISBLANK(Y30:Y34),ISBLANK(AW30:AW34)), "·", bdRateExtend( V30:V34,Y30:Y34, AT30:AT34,AW30:AW34))</f>
        <v>0</v>
      </c>
      <c r="BM30" s="58">
        <f>IF( OR(ISBLANK(V30:V34),ISBLANK(AT30:AT34), ISBLANK(Z30:Z34),ISBLANK(AX30:AX34)), "·", bdRateExtend( V30:V34,Z30:Z34, AT30:AT34,AX30:AX34))</f>
        <v>0</v>
      </c>
      <c r="BN30" s="58">
        <f>IF( OR(ISBLANK(V30:V34),ISBLANK(AT30:AT34), ISBLANK(AA30:AA34),ISBLANK(AY30:AY34)), "·", bdRateExtend( V30:V34,AA30:AA34, AT30:AT34,AY30:AY34))</f>
        <v>0</v>
      </c>
      <c r="BP30" s="58">
        <f>IF( OR(ISBLANK(S30:S34),ISBLANK(AQ30:AQ34), ISBLANK(W30:W34),ISBLANK(AU30:AU34)), "·", bdRateExtend( S30:S34,W30:W34, AQ30:AQ34,AU30:AU34))</f>
        <v>0</v>
      </c>
      <c r="BQ30" s="58">
        <f>IF( OR(ISBLANK(S30:S34),ISBLANK(AQ30:AQ34), ISBLANK(X30:X34),ISBLANK(AV30:AV34)), "·", bdRateExtend( S30:S34,X30:X34, AQ30:AQ34,AV30:AV34))</f>
        <v>0</v>
      </c>
      <c r="BR30" s="58">
        <f>IF( OR(ISBLANK(S30:S34),ISBLANK(AQ30:AQ34), ISBLANK(Y30:Y34),ISBLANK(AW30:AW34)), "·", bdRateExtend( S30:S34,Y30:Y34, AQ30:AQ34,AW30:AW34))</f>
        <v>0</v>
      </c>
      <c r="BS30" s="58">
        <f>IF( OR(ISBLANK(S30:S34),ISBLANK(AQ30:AQ34), ISBLANK(Z30:Z34),ISBLANK(AX30:AX34)), "·", bdRateExtend( S30:S34,Z30:Z34, AQ30:AQ34,AX30:AX34))</f>
        <v>0</v>
      </c>
      <c r="BT30" s="58">
        <f>IF( OR(ISBLANK(S30:S34),ISBLANK(AQ30:AQ34), ISBLANK(AA30:AA34),ISBLANK(AY30:AY34)), "·", bdRateExtend( S30:S34,AA30:AA34, AQ30:AQ34,AY30:AY34))</f>
        <v>0</v>
      </c>
    </row>
    <row r="31" spans="1:72" outlineLevel="1" x14ac:dyDescent="0.3">
      <c r="A31" s="129"/>
      <c r="B31" s="129" t="s">
        <v>77</v>
      </c>
      <c r="C31" s="10" t="s">
        <v>235</v>
      </c>
      <c r="D31" s="129">
        <v>375422539</v>
      </c>
      <c r="E31" s="10">
        <v>11</v>
      </c>
      <c r="F31" s="10">
        <v>128</v>
      </c>
      <c r="G31" s="10">
        <v>30</v>
      </c>
      <c r="I31" s="11">
        <f t="shared" si="0"/>
        <v>2.0950593749999999</v>
      </c>
      <c r="J31" s="12">
        <f t="shared" si="1"/>
        <v>2.3810291262240917E-2</v>
      </c>
      <c r="K31" s="12">
        <f t="shared" si="2"/>
        <v>1.2460669016997938E-2</v>
      </c>
      <c r="L31" s="12">
        <f t="shared" si="3"/>
        <v>8.4371492676948729E-3</v>
      </c>
      <c r="M31" s="12">
        <f t="shared" si="4"/>
        <v>1.1349622245242979E-2</v>
      </c>
      <c r="N31" s="129">
        <f t="shared" si="5"/>
        <v>4678016</v>
      </c>
      <c r="O31" s="12">
        <v>16</v>
      </c>
      <c r="P31" s="13">
        <v>90216046</v>
      </c>
      <c r="Q31" s="13">
        <v>2819251.4375</v>
      </c>
      <c r="R31" s="13">
        <v>46714.59375</v>
      </c>
      <c r="S31" s="14">
        <v>8938920</v>
      </c>
      <c r="T31" s="14">
        <v>3167496</v>
      </c>
      <c r="U31" s="14">
        <v>1510520</v>
      </c>
      <c r="V31" s="14">
        <v>4260904</v>
      </c>
      <c r="W31" s="15">
        <v>75.184793749999997</v>
      </c>
      <c r="X31" s="15">
        <v>77.557371875000001</v>
      </c>
      <c r="Y31" s="15">
        <v>36.748503124999999</v>
      </c>
      <c r="Z31" s="15">
        <v>42.694615624999997</v>
      </c>
      <c r="AA31" s="15">
        <v>45.031428124999998</v>
      </c>
      <c r="AB31" s="16">
        <v>10631.4</v>
      </c>
      <c r="AC31" s="16">
        <v>5347.3</v>
      </c>
      <c r="AD31" s="16">
        <v>25.292000000000002</v>
      </c>
      <c r="AE31" s="16">
        <v>85.603999999999999</v>
      </c>
      <c r="AG31" s="11">
        <f t="shared" si="6"/>
        <v>2.0950593749999999</v>
      </c>
      <c r="AH31" s="12">
        <f t="shared" si="7"/>
        <v>2.3810291262240917E-2</v>
      </c>
      <c r="AI31" s="12">
        <f t="shared" si="8"/>
        <v>1.2460669016997938E-2</v>
      </c>
      <c r="AJ31" s="12">
        <f t="shared" si="9"/>
        <v>8.4371492676948729E-3</v>
      </c>
      <c r="AK31" s="12">
        <f t="shared" si="10"/>
        <v>1.1349622245242979E-2</v>
      </c>
      <c r="AL31" s="129">
        <f t="shared" si="11"/>
        <v>4678016</v>
      </c>
      <c r="AM31" s="12">
        <v>16</v>
      </c>
      <c r="AN31" s="13">
        <v>90216046</v>
      </c>
      <c r="AO31" s="13">
        <v>2819251.4375</v>
      </c>
      <c r="AP31" s="13">
        <v>46714.59375</v>
      </c>
      <c r="AQ31" s="14">
        <v>8938920</v>
      </c>
      <c r="AR31" s="14">
        <v>3167496</v>
      </c>
      <c r="AS31" s="14">
        <v>1510520</v>
      </c>
      <c r="AT31" s="14">
        <v>4260904</v>
      </c>
      <c r="AU31" s="15">
        <v>75.184793749999997</v>
      </c>
      <c r="AV31" s="15">
        <v>77.557371875000001</v>
      </c>
      <c r="AW31" s="15">
        <v>36.748503124999999</v>
      </c>
      <c r="AX31" s="15">
        <v>42.694615624999997</v>
      </c>
      <c r="AY31" s="15">
        <v>45.031428124999998</v>
      </c>
      <c r="AZ31" s="16">
        <v>11090.9</v>
      </c>
      <c r="BA31" s="16">
        <v>5736.45</v>
      </c>
      <c r="BB31" s="16">
        <v>27.637</v>
      </c>
      <c r="BC31" s="16">
        <v>95.649000000000001</v>
      </c>
      <c r="BE31" s="62">
        <f t="shared" si="12"/>
        <v>1</v>
      </c>
      <c r="BF31" s="17">
        <f t="shared" si="13"/>
        <v>0</v>
      </c>
      <c r="BG31" s="17">
        <f t="shared" si="14"/>
        <v>0</v>
      </c>
      <c r="BH31" s="17"/>
      <c r="BJ31" s="62"/>
      <c r="BK31" s="62"/>
      <c r="BL31" s="62"/>
      <c r="BM31" s="62"/>
      <c r="BN31" s="62"/>
      <c r="BP31" s="62"/>
      <c r="BQ31" s="62"/>
      <c r="BR31" s="62"/>
      <c r="BS31" s="62"/>
      <c r="BT31" s="62"/>
    </row>
    <row r="32" spans="1:72" outlineLevel="1" x14ac:dyDescent="0.3">
      <c r="A32" s="18"/>
      <c r="B32" s="18" t="s">
        <v>77</v>
      </c>
      <c r="C32" s="19" t="s">
        <v>236</v>
      </c>
      <c r="D32" s="18">
        <v>375422539</v>
      </c>
      <c r="E32" s="19">
        <v>11</v>
      </c>
      <c r="F32" s="19">
        <v>128</v>
      </c>
      <c r="G32" s="19">
        <v>30</v>
      </c>
      <c r="I32" s="20">
        <f t="shared" si="0"/>
        <v>3.2605837499999999</v>
      </c>
      <c r="J32" s="21">
        <f t="shared" si="1"/>
        <v>3.7056443220101924E-2</v>
      </c>
      <c r="K32" s="21">
        <f t="shared" si="2"/>
        <v>1.5524139854586621E-2</v>
      </c>
      <c r="L32" s="21">
        <f t="shared" si="3"/>
        <v>1.1500620105283556E-2</v>
      </c>
      <c r="M32" s="21">
        <f t="shared" si="4"/>
        <v>2.1532303365515301E-2</v>
      </c>
      <c r="N32" s="18">
        <f t="shared" si="5"/>
        <v>5828112</v>
      </c>
      <c r="O32" s="21">
        <v>16</v>
      </c>
      <c r="P32" s="22">
        <v>92192453</v>
      </c>
      <c r="Q32" s="22">
        <v>2881014.15625</v>
      </c>
      <c r="R32" s="22">
        <v>50959.4375</v>
      </c>
      <c r="S32" s="23">
        <v>13911824</v>
      </c>
      <c r="T32" s="23">
        <v>4317592</v>
      </c>
      <c r="U32" s="23">
        <v>1510520</v>
      </c>
      <c r="V32" s="23">
        <v>8083712</v>
      </c>
      <c r="W32" s="24">
        <v>76.497259374999999</v>
      </c>
      <c r="X32" s="24">
        <v>79.127428124999994</v>
      </c>
      <c r="Y32" s="24">
        <v>38.508981249999998</v>
      </c>
      <c r="Z32" s="24">
        <v>43.221375000000002</v>
      </c>
      <c r="AA32" s="24">
        <v>46.249678125000003</v>
      </c>
      <c r="AB32" s="25">
        <v>10602.2</v>
      </c>
      <c r="AC32" s="25">
        <v>5438.41</v>
      </c>
      <c r="AD32" s="25">
        <v>25.521999999999998</v>
      </c>
      <c r="AE32" s="25">
        <v>87.876000000000005</v>
      </c>
      <c r="AG32" s="20">
        <f t="shared" si="6"/>
        <v>3.2605837499999999</v>
      </c>
      <c r="AH32" s="21">
        <f t="shared" si="7"/>
        <v>3.7056443220101924E-2</v>
      </c>
      <c r="AI32" s="21">
        <f t="shared" si="8"/>
        <v>1.5524139854586621E-2</v>
      </c>
      <c r="AJ32" s="21">
        <f t="shared" si="9"/>
        <v>1.1500620105283556E-2</v>
      </c>
      <c r="AK32" s="21">
        <f t="shared" si="10"/>
        <v>2.1532303365515301E-2</v>
      </c>
      <c r="AL32" s="18">
        <f t="shared" si="11"/>
        <v>5828112</v>
      </c>
      <c r="AM32" s="21">
        <v>16</v>
      </c>
      <c r="AN32" s="22">
        <v>92192453</v>
      </c>
      <c r="AO32" s="22">
        <v>2881014.15625</v>
      </c>
      <c r="AP32" s="22">
        <v>50959.4375</v>
      </c>
      <c r="AQ32" s="23">
        <v>13911824</v>
      </c>
      <c r="AR32" s="23">
        <v>4317592</v>
      </c>
      <c r="AS32" s="23">
        <v>1510520</v>
      </c>
      <c r="AT32" s="23">
        <v>8083712</v>
      </c>
      <c r="AU32" s="24">
        <v>76.497259374999999</v>
      </c>
      <c r="AV32" s="24">
        <v>79.127428124999994</v>
      </c>
      <c r="AW32" s="24">
        <v>38.508981249999998</v>
      </c>
      <c r="AX32" s="24">
        <v>43.221375000000002</v>
      </c>
      <c r="AY32" s="24">
        <v>46.249678125000003</v>
      </c>
      <c r="AZ32" s="25">
        <v>11091.2</v>
      </c>
      <c r="BA32" s="25">
        <v>5950.42</v>
      </c>
      <c r="BB32" s="25">
        <v>27.274000000000001</v>
      </c>
      <c r="BC32" s="25">
        <v>94.546000000000006</v>
      </c>
      <c r="BE32" s="58">
        <f t="shared" si="12"/>
        <v>1</v>
      </c>
      <c r="BF32" s="26">
        <f t="shared" si="13"/>
        <v>0</v>
      </c>
      <c r="BG32" s="26">
        <f t="shared" si="14"/>
        <v>0</v>
      </c>
      <c r="BH32" s="26"/>
      <c r="BJ32" s="58"/>
      <c r="BK32" s="58"/>
      <c r="BL32" s="58"/>
      <c r="BM32" s="58"/>
      <c r="BN32" s="58"/>
      <c r="BP32" s="58"/>
      <c r="BQ32" s="58"/>
      <c r="BR32" s="58"/>
      <c r="BS32" s="58"/>
      <c r="BT32" s="58"/>
    </row>
    <row r="33" spans="1:72" outlineLevel="1" x14ac:dyDescent="0.3">
      <c r="A33" s="129"/>
      <c r="B33" s="129" t="s">
        <v>77</v>
      </c>
      <c r="C33" s="10" t="s">
        <v>237</v>
      </c>
      <c r="D33" s="129">
        <v>375422539</v>
      </c>
      <c r="E33" s="10">
        <v>11</v>
      </c>
      <c r="F33" s="10">
        <v>128</v>
      </c>
      <c r="G33" s="10">
        <v>30</v>
      </c>
      <c r="I33" s="11">
        <f t="shared" si="0"/>
        <v>5.4414262500000001</v>
      </c>
      <c r="J33" s="12">
        <f t="shared" si="1"/>
        <v>6.1841657301241575E-2</v>
      </c>
      <c r="K33" s="12">
        <f t="shared" si="2"/>
        <v>2.0531937215415828E-2</v>
      </c>
      <c r="L33" s="12">
        <f t="shared" si="3"/>
        <v>1.6508417466112764E-2</v>
      </c>
      <c r="M33" s="12">
        <f t="shared" si="4"/>
        <v>4.130972008582575E-2</v>
      </c>
      <c r="N33" s="129">
        <f t="shared" si="5"/>
        <v>7708152</v>
      </c>
      <c r="O33" s="12">
        <v>16</v>
      </c>
      <c r="P33" s="13">
        <v>94727116</v>
      </c>
      <c r="Q33" s="13">
        <v>2960222.375</v>
      </c>
      <c r="R33" s="13">
        <v>57308.34375</v>
      </c>
      <c r="S33" s="14">
        <v>23216752</v>
      </c>
      <c r="T33" s="14">
        <v>6197632</v>
      </c>
      <c r="U33" s="14">
        <v>1510520</v>
      </c>
      <c r="V33" s="14">
        <v>15508600</v>
      </c>
      <c r="W33" s="15">
        <v>77.576215625000003</v>
      </c>
      <c r="X33" s="15">
        <v>80.305187500000002</v>
      </c>
      <c r="Y33" s="15">
        <v>40.082990625000001</v>
      </c>
      <c r="Z33" s="15">
        <v>43.922809375</v>
      </c>
      <c r="AA33" s="15">
        <v>47.874537500000002</v>
      </c>
      <c r="AB33" s="16">
        <v>10658.6</v>
      </c>
      <c r="AC33" s="16">
        <v>5863.55</v>
      </c>
      <c r="AD33" s="16">
        <v>25.222999999999999</v>
      </c>
      <c r="AE33" s="16">
        <v>90.570999999999998</v>
      </c>
      <c r="AG33" s="11">
        <f t="shared" si="6"/>
        <v>5.4414262500000001</v>
      </c>
      <c r="AH33" s="12">
        <f t="shared" si="7"/>
        <v>6.1841657301241575E-2</v>
      </c>
      <c r="AI33" s="12">
        <f t="shared" si="8"/>
        <v>2.0531937215415828E-2</v>
      </c>
      <c r="AJ33" s="12">
        <f t="shared" si="9"/>
        <v>1.6508417466112764E-2</v>
      </c>
      <c r="AK33" s="12">
        <f t="shared" si="10"/>
        <v>4.130972008582575E-2</v>
      </c>
      <c r="AL33" s="129">
        <f t="shared" si="11"/>
        <v>7708152</v>
      </c>
      <c r="AM33" s="12">
        <v>16</v>
      </c>
      <c r="AN33" s="13">
        <v>94727116</v>
      </c>
      <c r="AO33" s="13">
        <v>2960222.375</v>
      </c>
      <c r="AP33" s="13">
        <v>57308.34375</v>
      </c>
      <c r="AQ33" s="14">
        <v>23216752</v>
      </c>
      <c r="AR33" s="14">
        <v>6197632</v>
      </c>
      <c r="AS33" s="14">
        <v>1510520</v>
      </c>
      <c r="AT33" s="14">
        <v>15508600</v>
      </c>
      <c r="AU33" s="15">
        <v>77.576215625000003</v>
      </c>
      <c r="AV33" s="15">
        <v>80.305187500000002</v>
      </c>
      <c r="AW33" s="15">
        <v>40.082990625000001</v>
      </c>
      <c r="AX33" s="15">
        <v>43.922809375</v>
      </c>
      <c r="AY33" s="15">
        <v>47.874537500000002</v>
      </c>
      <c r="AZ33" s="16">
        <v>9969.34</v>
      </c>
      <c r="BA33" s="16">
        <v>5179.13</v>
      </c>
      <c r="BB33" s="16">
        <v>24.582999999999998</v>
      </c>
      <c r="BC33" s="16">
        <v>83.953999999999994</v>
      </c>
      <c r="BE33" s="62">
        <f t="shared" si="12"/>
        <v>1</v>
      </c>
      <c r="BF33" s="17">
        <f t="shared" si="13"/>
        <v>0</v>
      </c>
      <c r="BG33" s="17">
        <f t="shared" si="14"/>
        <v>0</v>
      </c>
      <c r="BH33" s="17"/>
      <c r="BJ33" s="62"/>
      <c r="BK33" s="62"/>
      <c r="BL33" s="62"/>
      <c r="BM33" s="62"/>
      <c r="BN33" s="62"/>
      <c r="BP33" s="62"/>
      <c r="BQ33" s="62"/>
      <c r="BR33" s="62"/>
      <c r="BS33" s="62"/>
      <c r="BT33" s="62"/>
    </row>
    <row r="34" spans="1:72" outlineLevel="1" x14ac:dyDescent="0.3">
      <c r="A34" s="18"/>
      <c r="B34" s="37" t="s">
        <v>77</v>
      </c>
      <c r="C34" s="38" t="s">
        <v>238</v>
      </c>
      <c r="D34" s="37">
        <v>375422539</v>
      </c>
      <c r="E34" s="38">
        <v>11</v>
      </c>
      <c r="F34" s="38">
        <v>128</v>
      </c>
      <c r="G34" s="38">
        <v>30</v>
      </c>
      <c r="I34" s="39">
        <f t="shared" si="0"/>
        <v>10.214814375</v>
      </c>
      <c r="J34" s="40">
        <f t="shared" si="1"/>
        <v>0.11609107997642092</v>
      </c>
      <c r="K34" s="40">
        <f t="shared" si="2"/>
        <v>3.2614195281439932E-2</v>
      </c>
      <c r="L34" s="40">
        <f t="shared" si="3"/>
        <v>2.5013713947526203E-2</v>
      </c>
      <c r="M34" s="40">
        <f t="shared" si="4"/>
        <v>8.3476884694980977E-2</v>
      </c>
      <c r="N34" s="37">
        <f t="shared" si="5"/>
        <v>12244104</v>
      </c>
      <c r="O34" s="40">
        <v>16</v>
      </c>
      <c r="P34" s="41">
        <v>92720380</v>
      </c>
      <c r="Q34" s="41">
        <v>2897511.875</v>
      </c>
      <c r="R34" s="41">
        <v>22439.59375</v>
      </c>
      <c r="S34" s="42">
        <v>43583208</v>
      </c>
      <c r="T34" s="42">
        <v>9390712</v>
      </c>
      <c r="U34" s="42">
        <v>2853392</v>
      </c>
      <c r="V34" s="42">
        <v>31339104</v>
      </c>
      <c r="W34" s="43">
        <v>78.686437499999997</v>
      </c>
      <c r="X34" s="43">
        <v>81.996243750000005</v>
      </c>
      <c r="Y34" s="43">
        <v>41.572218749999998</v>
      </c>
      <c r="Z34" s="43">
        <v>44.721618749999998</v>
      </c>
      <c r="AA34" s="43">
        <v>49.279118750000002</v>
      </c>
      <c r="AB34" s="44">
        <v>10658.9</v>
      </c>
      <c r="AC34" s="44">
        <v>6518.05</v>
      </c>
      <c r="AD34" s="44">
        <v>23.913</v>
      </c>
      <c r="AE34" s="44">
        <v>91.738</v>
      </c>
      <c r="AG34" s="39">
        <f t="shared" si="6"/>
        <v>10.214814375</v>
      </c>
      <c r="AH34" s="40">
        <f t="shared" si="7"/>
        <v>0.11609107997642092</v>
      </c>
      <c r="AI34" s="40">
        <f t="shared" si="8"/>
        <v>3.2614195281439932E-2</v>
      </c>
      <c r="AJ34" s="40">
        <f t="shared" si="9"/>
        <v>2.5013713947526203E-2</v>
      </c>
      <c r="AK34" s="40">
        <f t="shared" si="10"/>
        <v>8.3476884694980977E-2</v>
      </c>
      <c r="AL34" s="37">
        <f t="shared" si="11"/>
        <v>12244104</v>
      </c>
      <c r="AM34" s="40">
        <v>16</v>
      </c>
      <c r="AN34" s="41">
        <v>92720380</v>
      </c>
      <c r="AO34" s="41">
        <v>2897511.875</v>
      </c>
      <c r="AP34" s="41">
        <v>22439.59375</v>
      </c>
      <c r="AQ34" s="42">
        <v>43583208</v>
      </c>
      <c r="AR34" s="42">
        <v>9390712</v>
      </c>
      <c r="AS34" s="42">
        <v>2853392</v>
      </c>
      <c r="AT34" s="42">
        <v>31339104</v>
      </c>
      <c r="AU34" s="43">
        <v>78.686437499999997</v>
      </c>
      <c r="AV34" s="43">
        <v>81.996243750000005</v>
      </c>
      <c r="AW34" s="43">
        <v>41.572218749999998</v>
      </c>
      <c r="AX34" s="43">
        <v>44.721618749999998</v>
      </c>
      <c r="AY34" s="43">
        <v>49.279118750000002</v>
      </c>
      <c r="AZ34" s="44">
        <v>8812.7099999999991</v>
      </c>
      <c r="BA34" s="44">
        <v>4676.49</v>
      </c>
      <c r="BB34" s="44">
        <v>21.228999999999999</v>
      </c>
      <c r="BC34" s="44">
        <v>74.923000000000002</v>
      </c>
      <c r="BE34" s="45">
        <f t="shared" si="12"/>
        <v>1</v>
      </c>
      <c r="BF34" s="46">
        <f t="shared" si="13"/>
        <v>0</v>
      </c>
      <c r="BG34" s="46">
        <f t="shared" si="14"/>
        <v>0</v>
      </c>
      <c r="BH34" s="46"/>
      <c r="BJ34" s="45"/>
      <c r="BK34" s="45"/>
      <c r="BL34" s="45"/>
      <c r="BM34" s="45"/>
      <c r="BN34" s="45"/>
      <c r="BP34" s="45"/>
      <c r="BQ34" s="45"/>
      <c r="BR34" s="45"/>
      <c r="BS34" s="45"/>
      <c r="BT34" s="45"/>
    </row>
    <row r="35" spans="1:72" x14ac:dyDescent="0.3">
      <c r="A35" s="129"/>
      <c r="B35" s="129" t="s">
        <v>82</v>
      </c>
      <c r="C35" s="10" t="s">
        <v>234</v>
      </c>
      <c r="D35" s="129">
        <v>333190689</v>
      </c>
      <c r="E35" s="10">
        <v>11</v>
      </c>
      <c r="F35" s="10">
        <v>128</v>
      </c>
      <c r="G35" s="10">
        <v>30</v>
      </c>
      <c r="I35" s="11">
        <f t="shared" si="0"/>
        <v>1.643745</v>
      </c>
      <c r="J35" s="12">
        <f t="shared" si="1"/>
        <v>2.1048943537554855E-2</v>
      </c>
      <c r="K35" s="12">
        <f t="shared" si="2"/>
        <v>1.224672877938675E-2</v>
      </c>
      <c r="L35" s="12">
        <f t="shared" si="3"/>
        <v>7.2577058118211699E-3</v>
      </c>
      <c r="M35" s="12">
        <f t="shared" si="4"/>
        <v>8.8022147581681073E-3</v>
      </c>
      <c r="N35" s="129">
        <f t="shared" si="5"/>
        <v>4080496</v>
      </c>
      <c r="O35" s="12">
        <v>16</v>
      </c>
      <c r="P35" s="13">
        <v>74875104</v>
      </c>
      <c r="Q35" s="13">
        <v>2339847</v>
      </c>
      <c r="R35" s="13">
        <v>36338.28125</v>
      </c>
      <c r="S35" s="14">
        <v>7013312</v>
      </c>
      <c r="T35" s="14">
        <v>2418200</v>
      </c>
      <c r="U35" s="14">
        <v>1662296</v>
      </c>
      <c r="V35" s="14">
        <v>2932816</v>
      </c>
      <c r="W35" s="15">
        <v>73.189878125000007</v>
      </c>
      <c r="X35" s="15">
        <v>75.388459374999996</v>
      </c>
      <c r="Y35" s="15">
        <v>34.069650000000003</v>
      </c>
      <c r="Z35" s="15">
        <v>42.558771874999998</v>
      </c>
      <c r="AA35" s="15">
        <v>44.102331249999999</v>
      </c>
      <c r="AB35" s="16">
        <v>9565.52</v>
      </c>
      <c r="AC35" s="16">
        <v>7224.64</v>
      </c>
      <c r="AD35" s="16">
        <v>22.055</v>
      </c>
      <c r="AE35" s="16">
        <v>115.057</v>
      </c>
      <c r="AG35" s="11">
        <f t="shared" si="6"/>
        <v>1.643745</v>
      </c>
      <c r="AH35" s="12">
        <f t="shared" si="7"/>
        <v>2.1048943537554855E-2</v>
      </c>
      <c r="AI35" s="12">
        <f t="shared" si="8"/>
        <v>1.224672877938675E-2</v>
      </c>
      <c r="AJ35" s="12">
        <f t="shared" si="9"/>
        <v>7.2577058118211699E-3</v>
      </c>
      <c r="AK35" s="12">
        <f t="shared" si="10"/>
        <v>8.8022147581681073E-3</v>
      </c>
      <c r="AL35" s="129">
        <f t="shared" si="11"/>
        <v>4080496</v>
      </c>
      <c r="AM35" s="12">
        <v>16</v>
      </c>
      <c r="AN35" s="13">
        <v>74875104</v>
      </c>
      <c r="AO35" s="13">
        <v>2339847</v>
      </c>
      <c r="AP35" s="13">
        <v>36338.28125</v>
      </c>
      <c r="AQ35" s="14">
        <v>7013312</v>
      </c>
      <c r="AR35" s="14">
        <v>2418200</v>
      </c>
      <c r="AS35" s="14">
        <v>1662296</v>
      </c>
      <c r="AT35" s="14">
        <v>2932816</v>
      </c>
      <c r="AU35" s="15">
        <v>73.189878125000007</v>
      </c>
      <c r="AV35" s="15">
        <v>75.388459374999996</v>
      </c>
      <c r="AW35" s="15">
        <v>34.069650000000003</v>
      </c>
      <c r="AX35" s="15">
        <v>42.558771874999998</v>
      </c>
      <c r="AY35" s="15">
        <v>44.102331249999999</v>
      </c>
      <c r="AZ35" s="16">
        <v>7997.19</v>
      </c>
      <c r="BA35" s="16">
        <v>5296.99</v>
      </c>
      <c r="BB35" s="16">
        <v>19.757999999999999</v>
      </c>
      <c r="BC35" s="16">
        <v>98.304000000000002</v>
      </c>
      <c r="BE35" s="62">
        <f t="shared" si="12"/>
        <v>1</v>
      </c>
      <c r="BF35" s="17">
        <f t="shared" si="13"/>
        <v>0</v>
      </c>
      <c r="BG35" s="17">
        <f t="shared" si="14"/>
        <v>0</v>
      </c>
      <c r="BH35" s="17">
        <f t="array" ref="BH35">AVERAGE(AL35:AL39/AQ35:AQ39) - AVERAGE(N35:N39/S35:S39)</f>
        <v>0</v>
      </c>
      <c r="BJ35" s="62">
        <f>IF( OR(ISBLANK(N35:N39),ISBLANK(AL35:AL39), ISBLANK(W35:W39),ISBLANK(AU35:AU39)), "·", bdRateExtend( N35:N39,W35:W39, AL35:AL39,AU35:AU39))</f>
        <v>0</v>
      </c>
      <c r="BK35" s="62">
        <f>IF( OR(ISBLANK(N35:N39),ISBLANK(AL35:AL39), ISBLANK(X35:X39),ISBLANK(AV35:AV39)), "·", bdRateExtend( N35:N39,X35:X39, AL35:AL39,AV35:AV39))</f>
        <v>0</v>
      </c>
      <c r="BL35" s="62">
        <f>IF( OR(ISBLANK(V35:V39),ISBLANK(AT35:AT39), ISBLANK(Y35:Y39),ISBLANK(AW35:AW39)), "·", bdRateExtend( V35:V39,Y35:Y39, AT35:AT39,AW35:AW39))</f>
        <v>0</v>
      </c>
      <c r="BM35" s="62">
        <f>IF( OR(ISBLANK(V35:V39),ISBLANK(AT35:AT39), ISBLANK(Z35:Z39),ISBLANK(AX35:AX39)), "·", bdRateExtend( V35:V39,Z35:Z39, AT35:AT39,AX35:AX39))</f>
        <v>0</v>
      </c>
      <c r="BN35" s="62">
        <f>IF( OR(ISBLANK(V35:V39),ISBLANK(AT35:AT39), ISBLANK(AA35:AA39),ISBLANK(AY35:AY39)), "·", bdRateExtend( V35:V39,AA35:AA39, AT35:AT39,AY35:AY39))</f>
        <v>0</v>
      </c>
      <c r="BP35" s="62">
        <f>IF( OR(ISBLANK(S35:S39),ISBLANK(AQ35:AQ39), ISBLANK(W35:W39),ISBLANK(AU35:AU39)), "·", bdRateExtend( S35:S39,W35:W39, AQ35:AQ39,AU35:AU39))</f>
        <v>0</v>
      </c>
      <c r="BQ35" s="62">
        <f>IF( OR(ISBLANK(S35:S39),ISBLANK(AQ35:AQ39), ISBLANK(X35:X39),ISBLANK(AV35:AV39)), "·", bdRateExtend( S35:S39,X35:X39, AQ35:AQ39,AV35:AV39))</f>
        <v>0</v>
      </c>
      <c r="BR35" s="62">
        <f>IF( OR(ISBLANK(S35:S39),ISBLANK(AQ35:AQ39), ISBLANK(Y35:Y39),ISBLANK(AW35:AW39)), "·", bdRateExtend( S35:S39,Y35:Y39, AQ35:AQ39,AW35:AW39))</f>
        <v>0</v>
      </c>
      <c r="BS35" s="62">
        <f>IF( OR(ISBLANK(S35:S39),ISBLANK(AQ35:AQ39), ISBLANK(Z35:Z39),ISBLANK(AX35:AX39)), "·", bdRateExtend( S35:S39,Z35:Z39, AQ35:AQ39,AX35:AX39))</f>
        <v>0</v>
      </c>
      <c r="BT35" s="62">
        <f>IF( OR(ISBLANK(S35:S39),ISBLANK(AQ35:AQ39), ISBLANK(AA35:AA39),ISBLANK(AY35:AY39)), "·", bdRateExtend( S35:S39,AA35:AA39, AQ35:AQ39,AY35:AY39))</f>
        <v>0</v>
      </c>
    </row>
    <row r="36" spans="1:72" outlineLevel="1" x14ac:dyDescent="0.3">
      <c r="A36" s="18"/>
      <c r="B36" s="18" t="s">
        <v>82</v>
      </c>
      <c r="C36" s="19" t="s">
        <v>235</v>
      </c>
      <c r="D36" s="18">
        <v>333190689</v>
      </c>
      <c r="E36" s="19">
        <v>11</v>
      </c>
      <c r="F36" s="19">
        <v>128</v>
      </c>
      <c r="G36" s="19">
        <v>30</v>
      </c>
      <c r="I36" s="20">
        <f t="shared" si="0"/>
        <v>2.328095625</v>
      </c>
      <c r="J36" s="21">
        <f t="shared" si="1"/>
        <v>2.9812381701938857E-2</v>
      </c>
      <c r="K36" s="21">
        <f t="shared" si="2"/>
        <v>1.4706677472610888E-2</v>
      </c>
      <c r="L36" s="21">
        <f t="shared" si="3"/>
        <v>9.7176545050453068E-3</v>
      </c>
      <c r="M36" s="21">
        <f t="shared" si="4"/>
        <v>1.5105704229327969E-2</v>
      </c>
      <c r="N36" s="18">
        <f t="shared" si="5"/>
        <v>4900128</v>
      </c>
      <c r="O36" s="21">
        <v>16</v>
      </c>
      <c r="P36" s="22">
        <v>80603835</v>
      </c>
      <c r="Q36" s="22">
        <v>2518869.84375</v>
      </c>
      <c r="R36" s="22">
        <v>47116.375</v>
      </c>
      <c r="S36" s="23">
        <v>9933208</v>
      </c>
      <c r="T36" s="23">
        <v>3237832</v>
      </c>
      <c r="U36" s="23">
        <v>1662296</v>
      </c>
      <c r="V36" s="23">
        <v>5033080</v>
      </c>
      <c r="W36" s="24">
        <v>74.967606250000003</v>
      </c>
      <c r="X36" s="24">
        <v>77.318574999999996</v>
      </c>
      <c r="Y36" s="24">
        <v>36.168849999999999</v>
      </c>
      <c r="Z36" s="24">
        <v>43.207687499999999</v>
      </c>
      <c r="AA36" s="24">
        <v>45.3999375</v>
      </c>
      <c r="AB36" s="25">
        <v>9861.07</v>
      </c>
      <c r="AC36" s="25">
        <v>7593.31</v>
      </c>
      <c r="AD36" s="25">
        <v>24.405999999999999</v>
      </c>
      <c r="AE36" s="25">
        <v>122.46299999999999</v>
      </c>
      <c r="AG36" s="20">
        <f t="shared" si="6"/>
        <v>2.328095625</v>
      </c>
      <c r="AH36" s="21">
        <f t="shared" si="7"/>
        <v>2.9812381701938857E-2</v>
      </c>
      <c r="AI36" s="21">
        <f t="shared" si="8"/>
        <v>1.4706677472610888E-2</v>
      </c>
      <c r="AJ36" s="21">
        <f t="shared" si="9"/>
        <v>9.7176545050453068E-3</v>
      </c>
      <c r="AK36" s="21">
        <f t="shared" si="10"/>
        <v>1.5105704229327969E-2</v>
      </c>
      <c r="AL36" s="18">
        <f t="shared" si="11"/>
        <v>4900128</v>
      </c>
      <c r="AM36" s="21">
        <v>16</v>
      </c>
      <c r="AN36" s="22">
        <v>80603835</v>
      </c>
      <c r="AO36" s="22">
        <v>2518869.84375</v>
      </c>
      <c r="AP36" s="22">
        <v>47116.375</v>
      </c>
      <c r="AQ36" s="23">
        <v>9933208</v>
      </c>
      <c r="AR36" s="23">
        <v>3237832</v>
      </c>
      <c r="AS36" s="23">
        <v>1662296</v>
      </c>
      <c r="AT36" s="23">
        <v>5033080</v>
      </c>
      <c r="AU36" s="24">
        <v>74.967606250000003</v>
      </c>
      <c r="AV36" s="24">
        <v>77.318574999999996</v>
      </c>
      <c r="AW36" s="24">
        <v>36.168849999999999</v>
      </c>
      <c r="AX36" s="24">
        <v>43.207687499999999</v>
      </c>
      <c r="AY36" s="24">
        <v>45.3999375</v>
      </c>
      <c r="AZ36" s="25">
        <v>10028</v>
      </c>
      <c r="BA36" s="25">
        <v>8126.09</v>
      </c>
      <c r="BB36" s="25">
        <v>27.472999999999999</v>
      </c>
      <c r="BC36" s="25">
        <v>137.12</v>
      </c>
      <c r="BE36" s="58">
        <f t="shared" si="12"/>
        <v>1</v>
      </c>
      <c r="BF36" s="26">
        <f t="shared" si="13"/>
        <v>0</v>
      </c>
      <c r="BG36" s="26">
        <f t="shared" si="14"/>
        <v>0</v>
      </c>
      <c r="BH36" s="26"/>
      <c r="BJ36" s="58"/>
      <c r="BK36" s="58"/>
      <c r="BL36" s="58"/>
      <c r="BM36" s="58"/>
      <c r="BN36" s="58"/>
      <c r="BP36" s="58"/>
      <c r="BQ36" s="58"/>
      <c r="BR36" s="58"/>
      <c r="BS36" s="58"/>
      <c r="BT36" s="58"/>
    </row>
    <row r="37" spans="1:72" outlineLevel="1" x14ac:dyDescent="0.3">
      <c r="A37" s="129"/>
      <c r="B37" s="129" t="s">
        <v>82</v>
      </c>
      <c r="C37" s="10" t="s">
        <v>236</v>
      </c>
      <c r="D37" s="129">
        <v>333190689</v>
      </c>
      <c r="E37" s="10">
        <v>11</v>
      </c>
      <c r="F37" s="10">
        <v>128</v>
      </c>
      <c r="G37" s="10">
        <v>30</v>
      </c>
      <c r="I37" s="11">
        <f t="shared" si="0"/>
        <v>3.5821743750000001</v>
      </c>
      <c r="J37" s="12">
        <f t="shared" si="1"/>
        <v>4.5871461912310521E-2</v>
      </c>
      <c r="K37" s="12">
        <f t="shared" si="2"/>
        <v>1.8148070158106971E-2</v>
      </c>
      <c r="L37" s="12">
        <f t="shared" si="3"/>
        <v>1.315904719054139E-2</v>
      </c>
      <c r="M37" s="12">
        <f t="shared" si="4"/>
        <v>2.772339175420355E-2</v>
      </c>
      <c r="N37" s="129">
        <f t="shared" si="5"/>
        <v>6046768</v>
      </c>
      <c r="O37" s="12">
        <v>16</v>
      </c>
      <c r="P37" s="13">
        <v>82464618</v>
      </c>
      <c r="Q37" s="13">
        <v>2577019.3125</v>
      </c>
      <c r="R37" s="13">
        <v>51444.5</v>
      </c>
      <c r="S37" s="14">
        <v>15283944</v>
      </c>
      <c r="T37" s="14">
        <v>4384472</v>
      </c>
      <c r="U37" s="14">
        <v>1662296</v>
      </c>
      <c r="V37" s="14">
        <v>9237176</v>
      </c>
      <c r="W37" s="15">
        <v>76.297646874999998</v>
      </c>
      <c r="X37" s="15">
        <v>78.923490624999999</v>
      </c>
      <c r="Y37" s="15">
        <v>38.028675</v>
      </c>
      <c r="Z37" s="15">
        <v>43.763340624999998</v>
      </c>
      <c r="AA37" s="15">
        <v>46.52655</v>
      </c>
      <c r="AB37" s="16">
        <v>9856.4699999999993</v>
      </c>
      <c r="AC37" s="16">
        <v>7836.07</v>
      </c>
      <c r="AD37" s="16">
        <v>25.081</v>
      </c>
      <c r="AE37" s="16">
        <v>128.83600000000001</v>
      </c>
      <c r="AG37" s="11">
        <f t="shared" si="6"/>
        <v>3.5821743750000001</v>
      </c>
      <c r="AH37" s="12">
        <f t="shared" si="7"/>
        <v>4.5871461912310521E-2</v>
      </c>
      <c r="AI37" s="12">
        <f t="shared" si="8"/>
        <v>1.8148070158106971E-2</v>
      </c>
      <c r="AJ37" s="12">
        <f t="shared" si="9"/>
        <v>1.315904719054139E-2</v>
      </c>
      <c r="AK37" s="12">
        <f t="shared" si="10"/>
        <v>2.772339175420355E-2</v>
      </c>
      <c r="AL37" s="129">
        <f t="shared" si="11"/>
        <v>6046768</v>
      </c>
      <c r="AM37" s="12">
        <v>16</v>
      </c>
      <c r="AN37" s="13">
        <v>82464618</v>
      </c>
      <c r="AO37" s="13">
        <v>2577019.3125</v>
      </c>
      <c r="AP37" s="13">
        <v>51444.5</v>
      </c>
      <c r="AQ37" s="14">
        <v>15283944</v>
      </c>
      <c r="AR37" s="14">
        <v>4384472</v>
      </c>
      <c r="AS37" s="14">
        <v>1662296</v>
      </c>
      <c r="AT37" s="14">
        <v>9237176</v>
      </c>
      <c r="AU37" s="15">
        <v>76.297646874999998</v>
      </c>
      <c r="AV37" s="15">
        <v>78.923490624999999</v>
      </c>
      <c r="AW37" s="15">
        <v>38.028675</v>
      </c>
      <c r="AX37" s="15">
        <v>43.763340624999998</v>
      </c>
      <c r="AY37" s="15">
        <v>46.52655</v>
      </c>
      <c r="AZ37" s="16">
        <v>9974.4500000000007</v>
      </c>
      <c r="BA37" s="16">
        <v>8371.2800000000007</v>
      </c>
      <c r="BB37" s="16">
        <v>27.724</v>
      </c>
      <c r="BC37" s="16">
        <v>139.23400000000001</v>
      </c>
      <c r="BE37" s="62">
        <f t="shared" si="12"/>
        <v>1</v>
      </c>
      <c r="BF37" s="17">
        <f t="shared" si="13"/>
        <v>0</v>
      </c>
      <c r="BG37" s="17">
        <f t="shared" si="14"/>
        <v>0</v>
      </c>
      <c r="BH37" s="17"/>
      <c r="BJ37" s="62"/>
      <c r="BK37" s="62"/>
      <c r="BL37" s="62"/>
      <c r="BM37" s="62"/>
      <c r="BN37" s="62"/>
      <c r="BP37" s="62"/>
      <c r="BQ37" s="62"/>
      <c r="BR37" s="62"/>
      <c r="BS37" s="62"/>
      <c r="BT37" s="62"/>
    </row>
    <row r="38" spans="1:72" outlineLevel="1" x14ac:dyDescent="0.3">
      <c r="A38" s="18"/>
      <c r="B38" s="18" t="s">
        <v>82</v>
      </c>
      <c r="C38" s="19" t="s">
        <v>237</v>
      </c>
      <c r="D38" s="18">
        <v>333190689</v>
      </c>
      <c r="E38" s="19">
        <v>11</v>
      </c>
      <c r="F38" s="19">
        <v>128</v>
      </c>
      <c r="G38" s="19">
        <v>30</v>
      </c>
      <c r="I38" s="20">
        <f t="shared" si="0"/>
        <v>5.99832375</v>
      </c>
      <c r="J38" s="21">
        <f t="shared" si="1"/>
        <v>7.6811414138886702E-2</v>
      </c>
      <c r="K38" s="21">
        <f t="shared" si="2"/>
        <v>2.3772765150709238E-2</v>
      </c>
      <c r="L38" s="21">
        <f t="shared" si="3"/>
        <v>1.8783742183143659E-2</v>
      </c>
      <c r="M38" s="21">
        <f t="shared" si="4"/>
        <v>5.3038648988177457E-2</v>
      </c>
      <c r="N38" s="18">
        <f t="shared" si="5"/>
        <v>7920864</v>
      </c>
      <c r="O38" s="21">
        <v>16</v>
      </c>
      <c r="P38" s="22">
        <v>84894723</v>
      </c>
      <c r="Q38" s="22">
        <v>2652960.09375</v>
      </c>
      <c r="R38" s="22">
        <v>58119.28125</v>
      </c>
      <c r="S38" s="23">
        <v>25592848</v>
      </c>
      <c r="T38" s="23">
        <v>6258568</v>
      </c>
      <c r="U38" s="23">
        <v>1662296</v>
      </c>
      <c r="V38" s="23">
        <v>17671984</v>
      </c>
      <c r="W38" s="24">
        <v>77.406140625000006</v>
      </c>
      <c r="X38" s="24">
        <v>80.130556249999998</v>
      </c>
      <c r="Y38" s="24">
        <v>39.761765625000002</v>
      </c>
      <c r="Z38" s="24">
        <v>44.558553125000003</v>
      </c>
      <c r="AA38" s="24">
        <v>47.856168750000002</v>
      </c>
      <c r="AB38" s="25">
        <v>9866.2000000000007</v>
      </c>
      <c r="AC38" s="25">
        <v>8164.6</v>
      </c>
      <c r="AD38" s="25">
        <v>24.239000000000001</v>
      </c>
      <c r="AE38" s="25">
        <v>123.914</v>
      </c>
      <c r="AG38" s="20">
        <f t="shared" si="6"/>
        <v>5.99832375</v>
      </c>
      <c r="AH38" s="21">
        <f t="shared" si="7"/>
        <v>7.6811414138886702E-2</v>
      </c>
      <c r="AI38" s="21">
        <f t="shared" si="8"/>
        <v>2.3772765150709238E-2</v>
      </c>
      <c r="AJ38" s="21">
        <f t="shared" si="9"/>
        <v>1.8783742183143659E-2</v>
      </c>
      <c r="AK38" s="21">
        <f t="shared" si="10"/>
        <v>5.3038648988177457E-2</v>
      </c>
      <c r="AL38" s="18">
        <f t="shared" si="11"/>
        <v>7920864</v>
      </c>
      <c r="AM38" s="21">
        <v>16</v>
      </c>
      <c r="AN38" s="22">
        <v>84894723</v>
      </c>
      <c r="AO38" s="22">
        <v>2652960.09375</v>
      </c>
      <c r="AP38" s="22">
        <v>58119.28125</v>
      </c>
      <c r="AQ38" s="23">
        <v>25592848</v>
      </c>
      <c r="AR38" s="23">
        <v>6258568</v>
      </c>
      <c r="AS38" s="23">
        <v>1662296</v>
      </c>
      <c r="AT38" s="23">
        <v>17671984</v>
      </c>
      <c r="AU38" s="24">
        <v>77.406140625000006</v>
      </c>
      <c r="AV38" s="24">
        <v>80.130556249999998</v>
      </c>
      <c r="AW38" s="24">
        <v>39.761765625000002</v>
      </c>
      <c r="AX38" s="24">
        <v>44.558553125000003</v>
      </c>
      <c r="AY38" s="24">
        <v>47.856168750000002</v>
      </c>
      <c r="AZ38" s="25">
        <v>7991.32</v>
      </c>
      <c r="BA38" s="25">
        <v>5649.29</v>
      </c>
      <c r="BB38" s="25">
        <v>21.074000000000002</v>
      </c>
      <c r="BC38" s="25">
        <v>99.507000000000005</v>
      </c>
      <c r="BE38" s="58">
        <f t="shared" si="12"/>
        <v>1</v>
      </c>
      <c r="BF38" s="26">
        <f t="shared" si="13"/>
        <v>0</v>
      </c>
      <c r="BG38" s="26">
        <f t="shared" si="14"/>
        <v>0</v>
      </c>
      <c r="BH38" s="26"/>
      <c r="BJ38" s="58"/>
      <c r="BK38" s="58"/>
      <c r="BL38" s="58"/>
      <c r="BM38" s="58"/>
      <c r="BN38" s="58"/>
      <c r="BP38" s="58"/>
      <c r="BQ38" s="58"/>
      <c r="BR38" s="58"/>
      <c r="BS38" s="58"/>
      <c r="BT38" s="58"/>
    </row>
    <row r="39" spans="1:72" outlineLevel="1" x14ac:dyDescent="0.3">
      <c r="A39" s="27"/>
      <c r="B39" s="27" t="s">
        <v>82</v>
      </c>
      <c r="C39" s="28" t="s">
        <v>238</v>
      </c>
      <c r="D39" s="27">
        <v>333190689</v>
      </c>
      <c r="E39" s="28">
        <v>11</v>
      </c>
      <c r="F39" s="28">
        <v>128</v>
      </c>
      <c r="G39" s="28">
        <v>30</v>
      </c>
      <c r="I39" s="29">
        <f t="shared" si="0"/>
        <v>10.930966874999999</v>
      </c>
      <c r="J39" s="30">
        <f t="shared" si="1"/>
        <v>0.13997627646791774</v>
      </c>
      <c r="K39" s="30">
        <f t="shared" si="2"/>
        <v>3.7762519828397727E-2</v>
      </c>
      <c r="L39" s="30">
        <f t="shared" si="3"/>
        <v>2.8398968855939427E-2</v>
      </c>
      <c r="M39" s="30">
        <f t="shared" si="4"/>
        <v>0.10221375663952002</v>
      </c>
      <c r="N39" s="27">
        <f t="shared" si="5"/>
        <v>12582120</v>
      </c>
      <c r="O39" s="30">
        <v>16</v>
      </c>
      <c r="P39" s="31">
        <v>82685889</v>
      </c>
      <c r="Q39" s="31">
        <v>2583934.03125</v>
      </c>
      <c r="R39" s="31">
        <v>21594.90625</v>
      </c>
      <c r="S39" s="32">
        <v>46638792</v>
      </c>
      <c r="T39" s="32">
        <v>9462272</v>
      </c>
      <c r="U39" s="32">
        <v>3119848</v>
      </c>
      <c r="V39" s="32">
        <v>34056672</v>
      </c>
      <c r="W39" s="33">
        <v>78.476790625000007</v>
      </c>
      <c r="X39" s="33">
        <v>81.872946874999997</v>
      </c>
      <c r="Y39" s="33">
        <v>41.311162500000002</v>
      </c>
      <c r="Z39" s="33">
        <v>45.549837500000002</v>
      </c>
      <c r="AA39" s="33">
        <v>49.168046875000002</v>
      </c>
      <c r="AB39" s="34">
        <v>9877.98</v>
      </c>
      <c r="AC39" s="34">
        <v>8700.7900000000009</v>
      </c>
      <c r="AD39" s="34">
        <v>24.175000000000001</v>
      </c>
      <c r="AE39" s="34">
        <v>132.21899999999999</v>
      </c>
      <c r="AG39" s="29">
        <f t="shared" si="6"/>
        <v>10.930966874999999</v>
      </c>
      <c r="AH39" s="30">
        <f t="shared" si="7"/>
        <v>0.13997627646791774</v>
      </c>
      <c r="AI39" s="30">
        <f t="shared" si="8"/>
        <v>3.7762519828397727E-2</v>
      </c>
      <c r="AJ39" s="30">
        <f t="shared" si="9"/>
        <v>2.8398968855939427E-2</v>
      </c>
      <c r="AK39" s="30">
        <f t="shared" si="10"/>
        <v>0.10221375663952002</v>
      </c>
      <c r="AL39" s="27">
        <f t="shared" si="11"/>
        <v>12582120</v>
      </c>
      <c r="AM39" s="30">
        <v>16</v>
      </c>
      <c r="AN39" s="31">
        <v>82685889</v>
      </c>
      <c r="AO39" s="31">
        <v>2583934.03125</v>
      </c>
      <c r="AP39" s="31">
        <v>21594.90625</v>
      </c>
      <c r="AQ39" s="32">
        <v>46638792</v>
      </c>
      <c r="AR39" s="32">
        <v>9462272</v>
      </c>
      <c r="AS39" s="32">
        <v>3119848</v>
      </c>
      <c r="AT39" s="32">
        <v>34056672</v>
      </c>
      <c r="AU39" s="33">
        <v>78.476790625000007</v>
      </c>
      <c r="AV39" s="33">
        <v>81.872946874999997</v>
      </c>
      <c r="AW39" s="33">
        <v>41.311162500000002</v>
      </c>
      <c r="AX39" s="33">
        <v>45.549837500000002</v>
      </c>
      <c r="AY39" s="33">
        <v>49.168046875000002</v>
      </c>
      <c r="AZ39" s="34">
        <v>8005.87</v>
      </c>
      <c r="BA39" s="34">
        <v>6199.9</v>
      </c>
      <c r="BB39" s="34">
        <v>20.084</v>
      </c>
      <c r="BC39" s="34">
        <v>102.586</v>
      </c>
      <c r="BE39" s="35">
        <f t="shared" si="12"/>
        <v>1</v>
      </c>
      <c r="BF39" s="36">
        <f t="shared" si="13"/>
        <v>0</v>
      </c>
      <c r="BG39" s="36">
        <f t="shared" si="14"/>
        <v>0</v>
      </c>
      <c r="BH39" s="36"/>
      <c r="BJ39" s="35"/>
      <c r="BK39" s="35"/>
      <c r="BL39" s="35"/>
      <c r="BM39" s="35"/>
      <c r="BN39" s="35"/>
      <c r="BP39" s="35"/>
      <c r="BQ39" s="35"/>
      <c r="BR39" s="35"/>
      <c r="BS39" s="35"/>
      <c r="BT39" s="35"/>
    </row>
    <row r="40" spans="1:72" x14ac:dyDescent="0.3">
      <c r="B40" s="47" t="s">
        <v>16</v>
      </c>
      <c r="J40" s="48">
        <f>AVERAGE(J5:J24)</f>
        <v>4.7746294032374334E-2</v>
      </c>
      <c r="K40" s="48">
        <f>AVERAGE(K5:K24)</f>
        <v>1.3822107232192798E-2</v>
      </c>
      <c r="L40" s="48">
        <f>AVERAGE(L5:L24)</f>
        <v>9.3261818278112512E-3</v>
      </c>
      <c r="M40" s="48">
        <f>AVERAGE(M5:M24)</f>
        <v>3.3924186800181527E-2</v>
      </c>
      <c r="AH40" s="48">
        <f>AVERAGE(AH5:AH24)</f>
        <v>4.7746294032374334E-2</v>
      </c>
      <c r="AI40" s="48">
        <f>AVERAGE(AI5:AI24)</f>
        <v>1.3822107232192798E-2</v>
      </c>
      <c r="AJ40" s="48">
        <f>AVERAGE(AJ5:AJ24)</f>
        <v>9.3261818278112512E-3</v>
      </c>
      <c r="AK40" s="48">
        <f>AVERAGE(AK5:AK24)</f>
        <v>3.3924186800181527E-2</v>
      </c>
      <c r="BE40" s="71">
        <f t="shared" si="12"/>
        <v>1</v>
      </c>
      <c r="BH40" s="151">
        <f>AVERAGE(BH5:BH24)</f>
        <v>0</v>
      </c>
      <c r="BJ40" s="71">
        <f>AVERAGE(BJ5:BJ24)</f>
        <v>0</v>
      </c>
      <c r="BK40" s="71">
        <f>AVERAGE(BK5:BK24)</f>
        <v>0</v>
      </c>
      <c r="BL40" s="71">
        <f>AVERAGE(BL5:BL24)</f>
        <v>0</v>
      </c>
      <c r="BM40" s="71">
        <f>AVERAGE(BM5:BM24)</f>
        <v>0</v>
      </c>
      <c r="BN40" s="71">
        <f>AVERAGE(BN5:BN24)</f>
        <v>0</v>
      </c>
      <c r="BP40" s="71">
        <f>AVERAGE(BP5:BP24)</f>
        <v>0</v>
      </c>
      <c r="BQ40" s="71">
        <f>AVERAGE(BQ5:BQ24)</f>
        <v>0</v>
      </c>
      <c r="BR40" s="71">
        <f>AVERAGE(BR5:BR24)</f>
        <v>0</v>
      </c>
      <c r="BS40" s="71">
        <f>AVERAGE(BS5:BS24)</f>
        <v>0</v>
      </c>
      <c r="BT40" s="71">
        <f>AVERAGE(BT5:BT24)</f>
        <v>0</v>
      </c>
    </row>
    <row r="41" spans="1:72" x14ac:dyDescent="0.3">
      <c r="B41" s="47" t="s">
        <v>17</v>
      </c>
      <c r="J41" s="48">
        <f>AVERAGE(J25:J29)</f>
        <v>8.866821735677842E-2</v>
      </c>
      <c r="K41" s="48">
        <f>AVERAGE(K25:K29)</f>
        <v>1.2706915086160356E-2</v>
      </c>
      <c r="L41" s="48">
        <f>AVERAGE(L25:L29)</f>
        <v>8.8576523801861592E-3</v>
      </c>
      <c r="M41" s="48">
        <f>AVERAGE(M25:M29)</f>
        <v>7.5961302270618064E-2</v>
      </c>
      <c r="AH41" s="48">
        <f>AVERAGE(AH25:AH29)</f>
        <v>8.866821735677842E-2</v>
      </c>
      <c r="AI41" s="48">
        <f>AVERAGE(AI25:AI29)</f>
        <v>1.2706915086160356E-2</v>
      </c>
      <c r="AJ41" s="48">
        <f>AVERAGE(AJ25:AJ29)</f>
        <v>8.8576523801861592E-3</v>
      </c>
      <c r="AK41" s="48">
        <f>AVERAGE(AK25:AK29)</f>
        <v>7.5961302270618064E-2</v>
      </c>
      <c r="BE41" s="71">
        <f t="shared" si="12"/>
        <v>1</v>
      </c>
      <c r="BH41" s="151">
        <f>AVERAGE(BH25:BH29)</f>
        <v>0</v>
      </c>
      <c r="BJ41" s="71">
        <f>AVERAGE(BJ25:BJ29)</f>
        <v>0</v>
      </c>
      <c r="BK41" s="71">
        <f>AVERAGE(BK25:BK29)</f>
        <v>0</v>
      </c>
      <c r="BL41" s="71">
        <f>AVERAGE(BL25:BL29)</f>
        <v>0</v>
      </c>
      <c r="BM41" s="71">
        <f>AVERAGE(BM25:BM29)</f>
        <v>0</v>
      </c>
      <c r="BN41" s="71">
        <f>AVERAGE(BN25:BN29)</f>
        <v>0</v>
      </c>
      <c r="BP41" s="71">
        <f>AVERAGE(BP25:BP29)</f>
        <v>0</v>
      </c>
      <c r="BQ41" s="71">
        <f>AVERAGE(BQ25:BQ29)</f>
        <v>0</v>
      </c>
      <c r="BR41" s="71">
        <f>AVERAGE(BR25:BR29)</f>
        <v>0</v>
      </c>
      <c r="BS41" s="71">
        <f>AVERAGE(BS25:BS29)</f>
        <v>0</v>
      </c>
      <c r="BT41" s="71">
        <f>AVERAGE(BT25:BT29)</f>
        <v>0</v>
      </c>
    </row>
    <row r="42" spans="1:72" x14ac:dyDescent="0.3">
      <c r="B42" s="47" t="s">
        <v>18</v>
      </c>
      <c r="J42" s="48">
        <f>AVERAGE(J30:J39)</f>
        <v>5.6900480817596813E-2</v>
      </c>
      <c r="K42" s="48">
        <f>AVERAGE(K30:K39)</f>
        <v>1.9802145046884084E-2</v>
      </c>
      <c r="L42" s="48">
        <f>AVERAGE(L30:L39)</f>
        <v>1.4500724729499426E-2</v>
      </c>
      <c r="M42" s="48">
        <f>AVERAGE(M30:M39)</f>
        <v>3.7098335770712726E-2</v>
      </c>
      <c r="AH42" s="48">
        <f>AVERAGE(AH30:AH39)</f>
        <v>5.6900480817596813E-2</v>
      </c>
      <c r="AI42" s="48">
        <f>AVERAGE(AI30:AI39)</f>
        <v>1.9802145046884084E-2</v>
      </c>
      <c r="AJ42" s="48">
        <f>AVERAGE(AJ30:AJ39)</f>
        <v>1.4500724729499426E-2</v>
      </c>
      <c r="AK42" s="48">
        <f>AVERAGE(AK30:AK39)</f>
        <v>3.7098335770712726E-2</v>
      </c>
      <c r="BE42" s="71">
        <f t="shared" si="12"/>
        <v>1</v>
      </c>
      <c r="BH42" s="151">
        <f>AVERAGE(BH30:BH39)</f>
        <v>0</v>
      </c>
      <c r="BJ42" s="71">
        <f>AVERAGE(BJ30:BJ39)</f>
        <v>0</v>
      </c>
      <c r="BK42" s="71">
        <f>AVERAGE(BK30:BK39)</f>
        <v>0</v>
      </c>
      <c r="BL42" s="71">
        <f>AVERAGE(BL30:BL39)</f>
        <v>0</v>
      </c>
      <c r="BM42" s="71">
        <f>AVERAGE(BM30:BM39)</f>
        <v>0</v>
      </c>
      <c r="BN42" s="71">
        <f>AVERAGE(BN30:BN39)</f>
        <v>0</v>
      </c>
      <c r="BP42" s="71">
        <f>AVERAGE(BP30:BP39)</f>
        <v>0</v>
      </c>
      <c r="BQ42" s="71">
        <f>AVERAGE(BQ30:BQ39)</f>
        <v>0</v>
      </c>
      <c r="BR42" s="71">
        <f>AVERAGE(BR30:BR39)</f>
        <v>0</v>
      </c>
      <c r="BS42" s="71">
        <f>AVERAGE(BS30:BS39)</f>
        <v>0</v>
      </c>
      <c r="BT42" s="71">
        <f>AVERAGE(BT30:BT39)</f>
        <v>0</v>
      </c>
    </row>
    <row r="43" spans="1:72" x14ac:dyDescent="0.3">
      <c r="B43" s="47" t="s">
        <v>19</v>
      </c>
      <c r="J43" s="48">
        <f>AVERAGE(J5:J39)</f>
        <v>5.6207765017352779E-2</v>
      </c>
      <c r="K43" s="48">
        <f>AVERAGE(K5:K39)</f>
        <v>1.5371376301242818E-2</v>
      </c>
      <c r="L43" s="48">
        <f>AVERAGE(L5:L39)</f>
        <v>1.0737689878632861E-2</v>
      </c>
      <c r="M43" s="48">
        <f>AVERAGE(M5:M39)</f>
        <v>4.083638871610995E-2</v>
      </c>
      <c r="AH43" s="48">
        <f>AVERAGE(AH5:AH39)</f>
        <v>5.6207765017352779E-2</v>
      </c>
      <c r="AI43" s="48">
        <f>AVERAGE(AI5:AI39)</f>
        <v>1.5371376301242818E-2</v>
      </c>
      <c r="AJ43" s="48">
        <f>AVERAGE(AJ5:AJ39)</f>
        <v>1.0737689878632861E-2</v>
      </c>
      <c r="AK43" s="48">
        <f>AVERAGE(AK5:AK39)</f>
        <v>4.083638871610995E-2</v>
      </c>
      <c r="BE43" s="71">
        <f t="shared" si="12"/>
        <v>1</v>
      </c>
      <c r="BH43" s="151">
        <f>AVERAGE(BH5:BH39)</f>
        <v>0</v>
      </c>
      <c r="BJ43" s="71">
        <f>AVERAGE(BJ5:BJ39)</f>
        <v>0</v>
      </c>
      <c r="BK43" s="71">
        <f>AVERAGE(BK5:BK39)</f>
        <v>0</v>
      </c>
      <c r="BL43" s="71">
        <f>AVERAGE(BL5:BL39)</f>
        <v>0</v>
      </c>
      <c r="BM43" s="71">
        <f>AVERAGE(BM5:BM39)</f>
        <v>0</v>
      </c>
      <c r="BN43" s="71">
        <f>AVERAGE(BN5:BN39)</f>
        <v>0</v>
      </c>
      <c r="BP43" s="71">
        <f>AVERAGE(BP5:BP39)</f>
        <v>0</v>
      </c>
      <c r="BQ43" s="71">
        <f>AVERAGE(BQ5:BQ39)</f>
        <v>0</v>
      </c>
      <c r="BR43" s="71">
        <f>AVERAGE(BR5:BR39)</f>
        <v>0</v>
      </c>
      <c r="BS43" s="71">
        <f>AVERAGE(BS5:BS39)</f>
        <v>0</v>
      </c>
      <c r="BT43" s="71">
        <f>AVERAGE(BT5:BT39)</f>
        <v>0</v>
      </c>
    </row>
    <row r="44" spans="1:72" hidden="1" outlineLevel="2" x14ac:dyDescent="0.3">
      <c r="A44" s="47" t="s">
        <v>241</v>
      </c>
      <c r="B44" s="47" t="s">
        <v>242</v>
      </c>
      <c r="AB44" s="49">
        <f>SUM(AB5:AB24,AB25:AB29,AB30:AB39)</f>
        <v>183821.41000000003</v>
      </c>
      <c r="AC44" s="49">
        <f>SUM(AC5:AC24,AC25:AC29,AC30:AC39)</f>
        <v>119756.47000000003</v>
      </c>
      <c r="AD44" s="49">
        <f>SUM(AD5:AD24,AD25:AD29,AD30:AD39)</f>
        <v>440.32100000000003</v>
      </c>
      <c r="AE44" s="49">
        <f>SUM(AE5:AE24,AE25:AE29,AE30:AE39)</f>
        <v>1808.9359999999999</v>
      </c>
      <c r="AZ44" s="49">
        <f>SUM(AZ5:AZ24,AZ25:AZ29,AZ30:AZ39)</f>
        <v>166690.39000000001</v>
      </c>
      <c r="BA44" s="49">
        <f>SUM(BA5:BA24,BA25:BA29,BA30:BA39)</f>
        <v>100647.27999999998</v>
      </c>
      <c r="BB44" s="49">
        <f>SUM(BB5:BB24,BB25:BB29,BB30:BB39)</f>
        <v>417.84300000000002</v>
      </c>
      <c r="BC44" s="49">
        <f>SUM(BC5:BC24,BC25:BC29,BC30:BC39)</f>
        <v>1659.8299999999997</v>
      </c>
    </row>
    <row r="45" spans="1:72" hidden="1" outlineLevel="2" x14ac:dyDescent="0.3">
      <c r="B45" s="47" t="s">
        <v>243</v>
      </c>
      <c r="AZ45" s="151">
        <f>AZ44/AB44</f>
        <v>0.90680617671249497</v>
      </c>
      <c r="BA45" s="151">
        <f>BA44/AC44</f>
        <v>0.84043292191227714</v>
      </c>
      <c r="BB45" s="151">
        <f>BB44/AD44</f>
        <v>0.94895087901780739</v>
      </c>
      <c r="BC45" s="151">
        <f>BC44/AE44</f>
        <v>0.91757253987979659</v>
      </c>
    </row>
    <row r="46" spans="1:72" hidden="1" outlineLevel="2" x14ac:dyDescent="0.3">
      <c r="B46" s="47" t="s">
        <v>244</v>
      </c>
      <c r="AB46" s="49">
        <f>GEOMEAN(AB5:AB24,AB25:AB29,AB30:AB39)</f>
        <v>4482.4334382362713</v>
      </c>
      <c r="AC46" s="49">
        <f>GEOMEAN(AC5:AC24,AC25:AC29,AC30:AC39)</f>
        <v>2883.1691102266086</v>
      </c>
      <c r="AD46" s="49">
        <f>GEOMEAN(AD5:AD24,AD25:AD29,AD30:AD39)</f>
        <v>10.82944452420478</v>
      </c>
      <c r="AE46" s="49">
        <f>GEOMEAN(AE5:AE24,AE25:AE29,AE30:AE39)</f>
        <v>42.657693169429834</v>
      </c>
      <c r="AZ46" s="49">
        <f>GEOMEAN(AZ5:AZ24,AZ25:AZ29,AZ30:AZ39)</f>
        <v>3991.6203033942224</v>
      </c>
      <c r="BA46" s="49">
        <f>GEOMEAN(BA5:BA24,BA25:BA29,BA30:BA39)</f>
        <v>2317.6282067156876</v>
      </c>
      <c r="BB46" s="49">
        <f>GEOMEAN(BB5:BB24,BB25:BB29,BB30:BB39)</f>
        <v>9.9679108551634918</v>
      </c>
      <c r="BC46" s="49">
        <f>GEOMEAN(BC5:BC24,BC25:BC29,BC30:BC39)</f>
        <v>37.986836653082513</v>
      </c>
    </row>
    <row r="47" spans="1:72" outlineLevel="2" collapsed="1" x14ac:dyDescent="0.3">
      <c r="B47" s="47" t="s">
        <v>245</v>
      </c>
      <c r="AZ47" s="151">
        <f>AZ46/AB46</f>
        <v>0.89050297308259152</v>
      </c>
      <c r="BA47" s="151">
        <f>BA46/AC46</f>
        <v>0.80384747411972957</v>
      </c>
      <c r="BB47" s="151">
        <f>BB46/AD46</f>
        <v>0.92044525763849816</v>
      </c>
      <c r="BC47" s="151">
        <f>BC46/AE46</f>
        <v>0.89050377155193572</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119" priority="1" operator="greaterThanOrEqual">
      <formula>1.03</formula>
    </cfRule>
    <cfRule type="cellIs" dxfId="11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17" priority="21" operator="greaterThanOrEqual">
      <formula>0.03</formula>
    </cfRule>
    <cfRule type="cellIs" dxfId="11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15" priority="19" operator="greaterThanOrEqual">
      <formula>0.03</formula>
    </cfRule>
    <cfRule type="cellIs" dxfId="11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13" priority="5" operator="greaterThanOrEqual">
      <formula>0.03</formula>
    </cfRule>
    <cfRule type="cellIs" dxfId="11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11" priority="9" operator="greaterThanOrEqual">
      <formula>0.03</formula>
    </cfRule>
    <cfRule type="cellIs" dxfId="11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09" priority="11" operator="greaterThanOrEqual">
      <formula>0.03</formula>
    </cfRule>
    <cfRule type="cellIs" dxfId="10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107" priority="7" operator="greaterThanOrEqual">
      <formula>0.03</formula>
    </cfRule>
    <cfRule type="cellIs" dxfId="10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105" priority="13" operator="greaterThanOrEqual">
      <formula>0.03</formula>
    </cfRule>
    <cfRule type="cellIs" dxfId="10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103" priority="3" operator="greaterThanOrEqual">
      <formula>0.03</formula>
    </cfRule>
    <cfRule type="cellIs" dxfId="10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01" priority="15" operator="greaterThanOrEqual">
      <formula>0.03</formula>
    </cfRule>
    <cfRule type="cellIs" dxfId="10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99" priority="17" operator="greaterThanOrEqual">
      <formula>0.03</formula>
    </cfRule>
    <cfRule type="cellIs" dxfId="9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246</v>
      </c>
      <c r="B1">
        <v>1</v>
      </c>
    </row>
    <row r="2" spans="1:2" x14ac:dyDescent="0.3">
      <c r="A2" t="s">
        <v>247</v>
      </c>
      <c r="B2">
        <v>2</v>
      </c>
    </row>
    <row r="3" spans="1:2" x14ac:dyDescent="0.3">
      <c r="A3" t="s">
        <v>248</v>
      </c>
      <c r="B3">
        <v>3</v>
      </c>
    </row>
    <row r="4" spans="1:2" x14ac:dyDescent="0.3">
      <c r="A4" t="s">
        <v>249</v>
      </c>
      <c r="B4">
        <v>4</v>
      </c>
    </row>
    <row r="5" spans="1:2" x14ac:dyDescent="0.3">
      <c r="A5" t="s">
        <v>250</v>
      </c>
      <c r="B5">
        <v>5</v>
      </c>
    </row>
    <row r="6" spans="1:2" x14ac:dyDescent="0.3">
      <c r="A6" t="s">
        <v>251</v>
      </c>
      <c r="B6">
        <v>6</v>
      </c>
    </row>
    <row r="7" spans="1:2" x14ac:dyDescent="0.3">
      <c r="A7" t="s">
        <v>252</v>
      </c>
      <c r="B7">
        <v>7</v>
      </c>
    </row>
    <row r="8" spans="1:2" x14ac:dyDescent="0.3">
      <c r="A8" t="s">
        <v>253</v>
      </c>
      <c r="B8">
        <v>9</v>
      </c>
    </row>
    <row r="9" spans="1:2" x14ac:dyDescent="0.3">
      <c r="A9" t="s">
        <v>254</v>
      </c>
      <c r="B9">
        <v>10</v>
      </c>
    </row>
    <row r="10" spans="1:2" x14ac:dyDescent="0.3">
      <c r="A10" t="s">
        <v>255</v>
      </c>
      <c r="B10">
        <v>11</v>
      </c>
    </row>
    <row r="11" spans="1:2" x14ac:dyDescent="0.3">
      <c r="A11" t="s">
        <v>256</v>
      </c>
      <c r="B11">
        <v>12</v>
      </c>
    </row>
    <row r="12" spans="1:2" x14ac:dyDescent="0.3">
      <c r="A12" t="s">
        <v>257</v>
      </c>
      <c r="B12">
        <v>13</v>
      </c>
    </row>
    <row r="13" spans="1:2" x14ac:dyDescent="0.3">
      <c r="A13" t="s">
        <v>258</v>
      </c>
      <c r="B13">
        <v>14</v>
      </c>
    </row>
    <row r="14" spans="1:2" x14ac:dyDescent="0.3">
      <c r="A14" t="s">
        <v>259</v>
      </c>
      <c r="B14">
        <v>15</v>
      </c>
    </row>
    <row r="15" spans="1:2" x14ac:dyDescent="0.3">
      <c r="A15" t="s">
        <v>260</v>
      </c>
      <c r="B15">
        <v>16</v>
      </c>
    </row>
    <row r="16" spans="1:2" x14ac:dyDescent="0.3">
      <c r="A16" t="s">
        <v>261</v>
      </c>
      <c r="B16">
        <v>17</v>
      </c>
    </row>
    <row r="17" spans="1:2" x14ac:dyDescent="0.3">
      <c r="A17" t="s">
        <v>262</v>
      </c>
      <c r="B17">
        <v>18</v>
      </c>
    </row>
    <row r="18" spans="1:2" x14ac:dyDescent="0.3">
      <c r="A18" t="s">
        <v>263</v>
      </c>
      <c r="B18">
        <v>19</v>
      </c>
    </row>
    <row r="19" spans="1:2" x14ac:dyDescent="0.3">
      <c r="A19" t="s">
        <v>264</v>
      </c>
      <c r="B19">
        <v>20</v>
      </c>
    </row>
    <row r="20" spans="1:2" x14ac:dyDescent="0.3">
      <c r="A20" t="s">
        <v>265</v>
      </c>
      <c r="B20">
        <v>21</v>
      </c>
    </row>
    <row r="21" spans="1:2" x14ac:dyDescent="0.3">
      <c r="A21" t="s">
        <v>266</v>
      </c>
      <c r="B21">
        <v>22</v>
      </c>
    </row>
    <row r="22" spans="1:2" x14ac:dyDescent="0.3">
      <c r="A22" t="s">
        <v>267</v>
      </c>
      <c r="B22">
        <v>23</v>
      </c>
    </row>
    <row r="23" spans="1:2" x14ac:dyDescent="0.3">
      <c r="A23" t="s">
        <v>268</v>
      </c>
      <c r="B23">
        <v>24</v>
      </c>
    </row>
    <row r="24" spans="1:2" x14ac:dyDescent="0.3">
      <c r="A24" t="s">
        <v>269</v>
      </c>
      <c r="B24">
        <v>25</v>
      </c>
    </row>
    <row r="25" spans="1:2" x14ac:dyDescent="0.3">
      <c r="A25" t="s">
        <v>270</v>
      </c>
      <c r="B25">
        <v>26</v>
      </c>
    </row>
    <row r="26" spans="1:2" x14ac:dyDescent="0.3">
      <c r="A26" t="s">
        <v>271</v>
      </c>
      <c r="B26">
        <v>27</v>
      </c>
    </row>
    <row r="27" spans="1:2" x14ac:dyDescent="0.3">
      <c r="A27" t="s">
        <v>272</v>
      </c>
      <c r="B27">
        <v>28</v>
      </c>
    </row>
    <row r="28" spans="1:2" x14ac:dyDescent="0.3">
      <c r="A28" t="s">
        <v>273</v>
      </c>
      <c r="B28">
        <v>29</v>
      </c>
    </row>
    <row r="29" spans="1:2" x14ac:dyDescent="0.3">
      <c r="A29" t="s">
        <v>274</v>
      </c>
      <c r="B29">
        <v>30</v>
      </c>
    </row>
    <row r="30" spans="1:2" x14ac:dyDescent="0.3">
      <c r="A30" t="s">
        <v>275</v>
      </c>
      <c r="B30">
        <v>31</v>
      </c>
    </row>
    <row r="31" spans="1:2" x14ac:dyDescent="0.3">
      <c r="A31" t="s">
        <v>276</v>
      </c>
      <c r="B31">
        <v>33</v>
      </c>
    </row>
    <row r="32" spans="1:2" x14ac:dyDescent="0.3">
      <c r="A32" t="s">
        <v>277</v>
      </c>
      <c r="B32">
        <v>34</v>
      </c>
    </row>
    <row r="33" spans="1:2" x14ac:dyDescent="0.3">
      <c r="A33" t="s">
        <v>278</v>
      </c>
      <c r="B33">
        <v>35</v>
      </c>
    </row>
    <row r="34" spans="1:2" x14ac:dyDescent="0.3">
      <c r="A34" t="s">
        <v>279</v>
      </c>
      <c r="B34">
        <v>36</v>
      </c>
    </row>
    <row r="35" spans="1:2" x14ac:dyDescent="0.3">
      <c r="A35" t="s">
        <v>280</v>
      </c>
      <c r="B35">
        <v>37</v>
      </c>
    </row>
    <row r="36" spans="1:2" x14ac:dyDescent="0.3">
      <c r="A36" t="s">
        <v>281</v>
      </c>
      <c r="B36">
        <v>38</v>
      </c>
    </row>
    <row r="37" spans="1:2" x14ac:dyDescent="0.3">
      <c r="A37" t="s">
        <v>282</v>
      </c>
      <c r="B37">
        <v>39</v>
      </c>
    </row>
    <row r="38" spans="1:2" x14ac:dyDescent="0.3">
      <c r="A38" t="s">
        <v>283</v>
      </c>
      <c r="B38">
        <v>40</v>
      </c>
    </row>
    <row r="39" spans="1:2" x14ac:dyDescent="0.3">
      <c r="A39" t="s">
        <v>284</v>
      </c>
      <c r="B39">
        <v>41</v>
      </c>
    </row>
    <row r="40" spans="1:2" x14ac:dyDescent="0.3">
      <c r="A40" t="s">
        <v>285</v>
      </c>
      <c r="B40">
        <v>42</v>
      </c>
    </row>
    <row r="41" spans="1:2" x14ac:dyDescent="0.3">
      <c r="A41" t="s">
        <v>286</v>
      </c>
      <c r="B41">
        <v>43</v>
      </c>
    </row>
    <row r="42" spans="1:2" x14ac:dyDescent="0.3">
      <c r="A42" t="s">
        <v>287</v>
      </c>
      <c r="B42">
        <v>44</v>
      </c>
    </row>
    <row r="43" spans="1:2" x14ac:dyDescent="0.3">
      <c r="A43" t="s">
        <v>288</v>
      </c>
      <c r="B43">
        <v>45</v>
      </c>
    </row>
    <row r="44" spans="1:2" x14ac:dyDescent="0.3">
      <c r="A44" t="s">
        <v>289</v>
      </c>
      <c r="B44">
        <v>46</v>
      </c>
    </row>
    <row r="45" spans="1:2" x14ac:dyDescent="0.3">
      <c r="A45" t="s">
        <v>290</v>
      </c>
      <c r="B45">
        <v>47</v>
      </c>
    </row>
    <row r="46" spans="1:2" x14ac:dyDescent="0.3">
      <c r="A46" t="s">
        <v>291</v>
      </c>
      <c r="B46">
        <v>48</v>
      </c>
    </row>
    <row r="47" spans="1:2" x14ac:dyDescent="0.3">
      <c r="A47" t="s">
        <v>292</v>
      </c>
      <c r="B47">
        <v>49</v>
      </c>
    </row>
    <row r="48" spans="1:2" x14ac:dyDescent="0.3">
      <c r="A48" t="s">
        <v>293</v>
      </c>
      <c r="B48">
        <v>50</v>
      </c>
    </row>
    <row r="49" spans="1:2" x14ac:dyDescent="0.3">
      <c r="A49" t="s">
        <v>294</v>
      </c>
      <c r="B49">
        <v>51</v>
      </c>
    </row>
    <row r="50" spans="1:2" x14ac:dyDescent="0.3">
      <c r="A50" t="s">
        <v>295</v>
      </c>
      <c r="B50">
        <v>52</v>
      </c>
    </row>
    <row r="51" spans="1:2" x14ac:dyDescent="0.3">
      <c r="A51" t="s">
        <v>296</v>
      </c>
      <c r="B51">
        <v>53</v>
      </c>
    </row>
    <row r="52" spans="1:2" x14ac:dyDescent="0.3">
      <c r="A52" t="s">
        <v>297</v>
      </c>
      <c r="B52">
        <v>54</v>
      </c>
    </row>
    <row r="53" spans="1:2" x14ac:dyDescent="0.3">
      <c r="A53" t="s">
        <v>298</v>
      </c>
      <c r="B53">
        <v>55</v>
      </c>
    </row>
    <row r="54" spans="1:2" x14ac:dyDescent="0.3">
      <c r="A54" t="s">
        <v>299</v>
      </c>
      <c r="B54">
        <v>57</v>
      </c>
    </row>
    <row r="55" spans="1:2" x14ac:dyDescent="0.3">
      <c r="A55" t="s">
        <v>300</v>
      </c>
      <c r="B55">
        <v>58</v>
      </c>
    </row>
    <row r="56" spans="1:2" x14ac:dyDescent="0.3">
      <c r="A56" t="s">
        <v>301</v>
      </c>
      <c r="B56">
        <v>59</v>
      </c>
    </row>
    <row r="57" spans="1:2" x14ac:dyDescent="0.3">
      <c r="A57" t="s">
        <v>302</v>
      </c>
      <c r="B57">
        <v>60</v>
      </c>
    </row>
    <row r="58" spans="1:2" x14ac:dyDescent="0.3">
      <c r="A58" t="s">
        <v>303</v>
      </c>
      <c r="B58">
        <v>62</v>
      </c>
    </row>
    <row r="59" spans="1:2" x14ac:dyDescent="0.3">
      <c r="A59" t="s">
        <v>304</v>
      </c>
      <c r="B59">
        <v>63</v>
      </c>
    </row>
    <row r="60" spans="1:2" x14ac:dyDescent="0.3">
      <c r="A60" t="s">
        <v>305</v>
      </c>
      <c r="B60">
        <v>64</v>
      </c>
    </row>
    <row r="61" spans="1:2" x14ac:dyDescent="0.3">
      <c r="A61" t="s">
        <v>306</v>
      </c>
      <c r="B61">
        <v>65</v>
      </c>
    </row>
    <row r="62" spans="1:2" x14ac:dyDescent="0.3">
      <c r="A62" t="s">
        <v>307</v>
      </c>
      <c r="B62">
        <v>66</v>
      </c>
    </row>
    <row r="63" spans="1:2" x14ac:dyDescent="0.3">
      <c r="A63" t="s">
        <v>308</v>
      </c>
      <c r="B63">
        <v>68</v>
      </c>
    </row>
    <row r="64" spans="1:2" x14ac:dyDescent="0.3">
      <c r="A64" t="s">
        <v>309</v>
      </c>
      <c r="B64">
        <v>69</v>
      </c>
    </row>
    <row r="65" spans="1:24" x14ac:dyDescent="0.3">
      <c r="A65" t="s">
        <v>310</v>
      </c>
      <c r="B65">
        <v>70</v>
      </c>
    </row>
    <row r="66" spans="1:24" x14ac:dyDescent="0.3">
      <c r="A66" t="s">
        <v>311</v>
      </c>
      <c r="B66">
        <v>71</v>
      </c>
    </row>
    <row r="67" spans="1:24" x14ac:dyDescent="0.3">
      <c r="A67" t="s">
        <v>312</v>
      </c>
      <c r="B67">
        <v>72</v>
      </c>
    </row>
    <row r="68" spans="1:24" x14ac:dyDescent="0.3">
      <c r="A68" t="s">
        <v>313</v>
      </c>
      <c r="B68" t="s">
        <v>314</v>
      </c>
    </row>
    <row r="69" spans="1:24" x14ac:dyDescent="0.3">
      <c r="A69" t="s">
        <v>315</v>
      </c>
      <c r="B69" t="s">
        <v>316</v>
      </c>
    </row>
    <row r="70" spans="1:24" x14ac:dyDescent="0.3">
      <c r="A70" t="s">
        <v>317</v>
      </c>
      <c r="B70" t="s">
        <v>318</v>
      </c>
    </row>
    <row r="71" spans="1:24" x14ac:dyDescent="0.3">
      <c r="A71" t="s">
        <v>319</v>
      </c>
      <c r="B71" t="s">
        <v>320</v>
      </c>
    </row>
    <row r="72" spans="1:24" x14ac:dyDescent="0.3">
      <c r="A72" t="s">
        <v>321</v>
      </c>
      <c r="B72" t="s">
        <v>322</v>
      </c>
    </row>
    <row r="73" spans="1:24" x14ac:dyDescent="0.3">
      <c r="A73" t="s">
        <v>323</v>
      </c>
      <c r="B73" t="s">
        <v>324</v>
      </c>
    </row>
    <row r="74" spans="1:24" x14ac:dyDescent="0.3">
      <c r="A74" t="s">
        <v>325</v>
      </c>
      <c r="B74" t="s">
        <v>326</v>
      </c>
    </row>
    <row r="75" spans="1:24" x14ac:dyDescent="0.3">
      <c r="A75" t="s">
        <v>327</v>
      </c>
      <c r="B75" t="s">
        <v>328</v>
      </c>
    </row>
    <row r="76" spans="1:24" x14ac:dyDescent="0.3">
      <c r="A76" t="s">
        <v>329</v>
      </c>
      <c r="B76" t="s">
        <v>330</v>
      </c>
    </row>
    <row r="77" spans="1:24" x14ac:dyDescent="0.3">
      <c r="A77" t="s">
        <v>331</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3">
      <c r="A78" t="s">
        <v>332</v>
      </c>
      <c r="B78">
        <v>1</v>
      </c>
    </row>
    <row r="79" spans="1:24" x14ac:dyDescent="0.3">
      <c r="A79" t="s">
        <v>333</v>
      </c>
      <c r="B79">
        <v>2</v>
      </c>
    </row>
    <row r="80" spans="1:24" x14ac:dyDescent="0.3">
      <c r="A80" t="s">
        <v>334</v>
      </c>
      <c r="B80">
        <v>3</v>
      </c>
    </row>
    <row r="81" spans="1:2" x14ac:dyDescent="0.3">
      <c r="A81" t="s">
        <v>335</v>
      </c>
      <c r="B81">
        <v>4</v>
      </c>
    </row>
    <row r="82" spans="1:2" x14ac:dyDescent="0.3">
      <c r="A82" t="s">
        <v>336</v>
      </c>
      <c r="B82">
        <v>5</v>
      </c>
    </row>
    <row r="83" spans="1:2" x14ac:dyDescent="0.3">
      <c r="A83" t="s">
        <v>337</v>
      </c>
      <c r="B83">
        <v>6</v>
      </c>
    </row>
    <row r="84" spans="1:2" x14ac:dyDescent="0.3">
      <c r="A84" t="s">
        <v>338</v>
      </c>
      <c r="B84">
        <v>8</v>
      </c>
    </row>
    <row r="85" spans="1:2" x14ac:dyDescent="0.3">
      <c r="A85" t="s">
        <v>339</v>
      </c>
      <c r="B85">
        <v>9</v>
      </c>
    </row>
    <row r="86" spans="1:2" x14ac:dyDescent="0.3">
      <c r="A86" t="s">
        <v>340</v>
      </c>
      <c r="B86">
        <v>10</v>
      </c>
    </row>
    <row r="87" spans="1:2" x14ac:dyDescent="0.3">
      <c r="A87" t="s">
        <v>341</v>
      </c>
      <c r="B87">
        <v>11</v>
      </c>
    </row>
    <row r="88" spans="1:2" x14ac:dyDescent="0.3">
      <c r="A88" t="s">
        <v>342</v>
      </c>
      <c r="B88">
        <v>12</v>
      </c>
    </row>
    <row r="89" spans="1:2" x14ac:dyDescent="0.3">
      <c r="A89" t="s">
        <v>343</v>
      </c>
      <c r="B89">
        <v>13</v>
      </c>
    </row>
    <row r="90" spans="1:2" x14ac:dyDescent="0.3">
      <c r="A90" t="s">
        <v>344</v>
      </c>
      <c r="B90">
        <v>14</v>
      </c>
    </row>
    <row r="91" spans="1:2" x14ac:dyDescent="0.3">
      <c r="A91" t="s">
        <v>345</v>
      </c>
      <c r="B91">
        <v>15</v>
      </c>
    </row>
    <row r="92" spans="1:2" x14ac:dyDescent="0.3">
      <c r="A92" t="s">
        <v>346</v>
      </c>
      <c r="B92">
        <v>16</v>
      </c>
    </row>
    <row r="93" spans="1:2" x14ac:dyDescent="0.3">
      <c r="A93" t="s">
        <v>347</v>
      </c>
      <c r="B93">
        <v>17</v>
      </c>
    </row>
    <row r="94" spans="1:2" x14ac:dyDescent="0.3">
      <c r="A94" t="s">
        <v>348</v>
      </c>
      <c r="B94">
        <v>18</v>
      </c>
    </row>
    <row r="95" spans="1:2" x14ac:dyDescent="0.3">
      <c r="A95" t="s">
        <v>349</v>
      </c>
      <c r="B95">
        <v>19</v>
      </c>
    </row>
    <row r="96" spans="1:2" x14ac:dyDescent="0.3">
      <c r="A96" t="s">
        <v>350</v>
      </c>
      <c r="B96">
        <v>20</v>
      </c>
    </row>
    <row r="97" spans="1:2" x14ac:dyDescent="0.3">
      <c r="A97" t="s">
        <v>351</v>
      </c>
      <c r="B97">
        <v>21</v>
      </c>
    </row>
    <row r="98" spans="1:2" x14ac:dyDescent="0.3">
      <c r="A98" t="s">
        <v>352</v>
      </c>
      <c r="B98">
        <v>22</v>
      </c>
    </row>
    <row r="99" spans="1:2" x14ac:dyDescent="0.3">
      <c r="A99" t="s">
        <v>353</v>
      </c>
      <c r="B99">
        <v>23</v>
      </c>
    </row>
    <row r="100" spans="1:2" x14ac:dyDescent="0.3">
      <c r="A100" t="s">
        <v>354</v>
      </c>
      <c r="B100">
        <v>24</v>
      </c>
    </row>
    <row r="101" spans="1:2" x14ac:dyDescent="0.3">
      <c r="A101" t="s">
        <v>355</v>
      </c>
      <c r="B101">
        <v>25</v>
      </c>
    </row>
    <row r="102" spans="1:2" x14ac:dyDescent="0.3">
      <c r="A102" t="s">
        <v>356</v>
      </c>
      <c r="B102">
        <v>26</v>
      </c>
    </row>
    <row r="103" spans="1:2" x14ac:dyDescent="0.3">
      <c r="A103" t="s">
        <v>357</v>
      </c>
      <c r="B103">
        <v>27</v>
      </c>
    </row>
    <row r="104" spans="1:2" x14ac:dyDescent="0.3">
      <c r="A104" t="s">
        <v>358</v>
      </c>
      <c r="B104">
        <v>28</v>
      </c>
    </row>
    <row r="105" spans="1:2" x14ac:dyDescent="0.3">
      <c r="A105" t="s">
        <v>359</v>
      </c>
      <c r="B105">
        <v>29</v>
      </c>
    </row>
    <row r="106" spans="1:2" x14ac:dyDescent="0.3">
      <c r="A106" t="s">
        <v>360</v>
      </c>
      <c r="B106">
        <v>31</v>
      </c>
    </row>
    <row r="107" spans="1:2" x14ac:dyDescent="0.3">
      <c r="A107" t="s">
        <v>361</v>
      </c>
      <c r="B107">
        <v>32</v>
      </c>
    </row>
    <row r="108" spans="1:2" x14ac:dyDescent="0.3">
      <c r="A108" t="s">
        <v>362</v>
      </c>
      <c r="B108">
        <v>33</v>
      </c>
    </row>
    <row r="109" spans="1:2" x14ac:dyDescent="0.3">
      <c r="A109" t="s">
        <v>363</v>
      </c>
      <c r="B109">
        <v>34</v>
      </c>
    </row>
    <row r="110" spans="1:2" x14ac:dyDescent="0.3">
      <c r="A110" t="s">
        <v>364</v>
      </c>
      <c r="B110">
        <v>35</v>
      </c>
    </row>
    <row r="111" spans="1:2" x14ac:dyDescent="0.3">
      <c r="A111" t="s">
        <v>365</v>
      </c>
      <c r="B111">
        <v>36</v>
      </c>
    </row>
    <row r="112" spans="1:2" x14ac:dyDescent="0.3">
      <c r="A112" t="s">
        <v>366</v>
      </c>
      <c r="B112">
        <v>37</v>
      </c>
    </row>
    <row r="113" spans="1:2" x14ac:dyDescent="0.3">
      <c r="A113" t="s">
        <v>367</v>
      </c>
      <c r="B113">
        <v>38</v>
      </c>
    </row>
    <row r="114" spans="1:2" x14ac:dyDescent="0.3">
      <c r="A114" t="s">
        <v>368</v>
      </c>
      <c r="B114">
        <v>39</v>
      </c>
    </row>
    <row r="115" spans="1:2" x14ac:dyDescent="0.3">
      <c r="A115" t="s">
        <v>369</v>
      </c>
      <c r="B115">
        <v>40</v>
      </c>
    </row>
    <row r="116" spans="1:2" x14ac:dyDescent="0.3">
      <c r="A116" t="s">
        <v>370</v>
      </c>
      <c r="B116">
        <v>41</v>
      </c>
    </row>
    <row r="117" spans="1:2" x14ac:dyDescent="0.3">
      <c r="A117" t="s">
        <v>371</v>
      </c>
      <c r="B117">
        <v>42</v>
      </c>
    </row>
    <row r="118" spans="1:2" x14ac:dyDescent="0.3">
      <c r="A118" t="s">
        <v>372</v>
      </c>
      <c r="B118">
        <v>43</v>
      </c>
    </row>
    <row r="119" spans="1:2" x14ac:dyDescent="0.3">
      <c r="A119" t="s">
        <v>373</v>
      </c>
      <c r="B119">
        <v>44</v>
      </c>
    </row>
    <row r="120" spans="1:2" x14ac:dyDescent="0.3">
      <c r="A120" t="s">
        <v>374</v>
      </c>
      <c r="B120">
        <v>45</v>
      </c>
    </row>
    <row r="121" spans="1:2" x14ac:dyDescent="0.3">
      <c r="A121" t="s">
        <v>375</v>
      </c>
      <c r="B121">
        <v>46</v>
      </c>
    </row>
    <row r="122" spans="1:2" x14ac:dyDescent="0.3">
      <c r="A122" t="s">
        <v>376</v>
      </c>
      <c r="B122">
        <v>47</v>
      </c>
    </row>
    <row r="123" spans="1:2" x14ac:dyDescent="0.3">
      <c r="A123" t="s">
        <v>377</v>
      </c>
      <c r="B123">
        <v>48</v>
      </c>
    </row>
    <row r="124" spans="1:2" x14ac:dyDescent="0.3">
      <c r="A124" t="s">
        <v>378</v>
      </c>
      <c r="B124">
        <v>49</v>
      </c>
    </row>
    <row r="125" spans="1:2" x14ac:dyDescent="0.3">
      <c r="A125" t="s">
        <v>379</v>
      </c>
      <c r="B125">
        <v>50</v>
      </c>
    </row>
    <row r="126" spans="1:2" x14ac:dyDescent="0.3">
      <c r="A126" t="s">
        <v>380</v>
      </c>
      <c r="B126">
        <v>51</v>
      </c>
    </row>
    <row r="127" spans="1:2" x14ac:dyDescent="0.3">
      <c r="A127" t="s">
        <v>381</v>
      </c>
      <c r="B127">
        <v>52</v>
      </c>
    </row>
    <row r="128" spans="1:2" x14ac:dyDescent="0.3">
      <c r="A128" t="s">
        <v>382</v>
      </c>
      <c r="B128">
        <v>54</v>
      </c>
    </row>
    <row r="129" spans="1:23" x14ac:dyDescent="0.3">
      <c r="A129" t="s">
        <v>383</v>
      </c>
      <c r="B129">
        <v>55</v>
      </c>
    </row>
    <row r="130" spans="1:23" x14ac:dyDescent="0.3">
      <c r="A130" t="s">
        <v>384</v>
      </c>
      <c r="B130">
        <v>56</v>
      </c>
    </row>
    <row r="131" spans="1:23" x14ac:dyDescent="0.3">
      <c r="A131" t="s">
        <v>385</v>
      </c>
      <c r="B131">
        <v>57</v>
      </c>
    </row>
    <row r="132" spans="1:23" x14ac:dyDescent="0.3">
      <c r="A132" t="s">
        <v>386</v>
      </c>
      <c r="B132">
        <v>58</v>
      </c>
    </row>
    <row r="133" spans="1:23" x14ac:dyDescent="0.3">
      <c r="A133" t="s">
        <v>387</v>
      </c>
      <c r="B133">
        <v>59</v>
      </c>
    </row>
    <row r="134" spans="1:23" x14ac:dyDescent="0.3">
      <c r="A134" t="s">
        <v>388</v>
      </c>
      <c r="B134" t="s">
        <v>389</v>
      </c>
    </row>
    <row r="135" spans="1:23" x14ac:dyDescent="0.3">
      <c r="A135" t="s">
        <v>390</v>
      </c>
      <c r="B135" t="s">
        <v>391</v>
      </c>
    </row>
    <row r="136" spans="1:23" x14ac:dyDescent="0.3">
      <c r="A136" t="s">
        <v>392</v>
      </c>
      <c r="B136" t="s">
        <v>393</v>
      </c>
    </row>
    <row r="137" spans="1:23" x14ac:dyDescent="0.3">
      <c r="A137" t="s">
        <v>394</v>
      </c>
      <c r="B137" t="s">
        <v>395</v>
      </c>
    </row>
    <row r="138" spans="1:23" x14ac:dyDescent="0.3">
      <c r="A138" t="s">
        <v>396</v>
      </c>
      <c r="B138" t="s">
        <v>397</v>
      </c>
    </row>
    <row r="139" spans="1:23" x14ac:dyDescent="0.3">
      <c r="A139" t="s">
        <v>398</v>
      </c>
      <c r="B139" t="s">
        <v>399</v>
      </c>
    </row>
    <row r="140" spans="1:23" x14ac:dyDescent="0.3">
      <c r="A140" t="s">
        <v>400</v>
      </c>
      <c r="B140" t="s">
        <v>401</v>
      </c>
    </row>
    <row r="141" spans="1:23" x14ac:dyDescent="0.3">
      <c r="A141" t="s">
        <v>402</v>
      </c>
      <c r="B141" t="s">
        <v>403</v>
      </c>
    </row>
    <row r="142" spans="1:23" x14ac:dyDescent="0.3">
      <c r="A142" t="s">
        <v>404</v>
      </c>
      <c r="B142" t="s">
        <v>405</v>
      </c>
    </row>
    <row r="143" spans="1:23" x14ac:dyDescent="0.3">
      <c r="A143" t="s">
        <v>406</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3">
      <c r="A144" t="s">
        <v>407</v>
      </c>
      <c r="B144">
        <v>1</v>
      </c>
    </row>
    <row r="145" spans="1:2" x14ac:dyDescent="0.3">
      <c r="A145" t="s">
        <v>408</v>
      </c>
      <c r="B145">
        <v>2</v>
      </c>
    </row>
    <row r="146" spans="1:2" x14ac:dyDescent="0.3">
      <c r="A146" t="s">
        <v>409</v>
      </c>
      <c r="B146">
        <v>3</v>
      </c>
    </row>
    <row r="147" spans="1:2" x14ac:dyDescent="0.3">
      <c r="A147" t="s">
        <v>410</v>
      </c>
      <c r="B147">
        <v>4</v>
      </c>
    </row>
    <row r="148" spans="1:2" x14ac:dyDescent="0.3">
      <c r="A148" t="s">
        <v>411</v>
      </c>
      <c r="B148">
        <v>5</v>
      </c>
    </row>
    <row r="149" spans="1:2" x14ac:dyDescent="0.3">
      <c r="A149" t="s">
        <v>412</v>
      </c>
      <c r="B149">
        <v>6</v>
      </c>
    </row>
    <row r="150" spans="1:2" x14ac:dyDescent="0.3">
      <c r="A150" t="s">
        <v>413</v>
      </c>
      <c r="B150">
        <v>8</v>
      </c>
    </row>
    <row r="151" spans="1:2" x14ac:dyDescent="0.3">
      <c r="A151" t="s">
        <v>414</v>
      </c>
      <c r="B151">
        <v>9</v>
      </c>
    </row>
    <row r="152" spans="1:2" x14ac:dyDescent="0.3">
      <c r="A152" t="s">
        <v>415</v>
      </c>
      <c r="B152">
        <v>10</v>
      </c>
    </row>
    <row r="153" spans="1:2" x14ac:dyDescent="0.3">
      <c r="A153" t="s">
        <v>416</v>
      </c>
      <c r="B153">
        <v>11</v>
      </c>
    </row>
    <row r="154" spans="1:2" x14ac:dyDescent="0.3">
      <c r="A154" t="s">
        <v>417</v>
      </c>
      <c r="B154">
        <v>12</v>
      </c>
    </row>
    <row r="155" spans="1:2" x14ac:dyDescent="0.3">
      <c r="A155" t="s">
        <v>418</v>
      </c>
      <c r="B155">
        <v>13</v>
      </c>
    </row>
    <row r="156" spans="1:2" x14ac:dyDescent="0.3">
      <c r="A156" t="s">
        <v>419</v>
      </c>
      <c r="B156">
        <v>14</v>
      </c>
    </row>
    <row r="157" spans="1:2" x14ac:dyDescent="0.3">
      <c r="A157" t="s">
        <v>420</v>
      </c>
      <c r="B157">
        <v>15</v>
      </c>
    </row>
    <row r="158" spans="1:2" x14ac:dyDescent="0.3">
      <c r="A158" t="s">
        <v>421</v>
      </c>
      <c r="B158">
        <v>16</v>
      </c>
    </row>
    <row r="159" spans="1:2" x14ac:dyDescent="0.3">
      <c r="A159" t="s">
        <v>422</v>
      </c>
      <c r="B159">
        <v>17</v>
      </c>
    </row>
    <row r="160" spans="1:2" x14ac:dyDescent="0.3">
      <c r="A160" t="s">
        <v>423</v>
      </c>
      <c r="B160">
        <v>18</v>
      </c>
    </row>
    <row r="161" spans="1:2" x14ac:dyDescent="0.3">
      <c r="A161" t="s">
        <v>424</v>
      </c>
      <c r="B161">
        <v>19</v>
      </c>
    </row>
    <row r="162" spans="1:2" x14ac:dyDescent="0.3">
      <c r="A162" t="s">
        <v>425</v>
      </c>
      <c r="B162">
        <v>20</v>
      </c>
    </row>
    <row r="163" spans="1:2" x14ac:dyDescent="0.3">
      <c r="A163" t="s">
        <v>426</v>
      </c>
      <c r="B163">
        <v>21</v>
      </c>
    </row>
    <row r="164" spans="1:2" x14ac:dyDescent="0.3">
      <c r="A164" t="s">
        <v>427</v>
      </c>
      <c r="B164">
        <v>22</v>
      </c>
    </row>
    <row r="165" spans="1:2" x14ac:dyDescent="0.3">
      <c r="A165" t="s">
        <v>428</v>
      </c>
      <c r="B165">
        <v>23</v>
      </c>
    </row>
    <row r="166" spans="1:2" x14ac:dyDescent="0.3">
      <c r="A166" t="s">
        <v>429</v>
      </c>
      <c r="B166">
        <v>24</v>
      </c>
    </row>
    <row r="167" spans="1:2" x14ac:dyDescent="0.3">
      <c r="A167" t="s">
        <v>430</v>
      </c>
      <c r="B167">
        <v>25</v>
      </c>
    </row>
    <row r="168" spans="1:2" x14ac:dyDescent="0.3">
      <c r="A168" t="s">
        <v>431</v>
      </c>
      <c r="B168">
        <v>26</v>
      </c>
    </row>
    <row r="169" spans="1:2" x14ac:dyDescent="0.3">
      <c r="A169" t="s">
        <v>432</v>
      </c>
      <c r="B169">
        <v>27</v>
      </c>
    </row>
    <row r="170" spans="1:2" x14ac:dyDescent="0.3">
      <c r="A170" t="s">
        <v>433</v>
      </c>
      <c r="B170">
        <v>28</v>
      </c>
    </row>
    <row r="171" spans="1:2" x14ac:dyDescent="0.3">
      <c r="A171" t="s">
        <v>434</v>
      </c>
      <c r="B171">
        <v>29</v>
      </c>
    </row>
    <row r="172" spans="1:2" x14ac:dyDescent="0.3">
      <c r="A172" t="s">
        <v>435</v>
      </c>
      <c r="B172">
        <v>31</v>
      </c>
    </row>
    <row r="173" spans="1:2" x14ac:dyDescent="0.3">
      <c r="A173" t="s">
        <v>436</v>
      </c>
      <c r="B173">
        <v>32</v>
      </c>
    </row>
    <row r="174" spans="1:2" x14ac:dyDescent="0.3">
      <c r="A174" t="s">
        <v>437</v>
      </c>
      <c r="B174">
        <v>33</v>
      </c>
    </row>
    <row r="175" spans="1:2" x14ac:dyDescent="0.3">
      <c r="A175" t="s">
        <v>438</v>
      </c>
      <c r="B175">
        <v>34</v>
      </c>
    </row>
    <row r="176" spans="1:2" x14ac:dyDescent="0.3">
      <c r="A176" t="s">
        <v>439</v>
      </c>
      <c r="B176">
        <v>35</v>
      </c>
    </row>
    <row r="177" spans="1:2" x14ac:dyDescent="0.3">
      <c r="A177" t="s">
        <v>440</v>
      </c>
      <c r="B177">
        <v>36</v>
      </c>
    </row>
    <row r="178" spans="1:2" x14ac:dyDescent="0.3">
      <c r="A178" t="s">
        <v>441</v>
      </c>
      <c r="B178">
        <v>37</v>
      </c>
    </row>
    <row r="179" spans="1:2" x14ac:dyDescent="0.3">
      <c r="A179" t="s">
        <v>442</v>
      </c>
      <c r="B179">
        <v>38</v>
      </c>
    </row>
    <row r="180" spans="1:2" x14ac:dyDescent="0.3">
      <c r="A180" t="s">
        <v>443</v>
      </c>
      <c r="B180">
        <v>39</v>
      </c>
    </row>
    <row r="181" spans="1:2" x14ac:dyDescent="0.3">
      <c r="A181" t="s">
        <v>444</v>
      </c>
      <c r="B181">
        <v>40</v>
      </c>
    </row>
    <row r="182" spans="1:2" x14ac:dyDescent="0.3">
      <c r="A182" t="s">
        <v>445</v>
      </c>
      <c r="B182">
        <v>41</v>
      </c>
    </row>
    <row r="183" spans="1:2" x14ac:dyDescent="0.3">
      <c r="A183" t="s">
        <v>446</v>
      </c>
      <c r="B183">
        <v>42</v>
      </c>
    </row>
    <row r="184" spans="1:2" x14ac:dyDescent="0.3">
      <c r="A184" t="s">
        <v>447</v>
      </c>
      <c r="B184">
        <v>43</v>
      </c>
    </row>
    <row r="185" spans="1:2" x14ac:dyDescent="0.3">
      <c r="A185" t="s">
        <v>448</v>
      </c>
      <c r="B185">
        <v>44</v>
      </c>
    </row>
    <row r="186" spans="1:2" x14ac:dyDescent="0.3">
      <c r="A186" t="s">
        <v>449</v>
      </c>
      <c r="B186">
        <v>45</v>
      </c>
    </row>
    <row r="187" spans="1:2" x14ac:dyDescent="0.3">
      <c r="A187" t="s">
        <v>450</v>
      </c>
      <c r="B187">
        <v>46</v>
      </c>
    </row>
    <row r="188" spans="1:2" x14ac:dyDescent="0.3">
      <c r="A188" t="s">
        <v>451</v>
      </c>
      <c r="B188">
        <v>47</v>
      </c>
    </row>
    <row r="189" spans="1:2" x14ac:dyDescent="0.3">
      <c r="A189" t="s">
        <v>452</v>
      </c>
      <c r="B189">
        <v>48</v>
      </c>
    </row>
    <row r="190" spans="1:2" x14ac:dyDescent="0.3">
      <c r="A190" t="s">
        <v>453</v>
      </c>
      <c r="B190">
        <v>49</v>
      </c>
    </row>
    <row r="191" spans="1:2" x14ac:dyDescent="0.3">
      <c r="A191" t="s">
        <v>454</v>
      </c>
      <c r="B191">
        <v>50</v>
      </c>
    </row>
    <row r="192" spans="1:2" x14ac:dyDescent="0.3">
      <c r="A192" t="s">
        <v>455</v>
      </c>
      <c r="B192">
        <v>51</v>
      </c>
    </row>
    <row r="193" spans="1:2" x14ac:dyDescent="0.3">
      <c r="A193" t="s">
        <v>456</v>
      </c>
      <c r="B193">
        <v>52</v>
      </c>
    </row>
    <row r="194" spans="1:2" x14ac:dyDescent="0.3">
      <c r="A194" t="s">
        <v>457</v>
      </c>
      <c r="B194">
        <v>54</v>
      </c>
    </row>
    <row r="195" spans="1:2" x14ac:dyDescent="0.3">
      <c r="A195" t="s">
        <v>458</v>
      </c>
      <c r="B195">
        <v>55</v>
      </c>
    </row>
    <row r="196" spans="1:2" x14ac:dyDescent="0.3">
      <c r="A196" t="s">
        <v>459</v>
      </c>
      <c r="B196">
        <v>56</v>
      </c>
    </row>
    <row r="197" spans="1:2" x14ac:dyDescent="0.3">
      <c r="A197" t="s">
        <v>460</v>
      </c>
      <c r="B197">
        <v>57</v>
      </c>
    </row>
    <row r="198" spans="1:2" x14ac:dyDescent="0.3">
      <c r="A198" t="s">
        <v>461</v>
      </c>
      <c r="B198">
        <v>58</v>
      </c>
    </row>
    <row r="199" spans="1:2" x14ac:dyDescent="0.3">
      <c r="A199" t="s">
        <v>462</v>
      </c>
      <c r="B199">
        <v>59</v>
      </c>
    </row>
    <row r="200" spans="1:2" x14ac:dyDescent="0.3">
      <c r="A200" t="s">
        <v>463</v>
      </c>
      <c r="B200" t="s">
        <v>464</v>
      </c>
    </row>
    <row r="201" spans="1:2" x14ac:dyDescent="0.3">
      <c r="A201" t="s">
        <v>465</v>
      </c>
      <c r="B201" t="s">
        <v>466</v>
      </c>
    </row>
    <row r="202" spans="1:2" x14ac:dyDescent="0.3">
      <c r="A202" t="s">
        <v>467</v>
      </c>
      <c r="B202" t="s">
        <v>468</v>
      </c>
    </row>
    <row r="203" spans="1:2" x14ac:dyDescent="0.3">
      <c r="A203" t="s">
        <v>469</v>
      </c>
      <c r="B203" t="s">
        <v>470</v>
      </c>
    </row>
    <row r="204" spans="1:2" x14ac:dyDescent="0.3">
      <c r="A204" t="s">
        <v>471</v>
      </c>
      <c r="B204" t="s">
        <v>472</v>
      </c>
    </row>
    <row r="205" spans="1:2" x14ac:dyDescent="0.3">
      <c r="A205" t="s">
        <v>473</v>
      </c>
      <c r="B205" t="s">
        <v>474</v>
      </c>
    </row>
    <row r="206" spans="1:2" x14ac:dyDescent="0.3">
      <c r="A206" t="s">
        <v>475</v>
      </c>
      <c r="B206" t="s">
        <v>476</v>
      </c>
    </row>
    <row r="207" spans="1:2" x14ac:dyDescent="0.3">
      <c r="A207" t="s">
        <v>477</v>
      </c>
      <c r="B207" t="s">
        <v>478</v>
      </c>
    </row>
    <row r="208" spans="1:2" x14ac:dyDescent="0.3">
      <c r="A208" t="s">
        <v>479</v>
      </c>
      <c r="B208" t="s">
        <v>480</v>
      </c>
    </row>
    <row r="209" spans="1:23" x14ac:dyDescent="0.3">
      <c r="A209" t="s">
        <v>481</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3">
      <c r="A210" t="s">
        <v>482</v>
      </c>
      <c r="B210">
        <v>1</v>
      </c>
    </row>
    <row r="211" spans="1:23" x14ac:dyDescent="0.3">
      <c r="A211" t="s">
        <v>483</v>
      </c>
      <c r="B211">
        <v>2</v>
      </c>
    </row>
    <row r="212" spans="1:23" x14ac:dyDescent="0.3">
      <c r="A212" t="s">
        <v>484</v>
      </c>
      <c r="B212">
        <v>3</v>
      </c>
    </row>
    <row r="213" spans="1:23" x14ac:dyDescent="0.3">
      <c r="A213" t="s">
        <v>485</v>
      </c>
      <c r="B213">
        <v>4</v>
      </c>
    </row>
    <row r="214" spans="1:23" x14ac:dyDescent="0.3">
      <c r="A214" t="s">
        <v>486</v>
      </c>
      <c r="B214">
        <v>5</v>
      </c>
    </row>
    <row r="215" spans="1:23" x14ac:dyDescent="0.3">
      <c r="A215" t="s">
        <v>487</v>
      </c>
      <c r="B215">
        <v>6</v>
      </c>
    </row>
    <row r="216" spans="1:23" x14ac:dyDescent="0.3">
      <c r="A216" t="s">
        <v>488</v>
      </c>
      <c r="B216">
        <v>7</v>
      </c>
    </row>
    <row r="217" spans="1:23" x14ac:dyDescent="0.3">
      <c r="A217" t="s">
        <v>489</v>
      </c>
      <c r="B217">
        <v>9</v>
      </c>
    </row>
    <row r="218" spans="1:23" x14ac:dyDescent="0.3">
      <c r="A218" t="s">
        <v>490</v>
      </c>
      <c r="B218">
        <v>10</v>
      </c>
    </row>
    <row r="219" spans="1:23" x14ac:dyDescent="0.3">
      <c r="A219" t="s">
        <v>491</v>
      </c>
      <c r="B219">
        <v>11</v>
      </c>
    </row>
    <row r="220" spans="1:23" x14ac:dyDescent="0.3">
      <c r="A220" t="s">
        <v>492</v>
      </c>
      <c r="B220">
        <v>12</v>
      </c>
    </row>
    <row r="221" spans="1:23" x14ac:dyDescent="0.3">
      <c r="A221" t="s">
        <v>493</v>
      </c>
      <c r="B221">
        <v>13</v>
      </c>
    </row>
    <row r="222" spans="1:23" x14ac:dyDescent="0.3">
      <c r="A222" t="s">
        <v>494</v>
      </c>
      <c r="B222">
        <v>14</v>
      </c>
    </row>
    <row r="223" spans="1:23" x14ac:dyDescent="0.3">
      <c r="A223" t="s">
        <v>495</v>
      </c>
      <c r="B223">
        <v>15</v>
      </c>
    </row>
    <row r="224" spans="1:23" x14ac:dyDescent="0.3">
      <c r="A224" t="s">
        <v>496</v>
      </c>
      <c r="B224">
        <v>16</v>
      </c>
    </row>
    <row r="225" spans="1:2" x14ac:dyDescent="0.3">
      <c r="A225" t="s">
        <v>497</v>
      </c>
      <c r="B225">
        <v>17</v>
      </c>
    </row>
    <row r="226" spans="1:2" x14ac:dyDescent="0.3">
      <c r="A226" t="s">
        <v>498</v>
      </c>
      <c r="B226">
        <v>18</v>
      </c>
    </row>
    <row r="227" spans="1:2" x14ac:dyDescent="0.3">
      <c r="A227" t="s">
        <v>499</v>
      </c>
      <c r="B227">
        <v>19</v>
      </c>
    </row>
    <row r="228" spans="1:2" x14ac:dyDescent="0.3">
      <c r="A228" t="s">
        <v>500</v>
      </c>
      <c r="B228">
        <v>20</v>
      </c>
    </row>
    <row r="229" spans="1:2" x14ac:dyDescent="0.3">
      <c r="A229" t="s">
        <v>501</v>
      </c>
      <c r="B229">
        <v>21</v>
      </c>
    </row>
    <row r="230" spans="1:2" x14ac:dyDescent="0.3">
      <c r="A230" t="s">
        <v>502</v>
      </c>
      <c r="B230">
        <v>22</v>
      </c>
    </row>
    <row r="231" spans="1:2" x14ac:dyDescent="0.3">
      <c r="A231" t="s">
        <v>503</v>
      </c>
      <c r="B231">
        <v>23</v>
      </c>
    </row>
    <row r="232" spans="1:2" x14ac:dyDescent="0.3">
      <c r="A232" t="s">
        <v>504</v>
      </c>
      <c r="B232">
        <v>24</v>
      </c>
    </row>
    <row r="233" spans="1:2" x14ac:dyDescent="0.3">
      <c r="A233" t="s">
        <v>505</v>
      </c>
      <c r="B233">
        <v>25</v>
      </c>
    </row>
    <row r="234" spans="1:2" x14ac:dyDescent="0.3">
      <c r="A234" t="s">
        <v>506</v>
      </c>
      <c r="B234">
        <v>26</v>
      </c>
    </row>
    <row r="235" spans="1:2" x14ac:dyDescent="0.3">
      <c r="A235" t="s">
        <v>507</v>
      </c>
      <c r="B235">
        <v>27</v>
      </c>
    </row>
    <row r="236" spans="1:2" x14ac:dyDescent="0.3">
      <c r="A236" t="s">
        <v>508</v>
      </c>
      <c r="B236">
        <v>28</v>
      </c>
    </row>
    <row r="237" spans="1:2" x14ac:dyDescent="0.3">
      <c r="A237" t="s">
        <v>509</v>
      </c>
      <c r="B237">
        <v>29</v>
      </c>
    </row>
    <row r="238" spans="1:2" x14ac:dyDescent="0.3">
      <c r="A238" t="s">
        <v>510</v>
      </c>
      <c r="B238">
        <v>30</v>
      </c>
    </row>
    <row r="239" spans="1:2" x14ac:dyDescent="0.3">
      <c r="A239" t="s">
        <v>511</v>
      </c>
      <c r="B239">
        <v>31</v>
      </c>
    </row>
    <row r="240" spans="1:2" x14ac:dyDescent="0.3">
      <c r="A240" t="s">
        <v>512</v>
      </c>
      <c r="B240">
        <v>33</v>
      </c>
    </row>
    <row r="241" spans="1:2" x14ac:dyDescent="0.3">
      <c r="A241" t="s">
        <v>513</v>
      </c>
      <c r="B241">
        <v>34</v>
      </c>
    </row>
    <row r="242" spans="1:2" x14ac:dyDescent="0.3">
      <c r="A242" t="s">
        <v>514</v>
      </c>
      <c r="B242">
        <v>35</v>
      </c>
    </row>
    <row r="243" spans="1:2" x14ac:dyDescent="0.3">
      <c r="A243" t="s">
        <v>515</v>
      </c>
      <c r="B243">
        <v>36</v>
      </c>
    </row>
    <row r="244" spans="1:2" x14ac:dyDescent="0.3">
      <c r="A244" t="s">
        <v>516</v>
      </c>
      <c r="B244">
        <v>37</v>
      </c>
    </row>
    <row r="245" spans="1:2" x14ac:dyDescent="0.3">
      <c r="A245" t="s">
        <v>517</v>
      </c>
      <c r="B245">
        <v>38</v>
      </c>
    </row>
    <row r="246" spans="1:2" x14ac:dyDescent="0.3">
      <c r="A246" t="s">
        <v>518</v>
      </c>
      <c r="B246">
        <v>39</v>
      </c>
    </row>
    <row r="247" spans="1:2" x14ac:dyDescent="0.3">
      <c r="A247" t="s">
        <v>519</v>
      </c>
      <c r="B247">
        <v>40</v>
      </c>
    </row>
    <row r="248" spans="1:2" x14ac:dyDescent="0.3">
      <c r="A248" t="s">
        <v>520</v>
      </c>
      <c r="B248">
        <v>41</v>
      </c>
    </row>
    <row r="249" spans="1:2" x14ac:dyDescent="0.3">
      <c r="A249" t="s">
        <v>521</v>
      </c>
      <c r="B249">
        <v>42</v>
      </c>
    </row>
    <row r="250" spans="1:2" x14ac:dyDescent="0.3">
      <c r="A250" t="s">
        <v>522</v>
      </c>
      <c r="B250">
        <v>43</v>
      </c>
    </row>
    <row r="251" spans="1:2" x14ac:dyDescent="0.3">
      <c r="A251" t="s">
        <v>523</v>
      </c>
      <c r="B251">
        <v>44</v>
      </c>
    </row>
    <row r="252" spans="1:2" x14ac:dyDescent="0.3">
      <c r="A252" t="s">
        <v>524</v>
      </c>
      <c r="B252">
        <v>45</v>
      </c>
    </row>
    <row r="253" spans="1:2" x14ac:dyDescent="0.3">
      <c r="A253" t="s">
        <v>525</v>
      </c>
      <c r="B253">
        <v>46</v>
      </c>
    </row>
    <row r="254" spans="1:2" x14ac:dyDescent="0.3">
      <c r="A254" t="s">
        <v>526</v>
      </c>
      <c r="B254">
        <v>47</v>
      </c>
    </row>
    <row r="255" spans="1:2" x14ac:dyDescent="0.3">
      <c r="A255" t="s">
        <v>527</v>
      </c>
      <c r="B255">
        <v>48</v>
      </c>
    </row>
    <row r="256" spans="1:2" x14ac:dyDescent="0.3">
      <c r="A256" t="s">
        <v>528</v>
      </c>
      <c r="B256">
        <v>49</v>
      </c>
    </row>
    <row r="257" spans="1:2" x14ac:dyDescent="0.3">
      <c r="A257" t="s">
        <v>529</v>
      </c>
      <c r="B257">
        <v>50</v>
      </c>
    </row>
    <row r="258" spans="1:2" x14ac:dyDescent="0.3">
      <c r="A258" t="s">
        <v>530</v>
      </c>
      <c r="B258">
        <v>51</v>
      </c>
    </row>
    <row r="259" spans="1:2" x14ac:dyDescent="0.3">
      <c r="A259" t="s">
        <v>531</v>
      </c>
      <c r="B259">
        <v>52</v>
      </c>
    </row>
    <row r="260" spans="1:2" x14ac:dyDescent="0.3">
      <c r="A260" t="s">
        <v>532</v>
      </c>
      <c r="B260">
        <v>53</v>
      </c>
    </row>
    <row r="261" spans="1:2" x14ac:dyDescent="0.3">
      <c r="A261" t="s">
        <v>533</v>
      </c>
      <c r="B261">
        <v>54</v>
      </c>
    </row>
    <row r="262" spans="1:2" x14ac:dyDescent="0.3">
      <c r="A262" t="s">
        <v>534</v>
      </c>
      <c r="B262">
        <v>55</v>
      </c>
    </row>
    <row r="263" spans="1:2" x14ac:dyDescent="0.3">
      <c r="A263" t="s">
        <v>535</v>
      </c>
      <c r="B263">
        <v>57</v>
      </c>
    </row>
    <row r="264" spans="1:2" x14ac:dyDescent="0.3">
      <c r="A264" t="s">
        <v>536</v>
      </c>
      <c r="B264">
        <v>58</v>
      </c>
    </row>
    <row r="265" spans="1:2" x14ac:dyDescent="0.3">
      <c r="A265" t="s">
        <v>537</v>
      </c>
      <c r="B265">
        <v>59</v>
      </c>
    </row>
    <row r="266" spans="1:2" x14ac:dyDescent="0.3">
      <c r="A266" t="s">
        <v>538</v>
      </c>
      <c r="B266">
        <v>60</v>
      </c>
    </row>
    <row r="267" spans="1:2" x14ac:dyDescent="0.3">
      <c r="A267" t="s">
        <v>539</v>
      </c>
      <c r="B267">
        <v>62</v>
      </c>
    </row>
    <row r="268" spans="1:2" x14ac:dyDescent="0.3">
      <c r="A268" t="s">
        <v>540</v>
      </c>
      <c r="B268">
        <v>63</v>
      </c>
    </row>
    <row r="269" spans="1:2" x14ac:dyDescent="0.3">
      <c r="A269" t="s">
        <v>541</v>
      </c>
      <c r="B269">
        <v>64</v>
      </c>
    </row>
    <row r="270" spans="1:2" x14ac:dyDescent="0.3">
      <c r="A270" t="s">
        <v>542</v>
      </c>
      <c r="B270">
        <v>65</v>
      </c>
    </row>
    <row r="271" spans="1:2" x14ac:dyDescent="0.3">
      <c r="A271" t="s">
        <v>543</v>
      </c>
      <c r="B271">
        <v>66</v>
      </c>
    </row>
    <row r="272" spans="1:2" x14ac:dyDescent="0.3">
      <c r="A272" t="s">
        <v>544</v>
      </c>
      <c r="B272">
        <v>68</v>
      </c>
    </row>
    <row r="273" spans="1:24" x14ac:dyDescent="0.3">
      <c r="A273" t="s">
        <v>545</v>
      </c>
      <c r="B273">
        <v>69</v>
      </c>
    </row>
    <row r="274" spans="1:24" x14ac:dyDescent="0.3">
      <c r="A274" t="s">
        <v>546</v>
      </c>
      <c r="B274">
        <v>70</v>
      </c>
    </row>
    <row r="275" spans="1:24" x14ac:dyDescent="0.3">
      <c r="A275" t="s">
        <v>547</v>
      </c>
      <c r="B275">
        <v>71</v>
      </c>
    </row>
    <row r="276" spans="1:24" x14ac:dyDescent="0.3">
      <c r="A276" t="s">
        <v>548</v>
      </c>
      <c r="B276">
        <v>72</v>
      </c>
    </row>
    <row r="277" spans="1:24" x14ac:dyDescent="0.3">
      <c r="A277" t="s">
        <v>549</v>
      </c>
      <c r="B277" t="s">
        <v>550</v>
      </c>
    </row>
    <row r="278" spans="1:24" x14ac:dyDescent="0.3">
      <c r="A278" t="s">
        <v>551</v>
      </c>
      <c r="B278" t="s">
        <v>552</v>
      </c>
    </row>
    <row r="279" spans="1:24" x14ac:dyDescent="0.3">
      <c r="A279" t="s">
        <v>553</v>
      </c>
      <c r="B279" t="s">
        <v>554</v>
      </c>
    </row>
    <row r="280" spans="1:24" x14ac:dyDescent="0.3">
      <c r="A280" t="s">
        <v>555</v>
      </c>
      <c r="B280" t="s">
        <v>556</v>
      </c>
    </row>
    <row r="281" spans="1:24" x14ac:dyDescent="0.3">
      <c r="A281" t="s">
        <v>557</v>
      </c>
      <c r="B281" t="s">
        <v>558</v>
      </c>
    </row>
    <row r="282" spans="1:24" x14ac:dyDescent="0.3">
      <c r="A282" t="s">
        <v>559</v>
      </c>
      <c r="B282" t="s">
        <v>560</v>
      </c>
    </row>
    <row r="283" spans="1:24" x14ac:dyDescent="0.3">
      <c r="A283" t="s">
        <v>561</v>
      </c>
      <c r="B283" t="s">
        <v>562</v>
      </c>
    </row>
    <row r="284" spans="1:24" x14ac:dyDescent="0.3">
      <c r="A284" t="s">
        <v>563</v>
      </c>
      <c r="B284" t="s">
        <v>564</v>
      </c>
    </row>
    <row r="285" spans="1:24" x14ac:dyDescent="0.3">
      <c r="A285" t="s">
        <v>565</v>
      </c>
      <c r="B285" t="s">
        <v>566</v>
      </c>
    </row>
    <row r="286" spans="1:24" x14ac:dyDescent="0.3">
      <c r="A286" t="s">
        <v>567</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workbookViewId="0">
      <pane xSplit="2" ySplit="4" topLeftCell="AQ5" activePane="bottomRight" state="frozen"/>
      <selection pane="topRight" activeCell="C1" sqref="C1"/>
      <selection pane="bottomLeft" activeCell="A5" sqref="A5"/>
      <selection pane="bottomRight" sqref="A1:F1"/>
    </sheetView>
  </sheetViews>
  <sheetFormatPr defaultRowHeight="14.4" outlineLevelRow="2" x14ac:dyDescent="0.3"/>
  <cols>
    <col min="2" max="2" width="24.6640625" style="76" customWidth="1"/>
    <col min="3" max="4" width="10.6640625" style="76" customWidth="1"/>
    <col min="7" max="7" width="1.6640625" style="76" customWidth="1"/>
    <col min="10" max="13" width="10.6640625" style="76" customWidth="1"/>
    <col min="14" max="14" width="24.6640625" style="76" hidden="1" customWidth="1"/>
    <col min="15" max="15" width="12.6640625" style="76" customWidth="1"/>
    <col min="16" max="16" width="10.6640625" style="76" customWidth="1"/>
    <col min="17" max="20" width="12.6640625" style="76" customWidth="1"/>
    <col min="21" max="25" width="11.6640625" style="76" customWidth="1"/>
    <col min="30" max="30" width="1.6640625" style="76" customWidth="1"/>
    <col min="33" max="36" width="10.6640625" style="76" customWidth="1"/>
    <col min="37" max="37" width="24.6640625" style="76" hidden="1" customWidth="1"/>
    <col min="38" max="38" width="12.6640625" style="76" customWidth="1"/>
    <col min="39" max="39" width="10.6640625" style="76" customWidth="1"/>
    <col min="40" max="43" width="12.6640625" style="76" customWidth="1"/>
    <col min="44" max="48" width="11.6640625" style="76" customWidth="1"/>
    <col min="53" max="53" width="1.6640625" style="76" customWidth="1"/>
    <col min="60" max="60" width="1.6640625" style="76" customWidth="1"/>
  </cols>
  <sheetData>
    <row r="1" spans="1:59" x14ac:dyDescent="0.3">
      <c r="A1" s="168" t="s">
        <v>568</v>
      </c>
      <c r="B1" s="156"/>
      <c r="C1" s="156"/>
      <c r="D1" s="156"/>
      <c r="E1" s="156"/>
      <c r="F1" s="156"/>
      <c r="H1" s="164" t="s">
        <v>139</v>
      </c>
      <c r="I1" s="156"/>
      <c r="J1" s="156"/>
      <c r="K1" s="156"/>
      <c r="L1" s="156"/>
      <c r="M1" s="156"/>
      <c r="N1" s="156"/>
      <c r="O1" s="156"/>
      <c r="P1" s="156"/>
      <c r="Q1" s="156"/>
      <c r="R1" s="156"/>
      <c r="S1" s="156"/>
      <c r="T1" s="156"/>
      <c r="U1" s="156"/>
      <c r="V1" s="156"/>
      <c r="W1" s="156"/>
      <c r="X1" s="156"/>
      <c r="Y1" s="156"/>
      <c r="Z1" s="156"/>
      <c r="AA1" s="156"/>
      <c r="AB1" s="156"/>
      <c r="AC1" s="156"/>
      <c r="AE1" s="165" t="s">
        <v>140</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3">
      <c r="A2" s="170" t="s">
        <v>141</v>
      </c>
      <c r="B2" s="169" t="s">
        <v>142</v>
      </c>
      <c r="C2" s="170" t="s">
        <v>144</v>
      </c>
      <c r="D2" s="169" t="s">
        <v>145</v>
      </c>
      <c r="E2" s="170" t="s">
        <v>146</v>
      </c>
      <c r="F2" s="169" t="s">
        <v>147</v>
      </c>
      <c r="H2" s="170" t="s">
        <v>569</v>
      </c>
      <c r="I2" s="169" t="s">
        <v>148</v>
      </c>
      <c r="J2" s="167" t="s">
        <v>149</v>
      </c>
      <c r="K2" s="156"/>
      <c r="L2" s="156"/>
      <c r="M2" s="156"/>
      <c r="N2" s="170" t="s">
        <v>150</v>
      </c>
      <c r="O2" s="169" t="s">
        <v>151</v>
      </c>
      <c r="P2" s="170" t="s">
        <v>86</v>
      </c>
      <c r="Q2" s="166" t="s">
        <v>152</v>
      </c>
      <c r="R2" s="156"/>
      <c r="S2" s="156"/>
      <c r="T2" s="156"/>
      <c r="U2" s="167" t="s">
        <v>153</v>
      </c>
      <c r="V2" s="156"/>
      <c r="W2" s="166" t="s">
        <v>154</v>
      </c>
      <c r="X2" s="156"/>
      <c r="Y2" s="156"/>
      <c r="Z2" s="167" t="s">
        <v>155</v>
      </c>
      <c r="AA2" s="156"/>
      <c r="AB2" s="166" t="s">
        <v>156</v>
      </c>
      <c r="AC2" s="156"/>
      <c r="AE2" s="170" t="s">
        <v>569</v>
      </c>
      <c r="AF2" s="169" t="s">
        <v>148</v>
      </c>
      <c r="AG2" s="167" t="s">
        <v>149</v>
      </c>
      <c r="AH2" s="156"/>
      <c r="AI2" s="156"/>
      <c r="AJ2" s="156"/>
      <c r="AK2" s="170" t="s">
        <v>157</v>
      </c>
      <c r="AL2" s="169" t="s">
        <v>151</v>
      </c>
      <c r="AM2" s="170" t="s">
        <v>86</v>
      </c>
      <c r="AN2" s="166" t="s">
        <v>152</v>
      </c>
      <c r="AO2" s="156"/>
      <c r="AP2" s="156"/>
      <c r="AQ2" s="156"/>
      <c r="AR2" s="167" t="s">
        <v>153</v>
      </c>
      <c r="AS2" s="156"/>
      <c r="AT2" s="166" t="s">
        <v>154</v>
      </c>
      <c r="AU2" s="156"/>
      <c r="AV2" s="156"/>
      <c r="AW2" s="167" t="s">
        <v>155</v>
      </c>
      <c r="AX2" s="156"/>
      <c r="AY2" s="166" t="s">
        <v>156</v>
      </c>
      <c r="AZ2" s="156"/>
      <c r="BB2" s="167" t="s">
        <v>24</v>
      </c>
      <c r="BC2" s="156"/>
      <c r="BD2" s="156"/>
      <c r="BE2" s="156"/>
      <c r="BF2" s="169" t="s">
        <v>160</v>
      </c>
      <c r="BG2" s="170" t="s">
        <v>160</v>
      </c>
    </row>
    <row r="3" spans="1:59" ht="28.8" customHeight="1" x14ac:dyDescent="0.3">
      <c r="A3" s="158"/>
      <c r="B3" s="158"/>
      <c r="C3" s="158"/>
      <c r="D3" s="158"/>
      <c r="E3" s="158"/>
      <c r="F3" s="158"/>
      <c r="H3" s="158"/>
      <c r="I3" s="158"/>
      <c r="J3" s="152" t="s">
        <v>27</v>
      </c>
      <c r="K3" s="152" t="s">
        <v>25</v>
      </c>
      <c r="L3" s="152" t="s">
        <v>161</v>
      </c>
      <c r="M3" s="152" t="s">
        <v>162</v>
      </c>
      <c r="N3" s="158"/>
      <c r="O3" s="158"/>
      <c r="P3" s="158"/>
      <c r="Q3" s="153" t="s">
        <v>27</v>
      </c>
      <c r="R3" s="153" t="s">
        <v>161</v>
      </c>
      <c r="S3" s="153" t="s">
        <v>163</v>
      </c>
      <c r="T3" s="153" t="s">
        <v>26</v>
      </c>
      <c r="U3" s="152" t="s">
        <v>11</v>
      </c>
      <c r="V3" s="152" t="s">
        <v>12</v>
      </c>
      <c r="W3" s="153" t="s">
        <v>13</v>
      </c>
      <c r="X3" s="153" t="s">
        <v>14</v>
      </c>
      <c r="Y3" s="153" t="s">
        <v>15</v>
      </c>
      <c r="Z3" s="152" t="s">
        <v>164</v>
      </c>
      <c r="AA3" s="152" t="s">
        <v>165</v>
      </c>
      <c r="AB3" s="153" t="s">
        <v>164</v>
      </c>
      <c r="AC3" s="153" t="s">
        <v>165</v>
      </c>
      <c r="AE3" s="158"/>
      <c r="AF3" s="158"/>
      <c r="AG3" s="152" t="s">
        <v>27</v>
      </c>
      <c r="AH3" s="152" t="s">
        <v>25</v>
      </c>
      <c r="AI3" s="152" t="s">
        <v>161</v>
      </c>
      <c r="AJ3" s="152" t="s">
        <v>162</v>
      </c>
      <c r="AK3" s="158"/>
      <c r="AL3" s="158"/>
      <c r="AM3" s="158"/>
      <c r="AN3" s="153" t="s">
        <v>27</v>
      </c>
      <c r="AO3" s="153" t="s">
        <v>161</v>
      </c>
      <c r="AP3" s="153" t="s">
        <v>163</v>
      </c>
      <c r="AQ3" s="153" t="s">
        <v>26</v>
      </c>
      <c r="AR3" s="152" t="s">
        <v>11</v>
      </c>
      <c r="AS3" s="152" t="s">
        <v>12</v>
      </c>
      <c r="AT3" s="153" t="s">
        <v>13</v>
      </c>
      <c r="AU3" s="153" t="s">
        <v>14</v>
      </c>
      <c r="AV3" s="153" t="s">
        <v>15</v>
      </c>
      <c r="AW3" s="152" t="s">
        <v>164</v>
      </c>
      <c r="AX3" s="152" t="s">
        <v>165</v>
      </c>
      <c r="AY3" s="153" t="s">
        <v>164</v>
      </c>
      <c r="AZ3" s="153" t="s">
        <v>165</v>
      </c>
      <c r="BB3" s="152" t="s">
        <v>27</v>
      </c>
      <c r="BC3" s="152" t="s">
        <v>25</v>
      </c>
      <c r="BD3" s="152" t="s">
        <v>161</v>
      </c>
      <c r="BE3" s="152" t="s">
        <v>26</v>
      </c>
      <c r="BF3" s="158"/>
      <c r="BG3" s="158"/>
    </row>
    <row r="4" spans="1:59" ht="123" hidden="1" customHeight="1" x14ac:dyDescent="0.3">
      <c r="A4" s="8" t="s">
        <v>166</v>
      </c>
      <c r="B4" s="9" t="s">
        <v>167</v>
      </c>
      <c r="C4" s="8" t="s">
        <v>169</v>
      </c>
      <c r="D4" s="9" t="s">
        <v>170</v>
      </c>
      <c r="E4" s="8" t="s">
        <v>171</v>
      </c>
      <c r="F4" s="9" t="s">
        <v>172</v>
      </c>
      <c r="H4" s="8" t="s">
        <v>570</v>
      </c>
      <c r="I4" s="9" t="s">
        <v>173</v>
      </c>
      <c r="J4" s="8" t="s">
        <v>174</v>
      </c>
      <c r="K4" s="8" t="s">
        <v>175</v>
      </c>
      <c r="L4" s="8" t="s">
        <v>176</v>
      </c>
      <c r="M4" s="8" t="s">
        <v>177</v>
      </c>
      <c r="N4" s="8" t="s">
        <v>178</v>
      </c>
      <c r="O4" s="9" t="s">
        <v>179</v>
      </c>
      <c r="P4" s="8" t="s">
        <v>180</v>
      </c>
      <c r="Q4" s="9" t="s">
        <v>183</v>
      </c>
      <c r="R4" s="9" t="s">
        <v>184</v>
      </c>
      <c r="S4" s="9" t="s">
        <v>185</v>
      </c>
      <c r="T4" s="9" t="s">
        <v>186</v>
      </c>
      <c r="U4" s="8" t="s">
        <v>187</v>
      </c>
      <c r="V4" s="8" t="s">
        <v>188</v>
      </c>
      <c r="W4" s="9" t="s">
        <v>189</v>
      </c>
      <c r="X4" s="9" t="s">
        <v>190</v>
      </c>
      <c r="Y4" s="9" t="s">
        <v>191</v>
      </c>
      <c r="Z4" s="8" t="s">
        <v>192</v>
      </c>
      <c r="AA4" s="8" t="s">
        <v>193</v>
      </c>
      <c r="AB4" s="9" t="s">
        <v>194</v>
      </c>
      <c r="AC4" s="9" t="s">
        <v>195</v>
      </c>
      <c r="AE4" s="8" t="s">
        <v>571</v>
      </c>
      <c r="AF4" s="9" t="s">
        <v>196</v>
      </c>
      <c r="AG4" s="8" t="s">
        <v>197</v>
      </c>
      <c r="AH4" s="8" t="s">
        <v>198</v>
      </c>
      <c r="AI4" s="8" t="s">
        <v>199</v>
      </c>
      <c r="AJ4" s="8" t="s">
        <v>200</v>
      </c>
      <c r="AK4" s="8" t="s">
        <v>201</v>
      </c>
      <c r="AL4" s="9" t="s">
        <v>202</v>
      </c>
      <c r="AM4" s="8" t="s">
        <v>203</v>
      </c>
      <c r="AN4" s="9" t="s">
        <v>206</v>
      </c>
      <c r="AO4" s="9" t="s">
        <v>207</v>
      </c>
      <c r="AP4" s="9" t="s">
        <v>208</v>
      </c>
      <c r="AQ4" s="9" t="s">
        <v>209</v>
      </c>
      <c r="AR4" s="8" t="s">
        <v>210</v>
      </c>
      <c r="AS4" s="8" t="s">
        <v>211</v>
      </c>
      <c r="AT4" s="9" t="s">
        <v>212</v>
      </c>
      <c r="AU4" s="9" t="s">
        <v>213</v>
      </c>
      <c r="AV4" s="9" t="s">
        <v>214</v>
      </c>
      <c r="AW4" s="8" t="s">
        <v>215</v>
      </c>
      <c r="AX4" s="8" t="s">
        <v>216</v>
      </c>
      <c r="AY4" s="9" t="s">
        <v>217</v>
      </c>
      <c r="AZ4" s="9" t="s">
        <v>218</v>
      </c>
      <c r="BB4" s="8" t="s">
        <v>572</v>
      </c>
      <c r="BC4" s="8" t="s">
        <v>219</v>
      </c>
      <c r="BD4" s="8" t="s">
        <v>573</v>
      </c>
      <c r="BE4" s="8" t="s">
        <v>574</v>
      </c>
      <c r="BF4" s="9" t="s">
        <v>221</v>
      </c>
      <c r="BG4" s="8" t="s">
        <v>222</v>
      </c>
    </row>
    <row r="5" spans="1:59" collapsed="1" x14ac:dyDescent="0.3">
      <c r="A5" s="129" t="s">
        <v>233</v>
      </c>
      <c r="B5" s="129" t="s">
        <v>51</v>
      </c>
      <c r="C5" s="129">
        <v>238146391</v>
      </c>
      <c r="D5" s="10">
        <v>10</v>
      </c>
      <c r="E5" s="10">
        <v>32</v>
      </c>
      <c r="F5" s="10">
        <v>30</v>
      </c>
      <c r="H5" s="17">
        <f t="shared" ref="H5:H11" si="0">IF(ISBLANK(Q5),"·",Q5/(C5*(D5*3+IF(AND(ISNUMBER(T5),T5&gt;0),24,0))))</f>
        <v>1.7186498814784335E-2</v>
      </c>
      <c r="I5" s="11">
        <f t="shared" ref="I5:I11" si="1">IF(OR(ISBLANK(Q5),ISBLANK(F5)),"·",Q5*F5/E5/1000000)</f>
        <v>207.20319749999999</v>
      </c>
      <c r="J5" s="12">
        <f t="shared" ref="J5:J11" si="2">IF(ISBLANK(Q5),"·",Q5/C5)</f>
        <v>0.92807093599835411</v>
      </c>
      <c r="K5" s="12">
        <f t="shared" ref="K5:K11" si="3">IF(N5="","·",N5/C5)</f>
        <v>0.14379659442330159</v>
      </c>
      <c r="L5" s="12">
        <f t="shared" ref="L5:L11" si="4">IF(R5="","·",R5/C5)</f>
        <v>0.13535959904594985</v>
      </c>
      <c r="M5" s="12">
        <f t="shared" ref="M5:M11" si="5">IF(ISBLANK(T5),"·",T5/C5)</f>
        <v>0.78427434157505249</v>
      </c>
      <c r="N5" s="129">
        <f t="shared" ref="N5:N11" si="6">IF(OR(ISBLANK(R5),ISBLANK(S5)),"",R5+S5)</f>
        <v>34244640</v>
      </c>
      <c r="O5" s="12">
        <v>16</v>
      </c>
      <c r="P5" s="13">
        <v>24964341</v>
      </c>
      <c r="Q5" s="14">
        <v>221016744</v>
      </c>
      <c r="R5" s="14">
        <v>32235400</v>
      </c>
      <c r="S5" s="14">
        <v>2009240</v>
      </c>
      <c r="T5" s="14">
        <v>186772104</v>
      </c>
      <c r="U5" s="15" t="s">
        <v>575</v>
      </c>
      <c r="V5" s="15" t="s">
        <v>575</v>
      </c>
      <c r="W5" s="15" t="s">
        <v>575</v>
      </c>
      <c r="X5" s="15" t="s">
        <v>575</v>
      </c>
      <c r="Y5" s="15" t="s">
        <v>575</v>
      </c>
      <c r="Z5" s="16">
        <v>2879.44</v>
      </c>
      <c r="AA5" s="16">
        <v>5904.13</v>
      </c>
      <c r="AB5" s="16">
        <v>4.5279999999999996</v>
      </c>
      <c r="AC5" s="16">
        <v>25.728999999999999</v>
      </c>
      <c r="AE5" s="17">
        <f t="shared" ref="AE5:AE11" si="7">IF(ISBLANK(Q5),"·",Q5/(C5*(D5*3+IF(AND(ISNUMBER(T5),T5&gt;0),24,0))))</f>
        <v>1.7186498814784335E-2</v>
      </c>
      <c r="AF5" s="11">
        <f t="shared" ref="AF5:AF11" si="8">IF(OR(ISBLANK(AN5),ISBLANK(F5)),"·",AN5*F5/E5/1000000)</f>
        <v>207.20319749999999</v>
      </c>
      <c r="AG5" s="12">
        <f t="shared" ref="AG5:AG11" si="9">IF(ISBLANK(AN5),"·",AN5/C5)</f>
        <v>0.92807093599835411</v>
      </c>
      <c r="AH5" s="12">
        <f t="shared" ref="AH5:AH11" si="10">IF(AK5="","·",AK5/C5)</f>
        <v>0.14379659442330159</v>
      </c>
      <c r="AI5" s="12">
        <f t="shared" ref="AI5:AI11" si="11">IF(AO5="","·",AO5/C5)</f>
        <v>0.13535959904594985</v>
      </c>
      <c r="AJ5" s="12">
        <f t="shared" ref="AJ5:AJ11" si="12">IF(ISBLANK(AQ5),"·",AQ5/C5)</f>
        <v>0.78427434157505249</v>
      </c>
      <c r="AK5" s="129">
        <f t="shared" ref="AK5:AK11" si="13">IF(OR(ISBLANK(AO5),ISBLANK(AP5)),"",AO5+AP5)</f>
        <v>34244640</v>
      </c>
      <c r="AL5" s="12">
        <v>16</v>
      </c>
      <c r="AM5" s="13">
        <v>24964341</v>
      </c>
      <c r="AN5" s="14">
        <v>221016744</v>
      </c>
      <c r="AO5" s="14">
        <v>32235400</v>
      </c>
      <c r="AP5" s="14">
        <v>2009240</v>
      </c>
      <c r="AQ5" s="14">
        <v>186772104</v>
      </c>
      <c r="AR5" s="15" t="s">
        <v>575</v>
      </c>
      <c r="AS5" s="15" t="s">
        <v>575</v>
      </c>
      <c r="AT5" s="15" t="s">
        <v>575</v>
      </c>
      <c r="AU5" s="15" t="s">
        <v>575</v>
      </c>
      <c r="AV5" s="15" t="s">
        <v>575</v>
      </c>
      <c r="AW5" s="16">
        <v>2847.01</v>
      </c>
      <c r="AX5" s="16">
        <v>6048.39</v>
      </c>
      <c r="AY5" s="16">
        <v>5.0019999999999998</v>
      </c>
      <c r="AZ5" s="16">
        <v>25.74</v>
      </c>
      <c r="BB5" s="62">
        <f t="shared" ref="BB5:BB15" si="14">AG5/J5</f>
        <v>1</v>
      </c>
      <c r="BC5" s="62">
        <f t="shared" ref="BC5:BC15" si="15">AH5/K5</f>
        <v>1</v>
      </c>
      <c r="BD5" s="62">
        <f t="shared" ref="BD5:BD15" si="16">AI5/L5</f>
        <v>1</v>
      </c>
      <c r="BE5" s="62">
        <f t="shared" ref="BE5:BE15" si="17">AJ5/M5</f>
        <v>1</v>
      </c>
      <c r="BF5" s="17">
        <f t="shared" ref="BF5:BF11" si="18">(AK5/AN5) - (N5/Q5)</f>
        <v>0</v>
      </c>
      <c r="BG5" s="17">
        <f t="array" ref="BG5">AVERAGE(AK5:AK5/AN5:AN5) - AVERAGE(N5:N5/Q5:Q5)</f>
        <v>0</v>
      </c>
    </row>
    <row r="6" spans="1:59" collapsed="1" x14ac:dyDescent="0.3">
      <c r="A6" s="18"/>
      <c r="B6" s="18" t="s">
        <v>59</v>
      </c>
      <c r="C6" s="18">
        <v>218121242</v>
      </c>
      <c r="D6" s="19">
        <v>10</v>
      </c>
      <c r="E6" s="19">
        <v>32</v>
      </c>
      <c r="F6" s="19">
        <v>30</v>
      </c>
      <c r="H6" s="26">
        <f t="shared" si="0"/>
        <v>2.4487173021839812E-2</v>
      </c>
      <c r="I6" s="20">
        <f t="shared" si="1"/>
        <v>270.3968625</v>
      </c>
      <c r="J6" s="21">
        <f t="shared" si="2"/>
        <v>1.3223073431793497</v>
      </c>
      <c r="K6" s="21">
        <f t="shared" si="3"/>
        <v>0.1735424924822315</v>
      </c>
      <c r="L6" s="21">
        <f t="shared" si="4"/>
        <v>0.15906613992230981</v>
      </c>
      <c r="M6" s="21">
        <f t="shared" si="5"/>
        <v>1.1487648506971182</v>
      </c>
      <c r="N6" s="18">
        <f t="shared" si="6"/>
        <v>37853304</v>
      </c>
      <c r="O6" s="21">
        <v>16</v>
      </c>
      <c r="P6" s="22">
        <v>22654789</v>
      </c>
      <c r="Q6" s="23">
        <v>288423320</v>
      </c>
      <c r="R6" s="23">
        <v>34695704</v>
      </c>
      <c r="S6" s="23">
        <v>3157600</v>
      </c>
      <c r="T6" s="23">
        <v>250570016</v>
      </c>
      <c r="U6" s="24" t="s">
        <v>575</v>
      </c>
      <c r="V6" s="24" t="s">
        <v>575</v>
      </c>
      <c r="W6" s="24" t="s">
        <v>575</v>
      </c>
      <c r="X6" s="24" t="s">
        <v>575</v>
      </c>
      <c r="Y6" s="24" t="s">
        <v>575</v>
      </c>
      <c r="Z6" s="25">
        <v>2628.17</v>
      </c>
      <c r="AA6" s="25">
        <v>6079.63</v>
      </c>
      <c r="AB6" s="25">
        <v>4.6070000000000002</v>
      </c>
      <c r="AC6" s="25">
        <v>29.795999999999999</v>
      </c>
      <c r="AE6" s="26">
        <f t="shared" si="7"/>
        <v>2.4487173021839812E-2</v>
      </c>
      <c r="AF6" s="20">
        <f t="shared" si="8"/>
        <v>270.3968625</v>
      </c>
      <c r="AG6" s="21">
        <f t="shared" si="9"/>
        <v>1.3223073431793497</v>
      </c>
      <c r="AH6" s="21">
        <f t="shared" si="10"/>
        <v>0.1735424924822315</v>
      </c>
      <c r="AI6" s="21">
        <f t="shared" si="11"/>
        <v>0.15906613992230981</v>
      </c>
      <c r="AJ6" s="21">
        <f t="shared" si="12"/>
        <v>1.1487648506971182</v>
      </c>
      <c r="AK6" s="18">
        <f t="shared" si="13"/>
        <v>37853304</v>
      </c>
      <c r="AL6" s="21">
        <v>16</v>
      </c>
      <c r="AM6" s="22">
        <v>22654789</v>
      </c>
      <c r="AN6" s="23">
        <v>288423320</v>
      </c>
      <c r="AO6" s="23">
        <v>34695704</v>
      </c>
      <c r="AP6" s="23">
        <v>3157600</v>
      </c>
      <c r="AQ6" s="23">
        <v>250570016</v>
      </c>
      <c r="AR6" s="24" t="s">
        <v>575</v>
      </c>
      <c r="AS6" s="24" t="s">
        <v>575</v>
      </c>
      <c r="AT6" s="24" t="s">
        <v>575</v>
      </c>
      <c r="AU6" s="24" t="s">
        <v>575</v>
      </c>
      <c r="AV6" s="24" t="s">
        <v>575</v>
      </c>
      <c r="AW6" s="25">
        <v>2482.16</v>
      </c>
      <c r="AX6" s="25">
        <v>5817.62</v>
      </c>
      <c r="AY6" s="25">
        <v>4.468</v>
      </c>
      <c r="AZ6" s="25">
        <v>25.925999999999998</v>
      </c>
      <c r="BB6" s="58">
        <f t="shared" si="14"/>
        <v>1</v>
      </c>
      <c r="BC6" s="58">
        <f t="shared" si="15"/>
        <v>1</v>
      </c>
      <c r="BD6" s="58">
        <f t="shared" si="16"/>
        <v>1</v>
      </c>
      <c r="BE6" s="58">
        <f t="shared" si="17"/>
        <v>1</v>
      </c>
      <c r="BF6" s="26">
        <f t="shared" si="18"/>
        <v>0</v>
      </c>
      <c r="BG6" s="26">
        <f t="array" ref="BG6">AVERAGE(AK6:AK6/AN6:AN6) - AVERAGE(N6:N6/Q6:Q6)</f>
        <v>0</v>
      </c>
    </row>
    <row r="7" spans="1:59" collapsed="1" x14ac:dyDescent="0.3">
      <c r="A7" s="129"/>
      <c r="B7" s="129" t="s">
        <v>64</v>
      </c>
      <c r="C7" s="129">
        <v>322589704</v>
      </c>
      <c r="D7" s="10">
        <v>10</v>
      </c>
      <c r="E7" s="10">
        <v>32</v>
      </c>
      <c r="F7" s="10">
        <v>30</v>
      </c>
      <c r="H7" s="17">
        <f t="shared" si="0"/>
        <v>1.9208689566488711E-2</v>
      </c>
      <c r="I7" s="11">
        <f t="shared" si="1"/>
        <v>313.69910249999998</v>
      </c>
      <c r="J7" s="12">
        <f t="shared" si="2"/>
        <v>1.0372692365903904</v>
      </c>
      <c r="K7" s="12">
        <f t="shared" si="3"/>
        <v>0.17007136718783808</v>
      </c>
      <c r="L7" s="12">
        <f t="shared" si="4"/>
        <v>0.15795450185849702</v>
      </c>
      <c r="M7" s="12">
        <f t="shared" si="5"/>
        <v>0.86719786940255228</v>
      </c>
      <c r="N7" s="129">
        <f t="shared" si="6"/>
        <v>54863272</v>
      </c>
      <c r="O7" s="12">
        <v>16</v>
      </c>
      <c r="P7" s="13">
        <v>33947718</v>
      </c>
      <c r="Q7" s="14">
        <v>334612376</v>
      </c>
      <c r="R7" s="14">
        <v>50954496</v>
      </c>
      <c r="S7" s="14">
        <v>3908776</v>
      </c>
      <c r="T7" s="14">
        <v>279749104</v>
      </c>
      <c r="U7" s="15" t="s">
        <v>575</v>
      </c>
      <c r="V7" s="15" t="s">
        <v>575</v>
      </c>
      <c r="W7" s="15" t="s">
        <v>575</v>
      </c>
      <c r="X7" s="15" t="s">
        <v>575</v>
      </c>
      <c r="Y7" s="15" t="s">
        <v>575</v>
      </c>
      <c r="Z7" s="16">
        <v>3916.34</v>
      </c>
      <c r="AA7" s="16">
        <v>8210.83</v>
      </c>
      <c r="AB7" s="16">
        <v>6.1390000000000002</v>
      </c>
      <c r="AC7" s="16">
        <v>32.337000000000003</v>
      </c>
      <c r="AE7" s="17">
        <f t="shared" si="7"/>
        <v>1.9208689566488711E-2</v>
      </c>
      <c r="AF7" s="11">
        <f t="shared" si="8"/>
        <v>313.69910249999998</v>
      </c>
      <c r="AG7" s="12">
        <f t="shared" si="9"/>
        <v>1.0372692365903904</v>
      </c>
      <c r="AH7" s="12">
        <f t="shared" si="10"/>
        <v>0.17007136718783808</v>
      </c>
      <c r="AI7" s="12">
        <f t="shared" si="11"/>
        <v>0.15795450185849702</v>
      </c>
      <c r="AJ7" s="12">
        <f t="shared" si="12"/>
        <v>0.86719786940255228</v>
      </c>
      <c r="AK7" s="129">
        <f t="shared" si="13"/>
        <v>54863272</v>
      </c>
      <c r="AL7" s="12">
        <v>16</v>
      </c>
      <c r="AM7" s="13">
        <v>33947718</v>
      </c>
      <c r="AN7" s="14">
        <v>334612376</v>
      </c>
      <c r="AO7" s="14">
        <v>50954496</v>
      </c>
      <c r="AP7" s="14">
        <v>3908776</v>
      </c>
      <c r="AQ7" s="14">
        <v>279749104</v>
      </c>
      <c r="AR7" s="15" t="s">
        <v>575</v>
      </c>
      <c r="AS7" s="15" t="s">
        <v>575</v>
      </c>
      <c r="AT7" s="15" t="s">
        <v>575</v>
      </c>
      <c r="AU7" s="15" t="s">
        <v>575</v>
      </c>
      <c r="AV7" s="15" t="s">
        <v>575</v>
      </c>
      <c r="AW7" s="16">
        <v>3688.72</v>
      </c>
      <c r="AX7" s="16">
        <v>7895.98</v>
      </c>
      <c r="AY7" s="16">
        <v>6.0709999999999997</v>
      </c>
      <c r="AZ7" s="16">
        <v>27.809000000000001</v>
      </c>
      <c r="BB7" s="62">
        <f t="shared" si="14"/>
        <v>1</v>
      </c>
      <c r="BC7" s="62">
        <f t="shared" si="15"/>
        <v>1</v>
      </c>
      <c r="BD7" s="62">
        <f t="shared" si="16"/>
        <v>1</v>
      </c>
      <c r="BE7" s="62">
        <f t="shared" si="17"/>
        <v>1</v>
      </c>
      <c r="BF7" s="17">
        <f t="shared" si="18"/>
        <v>0</v>
      </c>
      <c r="BG7" s="17">
        <f t="array" ref="BG7">AVERAGE(AK7:AK7/AN7:AN7) - AVERAGE(N7:N7/Q7:Q7)</f>
        <v>0</v>
      </c>
    </row>
    <row r="8" spans="1:59" collapsed="1" x14ac:dyDescent="0.3">
      <c r="A8" s="37"/>
      <c r="B8" s="37" t="s">
        <v>70</v>
      </c>
      <c r="C8" s="37">
        <v>250602891</v>
      </c>
      <c r="D8" s="38">
        <v>10</v>
      </c>
      <c r="E8" s="38">
        <v>32</v>
      </c>
      <c r="F8" s="38">
        <v>50</v>
      </c>
      <c r="H8" s="46">
        <f t="shared" si="0"/>
        <v>1.8798198792379307E-2</v>
      </c>
      <c r="I8" s="39">
        <f t="shared" si="1"/>
        <v>397.48075</v>
      </c>
      <c r="J8" s="40">
        <f t="shared" si="2"/>
        <v>1.0151027347884825</v>
      </c>
      <c r="K8" s="40">
        <f t="shared" si="3"/>
        <v>0.15943199952948667</v>
      </c>
      <c r="L8" s="40">
        <f t="shared" si="4"/>
        <v>0.13985511444079868</v>
      </c>
      <c r="M8" s="40">
        <f t="shared" si="5"/>
        <v>0.85567073525899584</v>
      </c>
      <c r="N8" s="37">
        <f t="shared" si="6"/>
        <v>39954120</v>
      </c>
      <c r="O8" s="40">
        <v>16</v>
      </c>
      <c r="P8" s="41">
        <v>32209643</v>
      </c>
      <c r="Q8" s="42">
        <v>254387680</v>
      </c>
      <c r="R8" s="42">
        <v>35048096</v>
      </c>
      <c r="S8" s="42">
        <v>4906024</v>
      </c>
      <c r="T8" s="42">
        <v>214433560</v>
      </c>
      <c r="U8" s="43" t="s">
        <v>575</v>
      </c>
      <c r="V8" s="43" t="s">
        <v>575</v>
      </c>
      <c r="W8" s="43" t="s">
        <v>575</v>
      </c>
      <c r="X8" s="43" t="s">
        <v>575</v>
      </c>
      <c r="Y8" s="43" t="s">
        <v>575</v>
      </c>
      <c r="Z8" s="44">
        <v>3847.94</v>
      </c>
      <c r="AA8" s="44">
        <v>6419.62</v>
      </c>
      <c r="AB8" s="44">
        <v>5.57</v>
      </c>
      <c r="AC8" s="44">
        <v>29.596</v>
      </c>
      <c r="AE8" s="46">
        <f t="shared" si="7"/>
        <v>1.8798198792379307E-2</v>
      </c>
      <c r="AF8" s="39">
        <f t="shared" si="8"/>
        <v>397.48075</v>
      </c>
      <c r="AG8" s="40">
        <f t="shared" si="9"/>
        <v>1.0151027347884825</v>
      </c>
      <c r="AH8" s="40">
        <f t="shared" si="10"/>
        <v>0.15943199952948667</v>
      </c>
      <c r="AI8" s="40">
        <f t="shared" si="11"/>
        <v>0.13985511444079868</v>
      </c>
      <c r="AJ8" s="40">
        <f t="shared" si="12"/>
        <v>0.85567073525899584</v>
      </c>
      <c r="AK8" s="37">
        <f t="shared" si="13"/>
        <v>39954120</v>
      </c>
      <c r="AL8" s="40">
        <v>16</v>
      </c>
      <c r="AM8" s="41">
        <v>32209643</v>
      </c>
      <c r="AN8" s="42">
        <v>254387680</v>
      </c>
      <c r="AO8" s="42">
        <v>35048096</v>
      </c>
      <c r="AP8" s="42">
        <v>4906024</v>
      </c>
      <c r="AQ8" s="42">
        <v>214433560</v>
      </c>
      <c r="AR8" s="43" t="s">
        <v>575</v>
      </c>
      <c r="AS8" s="43" t="s">
        <v>575</v>
      </c>
      <c r="AT8" s="43" t="s">
        <v>575</v>
      </c>
      <c r="AU8" s="43" t="s">
        <v>575</v>
      </c>
      <c r="AV8" s="43" t="s">
        <v>575</v>
      </c>
      <c r="AW8" s="44">
        <v>3605.91</v>
      </c>
      <c r="AX8" s="44">
        <v>6141.11</v>
      </c>
      <c r="AY8" s="44">
        <v>5.7309999999999999</v>
      </c>
      <c r="AZ8" s="44">
        <v>28.126999999999999</v>
      </c>
      <c r="BB8" s="45">
        <f t="shared" si="14"/>
        <v>1</v>
      </c>
      <c r="BC8" s="45">
        <f t="shared" si="15"/>
        <v>1</v>
      </c>
      <c r="BD8" s="45">
        <f t="shared" si="16"/>
        <v>1</v>
      </c>
      <c r="BE8" s="45">
        <f t="shared" si="17"/>
        <v>1</v>
      </c>
      <c r="BF8" s="46">
        <f t="shared" si="18"/>
        <v>0</v>
      </c>
      <c r="BG8" s="46">
        <f t="array" ref="BG8">AVERAGE(AK8:AK8/AN8:AN8) - AVERAGE(N8:N8/Q8:Q8)</f>
        <v>0</v>
      </c>
    </row>
    <row r="9" spans="1:59" collapsed="1" x14ac:dyDescent="0.3">
      <c r="A9" s="27" t="s">
        <v>239</v>
      </c>
      <c r="B9" s="27" t="s">
        <v>73</v>
      </c>
      <c r="C9" s="27">
        <v>250294582</v>
      </c>
      <c r="D9" s="28">
        <v>10</v>
      </c>
      <c r="E9" s="28">
        <v>32</v>
      </c>
      <c r="F9" s="28">
        <v>30</v>
      </c>
      <c r="H9" s="36">
        <f t="shared" si="0"/>
        <v>2.8149186580830141E-2</v>
      </c>
      <c r="I9" s="29">
        <f t="shared" si="1"/>
        <v>356.68293749999998</v>
      </c>
      <c r="J9" s="30">
        <f t="shared" si="2"/>
        <v>1.5200560753648276</v>
      </c>
      <c r="K9" s="30">
        <f t="shared" si="3"/>
        <v>0.15277834499829485</v>
      </c>
      <c r="L9" s="30">
        <f t="shared" si="4"/>
        <v>0.14273954999153757</v>
      </c>
      <c r="M9" s="30">
        <f t="shared" si="5"/>
        <v>1.3672777303665327</v>
      </c>
      <c r="N9" s="27">
        <f t="shared" si="6"/>
        <v>38239592</v>
      </c>
      <c r="O9" s="30">
        <v>16</v>
      </c>
      <c r="P9" s="31">
        <v>25312408</v>
      </c>
      <c r="Q9" s="32">
        <v>380461800</v>
      </c>
      <c r="R9" s="32">
        <v>35726936</v>
      </c>
      <c r="S9" s="32">
        <v>2512656</v>
      </c>
      <c r="T9" s="32">
        <v>342222208</v>
      </c>
      <c r="U9" s="33" t="s">
        <v>575</v>
      </c>
      <c r="V9" s="33" t="s">
        <v>575</v>
      </c>
      <c r="W9" s="33" t="s">
        <v>575</v>
      </c>
      <c r="X9" s="33" t="s">
        <v>575</v>
      </c>
      <c r="Y9" s="33" t="s">
        <v>575</v>
      </c>
      <c r="Z9" s="34">
        <v>2946.39</v>
      </c>
      <c r="AA9" s="34">
        <v>6653.29</v>
      </c>
      <c r="AB9" s="34">
        <v>4.8929999999999998</v>
      </c>
      <c r="AC9" s="34">
        <v>32.366999999999997</v>
      </c>
      <c r="AE9" s="36">
        <f t="shared" si="7"/>
        <v>2.8149186580830141E-2</v>
      </c>
      <c r="AF9" s="29">
        <f t="shared" si="8"/>
        <v>356.68293749999998</v>
      </c>
      <c r="AG9" s="30">
        <f t="shared" si="9"/>
        <v>1.5200560753648276</v>
      </c>
      <c r="AH9" s="30">
        <f t="shared" si="10"/>
        <v>0.15277834499829485</v>
      </c>
      <c r="AI9" s="30">
        <f t="shared" si="11"/>
        <v>0.14273954999153757</v>
      </c>
      <c r="AJ9" s="30">
        <f t="shared" si="12"/>
        <v>1.3672777303665327</v>
      </c>
      <c r="AK9" s="27">
        <f t="shared" si="13"/>
        <v>38239592</v>
      </c>
      <c r="AL9" s="30">
        <v>16</v>
      </c>
      <c r="AM9" s="31">
        <v>25312408</v>
      </c>
      <c r="AN9" s="32">
        <v>380461800</v>
      </c>
      <c r="AO9" s="32">
        <v>35726936</v>
      </c>
      <c r="AP9" s="32">
        <v>2512656</v>
      </c>
      <c r="AQ9" s="32">
        <v>342222208</v>
      </c>
      <c r="AR9" s="33" t="s">
        <v>575</v>
      </c>
      <c r="AS9" s="33" t="s">
        <v>575</v>
      </c>
      <c r="AT9" s="33" t="s">
        <v>575</v>
      </c>
      <c r="AU9" s="33" t="s">
        <v>575</v>
      </c>
      <c r="AV9" s="33" t="s">
        <v>575</v>
      </c>
      <c r="AW9" s="34">
        <v>2835.94</v>
      </c>
      <c r="AX9" s="34">
        <v>6475.26</v>
      </c>
      <c r="AY9" s="34">
        <v>4.5999999999999996</v>
      </c>
      <c r="AZ9" s="34">
        <v>27.497</v>
      </c>
      <c r="BB9" s="35">
        <f t="shared" si="14"/>
        <v>1</v>
      </c>
      <c r="BC9" s="35">
        <f t="shared" si="15"/>
        <v>1</v>
      </c>
      <c r="BD9" s="35">
        <f t="shared" si="16"/>
        <v>1</v>
      </c>
      <c r="BE9" s="35">
        <f t="shared" si="17"/>
        <v>1</v>
      </c>
      <c r="BF9" s="36">
        <f t="shared" si="18"/>
        <v>0</v>
      </c>
      <c r="BG9" s="36">
        <f t="array" ref="BG9">AVERAGE(AK9:AK9/AN9:AN9) - AVERAGE(N9:N9/Q9:Q9)</f>
        <v>0</v>
      </c>
    </row>
    <row r="10" spans="1:59" collapsed="1" x14ac:dyDescent="0.3">
      <c r="A10" s="18" t="s">
        <v>240</v>
      </c>
      <c r="B10" s="18" t="s">
        <v>77</v>
      </c>
      <c r="C10" s="18">
        <v>375422539</v>
      </c>
      <c r="D10" s="19">
        <v>11</v>
      </c>
      <c r="E10" s="19">
        <v>128</v>
      </c>
      <c r="F10" s="19">
        <v>30</v>
      </c>
      <c r="H10" s="26">
        <f t="shared" si="0"/>
        <v>4.2414481728952964E-2</v>
      </c>
      <c r="I10" s="20">
        <f t="shared" si="1"/>
        <v>212.72603624999999</v>
      </c>
      <c r="J10" s="21">
        <f t="shared" si="2"/>
        <v>2.4176254585503187</v>
      </c>
      <c r="K10" s="21">
        <f t="shared" si="3"/>
        <v>0.27291493012890206</v>
      </c>
      <c r="L10" s="21">
        <f t="shared" si="4"/>
        <v>0.26113289910918214</v>
      </c>
      <c r="M10" s="21">
        <f t="shared" si="5"/>
        <v>2.1447105284214167</v>
      </c>
      <c r="N10" s="18">
        <f t="shared" si="6"/>
        <v>102458416</v>
      </c>
      <c r="O10" s="21">
        <v>16</v>
      </c>
      <c r="P10" s="22">
        <v>92854683</v>
      </c>
      <c r="Q10" s="23">
        <v>907631088</v>
      </c>
      <c r="R10" s="23">
        <v>98035176</v>
      </c>
      <c r="S10" s="23">
        <v>4423240</v>
      </c>
      <c r="T10" s="23">
        <v>805172672</v>
      </c>
      <c r="U10" s="24" t="s">
        <v>575</v>
      </c>
      <c r="V10" s="24" t="s">
        <v>575</v>
      </c>
      <c r="W10" s="24" t="s">
        <v>575</v>
      </c>
      <c r="X10" s="24" t="s">
        <v>575</v>
      </c>
      <c r="Y10" s="24" t="s">
        <v>575</v>
      </c>
      <c r="Z10" s="25">
        <v>10917.1</v>
      </c>
      <c r="AA10" s="25">
        <v>18569.099999999999</v>
      </c>
      <c r="AB10" s="25">
        <v>15.647</v>
      </c>
      <c r="AC10" s="25">
        <v>87.08</v>
      </c>
      <c r="AE10" s="26">
        <f t="shared" si="7"/>
        <v>4.2414481728952964E-2</v>
      </c>
      <c r="AF10" s="20">
        <f t="shared" si="8"/>
        <v>212.72603624999999</v>
      </c>
      <c r="AG10" s="21">
        <f t="shared" si="9"/>
        <v>2.4176254585503187</v>
      </c>
      <c r="AH10" s="21">
        <f t="shared" si="10"/>
        <v>0.27291493012890206</v>
      </c>
      <c r="AI10" s="21">
        <f t="shared" si="11"/>
        <v>0.26113289910918214</v>
      </c>
      <c r="AJ10" s="21">
        <f t="shared" si="12"/>
        <v>2.1447105284214167</v>
      </c>
      <c r="AK10" s="18">
        <f t="shared" si="13"/>
        <v>102458416</v>
      </c>
      <c r="AL10" s="21">
        <v>16</v>
      </c>
      <c r="AM10" s="22">
        <v>92854683</v>
      </c>
      <c r="AN10" s="23">
        <v>907631088</v>
      </c>
      <c r="AO10" s="23">
        <v>98035176</v>
      </c>
      <c r="AP10" s="23">
        <v>4423240</v>
      </c>
      <c r="AQ10" s="23">
        <v>805172672</v>
      </c>
      <c r="AR10" s="24" t="s">
        <v>575</v>
      </c>
      <c r="AS10" s="24" t="s">
        <v>575</v>
      </c>
      <c r="AT10" s="24" t="s">
        <v>575</v>
      </c>
      <c r="AU10" s="24" t="s">
        <v>575</v>
      </c>
      <c r="AV10" s="24" t="s">
        <v>575</v>
      </c>
      <c r="AW10" s="25">
        <v>10354.299999999999</v>
      </c>
      <c r="AX10" s="25">
        <v>19945.099999999999</v>
      </c>
      <c r="AY10" s="25">
        <v>16.398</v>
      </c>
      <c r="AZ10" s="25">
        <v>80.748999999999995</v>
      </c>
      <c r="BB10" s="58">
        <f t="shared" si="14"/>
        <v>1</v>
      </c>
      <c r="BC10" s="58">
        <f t="shared" si="15"/>
        <v>1</v>
      </c>
      <c r="BD10" s="58">
        <f t="shared" si="16"/>
        <v>1</v>
      </c>
      <c r="BE10" s="58">
        <f t="shared" si="17"/>
        <v>1</v>
      </c>
      <c r="BF10" s="26">
        <f t="shared" si="18"/>
        <v>0</v>
      </c>
      <c r="BG10" s="26">
        <f t="array" ref="BG10">AVERAGE(AK10:AK10/AN10:AN10) - AVERAGE(N10:N10/Q10:Q10)</f>
        <v>0</v>
      </c>
    </row>
    <row r="11" spans="1:59" collapsed="1" x14ac:dyDescent="0.3">
      <c r="A11" s="27"/>
      <c r="B11" s="27" t="s">
        <v>82</v>
      </c>
      <c r="C11" s="27">
        <v>333190689</v>
      </c>
      <c r="D11" s="28">
        <v>11</v>
      </c>
      <c r="E11" s="28">
        <v>128</v>
      </c>
      <c r="F11" s="28">
        <v>30</v>
      </c>
      <c r="H11" s="36">
        <f t="shared" si="0"/>
        <v>4.369165499573413E-2</v>
      </c>
      <c r="I11" s="29">
        <f t="shared" si="1"/>
        <v>194.48114062499999</v>
      </c>
      <c r="J11" s="30">
        <f t="shared" si="2"/>
        <v>2.4904243347568453</v>
      </c>
      <c r="K11" s="30">
        <f t="shared" si="3"/>
        <v>0.29371694717435515</v>
      </c>
      <c r="L11" s="30">
        <f t="shared" si="4"/>
        <v>0.27930213860207842</v>
      </c>
      <c r="M11" s="30">
        <f t="shared" si="5"/>
        <v>2.1967073875824905</v>
      </c>
      <c r="N11" s="27">
        <f t="shared" si="6"/>
        <v>97863752</v>
      </c>
      <c r="O11" s="30">
        <v>16</v>
      </c>
      <c r="P11" s="31">
        <v>83104648</v>
      </c>
      <c r="Q11" s="32">
        <v>829786200</v>
      </c>
      <c r="R11" s="32">
        <v>93060872</v>
      </c>
      <c r="S11" s="32">
        <v>4802880</v>
      </c>
      <c r="T11" s="32">
        <v>731922448</v>
      </c>
      <c r="U11" s="33" t="s">
        <v>575</v>
      </c>
      <c r="V11" s="33" t="s">
        <v>575</v>
      </c>
      <c r="W11" s="33" t="s">
        <v>575</v>
      </c>
      <c r="X11" s="33" t="s">
        <v>575</v>
      </c>
      <c r="Y11" s="33" t="s">
        <v>575</v>
      </c>
      <c r="Z11" s="34">
        <v>9814.67</v>
      </c>
      <c r="AA11" s="34">
        <v>20432.2</v>
      </c>
      <c r="AB11" s="34">
        <v>15.298999999999999</v>
      </c>
      <c r="AC11" s="34">
        <v>96.918999999999997</v>
      </c>
      <c r="AE11" s="36">
        <f t="shared" si="7"/>
        <v>4.369165499573413E-2</v>
      </c>
      <c r="AF11" s="29">
        <f t="shared" si="8"/>
        <v>194.48114062499999</v>
      </c>
      <c r="AG11" s="30">
        <f t="shared" si="9"/>
        <v>2.4904243347568453</v>
      </c>
      <c r="AH11" s="30">
        <f t="shared" si="10"/>
        <v>0.29371694717435515</v>
      </c>
      <c r="AI11" s="30">
        <f t="shared" si="11"/>
        <v>0.27930213860207842</v>
      </c>
      <c r="AJ11" s="30">
        <f t="shared" si="12"/>
        <v>2.1967073875824905</v>
      </c>
      <c r="AK11" s="27">
        <f t="shared" si="13"/>
        <v>97863752</v>
      </c>
      <c r="AL11" s="30">
        <v>16</v>
      </c>
      <c r="AM11" s="31">
        <v>83104648</v>
      </c>
      <c r="AN11" s="32">
        <v>829786200</v>
      </c>
      <c r="AO11" s="32">
        <v>93060872</v>
      </c>
      <c r="AP11" s="32">
        <v>4802880</v>
      </c>
      <c r="AQ11" s="32">
        <v>731922448</v>
      </c>
      <c r="AR11" s="33" t="s">
        <v>575</v>
      </c>
      <c r="AS11" s="33" t="s">
        <v>575</v>
      </c>
      <c r="AT11" s="33" t="s">
        <v>575</v>
      </c>
      <c r="AU11" s="33" t="s">
        <v>575</v>
      </c>
      <c r="AV11" s="33" t="s">
        <v>575</v>
      </c>
      <c r="AW11" s="34">
        <v>9160.15</v>
      </c>
      <c r="AX11" s="34">
        <v>21581.7</v>
      </c>
      <c r="AY11" s="34">
        <v>16.713000000000001</v>
      </c>
      <c r="AZ11" s="34">
        <v>98.733000000000004</v>
      </c>
      <c r="BB11" s="35">
        <f t="shared" si="14"/>
        <v>1</v>
      </c>
      <c r="BC11" s="35">
        <f t="shared" si="15"/>
        <v>1</v>
      </c>
      <c r="BD11" s="35">
        <f t="shared" si="16"/>
        <v>1</v>
      </c>
      <c r="BE11" s="35">
        <f t="shared" si="17"/>
        <v>1</v>
      </c>
      <c r="BF11" s="36">
        <f t="shared" si="18"/>
        <v>0</v>
      </c>
      <c r="BG11" s="36">
        <f t="array" ref="BG11">AVERAGE(AK11:AK11/AN11:AN11) - AVERAGE(N11:N11/Q11:Q11)</f>
        <v>0</v>
      </c>
    </row>
    <row r="12" spans="1:59" x14ac:dyDescent="0.3">
      <c r="B12" s="47" t="s">
        <v>16</v>
      </c>
      <c r="J12" s="48">
        <f>AVERAGE(J5:J8)</f>
        <v>1.075687562639144</v>
      </c>
      <c r="K12" s="48">
        <f>AVERAGE(K5:K8)</f>
        <v>0.16171061340571447</v>
      </c>
      <c r="L12" s="48">
        <f>AVERAGE(L5:L8)</f>
        <v>0.14805883881688883</v>
      </c>
      <c r="M12" s="48">
        <f>AVERAGE(M5:M8)</f>
        <v>0.91397694923342965</v>
      </c>
      <c r="AG12" s="48">
        <f>AVERAGE(AG5:AG8)</f>
        <v>1.075687562639144</v>
      </c>
      <c r="AH12" s="48">
        <f>AVERAGE(AH5:AH8)</f>
        <v>0.16171061340571447</v>
      </c>
      <c r="AI12" s="48">
        <f>AVERAGE(AI5:AI8)</f>
        <v>0.14805883881688883</v>
      </c>
      <c r="AJ12" s="48">
        <f>AVERAGE(AJ5:AJ8)</f>
        <v>0.91397694923342965</v>
      </c>
      <c r="BB12" s="71">
        <f t="shared" si="14"/>
        <v>1</v>
      </c>
      <c r="BC12" s="71">
        <f t="shared" si="15"/>
        <v>1</v>
      </c>
      <c r="BD12" s="71">
        <f t="shared" si="16"/>
        <v>1</v>
      </c>
      <c r="BE12" s="71">
        <f t="shared" si="17"/>
        <v>1</v>
      </c>
      <c r="BG12" s="151">
        <f>AVERAGE(BG5:BG8)</f>
        <v>0</v>
      </c>
    </row>
    <row r="13" spans="1:59" x14ac:dyDescent="0.3">
      <c r="B13" s="47" t="s">
        <v>17</v>
      </c>
      <c r="J13" s="48">
        <f>AVERAGE(J9:J9)</f>
        <v>1.5200560753648276</v>
      </c>
      <c r="K13" s="48">
        <f>AVERAGE(K9:K9)</f>
        <v>0.15277834499829485</v>
      </c>
      <c r="L13" s="48">
        <f>AVERAGE(L9:L9)</f>
        <v>0.14273954999153757</v>
      </c>
      <c r="M13" s="48">
        <f>AVERAGE(M9:M9)</f>
        <v>1.3672777303665327</v>
      </c>
      <c r="AG13" s="48">
        <f>AVERAGE(AG9:AG9)</f>
        <v>1.5200560753648276</v>
      </c>
      <c r="AH13" s="48">
        <f>AVERAGE(AH9:AH9)</f>
        <v>0.15277834499829485</v>
      </c>
      <c r="AI13" s="48">
        <f>AVERAGE(AI9:AI9)</f>
        <v>0.14273954999153757</v>
      </c>
      <c r="AJ13" s="48">
        <f>AVERAGE(AJ9:AJ9)</f>
        <v>1.3672777303665327</v>
      </c>
      <c r="BB13" s="71">
        <f t="shared" si="14"/>
        <v>1</v>
      </c>
      <c r="BC13" s="71">
        <f t="shared" si="15"/>
        <v>1</v>
      </c>
      <c r="BD13" s="71">
        <f t="shared" si="16"/>
        <v>1</v>
      </c>
      <c r="BE13" s="71">
        <f t="shared" si="17"/>
        <v>1</v>
      </c>
      <c r="BG13" s="151">
        <f>AVERAGE(BG9:BG9)</f>
        <v>0</v>
      </c>
    </row>
    <row r="14" spans="1:59" x14ac:dyDescent="0.3">
      <c r="B14" s="47" t="s">
        <v>18</v>
      </c>
      <c r="J14" s="48">
        <f>AVERAGE(J10:J11)</f>
        <v>2.454024896653582</v>
      </c>
      <c r="K14" s="48">
        <f>AVERAGE(K10:K11)</f>
        <v>0.28331593865162863</v>
      </c>
      <c r="L14" s="48">
        <f>AVERAGE(L10:L11)</f>
        <v>0.27021751885563028</v>
      </c>
      <c r="M14" s="48">
        <f>AVERAGE(M10:M11)</f>
        <v>2.1707089580019536</v>
      </c>
      <c r="AG14" s="48">
        <f>AVERAGE(AG10:AG11)</f>
        <v>2.454024896653582</v>
      </c>
      <c r="AH14" s="48">
        <f>AVERAGE(AH10:AH11)</f>
        <v>0.28331593865162863</v>
      </c>
      <c r="AI14" s="48">
        <f>AVERAGE(AI10:AI11)</f>
        <v>0.27021751885563028</v>
      </c>
      <c r="AJ14" s="48">
        <f>AVERAGE(AJ10:AJ11)</f>
        <v>2.1707089580019536</v>
      </c>
      <c r="BB14" s="71">
        <f t="shared" si="14"/>
        <v>1</v>
      </c>
      <c r="BC14" s="71">
        <f t="shared" si="15"/>
        <v>1</v>
      </c>
      <c r="BD14" s="71">
        <f t="shared" si="16"/>
        <v>1</v>
      </c>
      <c r="BE14" s="71">
        <f t="shared" si="17"/>
        <v>1</v>
      </c>
      <c r="BG14" s="151">
        <f>AVERAGE(BG10:BG11)</f>
        <v>0</v>
      </c>
    </row>
    <row r="15" spans="1:59" x14ac:dyDescent="0.3">
      <c r="B15" s="47" t="s">
        <v>19</v>
      </c>
      <c r="J15" s="48">
        <f>AVERAGE(J5:J11)</f>
        <v>1.5329794456040811</v>
      </c>
      <c r="K15" s="48">
        <f>AVERAGE(K5:K11)</f>
        <v>0.19517895370348715</v>
      </c>
      <c r="L15" s="48">
        <f>AVERAGE(L5:L11)</f>
        <v>0.18220142042433624</v>
      </c>
      <c r="M15" s="48">
        <f>AVERAGE(M5:M11)</f>
        <v>1.3378004919005941</v>
      </c>
      <c r="AG15" s="48">
        <f>AVERAGE(AG5:AG11)</f>
        <v>1.5329794456040811</v>
      </c>
      <c r="AH15" s="48">
        <f>AVERAGE(AH5:AH11)</f>
        <v>0.19517895370348715</v>
      </c>
      <c r="AI15" s="48">
        <f>AVERAGE(AI5:AI11)</f>
        <v>0.18220142042433624</v>
      </c>
      <c r="AJ15" s="48">
        <f>AVERAGE(AJ5:AJ11)</f>
        <v>1.3378004919005941</v>
      </c>
      <c r="BB15" s="71">
        <f t="shared" si="14"/>
        <v>1</v>
      </c>
      <c r="BC15" s="71">
        <f t="shared" si="15"/>
        <v>1</v>
      </c>
      <c r="BD15" s="71">
        <f t="shared" si="16"/>
        <v>1</v>
      </c>
      <c r="BE15" s="71">
        <f t="shared" si="17"/>
        <v>1</v>
      </c>
      <c r="BG15" s="151">
        <f>AVERAGE(BG5:BG11)</f>
        <v>0</v>
      </c>
    </row>
    <row r="16" spans="1:59" hidden="1" outlineLevel="2" x14ac:dyDescent="0.3">
      <c r="A16" s="47" t="s">
        <v>241</v>
      </c>
      <c r="B16" s="47" t="s">
        <v>242</v>
      </c>
      <c r="Z16" s="49">
        <f>SUM(Z5:Z8,Z9:Z9,Z10:Z11)</f>
        <v>36950.050000000003</v>
      </c>
      <c r="AA16" s="49">
        <f>SUM(AA5:AA8,AA9:AA9,AA10:AA11)</f>
        <v>72268.800000000003</v>
      </c>
      <c r="AB16" s="49">
        <f>SUM(AB5:AB8,AB9:AB9,AB10:AB11)</f>
        <v>56.683</v>
      </c>
      <c r="AC16" s="49">
        <f>SUM(AC5:AC8,AC9:AC9,AC10:AC11)</f>
        <v>333.82399999999996</v>
      </c>
      <c r="AW16" s="49">
        <f>SUM(AW5:AW8,AW9:AW9,AW10:AW11)</f>
        <v>34974.19</v>
      </c>
      <c r="AX16" s="49">
        <f>SUM(AX5:AX8,AX9:AX9,AX10:AX11)</f>
        <v>73905.16</v>
      </c>
      <c r="AY16" s="49">
        <f>SUM(AY5:AY8,AY9:AY9,AY10:AY11)</f>
        <v>58.982999999999997</v>
      </c>
      <c r="AZ16" s="49">
        <f>SUM(AZ5:AZ8,AZ9:AZ9,AZ10:AZ11)</f>
        <v>314.58100000000002</v>
      </c>
    </row>
    <row r="17" spans="2:52" hidden="1" outlineLevel="2" x14ac:dyDescent="0.3">
      <c r="B17" s="47" t="s">
        <v>243</v>
      </c>
      <c r="AW17" s="151">
        <f>AW16/Z16</f>
        <v>0.94652618873316818</v>
      </c>
      <c r="AX17" s="151">
        <f>AX16/AA16</f>
        <v>1.0226426895147007</v>
      </c>
      <c r="AY17" s="151">
        <f>AY16/AB16</f>
        <v>1.040576539703262</v>
      </c>
      <c r="AZ17" s="151">
        <f>AZ16/AC16</f>
        <v>0.94235585218558304</v>
      </c>
    </row>
    <row r="18" spans="2:52" hidden="1" outlineLevel="2" x14ac:dyDescent="0.3">
      <c r="B18" s="47" t="s">
        <v>244</v>
      </c>
      <c r="Z18" s="49">
        <f>GEOMEAN(Z5:Z8,Z9:Z9,Z10:Z11)</f>
        <v>4476.1661478030401</v>
      </c>
      <c r="AA18" s="49">
        <f>GEOMEAN(AA5:AA8,AA9:AA9,AA10:AA11)</f>
        <v>8998.1478748027585</v>
      </c>
      <c r="AB18" s="49">
        <f>GEOMEAN(AB5:AB8,AB9:AB9,AB10:AB11)</f>
        <v>7.0144302375515171</v>
      </c>
      <c r="AC18" s="49">
        <f>GEOMEAN(AC5:AC8,AC9:AC9,AC10:AC11)</f>
        <v>41.168338932719706</v>
      </c>
      <c r="AW18" s="49">
        <f>GEOMEAN(AW5:AW8,AW9:AW9,AW10:AW11)</f>
        <v>4255.7457323634517</v>
      </c>
      <c r="AX18" s="49">
        <f>GEOMEAN(AX5:AX8,AX9:AX9,AX10:AX11)</f>
        <v>8992.659757952797</v>
      </c>
      <c r="AY18" s="49">
        <f>GEOMEAN(AY5:AY8,AY9:AY9,AY10:AY11)</f>
        <v>7.1764098140560906</v>
      </c>
      <c r="AZ18" s="49">
        <f>GEOMEAN(AZ5:AZ8,AZ9:AZ9,AZ10:AZ11)</f>
        <v>38.000655840493387</v>
      </c>
    </row>
    <row r="19" spans="2:52" outlineLevel="2" collapsed="1" x14ac:dyDescent="0.3">
      <c r="B19" s="47" t="s">
        <v>245</v>
      </c>
      <c r="AW19" s="151">
        <f>AW18/Z18</f>
        <v>0.9507568735919748</v>
      </c>
      <c r="AX19" s="151">
        <f>AX18/AA18</f>
        <v>0.99939008372319271</v>
      </c>
      <c r="AY19" s="151">
        <f>AY18/AB18</f>
        <v>1.0230923355167783</v>
      </c>
      <c r="AZ19" s="151">
        <f>AZ18/AC18</f>
        <v>0.9230553582109986</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97" priority="3" operator="greaterThanOrEqual">
      <formula>1.03</formula>
    </cfRule>
    <cfRule type="cellIs" dxfId="96" priority="4" operator="lessThanOrEqual">
      <formula>0.97</formula>
    </cfRule>
  </conditionalFormatting>
  <conditionalFormatting sqref="BC5 BC6 BC7 BC8 BC9 BC10 BC11 BC12 BC13 BC14 BC15">
    <cfRule type="cellIs" dxfId="95" priority="7" operator="greaterThanOrEqual">
      <formula>1.03</formula>
    </cfRule>
    <cfRule type="cellIs" dxfId="94" priority="8" operator="lessThanOrEqual">
      <formula>0.97</formula>
    </cfRule>
  </conditionalFormatting>
  <conditionalFormatting sqref="BD5 BD6 BD7 BD8 BD9 BD10 BD11 BD12 BD13 BD14 BD15">
    <cfRule type="cellIs" dxfId="93" priority="1" operator="greaterThanOrEqual">
      <formula>1.03</formula>
    </cfRule>
    <cfRule type="cellIs" dxfId="92" priority="2" operator="lessThanOrEqual">
      <formula>0.97</formula>
    </cfRule>
  </conditionalFormatting>
  <conditionalFormatting sqref="BE5 BE6 BE7 BE8 BE9 BE10 BE11 BE12 BE13 BE14 BE15">
    <cfRule type="cellIs" dxfId="91" priority="5" operator="greaterThanOrEqual">
      <formula>1.03</formula>
    </cfRule>
    <cfRule type="cellIs" dxfId="9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workbookViewId="0">
      <pane xSplit="2" ySplit="4" topLeftCell="AQ5" activePane="bottomRight" state="frozen"/>
      <selection pane="topRight" activeCell="C1" sqref="C1"/>
      <selection pane="bottomLeft" activeCell="A5" sqref="A5"/>
      <selection pane="bottomRight" sqref="A1:F1"/>
    </sheetView>
  </sheetViews>
  <sheetFormatPr defaultRowHeight="14.4" outlineLevelRow="2" x14ac:dyDescent="0.3"/>
  <cols>
    <col min="2" max="2" width="24.6640625" style="76" customWidth="1"/>
    <col min="3" max="4" width="10.6640625" style="76" customWidth="1"/>
    <col min="7" max="7" width="1.6640625" style="76" customWidth="1"/>
    <col min="10" max="13" width="10.6640625" style="76" customWidth="1"/>
    <col min="14" max="14" width="24.6640625" style="76" hidden="1" customWidth="1"/>
    <col min="15" max="15" width="12.6640625" style="76" customWidth="1"/>
    <col min="16" max="16" width="10.6640625" style="76" customWidth="1"/>
    <col min="17" max="20" width="12.6640625" style="76" customWidth="1"/>
    <col min="21" max="25" width="11.6640625" style="76" customWidth="1"/>
    <col min="30" max="30" width="1.6640625" style="76" customWidth="1"/>
    <col min="33" max="36" width="10.6640625" style="76" customWidth="1"/>
    <col min="37" max="37" width="24.6640625" style="76" hidden="1" customWidth="1"/>
    <col min="38" max="38" width="12.6640625" style="76" customWidth="1"/>
    <col min="39" max="39" width="10.6640625" style="76" customWidth="1"/>
    <col min="40" max="43" width="12.6640625" style="76" customWidth="1"/>
    <col min="44" max="48" width="11.6640625" style="76" customWidth="1"/>
    <col min="53" max="53" width="1.6640625" style="76" customWidth="1"/>
    <col min="60" max="60" width="1.6640625" style="76" customWidth="1"/>
  </cols>
  <sheetData>
    <row r="1" spans="1:59" x14ac:dyDescent="0.3">
      <c r="A1" s="168" t="s">
        <v>576</v>
      </c>
      <c r="B1" s="156"/>
      <c r="C1" s="156"/>
      <c r="D1" s="156"/>
      <c r="E1" s="156"/>
      <c r="F1" s="156"/>
      <c r="H1" s="164" t="s">
        <v>139</v>
      </c>
      <c r="I1" s="156"/>
      <c r="J1" s="156"/>
      <c r="K1" s="156"/>
      <c r="L1" s="156"/>
      <c r="M1" s="156"/>
      <c r="N1" s="156"/>
      <c r="O1" s="156"/>
      <c r="P1" s="156"/>
      <c r="Q1" s="156"/>
      <c r="R1" s="156"/>
      <c r="S1" s="156"/>
      <c r="T1" s="156"/>
      <c r="U1" s="156"/>
      <c r="V1" s="156"/>
      <c r="W1" s="156"/>
      <c r="X1" s="156"/>
      <c r="Y1" s="156"/>
      <c r="Z1" s="156"/>
      <c r="AA1" s="156"/>
      <c r="AB1" s="156"/>
      <c r="AC1" s="156"/>
      <c r="AE1" s="165" t="s">
        <v>140</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3">
      <c r="A2" s="170" t="s">
        <v>141</v>
      </c>
      <c r="B2" s="169" t="s">
        <v>142</v>
      </c>
      <c r="C2" s="170" t="s">
        <v>144</v>
      </c>
      <c r="D2" s="169" t="s">
        <v>145</v>
      </c>
      <c r="E2" s="170" t="s">
        <v>146</v>
      </c>
      <c r="F2" s="169" t="s">
        <v>147</v>
      </c>
      <c r="H2" s="170" t="s">
        <v>569</v>
      </c>
      <c r="I2" s="169" t="s">
        <v>148</v>
      </c>
      <c r="J2" s="167" t="s">
        <v>149</v>
      </c>
      <c r="K2" s="156"/>
      <c r="L2" s="156"/>
      <c r="M2" s="156"/>
      <c r="N2" s="170" t="s">
        <v>150</v>
      </c>
      <c r="O2" s="169" t="s">
        <v>151</v>
      </c>
      <c r="P2" s="170" t="s">
        <v>86</v>
      </c>
      <c r="Q2" s="166" t="s">
        <v>152</v>
      </c>
      <c r="R2" s="156"/>
      <c r="S2" s="156"/>
      <c r="T2" s="156"/>
      <c r="U2" s="167" t="s">
        <v>153</v>
      </c>
      <c r="V2" s="156"/>
      <c r="W2" s="166" t="s">
        <v>154</v>
      </c>
      <c r="X2" s="156"/>
      <c r="Y2" s="156"/>
      <c r="Z2" s="167" t="s">
        <v>155</v>
      </c>
      <c r="AA2" s="156"/>
      <c r="AB2" s="166" t="s">
        <v>156</v>
      </c>
      <c r="AC2" s="156"/>
      <c r="AE2" s="170" t="s">
        <v>569</v>
      </c>
      <c r="AF2" s="169" t="s">
        <v>148</v>
      </c>
      <c r="AG2" s="167" t="s">
        <v>149</v>
      </c>
      <c r="AH2" s="156"/>
      <c r="AI2" s="156"/>
      <c r="AJ2" s="156"/>
      <c r="AK2" s="170" t="s">
        <v>157</v>
      </c>
      <c r="AL2" s="169" t="s">
        <v>151</v>
      </c>
      <c r="AM2" s="170" t="s">
        <v>86</v>
      </c>
      <c r="AN2" s="166" t="s">
        <v>152</v>
      </c>
      <c r="AO2" s="156"/>
      <c r="AP2" s="156"/>
      <c r="AQ2" s="156"/>
      <c r="AR2" s="167" t="s">
        <v>153</v>
      </c>
      <c r="AS2" s="156"/>
      <c r="AT2" s="166" t="s">
        <v>154</v>
      </c>
      <c r="AU2" s="156"/>
      <c r="AV2" s="156"/>
      <c r="AW2" s="167" t="s">
        <v>155</v>
      </c>
      <c r="AX2" s="156"/>
      <c r="AY2" s="166" t="s">
        <v>156</v>
      </c>
      <c r="AZ2" s="156"/>
      <c r="BB2" s="167" t="s">
        <v>24</v>
      </c>
      <c r="BC2" s="156"/>
      <c r="BD2" s="156"/>
      <c r="BE2" s="156"/>
      <c r="BF2" s="169" t="s">
        <v>160</v>
      </c>
      <c r="BG2" s="170" t="s">
        <v>160</v>
      </c>
    </row>
    <row r="3" spans="1:59" ht="28.8" customHeight="1" x14ac:dyDescent="0.3">
      <c r="A3" s="158"/>
      <c r="B3" s="158"/>
      <c r="C3" s="158"/>
      <c r="D3" s="158"/>
      <c r="E3" s="158"/>
      <c r="F3" s="158"/>
      <c r="H3" s="158"/>
      <c r="I3" s="158"/>
      <c r="J3" s="152" t="s">
        <v>27</v>
      </c>
      <c r="K3" s="152" t="s">
        <v>25</v>
      </c>
      <c r="L3" s="152" t="s">
        <v>161</v>
      </c>
      <c r="M3" s="152" t="s">
        <v>162</v>
      </c>
      <c r="N3" s="158"/>
      <c r="O3" s="158"/>
      <c r="P3" s="158"/>
      <c r="Q3" s="153" t="s">
        <v>27</v>
      </c>
      <c r="R3" s="153" t="s">
        <v>161</v>
      </c>
      <c r="S3" s="153" t="s">
        <v>163</v>
      </c>
      <c r="T3" s="153" t="s">
        <v>26</v>
      </c>
      <c r="U3" s="152" t="s">
        <v>11</v>
      </c>
      <c r="V3" s="152" t="s">
        <v>12</v>
      </c>
      <c r="W3" s="153" t="s">
        <v>13</v>
      </c>
      <c r="X3" s="153" t="s">
        <v>14</v>
      </c>
      <c r="Y3" s="153" t="s">
        <v>15</v>
      </c>
      <c r="Z3" s="152" t="s">
        <v>164</v>
      </c>
      <c r="AA3" s="152" t="s">
        <v>165</v>
      </c>
      <c r="AB3" s="153" t="s">
        <v>164</v>
      </c>
      <c r="AC3" s="153" t="s">
        <v>165</v>
      </c>
      <c r="AE3" s="158"/>
      <c r="AF3" s="158"/>
      <c r="AG3" s="152" t="s">
        <v>27</v>
      </c>
      <c r="AH3" s="152" t="s">
        <v>25</v>
      </c>
      <c r="AI3" s="152" t="s">
        <v>161</v>
      </c>
      <c r="AJ3" s="152" t="s">
        <v>162</v>
      </c>
      <c r="AK3" s="158"/>
      <c r="AL3" s="158"/>
      <c r="AM3" s="158"/>
      <c r="AN3" s="153" t="s">
        <v>27</v>
      </c>
      <c r="AO3" s="153" t="s">
        <v>161</v>
      </c>
      <c r="AP3" s="153" t="s">
        <v>163</v>
      </c>
      <c r="AQ3" s="153" t="s">
        <v>26</v>
      </c>
      <c r="AR3" s="152" t="s">
        <v>11</v>
      </c>
      <c r="AS3" s="152" t="s">
        <v>12</v>
      </c>
      <c r="AT3" s="153" t="s">
        <v>13</v>
      </c>
      <c r="AU3" s="153" t="s">
        <v>14</v>
      </c>
      <c r="AV3" s="153" t="s">
        <v>15</v>
      </c>
      <c r="AW3" s="152" t="s">
        <v>164</v>
      </c>
      <c r="AX3" s="152" t="s">
        <v>165</v>
      </c>
      <c r="AY3" s="153" t="s">
        <v>164</v>
      </c>
      <c r="AZ3" s="153" t="s">
        <v>165</v>
      </c>
      <c r="BB3" s="152" t="s">
        <v>27</v>
      </c>
      <c r="BC3" s="152" t="s">
        <v>25</v>
      </c>
      <c r="BD3" s="152" t="s">
        <v>161</v>
      </c>
      <c r="BE3" s="152" t="s">
        <v>26</v>
      </c>
      <c r="BF3" s="158"/>
      <c r="BG3" s="158"/>
    </row>
    <row r="4" spans="1:59" ht="123" hidden="1" customHeight="1" x14ac:dyDescent="0.3">
      <c r="A4" s="8" t="s">
        <v>166</v>
      </c>
      <c r="B4" s="9" t="s">
        <v>167</v>
      </c>
      <c r="C4" s="8" t="s">
        <v>169</v>
      </c>
      <c r="D4" s="9" t="s">
        <v>170</v>
      </c>
      <c r="E4" s="8" t="s">
        <v>171</v>
      </c>
      <c r="F4" s="9" t="s">
        <v>172</v>
      </c>
      <c r="H4" s="8" t="s">
        <v>570</v>
      </c>
      <c r="I4" s="9" t="s">
        <v>173</v>
      </c>
      <c r="J4" s="8" t="s">
        <v>174</v>
      </c>
      <c r="K4" s="8" t="s">
        <v>175</v>
      </c>
      <c r="L4" s="8" t="s">
        <v>176</v>
      </c>
      <c r="M4" s="8" t="s">
        <v>177</v>
      </c>
      <c r="N4" s="8" t="s">
        <v>178</v>
      </c>
      <c r="O4" s="9" t="s">
        <v>179</v>
      </c>
      <c r="P4" s="8" t="s">
        <v>180</v>
      </c>
      <c r="Q4" s="9" t="s">
        <v>183</v>
      </c>
      <c r="R4" s="9" t="s">
        <v>184</v>
      </c>
      <c r="S4" s="9" t="s">
        <v>185</v>
      </c>
      <c r="T4" s="9" t="s">
        <v>186</v>
      </c>
      <c r="U4" s="8" t="s">
        <v>187</v>
      </c>
      <c r="V4" s="8" t="s">
        <v>188</v>
      </c>
      <c r="W4" s="9" t="s">
        <v>189</v>
      </c>
      <c r="X4" s="9" t="s">
        <v>190</v>
      </c>
      <c r="Y4" s="9" t="s">
        <v>191</v>
      </c>
      <c r="Z4" s="8" t="s">
        <v>192</v>
      </c>
      <c r="AA4" s="8" t="s">
        <v>193</v>
      </c>
      <c r="AB4" s="9" t="s">
        <v>194</v>
      </c>
      <c r="AC4" s="9" t="s">
        <v>195</v>
      </c>
      <c r="AE4" s="8" t="s">
        <v>571</v>
      </c>
      <c r="AF4" s="9" t="s">
        <v>196</v>
      </c>
      <c r="AG4" s="8" t="s">
        <v>197</v>
      </c>
      <c r="AH4" s="8" t="s">
        <v>198</v>
      </c>
      <c r="AI4" s="8" t="s">
        <v>199</v>
      </c>
      <c r="AJ4" s="8" t="s">
        <v>200</v>
      </c>
      <c r="AK4" s="8" t="s">
        <v>201</v>
      </c>
      <c r="AL4" s="9" t="s">
        <v>202</v>
      </c>
      <c r="AM4" s="8" t="s">
        <v>203</v>
      </c>
      <c r="AN4" s="9" t="s">
        <v>206</v>
      </c>
      <c r="AO4" s="9" t="s">
        <v>207</v>
      </c>
      <c r="AP4" s="9" t="s">
        <v>208</v>
      </c>
      <c r="AQ4" s="9" t="s">
        <v>209</v>
      </c>
      <c r="AR4" s="8" t="s">
        <v>210</v>
      </c>
      <c r="AS4" s="8" t="s">
        <v>211</v>
      </c>
      <c r="AT4" s="9" t="s">
        <v>212</v>
      </c>
      <c r="AU4" s="9" t="s">
        <v>213</v>
      </c>
      <c r="AV4" s="9" t="s">
        <v>214</v>
      </c>
      <c r="AW4" s="8" t="s">
        <v>215</v>
      </c>
      <c r="AX4" s="8" t="s">
        <v>216</v>
      </c>
      <c r="AY4" s="9" t="s">
        <v>217</v>
      </c>
      <c r="AZ4" s="9" t="s">
        <v>218</v>
      </c>
      <c r="BB4" s="8" t="s">
        <v>572</v>
      </c>
      <c r="BC4" s="8" t="s">
        <v>219</v>
      </c>
      <c r="BD4" s="8" t="s">
        <v>573</v>
      </c>
      <c r="BE4" s="8" t="s">
        <v>574</v>
      </c>
      <c r="BF4" s="9" t="s">
        <v>221</v>
      </c>
      <c r="BG4" s="8" t="s">
        <v>222</v>
      </c>
    </row>
    <row r="5" spans="1:59" collapsed="1" x14ac:dyDescent="0.3">
      <c r="A5" s="129" t="s">
        <v>233</v>
      </c>
      <c r="B5" s="129" t="s">
        <v>51</v>
      </c>
      <c r="C5" s="129">
        <v>238146391</v>
      </c>
      <c r="D5" s="10">
        <v>10</v>
      </c>
      <c r="E5" s="10">
        <v>32</v>
      </c>
      <c r="F5" s="10">
        <v>30</v>
      </c>
      <c r="H5" s="17">
        <f t="shared" ref="H5:H11" si="0">IF(ISBLANK(Q5),"·",Q5/(C5*(D5*3+IF(AND(ISNUMBER(T5),T5&gt;0),24,0))))</f>
        <v>1.7037716379530044E-2</v>
      </c>
      <c r="I5" s="11">
        <f t="shared" ref="I5:I11" si="1">IF(OR(ISBLANK(Q5),ISBLANK(F5)),"·",Q5*F5/E5/1000000)</f>
        <v>205.40945249999999</v>
      </c>
      <c r="J5" s="12">
        <f t="shared" ref="J5:J11" si="2">IF(ISBLANK(Q5),"·",Q5/C5)</f>
        <v>0.9200366844946225</v>
      </c>
      <c r="K5" s="12">
        <f t="shared" ref="K5:K11" si="3">IF(N5="","·",N5/C5)</f>
        <v>0.14123413694730313</v>
      </c>
      <c r="L5" s="12">
        <f t="shared" ref="L5:L11" si="4">IF(R5="","·",R5/C5)</f>
        <v>0.13275918172532794</v>
      </c>
      <c r="M5" s="12">
        <f t="shared" ref="M5:M11" si="5">IF(ISBLANK(T5),"·",T5/C5)</f>
        <v>0.77880254754731937</v>
      </c>
      <c r="N5" s="129">
        <f t="shared" ref="N5:N11" si="6">IF(OR(ISBLANK(R5),ISBLANK(S5)),"",R5+S5)</f>
        <v>33634400</v>
      </c>
      <c r="O5" s="12">
        <v>16</v>
      </c>
      <c r="P5" s="13">
        <v>24964341</v>
      </c>
      <c r="Q5" s="14">
        <v>219103416</v>
      </c>
      <c r="R5" s="14">
        <v>31616120</v>
      </c>
      <c r="S5" s="14">
        <v>2018280</v>
      </c>
      <c r="T5" s="14">
        <v>185469016</v>
      </c>
      <c r="U5" s="15" t="s">
        <v>575</v>
      </c>
      <c r="V5" s="15" t="s">
        <v>575</v>
      </c>
      <c r="W5" s="15" t="s">
        <v>575</v>
      </c>
      <c r="X5" s="15" t="s">
        <v>575</v>
      </c>
      <c r="Y5" s="15" t="s">
        <v>575</v>
      </c>
      <c r="Z5" s="16">
        <v>2878.78</v>
      </c>
      <c r="AA5" s="16">
        <v>8125.35</v>
      </c>
      <c r="AB5" s="16">
        <v>4.7530000000000001</v>
      </c>
      <c r="AC5" s="16">
        <v>26.382999999999999</v>
      </c>
      <c r="AE5" s="17">
        <f t="shared" ref="AE5:AE11" si="7">IF(ISBLANK(Q5),"·",Q5/(C5*(D5*3+IF(AND(ISNUMBER(T5),T5&gt;0),24,0))))</f>
        <v>1.7037716379530044E-2</v>
      </c>
      <c r="AF5" s="11">
        <f t="shared" ref="AF5:AF11" si="8">IF(OR(ISBLANK(AN5),ISBLANK(F5)),"·",AN5*F5/E5/1000000)</f>
        <v>205.40945249999999</v>
      </c>
      <c r="AG5" s="12">
        <f t="shared" ref="AG5:AG11" si="9">IF(ISBLANK(AN5),"·",AN5/C5)</f>
        <v>0.9200366844946225</v>
      </c>
      <c r="AH5" s="12">
        <f t="shared" ref="AH5:AH11" si="10">IF(AK5="","·",AK5/C5)</f>
        <v>0.14123413694730313</v>
      </c>
      <c r="AI5" s="12">
        <f t="shared" ref="AI5:AI11" si="11">IF(AO5="","·",AO5/C5)</f>
        <v>0.13275918172532794</v>
      </c>
      <c r="AJ5" s="12">
        <f t="shared" ref="AJ5:AJ11" si="12">IF(ISBLANK(AQ5),"·",AQ5/C5)</f>
        <v>0.77880254754731937</v>
      </c>
      <c r="AK5" s="129">
        <f t="shared" ref="AK5:AK11" si="13">IF(OR(ISBLANK(AO5),ISBLANK(AP5)),"",AO5+AP5)</f>
        <v>33634400</v>
      </c>
      <c r="AL5" s="12">
        <v>16</v>
      </c>
      <c r="AM5" s="13">
        <v>24964341</v>
      </c>
      <c r="AN5" s="14">
        <v>219103416</v>
      </c>
      <c r="AO5" s="14">
        <v>31616120</v>
      </c>
      <c r="AP5" s="14">
        <v>2018280</v>
      </c>
      <c r="AQ5" s="14">
        <v>185469016</v>
      </c>
      <c r="AR5" s="15" t="s">
        <v>575</v>
      </c>
      <c r="AS5" s="15" t="s">
        <v>575</v>
      </c>
      <c r="AT5" s="15" t="s">
        <v>575</v>
      </c>
      <c r="AU5" s="15" t="s">
        <v>575</v>
      </c>
      <c r="AV5" s="15" t="s">
        <v>575</v>
      </c>
      <c r="AW5" s="16">
        <v>2873.86</v>
      </c>
      <c r="AX5" s="16">
        <v>8139.46</v>
      </c>
      <c r="AY5" s="16">
        <v>4.8639999999999999</v>
      </c>
      <c r="AZ5" s="16">
        <v>27.734000000000002</v>
      </c>
      <c r="BB5" s="62">
        <f t="shared" ref="BB5:BB15" si="14">AG5/J5</f>
        <v>1</v>
      </c>
      <c r="BC5" s="62">
        <f t="shared" ref="BC5:BC15" si="15">AH5/K5</f>
        <v>1</v>
      </c>
      <c r="BD5" s="62">
        <f t="shared" ref="BD5:BD15" si="16">AI5/L5</f>
        <v>1</v>
      </c>
      <c r="BE5" s="62">
        <f t="shared" ref="BE5:BE15" si="17">AJ5/M5</f>
        <v>1</v>
      </c>
      <c r="BF5" s="17">
        <f t="shared" ref="BF5:BF11" si="18">(AK5/AN5) - (N5/Q5)</f>
        <v>0</v>
      </c>
      <c r="BG5" s="17">
        <f t="array" ref="BG5">AVERAGE(AK5:AK5/AN5:AN5) - AVERAGE(N5:N5/Q5:Q5)</f>
        <v>0</v>
      </c>
    </row>
    <row r="6" spans="1:59" collapsed="1" x14ac:dyDescent="0.3">
      <c r="A6" s="18"/>
      <c r="B6" s="18" t="s">
        <v>59</v>
      </c>
      <c r="C6" s="18">
        <v>218121242</v>
      </c>
      <c r="D6" s="19">
        <v>10</v>
      </c>
      <c r="E6" s="19">
        <v>32</v>
      </c>
      <c r="F6" s="19">
        <v>30</v>
      </c>
      <c r="H6" s="26">
        <f t="shared" si="0"/>
        <v>2.4339436633815555E-2</v>
      </c>
      <c r="I6" s="20">
        <f t="shared" si="1"/>
        <v>268.76549999999997</v>
      </c>
      <c r="J6" s="21">
        <f t="shared" si="2"/>
        <v>1.31432957822604</v>
      </c>
      <c r="K6" s="21">
        <f t="shared" si="3"/>
        <v>0.17341991845067525</v>
      </c>
      <c r="L6" s="21">
        <f t="shared" si="4"/>
        <v>0.15826313697590261</v>
      </c>
      <c r="M6" s="21">
        <f t="shared" si="5"/>
        <v>1.1409096597753647</v>
      </c>
      <c r="N6" s="18">
        <f t="shared" si="6"/>
        <v>37826568</v>
      </c>
      <c r="O6" s="21">
        <v>16</v>
      </c>
      <c r="P6" s="22">
        <v>22654789</v>
      </c>
      <c r="Q6" s="23">
        <v>286683200</v>
      </c>
      <c r="R6" s="23">
        <v>34520552</v>
      </c>
      <c r="S6" s="23">
        <v>3306016</v>
      </c>
      <c r="T6" s="23">
        <v>248856632</v>
      </c>
      <c r="U6" s="24" t="s">
        <v>575</v>
      </c>
      <c r="V6" s="24" t="s">
        <v>575</v>
      </c>
      <c r="W6" s="24" t="s">
        <v>575</v>
      </c>
      <c r="X6" s="24" t="s">
        <v>575</v>
      </c>
      <c r="Y6" s="24" t="s">
        <v>575</v>
      </c>
      <c r="Z6" s="25">
        <v>2622.31</v>
      </c>
      <c r="AA6" s="25">
        <v>10169.4</v>
      </c>
      <c r="AB6" s="25">
        <v>4.0609999999999999</v>
      </c>
      <c r="AC6" s="25">
        <v>25.599</v>
      </c>
      <c r="AE6" s="26">
        <f t="shared" si="7"/>
        <v>2.4339436633815555E-2</v>
      </c>
      <c r="AF6" s="20">
        <f t="shared" si="8"/>
        <v>268.76549999999997</v>
      </c>
      <c r="AG6" s="21">
        <f t="shared" si="9"/>
        <v>1.31432957822604</v>
      </c>
      <c r="AH6" s="21">
        <f t="shared" si="10"/>
        <v>0.17341991845067525</v>
      </c>
      <c r="AI6" s="21">
        <f t="shared" si="11"/>
        <v>0.15826313697590261</v>
      </c>
      <c r="AJ6" s="21">
        <f t="shared" si="12"/>
        <v>1.1409096597753647</v>
      </c>
      <c r="AK6" s="18">
        <f t="shared" si="13"/>
        <v>37826568</v>
      </c>
      <c r="AL6" s="21">
        <v>16</v>
      </c>
      <c r="AM6" s="22">
        <v>22654789</v>
      </c>
      <c r="AN6" s="23">
        <v>286683200</v>
      </c>
      <c r="AO6" s="23">
        <v>34520552</v>
      </c>
      <c r="AP6" s="23">
        <v>3306016</v>
      </c>
      <c r="AQ6" s="23">
        <v>248856632</v>
      </c>
      <c r="AR6" s="24" t="s">
        <v>575</v>
      </c>
      <c r="AS6" s="24" t="s">
        <v>575</v>
      </c>
      <c r="AT6" s="24" t="s">
        <v>575</v>
      </c>
      <c r="AU6" s="24" t="s">
        <v>575</v>
      </c>
      <c r="AV6" s="24" t="s">
        <v>575</v>
      </c>
      <c r="AW6" s="25">
        <v>2483.8200000000002</v>
      </c>
      <c r="AX6" s="25">
        <v>9947.26</v>
      </c>
      <c r="AY6" s="25">
        <v>4.266</v>
      </c>
      <c r="AZ6" s="25">
        <v>24.699000000000002</v>
      </c>
      <c r="BB6" s="58">
        <f t="shared" si="14"/>
        <v>1</v>
      </c>
      <c r="BC6" s="58">
        <f t="shared" si="15"/>
        <v>1</v>
      </c>
      <c r="BD6" s="58">
        <f t="shared" si="16"/>
        <v>1</v>
      </c>
      <c r="BE6" s="58">
        <f t="shared" si="17"/>
        <v>1</v>
      </c>
      <c r="BF6" s="26">
        <f t="shared" si="18"/>
        <v>0</v>
      </c>
      <c r="BG6" s="26">
        <f t="array" ref="BG6">AVERAGE(AK6:AK6/AN6:AN6) - AVERAGE(N6:N6/Q6:Q6)</f>
        <v>0</v>
      </c>
    </row>
    <row r="7" spans="1:59" collapsed="1" x14ac:dyDescent="0.3">
      <c r="A7" s="129"/>
      <c r="B7" s="129" t="s">
        <v>64</v>
      </c>
      <c r="C7" s="129">
        <v>322589704</v>
      </c>
      <c r="D7" s="10">
        <v>10</v>
      </c>
      <c r="E7" s="10">
        <v>32</v>
      </c>
      <c r="F7" s="10">
        <v>30</v>
      </c>
      <c r="H7" s="17">
        <f t="shared" si="0"/>
        <v>1.8767342790195051E-2</v>
      </c>
      <c r="I7" s="11">
        <f t="shared" si="1"/>
        <v>306.4914225</v>
      </c>
      <c r="J7" s="12">
        <f t="shared" si="2"/>
        <v>1.0134365106705328</v>
      </c>
      <c r="K7" s="12">
        <f t="shared" si="3"/>
        <v>0.15588834788105946</v>
      </c>
      <c r="L7" s="12">
        <f t="shared" si="4"/>
        <v>0.14392813975240823</v>
      </c>
      <c r="M7" s="12">
        <f t="shared" si="5"/>
        <v>0.85754816278947332</v>
      </c>
      <c r="N7" s="129">
        <f t="shared" si="6"/>
        <v>50287976</v>
      </c>
      <c r="O7" s="12">
        <v>16</v>
      </c>
      <c r="P7" s="13">
        <v>33947718</v>
      </c>
      <c r="Q7" s="14">
        <v>326924184</v>
      </c>
      <c r="R7" s="14">
        <v>46429736</v>
      </c>
      <c r="S7" s="14">
        <v>3858240</v>
      </c>
      <c r="T7" s="14">
        <v>276636208</v>
      </c>
      <c r="U7" s="15" t="s">
        <v>575</v>
      </c>
      <c r="V7" s="15" t="s">
        <v>575</v>
      </c>
      <c r="W7" s="15" t="s">
        <v>575</v>
      </c>
      <c r="X7" s="15" t="s">
        <v>575</v>
      </c>
      <c r="Y7" s="15" t="s">
        <v>575</v>
      </c>
      <c r="Z7" s="16">
        <v>3896.77</v>
      </c>
      <c r="AA7" s="16">
        <v>10674.9</v>
      </c>
      <c r="AB7" s="16">
        <v>5.81</v>
      </c>
      <c r="AC7" s="16">
        <v>28.864000000000001</v>
      </c>
      <c r="AE7" s="17">
        <f t="shared" si="7"/>
        <v>1.8767342790195051E-2</v>
      </c>
      <c r="AF7" s="11">
        <f t="shared" si="8"/>
        <v>306.4914225</v>
      </c>
      <c r="AG7" s="12">
        <f t="shared" si="9"/>
        <v>1.0134365106705328</v>
      </c>
      <c r="AH7" s="12">
        <f t="shared" si="10"/>
        <v>0.15588834788105946</v>
      </c>
      <c r="AI7" s="12">
        <f t="shared" si="11"/>
        <v>0.14392813975240823</v>
      </c>
      <c r="AJ7" s="12">
        <f t="shared" si="12"/>
        <v>0.85754816278947332</v>
      </c>
      <c r="AK7" s="129">
        <f t="shared" si="13"/>
        <v>50287976</v>
      </c>
      <c r="AL7" s="12">
        <v>16</v>
      </c>
      <c r="AM7" s="13">
        <v>33947718</v>
      </c>
      <c r="AN7" s="14">
        <v>326924184</v>
      </c>
      <c r="AO7" s="14">
        <v>46429736</v>
      </c>
      <c r="AP7" s="14">
        <v>3858240</v>
      </c>
      <c r="AQ7" s="14">
        <v>276636208</v>
      </c>
      <c r="AR7" s="15" t="s">
        <v>575</v>
      </c>
      <c r="AS7" s="15" t="s">
        <v>575</v>
      </c>
      <c r="AT7" s="15" t="s">
        <v>575</v>
      </c>
      <c r="AU7" s="15" t="s">
        <v>575</v>
      </c>
      <c r="AV7" s="15" t="s">
        <v>575</v>
      </c>
      <c r="AW7" s="16">
        <v>3721.62</v>
      </c>
      <c r="AX7" s="16">
        <v>10566.6</v>
      </c>
      <c r="AY7" s="16">
        <v>6.383</v>
      </c>
      <c r="AZ7" s="16">
        <v>30.600999999999999</v>
      </c>
      <c r="BB7" s="62">
        <f t="shared" si="14"/>
        <v>1</v>
      </c>
      <c r="BC7" s="62">
        <f t="shared" si="15"/>
        <v>1</v>
      </c>
      <c r="BD7" s="62">
        <f t="shared" si="16"/>
        <v>1</v>
      </c>
      <c r="BE7" s="62">
        <f t="shared" si="17"/>
        <v>1</v>
      </c>
      <c r="BF7" s="17">
        <f t="shared" si="18"/>
        <v>0</v>
      </c>
      <c r="BG7" s="17">
        <f t="array" ref="BG7">AVERAGE(AK7:AK7/AN7:AN7) - AVERAGE(N7:N7/Q7:Q7)</f>
        <v>0</v>
      </c>
    </row>
    <row r="8" spans="1:59" collapsed="1" x14ac:dyDescent="0.3">
      <c r="A8" s="37"/>
      <c r="B8" s="37" t="s">
        <v>70</v>
      </c>
      <c r="C8" s="37">
        <v>250602891</v>
      </c>
      <c r="D8" s="38">
        <v>10</v>
      </c>
      <c r="E8" s="38">
        <v>32</v>
      </c>
      <c r="F8" s="38">
        <v>50</v>
      </c>
      <c r="H8" s="46">
        <f t="shared" si="0"/>
        <v>1.7196222652958584E-2</v>
      </c>
      <c r="I8" s="39">
        <f t="shared" si="1"/>
        <v>363.607575</v>
      </c>
      <c r="J8" s="40">
        <f t="shared" si="2"/>
        <v>0.92859602325976354</v>
      </c>
      <c r="K8" s="40">
        <f t="shared" si="3"/>
        <v>0.11454009922016423</v>
      </c>
      <c r="L8" s="40">
        <f t="shared" si="4"/>
        <v>0.1013987344623251</v>
      </c>
      <c r="M8" s="40">
        <f t="shared" si="5"/>
        <v>0.81405592403959937</v>
      </c>
      <c r="N8" s="37">
        <f t="shared" si="6"/>
        <v>28704080</v>
      </c>
      <c r="O8" s="40">
        <v>16</v>
      </c>
      <c r="P8" s="41">
        <v>32209643</v>
      </c>
      <c r="Q8" s="42">
        <v>232708848</v>
      </c>
      <c r="R8" s="42">
        <v>25410816</v>
      </c>
      <c r="S8" s="42">
        <v>3293264</v>
      </c>
      <c r="T8" s="42">
        <v>204004768</v>
      </c>
      <c r="U8" s="43" t="s">
        <v>575</v>
      </c>
      <c r="V8" s="43" t="s">
        <v>575</v>
      </c>
      <c r="W8" s="43" t="s">
        <v>575</v>
      </c>
      <c r="X8" s="43" t="s">
        <v>575</v>
      </c>
      <c r="Y8" s="43" t="s">
        <v>575</v>
      </c>
      <c r="Z8" s="44">
        <v>3815.8</v>
      </c>
      <c r="AA8" s="44">
        <v>7988.59</v>
      </c>
      <c r="AB8" s="44">
        <v>5.3310000000000004</v>
      </c>
      <c r="AC8" s="44">
        <v>26.422000000000001</v>
      </c>
      <c r="AE8" s="46">
        <f t="shared" si="7"/>
        <v>1.7196222652958584E-2</v>
      </c>
      <c r="AF8" s="39">
        <f t="shared" si="8"/>
        <v>363.607575</v>
      </c>
      <c r="AG8" s="40">
        <f t="shared" si="9"/>
        <v>0.92859602325976354</v>
      </c>
      <c r="AH8" s="40">
        <f t="shared" si="10"/>
        <v>0.11454009922016423</v>
      </c>
      <c r="AI8" s="40">
        <f t="shared" si="11"/>
        <v>0.1013987344623251</v>
      </c>
      <c r="AJ8" s="40">
        <f t="shared" si="12"/>
        <v>0.81405592403959937</v>
      </c>
      <c r="AK8" s="37">
        <f t="shared" si="13"/>
        <v>28704080</v>
      </c>
      <c r="AL8" s="40">
        <v>16</v>
      </c>
      <c r="AM8" s="41">
        <v>32209643</v>
      </c>
      <c r="AN8" s="42">
        <v>232708848</v>
      </c>
      <c r="AO8" s="42">
        <v>25410816</v>
      </c>
      <c r="AP8" s="42">
        <v>3293264</v>
      </c>
      <c r="AQ8" s="42">
        <v>204004768</v>
      </c>
      <c r="AR8" s="43" t="s">
        <v>575</v>
      </c>
      <c r="AS8" s="43" t="s">
        <v>575</v>
      </c>
      <c r="AT8" s="43" t="s">
        <v>575</v>
      </c>
      <c r="AU8" s="43" t="s">
        <v>575</v>
      </c>
      <c r="AV8" s="43" t="s">
        <v>575</v>
      </c>
      <c r="AW8" s="44">
        <v>3836.98</v>
      </c>
      <c r="AX8" s="44">
        <v>8056.78</v>
      </c>
      <c r="AY8" s="44">
        <v>5.8520000000000003</v>
      </c>
      <c r="AZ8" s="44">
        <v>29.251999999999999</v>
      </c>
      <c r="BB8" s="45">
        <f t="shared" si="14"/>
        <v>1</v>
      </c>
      <c r="BC8" s="45">
        <f t="shared" si="15"/>
        <v>1</v>
      </c>
      <c r="BD8" s="45">
        <f t="shared" si="16"/>
        <v>1</v>
      </c>
      <c r="BE8" s="45">
        <f t="shared" si="17"/>
        <v>1</v>
      </c>
      <c r="BF8" s="46">
        <f t="shared" si="18"/>
        <v>0</v>
      </c>
      <c r="BG8" s="46">
        <f t="array" ref="BG8">AVERAGE(AK8:AK8/AN8:AN8) - AVERAGE(N8:N8/Q8:Q8)</f>
        <v>0</v>
      </c>
    </row>
    <row r="9" spans="1:59" collapsed="1" x14ac:dyDescent="0.3">
      <c r="A9" s="27" t="s">
        <v>239</v>
      </c>
      <c r="B9" s="27" t="s">
        <v>73</v>
      </c>
      <c r="C9" s="27">
        <v>250294582</v>
      </c>
      <c r="D9" s="28">
        <v>10</v>
      </c>
      <c r="E9" s="28">
        <v>32</v>
      </c>
      <c r="F9" s="28">
        <v>30</v>
      </c>
      <c r="H9" s="36">
        <f t="shared" si="0"/>
        <v>2.790098067842434E-2</v>
      </c>
      <c r="I9" s="29">
        <f t="shared" si="1"/>
        <v>353.53787999999997</v>
      </c>
      <c r="J9" s="30">
        <f t="shared" si="2"/>
        <v>1.5066529566349143</v>
      </c>
      <c r="K9" s="30">
        <f t="shared" si="3"/>
        <v>0.15299556104654316</v>
      </c>
      <c r="L9" s="30">
        <f t="shared" si="4"/>
        <v>0.14235497914213741</v>
      </c>
      <c r="M9" s="30">
        <f t="shared" si="5"/>
        <v>1.3536573955883711</v>
      </c>
      <c r="N9" s="27">
        <f t="shared" si="6"/>
        <v>38293960</v>
      </c>
      <c r="O9" s="30">
        <v>16</v>
      </c>
      <c r="P9" s="31">
        <v>25312408</v>
      </c>
      <c r="Q9" s="32">
        <v>377107072</v>
      </c>
      <c r="R9" s="32">
        <v>35630680</v>
      </c>
      <c r="S9" s="32">
        <v>2663280</v>
      </c>
      <c r="T9" s="32">
        <v>338813112</v>
      </c>
      <c r="U9" s="33" t="s">
        <v>575</v>
      </c>
      <c r="V9" s="33" t="s">
        <v>575</v>
      </c>
      <c r="W9" s="33" t="s">
        <v>575</v>
      </c>
      <c r="X9" s="33" t="s">
        <v>575</v>
      </c>
      <c r="Y9" s="33" t="s">
        <v>575</v>
      </c>
      <c r="Z9" s="34">
        <v>2951.58</v>
      </c>
      <c r="AA9" s="34">
        <v>11528.3</v>
      </c>
      <c r="AB9" s="34">
        <v>4.5410000000000004</v>
      </c>
      <c r="AC9" s="34">
        <v>31.398</v>
      </c>
      <c r="AE9" s="36">
        <f t="shared" si="7"/>
        <v>2.790098067842434E-2</v>
      </c>
      <c r="AF9" s="29">
        <f t="shared" si="8"/>
        <v>353.53787999999997</v>
      </c>
      <c r="AG9" s="30">
        <f t="shared" si="9"/>
        <v>1.5066529566349143</v>
      </c>
      <c r="AH9" s="30">
        <f t="shared" si="10"/>
        <v>0.15299556104654316</v>
      </c>
      <c r="AI9" s="30">
        <f t="shared" si="11"/>
        <v>0.14235497914213741</v>
      </c>
      <c r="AJ9" s="30">
        <f t="shared" si="12"/>
        <v>1.3536573955883711</v>
      </c>
      <c r="AK9" s="27">
        <f t="shared" si="13"/>
        <v>38293960</v>
      </c>
      <c r="AL9" s="30">
        <v>16</v>
      </c>
      <c r="AM9" s="31">
        <v>25312408</v>
      </c>
      <c r="AN9" s="32">
        <v>377107072</v>
      </c>
      <c r="AO9" s="32">
        <v>35630680</v>
      </c>
      <c r="AP9" s="32">
        <v>2663280</v>
      </c>
      <c r="AQ9" s="32">
        <v>338813112</v>
      </c>
      <c r="AR9" s="33" t="s">
        <v>575</v>
      </c>
      <c r="AS9" s="33" t="s">
        <v>575</v>
      </c>
      <c r="AT9" s="33" t="s">
        <v>575</v>
      </c>
      <c r="AU9" s="33" t="s">
        <v>575</v>
      </c>
      <c r="AV9" s="33" t="s">
        <v>575</v>
      </c>
      <c r="AW9" s="34">
        <v>2933.16</v>
      </c>
      <c r="AX9" s="34">
        <v>11842</v>
      </c>
      <c r="AY9" s="34">
        <v>5.1760000000000002</v>
      </c>
      <c r="AZ9" s="34">
        <v>34.822000000000003</v>
      </c>
      <c r="BB9" s="35">
        <f t="shared" si="14"/>
        <v>1</v>
      </c>
      <c r="BC9" s="35">
        <f t="shared" si="15"/>
        <v>1</v>
      </c>
      <c r="BD9" s="35">
        <f t="shared" si="16"/>
        <v>1</v>
      </c>
      <c r="BE9" s="35">
        <f t="shared" si="17"/>
        <v>1</v>
      </c>
      <c r="BF9" s="36">
        <f t="shared" si="18"/>
        <v>0</v>
      </c>
      <c r="BG9" s="36">
        <f t="array" ref="BG9">AVERAGE(AK9:AK9/AN9:AN9) - AVERAGE(N9:N9/Q9:Q9)</f>
        <v>0</v>
      </c>
    </row>
    <row r="10" spans="1:59" collapsed="1" x14ac:dyDescent="0.3">
      <c r="A10" s="18" t="s">
        <v>240</v>
      </c>
      <c r="B10" s="18" t="s">
        <v>77</v>
      </c>
      <c r="C10" s="18">
        <v>375422539</v>
      </c>
      <c r="D10" s="19">
        <v>11</v>
      </c>
      <c r="E10" s="19">
        <v>128</v>
      </c>
      <c r="F10" s="19">
        <v>30</v>
      </c>
      <c r="H10" s="26">
        <f t="shared" si="0"/>
        <v>4.2401413880322064E-2</v>
      </c>
      <c r="I10" s="20">
        <f t="shared" si="1"/>
        <v>212.66049562500001</v>
      </c>
      <c r="J10" s="21">
        <f t="shared" si="2"/>
        <v>2.4168805911783577</v>
      </c>
      <c r="K10" s="21">
        <f t="shared" si="3"/>
        <v>0.27272595905596386</v>
      </c>
      <c r="L10" s="21">
        <f t="shared" si="4"/>
        <v>0.26009445319957203</v>
      </c>
      <c r="M10" s="21">
        <f t="shared" si="5"/>
        <v>2.1441546321223939</v>
      </c>
      <c r="N10" s="18">
        <f t="shared" si="6"/>
        <v>102387472</v>
      </c>
      <c r="O10" s="21">
        <v>16</v>
      </c>
      <c r="P10" s="22">
        <v>92854683</v>
      </c>
      <c r="Q10" s="23">
        <v>907351448</v>
      </c>
      <c r="R10" s="23">
        <v>97645320</v>
      </c>
      <c r="S10" s="23">
        <v>4742152</v>
      </c>
      <c r="T10" s="23">
        <v>804963976</v>
      </c>
      <c r="U10" s="24" t="s">
        <v>575</v>
      </c>
      <c r="V10" s="24" t="s">
        <v>575</v>
      </c>
      <c r="W10" s="24" t="s">
        <v>575</v>
      </c>
      <c r="X10" s="24" t="s">
        <v>575</v>
      </c>
      <c r="Y10" s="24" t="s">
        <v>575</v>
      </c>
      <c r="Z10" s="25">
        <v>10932.7</v>
      </c>
      <c r="AA10" s="25">
        <v>36537.699999999997</v>
      </c>
      <c r="AB10" s="25">
        <v>16.201000000000001</v>
      </c>
      <c r="AC10" s="25">
        <v>99.114000000000004</v>
      </c>
      <c r="AE10" s="26">
        <f t="shared" si="7"/>
        <v>4.2401413880322064E-2</v>
      </c>
      <c r="AF10" s="20">
        <f t="shared" si="8"/>
        <v>212.66049562500001</v>
      </c>
      <c r="AG10" s="21">
        <f t="shared" si="9"/>
        <v>2.4168805911783577</v>
      </c>
      <c r="AH10" s="21">
        <f t="shared" si="10"/>
        <v>0.27272595905596386</v>
      </c>
      <c r="AI10" s="21">
        <f t="shared" si="11"/>
        <v>0.26009445319957203</v>
      </c>
      <c r="AJ10" s="21">
        <f t="shared" si="12"/>
        <v>2.1441546321223939</v>
      </c>
      <c r="AK10" s="18">
        <f t="shared" si="13"/>
        <v>102387472</v>
      </c>
      <c r="AL10" s="21">
        <v>16</v>
      </c>
      <c r="AM10" s="22">
        <v>92854683</v>
      </c>
      <c r="AN10" s="23">
        <v>907351448</v>
      </c>
      <c r="AO10" s="23">
        <v>97645320</v>
      </c>
      <c r="AP10" s="23">
        <v>4742152</v>
      </c>
      <c r="AQ10" s="23">
        <v>804963976</v>
      </c>
      <c r="AR10" s="24" t="s">
        <v>575</v>
      </c>
      <c r="AS10" s="24" t="s">
        <v>575</v>
      </c>
      <c r="AT10" s="24" t="s">
        <v>575</v>
      </c>
      <c r="AU10" s="24" t="s">
        <v>575</v>
      </c>
      <c r="AV10" s="24" t="s">
        <v>575</v>
      </c>
      <c r="AW10" s="25">
        <v>10241.1</v>
      </c>
      <c r="AX10" s="25">
        <v>39048.699999999997</v>
      </c>
      <c r="AY10" s="25">
        <v>17.516999999999999</v>
      </c>
      <c r="AZ10" s="25">
        <v>103.991</v>
      </c>
      <c r="BB10" s="58">
        <f t="shared" si="14"/>
        <v>1</v>
      </c>
      <c r="BC10" s="58">
        <f t="shared" si="15"/>
        <v>1</v>
      </c>
      <c r="BD10" s="58">
        <f t="shared" si="16"/>
        <v>1</v>
      </c>
      <c r="BE10" s="58">
        <f t="shared" si="17"/>
        <v>1</v>
      </c>
      <c r="BF10" s="26">
        <f t="shared" si="18"/>
        <v>0</v>
      </c>
      <c r="BG10" s="26">
        <f t="array" ref="BG10">AVERAGE(AK10:AK10/AN10:AN10) - AVERAGE(N10:N10/Q10:Q10)</f>
        <v>0</v>
      </c>
    </row>
    <row r="11" spans="1:59" collapsed="1" x14ac:dyDescent="0.3">
      <c r="A11" s="27"/>
      <c r="B11" s="27" t="s">
        <v>82</v>
      </c>
      <c r="C11" s="27">
        <v>333190689</v>
      </c>
      <c r="D11" s="28">
        <v>11</v>
      </c>
      <c r="E11" s="28">
        <v>128</v>
      </c>
      <c r="F11" s="28">
        <v>30</v>
      </c>
      <c r="H11" s="36">
        <f t="shared" si="0"/>
        <v>4.3700786903578849E-2</v>
      </c>
      <c r="I11" s="29">
        <f t="shared" si="1"/>
        <v>194.52178875000001</v>
      </c>
      <c r="J11" s="30">
        <f t="shared" si="2"/>
        <v>2.4909448535039944</v>
      </c>
      <c r="K11" s="30">
        <f t="shared" si="3"/>
        <v>0.29458323788873947</v>
      </c>
      <c r="L11" s="30">
        <f t="shared" si="4"/>
        <v>0.27920852254067641</v>
      </c>
      <c r="M11" s="30">
        <f t="shared" si="5"/>
        <v>2.1963616156152552</v>
      </c>
      <c r="N11" s="27">
        <f t="shared" si="6"/>
        <v>98152392</v>
      </c>
      <c r="O11" s="30">
        <v>16</v>
      </c>
      <c r="P11" s="31">
        <v>83104648</v>
      </c>
      <c r="Q11" s="32">
        <v>829959632</v>
      </c>
      <c r="R11" s="32">
        <v>93029680</v>
      </c>
      <c r="S11" s="32">
        <v>5122712</v>
      </c>
      <c r="T11" s="32">
        <v>731807240</v>
      </c>
      <c r="U11" s="33" t="s">
        <v>575</v>
      </c>
      <c r="V11" s="33" t="s">
        <v>575</v>
      </c>
      <c r="W11" s="33" t="s">
        <v>575</v>
      </c>
      <c r="X11" s="33" t="s">
        <v>575</v>
      </c>
      <c r="Y11" s="33" t="s">
        <v>575</v>
      </c>
      <c r="Z11" s="34">
        <v>9785.5499999999993</v>
      </c>
      <c r="AA11" s="34">
        <v>42413.599999999999</v>
      </c>
      <c r="AB11" s="34">
        <v>16.309000000000001</v>
      </c>
      <c r="AC11" s="34">
        <v>103.16</v>
      </c>
      <c r="AE11" s="36">
        <f t="shared" si="7"/>
        <v>4.3700786903578849E-2</v>
      </c>
      <c r="AF11" s="29">
        <f t="shared" si="8"/>
        <v>194.52178875000001</v>
      </c>
      <c r="AG11" s="30">
        <f t="shared" si="9"/>
        <v>2.4909448535039944</v>
      </c>
      <c r="AH11" s="30">
        <f t="shared" si="10"/>
        <v>0.29458323788873947</v>
      </c>
      <c r="AI11" s="30">
        <f t="shared" si="11"/>
        <v>0.27920852254067641</v>
      </c>
      <c r="AJ11" s="30">
        <f t="shared" si="12"/>
        <v>2.1963616156152552</v>
      </c>
      <c r="AK11" s="27">
        <f t="shared" si="13"/>
        <v>98152392</v>
      </c>
      <c r="AL11" s="30">
        <v>16</v>
      </c>
      <c r="AM11" s="31">
        <v>83104648</v>
      </c>
      <c r="AN11" s="32">
        <v>829959632</v>
      </c>
      <c r="AO11" s="32">
        <v>93029680</v>
      </c>
      <c r="AP11" s="32">
        <v>5122712</v>
      </c>
      <c r="AQ11" s="32">
        <v>731807240</v>
      </c>
      <c r="AR11" s="33" t="s">
        <v>575</v>
      </c>
      <c r="AS11" s="33" t="s">
        <v>575</v>
      </c>
      <c r="AT11" s="33" t="s">
        <v>575</v>
      </c>
      <c r="AU11" s="33" t="s">
        <v>575</v>
      </c>
      <c r="AV11" s="33" t="s">
        <v>575</v>
      </c>
      <c r="AW11" s="34">
        <v>8099.89</v>
      </c>
      <c r="AX11" s="34">
        <v>36637.5</v>
      </c>
      <c r="AY11" s="34">
        <v>15.782</v>
      </c>
      <c r="AZ11" s="34">
        <v>97.623000000000005</v>
      </c>
      <c r="BB11" s="35">
        <f t="shared" si="14"/>
        <v>1</v>
      </c>
      <c r="BC11" s="35">
        <f t="shared" si="15"/>
        <v>1</v>
      </c>
      <c r="BD11" s="35">
        <f t="shared" si="16"/>
        <v>1</v>
      </c>
      <c r="BE11" s="35">
        <f t="shared" si="17"/>
        <v>1</v>
      </c>
      <c r="BF11" s="36">
        <f t="shared" si="18"/>
        <v>0</v>
      </c>
      <c r="BG11" s="36">
        <f t="array" ref="BG11">AVERAGE(AK11:AK11/AN11:AN11) - AVERAGE(N11:N11/Q11:Q11)</f>
        <v>0</v>
      </c>
    </row>
    <row r="12" spans="1:59" x14ac:dyDescent="0.3">
      <c r="B12" s="47" t="s">
        <v>16</v>
      </c>
      <c r="J12" s="48">
        <f>AVERAGE(J5:J8)</f>
        <v>1.0440996991627398</v>
      </c>
      <c r="K12" s="48">
        <f>AVERAGE(K5:K8)</f>
        <v>0.14627062562480053</v>
      </c>
      <c r="L12" s="48">
        <f>AVERAGE(L5:L8)</f>
        <v>0.13408729822899096</v>
      </c>
      <c r="M12" s="48">
        <f>AVERAGE(M5:M8)</f>
        <v>0.89782907353793917</v>
      </c>
      <c r="AG12" s="48">
        <f>AVERAGE(AG5:AG8)</f>
        <v>1.0440996991627398</v>
      </c>
      <c r="AH12" s="48">
        <f>AVERAGE(AH5:AH8)</f>
        <v>0.14627062562480053</v>
      </c>
      <c r="AI12" s="48">
        <f>AVERAGE(AI5:AI8)</f>
        <v>0.13408729822899096</v>
      </c>
      <c r="AJ12" s="48">
        <f>AVERAGE(AJ5:AJ8)</f>
        <v>0.89782907353793917</v>
      </c>
      <c r="BB12" s="71">
        <f t="shared" si="14"/>
        <v>1</v>
      </c>
      <c r="BC12" s="71">
        <f t="shared" si="15"/>
        <v>1</v>
      </c>
      <c r="BD12" s="71">
        <f t="shared" si="16"/>
        <v>1</v>
      </c>
      <c r="BE12" s="71">
        <f t="shared" si="17"/>
        <v>1</v>
      </c>
      <c r="BG12" s="151">
        <f>AVERAGE(BG5:BG8)</f>
        <v>0</v>
      </c>
    </row>
    <row r="13" spans="1:59" x14ac:dyDescent="0.3">
      <c r="B13" s="47" t="s">
        <v>17</v>
      </c>
      <c r="J13" s="48">
        <f>AVERAGE(J9:J9)</f>
        <v>1.5066529566349143</v>
      </c>
      <c r="K13" s="48">
        <f>AVERAGE(K9:K9)</f>
        <v>0.15299556104654316</v>
      </c>
      <c r="L13" s="48">
        <f>AVERAGE(L9:L9)</f>
        <v>0.14235497914213741</v>
      </c>
      <c r="M13" s="48">
        <f>AVERAGE(M9:M9)</f>
        <v>1.3536573955883711</v>
      </c>
      <c r="AG13" s="48">
        <f>AVERAGE(AG9:AG9)</f>
        <v>1.5066529566349143</v>
      </c>
      <c r="AH13" s="48">
        <f>AVERAGE(AH9:AH9)</f>
        <v>0.15299556104654316</v>
      </c>
      <c r="AI13" s="48">
        <f>AVERAGE(AI9:AI9)</f>
        <v>0.14235497914213741</v>
      </c>
      <c r="AJ13" s="48">
        <f>AVERAGE(AJ9:AJ9)</f>
        <v>1.3536573955883711</v>
      </c>
      <c r="BB13" s="71">
        <f t="shared" si="14"/>
        <v>1</v>
      </c>
      <c r="BC13" s="71">
        <f t="shared" si="15"/>
        <v>1</v>
      </c>
      <c r="BD13" s="71">
        <f t="shared" si="16"/>
        <v>1</v>
      </c>
      <c r="BE13" s="71">
        <f t="shared" si="17"/>
        <v>1</v>
      </c>
      <c r="BG13" s="151">
        <f>AVERAGE(BG9:BG9)</f>
        <v>0</v>
      </c>
    </row>
    <row r="14" spans="1:59" x14ac:dyDescent="0.3">
      <c r="B14" s="47" t="s">
        <v>18</v>
      </c>
      <c r="J14" s="48">
        <f>AVERAGE(J10:J11)</f>
        <v>2.4539127223411761</v>
      </c>
      <c r="K14" s="48">
        <f>AVERAGE(K10:K11)</f>
        <v>0.28365459847235164</v>
      </c>
      <c r="L14" s="48">
        <f>AVERAGE(L10:L11)</f>
        <v>0.26965148787012422</v>
      </c>
      <c r="M14" s="48">
        <f>AVERAGE(M10:M11)</f>
        <v>2.1702581238688246</v>
      </c>
      <c r="AG14" s="48">
        <f>AVERAGE(AG10:AG11)</f>
        <v>2.4539127223411761</v>
      </c>
      <c r="AH14" s="48">
        <f>AVERAGE(AH10:AH11)</f>
        <v>0.28365459847235164</v>
      </c>
      <c r="AI14" s="48">
        <f>AVERAGE(AI10:AI11)</f>
        <v>0.26965148787012422</v>
      </c>
      <c r="AJ14" s="48">
        <f>AVERAGE(AJ10:AJ11)</f>
        <v>2.1702581238688246</v>
      </c>
      <c r="BB14" s="71">
        <f t="shared" si="14"/>
        <v>1</v>
      </c>
      <c r="BC14" s="71">
        <f t="shared" si="15"/>
        <v>1</v>
      </c>
      <c r="BD14" s="71">
        <f t="shared" si="16"/>
        <v>1</v>
      </c>
      <c r="BE14" s="71">
        <f t="shared" si="17"/>
        <v>1</v>
      </c>
      <c r="BG14" s="151">
        <f>AVERAGE(BG10:BG11)</f>
        <v>0</v>
      </c>
    </row>
    <row r="15" spans="1:59" x14ac:dyDescent="0.3">
      <c r="B15" s="47" t="s">
        <v>19</v>
      </c>
      <c r="J15" s="48">
        <f>AVERAGE(J5:J11)</f>
        <v>1.5129824568526036</v>
      </c>
      <c r="K15" s="48">
        <f>AVERAGE(K5:K11)</f>
        <v>0.18648389435577836</v>
      </c>
      <c r="L15" s="48">
        <f>AVERAGE(L5:L11)</f>
        <v>0.17400102111404994</v>
      </c>
      <c r="M15" s="48">
        <f>AVERAGE(M5:M11)</f>
        <v>1.3264985624968253</v>
      </c>
      <c r="AG15" s="48">
        <f>AVERAGE(AG5:AG11)</f>
        <v>1.5129824568526036</v>
      </c>
      <c r="AH15" s="48">
        <f>AVERAGE(AH5:AH11)</f>
        <v>0.18648389435577836</v>
      </c>
      <c r="AI15" s="48">
        <f>AVERAGE(AI5:AI11)</f>
        <v>0.17400102111404994</v>
      </c>
      <c r="AJ15" s="48">
        <f>AVERAGE(AJ5:AJ11)</f>
        <v>1.3264985624968253</v>
      </c>
      <c r="BB15" s="71">
        <f t="shared" si="14"/>
        <v>1</v>
      </c>
      <c r="BC15" s="71">
        <f t="shared" si="15"/>
        <v>1</v>
      </c>
      <c r="BD15" s="71">
        <f t="shared" si="16"/>
        <v>1</v>
      </c>
      <c r="BE15" s="71">
        <f t="shared" si="17"/>
        <v>1</v>
      </c>
      <c r="BG15" s="151">
        <f>AVERAGE(BG5:BG11)</f>
        <v>0</v>
      </c>
    </row>
    <row r="16" spans="1:59" hidden="1" outlineLevel="2" x14ac:dyDescent="0.3">
      <c r="A16" s="47" t="s">
        <v>241</v>
      </c>
      <c r="B16" s="47" t="s">
        <v>242</v>
      </c>
      <c r="Z16" s="49">
        <f>SUM(Z5:Z8,Z9:Z9,Z10:Z11)</f>
        <v>36883.490000000005</v>
      </c>
      <c r="AA16" s="49">
        <f>SUM(AA5:AA8,AA9:AA9,AA10:AA11)</f>
        <v>127437.84</v>
      </c>
      <c r="AB16" s="49">
        <f>SUM(AB5:AB8,AB9:AB9,AB10:AB11)</f>
        <v>57.006</v>
      </c>
      <c r="AC16" s="49">
        <f>SUM(AC5:AC8,AC9:AC9,AC10:AC11)</f>
        <v>340.94</v>
      </c>
      <c r="AW16" s="49">
        <f>SUM(AW5:AW8,AW9:AW9,AW10:AW11)</f>
        <v>34190.43</v>
      </c>
      <c r="AX16" s="49">
        <f>SUM(AX5:AX8,AX9:AX9,AX10:AX11)</f>
        <v>124238.29999999999</v>
      </c>
      <c r="AY16" s="49">
        <f>SUM(AY5:AY8,AY9:AY9,AY10:AY11)</f>
        <v>59.839999999999989</v>
      </c>
      <c r="AZ16" s="49">
        <f>SUM(AZ5:AZ8,AZ9:AZ9,AZ10:AZ11)</f>
        <v>348.72199999999998</v>
      </c>
    </row>
    <row r="17" spans="2:52" hidden="1" outlineLevel="2" x14ac:dyDescent="0.3">
      <c r="B17" s="47" t="s">
        <v>243</v>
      </c>
      <c r="AW17" s="151">
        <f>AW16/Z16</f>
        <v>0.92698467525714068</v>
      </c>
      <c r="AX17" s="151">
        <f>AX16/AA16</f>
        <v>0.97489332838660792</v>
      </c>
      <c r="AY17" s="151">
        <f>AY16/AB16</f>
        <v>1.0497140651861205</v>
      </c>
      <c r="AZ17" s="151">
        <f>AZ16/AC16</f>
        <v>1.0228251305214993</v>
      </c>
    </row>
    <row r="18" spans="2:52" hidden="1" outlineLevel="2" x14ac:dyDescent="0.3">
      <c r="B18" s="47" t="s">
        <v>244</v>
      </c>
      <c r="Z18" s="49">
        <f>GEOMEAN(Z5:Z8,Z9:Z9,Z10:Z11)</f>
        <v>4466.1749432814477</v>
      </c>
      <c r="AA18" s="49">
        <f>GEOMEAN(AA5:AA8,AA9:AA9,AA10:AA11)</f>
        <v>14359.53656283917</v>
      </c>
      <c r="AB18" s="49">
        <f>GEOMEAN(AB5:AB8,AB9:AB9,AB10:AB11)</f>
        <v>6.8632444556621408</v>
      </c>
      <c r="AC18" s="49">
        <f>GEOMEAN(AC5:AC8,AC9:AC9,AC10:AC11)</f>
        <v>40.052635707028443</v>
      </c>
      <c r="AW18" s="49">
        <f>GEOMEAN(AW5:AW8,AW9:AW9,AW10:AW11)</f>
        <v>4244.0574397235523</v>
      </c>
      <c r="AX18" s="49">
        <f>GEOMEAN(AX5:AX8,AX9:AX9,AX10:AX11)</f>
        <v>14206.236597475196</v>
      </c>
      <c r="AY18" s="49">
        <f>GEOMEAN(AY5:AY8,AY9:AY9,AY10:AY11)</f>
        <v>7.3040823231833727</v>
      </c>
      <c r="AZ18" s="49">
        <f>GEOMEAN(AZ5:AZ8,AZ9:AZ9,AZ10:AZ11)</f>
        <v>41.631914493020545</v>
      </c>
    </row>
    <row r="19" spans="2:52" outlineLevel="2" collapsed="1" x14ac:dyDescent="0.3">
      <c r="B19" s="47" t="s">
        <v>245</v>
      </c>
      <c r="AW19" s="151">
        <f>AW18/Z18</f>
        <v>0.95026672569285919</v>
      </c>
      <c r="AX19" s="151">
        <f>AX18/AA18</f>
        <v>0.98932417040806897</v>
      </c>
      <c r="AY19" s="151">
        <f>AY18/AB18</f>
        <v>1.0642317012557441</v>
      </c>
      <c r="AZ19" s="151">
        <f>AZ18/AC18</f>
        <v>1.0394300838912074</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89" priority="3" operator="greaterThanOrEqual">
      <formula>1.03</formula>
    </cfRule>
    <cfRule type="cellIs" dxfId="88" priority="4" operator="lessThanOrEqual">
      <formula>0.97</formula>
    </cfRule>
  </conditionalFormatting>
  <conditionalFormatting sqref="BC5 BC6 BC7 BC8 BC9 BC10 BC11 BC12 BC13 BC14 BC15">
    <cfRule type="cellIs" dxfId="87" priority="7" operator="greaterThanOrEqual">
      <formula>1.03</formula>
    </cfRule>
    <cfRule type="cellIs" dxfId="86" priority="8" operator="lessThanOrEqual">
      <formula>0.97</formula>
    </cfRule>
  </conditionalFormatting>
  <conditionalFormatting sqref="BD5 BD6 BD7 BD8 BD9 BD10 BD11 BD12 BD13 BD14 BD15">
    <cfRule type="cellIs" dxfId="85" priority="1" operator="greaterThanOrEqual">
      <formula>1.03</formula>
    </cfRule>
    <cfRule type="cellIs" dxfId="84" priority="2" operator="lessThanOrEqual">
      <formula>0.97</formula>
    </cfRule>
  </conditionalFormatting>
  <conditionalFormatting sqref="BE5 BE6 BE7 BE8 BE9 BE10 BE11 BE12 BE13 BE14 BE15">
    <cfRule type="cellIs" dxfId="83" priority="5" operator="greaterThanOrEqual">
      <formula>1.03</formula>
    </cfRule>
    <cfRule type="cellIs" dxfId="8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workbookViewId="0">
      <pane xSplit="2" ySplit="4" topLeftCell="BB5" activePane="bottomRight" state="frozen"/>
      <selection pane="topRight" activeCell="C1" sqref="C1"/>
      <selection pane="bottomLeft" activeCell="A5" sqref="A5"/>
      <selection pane="bottomRight" sqref="A1:G1"/>
    </sheetView>
  </sheetViews>
  <sheetFormatPr defaultRowHeight="14.4" outlineLevelRow="2" x14ac:dyDescent="0.3"/>
  <cols>
    <col min="2" max="2" width="24.6640625" style="76" customWidth="1"/>
    <col min="4" max="5" width="10.6640625" style="76" customWidth="1"/>
    <col min="8" max="8" width="1.6640625" style="76" customWidth="1"/>
    <col min="10" max="13" width="10.6640625" style="76" customWidth="1"/>
    <col min="14" max="14" width="24.6640625" style="76" hidden="1" customWidth="1"/>
    <col min="15" max="15" width="12.6640625" style="76" customWidth="1"/>
    <col min="16" max="16" width="10.6640625" style="76" customWidth="1"/>
    <col min="19" max="22" width="12.6640625" style="76" customWidth="1"/>
    <col min="23" max="27" width="11.6640625" style="76" customWidth="1"/>
    <col min="32" max="32" width="1.6640625" style="76" customWidth="1"/>
    <col min="34" max="37" width="10.6640625" style="76" customWidth="1"/>
    <col min="38" max="38" width="24.6640625" style="76" hidden="1" customWidth="1"/>
    <col min="39" max="39" width="12.6640625" style="76" customWidth="1"/>
    <col min="40" max="40" width="10.6640625" style="76" customWidth="1"/>
    <col min="43" max="46" width="12.6640625" style="76" customWidth="1"/>
    <col min="47" max="51" width="11.6640625" style="76" customWidth="1"/>
    <col min="56" max="56" width="1.6640625" style="76" customWidth="1"/>
    <col min="61" max="61" width="1.6640625" style="76" customWidth="1"/>
    <col min="64" max="66" width="11.6640625" style="76" customWidth="1"/>
    <col min="67" max="67" width="1.6640625" style="76" customWidth="1"/>
    <col min="70" max="72" width="11.6640625" style="76" customWidth="1"/>
    <col min="73" max="73" width="1.6640625" style="76" customWidth="1"/>
  </cols>
  <sheetData>
    <row r="1" spans="1:72" x14ac:dyDescent="0.3">
      <c r="A1" s="168" t="s">
        <v>577</v>
      </c>
      <c r="B1" s="156"/>
      <c r="C1" s="156"/>
      <c r="D1" s="156"/>
      <c r="E1" s="156"/>
      <c r="F1" s="156"/>
      <c r="G1" s="156"/>
      <c r="I1" s="164" t="s">
        <v>139</v>
      </c>
      <c r="J1" s="156"/>
      <c r="K1" s="156"/>
      <c r="L1" s="156"/>
      <c r="M1" s="156"/>
      <c r="N1" s="156"/>
      <c r="O1" s="156"/>
      <c r="P1" s="156"/>
      <c r="Q1" s="156"/>
      <c r="R1" s="156"/>
      <c r="S1" s="156"/>
      <c r="T1" s="156"/>
      <c r="U1" s="156"/>
      <c r="V1" s="156"/>
      <c r="W1" s="156"/>
      <c r="X1" s="156"/>
      <c r="Y1" s="156"/>
      <c r="Z1" s="156"/>
      <c r="AA1" s="156"/>
      <c r="AB1" s="156"/>
      <c r="AC1" s="156"/>
      <c r="AD1" s="156"/>
      <c r="AE1" s="156"/>
      <c r="AG1" s="165" t="s">
        <v>140</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3">
      <c r="A2" s="170" t="s">
        <v>141</v>
      </c>
      <c r="B2" s="169" t="s">
        <v>142</v>
      </c>
      <c r="C2" s="170" t="s">
        <v>143</v>
      </c>
      <c r="D2" s="169" t="s">
        <v>144</v>
      </c>
      <c r="E2" s="170" t="s">
        <v>145</v>
      </c>
      <c r="F2" s="169" t="s">
        <v>146</v>
      </c>
      <c r="G2" s="170" t="s">
        <v>147</v>
      </c>
      <c r="I2" s="169" t="s">
        <v>148</v>
      </c>
      <c r="J2" s="167" t="s">
        <v>149</v>
      </c>
      <c r="K2" s="156"/>
      <c r="L2" s="156"/>
      <c r="M2" s="156"/>
      <c r="N2" s="170" t="s">
        <v>150</v>
      </c>
      <c r="O2" s="169" t="s">
        <v>151</v>
      </c>
      <c r="P2" s="170" t="s">
        <v>86</v>
      </c>
      <c r="Q2" s="169" t="s">
        <v>88</v>
      </c>
      <c r="R2" s="170" t="s">
        <v>84</v>
      </c>
      <c r="S2" s="166" t="s">
        <v>152</v>
      </c>
      <c r="T2" s="156"/>
      <c r="U2" s="156"/>
      <c r="V2" s="156"/>
      <c r="W2" s="167" t="s">
        <v>153</v>
      </c>
      <c r="X2" s="156"/>
      <c r="Y2" s="166" t="s">
        <v>154</v>
      </c>
      <c r="Z2" s="156"/>
      <c r="AA2" s="156"/>
      <c r="AB2" s="167" t="s">
        <v>155</v>
      </c>
      <c r="AC2" s="156"/>
      <c r="AD2" s="166" t="s">
        <v>156</v>
      </c>
      <c r="AE2" s="156"/>
      <c r="AG2" s="170" t="s">
        <v>148</v>
      </c>
      <c r="AH2" s="166" t="s">
        <v>149</v>
      </c>
      <c r="AI2" s="156"/>
      <c r="AJ2" s="156"/>
      <c r="AK2" s="156"/>
      <c r="AL2" s="169" t="s">
        <v>157</v>
      </c>
      <c r="AM2" s="170" t="s">
        <v>151</v>
      </c>
      <c r="AN2" s="169" t="s">
        <v>86</v>
      </c>
      <c r="AO2" s="170" t="s">
        <v>88</v>
      </c>
      <c r="AP2" s="169" t="s">
        <v>84</v>
      </c>
      <c r="AQ2" s="167" t="s">
        <v>152</v>
      </c>
      <c r="AR2" s="156"/>
      <c r="AS2" s="156"/>
      <c r="AT2" s="156"/>
      <c r="AU2" s="166" t="s">
        <v>153</v>
      </c>
      <c r="AV2" s="156"/>
      <c r="AW2" s="167" t="s">
        <v>154</v>
      </c>
      <c r="AX2" s="156"/>
      <c r="AY2" s="156"/>
      <c r="AZ2" s="166" t="s">
        <v>155</v>
      </c>
      <c r="BA2" s="156"/>
      <c r="BB2" s="167" t="s">
        <v>156</v>
      </c>
      <c r="BC2" s="156"/>
      <c r="BE2" s="169" t="s">
        <v>158</v>
      </c>
      <c r="BF2" s="170" t="s">
        <v>159</v>
      </c>
      <c r="BG2" s="169" t="s">
        <v>160</v>
      </c>
      <c r="BH2" s="170" t="s">
        <v>160</v>
      </c>
      <c r="BJ2" s="166" t="s">
        <v>7</v>
      </c>
      <c r="BK2" s="156"/>
      <c r="BL2" s="167" t="s">
        <v>8</v>
      </c>
      <c r="BM2" s="156"/>
      <c r="BN2" s="156"/>
      <c r="BP2" s="166" t="s">
        <v>9</v>
      </c>
      <c r="BQ2" s="156"/>
      <c r="BR2" s="167" t="s">
        <v>10</v>
      </c>
      <c r="BS2" s="156"/>
      <c r="BT2" s="156"/>
    </row>
    <row r="3" spans="1:72" x14ac:dyDescent="0.3">
      <c r="A3" s="158"/>
      <c r="B3" s="158"/>
      <c r="C3" s="158"/>
      <c r="D3" s="158"/>
      <c r="E3" s="158"/>
      <c r="F3" s="158"/>
      <c r="G3" s="158"/>
      <c r="I3" s="158"/>
      <c r="J3" s="152" t="s">
        <v>27</v>
      </c>
      <c r="K3" s="152" t="s">
        <v>25</v>
      </c>
      <c r="L3" s="152" t="s">
        <v>161</v>
      </c>
      <c r="M3" s="152" t="s">
        <v>162</v>
      </c>
      <c r="N3" s="158"/>
      <c r="O3" s="158"/>
      <c r="P3" s="158"/>
      <c r="Q3" s="158"/>
      <c r="R3" s="158"/>
      <c r="S3" s="153" t="s">
        <v>27</v>
      </c>
      <c r="T3" s="153" t="s">
        <v>161</v>
      </c>
      <c r="U3" s="153" t="s">
        <v>163</v>
      </c>
      <c r="V3" s="153" t="s">
        <v>26</v>
      </c>
      <c r="W3" s="152" t="s">
        <v>11</v>
      </c>
      <c r="X3" s="152" t="s">
        <v>12</v>
      </c>
      <c r="Y3" s="153" t="s">
        <v>13</v>
      </c>
      <c r="Z3" s="153" t="s">
        <v>14</v>
      </c>
      <c r="AA3" s="153" t="s">
        <v>15</v>
      </c>
      <c r="AB3" s="152" t="s">
        <v>164</v>
      </c>
      <c r="AC3" s="152" t="s">
        <v>165</v>
      </c>
      <c r="AD3" s="153" t="s">
        <v>164</v>
      </c>
      <c r="AE3" s="153" t="s">
        <v>165</v>
      </c>
      <c r="AG3" s="158"/>
      <c r="AH3" s="153" t="s">
        <v>27</v>
      </c>
      <c r="AI3" s="153" t="s">
        <v>25</v>
      </c>
      <c r="AJ3" s="153" t="s">
        <v>161</v>
      </c>
      <c r="AK3" s="153" t="s">
        <v>162</v>
      </c>
      <c r="AL3" s="158"/>
      <c r="AM3" s="158"/>
      <c r="AN3" s="158"/>
      <c r="AO3" s="158"/>
      <c r="AP3" s="158"/>
      <c r="AQ3" s="152" t="s">
        <v>27</v>
      </c>
      <c r="AR3" s="152" t="s">
        <v>161</v>
      </c>
      <c r="AS3" s="152" t="s">
        <v>163</v>
      </c>
      <c r="AT3" s="152" t="s">
        <v>26</v>
      </c>
      <c r="AU3" s="153" t="s">
        <v>11</v>
      </c>
      <c r="AV3" s="153" t="s">
        <v>12</v>
      </c>
      <c r="AW3" s="152" t="s">
        <v>13</v>
      </c>
      <c r="AX3" s="152" t="s">
        <v>14</v>
      </c>
      <c r="AY3" s="152" t="s">
        <v>15</v>
      </c>
      <c r="AZ3" s="153" t="s">
        <v>164</v>
      </c>
      <c r="BA3" s="153" t="s">
        <v>165</v>
      </c>
      <c r="BB3" s="152" t="s">
        <v>164</v>
      </c>
      <c r="BC3" s="152" t="s">
        <v>165</v>
      </c>
      <c r="BE3" s="158"/>
      <c r="BF3" s="158"/>
      <c r="BG3" s="158"/>
      <c r="BH3" s="158"/>
      <c r="BJ3" s="153" t="s">
        <v>11</v>
      </c>
      <c r="BK3" s="153" t="s">
        <v>12</v>
      </c>
      <c r="BL3" s="152" t="s">
        <v>13</v>
      </c>
      <c r="BM3" s="152" t="s">
        <v>14</v>
      </c>
      <c r="BN3" s="152" t="s">
        <v>15</v>
      </c>
      <c r="BP3" s="153" t="s">
        <v>11</v>
      </c>
      <c r="BQ3" s="153" t="s">
        <v>12</v>
      </c>
      <c r="BR3" s="152" t="s">
        <v>13</v>
      </c>
      <c r="BS3" s="152" t="s">
        <v>14</v>
      </c>
      <c r="BT3" s="152" t="s">
        <v>15</v>
      </c>
    </row>
    <row r="4" spans="1:72" ht="123" hidden="1" customHeight="1" x14ac:dyDescent="0.3">
      <c r="A4" s="8" t="s">
        <v>166</v>
      </c>
      <c r="B4" s="9" t="s">
        <v>167</v>
      </c>
      <c r="C4" s="8" t="s">
        <v>168</v>
      </c>
      <c r="D4" s="9" t="s">
        <v>169</v>
      </c>
      <c r="E4" s="8" t="s">
        <v>170</v>
      </c>
      <c r="F4" s="9" t="s">
        <v>171</v>
      </c>
      <c r="G4" s="8" t="s">
        <v>172</v>
      </c>
      <c r="I4" s="9" t="s">
        <v>173</v>
      </c>
      <c r="J4" s="8" t="s">
        <v>174</v>
      </c>
      <c r="K4" s="8" t="s">
        <v>175</v>
      </c>
      <c r="L4" s="8" t="s">
        <v>176</v>
      </c>
      <c r="M4" s="8" t="s">
        <v>177</v>
      </c>
      <c r="N4" s="8" t="s">
        <v>178</v>
      </c>
      <c r="O4" s="9" t="s">
        <v>179</v>
      </c>
      <c r="P4" s="8" t="s">
        <v>180</v>
      </c>
      <c r="Q4" s="9" t="s">
        <v>181</v>
      </c>
      <c r="R4" s="8" t="s">
        <v>182</v>
      </c>
      <c r="S4" s="9" t="s">
        <v>183</v>
      </c>
      <c r="T4" s="9" t="s">
        <v>184</v>
      </c>
      <c r="U4" s="9" t="s">
        <v>185</v>
      </c>
      <c r="V4" s="9" t="s">
        <v>186</v>
      </c>
      <c r="W4" s="8" t="s">
        <v>187</v>
      </c>
      <c r="X4" s="8" t="s">
        <v>188</v>
      </c>
      <c r="Y4" s="9" t="s">
        <v>189</v>
      </c>
      <c r="Z4" s="9" t="s">
        <v>190</v>
      </c>
      <c r="AA4" s="9" t="s">
        <v>191</v>
      </c>
      <c r="AB4" s="8" t="s">
        <v>192</v>
      </c>
      <c r="AC4" s="8" t="s">
        <v>193</v>
      </c>
      <c r="AD4" s="9" t="s">
        <v>194</v>
      </c>
      <c r="AE4" s="9" t="s">
        <v>195</v>
      </c>
      <c r="AG4" s="8" t="s">
        <v>196</v>
      </c>
      <c r="AH4" s="9" t="s">
        <v>197</v>
      </c>
      <c r="AI4" s="9" t="s">
        <v>198</v>
      </c>
      <c r="AJ4" s="9" t="s">
        <v>199</v>
      </c>
      <c r="AK4" s="9" t="s">
        <v>200</v>
      </c>
      <c r="AL4" s="9" t="s">
        <v>201</v>
      </c>
      <c r="AM4" s="8" t="s">
        <v>202</v>
      </c>
      <c r="AN4" s="9" t="s">
        <v>203</v>
      </c>
      <c r="AO4" s="8" t="s">
        <v>204</v>
      </c>
      <c r="AP4" s="9" t="s">
        <v>205</v>
      </c>
      <c r="AQ4" s="8" t="s">
        <v>206</v>
      </c>
      <c r="AR4" s="8" t="s">
        <v>207</v>
      </c>
      <c r="AS4" s="8" t="s">
        <v>208</v>
      </c>
      <c r="AT4" s="8" t="s">
        <v>209</v>
      </c>
      <c r="AU4" s="9" t="s">
        <v>210</v>
      </c>
      <c r="AV4" s="9" t="s">
        <v>211</v>
      </c>
      <c r="AW4" s="8" t="s">
        <v>212</v>
      </c>
      <c r="AX4" s="8" t="s">
        <v>213</v>
      </c>
      <c r="AY4" s="8" t="s">
        <v>214</v>
      </c>
      <c r="AZ4" s="9" t="s">
        <v>215</v>
      </c>
      <c r="BA4" s="9" t="s">
        <v>216</v>
      </c>
      <c r="BB4" s="8" t="s">
        <v>217</v>
      </c>
      <c r="BC4" s="8" t="s">
        <v>218</v>
      </c>
      <c r="BE4" s="9" t="s">
        <v>219</v>
      </c>
      <c r="BF4" s="8" t="s">
        <v>220</v>
      </c>
      <c r="BG4" s="9" t="s">
        <v>221</v>
      </c>
      <c r="BH4" s="8" t="s">
        <v>222</v>
      </c>
      <c r="BJ4" s="9" t="s">
        <v>223</v>
      </c>
      <c r="BK4" s="9" t="s">
        <v>224</v>
      </c>
      <c r="BL4" s="8" t="s">
        <v>225</v>
      </c>
      <c r="BM4" s="8" t="s">
        <v>226</v>
      </c>
      <c r="BN4" s="8" t="s">
        <v>227</v>
      </c>
      <c r="BP4" s="9" t="s">
        <v>228</v>
      </c>
      <c r="BQ4" s="9" t="s">
        <v>229</v>
      </c>
      <c r="BR4" s="8" t="s">
        <v>230</v>
      </c>
      <c r="BS4" s="8" t="s">
        <v>231</v>
      </c>
      <c r="BT4" s="8" t="s">
        <v>232</v>
      </c>
    </row>
    <row r="5" spans="1:72" x14ac:dyDescent="0.3">
      <c r="A5" s="129" t="s">
        <v>233</v>
      </c>
      <c r="B5" s="129" t="s">
        <v>51</v>
      </c>
      <c r="C5" s="10" t="s">
        <v>234</v>
      </c>
      <c r="D5" s="129">
        <v>238146391</v>
      </c>
      <c r="E5" s="10">
        <v>10</v>
      </c>
      <c r="F5" s="10">
        <v>32</v>
      </c>
      <c r="G5" s="10">
        <v>30</v>
      </c>
      <c r="I5" s="11">
        <f t="shared" ref="I5:I39" si="0">IF(OR(ISBLANK(S5),ISBLANK(G5)),"·",S5*G5/F5/1000000)</f>
        <v>1.13259</v>
      </c>
      <c r="J5" s="12">
        <f t="shared" ref="J5:J39" si="1">IF(ISBLANK(S5),"·",S5/D5)</f>
        <v>5.0729133241410318E-3</v>
      </c>
      <c r="K5" s="12">
        <f t="shared" ref="K5:K39" si="2">IF(N5="","·",N5/D5)</f>
        <v>4.3651805750018697E-3</v>
      </c>
      <c r="L5" s="12">
        <f t="shared" ref="L5:L39" si="3">IF(T5="","·",T5/D5)</f>
        <v>2.6379740518511574E-3</v>
      </c>
      <c r="M5" s="12">
        <f t="shared" ref="M5:M39" si="4">IF(ISBLANK(V5),"·",V5/D5)</f>
        <v>7.077327491391629E-4</v>
      </c>
      <c r="N5" s="129">
        <f t="shared" ref="N5:N39" si="5">IF(OR(ISBLANK(T5),ISBLANK(U5)),"",T5+U5)</f>
        <v>1039552</v>
      </c>
      <c r="O5" s="12">
        <v>16</v>
      </c>
      <c r="P5" s="13">
        <v>23508046</v>
      </c>
      <c r="Q5" s="13">
        <v>734626.4375</v>
      </c>
      <c r="R5" s="13">
        <v>17443.4375</v>
      </c>
      <c r="S5" s="14">
        <v>1208096</v>
      </c>
      <c r="T5" s="14">
        <v>628224</v>
      </c>
      <c r="U5" s="14">
        <v>411328</v>
      </c>
      <c r="V5" s="14">
        <v>168544</v>
      </c>
      <c r="W5" s="15">
        <v>66.832428125000007</v>
      </c>
      <c r="X5" s="15">
        <v>68.589100000000002</v>
      </c>
      <c r="Y5" s="15">
        <v>31.7477625</v>
      </c>
      <c r="Z5" s="15">
        <v>44.687831250000002</v>
      </c>
      <c r="AA5" s="15">
        <v>44.062315624999997</v>
      </c>
      <c r="AB5" s="16">
        <v>2920.79</v>
      </c>
      <c r="AC5" s="16">
        <v>4873.49</v>
      </c>
      <c r="AD5" s="16">
        <v>7.3330000000000002</v>
      </c>
      <c r="AE5" s="16">
        <v>26.425000000000001</v>
      </c>
      <c r="AG5" s="11">
        <f t="shared" ref="AG5:AG39" si="6">IF(OR(ISBLANK(AQ5),ISBLANK(G5)),"·",AQ5*G5/F5/1000000)</f>
        <v>1.13259</v>
      </c>
      <c r="AH5" s="12">
        <f t="shared" ref="AH5:AH39" si="7">IF(ISBLANK(AQ5),"·",AQ5/D5)</f>
        <v>5.0729133241410318E-3</v>
      </c>
      <c r="AI5" s="12">
        <f t="shared" ref="AI5:AI39" si="8">IF(AL5="","·",AL5/D5)</f>
        <v>4.3651805750018697E-3</v>
      </c>
      <c r="AJ5" s="12">
        <f t="shared" ref="AJ5:AJ39" si="9">IF(AR5="","·",AR5/D5)</f>
        <v>2.6379740518511574E-3</v>
      </c>
      <c r="AK5" s="12">
        <f t="shared" ref="AK5:AK39" si="10">IF(ISBLANK(AT5),"·",AT5/D5)</f>
        <v>7.077327491391629E-4</v>
      </c>
      <c r="AL5" s="129">
        <f t="shared" ref="AL5:AL39" si="11">IF(OR(ISBLANK(AR5),ISBLANK(AS5)),"",AR5+AS5)</f>
        <v>1039552</v>
      </c>
      <c r="AM5" s="12">
        <v>16</v>
      </c>
      <c r="AN5" s="13">
        <v>23508046</v>
      </c>
      <c r="AO5" s="13">
        <v>734626.4375</v>
      </c>
      <c r="AP5" s="13">
        <v>17443.4375</v>
      </c>
      <c r="AQ5" s="14">
        <v>1208096</v>
      </c>
      <c r="AR5" s="14">
        <v>628224</v>
      </c>
      <c r="AS5" s="14">
        <v>411328</v>
      </c>
      <c r="AT5" s="14">
        <v>168544</v>
      </c>
      <c r="AU5" s="15">
        <v>66.832428125000007</v>
      </c>
      <c r="AV5" s="15">
        <v>68.589100000000002</v>
      </c>
      <c r="AW5" s="15">
        <v>31.7477625</v>
      </c>
      <c r="AX5" s="15">
        <v>44.687831250000002</v>
      </c>
      <c r="AY5" s="15">
        <v>44.062315624999997</v>
      </c>
      <c r="AZ5" s="16">
        <v>2365.23</v>
      </c>
      <c r="BA5" s="16">
        <v>3407.61</v>
      </c>
      <c r="BB5" s="16">
        <v>5.9269999999999996</v>
      </c>
      <c r="BC5" s="16">
        <v>20.895</v>
      </c>
      <c r="BE5" s="62">
        <f t="shared" ref="BE5:BE43" si="12">AI5/K5</f>
        <v>1</v>
      </c>
      <c r="BF5" s="17">
        <f t="shared" ref="BF5:BF39" si="13">(AP5/AO5) - (R5/Q5)</f>
        <v>0</v>
      </c>
      <c r="BG5" s="17">
        <f t="shared" ref="BG5:BG39" si="14">(AL5/AQ5) - (N5/S5)</f>
        <v>0</v>
      </c>
      <c r="BH5" s="17">
        <f t="array" ref="BH5">AVERAGE(AL5:AL9/AQ5:AQ9) - AVERAGE(N5:N9/S5:S9)</f>
        <v>0</v>
      </c>
      <c r="BJ5" s="62">
        <f>IF( OR(ISBLANK(N5:N9),ISBLANK(AL5:AL9), ISBLANK(W5:W9),ISBLANK(AU5:AU9)), "·", bdRateExtend( N5:N9,W5:W9, AL5:AL9,AU5:AU9))</f>
        <v>0</v>
      </c>
      <c r="BK5" s="62">
        <f>IF( OR(ISBLANK(N5:N9),ISBLANK(AL5:AL9), ISBLANK(X5:X9),ISBLANK(AV5:AV9)), "·", bdRateExtend( N5:N9,X5:X9, AL5:AL9,AV5:AV9))</f>
        <v>0</v>
      </c>
      <c r="BL5" s="62">
        <f>IF( OR(ISBLANK(V5:V9),ISBLANK(AT5:AT9), ISBLANK(Y5:Y9),ISBLANK(AW5:AW9)), "·", bdRateExtend( V5:V9,Y5:Y9, AT5:AT9,AW5:AW9))</f>
        <v>0</v>
      </c>
      <c r="BM5" s="62">
        <f>IF( OR(ISBLANK(V5:V9),ISBLANK(AT5:AT9), ISBLANK(Z5:Z9),ISBLANK(AX5:AX9)), "·", bdRateExtend( V5:V9,Z5:Z9, AT5:AT9,AX5:AX9))</f>
        <v>0</v>
      </c>
      <c r="BN5" s="62">
        <f>IF( OR(ISBLANK(V5:V9),ISBLANK(AT5:AT9), ISBLANK(AA5:AA9),ISBLANK(AY5:AY9)), "·", bdRateExtend( V5:V9,AA5:AA9, AT5:AT9,AY5:AY9))</f>
        <v>0</v>
      </c>
      <c r="BP5" s="62">
        <f>IF( OR(ISBLANK(S5:S9),ISBLANK(AQ5:AQ9), ISBLANK(W5:W9),ISBLANK(AU5:AU9)), "·", bdRateExtend( S5:S9,W5:W9, AQ5:AQ9,AU5:AU9))</f>
        <v>0</v>
      </c>
      <c r="BQ5" s="62">
        <f>IF( OR(ISBLANK(S5:S9),ISBLANK(AQ5:AQ9), ISBLANK(X5:X9),ISBLANK(AV5:AV9)), "·", bdRateExtend( S5:S9,X5:X9, AQ5:AQ9,AV5:AV9))</f>
        <v>0</v>
      </c>
      <c r="BR5" s="62">
        <f>IF( OR(ISBLANK(S5:S9),ISBLANK(AQ5:AQ9), ISBLANK(Y5:Y9),ISBLANK(AW5:AW9)), "·", bdRateExtend( S5:S9,Y5:Y9, AQ5:AQ9,AW5:AW9))</f>
        <v>0</v>
      </c>
      <c r="BS5" s="62">
        <f>IF( OR(ISBLANK(S5:S9),ISBLANK(AQ5:AQ9), ISBLANK(Z5:Z9),ISBLANK(AX5:AX9)), "·", bdRateExtend( S5:S9,Z5:Z9, AQ5:AQ9,AX5:AX9))</f>
        <v>0</v>
      </c>
      <c r="BT5" s="62">
        <f>IF( OR(ISBLANK(S5:S9),ISBLANK(AQ5:AQ9), ISBLANK(AA5:AA9),ISBLANK(AY5:AY9)), "·", bdRateExtend( S5:S9,AA5:AA9, AQ5:AQ9,AY5:AY9))</f>
        <v>0</v>
      </c>
    </row>
    <row r="6" spans="1:72" outlineLevel="1" x14ac:dyDescent="0.3">
      <c r="A6" s="18"/>
      <c r="B6" s="18" t="s">
        <v>51</v>
      </c>
      <c r="C6" s="19" t="s">
        <v>235</v>
      </c>
      <c r="D6" s="18">
        <v>238146391</v>
      </c>
      <c r="E6" s="19">
        <v>10</v>
      </c>
      <c r="F6" s="19">
        <v>32</v>
      </c>
      <c r="G6" s="19">
        <v>30</v>
      </c>
      <c r="I6" s="20">
        <f t="shared" si="0"/>
        <v>1.4620500000000001</v>
      </c>
      <c r="J6" s="21">
        <f t="shared" si="1"/>
        <v>6.548577089291267E-3</v>
      </c>
      <c r="K6" s="21">
        <f t="shared" si="2"/>
        <v>5.2692631399146421E-3</v>
      </c>
      <c r="L6" s="21">
        <f t="shared" si="3"/>
        <v>3.5420566167639299E-3</v>
      </c>
      <c r="M6" s="21">
        <f t="shared" si="4"/>
        <v>1.2793139493766253E-3</v>
      </c>
      <c r="N6" s="18">
        <f t="shared" si="5"/>
        <v>1254856</v>
      </c>
      <c r="O6" s="21">
        <v>16</v>
      </c>
      <c r="P6" s="22">
        <v>24757380</v>
      </c>
      <c r="Q6" s="22">
        <v>773668.125</v>
      </c>
      <c r="R6" s="22">
        <v>20594.65625</v>
      </c>
      <c r="S6" s="23">
        <v>1559520</v>
      </c>
      <c r="T6" s="23">
        <v>843528</v>
      </c>
      <c r="U6" s="23">
        <v>411328</v>
      </c>
      <c r="V6" s="23">
        <v>304664</v>
      </c>
      <c r="W6" s="24">
        <v>68.508778125000006</v>
      </c>
      <c r="X6" s="24">
        <v>70.548268750000005</v>
      </c>
      <c r="Y6" s="24">
        <v>33.907259375000002</v>
      </c>
      <c r="Z6" s="24">
        <v>45.453121875000001</v>
      </c>
      <c r="AA6" s="24">
        <v>45.226387500000001</v>
      </c>
      <c r="AB6" s="25">
        <v>2912.6</v>
      </c>
      <c r="AC6" s="25">
        <v>5206.95</v>
      </c>
      <c r="AD6" s="25">
        <v>7.5810000000000004</v>
      </c>
      <c r="AE6" s="25">
        <v>26.991</v>
      </c>
      <c r="AG6" s="20">
        <f t="shared" si="6"/>
        <v>1.4620500000000001</v>
      </c>
      <c r="AH6" s="21">
        <f t="shared" si="7"/>
        <v>6.548577089291267E-3</v>
      </c>
      <c r="AI6" s="21">
        <f t="shared" si="8"/>
        <v>5.2692631399146421E-3</v>
      </c>
      <c r="AJ6" s="21">
        <f t="shared" si="9"/>
        <v>3.5420566167639299E-3</v>
      </c>
      <c r="AK6" s="21">
        <f t="shared" si="10"/>
        <v>1.2793139493766253E-3</v>
      </c>
      <c r="AL6" s="18">
        <f t="shared" si="11"/>
        <v>1254856</v>
      </c>
      <c r="AM6" s="21">
        <v>16</v>
      </c>
      <c r="AN6" s="22">
        <v>24757380</v>
      </c>
      <c r="AO6" s="22">
        <v>773668.125</v>
      </c>
      <c r="AP6" s="22">
        <v>20594.65625</v>
      </c>
      <c r="AQ6" s="23">
        <v>1559520</v>
      </c>
      <c r="AR6" s="23">
        <v>843528</v>
      </c>
      <c r="AS6" s="23">
        <v>411328</v>
      </c>
      <c r="AT6" s="23">
        <v>304664</v>
      </c>
      <c r="AU6" s="24">
        <v>68.508778125000006</v>
      </c>
      <c r="AV6" s="24">
        <v>70.548268750000005</v>
      </c>
      <c r="AW6" s="24">
        <v>33.907259375000002</v>
      </c>
      <c r="AX6" s="24">
        <v>45.453121875000001</v>
      </c>
      <c r="AY6" s="24">
        <v>45.226387500000001</v>
      </c>
      <c r="AZ6" s="25">
        <v>2356.0300000000002</v>
      </c>
      <c r="BA6" s="25">
        <v>3646.95</v>
      </c>
      <c r="BB6" s="25">
        <v>5.89</v>
      </c>
      <c r="BC6" s="25">
        <v>20.475999999999999</v>
      </c>
      <c r="BE6" s="58">
        <f t="shared" si="12"/>
        <v>1</v>
      </c>
      <c r="BF6" s="26">
        <f t="shared" si="13"/>
        <v>0</v>
      </c>
      <c r="BG6" s="26">
        <f t="shared" si="14"/>
        <v>0</v>
      </c>
      <c r="BH6" s="26"/>
      <c r="BJ6" s="58"/>
      <c r="BK6" s="58"/>
      <c r="BL6" s="58"/>
      <c r="BM6" s="58"/>
      <c r="BN6" s="58"/>
      <c r="BP6" s="58"/>
      <c r="BQ6" s="58"/>
      <c r="BR6" s="58"/>
      <c r="BS6" s="58"/>
      <c r="BT6" s="58"/>
    </row>
    <row r="7" spans="1:72" outlineLevel="1" x14ac:dyDescent="0.3">
      <c r="A7" s="129"/>
      <c r="B7" s="129" t="s">
        <v>51</v>
      </c>
      <c r="C7" s="10" t="s">
        <v>236</v>
      </c>
      <c r="D7" s="129">
        <v>238146391</v>
      </c>
      <c r="E7" s="10">
        <v>10</v>
      </c>
      <c r="F7" s="10">
        <v>32</v>
      </c>
      <c r="G7" s="10">
        <v>30</v>
      </c>
      <c r="I7" s="11">
        <f t="shared" si="0"/>
        <v>2.0179425000000002</v>
      </c>
      <c r="J7" s="12">
        <f t="shared" si="1"/>
        <v>9.0384405615451888E-3</v>
      </c>
      <c r="K7" s="12">
        <f t="shared" si="2"/>
        <v>6.4722878794329494E-3</v>
      </c>
      <c r="L7" s="12">
        <f t="shared" si="3"/>
        <v>4.7450813562822372E-3</v>
      </c>
      <c r="M7" s="12">
        <f t="shared" si="4"/>
        <v>2.566152682112239E-3</v>
      </c>
      <c r="N7" s="129">
        <f t="shared" si="5"/>
        <v>1541352</v>
      </c>
      <c r="O7" s="12">
        <v>16</v>
      </c>
      <c r="P7" s="13">
        <v>24967468</v>
      </c>
      <c r="Q7" s="13">
        <v>780233.375</v>
      </c>
      <c r="R7" s="13">
        <v>21823.5625</v>
      </c>
      <c r="S7" s="14">
        <v>2152472</v>
      </c>
      <c r="T7" s="14">
        <v>1130024</v>
      </c>
      <c r="U7" s="14">
        <v>411328</v>
      </c>
      <c r="V7" s="14">
        <v>611120</v>
      </c>
      <c r="W7" s="15">
        <v>69.826049999999995</v>
      </c>
      <c r="X7" s="15">
        <v>72.220315624999998</v>
      </c>
      <c r="Y7" s="15">
        <v>36.303293750000002</v>
      </c>
      <c r="Z7" s="15">
        <v>46.913274999999999</v>
      </c>
      <c r="AA7" s="15">
        <v>46.685381249999999</v>
      </c>
      <c r="AB7" s="16">
        <v>2911.05</v>
      </c>
      <c r="AC7" s="16">
        <v>5536.63</v>
      </c>
      <c r="AD7" s="16">
        <v>7.8339999999999996</v>
      </c>
      <c r="AE7" s="16">
        <v>28.550999999999998</v>
      </c>
      <c r="AG7" s="11">
        <f t="shared" si="6"/>
        <v>2.0179425000000002</v>
      </c>
      <c r="AH7" s="12">
        <f t="shared" si="7"/>
        <v>9.0384405615451888E-3</v>
      </c>
      <c r="AI7" s="12">
        <f t="shared" si="8"/>
        <v>6.4722878794329494E-3</v>
      </c>
      <c r="AJ7" s="12">
        <f t="shared" si="9"/>
        <v>4.7450813562822372E-3</v>
      </c>
      <c r="AK7" s="12">
        <f t="shared" si="10"/>
        <v>2.566152682112239E-3</v>
      </c>
      <c r="AL7" s="129">
        <f t="shared" si="11"/>
        <v>1541352</v>
      </c>
      <c r="AM7" s="12">
        <v>16</v>
      </c>
      <c r="AN7" s="13">
        <v>24967468</v>
      </c>
      <c r="AO7" s="13">
        <v>780233.375</v>
      </c>
      <c r="AP7" s="13">
        <v>21823.5625</v>
      </c>
      <c r="AQ7" s="14">
        <v>2152472</v>
      </c>
      <c r="AR7" s="14">
        <v>1130024</v>
      </c>
      <c r="AS7" s="14">
        <v>411328</v>
      </c>
      <c r="AT7" s="14">
        <v>611120</v>
      </c>
      <c r="AU7" s="15">
        <v>69.826049999999995</v>
      </c>
      <c r="AV7" s="15">
        <v>72.220315624999998</v>
      </c>
      <c r="AW7" s="15">
        <v>36.303293750000002</v>
      </c>
      <c r="AX7" s="15">
        <v>46.913274999999999</v>
      </c>
      <c r="AY7" s="15">
        <v>46.685381249999999</v>
      </c>
      <c r="AZ7" s="16">
        <v>2365.33</v>
      </c>
      <c r="BA7" s="16">
        <v>3869.9</v>
      </c>
      <c r="BB7" s="16">
        <v>6.1719999999999997</v>
      </c>
      <c r="BC7" s="16">
        <v>21.603000000000002</v>
      </c>
      <c r="BE7" s="62">
        <f t="shared" si="12"/>
        <v>1</v>
      </c>
      <c r="BF7" s="17">
        <f t="shared" si="13"/>
        <v>0</v>
      </c>
      <c r="BG7" s="17">
        <f t="shared" si="14"/>
        <v>0</v>
      </c>
      <c r="BH7" s="17"/>
      <c r="BJ7" s="62"/>
      <c r="BK7" s="62"/>
      <c r="BL7" s="62"/>
      <c r="BM7" s="62"/>
      <c r="BN7" s="62"/>
      <c r="BP7" s="62"/>
      <c r="BQ7" s="62"/>
      <c r="BR7" s="62"/>
      <c r="BS7" s="62"/>
      <c r="BT7" s="62"/>
    </row>
    <row r="8" spans="1:72" outlineLevel="1" x14ac:dyDescent="0.3">
      <c r="A8" s="18"/>
      <c r="B8" s="18" t="s">
        <v>51</v>
      </c>
      <c r="C8" s="19" t="s">
        <v>237</v>
      </c>
      <c r="D8" s="18">
        <v>238146391</v>
      </c>
      <c r="E8" s="19">
        <v>10</v>
      </c>
      <c r="F8" s="19">
        <v>32</v>
      </c>
      <c r="G8" s="19">
        <v>30</v>
      </c>
      <c r="I8" s="20">
        <f t="shared" si="0"/>
        <v>3.3677025</v>
      </c>
      <c r="J8" s="21">
        <f t="shared" si="1"/>
        <v>1.5084066505966913E-2</v>
      </c>
      <c r="K8" s="21">
        <f t="shared" si="2"/>
        <v>9.0936335037720556E-3</v>
      </c>
      <c r="L8" s="21">
        <f t="shared" si="3"/>
        <v>7.3664269806213442E-3</v>
      </c>
      <c r="M8" s="21">
        <f t="shared" si="4"/>
        <v>5.9904330021948561E-3</v>
      </c>
      <c r="N8" s="18">
        <f t="shared" si="5"/>
        <v>2165616</v>
      </c>
      <c r="O8" s="21">
        <v>16</v>
      </c>
      <c r="P8" s="22">
        <v>26016560</v>
      </c>
      <c r="Q8" s="22">
        <v>813017.5</v>
      </c>
      <c r="R8" s="22">
        <v>25175.3125</v>
      </c>
      <c r="S8" s="23">
        <v>3592216</v>
      </c>
      <c r="T8" s="23">
        <v>1754288</v>
      </c>
      <c r="U8" s="23">
        <v>411328</v>
      </c>
      <c r="V8" s="23">
        <v>1426600</v>
      </c>
      <c r="W8" s="24">
        <v>70.832596874999993</v>
      </c>
      <c r="X8" s="24">
        <v>73.386471874999998</v>
      </c>
      <c r="Y8" s="24">
        <v>38.747065624999998</v>
      </c>
      <c r="Z8" s="24">
        <v>48.079996874999999</v>
      </c>
      <c r="AA8" s="24">
        <v>48.057162499999997</v>
      </c>
      <c r="AB8" s="25">
        <v>2913.24</v>
      </c>
      <c r="AC8" s="25">
        <v>6002.5</v>
      </c>
      <c r="AD8" s="25">
        <v>7.726</v>
      </c>
      <c r="AE8" s="25">
        <v>28.338000000000001</v>
      </c>
      <c r="AG8" s="20">
        <f t="shared" si="6"/>
        <v>3.3677025</v>
      </c>
      <c r="AH8" s="21">
        <f t="shared" si="7"/>
        <v>1.5084066505966913E-2</v>
      </c>
      <c r="AI8" s="21">
        <f t="shared" si="8"/>
        <v>9.0936335037720556E-3</v>
      </c>
      <c r="AJ8" s="21">
        <f t="shared" si="9"/>
        <v>7.3664269806213442E-3</v>
      </c>
      <c r="AK8" s="21">
        <f t="shared" si="10"/>
        <v>5.9904330021948561E-3</v>
      </c>
      <c r="AL8" s="18">
        <f t="shared" si="11"/>
        <v>2165616</v>
      </c>
      <c r="AM8" s="21">
        <v>16</v>
      </c>
      <c r="AN8" s="22">
        <v>26016560</v>
      </c>
      <c r="AO8" s="22">
        <v>813017.5</v>
      </c>
      <c r="AP8" s="22">
        <v>25175.3125</v>
      </c>
      <c r="AQ8" s="23">
        <v>3592216</v>
      </c>
      <c r="AR8" s="23">
        <v>1754288</v>
      </c>
      <c r="AS8" s="23">
        <v>411328</v>
      </c>
      <c r="AT8" s="23">
        <v>1426600</v>
      </c>
      <c r="AU8" s="24">
        <v>70.832596874999993</v>
      </c>
      <c r="AV8" s="24">
        <v>73.386471874999998</v>
      </c>
      <c r="AW8" s="24">
        <v>38.747065624999998</v>
      </c>
      <c r="AX8" s="24">
        <v>48.079996874999999</v>
      </c>
      <c r="AY8" s="24">
        <v>48.057162499999997</v>
      </c>
      <c r="AZ8" s="25">
        <v>2356.0700000000002</v>
      </c>
      <c r="BA8" s="25">
        <v>4204.2299999999996</v>
      </c>
      <c r="BB8" s="25">
        <v>6.07</v>
      </c>
      <c r="BC8" s="25">
        <v>21.414999999999999</v>
      </c>
      <c r="BE8" s="58">
        <f t="shared" si="12"/>
        <v>1</v>
      </c>
      <c r="BF8" s="26">
        <f t="shared" si="13"/>
        <v>0</v>
      </c>
      <c r="BG8" s="26">
        <f t="shared" si="14"/>
        <v>0</v>
      </c>
      <c r="BH8" s="26"/>
      <c r="BJ8" s="58"/>
      <c r="BK8" s="58"/>
      <c r="BL8" s="58"/>
      <c r="BM8" s="58"/>
      <c r="BN8" s="58"/>
      <c r="BP8" s="58"/>
      <c r="BQ8" s="58"/>
      <c r="BR8" s="58"/>
      <c r="BS8" s="58"/>
      <c r="BT8" s="58"/>
    </row>
    <row r="9" spans="1:72" outlineLevel="1" x14ac:dyDescent="0.3">
      <c r="A9" s="129"/>
      <c r="B9" s="27" t="s">
        <v>51</v>
      </c>
      <c r="C9" s="28" t="s">
        <v>238</v>
      </c>
      <c r="D9" s="27">
        <v>238146391</v>
      </c>
      <c r="E9" s="28">
        <v>10</v>
      </c>
      <c r="F9" s="28">
        <v>32</v>
      </c>
      <c r="G9" s="28">
        <v>30</v>
      </c>
      <c r="I9" s="29">
        <f t="shared" si="0"/>
        <v>7.3318649999999996</v>
      </c>
      <c r="J9" s="30">
        <f t="shared" si="1"/>
        <v>3.2839699846637607E-2</v>
      </c>
      <c r="K9" s="30">
        <f t="shared" si="2"/>
        <v>1.5690920128199632E-2</v>
      </c>
      <c r="L9" s="30">
        <f t="shared" si="3"/>
        <v>1.2022588240692675E-2</v>
      </c>
      <c r="M9" s="30">
        <f t="shared" si="4"/>
        <v>1.7148779718437975E-2</v>
      </c>
      <c r="N9" s="27">
        <f t="shared" si="5"/>
        <v>3736736</v>
      </c>
      <c r="O9" s="30">
        <v>16</v>
      </c>
      <c r="P9" s="31">
        <v>25033780</v>
      </c>
      <c r="Q9" s="31">
        <v>782305.625</v>
      </c>
      <c r="R9" s="31">
        <v>10518.8125</v>
      </c>
      <c r="S9" s="32">
        <v>7820656</v>
      </c>
      <c r="T9" s="32">
        <v>2863136</v>
      </c>
      <c r="U9" s="32">
        <v>873600</v>
      </c>
      <c r="V9" s="32">
        <v>4083920</v>
      </c>
      <c r="W9" s="33">
        <v>72.009240625000004</v>
      </c>
      <c r="X9" s="33">
        <v>75.210250000000002</v>
      </c>
      <c r="Y9" s="33">
        <v>41.15625</v>
      </c>
      <c r="Z9" s="33">
        <v>49.647159375000001</v>
      </c>
      <c r="AA9" s="33">
        <v>49.692943749999998</v>
      </c>
      <c r="AB9" s="34">
        <v>2912.98</v>
      </c>
      <c r="AC9" s="34">
        <v>6720.4</v>
      </c>
      <c r="AD9" s="34">
        <v>7.6639999999999997</v>
      </c>
      <c r="AE9" s="34">
        <v>30.93</v>
      </c>
      <c r="AG9" s="29">
        <f t="shared" si="6"/>
        <v>7.3318649999999996</v>
      </c>
      <c r="AH9" s="30">
        <f t="shared" si="7"/>
        <v>3.2839699846637607E-2</v>
      </c>
      <c r="AI9" s="30">
        <f t="shared" si="8"/>
        <v>1.5690920128199632E-2</v>
      </c>
      <c r="AJ9" s="30">
        <f t="shared" si="9"/>
        <v>1.2022588240692675E-2</v>
      </c>
      <c r="AK9" s="30">
        <f t="shared" si="10"/>
        <v>1.7148779718437975E-2</v>
      </c>
      <c r="AL9" s="27">
        <f t="shared" si="11"/>
        <v>3736736</v>
      </c>
      <c r="AM9" s="30">
        <v>16</v>
      </c>
      <c r="AN9" s="31">
        <v>25033780</v>
      </c>
      <c r="AO9" s="31">
        <v>782305.625</v>
      </c>
      <c r="AP9" s="31">
        <v>10518.8125</v>
      </c>
      <c r="AQ9" s="32">
        <v>7820656</v>
      </c>
      <c r="AR9" s="32">
        <v>2863136</v>
      </c>
      <c r="AS9" s="32">
        <v>873600</v>
      </c>
      <c r="AT9" s="32">
        <v>4083920</v>
      </c>
      <c r="AU9" s="33">
        <v>72.009240625000004</v>
      </c>
      <c r="AV9" s="33">
        <v>75.210250000000002</v>
      </c>
      <c r="AW9" s="33">
        <v>41.15625</v>
      </c>
      <c r="AX9" s="33">
        <v>49.647159375000001</v>
      </c>
      <c r="AY9" s="33">
        <v>49.692943749999998</v>
      </c>
      <c r="AZ9" s="34">
        <v>2370.33</v>
      </c>
      <c r="BA9" s="34">
        <v>4693.2299999999996</v>
      </c>
      <c r="BB9" s="34">
        <v>5.9329999999999998</v>
      </c>
      <c r="BC9" s="34">
        <v>23.472999999999999</v>
      </c>
      <c r="BE9" s="35">
        <f t="shared" si="12"/>
        <v>1</v>
      </c>
      <c r="BF9" s="36">
        <f t="shared" si="13"/>
        <v>0</v>
      </c>
      <c r="BG9" s="36">
        <f t="shared" si="14"/>
        <v>0</v>
      </c>
      <c r="BH9" s="36"/>
      <c r="BJ9" s="35"/>
      <c r="BK9" s="35"/>
      <c r="BL9" s="35"/>
      <c r="BM9" s="35"/>
      <c r="BN9" s="35"/>
      <c r="BP9" s="35"/>
      <c r="BQ9" s="35"/>
      <c r="BR9" s="35"/>
      <c r="BS9" s="35"/>
      <c r="BT9" s="35"/>
    </row>
    <row r="10" spans="1:72" x14ac:dyDescent="0.3">
      <c r="A10" s="18"/>
      <c r="B10" s="18" t="s">
        <v>59</v>
      </c>
      <c r="C10" s="19" t="s">
        <v>234</v>
      </c>
      <c r="D10" s="18">
        <v>218121242</v>
      </c>
      <c r="E10" s="19">
        <v>10</v>
      </c>
      <c r="F10" s="19">
        <v>32</v>
      </c>
      <c r="G10" s="19">
        <v>30</v>
      </c>
      <c r="I10" s="20">
        <f t="shared" si="0"/>
        <v>2.0724300000000002</v>
      </c>
      <c r="J10" s="21">
        <f t="shared" si="1"/>
        <v>1.0134693804833552E-2</v>
      </c>
      <c r="K10" s="21">
        <f t="shared" si="2"/>
        <v>7.535258762188783E-3</v>
      </c>
      <c r="L10" s="21">
        <f t="shared" si="3"/>
        <v>4.1285295817268452E-3</v>
      </c>
      <c r="M10" s="21">
        <f t="shared" si="4"/>
        <v>2.599435042644769E-3</v>
      </c>
      <c r="N10" s="18">
        <f t="shared" si="5"/>
        <v>1643600</v>
      </c>
      <c r="O10" s="21">
        <v>16</v>
      </c>
      <c r="P10" s="22">
        <v>21092710</v>
      </c>
      <c r="Q10" s="22">
        <v>659147.1875</v>
      </c>
      <c r="R10" s="22">
        <v>20305</v>
      </c>
      <c r="S10" s="23">
        <v>2210592</v>
      </c>
      <c r="T10" s="23">
        <v>900520</v>
      </c>
      <c r="U10" s="23">
        <v>743080</v>
      </c>
      <c r="V10" s="23">
        <v>566992</v>
      </c>
      <c r="W10" s="24">
        <v>66.010928125000007</v>
      </c>
      <c r="X10" s="24">
        <v>67.885131250000001</v>
      </c>
      <c r="Y10" s="24">
        <v>31.063375000000001</v>
      </c>
      <c r="Z10" s="24">
        <v>38.667043749999998</v>
      </c>
      <c r="AA10" s="24">
        <v>30.114346874999999</v>
      </c>
      <c r="AB10" s="25">
        <v>2649.95</v>
      </c>
      <c r="AC10" s="25">
        <v>5943.69</v>
      </c>
      <c r="AD10" s="25">
        <v>6.7720000000000002</v>
      </c>
      <c r="AE10" s="25">
        <v>28.315999999999999</v>
      </c>
      <c r="AG10" s="20">
        <f t="shared" si="6"/>
        <v>2.0724300000000002</v>
      </c>
      <c r="AH10" s="21">
        <f t="shared" si="7"/>
        <v>1.0134693804833552E-2</v>
      </c>
      <c r="AI10" s="21">
        <f t="shared" si="8"/>
        <v>7.535258762188783E-3</v>
      </c>
      <c r="AJ10" s="21">
        <f t="shared" si="9"/>
        <v>4.1285295817268452E-3</v>
      </c>
      <c r="AK10" s="21">
        <f t="shared" si="10"/>
        <v>2.599435042644769E-3</v>
      </c>
      <c r="AL10" s="18">
        <f t="shared" si="11"/>
        <v>1643600</v>
      </c>
      <c r="AM10" s="21">
        <v>16</v>
      </c>
      <c r="AN10" s="22">
        <v>21092710</v>
      </c>
      <c r="AO10" s="22">
        <v>659147.1875</v>
      </c>
      <c r="AP10" s="22">
        <v>20305</v>
      </c>
      <c r="AQ10" s="23">
        <v>2210592</v>
      </c>
      <c r="AR10" s="23">
        <v>900520</v>
      </c>
      <c r="AS10" s="23">
        <v>743080</v>
      </c>
      <c r="AT10" s="23">
        <v>566992</v>
      </c>
      <c r="AU10" s="24">
        <v>66.010928125000007</v>
      </c>
      <c r="AV10" s="24">
        <v>67.885131250000001</v>
      </c>
      <c r="AW10" s="24">
        <v>31.063375000000001</v>
      </c>
      <c r="AX10" s="24">
        <v>38.667043749999998</v>
      </c>
      <c r="AY10" s="24">
        <v>30.114346874999999</v>
      </c>
      <c r="AZ10" s="25">
        <v>2150.73</v>
      </c>
      <c r="BA10" s="25">
        <v>4193.6000000000004</v>
      </c>
      <c r="BB10" s="25">
        <v>5.38</v>
      </c>
      <c r="BC10" s="25">
        <v>21.545000000000002</v>
      </c>
      <c r="BE10" s="58">
        <f t="shared" si="12"/>
        <v>1</v>
      </c>
      <c r="BF10" s="26">
        <f t="shared" si="13"/>
        <v>0</v>
      </c>
      <c r="BG10" s="26">
        <f t="shared" si="14"/>
        <v>0</v>
      </c>
      <c r="BH10" s="26">
        <f t="array" ref="BH10">AVERAGE(AL10:AL14/AQ10:AQ14) - AVERAGE(N10:N14/S10:S14)</f>
        <v>0</v>
      </c>
      <c r="BJ10" s="58">
        <f>IF( OR(ISBLANK(N10:N14),ISBLANK(AL10:AL14), ISBLANK(W10:W14),ISBLANK(AU10:AU14)), "·", bdRateExtend( N10:N14,W10:W14, AL10:AL14,AU10:AU14))</f>
        <v>0</v>
      </c>
      <c r="BK10" s="58">
        <f>IF( OR(ISBLANK(N10:N14),ISBLANK(AL10:AL14), ISBLANK(X10:X14),ISBLANK(AV10:AV14)), "·", bdRateExtend( N10:N14,X10:X14, AL10:AL14,AV10:AV14))</f>
        <v>0</v>
      </c>
      <c r="BL10" s="58">
        <f>IF( OR(ISBLANK(V10:V14),ISBLANK(AT10:AT14), ISBLANK(Y10:Y14),ISBLANK(AW10:AW14)), "·", bdRateExtend( V10:V14,Y10:Y14, AT10:AT14,AW10:AW14))</f>
        <v>0</v>
      </c>
      <c r="BM10" s="58">
        <f>IF( OR(ISBLANK(V10:V14),ISBLANK(AT10:AT14), ISBLANK(Z10:Z14),ISBLANK(AX10:AX14)), "·", bdRateExtend( V10:V14,Z10:Z14, AT10:AT14,AX10:AX14))</f>
        <v>0</v>
      </c>
      <c r="BN10" s="58">
        <f>IF( OR(ISBLANK(V10:V14),ISBLANK(AT10:AT14), ISBLANK(AA10:AA14),ISBLANK(AY10:AY14)), "·", bdRateExtend( V10:V14,AA10:AA14, AT10:AT14,AY10:AY14))</f>
        <v>0</v>
      </c>
      <c r="BP10" s="58">
        <f>IF( OR(ISBLANK(S10:S14),ISBLANK(AQ10:AQ14), ISBLANK(W10:W14),ISBLANK(AU10:AU14)), "·", bdRateExtend( S10:S14,W10:W14, AQ10:AQ14,AU10:AU14))</f>
        <v>0</v>
      </c>
      <c r="BQ10" s="58">
        <f>IF( OR(ISBLANK(S10:S14),ISBLANK(AQ10:AQ14), ISBLANK(X10:X14),ISBLANK(AV10:AV14)), "·", bdRateExtend( S10:S14,X10:X14, AQ10:AQ14,AV10:AV14))</f>
        <v>0</v>
      </c>
      <c r="BR10" s="58">
        <f>IF( OR(ISBLANK(S10:S14),ISBLANK(AQ10:AQ14), ISBLANK(Y10:Y14),ISBLANK(AW10:AW14)), "·", bdRateExtend( S10:S14,Y10:Y14, AQ10:AQ14,AW10:AW14))</f>
        <v>0</v>
      </c>
      <c r="BS10" s="58">
        <f>IF( OR(ISBLANK(S10:S14),ISBLANK(AQ10:AQ14), ISBLANK(Z10:Z14),ISBLANK(AX10:AX14)), "·", bdRateExtend( S10:S14,Z10:Z14, AQ10:AQ14,AX10:AX14))</f>
        <v>0</v>
      </c>
      <c r="BT10" s="58">
        <f>IF( OR(ISBLANK(S10:S14),ISBLANK(AQ10:AQ14), ISBLANK(AA10:AA14),ISBLANK(AY10:AY14)), "·", bdRateExtend( S10:S14,AA10:AA14, AQ10:AQ14,AY10:AY14))</f>
        <v>0</v>
      </c>
    </row>
    <row r="11" spans="1:72" outlineLevel="1" x14ac:dyDescent="0.3">
      <c r="A11" s="129"/>
      <c r="B11" s="129" t="s">
        <v>59</v>
      </c>
      <c r="C11" s="10" t="s">
        <v>235</v>
      </c>
      <c r="D11" s="129">
        <v>218121242</v>
      </c>
      <c r="E11" s="10">
        <v>10</v>
      </c>
      <c r="F11" s="10">
        <v>32</v>
      </c>
      <c r="G11" s="10">
        <v>30</v>
      </c>
      <c r="I11" s="11">
        <f t="shared" si="0"/>
        <v>2.8169775000000001</v>
      </c>
      <c r="J11" s="12">
        <f t="shared" si="1"/>
        <v>1.3775714700909323E-2</v>
      </c>
      <c r="K11" s="12">
        <f t="shared" si="2"/>
        <v>9.1190751609602511E-3</v>
      </c>
      <c r="L11" s="12">
        <f t="shared" si="3"/>
        <v>5.7123459804983142E-3</v>
      </c>
      <c r="M11" s="12">
        <f t="shared" si="4"/>
        <v>4.6566395399490713E-3</v>
      </c>
      <c r="N11" s="129">
        <f t="shared" si="5"/>
        <v>1989064</v>
      </c>
      <c r="O11" s="12">
        <v>16</v>
      </c>
      <c r="P11" s="13">
        <v>22449574</v>
      </c>
      <c r="Q11" s="13">
        <v>701549.1875</v>
      </c>
      <c r="R11" s="13">
        <v>25161.1875</v>
      </c>
      <c r="S11" s="14">
        <v>3004776</v>
      </c>
      <c r="T11" s="14">
        <v>1245984</v>
      </c>
      <c r="U11" s="14">
        <v>743080</v>
      </c>
      <c r="V11" s="14">
        <v>1015712</v>
      </c>
      <c r="W11" s="15">
        <v>67.705284375000005</v>
      </c>
      <c r="X11" s="15">
        <v>69.804440624999998</v>
      </c>
      <c r="Y11" s="15">
        <v>32.913181250000001</v>
      </c>
      <c r="Z11" s="15">
        <v>39.718603125000001</v>
      </c>
      <c r="AA11" s="15">
        <v>32.321471875</v>
      </c>
      <c r="AB11" s="16">
        <v>2649.59</v>
      </c>
      <c r="AC11" s="16">
        <v>6377.41</v>
      </c>
      <c r="AD11" s="16">
        <v>7.2050000000000001</v>
      </c>
      <c r="AE11" s="16">
        <v>29.748999999999999</v>
      </c>
      <c r="AG11" s="11">
        <f t="shared" si="6"/>
        <v>2.8169775000000001</v>
      </c>
      <c r="AH11" s="12">
        <f t="shared" si="7"/>
        <v>1.3775714700909323E-2</v>
      </c>
      <c r="AI11" s="12">
        <f t="shared" si="8"/>
        <v>9.1190751609602511E-3</v>
      </c>
      <c r="AJ11" s="12">
        <f t="shared" si="9"/>
        <v>5.7123459804983142E-3</v>
      </c>
      <c r="AK11" s="12">
        <f t="shared" si="10"/>
        <v>4.6566395399490713E-3</v>
      </c>
      <c r="AL11" s="129">
        <f t="shared" si="11"/>
        <v>1989064</v>
      </c>
      <c r="AM11" s="12">
        <v>16</v>
      </c>
      <c r="AN11" s="13">
        <v>22449574</v>
      </c>
      <c r="AO11" s="13">
        <v>701549.1875</v>
      </c>
      <c r="AP11" s="13">
        <v>25161.1875</v>
      </c>
      <c r="AQ11" s="14">
        <v>3004776</v>
      </c>
      <c r="AR11" s="14">
        <v>1245984</v>
      </c>
      <c r="AS11" s="14">
        <v>743080</v>
      </c>
      <c r="AT11" s="14">
        <v>1015712</v>
      </c>
      <c r="AU11" s="15">
        <v>67.705284375000005</v>
      </c>
      <c r="AV11" s="15">
        <v>69.804440624999998</v>
      </c>
      <c r="AW11" s="15">
        <v>32.913181250000001</v>
      </c>
      <c r="AX11" s="15">
        <v>39.718603125000001</v>
      </c>
      <c r="AY11" s="15">
        <v>32.321471875</v>
      </c>
      <c r="AZ11" s="16">
        <v>2156.0300000000002</v>
      </c>
      <c r="BA11" s="16">
        <v>4494.3</v>
      </c>
      <c r="BB11" s="16">
        <v>5.6740000000000004</v>
      </c>
      <c r="BC11" s="16">
        <v>22.253</v>
      </c>
      <c r="BE11" s="62">
        <f t="shared" si="12"/>
        <v>1</v>
      </c>
      <c r="BF11" s="17">
        <f t="shared" si="13"/>
        <v>0</v>
      </c>
      <c r="BG11" s="17">
        <f t="shared" si="14"/>
        <v>0</v>
      </c>
      <c r="BH11" s="17"/>
      <c r="BJ11" s="62"/>
      <c r="BK11" s="62"/>
      <c r="BL11" s="62"/>
      <c r="BM11" s="62"/>
      <c r="BN11" s="62"/>
      <c r="BP11" s="62"/>
      <c r="BQ11" s="62"/>
      <c r="BR11" s="62"/>
      <c r="BS11" s="62"/>
      <c r="BT11" s="62"/>
    </row>
    <row r="12" spans="1:72" outlineLevel="1" x14ac:dyDescent="0.3">
      <c r="A12" s="18"/>
      <c r="B12" s="18" t="s">
        <v>59</v>
      </c>
      <c r="C12" s="19" t="s">
        <v>236</v>
      </c>
      <c r="D12" s="18">
        <v>218121242</v>
      </c>
      <c r="E12" s="19">
        <v>10</v>
      </c>
      <c r="F12" s="19">
        <v>32</v>
      </c>
      <c r="G12" s="19">
        <v>30</v>
      </c>
      <c r="I12" s="20">
        <f t="shared" si="0"/>
        <v>3.9814799999999999</v>
      </c>
      <c r="J12" s="21">
        <f t="shared" si="1"/>
        <v>1.9470419116722249E-2</v>
      </c>
      <c r="K12" s="21">
        <f t="shared" si="2"/>
        <v>1.139571724976699E-2</v>
      </c>
      <c r="L12" s="21">
        <f t="shared" si="3"/>
        <v>7.988988069305052E-3</v>
      </c>
      <c r="M12" s="21">
        <f t="shared" si="4"/>
        <v>8.0747018669552594E-3</v>
      </c>
      <c r="N12" s="18">
        <f t="shared" si="5"/>
        <v>2485648</v>
      </c>
      <c r="O12" s="21">
        <v>16</v>
      </c>
      <c r="P12" s="22">
        <v>22683164</v>
      </c>
      <c r="Q12" s="22">
        <v>708848.875</v>
      </c>
      <c r="R12" s="22">
        <v>26464.65625</v>
      </c>
      <c r="S12" s="23">
        <v>4246912</v>
      </c>
      <c r="T12" s="23">
        <v>1742568</v>
      </c>
      <c r="U12" s="23">
        <v>743080</v>
      </c>
      <c r="V12" s="23">
        <v>1761264</v>
      </c>
      <c r="W12" s="24">
        <v>69.033437500000005</v>
      </c>
      <c r="X12" s="24">
        <v>71.435287500000001</v>
      </c>
      <c r="Y12" s="24">
        <v>34.940593749999998</v>
      </c>
      <c r="Z12" s="24">
        <v>40.696193749999999</v>
      </c>
      <c r="AA12" s="24">
        <v>34.223534375</v>
      </c>
      <c r="AB12" s="25">
        <v>2589.48</v>
      </c>
      <c r="AC12" s="25">
        <v>6614.21</v>
      </c>
      <c r="AD12" s="25">
        <v>6.9359999999999999</v>
      </c>
      <c r="AE12" s="25">
        <v>29.231000000000002</v>
      </c>
      <c r="AG12" s="20">
        <f t="shared" si="6"/>
        <v>3.9814799999999999</v>
      </c>
      <c r="AH12" s="21">
        <f t="shared" si="7"/>
        <v>1.9470419116722249E-2</v>
      </c>
      <c r="AI12" s="21">
        <f t="shared" si="8"/>
        <v>1.139571724976699E-2</v>
      </c>
      <c r="AJ12" s="21">
        <f t="shared" si="9"/>
        <v>7.988988069305052E-3</v>
      </c>
      <c r="AK12" s="21">
        <f t="shared" si="10"/>
        <v>8.0747018669552594E-3</v>
      </c>
      <c r="AL12" s="18">
        <f t="shared" si="11"/>
        <v>2485648</v>
      </c>
      <c r="AM12" s="21">
        <v>16</v>
      </c>
      <c r="AN12" s="22">
        <v>22683164</v>
      </c>
      <c r="AO12" s="22">
        <v>708848.875</v>
      </c>
      <c r="AP12" s="22">
        <v>26464.65625</v>
      </c>
      <c r="AQ12" s="23">
        <v>4246912</v>
      </c>
      <c r="AR12" s="23">
        <v>1742568</v>
      </c>
      <c r="AS12" s="23">
        <v>743080</v>
      </c>
      <c r="AT12" s="23">
        <v>1761264</v>
      </c>
      <c r="AU12" s="24">
        <v>69.033437500000005</v>
      </c>
      <c r="AV12" s="24">
        <v>71.435287500000001</v>
      </c>
      <c r="AW12" s="24">
        <v>34.940593749999998</v>
      </c>
      <c r="AX12" s="24">
        <v>40.696193749999999</v>
      </c>
      <c r="AY12" s="24">
        <v>34.223534375</v>
      </c>
      <c r="AZ12" s="25">
        <v>2163.48</v>
      </c>
      <c r="BA12" s="25">
        <v>4785.53</v>
      </c>
      <c r="BB12" s="25">
        <v>5.6539999999999999</v>
      </c>
      <c r="BC12" s="25">
        <v>22.553000000000001</v>
      </c>
      <c r="BE12" s="58">
        <f t="shared" si="12"/>
        <v>1</v>
      </c>
      <c r="BF12" s="26">
        <f t="shared" si="13"/>
        <v>0</v>
      </c>
      <c r="BG12" s="26">
        <f t="shared" si="14"/>
        <v>0</v>
      </c>
      <c r="BH12" s="26"/>
      <c r="BJ12" s="58"/>
      <c r="BK12" s="58"/>
      <c r="BL12" s="58"/>
      <c r="BM12" s="58"/>
      <c r="BN12" s="58"/>
      <c r="BP12" s="58"/>
      <c r="BQ12" s="58"/>
      <c r="BR12" s="58"/>
      <c r="BS12" s="58"/>
      <c r="BT12" s="58"/>
    </row>
    <row r="13" spans="1:72" outlineLevel="1" x14ac:dyDescent="0.3">
      <c r="A13" s="129"/>
      <c r="B13" s="129" t="s">
        <v>59</v>
      </c>
      <c r="C13" s="10" t="s">
        <v>237</v>
      </c>
      <c r="D13" s="129">
        <v>218121242</v>
      </c>
      <c r="E13" s="10">
        <v>10</v>
      </c>
      <c r="F13" s="10">
        <v>32</v>
      </c>
      <c r="G13" s="10">
        <v>30</v>
      </c>
      <c r="I13" s="11">
        <f t="shared" si="0"/>
        <v>6.5175150000000004</v>
      </c>
      <c r="J13" s="12">
        <f t="shared" si="1"/>
        <v>3.1872255706301179E-2</v>
      </c>
      <c r="K13" s="12">
        <f t="shared" si="2"/>
        <v>1.567531877523419E-2</v>
      </c>
      <c r="L13" s="12">
        <f t="shared" si="3"/>
        <v>1.226858959477225E-2</v>
      </c>
      <c r="M13" s="12">
        <f t="shared" si="4"/>
        <v>1.6196936931066989E-2</v>
      </c>
      <c r="N13" s="129">
        <f t="shared" si="5"/>
        <v>3419120</v>
      </c>
      <c r="O13" s="12">
        <v>16</v>
      </c>
      <c r="P13" s="13">
        <v>23643451</v>
      </c>
      <c r="Q13" s="13">
        <v>738857.84375</v>
      </c>
      <c r="R13" s="13">
        <v>30414.4375</v>
      </c>
      <c r="S13" s="14">
        <v>6952016</v>
      </c>
      <c r="T13" s="14">
        <v>2676040</v>
      </c>
      <c r="U13" s="14">
        <v>743080</v>
      </c>
      <c r="V13" s="14">
        <v>3532896</v>
      </c>
      <c r="W13" s="15">
        <v>70.094668749999997</v>
      </c>
      <c r="X13" s="15">
        <v>72.645187500000006</v>
      </c>
      <c r="Y13" s="15">
        <v>37.16035625</v>
      </c>
      <c r="Z13" s="15">
        <v>41.753321874999997</v>
      </c>
      <c r="AA13" s="15">
        <v>36.238637500000003</v>
      </c>
      <c r="AB13" s="16">
        <v>2600.3000000000002</v>
      </c>
      <c r="AC13" s="16">
        <v>7092.81</v>
      </c>
      <c r="AD13" s="16">
        <v>6.9470000000000001</v>
      </c>
      <c r="AE13" s="16">
        <v>28.832999999999998</v>
      </c>
      <c r="AG13" s="11">
        <f t="shared" si="6"/>
        <v>6.5175150000000004</v>
      </c>
      <c r="AH13" s="12">
        <f t="shared" si="7"/>
        <v>3.1872255706301179E-2</v>
      </c>
      <c r="AI13" s="12">
        <f t="shared" si="8"/>
        <v>1.567531877523419E-2</v>
      </c>
      <c r="AJ13" s="12">
        <f t="shared" si="9"/>
        <v>1.226858959477225E-2</v>
      </c>
      <c r="AK13" s="12">
        <f t="shared" si="10"/>
        <v>1.6196936931066989E-2</v>
      </c>
      <c r="AL13" s="129">
        <f t="shared" si="11"/>
        <v>3419120</v>
      </c>
      <c r="AM13" s="12">
        <v>16</v>
      </c>
      <c r="AN13" s="13">
        <v>23643451</v>
      </c>
      <c r="AO13" s="13">
        <v>738857.84375</v>
      </c>
      <c r="AP13" s="13">
        <v>30414.4375</v>
      </c>
      <c r="AQ13" s="14">
        <v>6952016</v>
      </c>
      <c r="AR13" s="14">
        <v>2676040</v>
      </c>
      <c r="AS13" s="14">
        <v>743080</v>
      </c>
      <c r="AT13" s="14">
        <v>3532896</v>
      </c>
      <c r="AU13" s="15">
        <v>70.094668749999997</v>
      </c>
      <c r="AV13" s="15">
        <v>72.645187500000006</v>
      </c>
      <c r="AW13" s="15">
        <v>37.16035625</v>
      </c>
      <c r="AX13" s="15">
        <v>41.753321874999997</v>
      </c>
      <c r="AY13" s="15">
        <v>36.238637500000003</v>
      </c>
      <c r="AZ13" s="16">
        <v>2162.5700000000002</v>
      </c>
      <c r="BA13" s="16">
        <v>5135.38</v>
      </c>
      <c r="BB13" s="16">
        <v>5.7430000000000003</v>
      </c>
      <c r="BC13" s="16">
        <v>23.472999999999999</v>
      </c>
      <c r="BE13" s="62">
        <f t="shared" si="12"/>
        <v>1</v>
      </c>
      <c r="BF13" s="17">
        <f t="shared" si="13"/>
        <v>0</v>
      </c>
      <c r="BG13" s="17">
        <f t="shared" si="14"/>
        <v>0</v>
      </c>
      <c r="BH13" s="17"/>
      <c r="BJ13" s="62"/>
      <c r="BK13" s="62"/>
      <c r="BL13" s="62"/>
      <c r="BM13" s="62"/>
      <c r="BN13" s="62"/>
      <c r="BP13" s="62"/>
      <c r="BQ13" s="62"/>
      <c r="BR13" s="62"/>
      <c r="BS13" s="62"/>
      <c r="BT13" s="62"/>
    </row>
    <row r="14" spans="1:72" outlineLevel="1" x14ac:dyDescent="0.3">
      <c r="A14" s="18"/>
      <c r="B14" s="37" t="s">
        <v>59</v>
      </c>
      <c r="C14" s="38" t="s">
        <v>238</v>
      </c>
      <c r="D14" s="37">
        <v>218121242</v>
      </c>
      <c r="E14" s="38">
        <v>10</v>
      </c>
      <c r="F14" s="38">
        <v>32</v>
      </c>
      <c r="G14" s="38">
        <v>30</v>
      </c>
      <c r="I14" s="39">
        <f t="shared" si="0"/>
        <v>13.191022500000001</v>
      </c>
      <c r="J14" s="40">
        <f t="shared" si="1"/>
        <v>6.4507353208634308E-2</v>
      </c>
      <c r="K14" s="40">
        <f t="shared" si="2"/>
        <v>2.6126497115764636E-2</v>
      </c>
      <c r="L14" s="40">
        <f t="shared" si="3"/>
        <v>1.9639976192690117E-2</v>
      </c>
      <c r="M14" s="40">
        <f t="shared" si="4"/>
        <v>3.8380856092869668E-2</v>
      </c>
      <c r="N14" s="37">
        <f t="shared" si="5"/>
        <v>5698744</v>
      </c>
      <c r="O14" s="40">
        <v>16</v>
      </c>
      <c r="P14" s="41">
        <v>22422954</v>
      </c>
      <c r="Q14" s="41">
        <v>700717.3125</v>
      </c>
      <c r="R14" s="41">
        <v>14074.71875</v>
      </c>
      <c r="S14" s="42">
        <v>14070424</v>
      </c>
      <c r="T14" s="42">
        <v>4283896</v>
      </c>
      <c r="U14" s="42">
        <v>1414848</v>
      </c>
      <c r="V14" s="42">
        <v>8371680</v>
      </c>
      <c r="W14" s="43">
        <v>71.114406250000002</v>
      </c>
      <c r="X14" s="43">
        <v>74.679918749999999</v>
      </c>
      <c r="Y14" s="43">
        <v>39.587293750000001</v>
      </c>
      <c r="Z14" s="43">
        <v>43.025940624999997</v>
      </c>
      <c r="AA14" s="43">
        <v>38.466803124999998</v>
      </c>
      <c r="AB14" s="44">
        <v>2661.03</v>
      </c>
      <c r="AC14" s="44">
        <v>8114.14</v>
      </c>
      <c r="AD14" s="44">
        <v>6.5990000000000002</v>
      </c>
      <c r="AE14" s="44">
        <v>31.434000000000001</v>
      </c>
      <c r="AG14" s="39">
        <f t="shared" si="6"/>
        <v>13.191022500000001</v>
      </c>
      <c r="AH14" s="40">
        <f t="shared" si="7"/>
        <v>6.4507353208634308E-2</v>
      </c>
      <c r="AI14" s="40">
        <f t="shared" si="8"/>
        <v>2.6126497115764636E-2</v>
      </c>
      <c r="AJ14" s="40">
        <f t="shared" si="9"/>
        <v>1.9639976192690117E-2</v>
      </c>
      <c r="AK14" s="40">
        <f t="shared" si="10"/>
        <v>3.8380856092869668E-2</v>
      </c>
      <c r="AL14" s="37">
        <f t="shared" si="11"/>
        <v>5698744</v>
      </c>
      <c r="AM14" s="40">
        <v>16</v>
      </c>
      <c r="AN14" s="41">
        <v>22422954</v>
      </c>
      <c r="AO14" s="41">
        <v>700717.3125</v>
      </c>
      <c r="AP14" s="41">
        <v>14074.71875</v>
      </c>
      <c r="AQ14" s="42">
        <v>14070424</v>
      </c>
      <c r="AR14" s="42">
        <v>4283896</v>
      </c>
      <c r="AS14" s="42">
        <v>1414848</v>
      </c>
      <c r="AT14" s="42">
        <v>8371680</v>
      </c>
      <c r="AU14" s="43">
        <v>71.114406250000002</v>
      </c>
      <c r="AV14" s="43">
        <v>74.679918749999999</v>
      </c>
      <c r="AW14" s="43">
        <v>39.587293750000001</v>
      </c>
      <c r="AX14" s="43">
        <v>43.025940624999997</v>
      </c>
      <c r="AY14" s="43">
        <v>38.466803124999998</v>
      </c>
      <c r="AZ14" s="44">
        <v>2166.0500000000002</v>
      </c>
      <c r="BA14" s="44">
        <v>5711.72</v>
      </c>
      <c r="BB14" s="44">
        <v>5.5380000000000003</v>
      </c>
      <c r="BC14" s="44">
        <v>24.466999999999999</v>
      </c>
      <c r="BE14" s="45">
        <f t="shared" si="12"/>
        <v>1</v>
      </c>
      <c r="BF14" s="46">
        <f t="shared" si="13"/>
        <v>0</v>
      </c>
      <c r="BG14" s="46">
        <f t="shared" si="14"/>
        <v>0</v>
      </c>
      <c r="BH14" s="46"/>
      <c r="BJ14" s="45"/>
      <c r="BK14" s="45"/>
      <c r="BL14" s="45"/>
      <c r="BM14" s="45"/>
      <c r="BN14" s="45"/>
      <c r="BP14" s="45"/>
      <c r="BQ14" s="45"/>
      <c r="BR14" s="45"/>
      <c r="BS14" s="45"/>
      <c r="BT14" s="45"/>
    </row>
    <row r="15" spans="1:72" x14ac:dyDescent="0.3">
      <c r="A15" s="129"/>
      <c r="B15" s="129" t="s">
        <v>64</v>
      </c>
      <c r="C15" s="10" t="s">
        <v>234</v>
      </c>
      <c r="D15" s="129">
        <v>322589704</v>
      </c>
      <c r="E15" s="10">
        <v>10</v>
      </c>
      <c r="F15" s="10">
        <v>32</v>
      </c>
      <c r="G15" s="10">
        <v>30</v>
      </c>
      <c r="I15" s="11">
        <f t="shared" si="0"/>
        <v>1.9563524999999999</v>
      </c>
      <c r="J15" s="12">
        <f t="shared" si="1"/>
        <v>6.4688239398985898E-3</v>
      </c>
      <c r="K15" s="12">
        <f t="shared" si="2"/>
        <v>5.376191423641965E-3</v>
      </c>
      <c r="L15" s="12">
        <f t="shared" si="3"/>
        <v>2.7022561141628997E-3</v>
      </c>
      <c r="M15" s="12">
        <f t="shared" si="4"/>
        <v>1.0926325162566254E-3</v>
      </c>
      <c r="N15" s="129">
        <f t="shared" si="5"/>
        <v>1734304</v>
      </c>
      <c r="O15" s="12">
        <v>16</v>
      </c>
      <c r="P15" s="13">
        <v>32646055</v>
      </c>
      <c r="Q15" s="13">
        <v>1020189.21875</v>
      </c>
      <c r="R15" s="13">
        <v>35459.34375</v>
      </c>
      <c r="S15" s="14">
        <v>2086776</v>
      </c>
      <c r="T15" s="14">
        <v>871720</v>
      </c>
      <c r="U15" s="14">
        <v>862584</v>
      </c>
      <c r="V15" s="14">
        <v>352472</v>
      </c>
      <c r="W15" s="15">
        <v>66.401375000000002</v>
      </c>
      <c r="X15" s="15">
        <v>67.975750000000005</v>
      </c>
      <c r="Y15" s="15">
        <v>29.281771875</v>
      </c>
      <c r="Z15" s="15">
        <v>43.285318750000002</v>
      </c>
      <c r="AA15" s="15">
        <v>43.572709375000002</v>
      </c>
      <c r="AB15" s="16">
        <v>3960.71</v>
      </c>
      <c r="AC15" s="16">
        <v>5739.27</v>
      </c>
      <c r="AD15" s="16">
        <v>9.6519999999999992</v>
      </c>
      <c r="AE15" s="16">
        <v>31.018000000000001</v>
      </c>
      <c r="AG15" s="11">
        <f t="shared" si="6"/>
        <v>1.9563524999999999</v>
      </c>
      <c r="AH15" s="12">
        <f t="shared" si="7"/>
        <v>6.4688239398985898E-3</v>
      </c>
      <c r="AI15" s="12">
        <f t="shared" si="8"/>
        <v>5.376191423641965E-3</v>
      </c>
      <c r="AJ15" s="12">
        <f t="shared" si="9"/>
        <v>2.7022561141628997E-3</v>
      </c>
      <c r="AK15" s="12">
        <f t="shared" si="10"/>
        <v>1.0926325162566254E-3</v>
      </c>
      <c r="AL15" s="129">
        <f t="shared" si="11"/>
        <v>1734304</v>
      </c>
      <c r="AM15" s="12">
        <v>16</v>
      </c>
      <c r="AN15" s="13">
        <v>32646055</v>
      </c>
      <c r="AO15" s="13">
        <v>1020189.21875</v>
      </c>
      <c r="AP15" s="13">
        <v>35459.34375</v>
      </c>
      <c r="AQ15" s="14">
        <v>2086776</v>
      </c>
      <c r="AR15" s="14">
        <v>871720</v>
      </c>
      <c r="AS15" s="14">
        <v>862584</v>
      </c>
      <c r="AT15" s="14">
        <v>352472</v>
      </c>
      <c r="AU15" s="15">
        <v>66.401375000000002</v>
      </c>
      <c r="AV15" s="15">
        <v>67.975750000000005</v>
      </c>
      <c r="AW15" s="15">
        <v>29.281771875</v>
      </c>
      <c r="AX15" s="15">
        <v>43.285318750000002</v>
      </c>
      <c r="AY15" s="15">
        <v>43.572709375000002</v>
      </c>
      <c r="AZ15" s="16">
        <v>3955.07</v>
      </c>
      <c r="BA15" s="16">
        <v>5743.12</v>
      </c>
      <c r="BB15" s="16">
        <v>10.127000000000001</v>
      </c>
      <c r="BC15" s="16">
        <v>32.771000000000001</v>
      </c>
      <c r="BE15" s="62">
        <f t="shared" si="12"/>
        <v>1</v>
      </c>
      <c r="BF15" s="17">
        <f t="shared" si="13"/>
        <v>0</v>
      </c>
      <c r="BG15" s="17">
        <f t="shared" si="14"/>
        <v>0</v>
      </c>
      <c r="BH15" s="17">
        <f t="array" ref="BH15">AVERAGE(AL15:AL19/AQ15:AQ19) - AVERAGE(N15:N19/S15:S19)</f>
        <v>0</v>
      </c>
      <c r="BJ15" s="62">
        <f>IF( OR(ISBLANK(N15:N19),ISBLANK(AL15:AL19), ISBLANK(W15:W19),ISBLANK(AU15:AU19)), "·", bdRateExtend( N15:N19,W15:W19, AL15:AL19,AU15:AU19))</f>
        <v>0</v>
      </c>
      <c r="BK15" s="62">
        <f>IF( OR(ISBLANK(N15:N19),ISBLANK(AL15:AL19), ISBLANK(X15:X19),ISBLANK(AV15:AV19)), "·", bdRateExtend( N15:N19,X15:X19, AL15:AL19,AV15:AV19))</f>
        <v>0</v>
      </c>
      <c r="BL15" s="62">
        <f>IF( OR(ISBLANK(V15:V19),ISBLANK(AT15:AT19), ISBLANK(Y15:Y19),ISBLANK(AW15:AW19)), "·", bdRateExtend( V15:V19,Y15:Y19, AT15:AT19,AW15:AW19))</f>
        <v>0</v>
      </c>
      <c r="BM15" s="62">
        <f>IF( OR(ISBLANK(V15:V19),ISBLANK(AT15:AT19), ISBLANK(Z15:Z19),ISBLANK(AX15:AX19)), "·", bdRateExtend( V15:V19,Z15:Z19, AT15:AT19,AX15:AX19))</f>
        <v>0</v>
      </c>
      <c r="BN15" s="62">
        <f>IF( OR(ISBLANK(V15:V19),ISBLANK(AT15:AT19), ISBLANK(AA15:AA19),ISBLANK(AY15:AY19)), "·", bdRateExtend( V15:V19,AA15:AA19, AT15:AT19,AY15:AY19))</f>
        <v>0</v>
      </c>
      <c r="BP15" s="62">
        <f>IF( OR(ISBLANK(S15:S19),ISBLANK(AQ15:AQ19), ISBLANK(W15:W19),ISBLANK(AU15:AU19)), "·", bdRateExtend( S15:S19,W15:W19, AQ15:AQ19,AU15:AU19))</f>
        <v>0</v>
      </c>
      <c r="BQ15" s="62">
        <f>IF( OR(ISBLANK(S15:S19),ISBLANK(AQ15:AQ19), ISBLANK(X15:X19),ISBLANK(AV15:AV19)), "·", bdRateExtend( S15:S19,X15:X19, AQ15:AQ19,AV15:AV19))</f>
        <v>0</v>
      </c>
      <c r="BR15" s="62">
        <f>IF( OR(ISBLANK(S15:S19),ISBLANK(AQ15:AQ19), ISBLANK(Y15:Y19),ISBLANK(AW15:AW19)), "·", bdRateExtend( S15:S19,Y15:Y19, AQ15:AQ19,AW15:AW19))</f>
        <v>0</v>
      </c>
      <c r="BS15" s="62">
        <f>IF( OR(ISBLANK(S15:S19),ISBLANK(AQ15:AQ19), ISBLANK(Z15:Z19),ISBLANK(AX15:AX19)), "·", bdRateExtend( S15:S19,Z15:Z19, AQ15:AQ19,AX15:AX19))</f>
        <v>0</v>
      </c>
      <c r="BT15" s="62">
        <f>IF( OR(ISBLANK(S15:S19),ISBLANK(AQ15:AQ19), ISBLANK(AA15:AA19),ISBLANK(AY15:AY19)), "·", bdRateExtend( S15:S19,AA15:AA19, AQ15:AQ19,AY15:AY19))</f>
        <v>0</v>
      </c>
    </row>
    <row r="16" spans="1:72" outlineLevel="1" x14ac:dyDescent="0.3">
      <c r="A16" s="18"/>
      <c r="B16" s="18" t="s">
        <v>64</v>
      </c>
      <c r="C16" s="19" t="s">
        <v>235</v>
      </c>
      <c r="D16" s="18">
        <v>322589704</v>
      </c>
      <c r="E16" s="19">
        <v>10</v>
      </c>
      <c r="F16" s="19">
        <v>32</v>
      </c>
      <c r="G16" s="19">
        <v>30</v>
      </c>
      <c r="I16" s="20">
        <f t="shared" si="0"/>
        <v>2.5079625000000001</v>
      </c>
      <c r="J16" s="21">
        <f t="shared" si="1"/>
        <v>8.2927631193089775E-3</v>
      </c>
      <c r="K16" s="21">
        <f t="shared" si="2"/>
        <v>6.2629649209139052E-3</v>
      </c>
      <c r="L16" s="21">
        <f t="shared" si="3"/>
        <v>3.5890296114348399E-3</v>
      </c>
      <c r="M16" s="21">
        <f t="shared" si="4"/>
        <v>2.0297981983950736E-3</v>
      </c>
      <c r="N16" s="18">
        <f t="shared" si="5"/>
        <v>2020368</v>
      </c>
      <c r="O16" s="21">
        <v>16</v>
      </c>
      <c r="P16" s="22">
        <v>34062592</v>
      </c>
      <c r="Q16" s="22">
        <v>1064456</v>
      </c>
      <c r="R16" s="22">
        <v>40594.59375</v>
      </c>
      <c r="S16" s="23">
        <v>2675160</v>
      </c>
      <c r="T16" s="23">
        <v>1157784</v>
      </c>
      <c r="U16" s="23">
        <v>862584</v>
      </c>
      <c r="V16" s="23">
        <v>654792</v>
      </c>
      <c r="W16" s="24">
        <v>68.092703125</v>
      </c>
      <c r="X16" s="24">
        <v>70.107778124999996</v>
      </c>
      <c r="Y16" s="24">
        <v>31.698981249999999</v>
      </c>
      <c r="Z16" s="24">
        <v>43.956465625</v>
      </c>
      <c r="AA16" s="24">
        <v>44.39271875</v>
      </c>
      <c r="AB16" s="25">
        <v>3858.67</v>
      </c>
      <c r="AC16" s="25">
        <v>5858.57</v>
      </c>
      <c r="AD16" s="25">
        <v>9.7889999999999997</v>
      </c>
      <c r="AE16" s="25">
        <v>30.805</v>
      </c>
      <c r="AG16" s="20">
        <f t="shared" si="6"/>
        <v>2.5079625000000001</v>
      </c>
      <c r="AH16" s="21">
        <f t="shared" si="7"/>
        <v>8.2927631193089775E-3</v>
      </c>
      <c r="AI16" s="21">
        <f t="shared" si="8"/>
        <v>6.2629649209139052E-3</v>
      </c>
      <c r="AJ16" s="21">
        <f t="shared" si="9"/>
        <v>3.5890296114348399E-3</v>
      </c>
      <c r="AK16" s="21">
        <f t="shared" si="10"/>
        <v>2.0297981983950736E-3</v>
      </c>
      <c r="AL16" s="18">
        <f t="shared" si="11"/>
        <v>2020368</v>
      </c>
      <c r="AM16" s="21">
        <v>16</v>
      </c>
      <c r="AN16" s="22">
        <v>34062592</v>
      </c>
      <c r="AO16" s="22">
        <v>1064456</v>
      </c>
      <c r="AP16" s="22">
        <v>40594.59375</v>
      </c>
      <c r="AQ16" s="23">
        <v>2675160</v>
      </c>
      <c r="AR16" s="23">
        <v>1157784</v>
      </c>
      <c r="AS16" s="23">
        <v>862584</v>
      </c>
      <c r="AT16" s="23">
        <v>654792</v>
      </c>
      <c r="AU16" s="24">
        <v>68.092703125</v>
      </c>
      <c r="AV16" s="24">
        <v>70.107778124999996</v>
      </c>
      <c r="AW16" s="24">
        <v>31.698981249999999</v>
      </c>
      <c r="AX16" s="24">
        <v>43.956465625</v>
      </c>
      <c r="AY16" s="24">
        <v>44.39271875</v>
      </c>
      <c r="AZ16" s="25">
        <v>3965.46</v>
      </c>
      <c r="BA16" s="25">
        <v>6102.09</v>
      </c>
      <c r="BB16" s="25">
        <v>10.625</v>
      </c>
      <c r="BC16" s="25">
        <v>32.125999999999998</v>
      </c>
      <c r="BE16" s="58">
        <f t="shared" si="12"/>
        <v>1</v>
      </c>
      <c r="BF16" s="26">
        <f t="shared" si="13"/>
        <v>0</v>
      </c>
      <c r="BG16" s="26">
        <f t="shared" si="14"/>
        <v>0</v>
      </c>
      <c r="BH16" s="26"/>
      <c r="BJ16" s="58"/>
      <c r="BK16" s="58"/>
      <c r="BL16" s="58"/>
      <c r="BM16" s="58"/>
      <c r="BN16" s="58"/>
      <c r="BP16" s="58"/>
      <c r="BQ16" s="58"/>
      <c r="BR16" s="58"/>
      <c r="BS16" s="58"/>
      <c r="BT16" s="58"/>
    </row>
    <row r="17" spans="1:72" outlineLevel="1" x14ac:dyDescent="0.3">
      <c r="A17" s="129"/>
      <c r="B17" s="129" t="s">
        <v>64</v>
      </c>
      <c r="C17" s="10" t="s">
        <v>236</v>
      </c>
      <c r="D17" s="129">
        <v>322589704</v>
      </c>
      <c r="E17" s="10">
        <v>10</v>
      </c>
      <c r="F17" s="10">
        <v>32</v>
      </c>
      <c r="G17" s="10">
        <v>30</v>
      </c>
      <c r="I17" s="11">
        <f t="shared" si="0"/>
        <v>3.485385</v>
      </c>
      <c r="J17" s="12">
        <f t="shared" si="1"/>
        <v>1.1524682759248882E-2</v>
      </c>
      <c r="K17" s="12">
        <f t="shared" si="2"/>
        <v>7.3526463200449818E-3</v>
      </c>
      <c r="L17" s="12">
        <f t="shared" si="3"/>
        <v>4.6787110105659165E-3</v>
      </c>
      <c r="M17" s="12">
        <f t="shared" si="4"/>
        <v>4.1720364392038994E-3</v>
      </c>
      <c r="N17" s="129">
        <f t="shared" si="5"/>
        <v>2371888</v>
      </c>
      <c r="O17" s="12">
        <v>16</v>
      </c>
      <c r="P17" s="13">
        <v>34225184</v>
      </c>
      <c r="Q17" s="13">
        <v>1069537</v>
      </c>
      <c r="R17" s="13">
        <v>41621.9375</v>
      </c>
      <c r="S17" s="14">
        <v>3717744</v>
      </c>
      <c r="T17" s="14">
        <v>1509304</v>
      </c>
      <c r="U17" s="14">
        <v>862584</v>
      </c>
      <c r="V17" s="14">
        <v>1345856</v>
      </c>
      <c r="W17" s="15">
        <v>69.468912500000002</v>
      </c>
      <c r="X17" s="15">
        <v>71.908962500000001</v>
      </c>
      <c r="Y17" s="15">
        <v>34.149943749999998</v>
      </c>
      <c r="Z17" s="15">
        <v>45.142409375</v>
      </c>
      <c r="AA17" s="15">
        <v>45.521984375000002</v>
      </c>
      <c r="AB17" s="16">
        <v>3885.81</v>
      </c>
      <c r="AC17" s="16">
        <v>6254.38</v>
      </c>
      <c r="AD17" s="16">
        <v>9.6069999999999993</v>
      </c>
      <c r="AE17" s="16">
        <v>29.751000000000001</v>
      </c>
      <c r="AG17" s="11">
        <f t="shared" si="6"/>
        <v>3.485385</v>
      </c>
      <c r="AH17" s="12">
        <f t="shared" si="7"/>
        <v>1.1524682759248882E-2</v>
      </c>
      <c r="AI17" s="12">
        <f t="shared" si="8"/>
        <v>7.3526463200449818E-3</v>
      </c>
      <c r="AJ17" s="12">
        <f t="shared" si="9"/>
        <v>4.6787110105659165E-3</v>
      </c>
      <c r="AK17" s="12">
        <f t="shared" si="10"/>
        <v>4.1720364392038994E-3</v>
      </c>
      <c r="AL17" s="129">
        <f t="shared" si="11"/>
        <v>2371888</v>
      </c>
      <c r="AM17" s="12">
        <v>16</v>
      </c>
      <c r="AN17" s="13">
        <v>34225184</v>
      </c>
      <c r="AO17" s="13">
        <v>1069537</v>
      </c>
      <c r="AP17" s="13">
        <v>41621.9375</v>
      </c>
      <c r="AQ17" s="14">
        <v>3717744</v>
      </c>
      <c r="AR17" s="14">
        <v>1509304</v>
      </c>
      <c r="AS17" s="14">
        <v>862584</v>
      </c>
      <c r="AT17" s="14">
        <v>1345856</v>
      </c>
      <c r="AU17" s="15">
        <v>69.468912500000002</v>
      </c>
      <c r="AV17" s="15">
        <v>71.908962500000001</v>
      </c>
      <c r="AW17" s="15">
        <v>34.149943749999998</v>
      </c>
      <c r="AX17" s="15">
        <v>45.142409375</v>
      </c>
      <c r="AY17" s="15">
        <v>45.521984375000002</v>
      </c>
      <c r="AZ17" s="16">
        <v>3961.71</v>
      </c>
      <c r="BA17" s="16">
        <v>6530.55</v>
      </c>
      <c r="BB17" s="16">
        <v>10.709</v>
      </c>
      <c r="BC17" s="16">
        <v>33.253</v>
      </c>
      <c r="BE17" s="62">
        <f t="shared" si="12"/>
        <v>1</v>
      </c>
      <c r="BF17" s="17">
        <f t="shared" si="13"/>
        <v>0</v>
      </c>
      <c r="BG17" s="17">
        <f t="shared" si="14"/>
        <v>0</v>
      </c>
      <c r="BH17" s="17"/>
      <c r="BJ17" s="62"/>
      <c r="BK17" s="62"/>
      <c r="BL17" s="62"/>
      <c r="BM17" s="62"/>
      <c r="BN17" s="62"/>
      <c r="BP17" s="62"/>
      <c r="BQ17" s="62"/>
      <c r="BR17" s="62"/>
      <c r="BS17" s="62"/>
      <c r="BT17" s="62"/>
    </row>
    <row r="18" spans="1:72" outlineLevel="1" x14ac:dyDescent="0.3">
      <c r="A18" s="18"/>
      <c r="B18" s="18" t="s">
        <v>64</v>
      </c>
      <c r="C18" s="19" t="s">
        <v>237</v>
      </c>
      <c r="D18" s="18">
        <v>322589704</v>
      </c>
      <c r="E18" s="19">
        <v>10</v>
      </c>
      <c r="F18" s="19">
        <v>32</v>
      </c>
      <c r="G18" s="19">
        <v>30</v>
      </c>
      <c r="I18" s="20">
        <f t="shared" si="0"/>
        <v>6.3096825000000001</v>
      </c>
      <c r="J18" s="21">
        <f t="shared" si="1"/>
        <v>2.0863430904787959E-2</v>
      </c>
      <c r="K18" s="21">
        <f t="shared" si="2"/>
        <v>1.0306838559236845E-2</v>
      </c>
      <c r="L18" s="21">
        <f t="shared" si="3"/>
        <v>7.6329032497577786E-3</v>
      </c>
      <c r="M18" s="21">
        <f t="shared" si="4"/>
        <v>1.0556592345551116E-2</v>
      </c>
      <c r="N18" s="18">
        <f t="shared" si="5"/>
        <v>3324880</v>
      </c>
      <c r="O18" s="21">
        <v>16</v>
      </c>
      <c r="P18" s="22">
        <v>35566047</v>
      </c>
      <c r="Q18" s="22">
        <v>1111438.96875</v>
      </c>
      <c r="R18" s="22">
        <v>47100.59375</v>
      </c>
      <c r="S18" s="23">
        <v>6730328</v>
      </c>
      <c r="T18" s="23">
        <v>2462296</v>
      </c>
      <c r="U18" s="23">
        <v>862584</v>
      </c>
      <c r="V18" s="23">
        <v>3405448</v>
      </c>
      <c r="W18" s="24">
        <v>70.525415624999994</v>
      </c>
      <c r="X18" s="24">
        <v>73.166821874999997</v>
      </c>
      <c r="Y18" s="24">
        <v>36.49009375</v>
      </c>
      <c r="Z18" s="24">
        <v>46.411762500000002</v>
      </c>
      <c r="AA18" s="24">
        <v>46.968887500000001</v>
      </c>
      <c r="AB18" s="25">
        <v>3814.56</v>
      </c>
      <c r="AC18" s="25">
        <v>6839.16</v>
      </c>
      <c r="AD18" s="25">
        <v>9.6059999999999999</v>
      </c>
      <c r="AE18" s="25">
        <v>31.164999999999999</v>
      </c>
      <c r="AG18" s="20">
        <f t="shared" si="6"/>
        <v>6.3096825000000001</v>
      </c>
      <c r="AH18" s="21">
        <f t="shared" si="7"/>
        <v>2.0863430904787959E-2</v>
      </c>
      <c r="AI18" s="21">
        <f t="shared" si="8"/>
        <v>1.0306838559236845E-2</v>
      </c>
      <c r="AJ18" s="21">
        <f t="shared" si="9"/>
        <v>7.6329032497577786E-3</v>
      </c>
      <c r="AK18" s="21">
        <f t="shared" si="10"/>
        <v>1.0556592345551116E-2</v>
      </c>
      <c r="AL18" s="18">
        <f t="shared" si="11"/>
        <v>3324880</v>
      </c>
      <c r="AM18" s="21">
        <v>16</v>
      </c>
      <c r="AN18" s="22">
        <v>35566047</v>
      </c>
      <c r="AO18" s="22">
        <v>1111438.96875</v>
      </c>
      <c r="AP18" s="22">
        <v>47100.59375</v>
      </c>
      <c r="AQ18" s="23">
        <v>6730328</v>
      </c>
      <c r="AR18" s="23">
        <v>2462296</v>
      </c>
      <c r="AS18" s="23">
        <v>862584</v>
      </c>
      <c r="AT18" s="23">
        <v>3405448</v>
      </c>
      <c r="AU18" s="24">
        <v>70.525415624999994</v>
      </c>
      <c r="AV18" s="24">
        <v>73.166821874999997</v>
      </c>
      <c r="AW18" s="24">
        <v>36.49009375</v>
      </c>
      <c r="AX18" s="24">
        <v>46.411762500000002</v>
      </c>
      <c r="AY18" s="24">
        <v>46.968887500000001</v>
      </c>
      <c r="AZ18" s="25">
        <v>3966.83</v>
      </c>
      <c r="BA18" s="25">
        <v>7169.81</v>
      </c>
      <c r="BB18" s="25">
        <v>10.862</v>
      </c>
      <c r="BC18" s="25">
        <v>34.030999999999999</v>
      </c>
      <c r="BE18" s="58">
        <f t="shared" si="12"/>
        <v>1</v>
      </c>
      <c r="BF18" s="26">
        <f t="shared" si="13"/>
        <v>0</v>
      </c>
      <c r="BG18" s="26">
        <f t="shared" si="14"/>
        <v>0</v>
      </c>
      <c r="BH18" s="26"/>
      <c r="BJ18" s="58"/>
      <c r="BK18" s="58"/>
      <c r="BL18" s="58"/>
      <c r="BM18" s="58"/>
      <c r="BN18" s="58"/>
      <c r="BP18" s="58"/>
      <c r="BQ18" s="58"/>
      <c r="BR18" s="58"/>
      <c r="BS18" s="58"/>
      <c r="BT18" s="58"/>
    </row>
    <row r="19" spans="1:72" outlineLevel="1" x14ac:dyDescent="0.3">
      <c r="A19" s="129"/>
      <c r="B19" s="27" t="s">
        <v>64</v>
      </c>
      <c r="C19" s="28" t="s">
        <v>238</v>
      </c>
      <c r="D19" s="27">
        <v>322589704</v>
      </c>
      <c r="E19" s="28">
        <v>10</v>
      </c>
      <c r="F19" s="28">
        <v>32</v>
      </c>
      <c r="G19" s="28">
        <v>30</v>
      </c>
      <c r="I19" s="29">
        <f t="shared" si="0"/>
        <v>14.734484999999999</v>
      </c>
      <c r="J19" s="30">
        <f t="shared" si="1"/>
        <v>4.872066220687564E-2</v>
      </c>
      <c r="K19" s="30">
        <f t="shared" si="2"/>
        <v>1.772805495366957E-2</v>
      </c>
      <c r="L19" s="30">
        <f t="shared" si="3"/>
        <v>1.2416688909575365E-2</v>
      </c>
      <c r="M19" s="30">
        <f t="shared" si="4"/>
        <v>3.0992607253206073E-2</v>
      </c>
      <c r="N19" s="27">
        <f t="shared" si="5"/>
        <v>5718888</v>
      </c>
      <c r="O19" s="30">
        <v>16</v>
      </c>
      <c r="P19" s="31">
        <v>33604586</v>
      </c>
      <c r="Q19" s="31">
        <v>1050143.3125</v>
      </c>
      <c r="R19" s="31">
        <v>20694.03125</v>
      </c>
      <c r="S19" s="32">
        <v>15716784</v>
      </c>
      <c r="T19" s="32">
        <v>4005496</v>
      </c>
      <c r="U19" s="32">
        <v>1713392</v>
      </c>
      <c r="V19" s="32">
        <v>9997896</v>
      </c>
      <c r="W19" s="33">
        <v>71.457499999999996</v>
      </c>
      <c r="X19" s="33">
        <v>75.072050000000004</v>
      </c>
      <c r="Y19" s="33">
        <v>38.782646874999998</v>
      </c>
      <c r="Z19" s="33">
        <v>48.306518750000002</v>
      </c>
      <c r="AA19" s="33">
        <v>48.862215624999997</v>
      </c>
      <c r="AB19" s="34">
        <v>3823.84</v>
      </c>
      <c r="AC19" s="34">
        <v>7853.34</v>
      </c>
      <c r="AD19" s="34">
        <v>9.0129999999999999</v>
      </c>
      <c r="AE19" s="34">
        <v>33</v>
      </c>
      <c r="AG19" s="29">
        <f t="shared" si="6"/>
        <v>14.734484999999999</v>
      </c>
      <c r="AH19" s="30">
        <f t="shared" si="7"/>
        <v>4.872066220687564E-2</v>
      </c>
      <c r="AI19" s="30">
        <f t="shared" si="8"/>
        <v>1.772805495366957E-2</v>
      </c>
      <c r="AJ19" s="30">
        <f t="shared" si="9"/>
        <v>1.2416688909575365E-2</v>
      </c>
      <c r="AK19" s="30">
        <f t="shared" si="10"/>
        <v>3.0992607253206073E-2</v>
      </c>
      <c r="AL19" s="27">
        <f t="shared" si="11"/>
        <v>5718888</v>
      </c>
      <c r="AM19" s="30">
        <v>16</v>
      </c>
      <c r="AN19" s="31">
        <v>33604586</v>
      </c>
      <c r="AO19" s="31">
        <v>1050143.3125</v>
      </c>
      <c r="AP19" s="31">
        <v>20694.03125</v>
      </c>
      <c r="AQ19" s="32">
        <v>15716784</v>
      </c>
      <c r="AR19" s="32">
        <v>4005496</v>
      </c>
      <c r="AS19" s="32">
        <v>1713392</v>
      </c>
      <c r="AT19" s="32">
        <v>9997896</v>
      </c>
      <c r="AU19" s="33">
        <v>71.457499999999996</v>
      </c>
      <c r="AV19" s="33">
        <v>75.072050000000004</v>
      </c>
      <c r="AW19" s="33">
        <v>38.782646874999998</v>
      </c>
      <c r="AX19" s="33">
        <v>48.306518750000002</v>
      </c>
      <c r="AY19" s="33">
        <v>48.862215624999997</v>
      </c>
      <c r="AZ19" s="34">
        <v>3945.7</v>
      </c>
      <c r="BA19" s="34">
        <v>8234.48</v>
      </c>
      <c r="BB19" s="34">
        <v>10.316000000000001</v>
      </c>
      <c r="BC19" s="34">
        <v>37.192</v>
      </c>
      <c r="BE19" s="35">
        <f t="shared" si="12"/>
        <v>1</v>
      </c>
      <c r="BF19" s="36">
        <f t="shared" si="13"/>
        <v>0</v>
      </c>
      <c r="BG19" s="36">
        <f t="shared" si="14"/>
        <v>0</v>
      </c>
      <c r="BH19" s="36"/>
      <c r="BJ19" s="35"/>
      <c r="BK19" s="35"/>
      <c r="BL19" s="35"/>
      <c r="BM19" s="35"/>
      <c r="BN19" s="35"/>
      <c r="BP19" s="35"/>
      <c r="BQ19" s="35"/>
      <c r="BR19" s="35"/>
      <c r="BS19" s="35"/>
      <c r="BT19" s="35"/>
    </row>
    <row r="20" spans="1:72" x14ac:dyDescent="0.3">
      <c r="A20" s="18"/>
      <c r="B20" s="18" t="s">
        <v>70</v>
      </c>
      <c r="C20" s="19" t="s">
        <v>234</v>
      </c>
      <c r="D20" s="18">
        <v>250602891</v>
      </c>
      <c r="E20" s="19">
        <v>10</v>
      </c>
      <c r="F20" s="19">
        <v>32</v>
      </c>
      <c r="G20" s="19">
        <v>50</v>
      </c>
      <c r="I20" s="20">
        <f t="shared" si="0"/>
        <v>2.1139125000000001</v>
      </c>
      <c r="J20" s="21">
        <f t="shared" si="1"/>
        <v>5.3985969379738716E-3</v>
      </c>
      <c r="K20" s="21">
        <f t="shared" si="2"/>
        <v>4.0965848235166606E-3</v>
      </c>
      <c r="L20" s="21">
        <f t="shared" si="3"/>
        <v>2.3454478025155745E-3</v>
      </c>
      <c r="M20" s="21">
        <f t="shared" si="4"/>
        <v>1.302012114457211E-3</v>
      </c>
      <c r="N20" s="18">
        <f t="shared" si="5"/>
        <v>1026616</v>
      </c>
      <c r="O20" s="21">
        <v>16</v>
      </c>
      <c r="P20" s="22">
        <v>30540908</v>
      </c>
      <c r="Q20" s="22">
        <v>954403.375</v>
      </c>
      <c r="R20" s="22">
        <v>29395.3125</v>
      </c>
      <c r="S20" s="23">
        <v>1352904</v>
      </c>
      <c r="T20" s="23">
        <v>587776</v>
      </c>
      <c r="U20" s="23">
        <v>438840</v>
      </c>
      <c r="V20" s="23">
        <v>326288</v>
      </c>
      <c r="W20" s="24">
        <v>67.249940624999994</v>
      </c>
      <c r="X20" s="24">
        <v>68.955221875000007</v>
      </c>
      <c r="Y20" s="24">
        <v>30.1411625</v>
      </c>
      <c r="Z20" s="24">
        <v>39.537643750000001</v>
      </c>
      <c r="AA20" s="24">
        <v>38.168399999999998</v>
      </c>
      <c r="AB20" s="25">
        <v>3882.68</v>
      </c>
      <c r="AC20" s="25">
        <v>5038.03</v>
      </c>
      <c r="AD20" s="25">
        <v>8.6020000000000003</v>
      </c>
      <c r="AE20" s="25">
        <v>29.277999999999999</v>
      </c>
      <c r="AG20" s="20">
        <f t="shared" si="6"/>
        <v>2.1139125000000001</v>
      </c>
      <c r="AH20" s="21">
        <f t="shared" si="7"/>
        <v>5.3985969379738716E-3</v>
      </c>
      <c r="AI20" s="21">
        <f t="shared" si="8"/>
        <v>4.0965848235166606E-3</v>
      </c>
      <c r="AJ20" s="21">
        <f t="shared" si="9"/>
        <v>2.3454478025155745E-3</v>
      </c>
      <c r="AK20" s="21">
        <f t="shared" si="10"/>
        <v>1.302012114457211E-3</v>
      </c>
      <c r="AL20" s="18">
        <f t="shared" si="11"/>
        <v>1026616</v>
      </c>
      <c r="AM20" s="21">
        <v>16</v>
      </c>
      <c r="AN20" s="22">
        <v>30540908</v>
      </c>
      <c r="AO20" s="22">
        <v>954403.375</v>
      </c>
      <c r="AP20" s="22">
        <v>29395.3125</v>
      </c>
      <c r="AQ20" s="23">
        <v>1352904</v>
      </c>
      <c r="AR20" s="23">
        <v>587776</v>
      </c>
      <c r="AS20" s="23">
        <v>438840</v>
      </c>
      <c r="AT20" s="23">
        <v>326288</v>
      </c>
      <c r="AU20" s="24">
        <v>67.249940624999994</v>
      </c>
      <c r="AV20" s="24">
        <v>68.955221875000007</v>
      </c>
      <c r="AW20" s="24">
        <v>30.1411625</v>
      </c>
      <c r="AX20" s="24">
        <v>39.537643750000001</v>
      </c>
      <c r="AY20" s="24">
        <v>38.168399999999998</v>
      </c>
      <c r="AZ20" s="25">
        <v>3915.8</v>
      </c>
      <c r="BA20" s="25">
        <v>5062.17</v>
      </c>
      <c r="BB20" s="25">
        <v>8.8369999999999997</v>
      </c>
      <c r="BC20" s="25">
        <v>30.45</v>
      </c>
      <c r="BE20" s="58">
        <f t="shared" si="12"/>
        <v>1</v>
      </c>
      <c r="BF20" s="26">
        <f t="shared" si="13"/>
        <v>0</v>
      </c>
      <c r="BG20" s="26">
        <f t="shared" si="14"/>
        <v>0</v>
      </c>
      <c r="BH20" s="26">
        <f t="array" ref="BH20">AVERAGE(AL20:AL24/AQ20:AQ24) - AVERAGE(N20:N24/S20:S24)</f>
        <v>0</v>
      </c>
      <c r="BJ20" s="58">
        <f>IF( OR(ISBLANK(N20:N24),ISBLANK(AL20:AL24), ISBLANK(W20:W24),ISBLANK(AU20:AU24)), "·", bdRateExtend( N20:N24,W20:W24, AL20:AL24,AU20:AU24))</f>
        <v>0</v>
      </c>
      <c r="BK20" s="58">
        <f>IF( OR(ISBLANK(N20:N24),ISBLANK(AL20:AL24), ISBLANK(X20:X24),ISBLANK(AV20:AV24)), "·", bdRateExtend( N20:N24,X20:X24, AL20:AL24,AV20:AV24))</f>
        <v>0</v>
      </c>
      <c r="BL20" s="58">
        <f>IF( OR(ISBLANK(V20:V24),ISBLANK(AT20:AT24), ISBLANK(Y20:Y24),ISBLANK(AW20:AW24)), "·", bdRateExtend( V20:V24,Y20:Y24, AT20:AT24,AW20:AW24))</f>
        <v>0</v>
      </c>
      <c r="BM20" s="58">
        <f>IF( OR(ISBLANK(V20:V24),ISBLANK(AT20:AT24), ISBLANK(Z20:Z24),ISBLANK(AX20:AX24)), "·", bdRateExtend( V20:V24,Z20:Z24, AT20:AT24,AX20:AX24))</f>
        <v>0</v>
      </c>
      <c r="BN20" s="58">
        <f>IF( OR(ISBLANK(V20:V24),ISBLANK(AT20:AT24), ISBLANK(AA20:AA24),ISBLANK(AY20:AY24)), "·", bdRateExtend( V20:V24,AA20:AA24, AT20:AT24,AY20:AY24))</f>
        <v>0</v>
      </c>
      <c r="BP20" s="58">
        <f>IF( OR(ISBLANK(S20:S24),ISBLANK(AQ20:AQ24), ISBLANK(W20:W24),ISBLANK(AU20:AU24)), "·", bdRateExtend( S20:S24,W20:W24, AQ20:AQ24,AU20:AU24))</f>
        <v>0</v>
      </c>
      <c r="BQ20" s="58">
        <f>IF( OR(ISBLANK(S20:S24),ISBLANK(AQ20:AQ24), ISBLANK(X20:X24),ISBLANK(AV20:AV24)), "·", bdRateExtend( S20:S24,X20:X24, AQ20:AQ24,AV20:AV24))</f>
        <v>0</v>
      </c>
      <c r="BR20" s="58">
        <f>IF( OR(ISBLANK(S20:S24),ISBLANK(AQ20:AQ24), ISBLANK(Y20:Y24),ISBLANK(AW20:AW24)), "·", bdRateExtend( S20:S24,Y20:Y24, AQ20:AQ24,AW20:AW24))</f>
        <v>0</v>
      </c>
      <c r="BS20" s="58">
        <f>IF( OR(ISBLANK(S20:S24),ISBLANK(AQ20:AQ24), ISBLANK(Z20:Z24),ISBLANK(AX20:AX24)), "·", bdRateExtend( S20:S24,Z20:Z24, AQ20:AQ24,AX20:AX24))</f>
        <v>0</v>
      </c>
      <c r="BT20" s="58">
        <f>IF( OR(ISBLANK(S20:S24),ISBLANK(AQ20:AQ24), ISBLANK(AA20:AA24),ISBLANK(AY20:AY24)), "·", bdRateExtend( S20:S24,AA20:AA24, AQ20:AQ24,AY20:AY24))</f>
        <v>0</v>
      </c>
    </row>
    <row r="21" spans="1:72" outlineLevel="1" x14ac:dyDescent="0.3">
      <c r="A21" s="129"/>
      <c r="B21" s="129" t="s">
        <v>70</v>
      </c>
      <c r="C21" s="10" t="s">
        <v>235</v>
      </c>
      <c r="D21" s="129">
        <v>250602891</v>
      </c>
      <c r="E21" s="10">
        <v>10</v>
      </c>
      <c r="F21" s="10">
        <v>32</v>
      </c>
      <c r="G21" s="10">
        <v>50</v>
      </c>
      <c r="I21" s="11">
        <f t="shared" si="0"/>
        <v>2.9397250000000001</v>
      </c>
      <c r="J21" s="12">
        <f t="shared" si="1"/>
        <v>7.5075909639047223E-3</v>
      </c>
      <c r="K21" s="12">
        <f t="shared" si="2"/>
        <v>4.8565760560200398E-3</v>
      </c>
      <c r="L21" s="12">
        <f t="shared" si="3"/>
        <v>3.1054390350189537E-3</v>
      </c>
      <c r="M21" s="12">
        <f t="shared" si="4"/>
        <v>2.6510149078846821E-3</v>
      </c>
      <c r="N21" s="129">
        <f t="shared" si="5"/>
        <v>1217072</v>
      </c>
      <c r="O21" s="12">
        <v>16</v>
      </c>
      <c r="P21" s="13">
        <v>31739218</v>
      </c>
      <c r="Q21" s="13">
        <v>991850.5625</v>
      </c>
      <c r="R21" s="13">
        <v>34395.375</v>
      </c>
      <c r="S21" s="14">
        <v>1881424</v>
      </c>
      <c r="T21" s="14">
        <v>778232</v>
      </c>
      <c r="U21" s="14">
        <v>438840</v>
      </c>
      <c r="V21" s="14">
        <v>664352</v>
      </c>
      <c r="W21" s="15">
        <v>68.843262499999994</v>
      </c>
      <c r="X21" s="15">
        <v>70.960668749999996</v>
      </c>
      <c r="Y21" s="15">
        <v>31.6187875</v>
      </c>
      <c r="Z21" s="15">
        <v>40.671828124999998</v>
      </c>
      <c r="AA21" s="15">
        <v>39.368087500000001</v>
      </c>
      <c r="AB21" s="16">
        <v>3888.68</v>
      </c>
      <c r="AC21" s="16">
        <v>5366.62</v>
      </c>
      <c r="AD21" s="16">
        <v>8.7859999999999996</v>
      </c>
      <c r="AE21" s="16">
        <v>29.542999999999999</v>
      </c>
      <c r="AG21" s="11">
        <f t="shared" si="6"/>
        <v>2.9397250000000001</v>
      </c>
      <c r="AH21" s="12">
        <f t="shared" si="7"/>
        <v>7.5075909639047223E-3</v>
      </c>
      <c r="AI21" s="12">
        <f t="shared" si="8"/>
        <v>4.8565760560200398E-3</v>
      </c>
      <c r="AJ21" s="12">
        <f t="shared" si="9"/>
        <v>3.1054390350189537E-3</v>
      </c>
      <c r="AK21" s="12">
        <f t="shared" si="10"/>
        <v>2.6510149078846821E-3</v>
      </c>
      <c r="AL21" s="129">
        <f t="shared" si="11"/>
        <v>1217072</v>
      </c>
      <c r="AM21" s="12">
        <v>16</v>
      </c>
      <c r="AN21" s="13">
        <v>31739218</v>
      </c>
      <c r="AO21" s="13">
        <v>991850.5625</v>
      </c>
      <c r="AP21" s="13">
        <v>34395.375</v>
      </c>
      <c r="AQ21" s="14">
        <v>1881424</v>
      </c>
      <c r="AR21" s="14">
        <v>778232</v>
      </c>
      <c r="AS21" s="14">
        <v>438840</v>
      </c>
      <c r="AT21" s="14">
        <v>664352</v>
      </c>
      <c r="AU21" s="15">
        <v>68.843262499999994</v>
      </c>
      <c r="AV21" s="15">
        <v>70.960668749999996</v>
      </c>
      <c r="AW21" s="15">
        <v>31.6187875</v>
      </c>
      <c r="AX21" s="15">
        <v>40.671828124999998</v>
      </c>
      <c r="AY21" s="15">
        <v>39.368087500000001</v>
      </c>
      <c r="AZ21" s="16">
        <v>3897.33</v>
      </c>
      <c r="BA21" s="16">
        <v>5379.28</v>
      </c>
      <c r="BB21" s="16">
        <v>8.8780000000000001</v>
      </c>
      <c r="BC21" s="16">
        <v>29.963999999999999</v>
      </c>
      <c r="BE21" s="62">
        <f t="shared" si="12"/>
        <v>1</v>
      </c>
      <c r="BF21" s="17">
        <f t="shared" si="13"/>
        <v>0</v>
      </c>
      <c r="BG21" s="17">
        <f t="shared" si="14"/>
        <v>0</v>
      </c>
      <c r="BH21" s="17"/>
      <c r="BJ21" s="62"/>
      <c r="BK21" s="62"/>
      <c r="BL21" s="62"/>
      <c r="BM21" s="62"/>
      <c r="BN21" s="62"/>
      <c r="BP21" s="62"/>
      <c r="BQ21" s="62"/>
      <c r="BR21" s="62"/>
      <c r="BS21" s="62"/>
      <c r="BT21" s="62"/>
    </row>
    <row r="22" spans="1:72" outlineLevel="1" x14ac:dyDescent="0.3">
      <c r="A22" s="18"/>
      <c r="B22" s="18" t="s">
        <v>70</v>
      </c>
      <c r="C22" s="19" t="s">
        <v>236</v>
      </c>
      <c r="D22" s="18">
        <v>250602891</v>
      </c>
      <c r="E22" s="19">
        <v>10</v>
      </c>
      <c r="F22" s="19">
        <v>32</v>
      </c>
      <c r="G22" s="19">
        <v>50</v>
      </c>
      <c r="I22" s="20">
        <f t="shared" si="0"/>
        <v>4.8433000000000002</v>
      </c>
      <c r="J22" s="21">
        <f t="shared" si="1"/>
        <v>1.2369019318296691E-2</v>
      </c>
      <c r="K22" s="21">
        <f t="shared" si="2"/>
        <v>5.7136451789776043E-3</v>
      </c>
      <c r="L22" s="21">
        <f t="shared" si="3"/>
        <v>3.9625081579765173E-3</v>
      </c>
      <c r="M22" s="21">
        <f t="shared" si="4"/>
        <v>6.655374139319087E-3</v>
      </c>
      <c r="N22" s="18">
        <f t="shared" si="5"/>
        <v>1431856</v>
      </c>
      <c r="O22" s="21">
        <v>16</v>
      </c>
      <c r="P22" s="22">
        <v>32812956</v>
      </c>
      <c r="Q22" s="22">
        <v>1025404.875</v>
      </c>
      <c r="R22" s="22">
        <v>36082.25</v>
      </c>
      <c r="S22" s="23">
        <v>3099712</v>
      </c>
      <c r="T22" s="23">
        <v>993016</v>
      </c>
      <c r="U22" s="23">
        <v>438840</v>
      </c>
      <c r="V22" s="23">
        <v>1667856</v>
      </c>
      <c r="W22" s="24">
        <v>70.058575000000005</v>
      </c>
      <c r="X22" s="24">
        <v>72.525543749999997</v>
      </c>
      <c r="Y22" s="24">
        <v>33.612896874999997</v>
      </c>
      <c r="Z22" s="24">
        <v>41.780990625000001</v>
      </c>
      <c r="AA22" s="24">
        <v>40.640653125</v>
      </c>
      <c r="AB22" s="25">
        <v>3885.04</v>
      </c>
      <c r="AC22" s="25">
        <v>5675.6</v>
      </c>
      <c r="AD22" s="25">
        <v>8.6829999999999998</v>
      </c>
      <c r="AE22" s="25">
        <v>29.696000000000002</v>
      </c>
      <c r="AG22" s="20">
        <f t="shared" si="6"/>
        <v>4.8433000000000002</v>
      </c>
      <c r="AH22" s="21">
        <f t="shared" si="7"/>
        <v>1.2369019318296691E-2</v>
      </c>
      <c r="AI22" s="21">
        <f t="shared" si="8"/>
        <v>5.7136451789776043E-3</v>
      </c>
      <c r="AJ22" s="21">
        <f t="shared" si="9"/>
        <v>3.9625081579765173E-3</v>
      </c>
      <c r="AK22" s="21">
        <f t="shared" si="10"/>
        <v>6.655374139319087E-3</v>
      </c>
      <c r="AL22" s="18">
        <f t="shared" si="11"/>
        <v>1431856</v>
      </c>
      <c r="AM22" s="21">
        <v>16</v>
      </c>
      <c r="AN22" s="22">
        <v>32812956</v>
      </c>
      <c r="AO22" s="22">
        <v>1025404.875</v>
      </c>
      <c r="AP22" s="22">
        <v>36082.25</v>
      </c>
      <c r="AQ22" s="23">
        <v>3099712</v>
      </c>
      <c r="AR22" s="23">
        <v>993016</v>
      </c>
      <c r="AS22" s="23">
        <v>438840</v>
      </c>
      <c r="AT22" s="23">
        <v>1667856</v>
      </c>
      <c r="AU22" s="24">
        <v>70.058575000000005</v>
      </c>
      <c r="AV22" s="24">
        <v>72.525543749999997</v>
      </c>
      <c r="AW22" s="24">
        <v>33.612896874999997</v>
      </c>
      <c r="AX22" s="24">
        <v>41.780990625000001</v>
      </c>
      <c r="AY22" s="24">
        <v>40.640653125</v>
      </c>
      <c r="AZ22" s="25">
        <v>3315.78</v>
      </c>
      <c r="BA22" s="25">
        <v>4247.26</v>
      </c>
      <c r="BB22" s="25">
        <v>7.375</v>
      </c>
      <c r="BC22" s="25">
        <v>24.440999999999999</v>
      </c>
      <c r="BE22" s="58">
        <f t="shared" si="12"/>
        <v>1</v>
      </c>
      <c r="BF22" s="26">
        <f t="shared" si="13"/>
        <v>0</v>
      </c>
      <c r="BG22" s="26">
        <f t="shared" si="14"/>
        <v>0</v>
      </c>
      <c r="BH22" s="26"/>
      <c r="BJ22" s="58"/>
      <c r="BK22" s="58"/>
      <c r="BL22" s="58"/>
      <c r="BM22" s="58"/>
      <c r="BN22" s="58"/>
      <c r="BP22" s="58"/>
      <c r="BQ22" s="58"/>
      <c r="BR22" s="58"/>
      <c r="BS22" s="58"/>
      <c r="BT22" s="58"/>
    </row>
    <row r="23" spans="1:72" outlineLevel="1" x14ac:dyDescent="0.3">
      <c r="A23" s="129"/>
      <c r="B23" s="129" t="s">
        <v>70</v>
      </c>
      <c r="C23" s="10" t="s">
        <v>237</v>
      </c>
      <c r="D23" s="129">
        <v>250602891</v>
      </c>
      <c r="E23" s="10">
        <v>10</v>
      </c>
      <c r="F23" s="10">
        <v>32</v>
      </c>
      <c r="G23" s="10">
        <v>50</v>
      </c>
      <c r="I23" s="11">
        <f t="shared" si="0"/>
        <v>9.1693625000000001</v>
      </c>
      <c r="J23" s="12">
        <f t="shared" si="1"/>
        <v>2.3417096173882528E-2</v>
      </c>
      <c r="K23" s="12">
        <f t="shared" si="2"/>
        <v>8.2851079319751341E-3</v>
      </c>
      <c r="L23" s="12">
        <f t="shared" si="3"/>
        <v>6.533970910974048E-3</v>
      </c>
      <c r="M23" s="12">
        <f t="shared" si="4"/>
        <v>1.5131988241907392E-2</v>
      </c>
      <c r="N23" s="129">
        <f t="shared" si="5"/>
        <v>2076272</v>
      </c>
      <c r="O23" s="12">
        <v>16</v>
      </c>
      <c r="P23" s="13">
        <v>32995751</v>
      </c>
      <c r="Q23" s="13">
        <v>1031117.21875</v>
      </c>
      <c r="R23" s="13">
        <v>38352.3125</v>
      </c>
      <c r="S23" s="14">
        <v>5868392</v>
      </c>
      <c r="T23" s="14">
        <v>1637432</v>
      </c>
      <c r="U23" s="14">
        <v>438840</v>
      </c>
      <c r="V23" s="14">
        <v>3792120</v>
      </c>
      <c r="W23" s="15">
        <v>70.993384375000005</v>
      </c>
      <c r="X23" s="15">
        <v>73.756874999999994</v>
      </c>
      <c r="Y23" s="15">
        <v>35.473031249999998</v>
      </c>
      <c r="Z23" s="15">
        <v>42.814412500000003</v>
      </c>
      <c r="AA23" s="15">
        <v>41.614224999999998</v>
      </c>
      <c r="AB23" s="16">
        <v>3888.3</v>
      </c>
      <c r="AC23" s="16">
        <v>6083.36</v>
      </c>
      <c r="AD23" s="16">
        <v>8.5679999999999996</v>
      </c>
      <c r="AE23" s="16">
        <v>29.366</v>
      </c>
      <c r="AG23" s="11">
        <f t="shared" si="6"/>
        <v>9.1693625000000001</v>
      </c>
      <c r="AH23" s="12">
        <f t="shared" si="7"/>
        <v>2.3417096173882528E-2</v>
      </c>
      <c r="AI23" s="12">
        <f t="shared" si="8"/>
        <v>8.2851079319751341E-3</v>
      </c>
      <c r="AJ23" s="12">
        <f t="shared" si="9"/>
        <v>6.533970910974048E-3</v>
      </c>
      <c r="AK23" s="12">
        <f t="shared" si="10"/>
        <v>1.5131988241907392E-2</v>
      </c>
      <c r="AL23" s="129">
        <f t="shared" si="11"/>
        <v>2076272</v>
      </c>
      <c r="AM23" s="12">
        <v>16</v>
      </c>
      <c r="AN23" s="13">
        <v>32995751</v>
      </c>
      <c r="AO23" s="13">
        <v>1031117.21875</v>
      </c>
      <c r="AP23" s="13">
        <v>38352.3125</v>
      </c>
      <c r="AQ23" s="14">
        <v>5868392</v>
      </c>
      <c r="AR23" s="14">
        <v>1637432</v>
      </c>
      <c r="AS23" s="14">
        <v>438840</v>
      </c>
      <c r="AT23" s="14">
        <v>3792120</v>
      </c>
      <c r="AU23" s="15">
        <v>70.993384375000005</v>
      </c>
      <c r="AV23" s="15">
        <v>73.756874999999994</v>
      </c>
      <c r="AW23" s="15">
        <v>35.473031249999998</v>
      </c>
      <c r="AX23" s="15">
        <v>42.814412500000003</v>
      </c>
      <c r="AY23" s="15">
        <v>41.614224999999998</v>
      </c>
      <c r="AZ23" s="16">
        <v>3264.01</v>
      </c>
      <c r="BA23" s="16">
        <v>4388.1099999999997</v>
      </c>
      <c r="BB23" s="16">
        <v>7.1459999999999999</v>
      </c>
      <c r="BC23" s="16">
        <v>24.27</v>
      </c>
      <c r="BE23" s="62">
        <f t="shared" si="12"/>
        <v>1</v>
      </c>
      <c r="BF23" s="17">
        <f t="shared" si="13"/>
        <v>0</v>
      </c>
      <c r="BG23" s="17">
        <f t="shared" si="14"/>
        <v>0</v>
      </c>
      <c r="BH23" s="17"/>
      <c r="BJ23" s="62"/>
      <c r="BK23" s="62"/>
      <c r="BL23" s="62"/>
      <c r="BM23" s="62"/>
      <c r="BN23" s="62"/>
      <c r="BP23" s="62"/>
      <c r="BQ23" s="62"/>
      <c r="BR23" s="62"/>
      <c r="BS23" s="62"/>
      <c r="BT23" s="62"/>
    </row>
    <row r="24" spans="1:72" outlineLevel="1" x14ac:dyDescent="0.3">
      <c r="A24" s="37"/>
      <c r="B24" s="37" t="s">
        <v>70</v>
      </c>
      <c r="C24" s="38" t="s">
        <v>238</v>
      </c>
      <c r="D24" s="37">
        <v>250602891</v>
      </c>
      <c r="E24" s="38">
        <v>10</v>
      </c>
      <c r="F24" s="38">
        <v>32</v>
      </c>
      <c r="G24" s="38">
        <v>50</v>
      </c>
      <c r="I24" s="39">
        <f t="shared" si="0"/>
        <v>17.926024999999999</v>
      </c>
      <c r="J24" s="40">
        <f t="shared" si="1"/>
        <v>4.5780222064557105E-2</v>
      </c>
      <c r="K24" s="40">
        <f t="shared" si="2"/>
        <v>1.4061705297725395E-2</v>
      </c>
      <c r="L24" s="40">
        <f t="shared" si="3"/>
        <v>1.0293480612719667E-2</v>
      </c>
      <c r="M24" s="40">
        <f t="shared" si="4"/>
        <v>3.1718516766831711E-2</v>
      </c>
      <c r="N24" s="37">
        <f t="shared" si="5"/>
        <v>3523904</v>
      </c>
      <c r="O24" s="40">
        <v>16</v>
      </c>
      <c r="P24" s="41">
        <v>31495779</v>
      </c>
      <c r="Q24" s="41">
        <v>984243.09375</v>
      </c>
      <c r="R24" s="41">
        <v>18571.59375</v>
      </c>
      <c r="S24" s="42">
        <v>11472656</v>
      </c>
      <c r="T24" s="42">
        <v>2579576</v>
      </c>
      <c r="U24" s="42">
        <v>944328</v>
      </c>
      <c r="V24" s="42">
        <v>7948752</v>
      </c>
      <c r="W24" s="43">
        <v>71.878581249999996</v>
      </c>
      <c r="X24" s="43">
        <v>75.810984375000004</v>
      </c>
      <c r="Y24" s="43">
        <v>36.92309375</v>
      </c>
      <c r="Z24" s="43">
        <v>43.630618749999996</v>
      </c>
      <c r="AA24" s="43">
        <v>42.22200625</v>
      </c>
      <c r="AB24" s="44">
        <v>3882.51</v>
      </c>
      <c r="AC24" s="44">
        <v>6715.41</v>
      </c>
      <c r="AD24" s="44">
        <v>7.9640000000000004</v>
      </c>
      <c r="AE24" s="44">
        <v>31.026</v>
      </c>
      <c r="AG24" s="39">
        <f t="shared" si="6"/>
        <v>17.926024999999999</v>
      </c>
      <c r="AH24" s="40">
        <f t="shared" si="7"/>
        <v>4.5780222064557105E-2</v>
      </c>
      <c r="AI24" s="40">
        <f t="shared" si="8"/>
        <v>1.4061705297725395E-2</v>
      </c>
      <c r="AJ24" s="40">
        <f t="shared" si="9"/>
        <v>1.0293480612719667E-2</v>
      </c>
      <c r="AK24" s="40">
        <f t="shared" si="10"/>
        <v>3.1718516766831711E-2</v>
      </c>
      <c r="AL24" s="37">
        <f t="shared" si="11"/>
        <v>3523904</v>
      </c>
      <c r="AM24" s="40">
        <v>16</v>
      </c>
      <c r="AN24" s="41">
        <v>31495779</v>
      </c>
      <c r="AO24" s="41">
        <v>984243.09375</v>
      </c>
      <c r="AP24" s="41">
        <v>18571.59375</v>
      </c>
      <c r="AQ24" s="42">
        <v>11472656</v>
      </c>
      <c r="AR24" s="42">
        <v>2579576</v>
      </c>
      <c r="AS24" s="42">
        <v>944328</v>
      </c>
      <c r="AT24" s="42">
        <v>7948752</v>
      </c>
      <c r="AU24" s="43">
        <v>71.878581249999996</v>
      </c>
      <c r="AV24" s="43">
        <v>75.810984375000004</v>
      </c>
      <c r="AW24" s="43">
        <v>36.92309375</v>
      </c>
      <c r="AX24" s="43">
        <v>43.630618749999996</v>
      </c>
      <c r="AY24" s="43">
        <v>42.22200625</v>
      </c>
      <c r="AZ24" s="44">
        <v>3256.74</v>
      </c>
      <c r="BA24" s="44">
        <v>4833.2</v>
      </c>
      <c r="BB24" s="44">
        <v>6.7539999999999996</v>
      </c>
      <c r="BC24" s="44">
        <v>25.257999999999999</v>
      </c>
      <c r="BE24" s="45">
        <f t="shared" si="12"/>
        <v>1</v>
      </c>
      <c r="BF24" s="46">
        <f t="shared" si="13"/>
        <v>0</v>
      </c>
      <c r="BG24" s="46">
        <f t="shared" si="14"/>
        <v>0</v>
      </c>
      <c r="BH24" s="46"/>
      <c r="BJ24" s="45"/>
      <c r="BK24" s="45"/>
      <c r="BL24" s="45"/>
      <c r="BM24" s="45"/>
      <c r="BN24" s="45"/>
      <c r="BP24" s="45"/>
      <c r="BQ24" s="45"/>
      <c r="BR24" s="45"/>
      <c r="BS24" s="45"/>
      <c r="BT24" s="45"/>
    </row>
    <row r="25" spans="1:72" x14ac:dyDescent="0.3">
      <c r="A25" s="129" t="s">
        <v>239</v>
      </c>
      <c r="B25" s="129" t="s">
        <v>73</v>
      </c>
      <c r="C25" s="10" t="s">
        <v>234</v>
      </c>
      <c r="D25" s="129">
        <v>250294582</v>
      </c>
      <c r="E25" s="10">
        <v>10</v>
      </c>
      <c r="F25" s="10">
        <v>32</v>
      </c>
      <c r="G25" s="10">
        <v>30</v>
      </c>
      <c r="I25" s="11">
        <f t="shared" si="0"/>
        <v>2.2916175000000001</v>
      </c>
      <c r="J25" s="12">
        <f t="shared" si="1"/>
        <v>9.7660603776073742E-3</v>
      </c>
      <c r="K25" s="12">
        <f t="shared" si="2"/>
        <v>6.3112512759065636E-3</v>
      </c>
      <c r="L25" s="12">
        <f t="shared" si="3"/>
        <v>3.6810385292319271E-3</v>
      </c>
      <c r="M25" s="12">
        <f t="shared" si="4"/>
        <v>3.4548091017008111E-3</v>
      </c>
      <c r="N25" s="129">
        <f t="shared" si="5"/>
        <v>1579672</v>
      </c>
      <c r="O25" s="12">
        <v>16</v>
      </c>
      <c r="P25" s="13">
        <v>23376452</v>
      </c>
      <c r="Q25" s="13">
        <v>730514.125</v>
      </c>
      <c r="R25" s="13">
        <v>18693.78125</v>
      </c>
      <c r="S25" s="14">
        <v>2444392</v>
      </c>
      <c r="T25" s="14">
        <v>921344</v>
      </c>
      <c r="U25" s="14">
        <v>658328</v>
      </c>
      <c r="V25" s="14">
        <v>864720</v>
      </c>
      <c r="W25" s="15">
        <v>66.268634375000005</v>
      </c>
      <c r="X25" s="15">
        <v>68.038221875000005</v>
      </c>
      <c r="Y25" s="15">
        <v>25.999771875</v>
      </c>
      <c r="Z25" s="15">
        <v>32.528078125</v>
      </c>
      <c r="AA25" s="15">
        <v>31.737821875000002</v>
      </c>
      <c r="AB25" s="16">
        <v>2983.34</v>
      </c>
      <c r="AC25" s="16">
        <v>7054.27</v>
      </c>
      <c r="AD25" s="16">
        <v>7.23</v>
      </c>
      <c r="AE25" s="16">
        <v>33.463999999999999</v>
      </c>
      <c r="AG25" s="11">
        <f t="shared" si="6"/>
        <v>2.2916175000000001</v>
      </c>
      <c r="AH25" s="12">
        <f t="shared" si="7"/>
        <v>9.7660603776073742E-3</v>
      </c>
      <c r="AI25" s="12">
        <f t="shared" si="8"/>
        <v>6.3112512759065636E-3</v>
      </c>
      <c r="AJ25" s="12">
        <f t="shared" si="9"/>
        <v>3.6810385292319271E-3</v>
      </c>
      <c r="AK25" s="12">
        <f t="shared" si="10"/>
        <v>3.4548091017008111E-3</v>
      </c>
      <c r="AL25" s="129">
        <f t="shared" si="11"/>
        <v>1579672</v>
      </c>
      <c r="AM25" s="12">
        <v>16</v>
      </c>
      <c r="AN25" s="13">
        <v>23376452</v>
      </c>
      <c r="AO25" s="13">
        <v>730514.125</v>
      </c>
      <c r="AP25" s="13">
        <v>18693.78125</v>
      </c>
      <c r="AQ25" s="14">
        <v>2444392</v>
      </c>
      <c r="AR25" s="14">
        <v>921344</v>
      </c>
      <c r="AS25" s="14">
        <v>658328</v>
      </c>
      <c r="AT25" s="14">
        <v>864720</v>
      </c>
      <c r="AU25" s="15">
        <v>66.268634375000005</v>
      </c>
      <c r="AV25" s="15">
        <v>68.038221875000005</v>
      </c>
      <c r="AW25" s="15">
        <v>25.999771875</v>
      </c>
      <c r="AX25" s="15">
        <v>32.528078125</v>
      </c>
      <c r="AY25" s="15">
        <v>31.737821875000002</v>
      </c>
      <c r="AZ25" s="16">
        <v>2415.9899999999998</v>
      </c>
      <c r="BA25" s="16">
        <v>4967.93</v>
      </c>
      <c r="BB25" s="16">
        <v>6.3490000000000002</v>
      </c>
      <c r="BC25" s="16">
        <v>26.972999999999999</v>
      </c>
      <c r="BE25" s="62">
        <f t="shared" si="12"/>
        <v>1</v>
      </c>
      <c r="BF25" s="17">
        <f t="shared" si="13"/>
        <v>0</v>
      </c>
      <c r="BG25" s="17">
        <f t="shared" si="14"/>
        <v>0</v>
      </c>
      <c r="BH25" s="17">
        <f t="array" ref="BH25">AVERAGE(AL25:AL29/AQ25:AQ29) - AVERAGE(N25:N29/S25:S29)</f>
        <v>0</v>
      </c>
      <c r="BJ25" s="62">
        <f>IF( OR(ISBLANK(N25:N29),ISBLANK(AL25:AL29), ISBLANK(W25:W29),ISBLANK(AU25:AU29)), "·", bdRateExtend( N25:N29,W25:W29, AL25:AL29,AU25:AU29))</f>
        <v>0</v>
      </c>
      <c r="BK25" s="62">
        <f>IF( OR(ISBLANK(N25:N29),ISBLANK(AL25:AL29), ISBLANK(X25:X29),ISBLANK(AV25:AV29)), "·", bdRateExtend( N25:N29,X25:X29, AL25:AL29,AV25:AV29))</f>
        <v>0</v>
      </c>
      <c r="BL25" s="62">
        <f>IF( OR(ISBLANK(V25:V29),ISBLANK(AT25:AT29), ISBLANK(Y25:Y29),ISBLANK(AW25:AW29)), "·", bdRateExtend( V25:V29,Y25:Y29, AT25:AT29,AW25:AW29))</f>
        <v>0</v>
      </c>
      <c r="BM25" s="62">
        <f>IF( OR(ISBLANK(V25:V29),ISBLANK(AT25:AT29), ISBLANK(Z25:Z29),ISBLANK(AX25:AX29)), "·", bdRateExtend( V25:V29,Z25:Z29, AT25:AT29,AX25:AX29))</f>
        <v>0</v>
      </c>
      <c r="BN25" s="62">
        <f>IF( OR(ISBLANK(V25:V29),ISBLANK(AT25:AT29), ISBLANK(AA25:AA29),ISBLANK(AY25:AY29)), "·", bdRateExtend( V25:V29,AA25:AA29, AT25:AT29,AY25:AY29))</f>
        <v>0</v>
      </c>
      <c r="BP25" s="62">
        <f>IF( OR(ISBLANK(S25:S29),ISBLANK(AQ25:AQ29), ISBLANK(W25:W29),ISBLANK(AU25:AU29)), "·", bdRateExtend( S25:S29,W25:W29, AQ25:AQ29,AU25:AU29))</f>
        <v>0</v>
      </c>
      <c r="BQ25" s="62">
        <f>IF( OR(ISBLANK(S25:S29),ISBLANK(AQ25:AQ29), ISBLANK(X25:X29),ISBLANK(AV25:AV29)), "·", bdRateExtend( S25:S29,X25:X29, AQ25:AQ29,AV25:AV29))</f>
        <v>0</v>
      </c>
      <c r="BR25" s="62">
        <f>IF( OR(ISBLANK(S25:S29),ISBLANK(AQ25:AQ29), ISBLANK(Y25:Y29),ISBLANK(AW25:AW29)), "·", bdRateExtend( S25:S29,Y25:Y29, AQ25:AQ29,AW25:AW29))</f>
        <v>0</v>
      </c>
      <c r="BS25" s="62">
        <f>IF( OR(ISBLANK(S25:S29),ISBLANK(AQ25:AQ29), ISBLANK(Z25:Z29),ISBLANK(AX25:AX29)), "·", bdRateExtend( S25:S29,Z25:Z29, AQ25:AQ29,AX25:AX29))</f>
        <v>0</v>
      </c>
      <c r="BT25" s="62">
        <f>IF( OR(ISBLANK(S25:S29),ISBLANK(AQ25:AQ29), ISBLANK(AA25:AA29),ISBLANK(AY25:AY29)), "·", bdRateExtend( S25:S29,AA25:AA29, AQ25:AQ29,AY25:AY29))</f>
        <v>0</v>
      </c>
    </row>
    <row r="26" spans="1:72" outlineLevel="1" x14ac:dyDescent="0.3">
      <c r="A26" s="18"/>
      <c r="B26" s="18" t="s">
        <v>73</v>
      </c>
      <c r="C26" s="19" t="s">
        <v>235</v>
      </c>
      <c r="D26" s="18">
        <v>250294582</v>
      </c>
      <c r="E26" s="19">
        <v>10</v>
      </c>
      <c r="F26" s="19">
        <v>32</v>
      </c>
      <c r="G26" s="19">
        <v>30</v>
      </c>
      <c r="I26" s="20">
        <f t="shared" si="0"/>
        <v>3.4904175</v>
      </c>
      <c r="J26" s="21">
        <f t="shared" si="1"/>
        <v>1.4874920464718649E-2</v>
      </c>
      <c r="K26" s="21">
        <f t="shared" si="2"/>
        <v>7.6999189698800591E-3</v>
      </c>
      <c r="L26" s="21">
        <f t="shared" si="3"/>
        <v>5.0697062232054231E-3</v>
      </c>
      <c r="M26" s="21">
        <f t="shared" si="4"/>
        <v>7.1750014948385897E-3</v>
      </c>
      <c r="N26" s="18">
        <f t="shared" si="5"/>
        <v>1927248</v>
      </c>
      <c r="O26" s="21">
        <v>16</v>
      </c>
      <c r="P26" s="22">
        <v>25015629</v>
      </c>
      <c r="Q26" s="22">
        <v>781738.40625</v>
      </c>
      <c r="R26" s="22">
        <v>23227.84375</v>
      </c>
      <c r="S26" s="23">
        <v>3723112</v>
      </c>
      <c r="T26" s="23">
        <v>1268920</v>
      </c>
      <c r="U26" s="23">
        <v>658328</v>
      </c>
      <c r="V26" s="23">
        <v>1795864</v>
      </c>
      <c r="W26" s="24">
        <v>68.059184375000001</v>
      </c>
      <c r="X26" s="24">
        <v>70.053543750000003</v>
      </c>
      <c r="Y26" s="24">
        <v>28.064503125000002</v>
      </c>
      <c r="Z26" s="24">
        <v>33.778518750000003</v>
      </c>
      <c r="AA26" s="24">
        <v>33.163134374999998</v>
      </c>
      <c r="AB26" s="25">
        <v>2972.56</v>
      </c>
      <c r="AC26" s="25">
        <v>7568.49</v>
      </c>
      <c r="AD26" s="25">
        <v>7.6230000000000002</v>
      </c>
      <c r="AE26" s="25">
        <v>33.908000000000001</v>
      </c>
      <c r="AG26" s="20">
        <f t="shared" si="6"/>
        <v>3.4904175</v>
      </c>
      <c r="AH26" s="21">
        <f t="shared" si="7"/>
        <v>1.4874920464718649E-2</v>
      </c>
      <c r="AI26" s="21">
        <f t="shared" si="8"/>
        <v>7.6999189698800591E-3</v>
      </c>
      <c r="AJ26" s="21">
        <f t="shared" si="9"/>
        <v>5.0697062232054231E-3</v>
      </c>
      <c r="AK26" s="21">
        <f t="shared" si="10"/>
        <v>7.1750014948385897E-3</v>
      </c>
      <c r="AL26" s="18">
        <f t="shared" si="11"/>
        <v>1927248</v>
      </c>
      <c r="AM26" s="21">
        <v>16</v>
      </c>
      <c r="AN26" s="22">
        <v>25015629</v>
      </c>
      <c r="AO26" s="22">
        <v>781738.40625</v>
      </c>
      <c r="AP26" s="22">
        <v>23227.84375</v>
      </c>
      <c r="AQ26" s="23">
        <v>3723112</v>
      </c>
      <c r="AR26" s="23">
        <v>1268920</v>
      </c>
      <c r="AS26" s="23">
        <v>658328</v>
      </c>
      <c r="AT26" s="23">
        <v>1795864</v>
      </c>
      <c r="AU26" s="24">
        <v>68.059184375000001</v>
      </c>
      <c r="AV26" s="24">
        <v>70.053543750000003</v>
      </c>
      <c r="AW26" s="24">
        <v>28.064503125000002</v>
      </c>
      <c r="AX26" s="24">
        <v>33.778518750000003</v>
      </c>
      <c r="AY26" s="24">
        <v>33.163134374999998</v>
      </c>
      <c r="AZ26" s="25">
        <v>2410.0100000000002</v>
      </c>
      <c r="BA26" s="25">
        <v>5449.32</v>
      </c>
      <c r="BB26" s="25">
        <v>6.173</v>
      </c>
      <c r="BC26" s="25">
        <v>26.06</v>
      </c>
      <c r="BE26" s="58">
        <f t="shared" si="12"/>
        <v>1</v>
      </c>
      <c r="BF26" s="26">
        <f t="shared" si="13"/>
        <v>0</v>
      </c>
      <c r="BG26" s="26">
        <f t="shared" si="14"/>
        <v>0</v>
      </c>
      <c r="BH26" s="26"/>
      <c r="BJ26" s="58"/>
      <c r="BK26" s="58"/>
      <c r="BL26" s="58"/>
      <c r="BM26" s="58"/>
      <c r="BN26" s="58"/>
      <c r="BP26" s="58"/>
      <c r="BQ26" s="58"/>
      <c r="BR26" s="58"/>
      <c r="BS26" s="58"/>
      <c r="BT26" s="58"/>
    </row>
    <row r="27" spans="1:72" outlineLevel="1" x14ac:dyDescent="0.3">
      <c r="A27" s="129"/>
      <c r="B27" s="129" t="s">
        <v>73</v>
      </c>
      <c r="C27" s="10" t="s">
        <v>236</v>
      </c>
      <c r="D27" s="129">
        <v>250294582</v>
      </c>
      <c r="E27" s="10">
        <v>10</v>
      </c>
      <c r="F27" s="10">
        <v>32</v>
      </c>
      <c r="G27" s="10">
        <v>30</v>
      </c>
      <c r="I27" s="11">
        <f t="shared" si="0"/>
        <v>5.9031225000000003</v>
      </c>
      <c r="J27" s="12">
        <f t="shared" si="1"/>
        <v>2.5157012787436206E-2</v>
      </c>
      <c r="K27" s="12">
        <f t="shared" si="2"/>
        <v>9.6968299537542532E-3</v>
      </c>
      <c r="L27" s="12">
        <f t="shared" si="3"/>
        <v>7.0666172070796163E-3</v>
      </c>
      <c r="M27" s="12">
        <f t="shared" si="4"/>
        <v>1.5460182833681953E-2</v>
      </c>
      <c r="N27" s="129">
        <f t="shared" si="5"/>
        <v>2427064</v>
      </c>
      <c r="O27" s="12">
        <v>16</v>
      </c>
      <c r="P27" s="13">
        <v>25210955</v>
      </c>
      <c r="Q27" s="13">
        <v>787842.34375</v>
      </c>
      <c r="R27" s="13">
        <v>24274.125</v>
      </c>
      <c r="S27" s="14">
        <v>6296664</v>
      </c>
      <c r="T27" s="14">
        <v>1768736</v>
      </c>
      <c r="U27" s="14">
        <v>658328</v>
      </c>
      <c r="V27" s="14">
        <v>3869600</v>
      </c>
      <c r="W27" s="15">
        <v>69.410231249999995</v>
      </c>
      <c r="X27" s="15">
        <v>71.797912499999995</v>
      </c>
      <c r="Y27" s="15">
        <v>30.350215625000001</v>
      </c>
      <c r="Z27" s="15">
        <v>35.037153125000003</v>
      </c>
      <c r="AA27" s="15">
        <v>34.510375000000003</v>
      </c>
      <c r="AB27" s="16">
        <v>2967.36</v>
      </c>
      <c r="AC27" s="16">
        <v>8046.63</v>
      </c>
      <c r="AD27" s="16">
        <v>7.5650000000000004</v>
      </c>
      <c r="AE27" s="16">
        <v>34.549999999999997</v>
      </c>
      <c r="AG27" s="11">
        <f t="shared" si="6"/>
        <v>5.9031225000000003</v>
      </c>
      <c r="AH27" s="12">
        <f t="shared" si="7"/>
        <v>2.5157012787436206E-2</v>
      </c>
      <c r="AI27" s="12">
        <f t="shared" si="8"/>
        <v>9.6968299537542532E-3</v>
      </c>
      <c r="AJ27" s="12">
        <f t="shared" si="9"/>
        <v>7.0666172070796163E-3</v>
      </c>
      <c r="AK27" s="12">
        <f t="shared" si="10"/>
        <v>1.5460182833681953E-2</v>
      </c>
      <c r="AL27" s="129">
        <f t="shared" si="11"/>
        <v>2427064</v>
      </c>
      <c r="AM27" s="12">
        <v>16</v>
      </c>
      <c r="AN27" s="13">
        <v>25210955</v>
      </c>
      <c r="AO27" s="13">
        <v>787842.34375</v>
      </c>
      <c r="AP27" s="13">
        <v>24274.125</v>
      </c>
      <c r="AQ27" s="14">
        <v>6296664</v>
      </c>
      <c r="AR27" s="14">
        <v>1768736</v>
      </c>
      <c r="AS27" s="14">
        <v>658328</v>
      </c>
      <c r="AT27" s="14">
        <v>3869600</v>
      </c>
      <c r="AU27" s="15">
        <v>69.410231249999995</v>
      </c>
      <c r="AV27" s="15">
        <v>71.797912499999995</v>
      </c>
      <c r="AW27" s="15">
        <v>30.350215625000001</v>
      </c>
      <c r="AX27" s="15">
        <v>35.037153125000003</v>
      </c>
      <c r="AY27" s="15">
        <v>34.510375000000003</v>
      </c>
      <c r="AZ27" s="16">
        <v>2416.1</v>
      </c>
      <c r="BA27" s="16">
        <v>5676.67</v>
      </c>
      <c r="BB27" s="16">
        <v>6.2160000000000002</v>
      </c>
      <c r="BC27" s="16">
        <v>27.079000000000001</v>
      </c>
      <c r="BE27" s="62">
        <f t="shared" si="12"/>
        <v>1</v>
      </c>
      <c r="BF27" s="17">
        <f t="shared" si="13"/>
        <v>0</v>
      </c>
      <c r="BG27" s="17">
        <f t="shared" si="14"/>
        <v>0</v>
      </c>
      <c r="BH27" s="17"/>
      <c r="BJ27" s="62"/>
      <c r="BK27" s="62"/>
      <c r="BL27" s="62"/>
      <c r="BM27" s="62"/>
      <c r="BN27" s="62"/>
      <c r="BP27" s="62"/>
      <c r="BQ27" s="62"/>
      <c r="BR27" s="62"/>
      <c r="BS27" s="62"/>
      <c r="BT27" s="62"/>
    </row>
    <row r="28" spans="1:72" outlineLevel="1" x14ac:dyDescent="0.3">
      <c r="A28" s="18"/>
      <c r="B28" s="18" t="s">
        <v>73</v>
      </c>
      <c r="C28" s="19" t="s">
        <v>237</v>
      </c>
      <c r="D28" s="18">
        <v>250294582</v>
      </c>
      <c r="E28" s="19">
        <v>10</v>
      </c>
      <c r="F28" s="19">
        <v>32</v>
      </c>
      <c r="G28" s="19">
        <v>30</v>
      </c>
      <c r="I28" s="20">
        <f t="shared" si="0"/>
        <v>11.8906575</v>
      </c>
      <c r="J28" s="21">
        <f t="shared" si="1"/>
        <v>5.067376168773801E-2</v>
      </c>
      <c r="K28" s="21">
        <f t="shared" si="2"/>
        <v>1.3146333307366597E-2</v>
      </c>
      <c r="L28" s="21">
        <f t="shared" si="3"/>
        <v>1.051612056069196E-2</v>
      </c>
      <c r="M28" s="21">
        <f t="shared" si="4"/>
        <v>3.7527428380371416E-2</v>
      </c>
      <c r="N28" s="18">
        <f t="shared" si="5"/>
        <v>3290456</v>
      </c>
      <c r="O28" s="21">
        <v>16</v>
      </c>
      <c r="P28" s="22">
        <v>26243679</v>
      </c>
      <c r="Q28" s="22">
        <v>820114.96875</v>
      </c>
      <c r="R28" s="22">
        <v>27946.09375</v>
      </c>
      <c r="S28" s="23">
        <v>12683368</v>
      </c>
      <c r="T28" s="23">
        <v>2632128</v>
      </c>
      <c r="U28" s="23">
        <v>658328</v>
      </c>
      <c r="V28" s="23">
        <v>9392912</v>
      </c>
      <c r="W28" s="24">
        <v>70.475143750000001</v>
      </c>
      <c r="X28" s="24">
        <v>73.036271874999997</v>
      </c>
      <c r="Y28" s="24">
        <v>32.833190625</v>
      </c>
      <c r="Z28" s="24">
        <v>36.5641125</v>
      </c>
      <c r="AA28" s="24">
        <v>36.056603125000002</v>
      </c>
      <c r="AB28" s="25">
        <v>2966.41</v>
      </c>
      <c r="AC28" s="25">
        <v>8637.14</v>
      </c>
      <c r="AD28" s="25">
        <v>7.6669999999999998</v>
      </c>
      <c r="AE28" s="25">
        <v>35.595999999999997</v>
      </c>
      <c r="AG28" s="20">
        <f t="shared" si="6"/>
        <v>11.8906575</v>
      </c>
      <c r="AH28" s="21">
        <f t="shared" si="7"/>
        <v>5.067376168773801E-2</v>
      </c>
      <c r="AI28" s="21">
        <f t="shared" si="8"/>
        <v>1.3146333307366597E-2</v>
      </c>
      <c r="AJ28" s="21">
        <f t="shared" si="9"/>
        <v>1.051612056069196E-2</v>
      </c>
      <c r="AK28" s="21">
        <f t="shared" si="10"/>
        <v>3.7527428380371416E-2</v>
      </c>
      <c r="AL28" s="18">
        <f t="shared" si="11"/>
        <v>3290456</v>
      </c>
      <c r="AM28" s="21">
        <v>16</v>
      </c>
      <c r="AN28" s="22">
        <v>26243679</v>
      </c>
      <c r="AO28" s="22">
        <v>820114.96875</v>
      </c>
      <c r="AP28" s="22">
        <v>27946.09375</v>
      </c>
      <c r="AQ28" s="23">
        <v>12683368</v>
      </c>
      <c r="AR28" s="23">
        <v>2632128</v>
      </c>
      <c r="AS28" s="23">
        <v>658328</v>
      </c>
      <c r="AT28" s="23">
        <v>9392912</v>
      </c>
      <c r="AU28" s="24">
        <v>70.475143750000001</v>
      </c>
      <c r="AV28" s="24">
        <v>73.036271874999997</v>
      </c>
      <c r="AW28" s="24">
        <v>32.833190625</v>
      </c>
      <c r="AX28" s="24">
        <v>36.5641125</v>
      </c>
      <c r="AY28" s="24">
        <v>36.056603125000002</v>
      </c>
      <c r="AZ28" s="25">
        <v>2421.9699999999998</v>
      </c>
      <c r="BA28" s="25">
        <v>6160.68</v>
      </c>
      <c r="BB28" s="25">
        <v>6.3259999999999996</v>
      </c>
      <c r="BC28" s="25">
        <v>28.459</v>
      </c>
      <c r="BE28" s="58">
        <f t="shared" si="12"/>
        <v>1</v>
      </c>
      <c r="BF28" s="26">
        <f t="shared" si="13"/>
        <v>0</v>
      </c>
      <c r="BG28" s="26">
        <f t="shared" si="14"/>
        <v>0</v>
      </c>
      <c r="BH28" s="26"/>
      <c r="BJ28" s="58"/>
      <c r="BK28" s="58"/>
      <c r="BL28" s="58"/>
      <c r="BM28" s="58"/>
      <c r="BN28" s="58"/>
      <c r="BP28" s="58"/>
      <c r="BQ28" s="58"/>
      <c r="BR28" s="58"/>
      <c r="BS28" s="58"/>
      <c r="BT28" s="58"/>
    </row>
    <row r="29" spans="1:72" outlineLevel="1" x14ac:dyDescent="0.3">
      <c r="A29" s="27"/>
      <c r="B29" s="27" t="s">
        <v>73</v>
      </c>
      <c r="C29" s="28" t="s">
        <v>238</v>
      </c>
      <c r="D29" s="27">
        <v>250294582</v>
      </c>
      <c r="E29" s="28">
        <v>10</v>
      </c>
      <c r="F29" s="28">
        <v>32</v>
      </c>
      <c r="G29" s="28">
        <v>30</v>
      </c>
      <c r="I29" s="29">
        <f t="shared" si="0"/>
        <v>27.587895</v>
      </c>
      <c r="J29" s="30">
        <f t="shared" si="1"/>
        <v>0.11756981619362419</v>
      </c>
      <c r="K29" s="30">
        <f t="shared" si="2"/>
        <v>2.1474791651702633E-2</v>
      </c>
      <c r="L29" s="30">
        <f t="shared" si="3"/>
        <v>1.6418797271448727E-2</v>
      </c>
      <c r="M29" s="30">
        <f t="shared" si="4"/>
        <v>9.6095024541921564E-2</v>
      </c>
      <c r="N29" s="27">
        <f t="shared" si="5"/>
        <v>5375024</v>
      </c>
      <c r="O29" s="30">
        <v>16</v>
      </c>
      <c r="P29" s="31">
        <v>25107150</v>
      </c>
      <c r="Q29" s="31">
        <v>784598.4375</v>
      </c>
      <c r="R29" s="31">
        <v>12536.375</v>
      </c>
      <c r="S29" s="32">
        <v>29427088</v>
      </c>
      <c r="T29" s="32">
        <v>4109536</v>
      </c>
      <c r="U29" s="32">
        <v>1265488</v>
      </c>
      <c r="V29" s="32">
        <v>24052064</v>
      </c>
      <c r="W29" s="33">
        <v>71.461190625</v>
      </c>
      <c r="X29" s="33">
        <v>74.861821875000004</v>
      </c>
      <c r="Y29" s="33">
        <v>35.527884374999999</v>
      </c>
      <c r="Z29" s="33">
        <v>38.558628124999998</v>
      </c>
      <c r="AA29" s="33">
        <v>38.003549999999997</v>
      </c>
      <c r="AB29" s="34">
        <v>2968.7</v>
      </c>
      <c r="AC29" s="34">
        <v>9708.7199999999993</v>
      </c>
      <c r="AD29" s="34">
        <v>7.5019999999999998</v>
      </c>
      <c r="AE29" s="34">
        <v>38.536000000000001</v>
      </c>
      <c r="AG29" s="29">
        <f t="shared" si="6"/>
        <v>27.587895</v>
      </c>
      <c r="AH29" s="30">
        <f t="shared" si="7"/>
        <v>0.11756981619362419</v>
      </c>
      <c r="AI29" s="30">
        <f t="shared" si="8"/>
        <v>2.1474791651702633E-2</v>
      </c>
      <c r="AJ29" s="30">
        <f t="shared" si="9"/>
        <v>1.6418797271448727E-2</v>
      </c>
      <c r="AK29" s="30">
        <f t="shared" si="10"/>
        <v>9.6095024541921564E-2</v>
      </c>
      <c r="AL29" s="27">
        <f t="shared" si="11"/>
        <v>5375024</v>
      </c>
      <c r="AM29" s="30">
        <v>16</v>
      </c>
      <c r="AN29" s="31">
        <v>25107150</v>
      </c>
      <c r="AO29" s="31">
        <v>784598.4375</v>
      </c>
      <c r="AP29" s="31">
        <v>12536.375</v>
      </c>
      <c r="AQ29" s="32">
        <v>29427088</v>
      </c>
      <c r="AR29" s="32">
        <v>4109536</v>
      </c>
      <c r="AS29" s="32">
        <v>1265488</v>
      </c>
      <c r="AT29" s="32">
        <v>24052064</v>
      </c>
      <c r="AU29" s="33">
        <v>71.461190625</v>
      </c>
      <c r="AV29" s="33">
        <v>74.861821875000004</v>
      </c>
      <c r="AW29" s="33">
        <v>35.527884374999999</v>
      </c>
      <c r="AX29" s="33">
        <v>38.558628124999998</v>
      </c>
      <c r="AY29" s="33">
        <v>38.003549999999997</v>
      </c>
      <c r="AZ29" s="34">
        <v>2410.61</v>
      </c>
      <c r="BA29" s="34">
        <v>6977.1</v>
      </c>
      <c r="BB29" s="34">
        <v>6.1749999999999998</v>
      </c>
      <c r="BC29" s="34">
        <v>30.63</v>
      </c>
      <c r="BE29" s="35">
        <f t="shared" si="12"/>
        <v>1</v>
      </c>
      <c r="BF29" s="36">
        <f t="shared" si="13"/>
        <v>0</v>
      </c>
      <c r="BG29" s="36">
        <f t="shared" si="14"/>
        <v>0</v>
      </c>
      <c r="BH29" s="36"/>
      <c r="BJ29" s="35"/>
      <c r="BK29" s="35"/>
      <c r="BL29" s="35"/>
      <c r="BM29" s="35"/>
      <c r="BN29" s="35"/>
      <c r="BP29" s="35"/>
      <c r="BQ29" s="35"/>
      <c r="BR29" s="35"/>
      <c r="BS29" s="35"/>
      <c r="BT29" s="35"/>
    </row>
    <row r="30" spans="1:72" x14ac:dyDescent="0.3">
      <c r="A30" s="18" t="s">
        <v>240</v>
      </c>
      <c r="B30" s="18" t="s">
        <v>77</v>
      </c>
      <c r="C30" s="19" t="s">
        <v>234</v>
      </c>
      <c r="D30" s="18">
        <v>375422539</v>
      </c>
      <c r="E30" s="19">
        <v>11</v>
      </c>
      <c r="F30" s="19">
        <v>128</v>
      </c>
      <c r="G30" s="19">
        <v>30</v>
      </c>
      <c r="I30" s="20">
        <f t="shared" si="0"/>
        <v>0.96880124999999995</v>
      </c>
      <c r="J30" s="21">
        <f t="shared" si="1"/>
        <v>1.1010399138555716E-2</v>
      </c>
      <c r="K30" s="21">
        <f t="shared" si="2"/>
        <v>8.741446394618305E-3</v>
      </c>
      <c r="L30" s="21">
        <f t="shared" si="3"/>
        <v>5.4066652615121754E-3</v>
      </c>
      <c r="M30" s="21">
        <f t="shared" si="4"/>
        <v>2.268952743937412E-3</v>
      </c>
      <c r="N30" s="18">
        <f t="shared" si="5"/>
        <v>3281736</v>
      </c>
      <c r="O30" s="21">
        <v>16</v>
      </c>
      <c r="P30" s="22">
        <v>85888650</v>
      </c>
      <c r="Q30" s="22">
        <v>2684020.3125</v>
      </c>
      <c r="R30" s="22">
        <v>37674.78125</v>
      </c>
      <c r="S30" s="23">
        <v>4133552</v>
      </c>
      <c r="T30" s="23">
        <v>2029784</v>
      </c>
      <c r="U30" s="23">
        <v>1251952</v>
      </c>
      <c r="V30" s="23">
        <v>851816</v>
      </c>
      <c r="W30" s="24">
        <v>73.616550000000004</v>
      </c>
      <c r="X30" s="24">
        <v>75.731246874999997</v>
      </c>
      <c r="Y30" s="24">
        <v>33.342656249999997</v>
      </c>
      <c r="Z30" s="24">
        <v>41.868724999999998</v>
      </c>
      <c r="AA30" s="24">
        <v>43.355134374999999</v>
      </c>
      <c r="AB30" s="25">
        <v>10999.2</v>
      </c>
      <c r="AC30" s="25">
        <v>23213.200000000001</v>
      </c>
      <c r="AD30" s="25">
        <v>25.818000000000001</v>
      </c>
      <c r="AE30" s="25">
        <v>125.94799999999999</v>
      </c>
      <c r="AG30" s="20">
        <f t="shared" si="6"/>
        <v>0.96880124999999995</v>
      </c>
      <c r="AH30" s="21">
        <f t="shared" si="7"/>
        <v>1.1010399138555716E-2</v>
      </c>
      <c r="AI30" s="21">
        <f t="shared" si="8"/>
        <v>8.741446394618305E-3</v>
      </c>
      <c r="AJ30" s="21">
        <f t="shared" si="9"/>
        <v>5.4066652615121754E-3</v>
      </c>
      <c r="AK30" s="21">
        <f t="shared" si="10"/>
        <v>2.268952743937412E-3</v>
      </c>
      <c r="AL30" s="18">
        <f t="shared" si="11"/>
        <v>3281736</v>
      </c>
      <c r="AM30" s="21">
        <v>16</v>
      </c>
      <c r="AN30" s="22">
        <v>85888650</v>
      </c>
      <c r="AO30" s="22">
        <v>2684020.3125</v>
      </c>
      <c r="AP30" s="22">
        <v>37674.78125</v>
      </c>
      <c r="AQ30" s="23">
        <v>4133552</v>
      </c>
      <c r="AR30" s="23">
        <v>2029784</v>
      </c>
      <c r="AS30" s="23">
        <v>1251952</v>
      </c>
      <c r="AT30" s="23">
        <v>851816</v>
      </c>
      <c r="AU30" s="24">
        <v>73.616550000000004</v>
      </c>
      <c r="AV30" s="24">
        <v>75.731246874999997</v>
      </c>
      <c r="AW30" s="24">
        <v>33.342656249999997</v>
      </c>
      <c r="AX30" s="24">
        <v>41.868724999999998</v>
      </c>
      <c r="AY30" s="24">
        <v>43.355134374999999</v>
      </c>
      <c r="AZ30" s="25">
        <v>9147.98</v>
      </c>
      <c r="BA30" s="25">
        <v>17767.400000000001</v>
      </c>
      <c r="BB30" s="25">
        <v>20.943000000000001</v>
      </c>
      <c r="BC30" s="25">
        <v>102.392</v>
      </c>
      <c r="BE30" s="58">
        <f t="shared" si="12"/>
        <v>1</v>
      </c>
      <c r="BF30" s="26">
        <f t="shared" si="13"/>
        <v>0</v>
      </c>
      <c r="BG30" s="26">
        <f t="shared" si="14"/>
        <v>0</v>
      </c>
      <c r="BH30" s="26">
        <f t="array" ref="BH30">AVERAGE(AL30:AL34/AQ30:AQ34) - AVERAGE(N30:N34/S30:S34)</f>
        <v>0</v>
      </c>
      <c r="BJ30" s="58">
        <f>IF( OR(ISBLANK(N30:N34),ISBLANK(AL30:AL34), ISBLANK(W30:W34),ISBLANK(AU30:AU34)), "·", bdRateExtend( N30:N34,W30:W34, AL30:AL34,AU30:AU34))</f>
        <v>0</v>
      </c>
      <c r="BK30" s="58">
        <f>IF( OR(ISBLANK(N30:N34),ISBLANK(AL30:AL34), ISBLANK(X30:X34),ISBLANK(AV30:AV34)), "·", bdRateExtend( N30:N34,X30:X34, AL30:AL34,AV30:AV34))</f>
        <v>0</v>
      </c>
      <c r="BL30" s="58">
        <f>IF( OR(ISBLANK(V30:V34),ISBLANK(AT30:AT34), ISBLANK(Y30:Y34),ISBLANK(AW30:AW34)), "·", bdRateExtend( V30:V34,Y30:Y34, AT30:AT34,AW30:AW34))</f>
        <v>0</v>
      </c>
      <c r="BM30" s="58">
        <f>IF( OR(ISBLANK(V30:V34),ISBLANK(AT30:AT34), ISBLANK(Z30:Z34),ISBLANK(AX30:AX34)), "·", bdRateExtend( V30:V34,Z30:Z34, AT30:AT34,AX30:AX34))</f>
        <v>0</v>
      </c>
      <c r="BN30" s="58">
        <f>IF( OR(ISBLANK(V30:V34),ISBLANK(AT30:AT34), ISBLANK(AA30:AA34),ISBLANK(AY30:AY34)), "·", bdRateExtend( V30:V34,AA30:AA34, AT30:AT34,AY30:AY34))</f>
        <v>0</v>
      </c>
      <c r="BP30" s="58">
        <f>IF( OR(ISBLANK(S30:S34),ISBLANK(AQ30:AQ34), ISBLANK(W30:W34),ISBLANK(AU30:AU34)), "·", bdRateExtend( S30:S34,W30:W34, AQ30:AQ34,AU30:AU34))</f>
        <v>0</v>
      </c>
      <c r="BQ30" s="58">
        <f>IF( OR(ISBLANK(S30:S34),ISBLANK(AQ30:AQ34), ISBLANK(X30:X34),ISBLANK(AV30:AV34)), "·", bdRateExtend( S30:S34,X30:X34, AQ30:AQ34,AV30:AV34))</f>
        <v>0</v>
      </c>
      <c r="BR30" s="58">
        <f>IF( OR(ISBLANK(S30:S34),ISBLANK(AQ30:AQ34), ISBLANK(Y30:Y34),ISBLANK(AW30:AW34)), "·", bdRateExtend( S30:S34,Y30:Y34, AQ30:AQ34,AW30:AW34))</f>
        <v>0</v>
      </c>
      <c r="BS30" s="58">
        <f>IF( OR(ISBLANK(S30:S34),ISBLANK(AQ30:AQ34), ISBLANK(Z30:Z34),ISBLANK(AX30:AX34)), "·", bdRateExtend( S30:S34,Z30:Z34, AQ30:AQ34,AX30:AX34))</f>
        <v>0</v>
      </c>
      <c r="BT30" s="58">
        <f>IF( OR(ISBLANK(S30:S34),ISBLANK(AQ30:AQ34), ISBLANK(AA30:AA34),ISBLANK(AY30:AY34)), "·", bdRateExtend( S30:S34,AA30:AA34, AQ30:AQ34,AY30:AY34))</f>
        <v>0</v>
      </c>
    </row>
    <row r="31" spans="1:72" outlineLevel="1" x14ac:dyDescent="0.3">
      <c r="A31" s="129"/>
      <c r="B31" s="129" t="s">
        <v>77</v>
      </c>
      <c r="C31" s="10" t="s">
        <v>235</v>
      </c>
      <c r="D31" s="129">
        <v>375422539</v>
      </c>
      <c r="E31" s="10">
        <v>11</v>
      </c>
      <c r="F31" s="10">
        <v>128</v>
      </c>
      <c r="G31" s="10">
        <v>30</v>
      </c>
      <c r="I31" s="11">
        <f t="shared" si="0"/>
        <v>1.2745668750000001</v>
      </c>
      <c r="J31" s="12">
        <f t="shared" si="1"/>
        <v>1.4485416923782512E-2</v>
      </c>
      <c r="K31" s="12">
        <f t="shared" si="2"/>
        <v>1.0578203457304943E-2</v>
      </c>
      <c r="L31" s="12">
        <f t="shared" si="3"/>
        <v>7.2434223241988139E-3</v>
      </c>
      <c r="M31" s="12">
        <f t="shared" si="4"/>
        <v>3.907213466477568E-3</v>
      </c>
      <c r="N31" s="129">
        <f t="shared" si="5"/>
        <v>3971296</v>
      </c>
      <c r="O31" s="12">
        <v>16</v>
      </c>
      <c r="P31" s="13">
        <v>91135146</v>
      </c>
      <c r="Q31" s="13">
        <v>2847973.3125</v>
      </c>
      <c r="R31" s="13">
        <v>47327.375</v>
      </c>
      <c r="S31" s="14">
        <v>5438152</v>
      </c>
      <c r="T31" s="14">
        <v>2719344</v>
      </c>
      <c r="U31" s="14">
        <v>1251952</v>
      </c>
      <c r="V31" s="14">
        <v>1466856</v>
      </c>
      <c r="W31" s="15">
        <v>75.283415625000004</v>
      </c>
      <c r="X31" s="15">
        <v>77.568490624999995</v>
      </c>
      <c r="Y31" s="15">
        <v>35.264421874999996</v>
      </c>
      <c r="Z31" s="15">
        <v>42.574384375000001</v>
      </c>
      <c r="AA31" s="15">
        <v>44.381653125</v>
      </c>
      <c r="AB31" s="16">
        <v>10968.3</v>
      </c>
      <c r="AC31" s="16">
        <v>24245.200000000001</v>
      </c>
      <c r="AD31" s="16">
        <v>26.463999999999999</v>
      </c>
      <c r="AE31" s="16">
        <v>127.77800000000001</v>
      </c>
      <c r="AG31" s="11">
        <f t="shared" si="6"/>
        <v>1.2745668750000001</v>
      </c>
      <c r="AH31" s="12">
        <f t="shared" si="7"/>
        <v>1.4485416923782512E-2</v>
      </c>
      <c r="AI31" s="12">
        <f t="shared" si="8"/>
        <v>1.0578203457304943E-2</v>
      </c>
      <c r="AJ31" s="12">
        <f t="shared" si="9"/>
        <v>7.2434223241988139E-3</v>
      </c>
      <c r="AK31" s="12">
        <f t="shared" si="10"/>
        <v>3.907213466477568E-3</v>
      </c>
      <c r="AL31" s="129">
        <f t="shared" si="11"/>
        <v>3971296</v>
      </c>
      <c r="AM31" s="12">
        <v>16</v>
      </c>
      <c r="AN31" s="13">
        <v>91135146</v>
      </c>
      <c r="AO31" s="13">
        <v>2847973.3125</v>
      </c>
      <c r="AP31" s="13">
        <v>47327.375</v>
      </c>
      <c r="AQ31" s="14">
        <v>5438152</v>
      </c>
      <c r="AR31" s="14">
        <v>2719344</v>
      </c>
      <c r="AS31" s="14">
        <v>1251952</v>
      </c>
      <c r="AT31" s="14">
        <v>1466856</v>
      </c>
      <c r="AU31" s="15">
        <v>75.283415625000004</v>
      </c>
      <c r="AV31" s="15">
        <v>77.568490624999995</v>
      </c>
      <c r="AW31" s="15">
        <v>35.264421874999996</v>
      </c>
      <c r="AX31" s="15">
        <v>42.574384375000001</v>
      </c>
      <c r="AY31" s="15">
        <v>44.381653125</v>
      </c>
      <c r="AZ31" s="16">
        <v>8966.4699999999993</v>
      </c>
      <c r="BA31" s="16">
        <v>18747.3</v>
      </c>
      <c r="BB31" s="16">
        <v>21.99</v>
      </c>
      <c r="BC31" s="16">
        <v>103.255</v>
      </c>
      <c r="BE31" s="62">
        <f t="shared" si="12"/>
        <v>1</v>
      </c>
      <c r="BF31" s="17">
        <f t="shared" si="13"/>
        <v>0</v>
      </c>
      <c r="BG31" s="17">
        <f t="shared" si="14"/>
        <v>0</v>
      </c>
      <c r="BH31" s="17"/>
      <c r="BJ31" s="62"/>
      <c r="BK31" s="62"/>
      <c r="BL31" s="62"/>
      <c r="BM31" s="62"/>
      <c r="BN31" s="62"/>
      <c r="BP31" s="62"/>
      <c r="BQ31" s="62"/>
      <c r="BR31" s="62"/>
      <c r="BS31" s="62"/>
      <c r="BT31" s="62"/>
    </row>
    <row r="32" spans="1:72" outlineLevel="1" x14ac:dyDescent="0.3">
      <c r="A32" s="18"/>
      <c r="B32" s="18" t="s">
        <v>77</v>
      </c>
      <c r="C32" s="19" t="s">
        <v>236</v>
      </c>
      <c r="D32" s="18">
        <v>375422539</v>
      </c>
      <c r="E32" s="19">
        <v>11</v>
      </c>
      <c r="F32" s="19">
        <v>128</v>
      </c>
      <c r="G32" s="19">
        <v>30</v>
      </c>
      <c r="I32" s="20">
        <f t="shared" si="0"/>
        <v>1.8312768749999999</v>
      </c>
      <c r="J32" s="21">
        <f t="shared" si="1"/>
        <v>2.0812410519657158E-2</v>
      </c>
      <c r="K32" s="21">
        <f t="shared" si="2"/>
        <v>1.3272191950094931E-2</v>
      </c>
      <c r="L32" s="21">
        <f t="shared" si="3"/>
        <v>9.9374108169888002E-3</v>
      </c>
      <c r="M32" s="21">
        <f t="shared" si="4"/>
        <v>7.5402185695622286E-3</v>
      </c>
      <c r="N32" s="18">
        <f t="shared" si="5"/>
        <v>4982680</v>
      </c>
      <c r="O32" s="21">
        <v>16</v>
      </c>
      <c r="P32" s="22">
        <v>92322033</v>
      </c>
      <c r="Q32" s="22">
        <v>2885063.53125</v>
      </c>
      <c r="R32" s="22">
        <v>50792.15625</v>
      </c>
      <c r="S32" s="23">
        <v>7813448</v>
      </c>
      <c r="T32" s="23">
        <v>3730728</v>
      </c>
      <c r="U32" s="23">
        <v>1251952</v>
      </c>
      <c r="V32" s="23">
        <v>2830768</v>
      </c>
      <c r="W32" s="24">
        <v>76.520274999999998</v>
      </c>
      <c r="X32" s="24">
        <v>79.120240624999994</v>
      </c>
      <c r="Y32" s="24">
        <v>37.034343749999998</v>
      </c>
      <c r="Z32" s="24">
        <v>43.087846874999997</v>
      </c>
      <c r="AA32" s="24">
        <v>46.09443125</v>
      </c>
      <c r="AB32" s="25">
        <v>10962.6</v>
      </c>
      <c r="AC32" s="25">
        <v>25797.1</v>
      </c>
      <c r="AD32" s="25">
        <v>25.547999999999998</v>
      </c>
      <c r="AE32" s="25">
        <v>120.569</v>
      </c>
      <c r="AG32" s="20">
        <f t="shared" si="6"/>
        <v>1.8312768749999999</v>
      </c>
      <c r="AH32" s="21">
        <f t="shared" si="7"/>
        <v>2.0812410519657158E-2</v>
      </c>
      <c r="AI32" s="21">
        <f t="shared" si="8"/>
        <v>1.3272191950094931E-2</v>
      </c>
      <c r="AJ32" s="21">
        <f t="shared" si="9"/>
        <v>9.9374108169888002E-3</v>
      </c>
      <c r="AK32" s="21">
        <f t="shared" si="10"/>
        <v>7.5402185695622286E-3</v>
      </c>
      <c r="AL32" s="18">
        <f t="shared" si="11"/>
        <v>4982680</v>
      </c>
      <c r="AM32" s="21">
        <v>16</v>
      </c>
      <c r="AN32" s="22">
        <v>92322033</v>
      </c>
      <c r="AO32" s="22">
        <v>2885063.53125</v>
      </c>
      <c r="AP32" s="22">
        <v>50792.15625</v>
      </c>
      <c r="AQ32" s="23">
        <v>7813448</v>
      </c>
      <c r="AR32" s="23">
        <v>3730728</v>
      </c>
      <c r="AS32" s="23">
        <v>1251952</v>
      </c>
      <c r="AT32" s="23">
        <v>2830768</v>
      </c>
      <c r="AU32" s="24">
        <v>76.520274999999998</v>
      </c>
      <c r="AV32" s="24">
        <v>79.120240624999994</v>
      </c>
      <c r="AW32" s="24">
        <v>37.034343749999998</v>
      </c>
      <c r="AX32" s="24">
        <v>43.087846874999997</v>
      </c>
      <c r="AY32" s="24">
        <v>46.09443125</v>
      </c>
      <c r="AZ32" s="25">
        <v>8939.09</v>
      </c>
      <c r="BA32" s="25">
        <v>19746.5</v>
      </c>
      <c r="BB32" s="25">
        <v>21.596</v>
      </c>
      <c r="BC32" s="25">
        <v>100.051</v>
      </c>
      <c r="BE32" s="58">
        <f t="shared" si="12"/>
        <v>1</v>
      </c>
      <c r="BF32" s="26">
        <f t="shared" si="13"/>
        <v>0</v>
      </c>
      <c r="BG32" s="26">
        <f t="shared" si="14"/>
        <v>0</v>
      </c>
      <c r="BH32" s="26"/>
      <c r="BJ32" s="58"/>
      <c r="BK32" s="58"/>
      <c r="BL32" s="58"/>
      <c r="BM32" s="58"/>
      <c r="BN32" s="58"/>
      <c r="BP32" s="58"/>
      <c r="BQ32" s="58"/>
      <c r="BR32" s="58"/>
      <c r="BS32" s="58"/>
      <c r="BT32" s="58"/>
    </row>
    <row r="33" spans="1:72" outlineLevel="1" x14ac:dyDescent="0.3">
      <c r="A33" s="129"/>
      <c r="B33" s="129" t="s">
        <v>77</v>
      </c>
      <c r="C33" s="10" t="s">
        <v>237</v>
      </c>
      <c r="D33" s="129">
        <v>375422539</v>
      </c>
      <c r="E33" s="10">
        <v>11</v>
      </c>
      <c r="F33" s="10">
        <v>128</v>
      </c>
      <c r="G33" s="10">
        <v>30</v>
      </c>
      <c r="I33" s="11">
        <f t="shared" si="0"/>
        <v>3.0614587499999999</v>
      </c>
      <c r="J33" s="12">
        <f t="shared" si="1"/>
        <v>3.4793393158528502E-2</v>
      </c>
      <c r="K33" s="12">
        <f t="shared" si="2"/>
        <v>1.8067279652594328E-2</v>
      </c>
      <c r="L33" s="12">
        <f t="shared" si="3"/>
        <v>1.4732498519488197E-2</v>
      </c>
      <c r="M33" s="12">
        <f t="shared" si="4"/>
        <v>1.6726113505934177E-2</v>
      </c>
      <c r="N33" s="129">
        <f t="shared" si="5"/>
        <v>6782864</v>
      </c>
      <c r="O33" s="12">
        <v>16</v>
      </c>
      <c r="P33" s="13">
        <v>94853694</v>
      </c>
      <c r="Q33" s="13">
        <v>2964177.9375</v>
      </c>
      <c r="R33" s="13">
        <v>57319.6875</v>
      </c>
      <c r="S33" s="14">
        <v>13062224</v>
      </c>
      <c r="T33" s="14">
        <v>5530912</v>
      </c>
      <c r="U33" s="14">
        <v>1251952</v>
      </c>
      <c r="V33" s="14">
        <v>6279360</v>
      </c>
      <c r="W33" s="15">
        <v>77.555253124999993</v>
      </c>
      <c r="X33" s="15">
        <v>80.262606250000005</v>
      </c>
      <c r="Y33" s="15">
        <v>38.807096874999999</v>
      </c>
      <c r="Z33" s="15">
        <v>43.693087499999997</v>
      </c>
      <c r="AA33" s="15">
        <v>47.397687500000004</v>
      </c>
      <c r="AB33" s="16">
        <v>11008.3</v>
      </c>
      <c r="AC33" s="16">
        <v>27170.6</v>
      </c>
      <c r="AD33" s="16">
        <v>25.933</v>
      </c>
      <c r="AE33" s="16">
        <v>124.989</v>
      </c>
      <c r="AG33" s="11">
        <f t="shared" si="6"/>
        <v>3.0614587499999999</v>
      </c>
      <c r="AH33" s="12">
        <f t="shared" si="7"/>
        <v>3.4793393158528502E-2</v>
      </c>
      <c r="AI33" s="12">
        <f t="shared" si="8"/>
        <v>1.8067279652594328E-2</v>
      </c>
      <c r="AJ33" s="12">
        <f t="shared" si="9"/>
        <v>1.4732498519488197E-2</v>
      </c>
      <c r="AK33" s="12">
        <f t="shared" si="10"/>
        <v>1.6726113505934177E-2</v>
      </c>
      <c r="AL33" s="129">
        <f t="shared" si="11"/>
        <v>6782864</v>
      </c>
      <c r="AM33" s="12">
        <v>16</v>
      </c>
      <c r="AN33" s="13">
        <v>94853694</v>
      </c>
      <c r="AO33" s="13">
        <v>2964177.9375</v>
      </c>
      <c r="AP33" s="13">
        <v>57319.6875</v>
      </c>
      <c r="AQ33" s="14">
        <v>13062224</v>
      </c>
      <c r="AR33" s="14">
        <v>5530912</v>
      </c>
      <c r="AS33" s="14">
        <v>1251952</v>
      </c>
      <c r="AT33" s="14">
        <v>6279360</v>
      </c>
      <c r="AU33" s="15">
        <v>77.555253124999993</v>
      </c>
      <c r="AV33" s="15">
        <v>80.262606250000005</v>
      </c>
      <c r="AW33" s="15">
        <v>38.807096874999999</v>
      </c>
      <c r="AX33" s="15">
        <v>43.693087499999997</v>
      </c>
      <c r="AY33" s="15">
        <v>47.397687500000004</v>
      </c>
      <c r="AZ33" s="16">
        <v>8962.06</v>
      </c>
      <c r="BA33" s="16">
        <v>20801.5</v>
      </c>
      <c r="BB33" s="16">
        <v>22.015000000000001</v>
      </c>
      <c r="BC33" s="16">
        <v>101.738</v>
      </c>
      <c r="BE33" s="62">
        <f t="shared" si="12"/>
        <v>1</v>
      </c>
      <c r="BF33" s="17">
        <f t="shared" si="13"/>
        <v>0</v>
      </c>
      <c r="BG33" s="17">
        <f t="shared" si="14"/>
        <v>0</v>
      </c>
      <c r="BH33" s="17"/>
      <c r="BJ33" s="62"/>
      <c r="BK33" s="62"/>
      <c r="BL33" s="62"/>
      <c r="BM33" s="62"/>
      <c r="BN33" s="62"/>
      <c r="BP33" s="62"/>
      <c r="BQ33" s="62"/>
      <c r="BR33" s="62"/>
      <c r="BS33" s="62"/>
      <c r="BT33" s="62"/>
    </row>
    <row r="34" spans="1:72" outlineLevel="1" x14ac:dyDescent="0.3">
      <c r="A34" s="18"/>
      <c r="B34" s="37" t="s">
        <v>77</v>
      </c>
      <c r="C34" s="38" t="s">
        <v>238</v>
      </c>
      <c r="D34" s="37">
        <v>375422539</v>
      </c>
      <c r="E34" s="38">
        <v>11</v>
      </c>
      <c r="F34" s="38">
        <v>128</v>
      </c>
      <c r="G34" s="38">
        <v>30</v>
      </c>
      <c r="I34" s="39">
        <f t="shared" si="0"/>
        <v>6.2482631250000003</v>
      </c>
      <c r="J34" s="40">
        <f t="shared" si="1"/>
        <v>7.1011335843104512E-2</v>
      </c>
      <c r="K34" s="40">
        <f t="shared" si="2"/>
        <v>2.9797251997168983E-2</v>
      </c>
      <c r="L34" s="40">
        <f t="shared" si="3"/>
        <v>2.3343617097001199E-2</v>
      </c>
      <c r="M34" s="40">
        <f t="shared" si="4"/>
        <v>4.1214083845935529E-2</v>
      </c>
      <c r="N34" s="37">
        <f t="shared" si="5"/>
        <v>11186560</v>
      </c>
      <c r="O34" s="40">
        <v>16</v>
      </c>
      <c r="P34" s="41">
        <v>92764372</v>
      </c>
      <c r="Q34" s="41">
        <v>2898886.625</v>
      </c>
      <c r="R34" s="41">
        <v>22392.46875</v>
      </c>
      <c r="S34" s="42">
        <v>26659256</v>
      </c>
      <c r="T34" s="42">
        <v>8763720</v>
      </c>
      <c r="U34" s="42">
        <v>2422840</v>
      </c>
      <c r="V34" s="42">
        <v>15472696</v>
      </c>
      <c r="W34" s="43">
        <v>78.648278125000004</v>
      </c>
      <c r="X34" s="43">
        <v>81.920818749999995</v>
      </c>
      <c r="Y34" s="43">
        <v>40.570637499999997</v>
      </c>
      <c r="Z34" s="43">
        <v>44.385759374999999</v>
      </c>
      <c r="AA34" s="43">
        <v>48.842599999999997</v>
      </c>
      <c r="AB34" s="44">
        <v>10943.3</v>
      </c>
      <c r="AC34" s="44">
        <v>29264.799999999999</v>
      </c>
      <c r="AD34" s="44">
        <v>26.338999999999999</v>
      </c>
      <c r="AE34" s="44">
        <v>131.94499999999999</v>
      </c>
      <c r="AG34" s="39">
        <f t="shared" si="6"/>
        <v>6.2482631250000003</v>
      </c>
      <c r="AH34" s="40">
        <f t="shared" si="7"/>
        <v>7.1011335843104512E-2</v>
      </c>
      <c r="AI34" s="40">
        <f t="shared" si="8"/>
        <v>2.9797251997168983E-2</v>
      </c>
      <c r="AJ34" s="40">
        <f t="shared" si="9"/>
        <v>2.3343617097001199E-2</v>
      </c>
      <c r="AK34" s="40">
        <f t="shared" si="10"/>
        <v>4.1214083845935529E-2</v>
      </c>
      <c r="AL34" s="37">
        <f t="shared" si="11"/>
        <v>11186560</v>
      </c>
      <c r="AM34" s="40">
        <v>16</v>
      </c>
      <c r="AN34" s="41">
        <v>92764372</v>
      </c>
      <c r="AO34" s="41">
        <v>2898886.625</v>
      </c>
      <c r="AP34" s="41">
        <v>22392.46875</v>
      </c>
      <c r="AQ34" s="42">
        <v>26659256</v>
      </c>
      <c r="AR34" s="42">
        <v>8763720</v>
      </c>
      <c r="AS34" s="42">
        <v>2422840</v>
      </c>
      <c r="AT34" s="42">
        <v>15472696</v>
      </c>
      <c r="AU34" s="43">
        <v>78.648278125000004</v>
      </c>
      <c r="AV34" s="43">
        <v>81.920818749999995</v>
      </c>
      <c r="AW34" s="43">
        <v>40.570637499999997</v>
      </c>
      <c r="AX34" s="43">
        <v>44.385759374999999</v>
      </c>
      <c r="AY34" s="43">
        <v>48.842599999999997</v>
      </c>
      <c r="AZ34" s="44">
        <v>8946.31</v>
      </c>
      <c r="BA34" s="44">
        <v>22672.5</v>
      </c>
      <c r="BB34" s="44">
        <v>21.334</v>
      </c>
      <c r="BC34" s="44">
        <v>107.65</v>
      </c>
      <c r="BE34" s="45">
        <f t="shared" si="12"/>
        <v>1</v>
      </c>
      <c r="BF34" s="46">
        <f t="shared" si="13"/>
        <v>0</v>
      </c>
      <c r="BG34" s="46">
        <f t="shared" si="14"/>
        <v>0</v>
      </c>
      <c r="BH34" s="46"/>
      <c r="BJ34" s="45"/>
      <c r="BK34" s="45"/>
      <c r="BL34" s="45"/>
      <c r="BM34" s="45"/>
      <c r="BN34" s="45"/>
      <c r="BP34" s="45"/>
      <c r="BQ34" s="45"/>
      <c r="BR34" s="45"/>
      <c r="BS34" s="45"/>
      <c r="BT34" s="45"/>
    </row>
    <row r="35" spans="1:72" x14ac:dyDescent="0.3">
      <c r="A35" s="129"/>
      <c r="B35" s="129" t="s">
        <v>82</v>
      </c>
      <c r="C35" s="10" t="s">
        <v>234</v>
      </c>
      <c r="D35" s="129">
        <v>333190689</v>
      </c>
      <c r="E35" s="10">
        <v>11</v>
      </c>
      <c r="F35" s="10">
        <v>128</v>
      </c>
      <c r="G35" s="10">
        <v>30</v>
      </c>
      <c r="I35" s="11">
        <f t="shared" si="0"/>
        <v>1.19890125</v>
      </c>
      <c r="J35" s="12">
        <f t="shared" si="1"/>
        <v>1.535250584388329E-2</v>
      </c>
      <c r="K35" s="12">
        <f t="shared" si="2"/>
        <v>1.1491413555076865E-2</v>
      </c>
      <c r="L35" s="12">
        <f t="shared" si="3"/>
        <v>7.2058196080023113E-3</v>
      </c>
      <c r="M35" s="12">
        <f t="shared" si="4"/>
        <v>3.8610922888064258E-3</v>
      </c>
      <c r="N35" s="129">
        <f t="shared" si="5"/>
        <v>3828832</v>
      </c>
      <c r="O35" s="12">
        <v>16</v>
      </c>
      <c r="P35" s="13">
        <v>75426681</v>
      </c>
      <c r="Q35" s="13">
        <v>2357083.78125</v>
      </c>
      <c r="R35" s="13">
        <v>36733.21875</v>
      </c>
      <c r="S35" s="14">
        <v>5115312</v>
      </c>
      <c r="T35" s="14">
        <v>2400912</v>
      </c>
      <c r="U35" s="14">
        <v>1427920</v>
      </c>
      <c r="V35" s="14">
        <v>1286480</v>
      </c>
      <c r="W35" s="15">
        <v>73.216459374999999</v>
      </c>
      <c r="X35" s="15">
        <v>75.351137499999993</v>
      </c>
      <c r="Y35" s="15">
        <v>31.8388375</v>
      </c>
      <c r="Z35" s="15">
        <v>42.179756249999997</v>
      </c>
      <c r="AA35" s="15">
        <v>43.297103125</v>
      </c>
      <c r="AB35" s="16">
        <v>9952.0300000000007</v>
      </c>
      <c r="AC35" s="16">
        <v>27733.7</v>
      </c>
      <c r="AD35" s="16">
        <v>23.501000000000001</v>
      </c>
      <c r="AE35" s="16">
        <v>130.40299999999999</v>
      </c>
      <c r="AG35" s="11">
        <f t="shared" si="6"/>
        <v>1.19890125</v>
      </c>
      <c r="AH35" s="12">
        <f t="shared" si="7"/>
        <v>1.535250584388329E-2</v>
      </c>
      <c r="AI35" s="12">
        <f t="shared" si="8"/>
        <v>1.1491413555076865E-2</v>
      </c>
      <c r="AJ35" s="12">
        <f t="shared" si="9"/>
        <v>7.2058196080023113E-3</v>
      </c>
      <c r="AK35" s="12">
        <f t="shared" si="10"/>
        <v>3.8610922888064258E-3</v>
      </c>
      <c r="AL35" s="129">
        <f t="shared" si="11"/>
        <v>3828832</v>
      </c>
      <c r="AM35" s="12">
        <v>16</v>
      </c>
      <c r="AN35" s="13">
        <v>75426681</v>
      </c>
      <c r="AO35" s="13">
        <v>2357083.78125</v>
      </c>
      <c r="AP35" s="13">
        <v>36733.21875</v>
      </c>
      <c r="AQ35" s="14">
        <v>5115312</v>
      </c>
      <c r="AR35" s="14">
        <v>2400912</v>
      </c>
      <c r="AS35" s="14">
        <v>1427920</v>
      </c>
      <c r="AT35" s="14">
        <v>1286480</v>
      </c>
      <c r="AU35" s="15">
        <v>73.216459374999999</v>
      </c>
      <c r="AV35" s="15">
        <v>75.351137499999993</v>
      </c>
      <c r="AW35" s="15">
        <v>31.8388375</v>
      </c>
      <c r="AX35" s="15">
        <v>42.179756249999997</v>
      </c>
      <c r="AY35" s="15">
        <v>43.297103125</v>
      </c>
      <c r="AZ35" s="16">
        <v>8006.61</v>
      </c>
      <c r="BA35" s="16">
        <v>21359.3</v>
      </c>
      <c r="BB35" s="16">
        <v>20.082999999999998</v>
      </c>
      <c r="BC35" s="16">
        <v>110.97499999999999</v>
      </c>
      <c r="BE35" s="62">
        <f t="shared" si="12"/>
        <v>1</v>
      </c>
      <c r="BF35" s="17">
        <f t="shared" si="13"/>
        <v>0</v>
      </c>
      <c r="BG35" s="17">
        <f t="shared" si="14"/>
        <v>0</v>
      </c>
      <c r="BH35" s="17">
        <f t="array" ref="BH35">AVERAGE(AL35:AL39/AQ35:AQ39) - AVERAGE(N35:N39/S35:S39)</f>
        <v>0</v>
      </c>
      <c r="BJ35" s="62">
        <f>IF( OR(ISBLANK(N35:N39),ISBLANK(AL35:AL39), ISBLANK(W35:W39),ISBLANK(AU35:AU39)), "·", bdRateExtend( N35:N39,W35:W39, AL35:AL39,AU35:AU39))</f>
        <v>0</v>
      </c>
      <c r="BK35" s="62">
        <f>IF( OR(ISBLANK(N35:N39),ISBLANK(AL35:AL39), ISBLANK(X35:X39),ISBLANK(AV35:AV39)), "·", bdRateExtend( N35:N39,X35:X39, AL35:AL39,AV35:AV39))</f>
        <v>0</v>
      </c>
      <c r="BL35" s="62">
        <f>IF( OR(ISBLANK(V35:V39),ISBLANK(AT35:AT39), ISBLANK(Y35:Y39),ISBLANK(AW35:AW39)), "·", bdRateExtend( V35:V39,Y35:Y39, AT35:AT39,AW35:AW39))</f>
        <v>0</v>
      </c>
      <c r="BM35" s="62">
        <f>IF( OR(ISBLANK(V35:V39),ISBLANK(AT35:AT39), ISBLANK(Z35:Z39),ISBLANK(AX35:AX39)), "·", bdRateExtend( V35:V39,Z35:Z39, AT35:AT39,AX35:AX39))</f>
        <v>0</v>
      </c>
      <c r="BN35" s="62">
        <f>IF( OR(ISBLANK(V35:V39),ISBLANK(AT35:AT39), ISBLANK(AA35:AA39),ISBLANK(AY35:AY39)), "·", bdRateExtend( V35:V39,AA35:AA39, AT35:AT39,AY35:AY39))</f>
        <v>0</v>
      </c>
      <c r="BP35" s="62">
        <f>IF( OR(ISBLANK(S35:S39),ISBLANK(AQ35:AQ39), ISBLANK(W35:W39),ISBLANK(AU35:AU39)), "·", bdRateExtend( S35:S39,W35:W39, AQ35:AQ39,AU35:AU39))</f>
        <v>0</v>
      </c>
      <c r="BQ35" s="62">
        <f>IF( OR(ISBLANK(S35:S39),ISBLANK(AQ35:AQ39), ISBLANK(X35:X39),ISBLANK(AV35:AV39)), "·", bdRateExtend( S35:S39,X35:X39, AQ35:AQ39,AV35:AV39))</f>
        <v>0</v>
      </c>
      <c r="BR35" s="62">
        <f>IF( OR(ISBLANK(S35:S39),ISBLANK(AQ35:AQ39), ISBLANK(Y35:Y39),ISBLANK(AW35:AW39)), "·", bdRateExtend( S35:S39,Y35:Y39, AQ35:AQ39,AW35:AW39))</f>
        <v>0</v>
      </c>
      <c r="BS35" s="62">
        <f>IF( OR(ISBLANK(S35:S39),ISBLANK(AQ35:AQ39), ISBLANK(Z35:Z39),ISBLANK(AX35:AX39)), "·", bdRateExtend( S35:S39,Z35:Z39, AQ35:AQ39,AX35:AX39))</f>
        <v>0</v>
      </c>
      <c r="BT35" s="62">
        <f>IF( OR(ISBLANK(S35:S39),ISBLANK(AQ35:AQ39), ISBLANK(AA35:AA39),ISBLANK(AY35:AY39)), "·", bdRateExtend( S35:S39,AA35:AA39, AQ35:AQ39,AY35:AY39))</f>
        <v>0</v>
      </c>
    </row>
    <row r="36" spans="1:72" outlineLevel="1" x14ac:dyDescent="0.3">
      <c r="A36" s="18"/>
      <c r="B36" s="18" t="s">
        <v>82</v>
      </c>
      <c r="C36" s="19" t="s">
        <v>235</v>
      </c>
      <c r="D36" s="18">
        <v>333190689</v>
      </c>
      <c r="E36" s="19">
        <v>11</v>
      </c>
      <c r="F36" s="19">
        <v>128</v>
      </c>
      <c r="G36" s="19">
        <v>30</v>
      </c>
      <c r="I36" s="20">
        <f t="shared" si="0"/>
        <v>1.588411875</v>
      </c>
      <c r="J36" s="21">
        <f t="shared" si="1"/>
        <v>2.0340376318259003E-2</v>
      </c>
      <c r="K36" s="21">
        <f t="shared" si="2"/>
        <v>1.3870471632537126E-2</v>
      </c>
      <c r="L36" s="21">
        <f t="shared" si="3"/>
        <v>9.5848776854625724E-3</v>
      </c>
      <c r="M36" s="21">
        <f t="shared" si="4"/>
        <v>6.4699046857218754E-3</v>
      </c>
      <c r="N36" s="18">
        <f t="shared" si="5"/>
        <v>4621512</v>
      </c>
      <c r="O36" s="21">
        <v>16</v>
      </c>
      <c r="P36" s="22">
        <v>80658145</v>
      </c>
      <c r="Q36" s="22">
        <v>2520567.03125</v>
      </c>
      <c r="R36" s="22">
        <v>46962.21875</v>
      </c>
      <c r="S36" s="23">
        <v>6777224</v>
      </c>
      <c r="T36" s="23">
        <v>3193592</v>
      </c>
      <c r="U36" s="23">
        <v>1427920</v>
      </c>
      <c r="V36" s="23">
        <v>2155712</v>
      </c>
      <c r="W36" s="24">
        <v>74.979409375000003</v>
      </c>
      <c r="X36" s="24">
        <v>77.319612500000005</v>
      </c>
      <c r="Y36" s="24">
        <v>34.105671874999999</v>
      </c>
      <c r="Z36" s="24">
        <v>42.956678125000003</v>
      </c>
      <c r="AA36" s="24">
        <v>44.856521874999999</v>
      </c>
      <c r="AB36" s="25">
        <v>9611.98</v>
      </c>
      <c r="AC36" s="25">
        <v>29066.400000000001</v>
      </c>
      <c r="AD36" s="25">
        <v>24.506</v>
      </c>
      <c r="AE36" s="25">
        <v>138.32900000000001</v>
      </c>
      <c r="AG36" s="20">
        <f t="shared" si="6"/>
        <v>1.588411875</v>
      </c>
      <c r="AH36" s="21">
        <f t="shared" si="7"/>
        <v>2.0340376318259003E-2</v>
      </c>
      <c r="AI36" s="21">
        <f t="shared" si="8"/>
        <v>1.3870471632537126E-2</v>
      </c>
      <c r="AJ36" s="21">
        <f t="shared" si="9"/>
        <v>9.5848776854625724E-3</v>
      </c>
      <c r="AK36" s="21">
        <f t="shared" si="10"/>
        <v>6.4699046857218754E-3</v>
      </c>
      <c r="AL36" s="18">
        <f t="shared" si="11"/>
        <v>4621512</v>
      </c>
      <c r="AM36" s="21">
        <v>16</v>
      </c>
      <c r="AN36" s="22">
        <v>80658145</v>
      </c>
      <c r="AO36" s="22">
        <v>2520567.03125</v>
      </c>
      <c r="AP36" s="22">
        <v>46962.21875</v>
      </c>
      <c r="AQ36" s="23">
        <v>6777224</v>
      </c>
      <c r="AR36" s="23">
        <v>3193592</v>
      </c>
      <c r="AS36" s="23">
        <v>1427920</v>
      </c>
      <c r="AT36" s="23">
        <v>2155712</v>
      </c>
      <c r="AU36" s="24">
        <v>74.979409375000003</v>
      </c>
      <c r="AV36" s="24">
        <v>77.319612500000005</v>
      </c>
      <c r="AW36" s="24">
        <v>34.105671874999999</v>
      </c>
      <c r="AX36" s="24">
        <v>42.956678125000003</v>
      </c>
      <c r="AY36" s="24">
        <v>44.856521874999999</v>
      </c>
      <c r="AZ36" s="25">
        <v>8523.34</v>
      </c>
      <c r="BA36" s="25">
        <v>23213.200000000001</v>
      </c>
      <c r="BB36" s="25">
        <v>21.143000000000001</v>
      </c>
      <c r="BC36" s="25">
        <v>113.447</v>
      </c>
      <c r="BE36" s="58">
        <f t="shared" si="12"/>
        <v>1</v>
      </c>
      <c r="BF36" s="26">
        <f t="shared" si="13"/>
        <v>0</v>
      </c>
      <c r="BG36" s="26">
        <f t="shared" si="14"/>
        <v>0</v>
      </c>
      <c r="BH36" s="26"/>
      <c r="BJ36" s="58"/>
      <c r="BK36" s="58"/>
      <c r="BL36" s="58"/>
      <c r="BM36" s="58"/>
      <c r="BN36" s="58"/>
      <c r="BP36" s="58"/>
      <c r="BQ36" s="58"/>
      <c r="BR36" s="58"/>
      <c r="BS36" s="58"/>
      <c r="BT36" s="58"/>
    </row>
    <row r="37" spans="1:72" outlineLevel="1" x14ac:dyDescent="0.3">
      <c r="A37" s="129"/>
      <c r="B37" s="129" t="s">
        <v>82</v>
      </c>
      <c r="C37" s="10" t="s">
        <v>236</v>
      </c>
      <c r="D37" s="129">
        <v>333190689</v>
      </c>
      <c r="E37" s="10">
        <v>11</v>
      </c>
      <c r="F37" s="10">
        <v>128</v>
      </c>
      <c r="G37" s="10">
        <v>30</v>
      </c>
      <c r="I37" s="11">
        <f t="shared" si="0"/>
        <v>2.2592193749999998</v>
      </c>
      <c r="J37" s="12">
        <f t="shared" si="1"/>
        <v>2.8930388267842624E-2</v>
      </c>
      <c r="K37" s="12">
        <f t="shared" si="2"/>
        <v>1.7268309679566107E-2</v>
      </c>
      <c r="L37" s="12">
        <f t="shared" si="3"/>
        <v>1.2982715732491552E-2</v>
      </c>
      <c r="M37" s="12">
        <f t="shared" si="4"/>
        <v>1.1662078588276517E-2</v>
      </c>
      <c r="N37" s="129">
        <f t="shared" si="5"/>
        <v>5753640</v>
      </c>
      <c r="O37" s="12">
        <v>16</v>
      </c>
      <c r="P37" s="13">
        <v>82497326</v>
      </c>
      <c r="Q37" s="13">
        <v>2578041.4375</v>
      </c>
      <c r="R37" s="13">
        <v>51608.59375</v>
      </c>
      <c r="S37" s="14">
        <v>9639336</v>
      </c>
      <c r="T37" s="14">
        <v>4325720</v>
      </c>
      <c r="U37" s="14">
        <v>1427920</v>
      </c>
      <c r="V37" s="14">
        <v>3885696</v>
      </c>
      <c r="W37" s="15">
        <v>76.314128124999996</v>
      </c>
      <c r="X37" s="15">
        <v>78.929715625</v>
      </c>
      <c r="Y37" s="15">
        <v>36.199187500000001</v>
      </c>
      <c r="Z37" s="15">
        <v>43.571409375000002</v>
      </c>
      <c r="AA37" s="15">
        <v>46.120959374999998</v>
      </c>
      <c r="AB37" s="16">
        <v>9935.0300000000007</v>
      </c>
      <c r="AC37" s="16">
        <v>31524.6</v>
      </c>
      <c r="AD37" s="16">
        <v>24.329000000000001</v>
      </c>
      <c r="AE37" s="16">
        <v>142.67599999999999</v>
      </c>
      <c r="AG37" s="11">
        <f t="shared" si="6"/>
        <v>2.2592193749999998</v>
      </c>
      <c r="AH37" s="12">
        <f t="shared" si="7"/>
        <v>2.8930388267842624E-2</v>
      </c>
      <c r="AI37" s="12">
        <f t="shared" si="8"/>
        <v>1.7268309679566107E-2</v>
      </c>
      <c r="AJ37" s="12">
        <f t="shared" si="9"/>
        <v>1.2982715732491552E-2</v>
      </c>
      <c r="AK37" s="12">
        <f t="shared" si="10"/>
        <v>1.1662078588276517E-2</v>
      </c>
      <c r="AL37" s="129">
        <f t="shared" si="11"/>
        <v>5753640</v>
      </c>
      <c r="AM37" s="12">
        <v>16</v>
      </c>
      <c r="AN37" s="13">
        <v>82497326</v>
      </c>
      <c r="AO37" s="13">
        <v>2578041.4375</v>
      </c>
      <c r="AP37" s="13">
        <v>51608.59375</v>
      </c>
      <c r="AQ37" s="14">
        <v>9639336</v>
      </c>
      <c r="AR37" s="14">
        <v>4325720</v>
      </c>
      <c r="AS37" s="14">
        <v>1427920</v>
      </c>
      <c r="AT37" s="14">
        <v>3885696</v>
      </c>
      <c r="AU37" s="15">
        <v>76.314128124999996</v>
      </c>
      <c r="AV37" s="15">
        <v>78.929715625</v>
      </c>
      <c r="AW37" s="15">
        <v>36.199187500000001</v>
      </c>
      <c r="AX37" s="15">
        <v>43.571409375000002</v>
      </c>
      <c r="AY37" s="15">
        <v>46.120959374999998</v>
      </c>
      <c r="AZ37" s="16">
        <v>8515.2999999999993</v>
      </c>
      <c r="BA37" s="16">
        <v>24144.1</v>
      </c>
      <c r="BB37" s="16">
        <v>20.751000000000001</v>
      </c>
      <c r="BC37" s="16">
        <v>111.873</v>
      </c>
      <c r="BE37" s="62">
        <f t="shared" si="12"/>
        <v>1</v>
      </c>
      <c r="BF37" s="17">
        <f t="shared" si="13"/>
        <v>0</v>
      </c>
      <c r="BG37" s="17">
        <f t="shared" si="14"/>
        <v>0</v>
      </c>
      <c r="BH37" s="17"/>
      <c r="BJ37" s="62"/>
      <c r="BK37" s="62"/>
      <c r="BL37" s="62"/>
      <c r="BM37" s="62"/>
      <c r="BN37" s="62"/>
      <c r="BP37" s="62"/>
      <c r="BQ37" s="62"/>
      <c r="BR37" s="62"/>
      <c r="BS37" s="62"/>
      <c r="BT37" s="62"/>
    </row>
    <row r="38" spans="1:72" outlineLevel="1" x14ac:dyDescent="0.3">
      <c r="A38" s="18"/>
      <c r="B38" s="18" t="s">
        <v>82</v>
      </c>
      <c r="C38" s="19" t="s">
        <v>237</v>
      </c>
      <c r="D38" s="18">
        <v>333190689</v>
      </c>
      <c r="E38" s="19">
        <v>11</v>
      </c>
      <c r="F38" s="19">
        <v>128</v>
      </c>
      <c r="G38" s="19">
        <v>30</v>
      </c>
      <c r="I38" s="20">
        <f t="shared" si="0"/>
        <v>3.68672625</v>
      </c>
      <c r="J38" s="21">
        <f t="shared" si="1"/>
        <v>4.7210298844815556E-2</v>
      </c>
      <c r="K38" s="21">
        <f t="shared" si="2"/>
        <v>2.2936583320910267E-2</v>
      </c>
      <c r="L38" s="21">
        <f t="shared" si="3"/>
        <v>1.8650989373835712E-2</v>
      </c>
      <c r="M38" s="21">
        <f t="shared" si="4"/>
        <v>2.4273715523905292E-2</v>
      </c>
      <c r="N38" s="18">
        <f t="shared" si="5"/>
        <v>7642256</v>
      </c>
      <c r="O38" s="21">
        <v>16</v>
      </c>
      <c r="P38" s="22">
        <v>84851763</v>
      </c>
      <c r="Q38" s="22">
        <v>2651617.59375</v>
      </c>
      <c r="R38" s="22">
        <v>58283.96875</v>
      </c>
      <c r="S38" s="23">
        <v>15730032</v>
      </c>
      <c r="T38" s="23">
        <v>6214336</v>
      </c>
      <c r="U38" s="23">
        <v>1427920</v>
      </c>
      <c r="V38" s="23">
        <v>8087776</v>
      </c>
      <c r="W38" s="24">
        <v>77.413728125000006</v>
      </c>
      <c r="X38" s="24">
        <v>80.130743749999993</v>
      </c>
      <c r="Y38" s="24">
        <v>38.168556250000002</v>
      </c>
      <c r="Z38" s="24">
        <v>44.196115624999997</v>
      </c>
      <c r="AA38" s="24">
        <v>47.300231250000003</v>
      </c>
      <c r="AB38" s="25">
        <v>9725.1299999999992</v>
      </c>
      <c r="AC38" s="25">
        <v>32219</v>
      </c>
      <c r="AD38" s="25">
        <v>24</v>
      </c>
      <c r="AE38" s="25">
        <v>134.56200000000001</v>
      </c>
      <c r="AG38" s="20">
        <f t="shared" si="6"/>
        <v>3.68672625</v>
      </c>
      <c r="AH38" s="21">
        <f t="shared" si="7"/>
        <v>4.7210298844815556E-2</v>
      </c>
      <c r="AI38" s="21">
        <f t="shared" si="8"/>
        <v>2.2936583320910267E-2</v>
      </c>
      <c r="AJ38" s="21">
        <f t="shared" si="9"/>
        <v>1.8650989373835712E-2</v>
      </c>
      <c r="AK38" s="21">
        <f t="shared" si="10"/>
        <v>2.4273715523905292E-2</v>
      </c>
      <c r="AL38" s="18">
        <f t="shared" si="11"/>
        <v>7642256</v>
      </c>
      <c r="AM38" s="21">
        <v>16</v>
      </c>
      <c r="AN38" s="22">
        <v>84851763</v>
      </c>
      <c r="AO38" s="22">
        <v>2651617.59375</v>
      </c>
      <c r="AP38" s="22">
        <v>58283.96875</v>
      </c>
      <c r="AQ38" s="23">
        <v>15730032</v>
      </c>
      <c r="AR38" s="23">
        <v>6214336</v>
      </c>
      <c r="AS38" s="23">
        <v>1427920</v>
      </c>
      <c r="AT38" s="23">
        <v>8087776</v>
      </c>
      <c r="AU38" s="24">
        <v>77.413728125000006</v>
      </c>
      <c r="AV38" s="24">
        <v>80.130743749999993</v>
      </c>
      <c r="AW38" s="24">
        <v>38.168556250000002</v>
      </c>
      <c r="AX38" s="24">
        <v>44.196115624999997</v>
      </c>
      <c r="AY38" s="24">
        <v>47.300231250000003</v>
      </c>
      <c r="AZ38" s="25">
        <v>8568.0499999999993</v>
      </c>
      <c r="BA38" s="25">
        <v>25650</v>
      </c>
      <c r="BB38" s="25">
        <v>20.850999999999999</v>
      </c>
      <c r="BC38" s="25">
        <v>113.34</v>
      </c>
      <c r="BE38" s="58">
        <f t="shared" si="12"/>
        <v>1</v>
      </c>
      <c r="BF38" s="26">
        <f t="shared" si="13"/>
        <v>0</v>
      </c>
      <c r="BG38" s="26">
        <f t="shared" si="14"/>
        <v>0</v>
      </c>
      <c r="BH38" s="26"/>
      <c r="BJ38" s="58"/>
      <c r="BK38" s="58"/>
      <c r="BL38" s="58"/>
      <c r="BM38" s="58"/>
      <c r="BN38" s="58"/>
      <c r="BP38" s="58"/>
      <c r="BQ38" s="58"/>
      <c r="BR38" s="58"/>
      <c r="BS38" s="58"/>
      <c r="BT38" s="58"/>
    </row>
    <row r="39" spans="1:72" outlineLevel="1" x14ac:dyDescent="0.3">
      <c r="A39" s="27"/>
      <c r="B39" s="27" t="s">
        <v>82</v>
      </c>
      <c r="C39" s="28" t="s">
        <v>238</v>
      </c>
      <c r="D39" s="27">
        <v>333190689</v>
      </c>
      <c r="E39" s="28">
        <v>11</v>
      </c>
      <c r="F39" s="28">
        <v>128</v>
      </c>
      <c r="G39" s="28">
        <v>30</v>
      </c>
      <c r="I39" s="29">
        <f t="shared" si="0"/>
        <v>7.2941681249999997</v>
      </c>
      <c r="J39" s="30">
        <f t="shared" si="1"/>
        <v>9.340532322018158E-2</v>
      </c>
      <c r="K39" s="30">
        <f t="shared" si="2"/>
        <v>3.6550457146778195E-2</v>
      </c>
      <c r="L39" s="30">
        <f t="shared" si="3"/>
        <v>2.841366314411025E-2</v>
      </c>
      <c r="M39" s="30">
        <f t="shared" si="4"/>
        <v>5.6854866073403391E-2</v>
      </c>
      <c r="N39" s="27">
        <f t="shared" si="5"/>
        <v>12178272</v>
      </c>
      <c r="O39" s="30">
        <v>16</v>
      </c>
      <c r="P39" s="31">
        <v>82664616</v>
      </c>
      <c r="Q39" s="31">
        <v>2583269.25</v>
      </c>
      <c r="R39" s="31">
        <v>21610.25</v>
      </c>
      <c r="S39" s="32">
        <v>31121784</v>
      </c>
      <c r="T39" s="32">
        <v>9467168</v>
      </c>
      <c r="U39" s="32">
        <v>2711104</v>
      </c>
      <c r="V39" s="32">
        <v>18943512</v>
      </c>
      <c r="W39" s="33">
        <v>78.45425625</v>
      </c>
      <c r="X39" s="33">
        <v>81.844640624999997</v>
      </c>
      <c r="Y39" s="33">
        <v>40.196462500000003</v>
      </c>
      <c r="Z39" s="33">
        <v>45.126437500000002</v>
      </c>
      <c r="AA39" s="33">
        <v>48.631174999999999</v>
      </c>
      <c r="AB39" s="34">
        <v>9579.5499999999993</v>
      </c>
      <c r="AC39" s="34">
        <v>34715.9</v>
      </c>
      <c r="AD39" s="34">
        <v>23.920999999999999</v>
      </c>
      <c r="AE39" s="34">
        <v>144.46899999999999</v>
      </c>
      <c r="AG39" s="29">
        <f t="shared" si="6"/>
        <v>7.2941681249999997</v>
      </c>
      <c r="AH39" s="30">
        <f t="shared" si="7"/>
        <v>9.340532322018158E-2</v>
      </c>
      <c r="AI39" s="30">
        <f t="shared" si="8"/>
        <v>3.6550457146778195E-2</v>
      </c>
      <c r="AJ39" s="30">
        <f t="shared" si="9"/>
        <v>2.841366314411025E-2</v>
      </c>
      <c r="AK39" s="30">
        <f t="shared" si="10"/>
        <v>5.6854866073403391E-2</v>
      </c>
      <c r="AL39" s="27">
        <f t="shared" si="11"/>
        <v>12178272</v>
      </c>
      <c r="AM39" s="30">
        <v>16</v>
      </c>
      <c r="AN39" s="31">
        <v>82664616</v>
      </c>
      <c r="AO39" s="31">
        <v>2583269.25</v>
      </c>
      <c r="AP39" s="31">
        <v>21610.25</v>
      </c>
      <c r="AQ39" s="32">
        <v>31121784</v>
      </c>
      <c r="AR39" s="32">
        <v>9467168</v>
      </c>
      <c r="AS39" s="32">
        <v>2711104</v>
      </c>
      <c r="AT39" s="32">
        <v>18943512</v>
      </c>
      <c r="AU39" s="33">
        <v>78.45425625</v>
      </c>
      <c r="AV39" s="33">
        <v>81.844640624999997</v>
      </c>
      <c r="AW39" s="33">
        <v>40.196462500000003</v>
      </c>
      <c r="AX39" s="33">
        <v>45.126437500000002</v>
      </c>
      <c r="AY39" s="33">
        <v>48.631174999999999</v>
      </c>
      <c r="AZ39" s="34">
        <v>8036.16</v>
      </c>
      <c r="BA39" s="34">
        <v>27031.4</v>
      </c>
      <c r="BB39" s="34">
        <v>21.459</v>
      </c>
      <c r="BC39" s="34">
        <v>122.666</v>
      </c>
      <c r="BE39" s="35">
        <f t="shared" si="12"/>
        <v>1</v>
      </c>
      <c r="BF39" s="36">
        <f t="shared" si="13"/>
        <v>0</v>
      </c>
      <c r="BG39" s="36">
        <f t="shared" si="14"/>
        <v>0</v>
      </c>
      <c r="BH39" s="36"/>
      <c r="BJ39" s="35"/>
      <c r="BK39" s="35"/>
      <c r="BL39" s="35"/>
      <c r="BM39" s="35"/>
      <c r="BN39" s="35"/>
      <c r="BP39" s="35"/>
      <c r="BQ39" s="35"/>
      <c r="BR39" s="35"/>
      <c r="BS39" s="35"/>
      <c r="BT39" s="35"/>
    </row>
    <row r="40" spans="1:72" x14ac:dyDescent="0.3">
      <c r="B40" s="47" t="s">
        <v>16</v>
      </c>
      <c r="J40" s="48">
        <f>AVERAGE(J5:J24)</f>
        <v>1.9934351112685884E-2</v>
      </c>
      <c r="K40" s="48">
        <f>AVERAGE(K5:K24)</f>
        <v>9.7391733877979052E-3</v>
      </c>
      <c r="L40" s="48">
        <f>AVERAGE(L5:L24)</f>
        <v>6.8656496039952736E-3</v>
      </c>
      <c r="M40" s="48">
        <f>AVERAGE(M5:M24)</f>
        <v>1.0195177724887976E-2</v>
      </c>
      <c r="AH40" s="48">
        <f>AVERAGE(AH5:AH24)</f>
        <v>1.9934351112685884E-2</v>
      </c>
      <c r="AI40" s="48">
        <f>AVERAGE(AI5:AI24)</f>
        <v>9.7391733877979052E-3</v>
      </c>
      <c r="AJ40" s="48">
        <f>AVERAGE(AJ5:AJ24)</f>
        <v>6.8656496039952736E-3</v>
      </c>
      <c r="AK40" s="48">
        <f>AVERAGE(AK5:AK24)</f>
        <v>1.0195177724887976E-2</v>
      </c>
      <c r="BE40" s="71">
        <f t="shared" si="12"/>
        <v>1</v>
      </c>
      <c r="BH40" s="151">
        <f>AVERAGE(BH5:BH24)</f>
        <v>0</v>
      </c>
      <c r="BJ40" s="71">
        <f>AVERAGE(BJ5:BJ24)</f>
        <v>0</v>
      </c>
      <c r="BK40" s="71">
        <f>AVERAGE(BK5:BK24)</f>
        <v>0</v>
      </c>
      <c r="BL40" s="71">
        <f>AVERAGE(BL5:BL24)</f>
        <v>0</v>
      </c>
      <c r="BM40" s="71">
        <f>AVERAGE(BM5:BM24)</f>
        <v>0</v>
      </c>
      <c r="BN40" s="71">
        <f>AVERAGE(BN5:BN24)</f>
        <v>0</v>
      </c>
      <c r="BP40" s="71">
        <f>AVERAGE(BP5:BP24)</f>
        <v>0</v>
      </c>
      <c r="BQ40" s="71">
        <f>AVERAGE(BQ5:BQ24)</f>
        <v>0</v>
      </c>
      <c r="BR40" s="71">
        <f>AVERAGE(BR5:BR24)</f>
        <v>0</v>
      </c>
      <c r="BS40" s="71">
        <f>AVERAGE(BS5:BS24)</f>
        <v>0</v>
      </c>
      <c r="BT40" s="71">
        <f>AVERAGE(BT5:BT24)</f>
        <v>0</v>
      </c>
    </row>
    <row r="41" spans="1:72" x14ac:dyDescent="0.3">
      <c r="B41" s="47" t="s">
        <v>17</v>
      </c>
      <c r="J41" s="48">
        <f>AVERAGE(J25:J29)</f>
        <v>4.3608314302224886E-2</v>
      </c>
      <c r="K41" s="48">
        <f>AVERAGE(K25:K29)</f>
        <v>1.1665825031722022E-2</v>
      </c>
      <c r="L41" s="48">
        <f>AVERAGE(L25:L29)</f>
        <v>8.5504559583315324E-3</v>
      </c>
      <c r="M41" s="48">
        <f>AVERAGE(M25:M29)</f>
        <v>3.1942489270502868E-2</v>
      </c>
      <c r="AH41" s="48">
        <f>AVERAGE(AH25:AH29)</f>
        <v>4.3608314302224886E-2</v>
      </c>
      <c r="AI41" s="48">
        <f>AVERAGE(AI25:AI29)</f>
        <v>1.1665825031722022E-2</v>
      </c>
      <c r="AJ41" s="48">
        <f>AVERAGE(AJ25:AJ29)</f>
        <v>8.5504559583315324E-3</v>
      </c>
      <c r="AK41" s="48">
        <f>AVERAGE(AK25:AK29)</f>
        <v>3.1942489270502868E-2</v>
      </c>
      <c r="BE41" s="71">
        <f t="shared" si="12"/>
        <v>1</v>
      </c>
      <c r="BH41" s="151">
        <f>AVERAGE(BH25:BH29)</f>
        <v>0</v>
      </c>
      <c r="BJ41" s="71">
        <f>AVERAGE(BJ25:BJ29)</f>
        <v>0</v>
      </c>
      <c r="BK41" s="71">
        <f>AVERAGE(BK25:BK29)</f>
        <v>0</v>
      </c>
      <c r="BL41" s="71">
        <f>AVERAGE(BL25:BL29)</f>
        <v>0</v>
      </c>
      <c r="BM41" s="71">
        <f>AVERAGE(BM25:BM29)</f>
        <v>0</v>
      </c>
      <c r="BN41" s="71">
        <f>AVERAGE(BN25:BN29)</f>
        <v>0</v>
      </c>
      <c r="BP41" s="71">
        <f>AVERAGE(BP25:BP29)</f>
        <v>0</v>
      </c>
      <c r="BQ41" s="71">
        <f>AVERAGE(BQ25:BQ29)</f>
        <v>0</v>
      </c>
      <c r="BR41" s="71">
        <f>AVERAGE(BR25:BR29)</f>
        <v>0</v>
      </c>
      <c r="BS41" s="71">
        <f>AVERAGE(BS25:BS29)</f>
        <v>0</v>
      </c>
      <c r="BT41" s="71">
        <f>AVERAGE(BT25:BT29)</f>
        <v>0</v>
      </c>
    </row>
    <row r="42" spans="1:72" x14ac:dyDescent="0.3">
      <c r="B42" s="47" t="s">
        <v>18</v>
      </c>
      <c r="J42" s="48">
        <f>AVERAGE(J30:J39)</f>
        <v>3.5735184807861045E-2</v>
      </c>
      <c r="K42" s="48">
        <f>AVERAGE(K30:K39)</f>
        <v>1.8257360878665002E-2</v>
      </c>
      <c r="L42" s="48">
        <f>AVERAGE(L30:L39)</f>
        <v>1.3750167956309159E-2</v>
      </c>
      <c r="M42" s="48">
        <f>AVERAGE(M30:M39)</f>
        <v>1.7477823929196043E-2</v>
      </c>
      <c r="AH42" s="48">
        <f>AVERAGE(AH30:AH39)</f>
        <v>3.5735184807861045E-2</v>
      </c>
      <c r="AI42" s="48">
        <f>AVERAGE(AI30:AI39)</f>
        <v>1.8257360878665002E-2</v>
      </c>
      <c r="AJ42" s="48">
        <f>AVERAGE(AJ30:AJ39)</f>
        <v>1.3750167956309159E-2</v>
      </c>
      <c r="AK42" s="48">
        <f>AVERAGE(AK30:AK39)</f>
        <v>1.7477823929196043E-2</v>
      </c>
      <c r="BE42" s="71">
        <f t="shared" si="12"/>
        <v>1</v>
      </c>
      <c r="BH42" s="151">
        <f>AVERAGE(BH30:BH39)</f>
        <v>0</v>
      </c>
      <c r="BJ42" s="71">
        <f>AVERAGE(BJ30:BJ39)</f>
        <v>0</v>
      </c>
      <c r="BK42" s="71">
        <f>AVERAGE(BK30:BK39)</f>
        <v>0</v>
      </c>
      <c r="BL42" s="71">
        <f>AVERAGE(BL30:BL39)</f>
        <v>0</v>
      </c>
      <c r="BM42" s="71">
        <f>AVERAGE(BM30:BM39)</f>
        <v>0</v>
      </c>
      <c r="BN42" s="71">
        <f>AVERAGE(BN30:BN39)</f>
        <v>0</v>
      </c>
      <c r="BP42" s="71">
        <f>AVERAGE(BP30:BP39)</f>
        <v>0</v>
      </c>
      <c r="BQ42" s="71">
        <f>AVERAGE(BQ30:BQ39)</f>
        <v>0</v>
      </c>
      <c r="BR42" s="71">
        <f>AVERAGE(BR30:BR39)</f>
        <v>0</v>
      </c>
      <c r="BS42" s="71">
        <f>AVERAGE(BS30:BS39)</f>
        <v>0</v>
      </c>
      <c r="BT42" s="71">
        <f>AVERAGE(BT30:BT39)</f>
        <v>0</v>
      </c>
    </row>
    <row r="43" spans="1:72" x14ac:dyDescent="0.3">
      <c r="B43" s="47" t="s">
        <v>19</v>
      </c>
      <c r="J43" s="48">
        <f>AVERAGE(J5:J39)</f>
        <v>2.7830869766955788E-2</v>
      </c>
      <c r="K43" s="48">
        <f>AVERAGE(K5:K39)</f>
        <v>1.2448177191463378E-2</v>
      </c>
      <c r="L43" s="48">
        <f>AVERAGE(L5:L39)</f>
        <v>9.0733414695615619E-3</v>
      </c>
      <c r="M43" s="48">
        <f>AVERAGE(M5:M39)</f>
        <v>1.5382692575492407E-2</v>
      </c>
      <c r="AH43" s="48">
        <f>AVERAGE(AH5:AH39)</f>
        <v>2.7830869766955788E-2</v>
      </c>
      <c r="AI43" s="48">
        <f>AVERAGE(AI5:AI39)</f>
        <v>1.2448177191463378E-2</v>
      </c>
      <c r="AJ43" s="48">
        <f>AVERAGE(AJ5:AJ39)</f>
        <v>9.0733414695615619E-3</v>
      </c>
      <c r="AK43" s="48">
        <f>AVERAGE(AK5:AK39)</f>
        <v>1.5382692575492407E-2</v>
      </c>
      <c r="BE43" s="71">
        <f t="shared" si="12"/>
        <v>1</v>
      </c>
      <c r="BH43" s="151">
        <f>AVERAGE(BH5:BH39)</f>
        <v>0</v>
      </c>
      <c r="BJ43" s="71">
        <f>AVERAGE(BJ5:BJ39)</f>
        <v>0</v>
      </c>
      <c r="BK43" s="71">
        <f>AVERAGE(BK5:BK39)</f>
        <v>0</v>
      </c>
      <c r="BL43" s="71">
        <f>AVERAGE(BL5:BL39)</f>
        <v>0</v>
      </c>
      <c r="BM43" s="71">
        <f>AVERAGE(BM5:BM39)</f>
        <v>0</v>
      </c>
      <c r="BN43" s="71">
        <f>AVERAGE(BN5:BN39)</f>
        <v>0</v>
      </c>
      <c r="BP43" s="71">
        <f>AVERAGE(BP5:BP39)</f>
        <v>0</v>
      </c>
      <c r="BQ43" s="71">
        <f>AVERAGE(BQ5:BQ39)</f>
        <v>0</v>
      </c>
      <c r="BR43" s="71">
        <f>AVERAGE(BR5:BR39)</f>
        <v>0</v>
      </c>
      <c r="BS43" s="71">
        <f>AVERAGE(BS5:BS39)</f>
        <v>0</v>
      </c>
      <c r="BT43" s="71">
        <f>AVERAGE(BT5:BT39)</f>
        <v>0</v>
      </c>
    </row>
    <row r="44" spans="1:72" hidden="1" outlineLevel="2" x14ac:dyDescent="0.3">
      <c r="A44" s="47" t="s">
        <v>241</v>
      </c>
      <c r="B44" s="47" t="s">
        <v>242</v>
      </c>
      <c r="AB44" s="49">
        <f>SUM(AB5:AB24,AB25:AB29,AB30:AB39)</f>
        <v>185035.6</v>
      </c>
      <c r="AC44" s="49">
        <f>SUM(AC5:AC24,AC25:AC29,AC30:AC39)</f>
        <v>449871.72000000003</v>
      </c>
      <c r="AD44" s="49">
        <f>SUM(AD5:AD24,AD25:AD29,AD30:AD39)</f>
        <v>450.81299999999999</v>
      </c>
      <c r="AE44" s="49">
        <f>SUM(AE5:AE24,AE25:AE29,AE30:AE39)</f>
        <v>2091.1680000000001</v>
      </c>
      <c r="AZ44" s="49">
        <f>SUM(AZ5:AZ24,AZ25:AZ29,AZ30:AZ39)</f>
        <v>158742.32999999999</v>
      </c>
      <c r="BA44" s="49">
        <f>SUM(BA5:BA24,BA25:BA29,BA30:BA39)</f>
        <v>352197.42</v>
      </c>
      <c r="BB44" s="49">
        <f>SUM(BB5:BB24,BB25:BB29,BB30:BB39)</f>
        <v>393.01400000000007</v>
      </c>
      <c r="BC44" s="49">
        <f>SUM(BC5:BC24,BC25:BC29,BC30:BC39)</f>
        <v>1752.4969999999998</v>
      </c>
    </row>
    <row r="45" spans="1:72" hidden="1" outlineLevel="2" x14ac:dyDescent="0.3">
      <c r="B45" s="47" t="s">
        <v>243</v>
      </c>
      <c r="AZ45" s="151">
        <f>AZ44/AB44</f>
        <v>0.85790156056456157</v>
      </c>
      <c r="BA45" s="151">
        <f>BA44/AC44</f>
        <v>0.78288410749624349</v>
      </c>
      <c r="BB45" s="151">
        <f>BB44/AD44</f>
        <v>0.87178941157420053</v>
      </c>
      <c r="BC45" s="151">
        <f>BC44/AE44</f>
        <v>0.83804696705381865</v>
      </c>
    </row>
    <row r="46" spans="1:72" hidden="1" outlineLevel="2" x14ac:dyDescent="0.3">
      <c r="B46" s="47" t="s">
        <v>244</v>
      </c>
      <c r="AB46" s="49">
        <f>GEOMEAN(AB5:AB24,AB25:AB29,AB30:AB39)</f>
        <v>4487.8975525586948</v>
      </c>
      <c r="AC46" s="49">
        <f>GEOMEAN(AC5:AC24,AC25:AC29,AC30:AC39)</f>
        <v>9892.288826869828</v>
      </c>
      <c r="AD46" s="49">
        <f>GEOMEAN(AD5:AD24,AD25:AD29,AD30:AD39)</f>
        <v>11.044636713043801</v>
      </c>
      <c r="AE46" s="49">
        <f>GEOMEAN(AE5:AE24,AE25:AE29,AE30:AE39)</f>
        <v>46.529264385799102</v>
      </c>
      <c r="AZ46" s="49">
        <f>GEOMEAN(AZ5:AZ24,AZ25:AZ29,AZ30:AZ39)</f>
        <v>3863.3105279935762</v>
      </c>
      <c r="BA46" s="49">
        <f>GEOMEAN(BA5:BA24,BA25:BA29,BA30:BA39)</f>
        <v>7762.8844232165893</v>
      </c>
      <c r="BB46" s="49">
        <f>GEOMEAN(BB5:BB24,BB25:BB29,BB30:BB39)</f>
        <v>9.6319654242808941</v>
      </c>
      <c r="BC46" s="49">
        <f>GEOMEAN(BC5:BC24,BC25:BC29,BC30:BC39)</f>
        <v>39.337153920307657</v>
      </c>
    </row>
    <row r="47" spans="1:72" outlineLevel="2" collapsed="1" x14ac:dyDescent="0.3">
      <c r="B47" s="47" t="s">
        <v>245</v>
      </c>
      <c r="AZ47" s="151">
        <f>AZ46/AB46</f>
        <v>0.86082859128345712</v>
      </c>
      <c r="BA47" s="151">
        <f>BA46/AC46</f>
        <v>0.78474097947188259</v>
      </c>
      <c r="BB47" s="151">
        <f>BB46/AD46</f>
        <v>0.87209436349368274</v>
      </c>
      <c r="BC47" s="151">
        <f>BC46/AE46</f>
        <v>0.84542823617717666</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81" priority="17" operator="greaterThanOrEqual">
      <formula>1.03</formula>
    </cfRule>
    <cfRule type="cellIs" dxfId="8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79" priority="1" operator="greaterThanOrEqual">
      <formula>0.03</formula>
    </cfRule>
    <cfRule type="cellIs" dxfId="7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77" priority="3" operator="greaterThanOrEqual">
      <formula>0.03</formula>
    </cfRule>
    <cfRule type="cellIs" dxfId="7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75" priority="19" operator="greaterThanOrEqual">
      <formula>0.03</formula>
    </cfRule>
    <cfRule type="cellIs" dxfId="7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73" priority="9" operator="greaterThanOrEqual">
      <formula>0.03</formula>
    </cfRule>
    <cfRule type="cellIs" dxfId="7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71" priority="7" operator="greaterThanOrEqual">
      <formula>0.03</formula>
    </cfRule>
    <cfRule type="cellIs" dxfId="7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69" priority="21" operator="greaterThanOrEqual">
      <formula>0.03</formula>
    </cfRule>
    <cfRule type="cellIs" dxfId="6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67" priority="11" operator="greaterThanOrEqual">
      <formula>0.03</formula>
    </cfRule>
    <cfRule type="cellIs" dxfId="6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65" priority="15" operator="greaterThanOrEqual">
      <formula>0.03</formula>
    </cfRule>
    <cfRule type="cellIs" dxfId="6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63" priority="13" operator="greaterThanOrEqual">
      <formula>0.03</formula>
    </cfRule>
    <cfRule type="cellIs" dxfId="6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61" priority="5" operator="greaterThanOrEqual">
      <formula>0.03</formula>
    </cfRule>
    <cfRule type="cellIs" dxfId="60" priority="6" operator="lessThanOrEqual">
      <formula>-0.03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V60"/>
  <sheetViews>
    <sheetView workbookViewId="0">
      <selection activeCell="I16" sqref="I16"/>
    </sheetView>
  </sheetViews>
  <sheetFormatPr defaultRowHeight="14.4" x14ac:dyDescent="0.3"/>
  <cols>
    <col min="1" max="1" width="8.88671875" style="76" customWidth="1"/>
    <col min="2" max="2" width="3" style="76" customWidth="1"/>
    <col min="3" max="3" width="7.109375" style="76" customWidth="1"/>
    <col min="20" max="22" width="8.88671875" style="76" customWidth="1"/>
  </cols>
  <sheetData>
    <row r="1" spans="2:21" ht="15" customHeight="1" thickBot="1" x14ac:dyDescent="0.35"/>
    <row r="2" spans="2:21" ht="15" customHeight="1" thickBot="1" x14ac:dyDescent="0.35">
      <c r="B2" s="175" t="s">
        <v>141</v>
      </c>
      <c r="C2" s="177" t="s">
        <v>578</v>
      </c>
      <c r="D2" s="181" t="s">
        <v>579</v>
      </c>
      <c r="E2" s="172"/>
      <c r="F2" s="172"/>
      <c r="G2" s="173"/>
      <c r="H2" s="171" t="s">
        <v>580</v>
      </c>
      <c r="I2" s="172"/>
      <c r="J2" s="172"/>
      <c r="K2" s="173"/>
      <c r="L2" s="181" t="s">
        <v>581</v>
      </c>
      <c r="M2" s="172"/>
      <c r="N2" s="172"/>
      <c r="O2" s="172"/>
      <c r="P2" s="173"/>
      <c r="Q2" s="171" t="s">
        <v>582</v>
      </c>
      <c r="R2" s="172"/>
      <c r="S2" s="172"/>
      <c r="T2" s="172"/>
      <c r="U2" s="173"/>
    </row>
    <row r="3" spans="2:21" x14ac:dyDescent="0.3">
      <c r="B3" s="187"/>
      <c r="C3" s="188"/>
      <c r="D3" s="182" t="s">
        <v>24</v>
      </c>
      <c r="E3" s="183"/>
      <c r="F3" s="183"/>
      <c r="G3" s="180"/>
      <c r="H3" s="184" t="s">
        <v>24</v>
      </c>
      <c r="I3" s="183"/>
      <c r="J3" s="183"/>
      <c r="K3" s="180"/>
      <c r="L3" s="185" t="s">
        <v>9</v>
      </c>
      <c r="M3" s="161"/>
      <c r="N3" s="182" t="s">
        <v>10</v>
      </c>
      <c r="O3" s="183"/>
      <c r="P3" s="180"/>
      <c r="Q3" s="186" t="s">
        <v>9</v>
      </c>
      <c r="R3" s="183"/>
      <c r="S3" s="182" t="s">
        <v>10</v>
      </c>
      <c r="T3" s="183"/>
      <c r="U3" s="180"/>
    </row>
    <row r="4" spans="2:21" ht="15" customHeight="1" thickBot="1" x14ac:dyDescent="0.35">
      <c r="B4" s="176"/>
      <c r="C4" s="178"/>
      <c r="D4" s="152" t="s">
        <v>27</v>
      </c>
      <c r="E4" s="152" t="s">
        <v>583</v>
      </c>
      <c r="F4" s="152" t="s">
        <v>584</v>
      </c>
      <c r="G4" s="152" t="s">
        <v>26</v>
      </c>
      <c r="H4" s="77" t="s">
        <v>27</v>
      </c>
      <c r="I4" s="152" t="s">
        <v>583</v>
      </c>
      <c r="J4" s="152" t="s">
        <v>584</v>
      </c>
      <c r="K4" s="78" t="s">
        <v>26</v>
      </c>
      <c r="L4" s="79" t="s">
        <v>11</v>
      </c>
      <c r="M4" s="79" t="s">
        <v>12</v>
      </c>
      <c r="N4" s="79" t="s">
        <v>13</v>
      </c>
      <c r="O4" s="79" t="s">
        <v>585</v>
      </c>
      <c r="P4" s="51" t="s">
        <v>586</v>
      </c>
      <c r="Q4" s="50" t="s">
        <v>11</v>
      </c>
      <c r="R4" s="79" t="s">
        <v>12</v>
      </c>
      <c r="S4" s="79" t="s">
        <v>13</v>
      </c>
      <c r="T4" s="79" t="s">
        <v>587</v>
      </c>
      <c r="U4" s="51" t="s">
        <v>586</v>
      </c>
    </row>
    <row r="5" spans="2:21" x14ac:dyDescent="0.3">
      <c r="B5" s="52" t="s">
        <v>588</v>
      </c>
      <c r="C5" s="80" t="s">
        <v>589</v>
      </c>
      <c r="D5" s="62">
        <f>'CW losslG,losslA,intra'!BB5</f>
        <v>1</v>
      </c>
      <c r="E5" s="62">
        <f>'CW losslG,losslA,intra'!BC5</f>
        <v>1</v>
      </c>
      <c r="F5" s="62">
        <f>'CW losslG,losslA,intra'!BD5</f>
        <v>1</v>
      </c>
      <c r="G5" s="62">
        <f>'CW losslG,losslA,intra'!BE5</f>
        <v>1</v>
      </c>
      <c r="H5" s="61">
        <f>'CW losslG,losslA,interLD'!BB5</f>
        <v>1</v>
      </c>
      <c r="I5" s="62">
        <f>'CW losslG,losslA,interLD'!BC5</f>
        <v>1</v>
      </c>
      <c r="J5" s="62">
        <f>'CW losslG,losslA,interLD'!BD5</f>
        <v>1</v>
      </c>
      <c r="K5" s="63">
        <f>'CW losslG,losslA,interLD'!BE5</f>
        <v>1</v>
      </c>
      <c r="L5" s="54">
        <f>'C2 lossyG,lossyA,intra'!BP5</f>
        <v>0</v>
      </c>
      <c r="M5" s="54">
        <f>'C2 lossyG,lossyA,intra'!BQ5</f>
        <v>0</v>
      </c>
      <c r="N5" s="54">
        <f>'C2 lossyG,lossyA,intra'!BR5</f>
        <v>0</v>
      </c>
      <c r="O5" s="54">
        <f>'C2 lossyG,lossyA,intra'!BS5</f>
        <v>0</v>
      </c>
      <c r="P5" s="55">
        <f>'C2 lossyG,lossyA,intra'!BT5</f>
        <v>0</v>
      </c>
      <c r="Q5" s="53">
        <f>'C2 lossyG,lossyA,interRA'!BP5</f>
        <v>0</v>
      </c>
      <c r="R5" s="54">
        <f>'C2 lossyG,lossyA,interRA'!BQ5</f>
        <v>0</v>
      </c>
      <c r="S5" s="54">
        <f>'C2 lossyG,lossyA,interRA'!BR5</f>
        <v>0</v>
      </c>
      <c r="T5" s="54">
        <f>'C2 lossyG,lossyA,interRA'!BS5</f>
        <v>0</v>
      </c>
      <c r="U5" s="55">
        <f>'C2 lossyG,lossyA,interRA'!BT5</f>
        <v>0</v>
      </c>
    </row>
    <row r="6" spans="2:21" x14ac:dyDescent="0.3">
      <c r="B6" s="56"/>
      <c r="C6" s="81" t="s">
        <v>590</v>
      </c>
      <c r="D6" s="58">
        <f>'CW losslG,losslA,intra'!BB6</f>
        <v>1</v>
      </c>
      <c r="E6" s="58">
        <f>'CW losslG,losslA,intra'!BC6</f>
        <v>1</v>
      </c>
      <c r="F6" s="58">
        <f>'CW losslG,losslA,intra'!BD6</f>
        <v>1</v>
      </c>
      <c r="G6" s="58">
        <f>'CW losslG,losslA,intra'!BE6</f>
        <v>1</v>
      </c>
      <c r="H6" s="57">
        <f>'CW losslG,losslA,interLD'!BB6</f>
        <v>1</v>
      </c>
      <c r="I6" s="58">
        <f>'CW losslG,losslA,interLD'!BC6</f>
        <v>1</v>
      </c>
      <c r="J6" s="58">
        <f>'CW losslG,losslA,interLD'!BD6</f>
        <v>1</v>
      </c>
      <c r="K6" s="59">
        <f>'CW losslG,losslA,interLD'!BE6</f>
        <v>1</v>
      </c>
      <c r="L6" s="58">
        <f>'C2 lossyG,lossyA,intra'!BP10</f>
        <v>0</v>
      </c>
      <c r="M6" s="58">
        <f>'C2 lossyG,lossyA,intra'!BQ10</f>
        <v>0</v>
      </c>
      <c r="N6" s="58">
        <f>'C2 lossyG,lossyA,intra'!BR10</f>
        <v>0</v>
      </c>
      <c r="O6" s="58">
        <f>'C2 lossyG,lossyA,intra'!BS10</f>
        <v>0</v>
      </c>
      <c r="P6" s="59">
        <f>'C2 lossyG,lossyA,intra'!BT10</f>
        <v>0</v>
      </c>
      <c r="Q6" s="57">
        <f>'C2 lossyG,lossyA,interRA'!BP10</f>
        <v>0</v>
      </c>
      <c r="R6" s="58">
        <f>'C2 lossyG,lossyA,interRA'!BQ10</f>
        <v>0</v>
      </c>
      <c r="S6" s="58">
        <f>'C2 lossyG,lossyA,interRA'!BR10</f>
        <v>0</v>
      </c>
      <c r="T6" s="58">
        <f>'C2 lossyG,lossyA,interRA'!BS10</f>
        <v>0</v>
      </c>
      <c r="U6" s="59">
        <f>'C2 lossyG,lossyA,interRA'!BT10</f>
        <v>0</v>
      </c>
    </row>
    <row r="7" spans="2:21" x14ac:dyDescent="0.3">
      <c r="B7" s="60"/>
      <c r="C7" s="82" t="s">
        <v>591</v>
      </c>
      <c r="D7" s="62">
        <f>'CW losslG,losslA,intra'!BB7</f>
        <v>1</v>
      </c>
      <c r="E7" s="62">
        <f>'CW losslG,losslA,intra'!BC7</f>
        <v>1</v>
      </c>
      <c r="F7" s="62">
        <f>'CW losslG,losslA,intra'!BD7</f>
        <v>1</v>
      </c>
      <c r="G7" s="62">
        <f>'CW losslG,losslA,intra'!BE7</f>
        <v>1</v>
      </c>
      <c r="H7" s="61">
        <f>'CW losslG,losslA,interLD'!BB7</f>
        <v>1</v>
      </c>
      <c r="I7" s="62">
        <f>'CW losslG,losslA,interLD'!BC7</f>
        <v>1</v>
      </c>
      <c r="J7" s="62">
        <f>'CW losslG,losslA,interLD'!BD7</f>
        <v>1</v>
      </c>
      <c r="K7" s="63">
        <f>'CW losslG,losslA,interLD'!BE7</f>
        <v>1</v>
      </c>
      <c r="L7" s="62">
        <f>'C2 lossyG,lossyA,intra'!BP15</f>
        <v>0</v>
      </c>
      <c r="M7" s="62">
        <f>'C2 lossyG,lossyA,intra'!BQ15</f>
        <v>0</v>
      </c>
      <c r="N7" s="62">
        <f>'C2 lossyG,lossyA,intra'!BR15</f>
        <v>0</v>
      </c>
      <c r="O7" s="62">
        <f>'C2 lossyG,lossyA,intra'!BS15</f>
        <v>0</v>
      </c>
      <c r="P7" s="63">
        <f>'C2 lossyG,lossyA,intra'!BT15</f>
        <v>0</v>
      </c>
      <c r="Q7" s="61">
        <f>'C2 lossyG,lossyA,interRA'!BP15</f>
        <v>0</v>
      </c>
      <c r="R7" s="62">
        <f>'C2 lossyG,lossyA,interRA'!BQ15</f>
        <v>0</v>
      </c>
      <c r="S7" s="62">
        <f>'C2 lossyG,lossyA,interRA'!BR15</f>
        <v>0</v>
      </c>
      <c r="T7" s="62">
        <f>'C2 lossyG,lossyA,interRA'!BS15</f>
        <v>0</v>
      </c>
      <c r="U7" s="63">
        <f>'C2 lossyG,lossyA,interRA'!BT15</f>
        <v>0</v>
      </c>
    </row>
    <row r="8" spans="2:21" ht="15" customHeight="1" thickBot="1" x14ac:dyDescent="0.35">
      <c r="B8" s="64"/>
      <c r="C8" s="83" t="s">
        <v>592</v>
      </c>
      <c r="D8" s="45">
        <f>'CW losslG,losslA,intra'!BB8</f>
        <v>1</v>
      </c>
      <c r="E8" s="45">
        <f>'CW losslG,losslA,intra'!BC8</f>
        <v>1</v>
      </c>
      <c r="F8" s="45">
        <f>'CW losslG,losslA,intra'!BD8</f>
        <v>1</v>
      </c>
      <c r="G8" s="45">
        <f>'CW losslG,losslA,intra'!BE8</f>
        <v>1</v>
      </c>
      <c r="H8" s="65">
        <f>'CW losslG,losslA,interLD'!BB8</f>
        <v>1</v>
      </c>
      <c r="I8" s="45">
        <f>'CW losslG,losslA,interLD'!BC8</f>
        <v>1</v>
      </c>
      <c r="J8" s="45">
        <f>'CW losslG,losslA,interLD'!BD8</f>
        <v>1</v>
      </c>
      <c r="K8" s="66">
        <f>'CW losslG,losslA,interLD'!BE8</f>
        <v>1</v>
      </c>
      <c r="L8" s="45">
        <f>'C2 lossyG,lossyA,intra'!BP20</f>
        <v>0</v>
      </c>
      <c r="M8" s="45">
        <f>'C2 lossyG,lossyA,intra'!BQ20</f>
        <v>0</v>
      </c>
      <c r="N8" s="45">
        <f>'C2 lossyG,lossyA,intra'!BR20</f>
        <v>0</v>
      </c>
      <c r="O8" s="45">
        <f>'C2 lossyG,lossyA,intra'!BS20</f>
        <v>0</v>
      </c>
      <c r="P8" s="66">
        <f>'C2 lossyG,lossyA,intra'!BT20</f>
        <v>0</v>
      </c>
      <c r="Q8" s="65">
        <f>'C2 lossyG,lossyA,interRA'!BP20</f>
        <v>0</v>
      </c>
      <c r="R8" s="45">
        <f>'C2 lossyG,lossyA,interRA'!BQ20</f>
        <v>0</v>
      </c>
      <c r="S8" s="45">
        <f>'C2 lossyG,lossyA,interRA'!BR20</f>
        <v>0</v>
      </c>
      <c r="T8" s="45">
        <f>'C2 lossyG,lossyA,interRA'!BS20</f>
        <v>0</v>
      </c>
      <c r="U8" s="66">
        <f>'C2 lossyG,lossyA,interRA'!BT20</f>
        <v>0</v>
      </c>
    </row>
    <row r="9" spans="2:21" ht="15" customHeight="1" thickBot="1" x14ac:dyDescent="0.35">
      <c r="B9" s="67" t="s">
        <v>593</v>
      </c>
      <c r="C9" s="84" t="s">
        <v>594</v>
      </c>
      <c r="D9" s="35">
        <f>'CW losslG,losslA,intra'!BB9</f>
        <v>1</v>
      </c>
      <c r="E9" s="35">
        <f>'CW losslG,losslA,intra'!BC9</f>
        <v>1</v>
      </c>
      <c r="F9" s="35">
        <f>'CW losslG,losslA,intra'!BD9</f>
        <v>1</v>
      </c>
      <c r="G9" s="35">
        <f>'CW losslG,losslA,intra'!BE9</f>
        <v>1</v>
      </c>
      <c r="H9" s="68">
        <f>'CW losslG,losslA,interLD'!BB9</f>
        <v>1</v>
      </c>
      <c r="I9" s="35">
        <f>'CW losslG,losslA,interLD'!BC9</f>
        <v>1</v>
      </c>
      <c r="J9" s="35">
        <f>'CW losslG,losslA,interLD'!BD9</f>
        <v>1</v>
      </c>
      <c r="K9" s="69">
        <f>'CW losslG,losslA,interLD'!BE9</f>
        <v>1</v>
      </c>
      <c r="L9" s="85">
        <f>'C2 lossyG,lossyA,intra'!BP25</f>
        <v>0</v>
      </c>
      <c r="M9" s="85">
        <f>'C2 lossyG,lossyA,intra'!BQ25</f>
        <v>0</v>
      </c>
      <c r="N9" s="85">
        <f>'C2 lossyG,lossyA,intra'!BR25</f>
        <v>0</v>
      </c>
      <c r="O9" s="85">
        <f>'C2 lossyG,lossyA,intra'!BS25</f>
        <v>0</v>
      </c>
      <c r="P9" s="86">
        <f>'C2 lossyG,lossyA,intra'!BT25</f>
        <v>0</v>
      </c>
      <c r="Q9" s="68">
        <f>'C2 lossyG,lossyA,interRA'!BP25</f>
        <v>0</v>
      </c>
      <c r="R9" s="35">
        <f>'C2 lossyG,lossyA,interRA'!BQ25</f>
        <v>0</v>
      </c>
      <c r="S9" s="35">
        <f>'C2 lossyG,lossyA,interRA'!BR25</f>
        <v>0</v>
      </c>
      <c r="T9" s="35">
        <f>'C2 lossyG,lossyA,interRA'!BS25</f>
        <v>0</v>
      </c>
      <c r="U9" s="69">
        <f>'C2 lossyG,lossyA,interRA'!BT25</f>
        <v>0</v>
      </c>
    </row>
    <row r="10" spans="2:21" x14ac:dyDescent="0.3">
      <c r="B10" s="52" t="s">
        <v>595</v>
      </c>
      <c r="C10" s="80" t="s">
        <v>596</v>
      </c>
      <c r="D10" s="58">
        <f>'CW losslG,losslA,intra'!BB10</f>
        <v>1</v>
      </c>
      <c r="E10" s="58">
        <f>'CW losslG,losslA,intra'!BC10</f>
        <v>1</v>
      </c>
      <c r="F10" s="58">
        <f>'CW losslG,losslA,intra'!BD10</f>
        <v>1</v>
      </c>
      <c r="G10" s="58">
        <f>'CW losslG,losslA,intra'!BE10</f>
        <v>1</v>
      </c>
      <c r="H10" s="57">
        <f>'CW losslG,losslA,interLD'!BB10</f>
        <v>1</v>
      </c>
      <c r="I10" s="58">
        <f>'CW losslG,losslA,interLD'!BC10</f>
        <v>1</v>
      </c>
      <c r="J10" s="58">
        <f>'CW losslG,losslA,interLD'!BD10</f>
        <v>1</v>
      </c>
      <c r="K10" s="59">
        <f>'CW losslG,losslA,interLD'!BE10</f>
        <v>1</v>
      </c>
      <c r="L10" s="54">
        <f>'C2 lossyG,lossyA,intra'!BP30</f>
        <v>0</v>
      </c>
      <c r="M10" s="54">
        <f>'C2 lossyG,lossyA,intra'!BQ30</f>
        <v>0</v>
      </c>
      <c r="N10" s="54">
        <f>'C2 lossyG,lossyA,intra'!BR30</f>
        <v>0</v>
      </c>
      <c r="O10" s="54">
        <f>'C2 lossyG,lossyA,intra'!BS30</f>
        <v>0</v>
      </c>
      <c r="P10" s="55">
        <f>'C2 lossyG,lossyA,intra'!BT30</f>
        <v>0</v>
      </c>
      <c r="Q10" s="53">
        <f>'C2 lossyG,lossyA,interRA'!BP30</f>
        <v>0</v>
      </c>
      <c r="R10" s="54">
        <f>'C2 lossyG,lossyA,interRA'!BQ30</f>
        <v>0</v>
      </c>
      <c r="S10" s="54">
        <f>'C2 lossyG,lossyA,interRA'!BR30</f>
        <v>0</v>
      </c>
      <c r="T10" s="54">
        <f>'C2 lossyG,lossyA,interRA'!BS30</f>
        <v>0</v>
      </c>
      <c r="U10" s="55">
        <f>'C2 lossyG,lossyA,interRA'!BT30</f>
        <v>0</v>
      </c>
    </row>
    <row r="11" spans="2:21" ht="15" customHeight="1" thickBot="1" x14ac:dyDescent="0.35">
      <c r="B11" s="67"/>
      <c r="C11" s="84" t="s">
        <v>597</v>
      </c>
      <c r="D11" s="35">
        <f>'CW losslG,losslA,intra'!BB11</f>
        <v>1</v>
      </c>
      <c r="E11" s="35">
        <f>'CW losslG,losslA,intra'!BC11</f>
        <v>1</v>
      </c>
      <c r="F11" s="35">
        <f>'CW losslG,losslA,intra'!BD11</f>
        <v>1</v>
      </c>
      <c r="G11" s="35">
        <f>'CW losslG,losslA,intra'!BE11</f>
        <v>1</v>
      </c>
      <c r="H11" s="68">
        <f>'CW losslG,losslA,interLD'!BB11</f>
        <v>1</v>
      </c>
      <c r="I11" s="35">
        <f>'CW losslG,losslA,interLD'!BC11</f>
        <v>1</v>
      </c>
      <c r="J11" s="35">
        <f>'CW losslG,losslA,interLD'!BD11</f>
        <v>1</v>
      </c>
      <c r="K11" s="69">
        <f>'CW losslG,losslA,interLD'!BE11</f>
        <v>1</v>
      </c>
      <c r="L11" s="35">
        <f>'C2 lossyG,lossyA,intra'!BP35</f>
        <v>0</v>
      </c>
      <c r="M11" s="35">
        <f>'C2 lossyG,lossyA,intra'!BQ35</f>
        <v>0</v>
      </c>
      <c r="N11" s="35">
        <f>'C2 lossyG,lossyA,intra'!BR35</f>
        <v>0</v>
      </c>
      <c r="O11" s="35">
        <f>'C2 lossyG,lossyA,intra'!BS35</f>
        <v>0</v>
      </c>
      <c r="P11" s="69">
        <f>'C2 lossyG,lossyA,intra'!BT35</f>
        <v>0</v>
      </c>
      <c r="Q11" s="68">
        <f>'C2 lossyG,lossyA,interRA'!BP35</f>
        <v>0</v>
      </c>
      <c r="R11" s="35">
        <f>'C2 lossyG,lossyA,interRA'!BQ35</f>
        <v>0</v>
      </c>
      <c r="S11" s="35">
        <f>'C2 lossyG,lossyA,interRA'!BR35</f>
        <v>0</v>
      </c>
      <c r="T11" s="35">
        <f>'C2 lossyG,lossyA,interRA'!BS35</f>
        <v>0</v>
      </c>
      <c r="U11" s="69">
        <f>'C2 lossyG,lossyA,interRA'!BT35</f>
        <v>0</v>
      </c>
    </row>
    <row r="12" spans="2:21" x14ac:dyDescent="0.3">
      <c r="B12" s="189" t="s">
        <v>598</v>
      </c>
      <c r="C12" s="188"/>
      <c r="D12" s="87">
        <f>'CW losslG,losslA,intra'!BB12</f>
        <v>1</v>
      </c>
      <c r="E12" s="88">
        <f>'CW losslG,losslA,intra'!BC12</f>
        <v>1</v>
      </c>
      <c r="F12" s="88">
        <f>'CW losslG,losslA,intra'!BD12</f>
        <v>1</v>
      </c>
      <c r="G12" s="88">
        <f>'CW losslG,losslA,intra'!BE12</f>
        <v>1</v>
      </c>
      <c r="H12" s="87">
        <f>'CW losslG,losslA,interLD'!BB12</f>
        <v>1</v>
      </c>
      <c r="I12" s="88">
        <f>'CW losslG,losslA,interLD'!BC12</f>
        <v>1</v>
      </c>
      <c r="J12" s="88">
        <f>'CW losslG,losslA,interLD'!BD12</f>
        <v>1</v>
      </c>
      <c r="K12" s="89">
        <f>'CW losslG,losslA,interLD'!BE12</f>
        <v>1</v>
      </c>
      <c r="L12" s="71">
        <f>'C2 lossyG,lossyA,intra'!BP40</f>
        <v>0</v>
      </c>
      <c r="M12" s="71">
        <f>'C2 lossyG,lossyA,intra'!BQ40</f>
        <v>0</v>
      </c>
      <c r="N12" s="71">
        <f>'C2 lossyG,lossyA,intra'!BR40</f>
        <v>0</v>
      </c>
      <c r="O12" s="71">
        <f>'C2 lossyG,lossyA,intra'!BS40</f>
        <v>0</v>
      </c>
      <c r="P12" s="72">
        <f>'C2 lossyG,lossyA,intra'!BT40</f>
        <v>0</v>
      </c>
      <c r="Q12" s="70">
        <f>'C2 lossyG,lossyA,interRA'!BP40</f>
        <v>0</v>
      </c>
      <c r="R12" s="71">
        <f>'C2 lossyG,lossyA,interRA'!BQ40</f>
        <v>0</v>
      </c>
      <c r="S12" s="71">
        <f>'C2 lossyG,lossyA,interRA'!BR40</f>
        <v>0</v>
      </c>
      <c r="T12" s="71">
        <f>'C2 lossyG,lossyA,interRA'!BS40</f>
        <v>0</v>
      </c>
      <c r="U12" s="72">
        <f>'C2 lossyG,lossyA,interRA'!BT40</f>
        <v>0</v>
      </c>
    </row>
    <row r="13" spans="2:21" x14ac:dyDescent="0.3">
      <c r="B13" s="189" t="s">
        <v>599</v>
      </c>
      <c r="C13" s="188"/>
      <c r="D13" s="70">
        <f>'CW losslG,losslA,intra'!BB13</f>
        <v>1</v>
      </c>
      <c r="E13" s="71">
        <f>'CW losslG,losslA,intra'!BC13</f>
        <v>1</v>
      </c>
      <c r="F13" s="71">
        <f>'CW losslG,losslA,intra'!BD13</f>
        <v>1</v>
      </c>
      <c r="G13" s="71">
        <f>'CW losslG,losslA,intra'!BE13</f>
        <v>1</v>
      </c>
      <c r="H13" s="70">
        <f>'CW losslG,losslA,interLD'!BB13</f>
        <v>1</v>
      </c>
      <c r="I13" s="71">
        <f>'CW losslG,losslA,interLD'!BC13</f>
        <v>1</v>
      </c>
      <c r="J13" s="71">
        <f>'CW losslG,losslA,interLD'!BD13</f>
        <v>1</v>
      </c>
      <c r="K13" s="72">
        <f>'CW losslG,losslA,interLD'!BE13</f>
        <v>1</v>
      </c>
      <c r="L13" s="71">
        <f>'C2 lossyG,lossyA,intra'!BP41</f>
        <v>0</v>
      </c>
      <c r="M13" s="71">
        <f>'C2 lossyG,lossyA,intra'!BQ41</f>
        <v>0</v>
      </c>
      <c r="N13" s="71">
        <f>'C2 lossyG,lossyA,intra'!BR41</f>
        <v>0</v>
      </c>
      <c r="O13" s="71">
        <f>'C2 lossyG,lossyA,intra'!BS41</f>
        <v>0</v>
      </c>
      <c r="P13" s="72">
        <f>'C2 lossyG,lossyA,intra'!BT41</f>
        <v>0</v>
      </c>
      <c r="Q13" s="70">
        <f>'C2 lossyG,lossyA,interRA'!BP41</f>
        <v>0</v>
      </c>
      <c r="R13" s="71">
        <f>'C2 lossyG,lossyA,interRA'!BQ41</f>
        <v>0</v>
      </c>
      <c r="S13" s="71">
        <f>'C2 lossyG,lossyA,interRA'!BR41</f>
        <v>0</v>
      </c>
      <c r="T13" s="71">
        <f>'C2 lossyG,lossyA,interRA'!BS41</f>
        <v>0</v>
      </c>
      <c r="U13" s="72">
        <f>'C2 lossyG,lossyA,interRA'!BT41</f>
        <v>0</v>
      </c>
    </row>
    <row r="14" spans="2:21" ht="15" customHeight="1" thickBot="1" x14ac:dyDescent="0.35">
      <c r="B14" s="189" t="s">
        <v>600</v>
      </c>
      <c r="C14" s="188"/>
      <c r="D14" s="73">
        <f>'CW losslG,losslA,intra'!BB14</f>
        <v>1</v>
      </c>
      <c r="E14" s="74">
        <f>'CW losslG,losslA,intra'!BC14</f>
        <v>1</v>
      </c>
      <c r="F14" s="74">
        <f>'CW losslG,losslA,intra'!BD14</f>
        <v>1</v>
      </c>
      <c r="G14" s="74">
        <f>'CW losslG,losslA,intra'!BE14</f>
        <v>1</v>
      </c>
      <c r="H14" s="73">
        <f>'CW losslG,losslA,interLD'!BB14</f>
        <v>1</v>
      </c>
      <c r="I14" s="74">
        <f>'CW losslG,losslA,interLD'!BC14</f>
        <v>1</v>
      </c>
      <c r="J14" s="74">
        <f>'CW losslG,losslA,interLD'!BD14</f>
        <v>1</v>
      </c>
      <c r="K14" s="75">
        <f>'CW losslG,losslA,interLD'!BE14</f>
        <v>1</v>
      </c>
      <c r="L14" s="74">
        <f>'C2 lossyG,lossyA,intra'!BP42</f>
        <v>0</v>
      </c>
      <c r="M14" s="74">
        <f>'C2 lossyG,lossyA,intra'!BQ42</f>
        <v>0</v>
      </c>
      <c r="N14" s="74">
        <f>'C2 lossyG,lossyA,intra'!BR42</f>
        <v>0</v>
      </c>
      <c r="O14" s="74">
        <f>'C2 lossyG,lossyA,intra'!BS42</f>
        <v>0</v>
      </c>
      <c r="P14" s="75">
        <f>'C2 lossyG,lossyA,intra'!BT42</f>
        <v>0</v>
      </c>
      <c r="Q14" s="73">
        <f>'C2 lossyG,lossyA,interRA'!BP42</f>
        <v>0</v>
      </c>
      <c r="R14" s="74">
        <f>'C2 lossyG,lossyA,interRA'!BQ42</f>
        <v>0</v>
      </c>
      <c r="S14" s="74">
        <f>'C2 lossyG,lossyA,interRA'!BR42</f>
        <v>0</v>
      </c>
      <c r="T14" s="74">
        <f>'C2 lossyG,lossyA,interRA'!BS42</f>
        <v>0</v>
      </c>
      <c r="U14" s="75">
        <f>'C2 lossyG,lossyA,interRA'!BT42</f>
        <v>0</v>
      </c>
    </row>
    <row r="15" spans="2:21" ht="15" customHeight="1" thickBot="1" x14ac:dyDescent="0.35">
      <c r="B15" s="190" t="s">
        <v>19</v>
      </c>
      <c r="C15" s="173"/>
      <c r="D15" s="90">
        <f>'CW losslG,losslA,intra'!BB15</f>
        <v>1</v>
      </c>
      <c r="E15" s="91">
        <f>'CW losslG,losslA,intra'!BC15</f>
        <v>1</v>
      </c>
      <c r="F15" s="91">
        <f>'CW losslG,losslA,intra'!BD15</f>
        <v>1</v>
      </c>
      <c r="G15" s="91">
        <f>'CW losslG,losslA,intra'!BE15</f>
        <v>1</v>
      </c>
      <c r="H15" s="90">
        <f>'CW losslG,losslA,interLD'!BB15</f>
        <v>1</v>
      </c>
      <c r="I15" s="91">
        <f>'CW losslG,losslA,interLD'!BC15</f>
        <v>1</v>
      </c>
      <c r="J15" s="91">
        <f>'CW losslG,losslA,interLD'!BD15</f>
        <v>1</v>
      </c>
      <c r="K15" s="92">
        <f>'CW losslG,losslA,interLD'!BE15</f>
        <v>1</v>
      </c>
      <c r="L15" s="91">
        <f>'C2 lossyG,lossyA,intra'!BP43</f>
        <v>0</v>
      </c>
      <c r="M15" s="91">
        <f>'C2 lossyG,lossyA,intra'!BQ43</f>
        <v>0</v>
      </c>
      <c r="N15" s="91">
        <f>'C2 lossyG,lossyA,intra'!BR43</f>
        <v>0</v>
      </c>
      <c r="O15" s="91">
        <f>'C2 lossyG,lossyA,intra'!BS43</f>
        <v>0</v>
      </c>
      <c r="P15" s="91">
        <f>'C2 lossyG,lossyA,intra'!BT43</f>
        <v>0</v>
      </c>
      <c r="Q15" s="90">
        <f>'C2 lossyG,lossyA,interRA'!BP43</f>
        <v>0</v>
      </c>
      <c r="R15" s="91">
        <f>'C2 lossyG,lossyA,interRA'!BQ43</f>
        <v>0</v>
      </c>
      <c r="S15" s="91">
        <f>'C2 lossyG,lossyA,interRA'!BR43</f>
        <v>0</v>
      </c>
      <c r="T15" s="91">
        <f>'C2 lossyG,lossyA,interRA'!BS43</f>
        <v>0</v>
      </c>
      <c r="U15" s="92">
        <f>'C2 lossyG,lossyA,interRA'!BT43</f>
        <v>0</v>
      </c>
    </row>
    <row r="16" spans="2:21" ht="15" customHeight="1" thickBot="1" x14ac:dyDescent="0.35"/>
    <row r="17" spans="3:7" x14ac:dyDescent="0.3">
      <c r="C17" s="104" t="s">
        <v>601</v>
      </c>
      <c r="D17" s="179" t="s">
        <v>602</v>
      </c>
      <c r="E17" s="180"/>
      <c r="F17" s="191" t="s">
        <v>603</v>
      </c>
      <c r="G17" s="192"/>
    </row>
    <row r="18" spans="3:7" ht="15" customHeight="1" thickBot="1" x14ac:dyDescent="0.35">
      <c r="C18" s="105"/>
      <c r="D18" s="108" t="s">
        <v>164</v>
      </c>
      <c r="E18" s="93" t="s">
        <v>165</v>
      </c>
      <c r="F18" s="149" t="s">
        <v>164</v>
      </c>
      <c r="G18" s="93" t="s">
        <v>165</v>
      </c>
    </row>
    <row r="19" spans="3:7" x14ac:dyDescent="0.3">
      <c r="C19" s="100" t="s">
        <v>579</v>
      </c>
      <c r="D19" s="109">
        <f>'CW losslG,losslA,intra'!AW19</f>
        <v>0.9507568735919748</v>
      </c>
      <c r="E19" s="101">
        <f>'CW losslG,losslA,intra'!AX19</f>
        <v>0.99939008372319271</v>
      </c>
      <c r="F19" s="106">
        <f>'CW losslG,losslA,intra'!AY19</f>
        <v>1.0230923355167783</v>
      </c>
      <c r="G19" s="101">
        <f>'CW losslG,losslA,intra'!AZ19</f>
        <v>0.9230553582109986</v>
      </c>
    </row>
    <row r="20" spans="3:7" x14ac:dyDescent="0.3">
      <c r="C20" s="94" t="s">
        <v>580</v>
      </c>
      <c r="D20" s="110">
        <f>'CW losslG,losslA,interLD'!AW19</f>
        <v>0.95026672569285919</v>
      </c>
      <c r="E20" s="95">
        <f>'CW losslG,losslA,interLD'!AX19</f>
        <v>0.98932417040806897</v>
      </c>
      <c r="F20" s="145">
        <f>'CW losslG,losslA,interLD'!AY19</f>
        <v>1.0642317012557441</v>
      </c>
      <c r="G20" s="95">
        <f>'CW losslG,losslA,interLD'!AZ19</f>
        <v>1.0394300838912074</v>
      </c>
    </row>
    <row r="21" spans="3:7" x14ac:dyDescent="0.3">
      <c r="C21" s="96" t="s">
        <v>581</v>
      </c>
      <c r="D21" s="111">
        <f>'C2 lossyG,lossyA,intra'!AZ47</f>
        <v>0.89050297308259152</v>
      </c>
      <c r="E21" s="97">
        <f>'C2 lossyG,lossyA,intra'!BA47</f>
        <v>0.80384747411972957</v>
      </c>
      <c r="F21" s="146">
        <f>'C2 lossyG,lossyA,intra'!BB47</f>
        <v>0.92044525763849816</v>
      </c>
      <c r="G21" s="97">
        <f>'C2 lossyG,lossyA,intra'!BC47</f>
        <v>0.89050377155193572</v>
      </c>
    </row>
    <row r="22" spans="3:7" ht="15" customHeight="1" thickBot="1" x14ac:dyDescent="0.35">
      <c r="C22" s="102" t="s">
        <v>582</v>
      </c>
      <c r="D22" s="112">
        <f>'C2 lossyG,lossyA,interRA'!AZ47</f>
        <v>0.86082859128345712</v>
      </c>
      <c r="E22" s="103">
        <f>'C2 lossyG,lossyA,interRA'!BA47</f>
        <v>0.78474097947188259</v>
      </c>
      <c r="F22" s="107">
        <f>'C2 lossyG,lossyA,interRA'!BB47</f>
        <v>0.87209436349368274</v>
      </c>
      <c r="G22" s="103">
        <f>'C2 lossyG,lossyA,interRA'!BC47</f>
        <v>0.84542823617717666</v>
      </c>
    </row>
    <row r="23" spans="3:7" ht="15" customHeight="1" thickBot="1" x14ac:dyDescent="0.35">
      <c r="C23" s="154" t="s">
        <v>604</v>
      </c>
      <c r="D23" s="113">
        <f>AVERAGE(D19:D22)</f>
        <v>0.91308879091272066</v>
      </c>
      <c r="E23" s="99">
        <f>AVERAGE(E19:E22)</f>
        <v>0.89432567693071841</v>
      </c>
      <c r="F23" s="98">
        <f>AVERAGE(F19:F22)</f>
        <v>0.96996591447617586</v>
      </c>
      <c r="G23" s="99">
        <f>AVERAGE(G19:G22)</f>
        <v>0.92460436245782951</v>
      </c>
    </row>
    <row r="24" spans="3:7" ht="15" customHeight="1" thickBot="1" x14ac:dyDescent="0.35"/>
    <row r="25" spans="3:7" x14ac:dyDescent="0.3">
      <c r="C25" s="104" t="s">
        <v>601</v>
      </c>
      <c r="D25" s="179" t="s">
        <v>605</v>
      </c>
      <c r="E25" s="180"/>
      <c r="F25" s="179" t="s">
        <v>606</v>
      </c>
      <c r="G25" s="180"/>
    </row>
    <row r="26" spans="3:7" ht="15" customHeight="1" thickBot="1" x14ac:dyDescent="0.35">
      <c r="C26" s="105"/>
      <c r="D26" s="108" t="s">
        <v>607</v>
      </c>
      <c r="E26" s="93" t="s">
        <v>608</v>
      </c>
      <c r="F26" s="108" t="s">
        <v>607</v>
      </c>
      <c r="G26" s="93" t="s">
        <v>608</v>
      </c>
    </row>
    <row r="27" spans="3:7" x14ac:dyDescent="0.3">
      <c r="C27" s="100" t="s">
        <v>579</v>
      </c>
      <c r="D27" s="114">
        <f>D46</f>
        <v>8.0810328892299115</v>
      </c>
      <c r="E27" s="115">
        <f>E46</f>
        <v>8.0805075509207587</v>
      </c>
      <c r="F27" s="116">
        <f>F46</f>
        <v>6.0071841648646762</v>
      </c>
      <c r="G27" s="115">
        <f>G46</f>
        <v>6.0066724504743307</v>
      </c>
    </row>
    <row r="28" spans="3:7" x14ac:dyDescent="0.3">
      <c r="C28" s="94" t="s">
        <v>580</v>
      </c>
      <c r="D28" s="117">
        <f>H46</f>
        <v>8.6967441013881146</v>
      </c>
      <c r="E28" s="118">
        <f>I46</f>
        <v>8.6954394749232709</v>
      </c>
      <c r="F28" s="144">
        <f>J46</f>
        <v>6.408016749790737</v>
      </c>
      <c r="G28" s="118">
        <f>K46</f>
        <v>6.4080756051199774</v>
      </c>
    </row>
    <row r="29" spans="3:7" x14ac:dyDescent="0.3">
      <c r="C29" s="96" t="s">
        <v>581</v>
      </c>
      <c r="D29" s="119">
        <f>L46</f>
        <v>7.6398983546665749</v>
      </c>
      <c r="E29" s="120">
        <f>M46</f>
        <v>7.6394913809640048</v>
      </c>
      <c r="F29" s="143">
        <f>N46</f>
        <v>5.8052435738699781</v>
      </c>
      <c r="G29" s="120">
        <f>O46</f>
        <v>5.8049045017787382</v>
      </c>
    </row>
    <row r="30" spans="3:7" ht="15" customHeight="1" thickBot="1" x14ac:dyDescent="0.35">
      <c r="C30" s="102" t="s">
        <v>582</v>
      </c>
      <c r="D30" s="121">
        <f>P46</f>
        <v>8.0706712995256691</v>
      </c>
      <c r="E30" s="122">
        <f>Q46</f>
        <v>8.0721409388950889</v>
      </c>
      <c r="F30" s="123">
        <f>R46</f>
        <v>6.1640678405761715</v>
      </c>
      <c r="G30" s="122">
        <f>S46</f>
        <v>6.1638660975864941</v>
      </c>
    </row>
    <row r="31" spans="3:7" ht="15" customHeight="1" thickBot="1" x14ac:dyDescent="0.35">
      <c r="C31" s="154" t="s">
        <v>604</v>
      </c>
      <c r="D31" s="124">
        <f>AVERAGE(D27:D30)</f>
        <v>8.1220866612025677</v>
      </c>
      <c r="E31" s="125">
        <f>AVERAGE(E27:E30)</f>
        <v>8.1218948364257813</v>
      </c>
      <c r="F31" s="126">
        <f>AVERAGE(F27:F30)</f>
        <v>6.0961280822753903</v>
      </c>
      <c r="G31" s="125">
        <f>AVERAGE(G27:G30)</f>
        <v>6.0958796637398844</v>
      </c>
    </row>
    <row r="32" spans="3:7" ht="15" customHeight="1" thickBot="1" x14ac:dyDescent="0.35"/>
    <row r="33" spans="2:19" ht="15" customHeight="1" thickBot="1" x14ac:dyDescent="0.35">
      <c r="D33" s="171" t="s">
        <v>579</v>
      </c>
      <c r="E33" s="172"/>
      <c r="F33" s="172"/>
      <c r="G33" s="173"/>
      <c r="H33" s="171" t="s">
        <v>580</v>
      </c>
      <c r="I33" s="172"/>
      <c r="J33" s="172"/>
      <c r="K33" s="173"/>
      <c r="L33" s="171" t="s">
        <v>581</v>
      </c>
      <c r="M33" s="172"/>
      <c r="N33" s="172"/>
      <c r="O33" s="173"/>
      <c r="P33" s="174" t="s">
        <v>582</v>
      </c>
      <c r="Q33" s="172"/>
      <c r="R33" s="172"/>
      <c r="S33" s="172"/>
    </row>
    <row r="34" spans="2:19" ht="15" customHeight="1" thickBot="1" x14ac:dyDescent="0.35">
      <c r="B34" s="175" t="s">
        <v>141</v>
      </c>
      <c r="C34" s="177" t="s">
        <v>578</v>
      </c>
      <c r="D34" s="179" t="s">
        <v>609</v>
      </c>
      <c r="E34" s="180"/>
      <c r="F34" s="179" t="s">
        <v>610</v>
      </c>
      <c r="G34" s="180"/>
      <c r="H34" s="179" t="s">
        <v>609</v>
      </c>
      <c r="I34" s="180"/>
      <c r="J34" s="179" t="s">
        <v>610</v>
      </c>
      <c r="K34" s="180"/>
      <c r="L34" s="179" t="s">
        <v>609</v>
      </c>
      <c r="M34" s="180"/>
      <c r="N34" s="179" t="s">
        <v>610</v>
      </c>
      <c r="O34" s="180"/>
      <c r="P34" s="179" t="s">
        <v>609</v>
      </c>
      <c r="Q34" s="180"/>
      <c r="R34" s="179" t="s">
        <v>610</v>
      </c>
      <c r="S34" s="180"/>
    </row>
    <row r="35" spans="2:19" ht="15" customHeight="1" thickBot="1" x14ac:dyDescent="0.35">
      <c r="B35" s="176"/>
      <c r="C35" s="178"/>
      <c r="D35" s="108" t="s">
        <v>607</v>
      </c>
      <c r="E35" s="149" t="s">
        <v>608</v>
      </c>
      <c r="F35" s="108" t="s">
        <v>607</v>
      </c>
      <c r="G35" s="93" t="s">
        <v>608</v>
      </c>
      <c r="H35" s="127" t="s">
        <v>607</v>
      </c>
      <c r="I35" s="149" t="s">
        <v>608</v>
      </c>
      <c r="J35" s="108" t="s">
        <v>607</v>
      </c>
      <c r="K35" s="93" t="s">
        <v>608</v>
      </c>
      <c r="L35" s="127" t="s">
        <v>607</v>
      </c>
      <c r="M35" s="149" t="s">
        <v>608</v>
      </c>
      <c r="N35" s="108" t="s">
        <v>607</v>
      </c>
      <c r="O35" s="93" t="s">
        <v>608</v>
      </c>
      <c r="P35" s="127" t="s">
        <v>607</v>
      </c>
      <c r="Q35" s="149" t="s">
        <v>608</v>
      </c>
      <c r="R35" s="141" t="s">
        <v>607</v>
      </c>
      <c r="S35" s="142" t="s">
        <v>608</v>
      </c>
    </row>
    <row r="36" spans="2:19" x14ac:dyDescent="0.3">
      <c r="B36" s="52" t="s">
        <v>588</v>
      </c>
      <c r="C36" s="128" t="s">
        <v>589</v>
      </c>
      <c r="D36" s="114">
        <v>4.1713714599609384</v>
      </c>
      <c r="E36" s="116">
        <v>4.1836204528808594</v>
      </c>
      <c r="F36" s="114">
        <v>3.949371337890625</v>
      </c>
      <c r="G36" s="115">
        <v>3.9474678039550781</v>
      </c>
      <c r="H36" s="116">
        <v>4.1829032897949219</v>
      </c>
      <c r="I36" s="116">
        <v>4.1733932495117188</v>
      </c>
      <c r="J36" s="114">
        <v>3.9489212036132808</v>
      </c>
      <c r="K36" s="115">
        <v>3.9489212036132808</v>
      </c>
      <c r="L36" s="116">
        <v>3.9511604309082031</v>
      </c>
      <c r="M36" s="116">
        <v>3.953841400146485</v>
      </c>
      <c r="N36" s="114">
        <v>3.8829963684082029</v>
      </c>
      <c r="O36" s="115">
        <v>3.8827751159667971</v>
      </c>
      <c r="P36" s="116">
        <v>3.8570083618164062</v>
      </c>
      <c r="Q36" s="116">
        <v>3.8474754333496088</v>
      </c>
      <c r="R36" s="114">
        <v>3.8834167480468751</v>
      </c>
      <c r="S36" s="115">
        <v>3.8839241027832032</v>
      </c>
    </row>
    <row r="37" spans="2:19" x14ac:dyDescent="0.3">
      <c r="B37" s="56"/>
      <c r="C37" s="18" t="s">
        <v>590</v>
      </c>
      <c r="D37" s="117">
        <v>4.0784988403320313</v>
      </c>
      <c r="E37" s="144">
        <v>4.0691337585449219</v>
      </c>
      <c r="F37" s="117">
        <v>3.9643440246582031</v>
      </c>
      <c r="G37" s="118">
        <v>3.9643440246582031</v>
      </c>
      <c r="H37" s="144">
        <v>4.103515625</v>
      </c>
      <c r="I37" s="144">
        <v>4.1034660339355469</v>
      </c>
      <c r="J37" s="117">
        <v>3.9653358459472661</v>
      </c>
      <c r="K37" s="118">
        <v>3.9653358459472661</v>
      </c>
      <c r="L37" s="144">
        <v>3.901763916015625</v>
      </c>
      <c r="M37" s="144">
        <v>3.9017700195312499</v>
      </c>
      <c r="N37" s="117">
        <v>3.9210006713867189</v>
      </c>
      <c r="O37" s="118">
        <v>3.920766448974609</v>
      </c>
      <c r="P37" s="144">
        <v>3.8152076721191408</v>
      </c>
      <c r="Q37" s="144">
        <v>3.815119934082031</v>
      </c>
      <c r="R37" s="117">
        <v>3.919565582275391</v>
      </c>
      <c r="S37" s="118">
        <v>3.9197662353515619</v>
      </c>
    </row>
    <row r="38" spans="2:19" x14ac:dyDescent="0.3">
      <c r="B38" s="60"/>
      <c r="C38" s="129" t="s">
        <v>591</v>
      </c>
      <c r="D38" s="130">
        <v>6.0353813171386719</v>
      </c>
      <c r="E38" s="150">
        <v>6.0432586669921884</v>
      </c>
      <c r="F38" s="130">
        <v>5.2159919738769531</v>
      </c>
      <c r="G38" s="131">
        <v>5.2159919738769531</v>
      </c>
      <c r="H38" s="150">
        <v>6.1131553649902344</v>
      </c>
      <c r="I38" s="150">
        <v>6.1131248474121094</v>
      </c>
      <c r="J38" s="130">
        <v>5.2646980285644531</v>
      </c>
      <c r="K38" s="131">
        <v>5.2646980285644531</v>
      </c>
      <c r="L38" s="150">
        <v>5.3052253723144531</v>
      </c>
      <c r="M38" s="150">
        <v>5.3007308959960939</v>
      </c>
      <c r="N38" s="130">
        <v>4.6885307312011717</v>
      </c>
      <c r="O38" s="131">
        <v>4.6868225097656246</v>
      </c>
      <c r="P38" s="150">
        <v>5.4513053894042969</v>
      </c>
      <c r="Q38" s="150">
        <v>5.4523811340332031</v>
      </c>
      <c r="R38" s="130">
        <v>4.8362129211425779</v>
      </c>
      <c r="S38" s="131">
        <v>4.8363304138183594</v>
      </c>
    </row>
    <row r="39" spans="2:19" ht="15" customHeight="1" thickBot="1" x14ac:dyDescent="0.35">
      <c r="B39" s="64"/>
      <c r="C39" s="37" t="s">
        <v>592</v>
      </c>
      <c r="D39" s="117">
        <v>4.8457756042480469</v>
      </c>
      <c r="E39" s="144">
        <v>4.8307266235351563</v>
      </c>
      <c r="F39" s="117">
        <v>4.0960884094238281</v>
      </c>
      <c r="G39" s="118">
        <v>4.0960922241210938</v>
      </c>
      <c r="H39" s="144">
        <v>4.83843994140625</v>
      </c>
      <c r="I39" s="144">
        <v>4.8384361267089844</v>
      </c>
      <c r="J39" s="117">
        <v>4.0945053100585938</v>
      </c>
      <c r="K39" s="118">
        <v>4.0937767028808594</v>
      </c>
      <c r="L39" s="144">
        <v>5.1301948547363283</v>
      </c>
      <c r="M39" s="144">
        <v>5.1302497863769529</v>
      </c>
      <c r="N39" s="117">
        <v>3.9076759338378908</v>
      </c>
      <c r="O39" s="118">
        <v>3.907923126220703</v>
      </c>
      <c r="P39" s="144">
        <v>4.6261230468749996</v>
      </c>
      <c r="Q39" s="144">
        <v>4.6400901794433604</v>
      </c>
      <c r="R39" s="117">
        <v>3.9054832458496089</v>
      </c>
      <c r="S39" s="118">
        <v>3.9052261352539062</v>
      </c>
    </row>
    <row r="40" spans="2:19" ht="15" customHeight="1" thickBot="1" x14ac:dyDescent="0.35">
      <c r="B40" s="60" t="s">
        <v>593</v>
      </c>
      <c r="C40" s="129" t="s">
        <v>594</v>
      </c>
      <c r="D40" s="132">
        <v>4.2983055114746094</v>
      </c>
      <c r="E40" s="133">
        <v>4.2973747253417969</v>
      </c>
      <c r="F40" s="132">
        <v>3.98736572265625</v>
      </c>
      <c r="G40" s="134">
        <v>3.9873924255371089</v>
      </c>
      <c r="H40" s="133">
        <v>4.5983390808105469</v>
      </c>
      <c r="I40" s="133">
        <v>4.5972099304199219</v>
      </c>
      <c r="J40" s="132">
        <v>4.2093315124511719</v>
      </c>
      <c r="K40" s="134">
        <v>4.2078475952148438</v>
      </c>
      <c r="L40" s="133">
        <v>3.9772262573242192</v>
      </c>
      <c r="M40" s="133">
        <v>3.9755683898925782</v>
      </c>
      <c r="N40" s="132">
        <v>3.8309623718261721</v>
      </c>
      <c r="O40" s="134">
        <v>3.8314903259277342</v>
      </c>
      <c r="P40" s="133">
        <v>4.1733818054199219</v>
      </c>
      <c r="Q40" s="133">
        <v>4.178049468994141</v>
      </c>
      <c r="R40" s="132">
        <v>4.0336029052734377</v>
      </c>
      <c r="S40" s="134">
        <v>4.0337844848632809</v>
      </c>
    </row>
    <row r="41" spans="2:19" x14ac:dyDescent="0.3">
      <c r="B41" s="147" t="s">
        <v>595</v>
      </c>
      <c r="C41" s="148" t="s">
        <v>596</v>
      </c>
      <c r="D41" s="117">
        <v>15.63289260864258</v>
      </c>
      <c r="E41" s="144">
        <v>15.63447952270508</v>
      </c>
      <c r="F41" s="117">
        <v>9.7337112426757813</v>
      </c>
      <c r="G41" s="118">
        <v>9.7337112426757813</v>
      </c>
      <c r="H41" s="144">
        <v>17.950908660888668</v>
      </c>
      <c r="I41" s="144">
        <v>17.95249176025391</v>
      </c>
      <c r="J41" s="117">
        <v>11.433322906494141</v>
      </c>
      <c r="K41" s="118">
        <v>11.43422698974609</v>
      </c>
      <c r="L41" s="144">
        <v>14.678501129150391</v>
      </c>
      <c r="M41" s="144">
        <v>14.67905578613281</v>
      </c>
      <c r="N41" s="117">
        <v>9.4340888977050774</v>
      </c>
      <c r="O41" s="118">
        <v>9.4331031799316403</v>
      </c>
      <c r="P41" s="144">
        <v>16.726045989990229</v>
      </c>
      <c r="Q41" s="144">
        <v>16.72605209350586</v>
      </c>
      <c r="R41" s="117">
        <v>10.90173568725586</v>
      </c>
      <c r="S41" s="118">
        <v>10.899573516845701</v>
      </c>
    </row>
    <row r="42" spans="2:19" ht="15" customHeight="1" thickBot="1" x14ac:dyDescent="0.35">
      <c r="B42" s="67"/>
      <c r="C42" s="84" t="s">
        <v>597</v>
      </c>
      <c r="D42" s="130">
        <v>17.5050048828125</v>
      </c>
      <c r="E42" s="150">
        <v>17.504959106445309</v>
      </c>
      <c r="F42" s="130">
        <v>11.10341644287109</v>
      </c>
      <c r="G42" s="131">
        <v>11.10170745849609</v>
      </c>
      <c r="H42" s="150">
        <v>19.089946746826168</v>
      </c>
      <c r="I42" s="150">
        <v>19.0899543762207</v>
      </c>
      <c r="J42" s="130">
        <v>11.94000244140625</v>
      </c>
      <c r="K42" s="131">
        <v>11.94172286987305</v>
      </c>
      <c r="L42" s="150">
        <v>16.5352165222168</v>
      </c>
      <c r="M42" s="150">
        <v>16.53522338867187</v>
      </c>
      <c r="N42" s="130">
        <v>10.97145004272461</v>
      </c>
      <c r="O42" s="131">
        <v>10.971450805664061</v>
      </c>
      <c r="P42" s="150">
        <v>17.845626831054691</v>
      </c>
      <c r="Q42" s="150">
        <v>17.845818328857419</v>
      </c>
      <c r="R42" s="130">
        <v>11.66845779418945</v>
      </c>
      <c r="S42" s="131">
        <v>11.66845779418945</v>
      </c>
    </row>
    <row r="43" spans="2:19" ht="14.4" customHeight="1" x14ac:dyDescent="0.3">
      <c r="B43" s="56" t="s">
        <v>598</v>
      </c>
      <c r="C43" s="81"/>
      <c r="D43" s="135">
        <f t="shared" ref="D43:S43" si="0">AVERAGE(D36:D39)</f>
        <v>4.7827568054199219</v>
      </c>
      <c r="E43" s="136">
        <f t="shared" si="0"/>
        <v>4.7816848754882813</v>
      </c>
      <c r="F43" s="137">
        <f t="shared" si="0"/>
        <v>4.3064489364624023</v>
      </c>
      <c r="G43" s="136">
        <f t="shared" si="0"/>
        <v>4.305974006652832</v>
      </c>
      <c r="H43" s="137">
        <f t="shared" si="0"/>
        <v>4.8095035552978516</v>
      </c>
      <c r="I43" s="137">
        <f t="shared" si="0"/>
        <v>4.8071050643920898</v>
      </c>
      <c r="J43" s="135">
        <f t="shared" si="0"/>
        <v>4.3183650970458984</v>
      </c>
      <c r="K43" s="136">
        <f t="shared" si="0"/>
        <v>4.3181829452514648</v>
      </c>
      <c r="L43" s="137">
        <f t="shared" si="0"/>
        <v>4.5720861434936522</v>
      </c>
      <c r="M43" s="137">
        <f t="shared" si="0"/>
        <v>4.5716480255126957</v>
      </c>
      <c r="N43" s="135">
        <f t="shared" si="0"/>
        <v>4.1000509262084961</v>
      </c>
      <c r="O43" s="136">
        <f t="shared" si="0"/>
        <v>4.0995718002319332</v>
      </c>
      <c r="P43" s="137">
        <f t="shared" si="0"/>
        <v>4.4374111175537108</v>
      </c>
      <c r="Q43" s="137">
        <f t="shared" si="0"/>
        <v>4.438766670227051</v>
      </c>
      <c r="R43" s="135">
        <f t="shared" si="0"/>
        <v>4.1361696243286135</v>
      </c>
      <c r="S43" s="136">
        <f t="shared" si="0"/>
        <v>4.1363117218017571</v>
      </c>
    </row>
    <row r="44" spans="2:19" ht="14.4" customHeight="1" x14ac:dyDescent="0.3">
      <c r="B44" s="193" t="s">
        <v>599</v>
      </c>
      <c r="C44" s="188"/>
      <c r="D44" s="119">
        <f t="shared" ref="D44:S44" si="1">AVERAGE(D40)</f>
        <v>4.2983055114746094</v>
      </c>
      <c r="E44" s="120">
        <f t="shared" si="1"/>
        <v>4.2973747253417969</v>
      </c>
      <c r="F44" s="143">
        <f t="shared" si="1"/>
        <v>3.98736572265625</v>
      </c>
      <c r="G44" s="120">
        <f t="shared" si="1"/>
        <v>3.9873924255371089</v>
      </c>
      <c r="H44" s="143">
        <f t="shared" si="1"/>
        <v>4.5983390808105469</v>
      </c>
      <c r="I44" s="143">
        <f t="shared" si="1"/>
        <v>4.5972099304199219</v>
      </c>
      <c r="J44" s="119">
        <f t="shared" si="1"/>
        <v>4.2093315124511719</v>
      </c>
      <c r="K44" s="120">
        <f t="shared" si="1"/>
        <v>4.2078475952148438</v>
      </c>
      <c r="L44" s="143">
        <f t="shared" si="1"/>
        <v>3.9772262573242192</v>
      </c>
      <c r="M44" s="143">
        <f t="shared" si="1"/>
        <v>3.9755683898925782</v>
      </c>
      <c r="N44" s="119">
        <f t="shared" si="1"/>
        <v>3.8309623718261721</v>
      </c>
      <c r="O44" s="120">
        <f t="shared" si="1"/>
        <v>3.8314903259277342</v>
      </c>
      <c r="P44" s="143">
        <f t="shared" si="1"/>
        <v>4.1733818054199219</v>
      </c>
      <c r="Q44" s="143">
        <f t="shared" si="1"/>
        <v>4.178049468994141</v>
      </c>
      <c r="R44" s="119">
        <f t="shared" si="1"/>
        <v>4.0336029052734377</v>
      </c>
      <c r="S44" s="120">
        <f t="shared" si="1"/>
        <v>4.0337844848632809</v>
      </c>
    </row>
    <row r="45" spans="2:19" ht="15" customHeight="1" thickBot="1" x14ac:dyDescent="0.35">
      <c r="B45" s="64" t="s">
        <v>600</v>
      </c>
      <c r="C45" s="83"/>
      <c r="D45" s="121">
        <f t="shared" ref="D45:S45" si="2">AVERAGE(D41:D42)</f>
        <v>16.568948745727539</v>
      </c>
      <c r="E45" s="122">
        <f t="shared" si="2"/>
        <v>16.569719314575195</v>
      </c>
      <c r="F45" s="123">
        <f t="shared" si="2"/>
        <v>10.418563842773436</v>
      </c>
      <c r="G45" s="122">
        <f t="shared" si="2"/>
        <v>10.417709350585936</v>
      </c>
      <c r="H45" s="123">
        <f t="shared" si="2"/>
        <v>18.520427703857418</v>
      </c>
      <c r="I45" s="123">
        <f t="shared" si="2"/>
        <v>18.521223068237305</v>
      </c>
      <c r="J45" s="121">
        <f t="shared" si="2"/>
        <v>11.686662673950195</v>
      </c>
      <c r="K45" s="122">
        <f t="shared" si="2"/>
        <v>11.68797492980957</v>
      </c>
      <c r="L45" s="123">
        <f t="shared" si="2"/>
        <v>15.606858825683595</v>
      </c>
      <c r="M45" s="123">
        <f t="shared" si="2"/>
        <v>15.60713958740234</v>
      </c>
      <c r="N45" s="121">
        <f t="shared" si="2"/>
        <v>10.202769470214843</v>
      </c>
      <c r="O45" s="122">
        <f t="shared" si="2"/>
        <v>10.20227699279785</v>
      </c>
      <c r="P45" s="123">
        <f t="shared" si="2"/>
        <v>17.28583641052246</v>
      </c>
      <c r="Q45" s="123">
        <f t="shared" si="2"/>
        <v>17.285935211181638</v>
      </c>
      <c r="R45" s="121">
        <f t="shared" si="2"/>
        <v>11.285096740722654</v>
      </c>
      <c r="S45" s="122">
        <f t="shared" si="2"/>
        <v>11.284015655517575</v>
      </c>
    </row>
    <row r="46" spans="2:19" ht="15" customHeight="1" thickBot="1" x14ac:dyDescent="0.35">
      <c r="B46" s="194" t="s">
        <v>19</v>
      </c>
      <c r="C46" s="178"/>
      <c r="D46" s="138">
        <f t="shared" ref="D46:S46" si="3">AVERAGE(D36:D42)</f>
        <v>8.0810328892299115</v>
      </c>
      <c r="E46" s="139">
        <f t="shared" si="3"/>
        <v>8.0805075509207587</v>
      </c>
      <c r="F46" s="140">
        <f t="shared" si="3"/>
        <v>6.0071841648646762</v>
      </c>
      <c r="G46" s="139">
        <f t="shared" si="3"/>
        <v>6.0066724504743307</v>
      </c>
      <c r="H46" s="140">
        <f t="shared" si="3"/>
        <v>8.6967441013881146</v>
      </c>
      <c r="I46" s="140">
        <f t="shared" si="3"/>
        <v>8.6954394749232709</v>
      </c>
      <c r="J46" s="138">
        <f t="shared" si="3"/>
        <v>6.408016749790737</v>
      </c>
      <c r="K46" s="139">
        <f t="shared" si="3"/>
        <v>6.4080756051199774</v>
      </c>
      <c r="L46" s="140">
        <f t="shared" si="3"/>
        <v>7.6398983546665749</v>
      </c>
      <c r="M46" s="140">
        <f t="shared" si="3"/>
        <v>7.6394913809640048</v>
      </c>
      <c r="N46" s="138">
        <f t="shared" si="3"/>
        <v>5.8052435738699781</v>
      </c>
      <c r="O46" s="139">
        <f t="shared" si="3"/>
        <v>5.8049045017787382</v>
      </c>
      <c r="P46" s="140">
        <f t="shared" si="3"/>
        <v>8.0706712995256691</v>
      </c>
      <c r="Q46" s="140">
        <f t="shared" si="3"/>
        <v>8.0721409388950889</v>
      </c>
      <c r="R46" s="138">
        <f t="shared" si="3"/>
        <v>6.1640678405761715</v>
      </c>
      <c r="S46" s="139">
        <f t="shared" si="3"/>
        <v>6.1638660975864941</v>
      </c>
    </row>
    <row r="47" spans="2:19" ht="15" customHeight="1" thickBot="1" x14ac:dyDescent="0.35"/>
    <row r="48" spans="2:19" ht="15" customHeight="1" thickBot="1" x14ac:dyDescent="0.35">
      <c r="B48" s="175" t="s">
        <v>141</v>
      </c>
      <c r="C48" s="177" t="s">
        <v>578</v>
      </c>
      <c r="D48" s="179" t="s">
        <v>609</v>
      </c>
      <c r="E48" s="180"/>
      <c r="F48" s="179" t="s">
        <v>610</v>
      </c>
      <c r="G48" s="180"/>
    </row>
    <row r="49" spans="2:7" ht="15" customHeight="1" thickBot="1" x14ac:dyDescent="0.35">
      <c r="B49" s="176"/>
      <c r="C49" s="178"/>
      <c r="D49" s="108" t="s">
        <v>607</v>
      </c>
      <c r="E49" s="149" t="s">
        <v>608</v>
      </c>
      <c r="F49" s="108" t="s">
        <v>607</v>
      </c>
      <c r="G49" s="93" t="s">
        <v>608</v>
      </c>
    </row>
    <row r="50" spans="2:7" x14ac:dyDescent="0.3">
      <c r="B50" s="52" t="s">
        <v>588</v>
      </c>
      <c r="C50" s="128" t="s">
        <v>589</v>
      </c>
      <c r="D50" s="114">
        <v>4.0406108856201168</v>
      </c>
      <c r="E50" s="116">
        <v>4.0395826339721674</v>
      </c>
      <c r="F50" s="114">
        <v>3.9161764144897462</v>
      </c>
      <c r="G50" s="115">
        <v>3.9157720565795899</v>
      </c>
    </row>
    <row r="51" spans="2:7" x14ac:dyDescent="0.3">
      <c r="B51" s="56"/>
      <c r="C51" s="18" t="s">
        <v>590</v>
      </c>
      <c r="D51" s="117">
        <v>3.974746513366699</v>
      </c>
      <c r="E51" s="144">
        <v>3.9723724365234379</v>
      </c>
      <c r="F51" s="117">
        <v>3.942561531066894</v>
      </c>
      <c r="G51" s="118">
        <v>3.9425531387329098</v>
      </c>
    </row>
    <row r="52" spans="2:7" x14ac:dyDescent="0.3">
      <c r="B52" s="60"/>
      <c r="C52" s="129" t="s">
        <v>591</v>
      </c>
      <c r="D52" s="130">
        <v>5.7262668609619141</v>
      </c>
      <c r="E52" s="150">
        <v>5.7273738861083983</v>
      </c>
      <c r="F52" s="130">
        <v>5.0013584136962894</v>
      </c>
      <c r="G52" s="131">
        <v>5.000960731506348</v>
      </c>
    </row>
    <row r="53" spans="2:7" ht="15" customHeight="1" thickBot="1" x14ac:dyDescent="0.35">
      <c r="B53" s="64"/>
      <c r="C53" s="37" t="s">
        <v>592</v>
      </c>
      <c r="D53" s="117">
        <v>4.8601333618164064</v>
      </c>
      <c r="E53" s="144">
        <v>4.8598756790161133</v>
      </c>
      <c r="F53" s="117">
        <v>4.0009382247924803</v>
      </c>
      <c r="G53" s="118">
        <v>4.0007545471191408</v>
      </c>
    </row>
    <row r="54" spans="2:7" ht="15" customHeight="1" thickBot="1" x14ac:dyDescent="0.35">
      <c r="B54" s="60" t="s">
        <v>593</v>
      </c>
      <c r="C54" s="129" t="s">
        <v>594</v>
      </c>
      <c r="D54" s="132">
        <v>4.2618131637573242</v>
      </c>
      <c r="E54" s="133">
        <v>4.2620506286621094</v>
      </c>
      <c r="F54" s="132">
        <v>4.0153156280517566</v>
      </c>
      <c r="G54" s="134">
        <v>4.0151287078857418</v>
      </c>
    </row>
    <row r="55" spans="2:7" x14ac:dyDescent="0.3">
      <c r="B55" s="147" t="s">
        <v>595</v>
      </c>
      <c r="C55" s="148" t="s">
        <v>596</v>
      </c>
      <c r="D55" s="117">
        <v>16.24708709716797</v>
      </c>
      <c r="E55" s="144">
        <v>16.248019790649419</v>
      </c>
      <c r="F55" s="117">
        <v>10.375714683532721</v>
      </c>
      <c r="G55" s="118">
        <v>10.3751537322998</v>
      </c>
    </row>
    <row r="56" spans="2:7" ht="15" customHeight="1" thickBot="1" x14ac:dyDescent="0.35">
      <c r="B56" s="67"/>
      <c r="C56" s="84" t="s">
        <v>597</v>
      </c>
      <c r="D56" s="130">
        <v>17.74394874572754</v>
      </c>
      <c r="E56" s="150">
        <v>17.743988800048829</v>
      </c>
      <c r="F56" s="130">
        <v>11.42083168029785</v>
      </c>
      <c r="G56" s="131">
        <v>11.42083473205566</v>
      </c>
    </row>
    <row r="57" spans="2:7" x14ac:dyDescent="0.3">
      <c r="B57" s="56" t="s">
        <v>598</v>
      </c>
      <c r="C57" s="81"/>
      <c r="D57" s="135">
        <f>AVERAGE(D50:D53)</f>
        <v>4.6504394054412836</v>
      </c>
      <c r="E57" s="136">
        <f>AVERAGE(E50:E53)</f>
        <v>4.6498011589050297</v>
      </c>
      <c r="F57" s="137">
        <f>AVERAGE(F50:F53)</f>
        <v>4.2152586460113524</v>
      </c>
      <c r="G57" s="136">
        <f>AVERAGE(G50:G53)</f>
        <v>4.2150101184844972</v>
      </c>
    </row>
    <row r="58" spans="2:7" x14ac:dyDescent="0.3">
      <c r="B58" s="193" t="s">
        <v>599</v>
      </c>
      <c r="C58" s="188"/>
      <c r="D58" s="119">
        <f>AVERAGE(D54)</f>
        <v>4.2618131637573242</v>
      </c>
      <c r="E58" s="120">
        <f>AVERAGE(E54)</f>
        <v>4.2620506286621094</v>
      </c>
      <c r="F58" s="143">
        <f>AVERAGE(F54)</f>
        <v>4.0153156280517566</v>
      </c>
      <c r="G58" s="120">
        <f>AVERAGE(G54)</f>
        <v>4.0151287078857418</v>
      </c>
    </row>
    <row r="59" spans="2:7" ht="15" customHeight="1" thickBot="1" x14ac:dyDescent="0.35">
      <c r="B59" s="64" t="s">
        <v>600</v>
      </c>
      <c r="C59" s="83"/>
      <c r="D59" s="121">
        <f>AVERAGE(D55:D56)</f>
        <v>16.995517921447757</v>
      </c>
      <c r="E59" s="122">
        <f>AVERAGE(E55:E56)</f>
        <v>16.996004295349124</v>
      </c>
      <c r="F59" s="123">
        <f>AVERAGE(F55:F56)</f>
        <v>10.898273181915286</v>
      </c>
      <c r="G59" s="122">
        <f>AVERAGE(G55:G56)</f>
        <v>10.89799423217773</v>
      </c>
    </row>
    <row r="60" spans="2:7" ht="15" customHeight="1" thickBot="1" x14ac:dyDescent="0.35">
      <c r="B60" s="194" t="s">
        <v>19</v>
      </c>
      <c r="C60" s="178"/>
      <c r="D60" s="138">
        <f>AVERAGE(D50:D56)</f>
        <v>8.1220866612025677</v>
      </c>
      <c r="E60" s="139">
        <f>AVERAGE(E50:E56)</f>
        <v>8.1218948364257813</v>
      </c>
      <c r="F60" s="140">
        <f>AVERAGE(F50:F56)</f>
        <v>6.0961280822753912</v>
      </c>
      <c r="G60" s="139">
        <f>AVERAGE(G50:G56)</f>
        <v>6.0958796637398844</v>
      </c>
    </row>
  </sheetData>
  <mergeCells count="42">
    <mergeCell ref="B60:C60"/>
    <mergeCell ref="B48:B49"/>
    <mergeCell ref="C48:C49"/>
    <mergeCell ref="D48:E48"/>
    <mergeCell ref="B58:C58"/>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L2:P2"/>
    <mergeCell ref="Q2:U2"/>
    <mergeCell ref="D3:G3"/>
    <mergeCell ref="H3:K3"/>
    <mergeCell ref="L3:M3"/>
    <mergeCell ref="N3:P3"/>
    <mergeCell ref="Q3:R3"/>
    <mergeCell ref="S3:U3"/>
    <mergeCell ref="L33:O33"/>
    <mergeCell ref="P33:S33"/>
    <mergeCell ref="B34:B35"/>
    <mergeCell ref="C34:C35"/>
    <mergeCell ref="D34:E34"/>
    <mergeCell ref="F34:G34"/>
    <mergeCell ref="H34:I34"/>
    <mergeCell ref="J34:K34"/>
    <mergeCell ref="L34:M34"/>
    <mergeCell ref="N34:O34"/>
    <mergeCell ref="P34:Q34"/>
    <mergeCell ref="R34:S34"/>
    <mergeCell ref="D33:G33"/>
  </mergeCells>
  <conditionalFormatting sqref="E5:E15">
    <cfRule type="cellIs" dxfId="59" priority="15" operator="greaterThanOrEqual">
      <formula>1.03</formula>
    </cfRule>
    <cfRule type="cellIs" dxfId="58" priority="16" operator="lessThanOrEqual">
      <formula>0.97</formula>
    </cfRule>
  </conditionalFormatting>
  <conditionalFormatting sqref="G5:G15">
    <cfRule type="cellIs" dxfId="57" priority="13" operator="greaterThanOrEqual">
      <formula>1.03</formula>
    </cfRule>
    <cfRule type="cellIs" dxfId="56" priority="14" operator="lessThanOrEqual">
      <formula>0.97</formula>
    </cfRule>
  </conditionalFormatting>
  <conditionalFormatting sqref="D5:D15">
    <cfRule type="cellIs" dxfId="55" priority="11" operator="greaterThanOrEqual">
      <formula>1.03</formula>
    </cfRule>
    <cfRule type="cellIs" dxfId="54" priority="12" operator="lessThanOrEqual">
      <formula>0.97</formula>
    </cfRule>
  </conditionalFormatting>
  <conditionalFormatting sqref="F5:F15">
    <cfRule type="cellIs" dxfId="53" priority="9" operator="greaterThanOrEqual">
      <formula>1.03</formula>
    </cfRule>
    <cfRule type="cellIs" dxfId="52" priority="10" operator="lessThanOrEqual">
      <formula>0.97</formula>
    </cfRule>
  </conditionalFormatting>
  <conditionalFormatting sqref="I5:I15">
    <cfRule type="cellIs" dxfId="51" priority="7" operator="greaterThanOrEqual">
      <formula>1.03</formula>
    </cfRule>
    <cfRule type="cellIs" dxfId="50" priority="8" operator="lessThanOrEqual">
      <formula>0.97</formula>
    </cfRule>
  </conditionalFormatting>
  <conditionalFormatting sqref="K5:K15">
    <cfRule type="cellIs" dxfId="49" priority="5" operator="greaterThanOrEqual">
      <formula>1.03</formula>
    </cfRule>
    <cfRule type="cellIs" dxfId="48" priority="6" operator="lessThanOrEqual">
      <formula>0.97</formula>
    </cfRule>
  </conditionalFormatting>
  <conditionalFormatting sqref="Q5:U11 L6:P7 L9:P14">
    <cfRule type="cellIs" dxfId="47" priority="59" operator="greaterThanOrEqual">
      <formula>0.03</formula>
    </cfRule>
    <cfRule type="cellIs" dxfId="46" priority="60" operator="lessThanOrEqual">
      <formula>-0.03</formula>
    </cfRule>
  </conditionalFormatting>
  <conditionalFormatting sqref="Q12:U14">
    <cfRule type="cellIs" dxfId="45" priority="57" operator="greaterThanOrEqual">
      <formula>0.03</formula>
    </cfRule>
    <cfRule type="cellIs" dxfId="44" priority="58" operator="lessThanOrEqual">
      <formula>-0.03</formula>
    </cfRule>
  </conditionalFormatting>
  <conditionalFormatting sqref="N15">
    <cfRule type="cellIs" dxfId="43" priority="27" operator="greaterThanOrEqual">
      <formula>0.03</formula>
    </cfRule>
    <cfRule type="cellIs" dxfId="42" priority="28" operator="lessThanOrEqual">
      <formula>-0.03</formula>
    </cfRule>
  </conditionalFormatting>
  <conditionalFormatting sqref="S15">
    <cfRule type="cellIs" dxfId="41" priority="17" operator="greaterThanOrEqual">
      <formula>0.03</formula>
    </cfRule>
    <cfRule type="cellIs" dxfId="40" priority="18" operator="lessThanOrEqual">
      <formula>-0.03</formula>
    </cfRule>
  </conditionalFormatting>
  <conditionalFormatting sqref="L15">
    <cfRule type="cellIs" dxfId="39" priority="29" operator="greaterThanOrEqual">
      <formula>0.03</formula>
    </cfRule>
    <cfRule type="cellIs" dxfId="38" priority="30" operator="lessThanOrEqual">
      <formula>-0.03</formula>
    </cfRule>
  </conditionalFormatting>
  <conditionalFormatting sqref="M15">
    <cfRule type="cellIs" dxfId="37" priority="31" operator="greaterThanOrEqual">
      <formula>0.03</formula>
    </cfRule>
    <cfRule type="cellIs" dxfId="36" priority="32" operator="lessThanOrEqual">
      <formula>-0.03</formula>
    </cfRule>
  </conditionalFormatting>
  <conditionalFormatting sqref="O15">
    <cfRule type="cellIs" dxfId="35" priority="33" operator="greaterThanOrEqual">
      <formula>0.03</formula>
    </cfRule>
    <cfRule type="cellIs" dxfId="34" priority="34" operator="lessThanOrEqual">
      <formula>-0.03</formula>
    </cfRule>
  </conditionalFormatting>
  <conditionalFormatting sqref="P15">
    <cfRule type="cellIs" dxfId="33" priority="35" operator="greaterThanOrEqual">
      <formula>0.03</formula>
    </cfRule>
    <cfRule type="cellIs" dxfId="32" priority="36" operator="lessThanOrEqual">
      <formula>-0.03</formula>
    </cfRule>
  </conditionalFormatting>
  <conditionalFormatting sqref="Q15">
    <cfRule type="cellIs" dxfId="31" priority="19" operator="greaterThanOrEqual">
      <formula>0.03</formula>
    </cfRule>
    <cfRule type="cellIs" dxfId="30" priority="20" operator="lessThanOrEqual">
      <formula>-0.03</formula>
    </cfRule>
  </conditionalFormatting>
  <conditionalFormatting sqref="R15">
    <cfRule type="cellIs" dxfId="29" priority="21" operator="greaterThanOrEqual">
      <formula>0.03</formula>
    </cfRule>
    <cfRule type="cellIs" dxfId="28" priority="22" operator="lessThanOrEqual">
      <formula>-0.03</formula>
    </cfRule>
  </conditionalFormatting>
  <conditionalFormatting sqref="T15">
    <cfRule type="cellIs" dxfId="27" priority="23" operator="greaterThanOrEqual">
      <formula>0.03</formula>
    </cfRule>
    <cfRule type="cellIs" dxfId="26" priority="24" operator="lessThanOrEqual">
      <formula>-0.03</formula>
    </cfRule>
  </conditionalFormatting>
  <conditionalFormatting sqref="U15">
    <cfRule type="cellIs" dxfId="25" priority="25" operator="greaterThanOrEqual">
      <formula>0.03</formula>
    </cfRule>
    <cfRule type="cellIs" dxfId="24" priority="26" operator="lessThanOrEqual">
      <formula>-0.03</formula>
    </cfRule>
  </conditionalFormatting>
  <conditionalFormatting sqref="L5">
    <cfRule type="cellIs" dxfId="23" priority="49" operator="greaterThanOrEqual">
      <formula>0.03</formula>
    </cfRule>
    <cfRule type="cellIs" dxfId="22" priority="50" operator="lessThanOrEqual">
      <formula>-0.03</formula>
    </cfRule>
  </conditionalFormatting>
  <conditionalFormatting sqref="M5">
    <cfRule type="cellIs" dxfId="21" priority="51" operator="greaterThanOrEqual">
      <formula>0.03</formula>
    </cfRule>
    <cfRule type="cellIs" dxfId="20" priority="52" operator="lessThanOrEqual">
      <formula>-0.03</formula>
    </cfRule>
  </conditionalFormatting>
  <conditionalFormatting sqref="N5">
    <cfRule type="cellIs" dxfId="19" priority="47" operator="greaterThanOrEqual">
      <formula>0.03</formula>
    </cfRule>
    <cfRule type="cellIs" dxfId="18" priority="48" operator="lessThanOrEqual">
      <formula>-0.03</formula>
    </cfRule>
  </conditionalFormatting>
  <conditionalFormatting sqref="O5">
    <cfRule type="cellIs" dxfId="17" priority="53" operator="greaterThanOrEqual">
      <formula>0.03</formula>
    </cfRule>
    <cfRule type="cellIs" dxfId="16" priority="54" operator="lessThanOrEqual">
      <formula>-0.03</formula>
    </cfRule>
  </conditionalFormatting>
  <conditionalFormatting sqref="P5">
    <cfRule type="cellIs" dxfId="15" priority="55" operator="greaterThanOrEqual">
      <formula>0.03</formula>
    </cfRule>
    <cfRule type="cellIs" dxfId="14" priority="56" operator="lessThanOrEqual">
      <formula>-0.03</formula>
    </cfRule>
  </conditionalFormatting>
  <conditionalFormatting sqref="L8">
    <cfRule type="cellIs" dxfId="13" priority="39" operator="greaterThanOrEqual">
      <formula>0.03</formula>
    </cfRule>
    <cfRule type="cellIs" dxfId="12" priority="40" operator="lessThanOrEqual">
      <formula>-0.03</formula>
    </cfRule>
  </conditionalFormatting>
  <conditionalFormatting sqref="M8">
    <cfRule type="cellIs" dxfId="11" priority="41" operator="greaterThanOrEqual">
      <formula>0.03</formula>
    </cfRule>
    <cfRule type="cellIs" dxfId="10" priority="42" operator="lessThanOrEqual">
      <formula>-0.03</formula>
    </cfRule>
  </conditionalFormatting>
  <conditionalFormatting sqref="N8">
    <cfRule type="cellIs" dxfId="9" priority="37" operator="greaterThanOrEqual">
      <formula>0.03</formula>
    </cfRule>
    <cfRule type="cellIs" dxfId="8" priority="38" operator="lessThanOrEqual">
      <formula>-0.03</formula>
    </cfRule>
  </conditionalFormatting>
  <conditionalFormatting sqref="O8">
    <cfRule type="cellIs" dxfId="7" priority="43" operator="greaterThanOrEqual">
      <formula>0.03</formula>
    </cfRule>
    <cfRule type="cellIs" dxfId="6" priority="44" operator="lessThanOrEqual">
      <formula>-0.03</formula>
    </cfRule>
  </conditionalFormatting>
  <conditionalFormatting sqref="P8">
    <cfRule type="cellIs" dxfId="5" priority="45" operator="greaterThanOrEqual">
      <formula>0.03</formula>
    </cfRule>
    <cfRule type="cellIs" dxfId="4" priority="46" operator="lessThanOrEqual">
      <formula>-0.03</formula>
    </cfRule>
  </conditionalFormatting>
  <conditionalFormatting sqref="H5:H15">
    <cfRule type="cellIs" dxfId="3" priority="3" operator="greaterThanOrEqual">
      <formula>1.03</formula>
    </cfRule>
    <cfRule type="cellIs" dxfId="2" priority="4" operator="lessThanOrEqual">
      <formula>0.97</formula>
    </cfRule>
  </conditionalFormatting>
  <conditionalFormatting sqref="J5:J15">
    <cfRule type="cellIs" dxfId="1" priority="1" operator="greaterThanOrEqual">
      <formula>1.03</formula>
    </cfRule>
    <cfRule type="cellIs" dxfId="0" priority="2"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vt:lpstr>
      <vt:lpstr>Graphs</vt:lpstr>
      <vt:lpstr>C2 lossyG,lossyA,intra</vt:lpstr>
      <vt:lpstr>names</vt:lpstr>
      <vt:lpstr>CW losslG,losslA,intra</vt:lpstr>
      <vt:lpstr>CW losslG,losslA,interLD</vt:lpstr>
      <vt:lpstr>C2 lossyG,lossyA,interRA</vt:lpstr>
      <vt:lpstr>Results</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Ricard Julien</cp:lastModifiedBy>
  <dcterms:created xsi:type="dcterms:W3CDTF">2019-04-23T13:57:55Z</dcterms:created>
  <dcterms:modified xsi:type="dcterms:W3CDTF">2019-05-21T13:13:23Z</dcterms:modified>
</cp:coreProperties>
</file>