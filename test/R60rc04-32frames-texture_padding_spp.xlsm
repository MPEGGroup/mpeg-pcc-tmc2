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e.faramarzi\Desktop\"/>
    </mc:Choice>
  </mc:AlternateContent>
  <bookViews>
    <workbookView xWindow="240" yWindow="12" windowWidth="16092" windowHeight="9660" firstSheet="1" activeTab="2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M20" i="7"/>
  <c r="BP5" i="7"/>
  <c r="BR15" i="7"/>
  <c r="BM5" i="7"/>
  <c r="BM15" i="7"/>
  <c r="BK10" i="7"/>
  <c r="BQ15" i="7"/>
  <c r="BS25" i="7"/>
  <c r="BR20" i="7"/>
  <c r="BM10" i="7"/>
  <c r="BK25" i="7"/>
  <c r="BL10" i="7"/>
  <c r="BO25" i="7"/>
  <c r="BP10" i="7"/>
  <c r="BO15" i="7"/>
  <c r="BO5" i="7"/>
  <c r="BQ20" i="7"/>
  <c r="BR10" i="7"/>
  <c r="BL15" i="7"/>
  <c r="BO20" i="7"/>
  <c r="BP15" i="7"/>
  <c r="BM25" i="7"/>
  <c r="BS15" i="7"/>
  <c r="BL25" i="7"/>
  <c r="BS5" i="7"/>
  <c r="BR25" i="7"/>
  <c r="BQ10" i="7"/>
  <c r="BS20" i="7"/>
  <c r="BL20" i="7"/>
  <c r="BK15" i="7"/>
  <c r="BL5" i="7"/>
  <c r="BK5" i="7"/>
  <c r="BS10" i="7"/>
  <c r="BQ25" i="7"/>
  <c r="BR5" i="7"/>
  <c r="BK20" i="7"/>
  <c r="BP25" i="7"/>
  <c r="BP20" i="7"/>
  <c r="BO10" i="7"/>
  <c r="BQ5" i="7"/>
  <c r="BJ25" i="7"/>
  <c r="BQ5" i="3"/>
  <c r="BS20" i="3"/>
  <c r="BM20" i="3"/>
  <c r="BP15" i="3"/>
  <c r="BS5" i="3"/>
  <c r="BP20" i="3"/>
  <c r="BR5" i="3"/>
  <c r="BK20" i="3"/>
  <c r="BQ15" i="3"/>
  <c r="BO15" i="3"/>
  <c r="BR20" i="3"/>
  <c r="BR25" i="3"/>
  <c r="BM10" i="3"/>
  <c r="BM5" i="3"/>
  <c r="BP25" i="3"/>
  <c r="BJ10" i="3"/>
  <c r="BO20" i="3"/>
  <c r="BS15" i="3"/>
  <c r="BQ20" i="3"/>
  <c r="BL5" i="3"/>
  <c r="BP5" i="3"/>
  <c r="BO5" i="3"/>
  <c r="BR10" i="3"/>
  <c r="BM25" i="3"/>
  <c r="BS25" i="3"/>
  <c r="BL25" i="3"/>
  <c r="BS10" i="3"/>
  <c r="BO25" i="3"/>
  <c r="BR15" i="3"/>
  <c r="BK15" i="3"/>
  <c r="BQ10" i="3"/>
  <c r="BK10" i="3"/>
  <c r="BL15" i="3"/>
  <c r="BM15" i="3"/>
  <c r="BL10" i="3"/>
  <c r="BL20" i="3"/>
  <c r="BK25" i="3"/>
  <c r="BP10" i="3"/>
  <c r="BJ15" i="3"/>
  <c r="BQ25" i="3"/>
  <c r="BO10" i="3"/>
  <c r="BK5" i="3"/>
  <c r="BB8" i="6" l="1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5" i="7"/>
  <c r="BI10" i="7"/>
  <c r="BI20" i="7"/>
  <c r="BJ10" i="7"/>
  <c r="BI25" i="7"/>
  <c r="BJ20" i="7"/>
  <c r="BI15" i="7"/>
  <c r="BJ5" i="7"/>
  <c r="BJ15" i="7"/>
  <c r="BI15" i="3"/>
  <c r="BJ5" i="3"/>
  <c r="BI5" i="3"/>
  <c r="BI25" i="3"/>
  <c r="BI10" i="3"/>
  <c r="BJ20" i="3"/>
  <c r="BI20" i="3"/>
  <c r="BJ2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<sst xmlns="http://schemas.openxmlformats.org/spreadsheetml/2006/main" count="1410" uniqueCount="553">
  <si>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</si>
  <si>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</si>
  <si>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</si>
  <si>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</si>
  <si>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</si>
  <si>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</si>
  <si>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</si>
  <si>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</si>
  <si>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</si>
  <si>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</si>
  <si>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</si>
  <si>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</si>
  <si>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</si>
  <si>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</si>
  <si>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</si>
  <si>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</si>
  <si>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</si>
  <si>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</si>
  <si>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</si>
  <si>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</si>
  <si>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</si>
  <si>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</si>
  <si>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</si>
  <si>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</si>
  <si>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</si>
  <si>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</si>
  <si>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</si>
  <si>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</si>
  <si>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</si>
  <si>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</si>
  <si>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</si>
  <si>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</si>
  <si>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</si>
  <si>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</si>
  <si>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</si>
  <si>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</si>
  <si>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</si>
  <si>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</si>
  <si>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</si>
  <si>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</si>
  <si>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</si>
  <si>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</si>
  <si>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</si>
  <si>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</si>
  <si>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</si>
  <si>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</si>
  <si>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</si>
  <si>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</si>
  <si>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</si>
  <si>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</si>
  <si>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</si>
  <si>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</si>
  <si>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</si>
  <si>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</si>
  <si>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</si>
  <si>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</si>
  <si>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</si>
  <si>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</si>
  <si>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</si>
  <si>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</si>
  <si>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</si>
  <si>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</si>
  <si>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</si>
  <si>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</si>
  <si>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</si>
  <si>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</si>
  <si>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</si>
  <si>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</si>
  <si>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</si>
  <si>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</si>
  <si>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</si>
  <si>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</si>
  <si>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</si>
  <si>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</si>
  <si>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</si>
  <si>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</si>
  <si>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</si>
  <si>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</si>
  <si>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</si>
  <si>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</si>
  <si>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</si>
  <si>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</si>
  <si>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</si>
  <si>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</si>
  <si>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</si>
  <si>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</si>
  <si>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</si>
  <si>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</si>
  <si>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</si>
  <si>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</si>
  <si>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</si>
  <si>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</si>
  <si>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</si>
  <si>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</si>
  <si>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</si>
  <si>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</si>
  <si>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</si>
  <si>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</si>
  <si>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</si>
  <si>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</si>
  <si>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</si>
  <si>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</si>
  <si>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</si>
  <si>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</si>
  <si>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</si>
  <si>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</si>
  <si>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</si>
  <si>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</si>
  <si>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</si>
  <si>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</si>
  <si>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</si>
  <si>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</si>
  <si>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</si>
  <si>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</si>
  <si>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</si>
  <si>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</si>
  <si>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</si>
  <si>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</si>
  <si>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</si>
  <si>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</si>
  <si>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</si>
  <si>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</si>
  <si>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</si>
  <si>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</si>
  <si>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</si>
  <si>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</si>
  <si>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</si>
  <si>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</si>
  <si>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</si>
  <si>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</si>
  <si>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</si>
  <si>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</si>
  <si>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</si>
  <si>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</si>
  <si>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</si>
  <si>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</si>
  <si>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</si>
  <si>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</si>
  <si>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</si>
  <si>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</si>
  <si>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</si>
  <si>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</si>
  <si>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</si>
  <si>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</si>
  <si>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</si>
  <si>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</si>
  <si>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</si>
  <si>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</si>
  <si>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</si>
  <si>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</si>
  <si>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</si>
  <si>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</si>
  <si>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</si>
  <si>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</si>
  <si>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</si>
  <si>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</si>
  <si>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</si>
  <si>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</si>
  <si>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</si>
  <si>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</si>
  <si>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</si>
  <si>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</si>
  <si>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</si>
  <si>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</si>
  <si>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</si>
  <si>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</si>
  <si>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</si>
  <si>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</si>
  <si>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</si>
  <si>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</si>
  <si>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</si>
  <si>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</si>
  <si>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</si>
  <si>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</si>
  <si>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</si>
  <si>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</si>
  <si>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</si>
  <si>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</si>
  <si>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</si>
  <si>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</si>
  <si>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</si>
  <si>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</si>
  <si>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</si>
  <si>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</si>
  <si>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</si>
  <si>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</si>
  <si>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</si>
  <si>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</si>
  <si>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</si>
  <si>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</si>
  <si>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</si>
  <si>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</si>
  <si>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</si>
  <si>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</si>
  <si>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</si>
  <si>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</si>
  <si>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</si>
  <si>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</si>
  <si>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</si>
  <si>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</si>
  <si>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</si>
  <si>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</si>
  <si>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</si>
  <si>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</si>
  <si>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</si>
  <si>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</si>
  <si>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</si>
  <si>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</si>
  <si>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</si>
  <si>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</si>
  <si>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</si>
  <si>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</si>
  <si>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</si>
  <si>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</si>
  <si>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</si>
  <si>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</si>
  <si>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</si>
  <si>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</si>
  <si>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</si>
  <si>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</si>
  <si>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</si>
  <si>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</si>
  <si>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</si>
  <si>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</si>
  <si>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</si>
  <si>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</si>
  <si>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</si>
  <si>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</si>
  <si>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</si>
  <si>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</si>
  <si>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</si>
  <si>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</si>
  <si>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</si>
  <si>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</si>
  <si>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</si>
  <si>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</si>
  <si>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</si>
  <si>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</si>
  <si>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</si>
  <si>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</si>
  <si>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</si>
  <si>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</si>
  <si>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</si>
  <si>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</si>
  <si>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</si>
  <si>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</si>
  <si>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</si>
  <si>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</si>
  <si>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</si>
  <si>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</si>
  <si>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</si>
  <si>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</si>
  <si>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</si>
  <si>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</si>
  <si>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</si>
  <si>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</si>
  <si>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</si>
  <si>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</si>
  <si>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</si>
  <si>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</si>
  <si>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</si>
  <si>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</si>
  <si>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</si>
  <si>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</si>
  <si>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</si>
  <si>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</si>
  <si>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</si>
  <si>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</si>
  <si>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</si>
  <si>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</si>
  <si>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</si>
  <si>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</si>
  <si>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</si>
  <si>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</si>
  <si>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</si>
  <si>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</si>
  <si>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</si>
  <si>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</si>
  <si>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</si>
  <si>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</si>
  <si>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</si>
  <si>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</si>
  <si>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</si>
  <si>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</si>
  <si>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</si>
  <si>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</si>
  <si>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</si>
  <si>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</si>
  <si>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</si>
  <si>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</si>
  <si>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</si>
  <si>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</si>
  <si>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</si>
  <si>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</si>
  <si>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</si>
  <si>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</si>
  <si>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</si>
  <si>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</si>
  <si>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</si>
  <si>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</si>
  <si>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</si>
  <si>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</si>
  <si>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</si>
  <si>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</si>
  <si>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</si>
  <si>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</si>
  <si>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</si>
  <si>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</si>
  <si>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</si>
  <si>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</si>
  <si>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</si>
  <si>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</si>
  <si>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</si>
  <si>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</si>
  <si>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</si>
  <si>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</si>
  <si>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</si>
  <si>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</si>
  <si>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</si>
  <si>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</si>
  <si>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</si>
  <si>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</si>
  <si>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</si>
  <si>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</si>
  <si>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</si>
  <si>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</si>
  <si>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</si>
  <si>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</si>
  <si>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</si>
  <si>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</si>
  <si>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</si>
  <si>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</si>
  <si>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</si>
  <si>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</si>
  <si>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</si>
  <si>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</si>
  <si>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</si>
  <si>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</si>
  <si>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</si>
  <si>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</si>
  <si>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</si>
  <si>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</si>
  <si>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</si>
  <si>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</si>
  <si>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</si>
  <si>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</si>
  <si>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</si>
  <si>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</si>
  <si>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</si>
  <si>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</si>
  <si>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</si>
  <si>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</si>
  <si>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</si>
  <si>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</si>
  <si>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</si>
  <si>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</si>
  <si>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</si>
  <si>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</si>
  <si>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</si>
  <si>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</si>
  <si>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</si>
  <si>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</si>
  <si>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</si>
  <si>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</si>
  <si>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</si>
  <si>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</si>
  <si>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</si>
  <si>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</si>
  <si>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</si>
  <si>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</si>
  <si>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</si>
  <si>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</si>
  <si>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</si>
  <si>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</si>
  <si>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</si>
  <si>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</si>
  <si>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</si>
  <si>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</si>
  <si>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</si>
  <si>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</si>
  <si>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</si>
  <si>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</si>
  <si>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</si>
  <si>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</si>
  <si>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</si>
  <si>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</si>
  <si>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</si>
  <si>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</si>
  <si>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</si>
  <si>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</si>
  <si>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</si>
  <si>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</si>
  <si>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</si>
  <si>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</si>
  <si>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</si>
  <si>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</si>
  <si>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</si>
  <si>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</si>
  <si>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</si>
  <si>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</si>
  <si>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</si>
  <si>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</si>
  <si>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</si>
  <si>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</si>
  <si>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</si>
  <si>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</si>
  <si>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</si>
  <si>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</si>
  <si>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</si>
  <si>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</si>
  <si>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</si>
  <si>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</si>
  <si>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</si>
  <si>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</si>
  <si>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</si>
  <si>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</si>
  <si>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</si>
  <si>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</si>
  <si>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</si>
  <si>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</si>
  <si>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</si>
  <si>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</si>
  <si>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</si>
  <si>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</si>
  <si>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</si>
  <si>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</si>
  <si>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</si>
  <si>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</si>
  <si>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</si>
  <si>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</si>
  <si>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</si>
  <si>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</si>
  <si>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</si>
  <si>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</si>
  <si>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</si>
  <si>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</si>
  <si>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</si>
  <si>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</si>
  <si>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</si>
  <si>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</si>
  <si>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</si>
  <si>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</si>
  <si>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</si>
  <si>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</si>
  <si>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</si>
  <si>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</si>
  <si>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</si>
  <si>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</si>
  <si>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</si>
  <si>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</si>
  <si>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</si>
  <si>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</si>
  <si>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</si>
  <si>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</si>
  <si>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</si>
  <si>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</si>
  <si>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</si>
  <si>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</si>
  <si>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</si>
  <si>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</si>
  <si>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</si>
  <si>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</si>
  <si>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</si>
  <si>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</si>
  <si>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</si>
  <si>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</si>
  <si>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</si>
  <si>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</si>
  <si>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</si>
  <si>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</si>
  <si>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</si>
  <si>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</si>
  <si>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</si>
  <si>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</si>
  <si>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</si>
  <si>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</si>
  <si>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</si>
  <si>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</si>
  <si>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</si>
  <si>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</si>
  <si>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</si>
  <si>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</si>
  <si>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</si>
  <si>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</si>
  <si>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</si>
  <si>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</si>
  <si>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</si>
  <si>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</si>
  <si>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</si>
  <si>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</si>
  <si>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</si>
  <si>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</si>
  <si>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</si>
  <si>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</si>
  <si>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</si>
  <si>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</si>
  <si>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</si>
  <si>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</si>
  <si>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</si>
  <si>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</si>
  <si>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</si>
  <si>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</si>
  <si>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</si>
  <si>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</si>
  <si>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</si>
  <si>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</si>
  <si>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</si>
  <si>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</si>
  <si>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</si>
  <si>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</si>
  <si>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</si>
  <si>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</si>
  <si>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</si>
  <si>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</si>
  <si>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</si>
  <si>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</si>
  <si>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</si>
  <si>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</si>
  <si>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</si>
  <si>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</si>
  <si>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</si>
  <si>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</si>
  <si>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</si>
  <si>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</si>
  <si>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</si>
  <si>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</si>
  <si>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</si>
  <si>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</si>
  <si>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</si>
  <si>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</si>
  <si>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</si>
  <si>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</si>
  <si>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</si>
  <si>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</si>
  <si>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</si>
  <si>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</si>
  <si>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</si>
  <si>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</si>
  <si>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</si>
  <si>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</si>
  <si>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</si>
  <si>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</si>
  <si>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</si>
  <si>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</si>
  <si>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</si>
  <si>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</si>
  <si>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</si>
  <si>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</si>
  <si>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</si>
  <si>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</si>
  <si>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</si>
  <si>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reference-rc0.3</t>
  </si>
  <si>
    <t>tested-rc0.4 (texture padding - spp)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</si>
</sst>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68.236997000000002</c:v>
                </c:pt>
                <c:pt idx="2">
                  <c:v>69.661175</c:v>
                </c:pt>
                <c:pt idx="3">
                  <c:v>70.739718999999994</c:v>
                </c:pt>
                <c:pt idx="4">
                  <c:v>72.071483999999998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68.412688000000003</c:v>
                </c:pt>
                <c:pt idx="1">
                  <c:v>70.346675000000005</c:v>
                </c:pt>
                <c:pt idx="2">
                  <c:v>72.030416000000002</c:v>
                </c:pt>
                <c:pt idx="3">
                  <c:v>73.278436999999997</c:v>
                </c:pt>
                <c:pt idx="4">
                  <c:v>75.303931000000006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32.179003000000002</c:v>
                </c:pt>
                <c:pt idx="1">
                  <c:v>34.471631000000002</c:v>
                </c:pt>
                <c:pt idx="2">
                  <c:v>37.006359000000003</c:v>
                </c:pt>
                <c:pt idx="3">
                  <c:v>39.627544</c:v>
                </c:pt>
                <c:pt idx="4">
                  <c:v>42.046362000000002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32.176012499999999</c:v>
                </c:pt>
                <c:pt idx="1">
                  <c:v>34.464996874999997</c:v>
                </c:pt>
                <c:pt idx="2">
                  <c:v>37.007618749999999</c:v>
                </c:pt>
                <c:pt idx="3">
                  <c:v>39.629553125000001</c:v>
                </c:pt>
                <c:pt idx="4">
                  <c:v>42.040424999999999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44.135365999999998</c:v>
                </c:pt>
                <c:pt idx="1">
                  <c:v>45.462893999999999</c:v>
                </c:pt>
                <c:pt idx="2">
                  <c:v>46.569611999999999</c:v>
                </c:pt>
                <c:pt idx="3">
                  <c:v>47.914721999999998</c:v>
                </c:pt>
                <c:pt idx="4">
                  <c:v>49.444536999999997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44.123815624999999</c:v>
                </c:pt>
                <c:pt idx="1">
                  <c:v>45.410350000000001</c:v>
                </c:pt>
                <c:pt idx="2">
                  <c:v>46.562859375000002</c:v>
                </c:pt>
                <c:pt idx="3">
                  <c:v>47.881868750000002</c:v>
                </c:pt>
                <c:pt idx="4">
                  <c:v>49.43336875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43.688628000000001</c:v>
                </c:pt>
                <c:pt idx="1">
                  <c:v>45.183922000000003</c:v>
                </c:pt>
                <c:pt idx="2">
                  <c:v>46.451906000000001</c:v>
                </c:pt>
                <c:pt idx="3">
                  <c:v>47.954315999999999</c:v>
                </c:pt>
                <c:pt idx="4">
                  <c:v>49.603828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43.710996874999999</c:v>
                </c:pt>
                <c:pt idx="1">
                  <c:v>45.138706249999998</c:v>
                </c:pt>
                <c:pt idx="2">
                  <c:v>46.389384374999999</c:v>
                </c:pt>
                <c:pt idx="3">
                  <c:v>47.937731249999999</c:v>
                </c:pt>
                <c:pt idx="4">
                  <c:v>49.587196874999997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9.6770990269681056E-2</c:v>
                </c:pt>
                <c:pt idx="1">
                  <c:v>0.14985438630244635</c:v>
                </c:pt>
                <c:pt idx="2">
                  <c:v>0.24462956983322731</c:v>
                </c:pt>
                <c:pt idx="3">
                  <c:v>0.42511516726998722</c:v>
                </c:pt>
                <c:pt idx="4">
                  <c:v>0.77293127825805619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>
      <selection activeCell="C2" sqref="C2:E2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58" t="s">
        <v>551</v>
      </c>
      <c r="D1" s="58"/>
      <c r="E1" s="58"/>
    </row>
    <row r="2" spans="2:12" x14ac:dyDescent="0.3">
      <c r="B2" t="s">
        <v>1</v>
      </c>
      <c r="C2" s="59" t="s">
        <v>552</v>
      </c>
      <c r="D2" s="59"/>
      <c r="E2" s="59"/>
    </row>
    <row r="4" spans="2:12" s="1" customFormat="1" x14ac:dyDescent="0.3">
      <c r="B4" s="1" t="s">
        <v>296</v>
      </c>
    </row>
    <row r="6" spans="2:12" x14ac:dyDescent="0.3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x14ac:dyDescent="0.3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1.8005180157304457E-4</v>
      </c>
      <c r="D9" s="5">
        <f>'C2 lossyG,lossyA,intra'!$BJ$30:$BJ$30</f>
        <v>1.7039378362820878E-4</v>
      </c>
      <c r="E9" s="5">
        <f>'C2 lossyG,lossyA,intra'!$BK$30:$BK$30</f>
        <v>4.1812113311057164E-5</v>
      </c>
      <c r="F9" s="5">
        <f>'C2 lossyG,lossyA,intra'!$BL$30:$BL$30</f>
        <v>9.2337179924249502E-3</v>
      </c>
      <c r="G9" s="5">
        <f>'C2 lossyG,lossyA,intra'!$BM$30:$BM$30</f>
        <v>6.786082870189919E-3</v>
      </c>
      <c r="H9" s="5">
        <f>'C2 lossyG,lossyA,intra'!$BO$30:$BO$30</f>
        <v>-8.356235422063707E-4</v>
      </c>
      <c r="I9" s="5">
        <f>'C2 lossyG,lossyA,intra'!$BP$30:$BP$30</f>
        <v>-4.6738403152074559E-4</v>
      </c>
      <c r="J9" s="5">
        <f>'C2 lossyG,lossyA,intra'!$BQ$30:$BQ$30</f>
        <v>4.6350464705768868E-4</v>
      </c>
      <c r="K9" s="5">
        <f>'C2 lossyG,lossyA,intra'!$BR$30:$BR$30</f>
        <v>7.1061303757537497E-3</v>
      </c>
      <c r="L9" s="5">
        <f>'C2 lossyG,lossyA,intra'!$BS$30:$BS$30</f>
        <v>5.786054465107382E-3</v>
      </c>
    </row>
    <row r="10" spans="2:12" x14ac:dyDescent="0.3">
      <c r="B10" s="4" t="s">
        <v>289</v>
      </c>
      <c r="C10" s="5">
        <f>'C2 lossyG,lossyA,intra'!$BI$31:$BI$31</f>
        <v>1.9425175899900893E-4</v>
      </c>
      <c r="D10" s="5">
        <f>'C2 lossyG,lossyA,intra'!$BJ$31:$BJ$31</f>
        <v>1.8411275545626715E-4</v>
      </c>
      <c r="E10" s="5">
        <f>'C2 lossyG,lossyA,intra'!$BK$31:$BK$31</f>
        <v>3.9731046637156986E-3</v>
      </c>
      <c r="F10" s="5">
        <f>'C2 lossyG,lossyA,intra'!$BL$31:$BL$31</f>
        <v>5.850982204599342E-3</v>
      </c>
      <c r="G10" s="5">
        <f>'C2 lossyG,lossyA,intra'!$BM$31:$BM$31</f>
        <v>5.7197841683704898E-3</v>
      </c>
      <c r="H10" s="5">
        <f>'C2 lossyG,lossyA,intra'!$BO$31:$BO$31</f>
        <v>2.8342931213287681E-3</v>
      </c>
      <c r="I10" s="5">
        <f>'C2 lossyG,lossyA,intra'!$BP$31:$BP$31</f>
        <v>2.9140854274518624E-3</v>
      </c>
      <c r="J10" s="5">
        <f>'C2 lossyG,lossyA,intra'!$BQ$31:$BQ$31</f>
        <v>3.1916692909175204E-3</v>
      </c>
      <c r="K10" s="5">
        <f>'C2 lossyG,lossyA,intra'!$BR$31:$BR$31</f>
        <v>4.9975982534025132E-3</v>
      </c>
      <c r="L10" s="5">
        <f>'C2 lossyG,lossyA,intra'!$BS$31:$BS$31</f>
        <v>4.7744279640207221E-3</v>
      </c>
    </row>
    <row r="11" spans="2:12" x14ac:dyDescent="0.3">
      <c r="B11" s="6" t="s">
        <v>290</v>
      </c>
      <c r="C11" s="7">
        <f>'C2 lossyG,lossyA,intra'!$BI$32:$BI$32</f>
        <v>1.8289179305823743E-4</v>
      </c>
      <c r="D11" s="7">
        <f>'C2 lossyG,lossyA,intra'!$BJ$32:$BJ$32</f>
        <v>1.7313757799382047E-4</v>
      </c>
      <c r="E11" s="7">
        <f>'C2 lossyG,lossyA,intra'!$BK$32:$BK$32</f>
        <v>8.2807062339198547E-4</v>
      </c>
      <c r="F11" s="7">
        <f>'C2 lossyG,lossyA,intra'!$BL$32:$BL$32</f>
        <v>8.5571708348598282E-3</v>
      </c>
      <c r="G11" s="7">
        <f>'C2 lossyG,lossyA,intra'!$BM$32:$BM$32</f>
        <v>6.5728231298260329E-3</v>
      </c>
      <c r="H11" s="7">
        <f>'C2 lossyG,lossyA,intra'!$BO$32:$BO$32</f>
        <v>-1.0164020949934293E-4</v>
      </c>
      <c r="I11" s="7">
        <f>'C2 lossyG,lossyA,intra'!$BP$32:$BP$32</f>
        <v>2.08909860273776E-4</v>
      </c>
      <c r="J11" s="7">
        <f>'C2 lossyG,lossyA,intra'!$BQ$32:$BQ$32</f>
        <v>1.009137575829655E-3</v>
      </c>
      <c r="K11" s="7">
        <f>'C2 lossyG,lossyA,intra'!$BR$32:$BR$32</f>
        <v>6.6844239512835026E-3</v>
      </c>
      <c r="L11" s="7">
        <f>'C2 lossyG,lossyA,intra'!$BS$32:$BS$32</f>
        <v>5.5837291648900503E-3</v>
      </c>
    </row>
    <row r="12" spans="2:12" x14ac:dyDescent="0.3">
      <c r="B12" t="s">
        <v>299</v>
      </c>
      <c r="C12" s="64" t="e">
        <f>'C2 lossyG,lossyA,intra'!AZ36</f>
        <v>#NUM!</v>
      </c>
      <c r="D12" s="64"/>
      <c r="E12" s="64"/>
      <c r="F12" s="64"/>
      <c r="G12" s="64"/>
      <c r="H12" s="64"/>
      <c r="I12" s="64"/>
      <c r="J12" s="64"/>
      <c r="K12" s="64"/>
      <c r="L12" s="64"/>
    </row>
    <row r="13" spans="2:12" x14ac:dyDescent="0.3">
      <c r="B13" s="9" t="s">
        <v>300</v>
      </c>
      <c r="C13" s="65" t="e">
        <f>'C2 lossyG,lossyA,intra'!BB36</f>
        <v>#NUM!</v>
      </c>
      <c r="D13" s="65"/>
      <c r="E13" s="65"/>
      <c r="F13" s="65"/>
      <c r="G13" s="65"/>
      <c r="H13" s="65"/>
      <c r="I13" s="65"/>
      <c r="J13" s="65"/>
      <c r="K13" s="65"/>
      <c r="L13" s="65"/>
    </row>
    <row r="15" spans="2:12" x14ac:dyDescent="0.3">
      <c r="B15" s="60" t="s">
        <v>381</v>
      </c>
      <c r="C15" s="61" t="s">
        <v>382</v>
      </c>
      <c r="D15" s="61"/>
      <c r="E15" s="61"/>
    </row>
    <row r="16" spans="2:12" x14ac:dyDescent="0.3">
      <c r="B16" s="60"/>
      <c r="C16" s="62" t="s">
        <v>357</v>
      </c>
      <c r="D16" s="62"/>
      <c r="E16" s="62"/>
    </row>
    <row r="17" spans="2:5" x14ac:dyDescent="0.3">
      <c r="B17" s="6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3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3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3">
      <c r="B21" t="s">
        <v>299</v>
      </c>
      <c r="C21" s="64" t="e">
        <f>'CW losslG,losslA,intra'!AW16</f>
        <v>#NUM!</v>
      </c>
      <c r="D21" s="64"/>
      <c r="E21" s="64"/>
    </row>
    <row r="22" spans="2:5" x14ac:dyDescent="0.3">
      <c r="B22" s="9" t="s">
        <v>300</v>
      </c>
      <c r="C22" s="65" t="e">
        <f>'CW losslG,losslA,intra'!AY16</f>
        <v>#NUM!</v>
      </c>
      <c r="D22" s="65"/>
      <c r="E22" s="65"/>
    </row>
    <row r="24" spans="2:5" s="1" customFormat="1" x14ac:dyDescent="0.3">
      <c r="B24" s="1" t="s">
        <v>456</v>
      </c>
    </row>
    <row r="26" spans="2:5" x14ac:dyDescent="0.3">
      <c r="B26" s="60" t="s">
        <v>457</v>
      </c>
      <c r="C26" s="61" t="s">
        <v>458</v>
      </c>
      <c r="D26" s="61"/>
      <c r="E26" s="61"/>
    </row>
    <row r="27" spans="2:5" x14ac:dyDescent="0.3">
      <c r="B27" s="60"/>
      <c r="C27" s="62" t="s">
        <v>357</v>
      </c>
      <c r="D27" s="62"/>
      <c r="E27" s="62"/>
    </row>
    <row r="28" spans="2:5" x14ac:dyDescent="0.3">
      <c r="B28" s="6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3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3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3">
      <c r="B32" t="s">
        <v>299</v>
      </c>
      <c r="C32" s="64" t="e">
        <f>'CW losslG,losslA,interLD'!AW16</f>
        <v>#NUM!</v>
      </c>
      <c r="D32" s="64"/>
      <c r="E32" s="64"/>
    </row>
    <row r="33" spans="2:12" x14ac:dyDescent="0.3">
      <c r="B33" s="9" t="s">
        <v>300</v>
      </c>
      <c r="C33" s="65" t="e">
        <f>'CW losslG,losslA,interLD'!AY16</f>
        <v>#NUM!</v>
      </c>
      <c r="D33" s="65"/>
      <c r="E33" s="65"/>
    </row>
    <row r="35" spans="2:12" s="1" customFormat="1" x14ac:dyDescent="0.3">
      <c r="B35" s="1" t="s">
        <v>543</v>
      </c>
    </row>
    <row r="37" spans="2:12" x14ac:dyDescent="0.3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x14ac:dyDescent="0.3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2.6196166979353119E-4</v>
      </c>
      <c r="D40" s="5">
        <f>'C2 lossyG,lossyA,interRA'!$BJ$30:$BJ$30</f>
        <v>2.4839124660758216E-4</v>
      </c>
      <c r="E40" s="5">
        <f>'C2 lossyG,lossyA,interRA'!$BK$30:$BK$30</f>
        <v>-2.3347640603398057E-3</v>
      </c>
      <c r="F40" s="5">
        <f>'C2 lossyG,lossyA,interRA'!$BL$30:$BL$30</f>
        <v>1.6416724814550809E-2</v>
      </c>
      <c r="G40" s="5">
        <f>'C2 lossyG,lossyA,interRA'!$BM$30:$BM$30</f>
        <v>3.7076932984540789E-3</v>
      </c>
      <c r="H40" s="5">
        <f>'C2 lossyG,lossyA,interRA'!$BO$30:$BO$30</f>
        <v>-1.90464439071103E-3</v>
      </c>
      <c r="I40" s="5">
        <f>'C2 lossyG,lossyA,interRA'!$BP$30:$BP$30</f>
        <v>-1.4283347144256053E-3</v>
      </c>
      <c r="J40" s="5">
        <f>'C2 lossyG,lossyA,interRA'!$BQ$30:$BQ$30</f>
        <v>1.8191346063345382E-4</v>
      </c>
      <c r="K40" s="5">
        <f>'C2 lossyG,lossyA,interRA'!$BR$30:$BR$30</f>
        <v>1.2968218758165173E-2</v>
      </c>
      <c r="L40" s="5">
        <f>'C2 lossyG,lossyA,interRA'!$BS$30:$BS$30</f>
        <v>4.02785975859693E-3</v>
      </c>
    </row>
    <row r="41" spans="2:12" x14ac:dyDescent="0.3">
      <c r="B41" s="4" t="s">
        <v>289</v>
      </c>
      <c r="C41" s="5">
        <f>'C2 lossyG,lossyA,interRA'!$BI$31:$BI$31</f>
        <v>2.1536870900096261E-4</v>
      </c>
      <c r="D41" s="5">
        <f>'C2 lossyG,lossyA,interRA'!$BJ$31:$BJ$31</f>
        <v>2.0447939003909177E-4</v>
      </c>
      <c r="E41" s="5">
        <f>'C2 lossyG,lossyA,interRA'!$BK$31:$BK$31</f>
        <v>6.9984271663638964E-3</v>
      </c>
      <c r="F41" s="5">
        <f>'C2 lossyG,lossyA,interRA'!$BL$31:$BL$31</f>
        <v>6.4604680935842485E-3</v>
      </c>
      <c r="G41" s="5">
        <f>'C2 lossyG,lossyA,interRA'!$BM$31:$BM$31</f>
        <v>1.1743145425947121E-2</v>
      </c>
      <c r="H41" s="5">
        <f>'C2 lossyG,lossyA,interRA'!$BO$31:$BO$31</f>
        <v>3.4668140402356329E-3</v>
      </c>
      <c r="I41" s="5">
        <f>'C2 lossyG,lossyA,interRA'!$BP$31:$BP$31</f>
        <v>3.5528811642053792E-3</v>
      </c>
      <c r="J41" s="5">
        <f>'C2 lossyG,lossyA,interRA'!$BQ$31:$BQ$31</f>
        <v>4.2512058485795201E-3</v>
      </c>
      <c r="K41" s="5">
        <f>'C2 lossyG,lossyA,interRA'!$BR$31:$BR$31</f>
        <v>4.7244516196924824E-3</v>
      </c>
      <c r="L41" s="5">
        <f>'C2 lossyG,lossyA,interRA'!$BS$31:$BS$31</f>
        <v>7.6046346344575966E-3</v>
      </c>
    </row>
    <row r="42" spans="2:12" x14ac:dyDescent="0.3">
      <c r="B42" s="6" t="s">
        <v>290</v>
      </c>
      <c r="C42" s="7">
        <f>'C2 lossyG,lossyA,interRA'!$BI$32:$BI$32</f>
        <v>2.5264307763501749E-4</v>
      </c>
      <c r="D42" s="7">
        <f>'C2 lossyG,lossyA,interRA'!$BJ$32:$BJ$32</f>
        <v>2.3960887529388407E-4</v>
      </c>
      <c r="E42" s="7">
        <f>'C2 lossyG,lossyA,interRA'!$BK$32:$BK$32</f>
        <v>-4.6812581499906526E-4</v>
      </c>
      <c r="F42" s="7">
        <f>'C2 lossyG,lossyA,interRA'!$BL$32:$BL$32</f>
        <v>1.4425473470357497E-2</v>
      </c>
      <c r="G42" s="7">
        <f>'C2 lossyG,lossyA,interRA'!$BM$32:$BM$32</f>
        <v>5.3147837239526877E-3</v>
      </c>
      <c r="H42" s="7">
        <f>'C2 lossyG,lossyA,interRA'!$BO$32:$BO$32</f>
        <v>-8.303527045216974E-4</v>
      </c>
      <c r="I42" s="7">
        <f>'C2 lossyG,lossyA,interRA'!$BP$32:$BP$32</f>
        <v>-4.3209153869940844E-4</v>
      </c>
      <c r="J42" s="7">
        <f>'C2 lossyG,lossyA,interRA'!$BQ$32:$BQ$32</f>
        <v>9.9577193822266699E-4</v>
      </c>
      <c r="K42" s="7">
        <f>'C2 lossyG,lossyA,interRA'!$BR$32:$BR$32</f>
        <v>1.1319465330470634E-2</v>
      </c>
      <c r="L42" s="7">
        <f>'C2 lossyG,lossyA,interRA'!$BS$32:$BS$32</f>
        <v>4.7432147337690637E-3</v>
      </c>
    </row>
    <row r="43" spans="2:12" x14ac:dyDescent="0.3">
      <c r="B43" t="s">
        <v>299</v>
      </c>
      <c r="C43" s="64" t="e">
        <f>'C2 lossyG,lossyA,interRA'!AZ36</f>
        <v>#NUM!</v>
      </c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3">
      <c r="B44" s="9" t="s">
        <v>300</v>
      </c>
      <c r="C44" s="65" t="e">
        <f>'C2 lossyG,lossyA,interRA'!BB36</f>
        <v>#NUM!</v>
      </c>
      <c r="D44" s="65"/>
      <c r="E44" s="65"/>
      <c r="F44" s="65"/>
      <c r="G44" s="65"/>
      <c r="H44" s="65"/>
      <c r="I44" s="65"/>
      <c r="J44" s="65"/>
      <c r="K44" s="65"/>
      <c r="L44" s="65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tabSelected="1" zoomScale="85" zoomScaleNormal="85" workbookViewId="0">
      <pane xSplit="2" topLeftCell="AY1" activePane="topRight" state="frozen"/>
      <selection pane="topRight" activeCell="A40" sqref="A40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0" t="s">
        <v>261</v>
      </c>
      <c r="B1" s="70"/>
      <c r="C1" s="70"/>
      <c r="D1" s="70"/>
      <c r="E1" s="70"/>
      <c r="F1" s="70"/>
      <c r="G1" s="70"/>
      <c r="I1" s="58" t="s">
        <v>2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3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x14ac:dyDescent="0.3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550</v>
      </c>
    </row>
    <row r="3" spans="1:73" ht="15" thickBot="1" x14ac:dyDescent="0.3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2.2648350000000002</v>
      </c>
      <c r="J5" s="18">
        <f t="shared" ref="J5:J29" si="1">IF(ISBLANK(S5),"·",S5/D5)</f>
        <v>9.6770990269681056E-2</v>
      </c>
      <c r="K5" s="18">
        <f t="shared" ref="K5:K29" si="2">IF(N5="","·",N5/D5)</f>
        <v>6.1520390223799619E-2</v>
      </c>
      <c r="L5" s="18">
        <f t="shared" ref="L5:L29" si="3">IF(T5="","·",T5/D5)</f>
        <v>3.3649916895463011E-2</v>
      </c>
      <c r="M5" s="18">
        <f t="shared" ref="M5:M29" si="4">IF(ISBLANK(V5),"·",V5/D5)</f>
        <v>3.522624530725646E-2</v>
      </c>
      <c r="N5" s="15">
        <f t="shared" ref="N5:N29" si="5">IF(OR(ISBLANK(T5),ISBLANK(U5)),"",T5+U5)</f>
        <v>1535816</v>
      </c>
      <c r="O5" s="18">
        <f t="shared" ref="O5:O29" si="6">IF(ISBLANK(S5),"·",S5/P5)</f>
        <v>0.11205814980000615</v>
      </c>
      <c r="P5" s="71">
        <v>21558664</v>
      </c>
      <c r="Q5" s="71">
        <v>673708.25</v>
      </c>
      <c r="R5" s="71">
        <v>13654.3125</v>
      </c>
      <c r="S5" s="72">
        <v>2415824</v>
      </c>
      <c r="T5" s="72">
        <v>840048</v>
      </c>
      <c r="U5" s="72">
        <v>695768</v>
      </c>
      <c r="V5" s="72">
        <v>879400</v>
      </c>
      <c r="W5" s="73">
        <v>66.315200000000004</v>
      </c>
      <c r="X5" s="73">
        <v>68.412688000000003</v>
      </c>
      <c r="Y5" s="73">
        <v>32.179003000000002</v>
      </c>
      <c r="Z5" s="73">
        <v>44.135365999999998</v>
      </c>
      <c r="AA5" s="73">
        <v>43.688628000000001</v>
      </c>
      <c r="AB5" s="74"/>
      <c r="AC5" s="74"/>
      <c r="AD5" s="74"/>
      <c r="AE5" s="74"/>
      <c r="AG5" s="17">
        <f t="shared" ref="AG5:AG29" si="7">IF(OR(ISBLANK(AQ5),ISBLANK(G5)),"·",AQ5*G5/F5/1000000)</f>
        <v>2.2610399999999999</v>
      </c>
      <c r="AH5" s="18">
        <f t="shared" ref="AH5:AH29" si="8">IF(ISBLANK(AQ5),"·",AQ5/D5)</f>
        <v>9.6608838983572615E-2</v>
      </c>
      <c r="AI5" s="18">
        <f t="shared" ref="AI5:AI29" si="9">IF(AL5="","·",AL5/D5)</f>
        <v>6.1540044925146108E-2</v>
      </c>
      <c r="AJ5" s="18">
        <f t="shared" ref="AJ5:AJ29" si="10">IF(AR5="","·",AR5/D5)</f>
        <v>3.365034417157925E-2</v>
      </c>
      <c r="AK5" s="18">
        <f t="shared" ref="AK5:AK29" si="11">IF(ISBLANK(AT5),"·",AT5/D5)</f>
        <v>3.5064521297264242E-2</v>
      </c>
      <c r="AL5" s="15">
        <f t="shared" ref="AL5:AL29" si="12">IF(OR(ISBLANK(AR5),ISBLANK(AS5)),"",AR5+AS5)</f>
        <v>1536306.666666667</v>
      </c>
      <c r="AM5" s="18">
        <f t="shared" ref="AM5:AM29" si="13">IF(ISBLANK(AQ5),"·",AQ5/AN5)</f>
        <v>0.11187038306269813</v>
      </c>
      <c r="AN5" s="71">
        <v>21558664</v>
      </c>
      <c r="AO5" s="71">
        <v>673708.25</v>
      </c>
      <c r="AP5" s="71">
        <v>13654.3125</v>
      </c>
      <c r="AQ5" s="72">
        <v>2411776</v>
      </c>
      <c r="AR5" s="72">
        <v>840058.66666666698</v>
      </c>
      <c r="AS5" s="72">
        <v>696248</v>
      </c>
      <c r="AT5" s="72">
        <v>875362.66666666698</v>
      </c>
      <c r="AU5" s="73">
        <v>66.315200000000004</v>
      </c>
      <c r="AV5" s="73">
        <v>68.412687500000004</v>
      </c>
      <c r="AW5" s="73">
        <v>32.176012499999999</v>
      </c>
      <c r="AX5" s="73">
        <v>44.123815624999999</v>
      </c>
      <c r="AY5" s="73">
        <v>43.710996874999999</v>
      </c>
      <c r="AZ5" s="74"/>
      <c r="BA5" s="74"/>
      <c r="BB5" s="74"/>
      <c r="BC5" s="74"/>
      <c r="BE5" s="23">
        <f t="shared" ref="BE5:BE29" si="14">(AP5/AO5) - (R5/Q5)</f>
        <v>0</v>
      </c>
      <c r="BF5" s="23">
        <f t="shared" ref="BF5:BF29" si="15">(AL5/AQ5) - (N5/S5)</f>
        <v>1.2704781698114065E-3</v>
      </c>
      <c r="BG5" s="23">
        <f t="array" ref="BG5">AVERAGE(AL5:AL9/AQ5:AQ9) - AVERAGE(N5:N9/S5:S9)</f>
        <v>9.1166802943742908E-5</v>
      </c>
      <c r="BI5" s="24">
        <f>IF( OR(ISBLANK(N5:N9),ISBLANK(AL5:AL9), ISBLANK(W5:W9),ISBLANK(AU5:AU9)), "·", bdRateExtend( N5:N9,W5:W9, AL5:AL9,AU5:AU9))</f>
        <v>2.225386763610171E-4</v>
      </c>
      <c r="BJ5" s="24">
        <f>IF( OR(ISBLANK(N5:N9),ISBLANK(AL5:AL9), ISBLANK(X5:X9),ISBLANK(AV5:AV9)), "·", bdRateExtend( N5:N9,X5:X9, AL5:AL9,AV5:AV9))</f>
        <v>2.1216701381376879E-4</v>
      </c>
      <c r="BK5" s="24">
        <f>IF( OR(ISBLANK(V5:V9),ISBLANK(AT5:AT9), ISBLANK(Y5:Y9),ISBLANK(AW5:AW9)), "·", bdRateExtend( V5:V9,Y5:Y9, AT5:AT9,AW5:AW9))</f>
        <v>1.0438101367491459E-3</v>
      </c>
      <c r="BL5" s="24">
        <f>IF( OR(ISBLANK(V5:V9),ISBLANK(AT5:AT9), ISBLANK(Z5:Z9),ISBLANK(AX5:AX9)), "·", bdRateExtend( V5:V9,Z5:Z9, AT5:AT9,AX5:AX9))</f>
        <v>1.6412199031395458E-2</v>
      </c>
      <c r="BM5" s="24">
        <f>IF( OR(ISBLANK(V5:V9),ISBLANK(AT5:AT9), ISBLANK(AA5:AA9),ISBLANK(AY5:AY9)), "·", bdRateExtend( V5:V9,AA5:AA9, AT5:AT9,AY5:AY9))</f>
        <v>1.591963130439189E-2</v>
      </c>
      <c r="BO5" s="24">
        <f>IF( OR(ISBLANK(S5:S9),ISBLANK(AQ5:AQ9), ISBLANK(W5:W9),ISBLANK(AU5:AU9)), "·", bdRateExtend( S5:S9,W5:W9, AQ5:AQ9,AU5:AU9))</f>
        <v>3.1322820013013342E-4</v>
      </c>
      <c r="BP5" s="24">
        <f>IF( OR(ISBLANK(S5:S9),ISBLANK(AQ5:AQ9), ISBLANK(X5:X9),ISBLANK(AV5:AV9)), "·", bdRateExtend( S5:S9,X5:X9, AQ5:AQ9,AV5:AV9))</f>
        <v>6.3387801987602188E-4</v>
      </c>
      <c r="BQ5" s="24">
        <f>IF( OR(ISBLANK(S5:S9),ISBLANK(AQ5:AQ9), ISBLANK(Y5:Y9),ISBLANK(AW5:AW9)), "·", bdRateExtend( S5:S9,Y5:Y9, AQ5:AQ9,AW5:AW9))</f>
        <v>9.9515534315752774E-4</v>
      </c>
      <c r="BR5" s="24">
        <f>IF( OR(ISBLANK(S5:S9),ISBLANK(AQ5:AQ9), ISBLANK(Z5:Z9),ISBLANK(AX5:AX9)), "·", bdRateExtend( S5:S9,Z5:Z9, AQ5:AQ9,AX5:AX9))</f>
        <v>1.2097945294257562E-2</v>
      </c>
      <c r="BS5" s="24">
        <f>IF( OR(ISBLANK(S5:S9),ISBLANK(AQ5:AQ9), ISBLANK(AA5:AA9),ISBLANK(AY5:AY9)), "·", bdRateExtend( S5:S9,AA5:AA9, AQ5:AQ9,AY5:AY9))</f>
        <v>1.2116095028644303E-2</v>
      </c>
      <c r="BU5">
        <f>AQ5-S5</f>
        <v>-4048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3.5072025</v>
      </c>
      <c r="J6" s="28">
        <f t="shared" si="1"/>
        <v>0.14985438630244635</v>
      </c>
      <c r="K6" s="28">
        <f t="shared" si="2"/>
        <v>7.4366873934304939E-2</v>
      </c>
      <c r="L6" s="28">
        <f t="shared" si="3"/>
        <v>4.6496400605968331E-2</v>
      </c>
      <c r="M6" s="28">
        <f t="shared" si="4"/>
        <v>7.5463157629516442E-2</v>
      </c>
      <c r="N6" s="25">
        <f t="shared" si="5"/>
        <v>1856520</v>
      </c>
      <c r="O6" s="28">
        <f t="shared" si="6"/>
        <v>0.15493857235795039</v>
      </c>
      <c r="P6" s="75">
        <v>24145156</v>
      </c>
      <c r="Q6" s="75">
        <v>754536.125</v>
      </c>
      <c r="R6" s="75">
        <v>19085.875</v>
      </c>
      <c r="S6" s="76">
        <v>3741016</v>
      </c>
      <c r="T6" s="76">
        <v>1160752</v>
      </c>
      <c r="U6" s="76">
        <v>695768</v>
      </c>
      <c r="V6" s="76">
        <v>1883888</v>
      </c>
      <c r="W6" s="77">
        <v>68.236997000000002</v>
      </c>
      <c r="X6" s="77">
        <v>70.346675000000005</v>
      </c>
      <c r="Y6" s="77">
        <v>34.471631000000002</v>
      </c>
      <c r="Z6" s="77">
        <v>45.462893999999999</v>
      </c>
      <c r="AA6" s="77">
        <v>45.183922000000003</v>
      </c>
      <c r="AB6" s="78"/>
      <c r="AC6" s="78"/>
      <c r="AD6" s="78"/>
      <c r="AE6" s="78"/>
      <c r="AG6" s="27">
        <f t="shared" si="7"/>
        <v>3.5024099999999998</v>
      </c>
      <c r="AH6" s="28">
        <f t="shared" si="8"/>
        <v>0.14964961422374418</v>
      </c>
      <c r="AI6" s="28">
        <f t="shared" si="9"/>
        <v>7.4386528635651553E-2</v>
      </c>
      <c r="AJ6" s="28">
        <f t="shared" si="10"/>
        <v>4.6496827882084688E-2</v>
      </c>
      <c r="AK6" s="28">
        <f t="shared" si="11"/>
        <v>7.5258812826930616E-2</v>
      </c>
      <c r="AL6" s="25">
        <f t="shared" si="12"/>
        <v>1857010.66666667</v>
      </c>
      <c r="AM6" s="28">
        <f t="shared" si="13"/>
        <v>0.15472685287268387</v>
      </c>
      <c r="AN6" s="75">
        <v>24145156</v>
      </c>
      <c r="AO6" s="75">
        <v>754536.125</v>
      </c>
      <c r="AP6" s="75">
        <v>19085.875</v>
      </c>
      <c r="AQ6" s="76">
        <v>3735904</v>
      </c>
      <c r="AR6" s="76">
        <v>1160762.66666667</v>
      </c>
      <c r="AS6" s="76">
        <v>696248</v>
      </c>
      <c r="AT6" s="76">
        <v>1878786.66666667</v>
      </c>
      <c r="AU6" s="77">
        <v>68.236996875000003</v>
      </c>
      <c r="AV6" s="77">
        <v>70.346675000000005</v>
      </c>
      <c r="AW6" s="77">
        <v>34.464996874999997</v>
      </c>
      <c r="AX6" s="77">
        <v>45.410350000000001</v>
      </c>
      <c r="AY6" s="77">
        <v>45.138706249999998</v>
      </c>
      <c r="AZ6" s="78"/>
      <c r="BA6" s="78"/>
      <c r="BB6" s="78"/>
      <c r="BC6" s="78"/>
      <c r="BE6" s="33">
        <f t="shared" si="14"/>
        <v>0</v>
      </c>
      <c r="BF6" s="33">
        <f t="shared" si="15"/>
        <v>8.1039353057837937E-4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-5112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5.7253274999999997</v>
      </c>
      <c r="J7" s="18">
        <f t="shared" si="1"/>
        <v>0.24462956983322731</v>
      </c>
      <c r="K7" s="18">
        <f t="shared" si="2"/>
        <v>9.2125323876965148E-2</v>
      </c>
      <c r="L7" s="18">
        <f t="shared" si="3"/>
        <v>6.4254850548628548E-2</v>
      </c>
      <c r="M7" s="18">
        <f t="shared" si="4"/>
        <v>0.15247989121763719</v>
      </c>
      <c r="N7" s="15">
        <f t="shared" si="5"/>
        <v>2299848</v>
      </c>
      <c r="O7" s="18">
        <f t="shared" si="6"/>
        <v>0.24629320025657658</v>
      </c>
      <c r="P7" s="71">
        <v>24795715</v>
      </c>
      <c r="Q7" s="71">
        <v>774866.09375</v>
      </c>
      <c r="R7" s="71">
        <v>21114.21875</v>
      </c>
      <c r="S7" s="72">
        <v>6107016</v>
      </c>
      <c r="T7" s="72">
        <v>1604080</v>
      </c>
      <c r="U7" s="72">
        <v>695768</v>
      </c>
      <c r="V7" s="72">
        <v>3806560</v>
      </c>
      <c r="W7" s="73">
        <v>69.661175</v>
      </c>
      <c r="X7" s="73">
        <v>72.030416000000002</v>
      </c>
      <c r="Y7" s="73">
        <v>37.006359000000003</v>
      </c>
      <c r="Z7" s="73">
        <v>46.569611999999999</v>
      </c>
      <c r="AA7" s="73">
        <v>46.451906000000001</v>
      </c>
      <c r="AB7" s="74"/>
      <c r="AC7" s="74"/>
      <c r="AD7" s="74"/>
      <c r="AE7" s="74"/>
      <c r="AG7" s="17">
        <f t="shared" si="7"/>
        <v>5.7269024999999996</v>
      </c>
      <c r="AH7" s="18">
        <f t="shared" si="8"/>
        <v>0.24469686582153322</v>
      </c>
      <c r="AI7" s="18">
        <f t="shared" si="9"/>
        <v>9.2144978578311748E-2</v>
      </c>
      <c r="AJ7" s="18">
        <f t="shared" si="10"/>
        <v>6.4255277824744897E-2</v>
      </c>
      <c r="AK7" s="18">
        <f t="shared" si="11"/>
        <v>0.15254761448205942</v>
      </c>
      <c r="AL7" s="15">
        <f t="shared" si="12"/>
        <v>2300338.6666666698</v>
      </c>
      <c r="AM7" s="18">
        <f t="shared" si="13"/>
        <v>0.24636095389868773</v>
      </c>
      <c r="AN7" s="71">
        <v>24795715</v>
      </c>
      <c r="AO7" s="71">
        <v>774866.09375</v>
      </c>
      <c r="AP7" s="71">
        <v>21114.21875</v>
      </c>
      <c r="AQ7" s="72">
        <v>6108696</v>
      </c>
      <c r="AR7" s="72">
        <v>1604090.66666667</v>
      </c>
      <c r="AS7" s="72">
        <v>696248</v>
      </c>
      <c r="AT7" s="72">
        <v>3808250.6666666698</v>
      </c>
      <c r="AU7" s="73">
        <v>69.661175</v>
      </c>
      <c r="AV7" s="73">
        <v>72.030415625000003</v>
      </c>
      <c r="AW7" s="73">
        <v>37.007618749999999</v>
      </c>
      <c r="AX7" s="73">
        <v>46.562859375000002</v>
      </c>
      <c r="AY7" s="73">
        <v>46.389384374999999</v>
      </c>
      <c r="AZ7" s="74"/>
      <c r="BA7" s="74"/>
      <c r="BB7" s="74"/>
      <c r="BC7" s="74"/>
      <c r="BE7" s="23">
        <f t="shared" si="14"/>
        <v>0</v>
      </c>
      <c r="BF7" s="23">
        <f t="shared" si="15"/>
        <v>-2.3246600620474567E-5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1680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9.9494249999999997</v>
      </c>
      <c r="J8" s="28">
        <f t="shared" si="1"/>
        <v>0.42511516726998722</v>
      </c>
      <c r="K8" s="28">
        <f t="shared" si="2"/>
        <v>0.12202653376670347</v>
      </c>
      <c r="L8" s="28">
        <f t="shared" si="3"/>
        <v>9.415606043836687E-2</v>
      </c>
      <c r="M8" s="28">
        <f t="shared" si="4"/>
        <v>0.30306427876465875</v>
      </c>
      <c r="N8" s="25">
        <f t="shared" si="5"/>
        <v>3046312</v>
      </c>
      <c r="O8" s="28">
        <f t="shared" si="6"/>
        <v>0.40878129923931084</v>
      </c>
      <c r="P8" s="75">
        <v>25961853</v>
      </c>
      <c r="Q8" s="75">
        <v>811307.90625</v>
      </c>
      <c r="R8" s="75">
        <v>24718.375</v>
      </c>
      <c r="S8" s="76">
        <v>10612720</v>
      </c>
      <c r="T8" s="76">
        <v>2350544</v>
      </c>
      <c r="U8" s="76">
        <v>695768</v>
      </c>
      <c r="V8" s="76">
        <v>7565800</v>
      </c>
      <c r="W8" s="77">
        <v>70.739718999999994</v>
      </c>
      <c r="X8" s="77">
        <v>73.278436999999997</v>
      </c>
      <c r="Y8" s="77">
        <v>39.627544</v>
      </c>
      <c r="Z8" s="77">
        <v>47.914721999999998</v>
      </c>
      <c r="AA8" s="77">
        <v>47.954315999999999</v>
      </c>
      <c r="AB8" s="78"/>
      <c r="AC8" s="78"/>
      <c r="AD8" s="78"/>
      <c r="AE8" s="78"/>
      <c r="AG8" s="27">
        <f t="shared" si="7"/>
        <v>9.9756450000000001</v>
      </c>
      <c r="AH8" s="28">
        <f t="shared" si="8"/>
        <v>0.42623548524673655</v>
      </c>
      <c r="AI8" s="28">
        <f t="shared" si="9"/>
        <v>0.12204618846805008</v>
      </c>
      <c r="AJ8" s="28">
        <f t="shared" si="10"/>
        <v>9.415648771448322E-2</v>
      </c>
      <c r="AK8" s="28">
        <f t="shared" si="11"/>
        <v>0.30418502401752445</v>
      </c>
      <c r="AL8" s="25">
        <f t="shared" si="12"/>
        <v>3046802.6666666698</v>
      </c>
      <c r="AM8" s="28">
        <f t="shared" si="13"/>
        <v>0.40985857211347743</v>
      </c>
      <c r="AN8" s="75">
        <v>25961853</v>
      </c>
      <c r="AO8" s="75">
        <v>811307.90625</v>
      </c>
      <c r="AP8" s="75">
        <v>24718.375</v>
      </c>
      <c r="AQ8" s="76">
        <v>10640688</v>
      </c>
      <c r="AR8" s="76">
        <v>2350554.6666666698</v>
      </c>
      <c r="AS8" s="76">
        <v>696248</v>
      </c>
      <c r="AT8" s="76">
        <v>7593778.6666666698</v>
      </c>
      <c r="AU8" s="77">
        <v>70.739718749999994</v>
      </c>
      <c r="AV8" s="77">
        <v>73.278437499999995</v>
      </c>
      <c r="AW8" s="77">
        <v>39.629553125000001</v>
      </c>
      <c r="AX8" s="77">
        <v>47.881868750000002</v>
      </c>
      <c r="AY8" s="77">
        <v>47.937731249999999</v>
      </c>
      <c r="AZ8" s="78"/>
      <c r="BA8" s="78"/>
      <c r="BB8" s="78"/>
      <c r="BC8" s="78"/>
      <c r="BE8" s="33">
        <f t="shared" si="14"/>
        <v>0</v>
      </c>
      <c r="BF8" s="33">
        <f t="shared" si="15"/>
        <v>-7.0835317869816228E-4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27968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18.089737499999998</v>
      </c>
      <c r="J9" s="38">
        <f t="shared" si="1"/>
        <v>0.77293127825805619</v>
      </c>
      <c r="K9" s="38">
        <f t="shared" si="2"/>
        <v>0.19615242397145594</v>
      </c>
      <c r="L9" s="38">
        <f t="shared" si="3"/>
        <v>0.14397399875286113</v>
      </c>
      <c r="M9" s="38">
        <f t="shared" si="4"/>
        <v>0.5767544995479752</v>
      </c>
      <c r="N9" s="35">
        <f t="shared" si="5"/>
        <v>4896816</v>
      </c>
      <c r="O9" s="38">
        <f t="shared" si="6"/>
        <v>0.7712412375755654</v>
      </c>
      <c r="P9" s="79">
        <v>25019046</v>
      </c>
      <c r="Q9" s="79">
        <v>781845.1875</v>
      </c>
      <c r="R9" s="79">
        <v>10463.8125</v>
      </c>
      <c r="S9" s="80">
        <v>19295720</v>
      </c>
      <c r="T9" s="80">
        <v>3594216</v>
      </c>
      <c r="U9" s="80">
        <v>1302600</v>
      </c>
      <c r="V9" s="80">
        <v>14398296</v>
      </c>
      <c r="W9" s="81">
        <v>72.071483999999998</v>
      </c>
      <c r="X9" s="81">
        <v>75.303931000000006</v>
      </c>
      <c r="Y9" s="81">
        <v>42.046362000000002</v>
      </c>
      <c r="Z9" s="81">
        <v>49.444536999999997</v>
      </c>
      <c r="AA9" s="81">
        <v>49.603828</v>
      </c>
      <c r="AB9" s="82"/>
      <c r="AC9" s="82"/>
      <c r="AD9" s="82"/>
      <c r="AE9" s="82"/>
      <c r="AG9" s="37">
        <f t="shared" si="7"/>
        <v>18.1554675</v>
      </c>
      <c r="AH9" s="38">
        <f t="shared" si="8"/>
        <v>0.77573976417002155</v>
      </c>
      <c r="AI9" s="38">
        <f t="shared" si="9"/>
        <v>0.19617207867280254</v>
      </c>
      <c r="AJ9" s="38">
        <f t="shared" si="10"/>
        <v>0.14397442602897748</v>
      </c>
      <c r="AK9" s="38">
        <f t="shared" si="11"/>
        <v>0.57956341273605816</v>
      </c>
      <c r="AL9" s="35">
        <f t="shared" si="12"/>
        <v>4897306.6666666698</v>
      </c>
      <c r="AM9" s="38">
        <f t="shared" si="13"/>
        <v>0.77404358263700379</v>
      </c>
      <c r="AN9" s="79">
        <v>25019046</v>
      </c>
      <c r="AO9" s="79">
        <v>781845.1875</v>
      </c>
      <c r="AP9" s="79">
        <v>10463.8125</v>
      </c>
      <c r="AQ9" s="80">
        <v>19365832</v>
      </c>
      <c r="AR9" s="80">
        <v>3594226.6666666698</v>
      </c>
      <c r="AS9" s="80">
        <v>1303080</v>
      </c>
      <c r="AT9" s="80">
        <v>14468418.6666667</v>
      </c>
      <c r="AU9" s="81">
        <v>72.071484374999997</v>
      </c>
      <c r="AV9" s="81">
        <v>75.303931250000005</v>
      </c>
      <c r="AW9" s="81">
        <v>42.040424999999999</v>
      </c>
      <c r="AX9" s="81">
        <v>49.43336875</v>
      </c>
      <c r="AY9" s="81">
        <v>49.587196874999997</v>
      </c>
      <c r="AZ9" s="82"/>
      <c r="BA9" s="82"/>
      <c r="BB9" s="82"/>
      <c r="BC9" s="82"/>
      <c r="BE9" s="43">
        <f t="shared" si="14"/>
        <v>0</v>
      </c>
      <c r="BF9" s="43">
        <f t="shared" si="15"/>
        <v>-8.9343790635265652E-4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70112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3.3000525000000001</v>
      </c>
      <c r="J10" s="28">
        <f t="shared" si="1"/>
        <v>0.15537800859676953</v>
      </c>
      <c r="K10" s="28">
        <f t="shared" si="2"/>
        <v>8.015788626413603E-2</v>
      </c>
      <c r="L10" s="28">
        <f t="shared" si="3"/>
        <v>4.0192473211734615E-2</v>
      </c>
      <c r="M10" s="28">
        <f t="shared" si="4"/>
        <v>7.5193284739928493E-2</v>
      </c>
      <c r="N10" s="25">
        <f t="shared" si="5"/>
        <v>1815960</v>
      </c>
      <c r="O10" s="28">
        <f t="shared" si="6"/>
        <v>0.17073901022133195</v>
      </c>
      <c r="P10" s="75">
        <v>20616589</v>
      </c>
      <c r="Q10" s="75">
        <v>644268.40625</v>
      </c>
      <c r="R10" s="75">
        <v>18739.96875</v>
      </c>
      <c r="S10" s="76">
        <v>3520056</v>
      </c>
      <c r="T10" s="76">
        <v>910552</v>
      </c>
      <c r="U10" s="76">
        <v>905408</v>
      </c>
      <c r="V10" s="76">
        <v>1703488</v>
      </c>
      <c r="W10" s="77">
        <v>65.911409000000006</v>
      </c>
      <c r="X10" s="77">
        <v>67.863568999999998</v>
      </c>
      <c r="Y10" s="77">
        <v>32.553738000000003</v>
      </c>
      <c r="Z10" s="77">
        <v>39.252949999999998</v>
      </c>
      <c r="AA10" s="77">
        <v>32.229005999999998</v>
      </c>
      <c r="AB10" s="78"/>
      <c r="AC10" s="78"/>
      <c r="AD10" s="78"/>
      <c r="AE10" s="78"/>
      <c r="AG10" s="27">
        <f t="shared" si="7"/>
        <v>3.2843550000000001</v>
      </c>
      <c r="AH10" s="28">
        <f t="shared" si="8"/>
        <v>0.15463891541872229</v>
      </c>
      <c r="AI10" s="28">
        <f t="shared" si="9"/>
        <v>8.0179544672283942E-2</v>
      </c>
      <c r="AJ10" s="28">
        <f t="shared" si="10"/>
        <v>4.0192944046694365E-2</v>
      </c>
      <c r="AK10" s="28">
        <f t="shared" si="11"/>
        <v>7.445466239684112E-2</v>
      </c>
      <c r="AL10" s="25">
        <f t="shared" si="12"/>
        <v>1816450.666666667</v>
      </c>
      <c r="AM10" s="28">
        <f t="shared" si="13"/>
        <v>0.16992684871391675</v>
      </c>
      <c r="AN10" s="75">
        <v>20616589</v>
      </c>
      <c r="AO10" s="75">
        <v>644268.40625</v>
      </c>
      <c r="AP10" s="75">
        <v>18739.96875</v>
      </c>
      <c r="AQ10" s="76">
        <v>3503312</v>
      </c>
      <c r="AR10" s="76">
        <v>910562.66666666698</v>
      </c>
      <c r="AS10" s="76">
        <v>905888</v>
      </c>
      <c r="AT10" s="76">
        <v>1686754.66666667</v>
      </c>
      <c r="AU10" s="77">
        <v>65.911412499999997</v>
      </c>
      <c r="AV10" s="77">
        <v>67.863568749999999</v>
      </c>
      <c r="AW10" s="77">
        <v>32.529512500000003</v>
      </c>
      <c r="AX10" s="77">
        <v>39.2318</v>
      </c>
      <c r="AY10" s="77">
        <v>32.225631249999999</v>
      </c>
      <c r="AZ10" s="78"/>
      <c r="BA10" s="78"/>
      <c r="BB10" s="78"/>
      <c r="BC10" s="78"/>
      <c r="BE10" s="33">
        <f t="shared" si="14"/>
        <v>0</v>
      </c>
      <c r="BF10" s="33">
        <f t="shared" si="15"/>
        <v>2.6057401648876821E-3</v>
      </c>
      <c r="BG10" s="33">
        <f t="array" ref="BG10">AVERAGE(AL10:AL14/AQ10:AQ14) - AVERAGE(N10:N14/S10:S14)</f>
        <v>8.736158309203268E-4</v>
      </c>
      <c r="BI10" s="34">
        <f>IF( OR(ISBLANK(N10:N14),ISBLANK(AL10:AL14), ISBLANK(W10:W14),ISBLANK(AU10:AU14)), "·", bdRateExtend( N10:N14,W10:W14, AL10:AL14,AU10:AU14))</f>
        <v>1.8850571330131238E-4</v>
      </c>
      <c r="BJ10" s="34">
        <f>IF( OR(ISBLANK(N10:N14),ISBLANK(AL10:AL14), ISBLANK(X10:X14),ISBLANK(AV10:AV14)), "·", bdRateExtend( N10:N14,X10:X14, AL10:AL14,AV10:AV14))</f>
        <v>1.7643130905042881E-4</v>
      </c>
      <c r="BK10" s="34">
        <f>IF( OR(ISBLANK(V10:V14),ISBLANK(AT10:AT14), ISBLANK(Y10:Y14),ISBLANK(AW10:AW14)), "·", bdRateExtend( V10:V14,Y10:Y14, AT10:AT14,AW10:AW14))</f>
        <v>-7.0413918816203402E-4</v>
      </c>
      <c r="BL10" s="34">
        <f>IF( OR(ISBLANK(V10:V14),ISBLANK(AT10:AT14), ISBLANK(Z10:Z14),ISBLANK(AX10:AX14)), "·", bdRateExtend( V10:V14,Z10:Z14, AT10:AT14,AX10:AX14))</f>
        <v>4.6109529837601304E-3</v>
      </c>
      <c r="BM10" s="34">
        <f>IF( OR(ISBLANK(V10:V14),ISBLANK(AT10:AT14), ISBLANK(AA10:AA14),ISBLANK(AY10:AY14)), "·", bdRateExtend( V10:V14,AA10:AA14, AT10:AT14,AY10:AY14))</f>
        <v>-1.0742154729584952E-3</v>
      </c>
      <c r="BO10" s="34">
        <f>IF( OR(ISBLANK(S10:S14),ISBLANK(AQ10:AQ14), ISBLANK(W10:W14),ISBLANK(AU10:AU14)), "·", bdRateExtend( S10:S14,W10:W14, AQ10:AQ14,AU10:AU14))</f>
        <v>-1.9713609748860383E-3</v>
      </c>
      <c r="BP10" s="34">
        <f>IF( OR(ISBLANK(S10:S14),ISBLANK(AQ10:AQ14), ISBLANK(X10:X14),ISBLANK(AV10:AV14)), "·", bdRateExtend( S10:S14,X10:X14, AQ10:AQ14,AV10:AV14))</f>
        <v>-1.5056678242632016E-3</v>
      </c>
      <c r="BQ10" s="34">
        <f>IF( OR(ISBLANK(S10:S14),ISBLANK(AQ10:AQ14), ISBLANK(Y10:Y14),ISBLANK(AW10:AW14)), "·", bdRateExtend( S10:S14,Y10:Y14, AQ10:AQ14,AW10:AW14))</f>
        <v>5.5971154129919043E-5</v>
      </c>
      <c r="BR10" s="34">
        <f>IF( OR(ISBLANK(S10:S14),ISBLANK(AQ10:AQ14), ISBLANK(Z10:Z14),ISBLANK(AX10:AX14)), "·", bdRateExtend( S10:S14,Z10:Z14, AQ10:AQ14,AX10:AX14))</f>
        <v>4.1810987725314774E-3</v>
      </c>
      <c r="BS10" s="34">
        <f>IF( OR(ISBLANK(S10:S14),ISBLANK(AQ10:AQ14), ISBLANK(AA10:AA14),ISBLANK(AY10:AY14)), "·", bdRateExtend( S10:S14,AA10:AA14, AQ10:AQ14,AY10:AY14))</f>
        <v>-5.587025724329564E-5</v>
      </c>
      <c r="BU10" s="4">
        <f t="shared" si="16"/>
        <v>-16744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4.7570699999999997</v>
      </c>
      <c r="J11" s="18">
        <f t="shared" si="1"/>
        <v>0.22397948619163921</v>
      </c>
      <c r="K11" s="18">
        <f t="shared" si="2"/>
        <v>9.6220891750525686E-2</v>
      </c>
      <c r="L11" s="18">
        <f t="shared" si="3"/>
        <v>5.6255478698124271E-2</v>
      </c>
      <c r="M11" s="18">
        <f t="shared" si="4"/>
        <v>0.12773175684840851</v>
      </c>
      <c r="N11" s="15">
        <f t="shared" si="5"/>
        <v>2179864</v>
      </c>
      <c r="O11" s="18">
        <f t="shared" si="6"/>
        <v>0.22698391759166425</v>
      </c>
      <c r="P11" s="71">
        <v>22354923</v>
      </c>
      <c r="Q11" s="71">
        <v>698591.34375</v>
      </c>
      <c r="R11" s="71">
        <v>24804.25</v>
      </c>
      <c r="S11" s="72">
        <v>5074208</v>
      </c>
      <c r="T11" s="72">
        <v>1274456</v>
      </c>
      <c r="U11" s="72">
        <v>905408</v>
      </c>
      <c r="V11" s="72">
        <v>2893736</v>
      </c>
      <c r="W11" s="73">
        <v>67.647352999999995</v>
      </c>
      <c r="X11" s="73">
        <v>69.711855999999997</v>
      </c>
      <c r="Y11" s="73">
        <v>34.420766</v>
      </c>
      <c r="Z11" s="73">
        <v>40.133780999999999</v>
      </c>
      <c r="AA11" s="73">
        <v>34.021766</v>
      </c>
      <c r="AB11" s="74"/>
      <c r="AC11" s="74"/>
      <c r="AD11" s="74"/>
      <c r="AE11" s="74"/>
      <c r="AG11" s="17">
        <f t="shared" si="7"/>
        <v>4.7392725000000002</v>
      </c>
      <c r="AH11" s="18">
        <f t="shared" si="8"/>
        <v>0.22314151767204718</v>
      </c>
      <c r="AI11" s="18">
        <f t="shared" si="9"/>
        <v>9.6242550158673723E-2</v>
      </c>
      <c r="AJ11" s="18">
        <f t="shared" si="10"/>
        <v>5.6255949533084153E-2</v>
      </c>
      <c r="AK11" s="18">
        <f t="shared" si="11"/>
        <v>0.12689425916377636</v>
      </c>
      <c r="AL11" s="15">
        <f t="shared" si="12"/>
        <v>2180354.6666666698</v>
      </c>
      <c r="AM11" s="18">
        <f t="shared" si="13"/>
        <v>0.22613470867244767</v>
      </c>
      <c r="AN11" s="71">
        <v>22354923</v>
      </c>
      <c r="AO11" s="71">
        <v>698591.34375</v>
      </c>
      <c r="AP11" s="71">
        <v>24804.25</v>
      </c>
      <c r="AQ11" s="72">
        <v>5055224</v>
      </c>
      <c r="AR11" s="72">
        <v>1274466.66666667</v>
      </c>
      <c r="AS11" s="72">
        <v>905888</v>
      </c>
      <c r="AT11" s="72">
        <v>2874762.6666666698</v>
      </c>
      <c r="AU11" s="73">
        <v>67.647353124999995</v>
      </c>
      <c r="AV11" s="73">
        <v>69.711856249999997</v>
      </c>
      <c r="AW11" s="73">
        <v>34.409750000000003</v>
      </c>
      <c r="AX11" s="73">
        <v>40.117953125</v>
      </c>
      <c r="AY11" s="73">
        <v>34.017837499999999</v>
      </c>
      <c r="AZ11" s="74"/>
      <c r="BA11" s="74"/>
      <c r="BB11" s="74"/>
      <c r="BC11" s="74"/>
      <c r="BE11" s="23">
        <f t="shared" si="14"/>
        <v>0</v>
      </c>
      <c r="BF11" s="23">
        <f t="shared" si="15"/>
        <v>1.7103364986737479E-3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-18984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7.3608225000000003</v>
      </c>
      <c r="J12" s="28">
        <f t="shared" si="1"/>
        <v>0.34657325654191701</v>
      </c>
      <c r="K12" s="28">
        <f t="shared" si="2"/>
        <v>0.11988529224439036</v>
      </c>
      <c r="L12" s="28">
        <f t="shared" si="3"/>
        <v>7.9919879191988938E-2</v>
      </c>
      <c r="M12" s="28">
        <f t="shared" si="4"/>
        <v>0.22666112670482166</v>
      </c>
      <c r="N12" s="25">
        <f t="shared" si="5"/>
        <v>2715976</v>
      </c>
      <c r="O12" s="28">
        <f t="shared" si="6"/>
        <v>0.34521106582676259</v>
      </c>
      <c r="P12" s="75">
        <v>22744184</v>
      </c>
      <c r="Q12" s="75">
        <v>710755.75</v>
      </c>
      <c r="R12" s="75">
        <v>26442.53125</v>
      </c>
      <c r="S12" s="76">
        <v>7851544</v>
      </c>
      <c r="T12" s="76">
        <v>1810568</v>
      </c>
      <c r="U12" s="76">
        <v>905408</v>
      </c>
      <c r="V12" s="76">
        <v>5134960</v>
      </c>
      <c r="W12" s="77">
        <v>69.019006000000005</v>
      </c>
      <c r="X12" s="77">
        <v>71.354128000000003</v>
      </c>
      <c r="Y12" s="77">
        <v>36.533206</v>
      </c>
      <c r="Z12" s="77">
        <v>41.055356000000003</v>
      </c>
      <c r="AA12" s="77">
        <v>35.828488</v>
      </c>
      <c r="AB12" s="78"/>
      <c r="AC12" s="78"/>
      <c r="AD12" s="78"/>
      <c r="AE12" s="78"/>
      <c r="AG12" s="27">
        <f t="shared" si="7"/>
        <v>7.3507724999999997</v>
      </c>
      <c r="AH12" s="28">
        <f t="shared" si="8"/>
        <v>0.34610006740738131</v>
      </c>
      <c r="AI12" s="28">
        <f t="shared" si="9"/>
        <v>0.1199069506525384</v>
      </c>
      <c r="AJ12" s="28">
        <f t="shared" si="10"/>
        <v>7.9920350026948833E-2</v>
      </c>
      <c r="AK12" s="28">
        <f t="shared" si="11"/>
        <v>0.22618840840524579</v>
      </c>
      <c r="AL12" s="25">
        <f t="shared" si="12"/>
        <v>2716466.6666666698</v>
      </c>
      <c r="AM12" s="28">
        <f t="shared" si="13"/>
        <v>0.34473973654099876</v>
      </c>
      <c r="AN12" s="75">
        <v>22744184</v>
      </c>
      <c r="AO12" s="75">
        <v>710755.75</v>
      </c>
      <c r="AP12" s="75">
        <v>26442.53125</v>
      </c>
      <c r="AQ12" s="76">
        <v>7840824</v>
      </c>
      <c r="AR12" s="76">
        <v>1810578.66666667</v>
      </c>
      <c r="AS12" s="76">
        <v>905888</v>
      </c>
      <c r="AT12" s="76">
        <v>5124250.6666666698</v>
      </c>
      <c r="AU12" s="77">
        <v>69.019006250000004</v>
      </c>
      <c r="AV12" s="77">
        <v>71.354128125000003</v>
      </c>
      <c r="AW12" s="77">
        <v>36.532943750000001</v>
      </c>
      <c r="AX12" s="77">
        <v>41.038721875</v>
      </c>
      <c r="AY12" s="77">
        <v>35.820659374999998</v>
      </c>
      <c r="AZ12" s="78"/>
      <c r="BA12" s="78"/>
      <c r="BB12" s="78"/>
      <c r="BC12" s="78"/>
      <c r="BE12" s="33">
        <f t="shared" si="14"/>
        <v>0</v>
      </c>
      <c r="BF12" s="33">
        <f t="shared" si="15"/>
        <v>5.3551616123309609E-4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-10720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12.730845</v>
      </c>
      <c r="J13" s="18">
        <f t="shared" si="1"/>
        <v>0.59941268929937952</v>
      </c>
      <c r="K13" s="18">
        <f t="shared" si="2"/>
        <v>0.16153087985061348</v>
      </c>
      <c r="L13" s="18">
        <f t="shared" si="3"/>
        <v>0.12156546679821206</v>
      </c>
      <c r="M13" s="18">
        <f t="shared" si="4"/>
        <v>0.43785497185606098</v>
      </c>
      <c r="N13" s="15">
        <f t="shared" si="5"/>
        <v>3659448</v>
      </c>
      <c r="O13" s="18">
        <f t="shared" si="6"/>
        <v>0.57239185338243137</v>
      </c>
      <c r="P13" s="71">
        <v>23724251</v>
      </c>
      <c r="Q13" s="71">
        <v>741382.84375</v>
      </c>
      <c r="R13" s="71">
        <v>30299.78125</v>
      </c>
      <c r="S13" s="72">
        <v>13579568</v>
      </c>
      <c r="T13" s="72">
        <v>2754040</v>
      </c>
      <c r="U13" s="72">
        <v>905408</v>
      </c>
      <c r="V13" s="72">
        <v>9919512</v>
      </c>
      <c r="W13" s="73">
        <v>70.047775000000001</v>
      </c>
      <c r="X13" s="73">
        <v>72.594933999999995</v>
      </c>
      <c r="Y13" s="73">
        <v>38.872250000000001</v>
      </c>
      <c r="Z13" s="73">
        <v>42.220149999999997</v>
      </c>
      <c r="AA13" s="73">
        <v>37.913215999999998</v>
      </c>
      <c r="AB13" s="74"/>
      <c r="AC13" s="74"/>
      <c r="AD13" s="74"/>
      <c r="AE13" s="74"/>
      <c r="AG13" s="17">
        <f t="shared" si="7"/>
        <v>12.735555</v>
      </c>
      <c r="AH13" s="18">
        <f t="shared" si="8"/>
        <v>0.59963445256541559</v>
      </c>
      <c r="AI13" s="18">
        <f t="shared" si="9"/>
        <v>0.16155253825876154</v>
      </c>
      <c r="AJ13" s="18">
        <f t="shared" si="10"/>
        <v>0.12156593763317194</v>
      </c>
      <c r="AK13" s="18">
        <f t="shared" si="11"/>
        <v>0.43807720595705701</v>
      </c>
      <c r="AL13" s="15">
        <f t="shared" si="12"/>
        <v>3659938.6666666698</v>
      </c>
      <c r="AM13" s="18">
        <f t="shared" si="13"/>
        <v>0.5726036198150154</v>
      </c>
      <c r="AN13" s="71">
        <v>23724251</v>
      </c>
      <c r="AO13" s="71">
        <v>741382.84375</v>
      </c>
      <c r="AP13" s="71">
        <v>30299.78125</v>
      </c>
      <c r="AQ13" s="72">
        <v>13584592</v>
      </c>
      <c r="AR13" s="72">
        <v>2754050.6666666698</v>
      </c>
      <c r="AS13" s="72">
        <v>905888</v>
      </c>
      <c r="AT13" s="72">
        <v>9924546.6666666698</v>
      </c>
      <c r="AU13" s="73">
        <v>70.047775000000001</v>
      </c>
      <c r="AV13" s="73">
        <v>72.594934374999994</v>
      </c>
      <c r="AW13" s="73">
        <v>38.867293750000002</v>
      </c>
      <c r="AX13" s="73">
        <v>42.215028125000003</v>
      </c>
      <c r="AY13" s="73">
        <v>37.908743749999999</v>
      </c>
      <c r="AZ13" s="74"/>
      <c r="BA13" s="74"/>
      <c r="BB13" s="74"/>
      <c r="BC13" s="74"/>
      <c r="BE13" s="23">
        <f t="shared" si="14"/>
        <v>0</v>
      </c>
      <c r="BF13" s="23">
        <f t="shared" si="15"/>
        <v>-6.354334956615304E-5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5024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22.990132500000001</v>
      </c>
      <c r="J14" s="48">
        <f t="shared" si="1"/>
        <v>1.0824558109987252</v>
      </c>
      <c r="K14" s="48">
        <f t="shared" si="2"/>
        <v>0.26492870889241121</v>
      </c>
      <c r="L14" s="48">
        <f t="shared" si="3"/>
        <v>0.19096041900897864</v>
      </c>
      <c r="M14" s="48">
        <f t="shared" si="4"/>
        <v>0.81750026451360902</v>
      </c>
      <c r="N14" s="45">
        <f t="shared" si="5"/>
        <v>6001904</v>
      </c>
      <c r="O14" s="48">
        <f t="shared" si="6"/>
        <v>1.0906763763108911</v>
      </c>
      <c r="P14" s="83">
        <v>22484037</v>
      </c>
      <c r="Q14" s="83">
        <v>702626.15625</v>
      </c>
      <c r="R14" s="83">
        <v>14049.1875</v>
      </c>
      <c r="S14" s="84">
        <v>24522808</v>
      </c>
      <c r="T14" s="84">
        <v>4326168</v>
      </c>
      <c r="U14" s="84">
        <v>1675736</v>
      </c>
      <c r="V14" s="84">
        <v>18520296</v>
      </c>
      <c r="W14" s="85">
        <v>71.211693999999994</v>
      </c>
      <c r="X14" s="85">
        <v>74.745203000000004</v>
      </c>
      <c r="Y14" s="85">
        <v>41.134462999999997</v>
      </c>
      <c r="Z14" s="85">
        <v>43.554188000000003</v>
      </c>
      <c r="AA14" s="85">
        <v>39.763241000000001</v>
      </c>
      <c r="AB14" s="86"/>
      <c r="AC14" s="86"/>
      <c r="AD14" s="86"/>
      <c r="AE14" s="86"/>
      <c r="AG14" s="47">
        <f t="shared" si="7"/>
        <v>23.031532500000001</v>
      </c>
      <c r="AH14" s="48">
        <f t="shared" si="8"/>
        <v>1.0844050677320367</v>
      </c>
      <c r="AI14" s="48">
        <f t="shared" si="9"/>
        <v>0.26495036730055926</v>
      </c>
      <c r="AJ14" s="48">
        <f t="shared" si="10"/>
        <v>0.1909608898439385</v>
      </c>
      <c r="AK14" s="48">
        <f t="shared" si="11"/>
        <v>0.81944999208188174</v>
      </c>
      <c r="AL14" s="45">
        <f t="shared" si="12"/>
        <v>6002394.6666666698</v>
      </c>
      <c r="AM14" s="48">
        <f t="shared" si="13"/>
        <v>1.0926404364127313</v>
      </c>
      <c r="AN14" s="83">
        <v>22484037</v>
      </c>
      <c r="AO14" s="83">
        <v>702626.15625</v>
      </c>
      <c r="AP14" s="83">
        <v>14049.1875</v>
      </c>
      <c r="AQ14" s="84">
        <v>24566968</v>
      </c>
      <c r="AR14" s="84">
        <v>4326178.6666666698</v>
      </c>
      <c r="AS14" s="84">
        <v>1676216</v>
      </c>
      <c r="AT14" s="84">
        <v>18564466.666666701</v>
      </c>
      <c r="AU14" s="85">
        <v>71.211693749999995</v>
      </c>
      <c r="AV14" s="85">
        <v>74.745203125000003</v>
      </c>
      <c r="AW14" s="85">
        <v>41.129918750000002</v>
      </c>
      <c r="AX14" s="85">
        <v>43.543981250000002</v>
      </c>
      <c r="AY14" s="85">
        <v>39.753968749999999</v>
      </c>
      <c r="AZ14" s="86"/>
      <c r="BA14" s="86"/>
      <c r="BB14" s="86"/>
      <c r="BC14" s="86"/>
      <c r="BE14" s="53">
        <f t="shared" si="14"/>
        <v>0</v>
      </c>
      <c r="BF14" s="53">
        <f t="shared" si="15"/>
        <v>-4.1997032062665585E-4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44160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4.5420150000000001</v>
      </c>
      <c r="J15" s="18">
        <f t="shared" si="1"/>
        <v>0.14271404045479583</v>
      </c>
      <c r="K15" s="18">
        <f t="shared" si="2"/>
        <v>7.9147352408194274E-2</v>
      </c>
      <c r="L15" s="18">
        <f t="shared" si="3"/>
        <v>4.1033921632081423E-2</v>
      </c>
      <c r="M15" s="18">
        <f t="shared" si="4"/>
        <v>6.3548778153512411E-2</v>
      </c>
      <c r="N15" s="15">
        <f t="shared" si="5"/>
        <v>2686872</v>
      </c>
      <c r="O15" s="18">
        <f t="shared" si="6"/>
        <v>0.15618838162542348</v>
      </c>
      <c r="P15" s="71">
        <v>31019055</v>
      </c>
      <c r="Q15" s="71">
        <v>969345.46875</v>
      </c>
      <c r="R15" s="71">
        <v>30632.5625</v>
      </c>
      <c r="S15" s="72">
        <v>4844816</v>
      </c>
      <c r="T15" s="72">
        <v>1393008</v>
      </c>
      <c r="U15" s="72">
        <v>1293864</v>
      </c>
      <c r="V15" s="72">
        <v>2157336</v>
      </c>
      <c r="W15" s="73">
        <v>65.993662</v>
      </c>
      <c r="X15" s="73">
        <v>67.834547000000001</v>
      </c>
      <c r="Y15" s="73">
        <v>29.619847</v>
      </c>
      <c r="Z15" s="73">
        <v>43.190930999999999</v>
      </c>
      <c r="AA15" s="73">
        <v>43.488174999999998</v>
      </c>
      <c r="AB15" s="74"/>
      <c r="AC15" s="74"/>
      <c r="AD15" s="74"/>
      <c r="AE15" s="74"/>
      <c r="AG15" s="17">
        <f t="shared" si="7"/>
        <v>4.52475</v>
      </c>
      <c r="AH15" s="18">
        <f t="shared" si="8"/>
        <v>0.14217155921938554</v>
      </c>
      <c r="AI15" s="18">
        <f t="shared" si="9"/>
        <v>7.9161806006125948E-2</v>
      </c>
      <c r="AJ15" s="18">
        <f t="shared" si="10"/>
        <v>4.1034235840732208E-2</v>
      </c>
      <c r="AK15" s="18">
        <f t="shared" si="11"/>
        <v>6.3006611126752904E-2</v>
      </c>
      <c r="AL15" s="15">
        <f t="shared" si="12"/>
        <v>2687362.6666666698</v>
      </c>
      <c r="AM15" s="18">
        <f t="shared" si="13"/>
        <v>0.15559468204302163</v>
      </c>
      <c r="AN15" s="71">
        <v>31019055</v>
      </c>
      <c r="AO15" s="71">
        <v>969345.46875</v>
      </c>
      <c r="AP15" s="71">
        <v>30632.5625</v>
      </c>
      <c r="AQ15" s="72">
        <v>4826400</v>
      </c>
      <c r="AR15" s="72">
        <v>1393018.66666667</v>
      </c>
      <c r="AS15" s="72">
        <v>1294344</v>
      </c>
      <c r="AT15" s="72">
        <v>2138930.6666666698</v>
      </c>
      <c r="AU15" s="73">
        <v>65.993662499999999</v>
      </c>
      <c r="AV15" s="73">
        <v>67.834546875000001</v>
      </c>
      <c r="AW15" s="73">
        <v>29.606371875000001</v>
      </c>
      <c r="AX15" s="73">
        <v>43.158903125000002</v>
      </c>
      <c r="AY15" s="73">
        <v>43.472906250000001</v>
      </c>
      <c r="AZ15" s="74"/>
      <c r="BA15" s="74"/>
      <c r="BB15" s="74"/>
      <c r="BC15" s="74"/>
      <c r="BE15" s="23">
        <f t="shared" si="14"/>
        <v>0</v>
      </c>
      <c r="BF15" s="23">
        <f t="shared" si="15"/>
        <v>2.2177898576442034E-3</v>
      </c>
      <c r="BG15" s="23">
        <f t="array" ref="BG15">AVERAGE(AL15:AL19/AQ15:AQ19) - AVERAGE(N15:N19/S15:S19)</f>
        <v>4.904851358854545E-4</v>
      </c>
      <c r="BI15" s="24">
        <f>IF( OR(ISBLANK(N15:N19),ISBLANK(AL15:AL19), ISBLANK(W15:W19),ISBLANK(AU15:AU19)), "·", bdRateExtend( N15:N19,W15:W19, AL15:AL19,AU15:AU19))</f>
        <v>1.2839128678709955E-4</v>
      </c>
      <c r="BJ15" s="24">
        <f>IF( OR(ISBLANK(N15:N19),ISBLANK(AL15:AL19), ISBLANK(X15:X19),ISBLANK(AV15:AV19)), "·", bdRateExtend( N15:N19,X15:X19, AL15:AL19,AV15:AV19))</f>
        <v>1.2191417001083948E-4</v>
      </c>
      <c r="BK15" s="24">
        <f>IF( OR(ISBLANK(V15:V19),ISBLANK(AT15:AT19), ISBLANK(Y15:Y19),ISBLANK(AW15:AW19)), "·", bdRateExtend( V15:V19,Y15:Y19, AT15:AT19,AW15:AW19))</f>
        <v>3.8269795640655246E-4</v>
      </c>
      <c r="BL15" s="24">
        <f>IF( OR(ISBLANK(V15:V19),ISBLANK(AT15:AT19), ISBLANK(Z15:Z19),ISBLANK(AX15:AX19)), "·", bdRateExtend( V15:V19,Z15:Z19, AT15:AT19,AX15:AX19))</f>
        <v>6.122775251904411E-4</v>
      </c>
      <c r="BM15" s="24">
        <f>IF( OR(ISBLANK(V15:V19),ISBLANK(AT15:AT19), ISBLANK(AA15:AA19),ISBLANK(AY15:AY19)), "·", bdRateExtend( V15:V19,AA15:AA19, AT15:AT19,AY15:AY19))</f>
        <v>4.5073803615300889E-3</v>
      </c>
      <c r="BO15" s="24">
        <f>IF( OR(ISBLANK(S15:S19),ISBLANK(AQ15:AQ19), ISBLANK(W15:W19),ISBLANK(AU15:AU19)), "·", bdRateExtend( S15:S19,W15:W19, AQ15:AQ19,AU15:AU19))</f>
        <v>-8.0284500468463804E-4</v>
      </c>
      <c r="BP15" s="24">
        <f>IF( OR(ISBLANK(S15:S19),ISBLANK(AQ15:AQ19), ISBLANK(X15:X19),ISBLANK(AV15:AV19)), "·", bdRateExtend( S15:S19,X15:X19, AQ15:AQ19,AV15:AV19))</f>
        <v>-4.5239715148914783E-4</v>
      </c>
      <c r="BQ15" s="24">
        <f>IF( OR(ISBLANK(S15:S19),ISBLANK(AQ15:AQ19), ISBLANK(Y15:Y19),ISBLANK(AW15:AW19)), "·", bdRateExtend( S15:S19,Y15:Y19, AQ15:AQ19,AW15:AW19))</f>
        <v>7.2436295042388466E-4</v>
      </c>
      <c r="BR15" s="24">
        <f>IF( OR(ISBLANK(S15:S19),ISBLANK(AQ15:AQ19), ISBLANK(Z15:Z19),ISBLANK(AX15:AX19)), "·", bdRateExtend( S15:S19,Z15:Z19, AQ15:AQ19,AX15:AX19))</f>
        <v>3.8628544169316825E-4</v>
      </c>
      <c r="BS15" s="24">
        <f>IF( OR(ISBLANK(S15:S19),ISBLANK(AQ15:AQ19), ISBLANK(AA15:AA19),ISBLANK(AY15:AY19)), "·", bdRateExtend( S15:S19,AA15:AA19, AQ15:AQ19,AY15:AY19))</f>
        <v>4.3717980672137724E-3</v>
      </c>
      <c r="BU15" s="4">
        <f t="shared" si="16"/>
        <v>-18416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7.24254</v>
      </c>
      <c r="J16" s="28">
        <f t="shared" si="1"/>
        <v>0.2275668720943187</v>
      </c>
      <c r="K16" s="28">
        <f t="shared" si="2"/>
        <v>9.5054636662175646E-2</v>
      </c>
      <c r="L16" s="28">
        <f t="shared" si="3"/>
        <v>5.6941205886062801E-2</v>
      </c>
      <c r="M16" s="28">
        <f t="shared" si="4"/>
        <v>0.13249432553905391</v>
      </c>
      <c r="N16" s="25">
        <f t="shared" si="5"/>
        <v>3226888</v>
      </c>
      <c r="O16" s="28">
        <f t="shared" si="6"/>
        <v>0.23039019340054434</v>
      </c>
      <c r="P16" s="75">
        <v>33531705</v>
      </c>
      <c r="Q16" s="75">
        <v>1047865.78125</v>
      </c>
      <c r="R16" s="75">
        <v>38886.46875</v>
      </c>
      <c r="S16" s="76">
        <v>7725376</v>
      </c>
      <c r="T16" s="76">
        <v>1933024</v>
      </c>
      <c r="U16" s="76">
        <v>1293864</v>
      </c>
      <c r="V16" s="76">
        <v>4497880</v>
      </c>
      <c r="W16" s="77">
        <v>67.824271999999993</v>
      </c>
      <c r="X16" s="77">
        <v>69.877097000000006</v>
      </c>
      <c r="Y16" s="77">
        <v>32.069268999999998</v>
      </c>
      <c r="Z16" s="77">
        <v>44.04045</v>
      </c>
      <c r="AA16" s="77">
        <v>44.459963000000002</v>
      </c>
      <c r="AB16" s="78"/>
      <c r="AC16" s="78"/>
      <c r="AD16" s="78"/>
      <c r="AE16" s="78"/>
      <c r="AG16" s="27">
        <f t="shared" si="7"/>
        <v>7.2257999999999996</v>
      </c>
      <c r="AH16" s="28">
        <f t="shared" si="8"/>
        <v>0.22704088681306944</v>
      </c>
      <c r="AI16" s="28">
        <f t="shared" si="9"/>
        <v>9.506909026010732E-2</v>
      </c>
      <c r="AJ16" s="28">
        <f t="shared" si="10"/>
        <v>5.694152009471358E-2</v>
      </c>
      <c r="AK16" s="28">
        <f t="shared" si="11"/>
        <v>0.13196865446645545</v>
      </c>
      <c r="AL16" s="25">
        <f t="shared" si="12"/>
        <v>3227378.6666666698</v>
      </c>
      <c r="AM16" s="28">
        <f t="shared" si="13"/>
        <v>0.22985768245306942</v>
      </c>
      <c r="AN16" s="75">
        <v>33531705</v>
      </c>
      <c r="AO16" s="75">
        <v>1047865.78125</v>
      </c>
      <c r="AP16" s="75">
        <v>38886.46875</v>
      </c>
      <c r="AQ16" s="76">
        <v>7707520</v>
      </c>
      <c r="AR16" s="76">
        <v>1933034.66666667</v>
      </c>
      <c r="AS16" s="76">
        <v>1294344</v>
      </c>
      <c r="AT16" s="76">
        <v>4480034.6666666698</v>
      </c>
      <c r="AU16" s="77">
        <v>67.824271874999994</v>
      </c>
      <c r="AV16" s="77">
        <v>69.877096875000007</v>
      </c>
      <c r="AW16" s="77">
        <v>32.061403124999998</v>
      </c>
      <c r="AX16" s="77">
        <v>44.034912499999997</v>
      </c>
      <c r="AY16" s="77">
        <v>44.458859375000003</v>
      </c>
      <c r="AZ16" s="78"/>
      <c r="BA16" s="78"/>
      <c r="BB16" s="78"/>
      <c r="BC16" s="78"/>
      <c r="BE16" s="33">
        <f t="shared" si="14"/>
        <v>0</v>
      </c>
      <c r="BF16" s="33">
        <f t="shared" si="15"/>
        <v>1.0313452669688528E-3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-17856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12.1844175</v>
      </c>
      <c r="J17" s="18">
        <f t="shared" si="1"/>
        <v>0.38284493820762855</v>
      </c>
      <c r="K17" s="18">
        <f t="shared" si="2"/>
        <v>0.11865893312769948</v>
      </c>
      <c r="L17" s="18">
        <f t="shared" si="3"/>
        <v>8.054550235158664E-2</v>
      </c>
      <c r="M17" s="18">
        <f t="shared" si="4"/>
        <v>0.26416809518683998</v>
      </c>
      <c r="N17" s="15">
        <f t="shared" si="5"/>
        <v>4028200</v>
      </c>
      <c r="O17" s="18">
        <f t="shared" si="6"/>
        <v>0.3818152499103315</v>
      </c>
      <c r="P17" s="71">
        <v>34039269</v>
      </c>
      <c r="Q17" s="71">
        <v>1063727.15625</v>
      </c>
      <c r="R17" s="71">
        <v>40807.28125</v>
      </c>
      <c r="S17" s="72">
        <v>12996712</v>
      </c>
      <c r="T17" s="72">
        <v>2734336</v>
      </c>
      <c r="U17" s="72">
        <v>1293864</v>
      </c>
      <c r="V17" s="72">
        <v>8967904</v>
      </c>
      <c r="W17" s="73">
        <v>69.261244000000005</v>
      </c>
      <c r="X17" s="73">
        <v>71.672758999999999</v>
      </c>
      <c r="Y17" s="73">
        <v>34.620125000000002</v>
      </c>
      <c r="Z17" s="73">
        <v>44.856715999999999</v>
      </c>
      <c r="AA17" s="73">
        <v>45.372</v>
      </c>
      <c r="AB17" s="74"/>
      <c r="AC17" s="74"/>
      <c r="AD17" s="74"/>
      <c r="AE17" s="74"/>
      <c r="AG17" s="17">
        <f t="shared" si="7"/>
        <v>12.183285</v>
      </c>
      <c r="AH17" s="18">
        <f t="shared" si="8"/>
        <v>0.38280935407793831</v>
      </c>
      <c r="AI17" s="18">
        <f t="shared" si="9"/>
        <v>0.11867338672563116</v>
      </c>
      <c r="AJ17" s="18">
        <f t="shared" si="10"/>
        <v>8.0545816560237418E-2</v>
      </c>
      <c r="AK17" s="18">
        <f t="shared" si="11"/>
        <v>0.26413282526580051</v>
      </c>
      <c r="AL17" s="15">
        <f t="shared" si="12"/>
        <v>4028690.6666666698</v>
      </c>
      <c r="AM17" s="18">
        <f t="shared" si="13"/>
        <v>0.38177976148665238</v>
      </c>
      <c r="AN17" s="71">
        <v>34039269</v>
      </c>
      <c r="AO17" s="71">
        <v>1063727.15625</v>
      </c>
      <c r="AP17" s="71">
        <v>40807.28125</v>
      </c>
      <c r="AQ17" s="72">
        <v>12995504</v>
      </c>
      <c r="AR17" s="72">
        <v>2734346.6666666698</v>
      </c>
      <c r="AS17" s="72">
        <v>1294344</v>
      </c>
      <c r="AT17" s="72">
        <v>8966706.6666666698</v>
      </c>
      <c r="AU17" s="73">
        <v>69.261243750000006</v>
      </c>
      <c r="AV17" s="73">
        <v>71.672759374999998</v>
      </c>
      <c r="AW17" s="73">
        <v>34.616384375000003</v>
      </c>
      <c r="AX17" s="73">
        <v>44.868765625000002</v>
      </c>
      <c r="AY17" s="73">
        <v>45.380062500000001</v>
      </c>
      <c r="AZ17" s="74"/>
      <c r="BA17" s="74"/>
      <c r="BB17" s="74"/>
      <c r="BC17" s="74"/>
      <c r="BE17" s="23">
        <f t="shared" si="14"/>
        <v>0</v>
      </c>
      <c r="BF17" s="23">
        <f t="shared" si="15"/>
        <v>6.6567183651500272E-5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-1208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21.99249</v>
      </c>
      <c r="J18" s="28">
        <f t="shared" si="1"/>
        <v>0.69102306081369003</v>
      </c>
      <c r="K18" s="28">
        <f t="shared" si="2"/>
        <v>0.15756252010812627</v>
      </c>
      <c r="L18" s="28">
        <f t="shared" si="3"/>
        <v>0.11944908933201343</v>
      </c>
      <c r="M18" s="28">
        <f t="shared" si="4"/>
        <v>0.53344263081247467</v>
      </c>
      <c r="N18" s="25">
        <f t="shared" si="5"/>
        <v>5348888</v>
      </c>
      <c r="O18" s="28">
        <f t="shared" si="6"/>
        <v>0.65974203452251567</v>
      </c>
      <c r="P18" s="75">
        <v>35557316</v>
      </c>
      <c r="Q18" s="75">
        <v>1111166.125</v>
      </c>
      <c r="R18" s="75">
        <v>46580.46875</v>
      </c>
      <c r="S18" s="76">
        <v>23458656</v>
      </c>
      <c r="T18" s="76">
        <v>4055024</v>
      </c>
      <c r="U18" s="76">
        <v>1293864</v>
      </c>
      <c r="V18" s="76">
        <v>18109160</v>
      </c>
      <c r="W18" s="77">
        <v>70.382015999999993</v>
      </c>
      <c r="X18" s="77">
        <v>73.005503000000004</v>
      </c>
      <c r="Y18" s="77">
        <v>37.274690999999997</v>
      </c>
      <c r="Z18" s="77">
        <v>46.213653000000001</v>
      </c>
      <c r="AA18" s="77">
        <v>46.780183999999998</v>
      </c>
      <c r="AB18" s="78"/>
      <c r="AC18" s="78"/>
      <c r="AD18" s="78"/>
      <c r="AE18" s="78"/>
      <c r="AG18" s="27">
        <f t="shared" si="7"/>
        <v>22.021394999999998</v>
      </c>
      <c r="AH18" s="28">
        <f t="shared" si="8"/>
        <v>0.69193128091849943</v>
      </c>
      <c r="AI18" s="28">
        <f t="shared" si="9"/>
        <v>0.15757697370605794</v>
      </c>
      <c r="AJ18" s="28">
        <f t="shared" si="10"/>
        <v>0.1194494035406642</v>
      </c>
      <c r="AK18" s="28">
        <f t="shared" si="11"/>
        <v>0.53435116512593572</v>
      </c>
      <c r="AL18" s="25">
        <f t="shared" si="12"/>
        <v>5349378.6666666698</v>
      </c>
      <c r="AM18" s="28">
        <f t="shared" si="13"/>
        <v>0.66060914158987705</v>
      </c>
      <c r="AN18" s="75">
        <v>35557316</v>
      </c>
      <c r="AO18" s="75">
        <v>1111166.125</v>
      </c>
      <c r="AP18" s="75">
        <v>46580.46875</v>
      </c>
      <c r="AQ18" s="76">
        <v>23489488</v>
      </c>
      <c r="AR18" s="76">
        <v>4055034.6666666698</v>
      </c>
      <c r="AS18" s="76">
        <v>1294344</v>
      </c>
      <c r="AT18" s="76">
        <v>18140002.666666701</v>
      </c>
      <c r="AU18" s="77">
        <v>70.382015624999994</v>
      </c>
      <c r="AV18" s="77">
        <v>73.005503125000004</v>
      </c>
      <c r="AW18" s="77">
        <v>37.271878125000001</v>
      </c>
      <c r="AX18" s="77">
        <v>46.219296874999998</v>
      </c>
      <c r="AY18" s="77">
        <v>46.757787499999999</v>
      </c>
      <c r="AZ18" s="78"/>
      <c r="BA18" s="78"/>
      <c r="BB18" s="78"/>
      <c r="BC18" s="78"/>
      <c r="BE18" s="33">
        <f t="shared" si="14"/>
        <v>0</v>
      </c>
      <c r="BF18" s="33">
        <f t="shared" si="15"/>
        <v>-2.7839868604942475E-4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30832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39.800917499999997</v>
      </c>
      <c r="J19" s="38">
        <f t="shared" si="1"/>
        <v>1.2505792583760711</v>
      </c>
      <c r="K19" s="38">
        <f t="shared" si="2"/>
        <v>0.25409378032420321</v>
      </c>
      <c r="L19" s="38">
        <f t="shared" si="3"/>
        <v>0.18329173112608041</v>
      </c>
      <c r="M19" s="38">
        <f t="shared" si="4"/>
        <v>0.99646756815877879</v>
      </c>
      <c r="N19" s="35">
        <f t="shared" si="5"/>
        <v>8625904</v>
      </c>
      <c r="O19" s="38">
        <f t="shared" si="6"/>
        <v>1.2578828802135951</v>
      </c>
      <c r="P19" s="79">
        <v>33750608</v>
      </c>
      <c r="Q19" s="79">
        <v>1054706.5</v>
      </c>
      <c r="R19" s="79">
        <v>20504</v>
      </c>
      <c r="S19" s="80">
        <v>42454312</v>
      </c>
      <c r="T19" s="80">
        <v>6222336</v>
      </c>
      <c r="U19" s="80">
        <v>2403568</v>
      </c>
      <c r="V19" s="80">
        <v>33827800</v>
      </c>
      <c r="W19" s="81">
        <v>71.537806000000003</v>
      </c>
      <c r="X19" s="81">
        <v>75.080747000000002</v>
      </c>
      <c r="Y19" s="81">
        <v>39.354737</v>
      </c>
      <c r="Z19" s="81">
        <v>47.983593999999997</v>
      </c>
      <c r="AA19" s="81">
        <v>48.584184</v>
      </c>
      <c r="AB19" s="82"/>
      <c r="AC19" s="82"/>
      <c r="AD19" s="82"/>
      <c r="AE19" s="82"/>
      <c r="AG19" s="37">
        <f t="shared" si="7"/>
        <v>39.918089999999999</v>
      </c>
      <c r="AH19" s="38">
        <f t="shared" si="8"/>
        <v>1.2542609196883279</v>
      </c>
      <c r="AI19" s="38">
        <f t="shared" si="9"/>
        <v>0.25410823392213489</v>
      </c>
      <c r="AJ19" s="38">
        <f t="shared" si="10"/>
        <v>0.18329204533473117</v>
      </c>
      <c r="AK19" s="38">
        <f t="shared" si="11"/>
        <v>1.0001495436796872</v>
      </c>
      <c r="AL19" s="35">
        <f t="shared" si="12"/>
        <v>8626394.6666666698</v>
      </c>
      <c r="AM19" s="38">
        <f t="shared" si="13"/>
        <v>1.2615860431314303</v>
      </c>
      <c r="AN19" s="79">
        <v>33750608</v>
      </c>
      <c r="AO19" s="79">
        <v>1054706.5</v>
      </c>
      <c r="AP19" s="79">
        <v>20504</v>
      </c>
      <c r="AQ19" s="80">
        <v>42579296</v>
      </c>
      <c r="AR19" s="80">
        <v>6222346.6666666698</v>
      </c>
      <c r="AS19" s="80">
        <v>2404048</v>
      </c>
      <c r="AT19" s="80">
        <v>33952794.666666701</v>
      </c>
      <c r="AU19" s="81">
        <v>71.537806250000003</v>
      </c>
      <c r="AV19" s="81">
        <v>75.080746875000003</v>
      </c>
      <c r="AW19" s="81">
        <v>39.349924999999999</v>
      </c>
      <c r="AX19" s="81">
        <v>47.969212499999998</v>
      </c>
      <c r="AY19" s="81">
        <v>48.555018750000002</v>
      </c>
      <c r="AZ19" s="82"/>
      <c r="BA19" s="82"/>
      <c r="BB19" s="82"/>
      <c r="BC19" s="82"/>
      <c r="BE19" s="43">
        <f t="shared" si="14"/>
        <v>0</v>
      </c>
      <c r="BF19" s="43">
        <f t="shared" si="15"/>
        <v>-5.8487794278777594E-4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124984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5.3649874999999998</v>
      </c>
      <c r="J20" s="28">
        <f t="shared" si="1"/>
        <v>0.10660136779535247</v>
      </c>
      <c r="K20" s="28">
        <f t="shared" si="2"/>
        <v>5.9831523124922556E-2</v>
      </c>
      <c r="L20" s="28">
        <f t="shared" si="3"/>
        <v>2.9249625647822301E-2</v>
      </c>
      <c r="M20" s="28">
        <f t="shared" si="4"/>
        <v>4.6750968335786895E-2</v>
      </c>
      <c r="N20" s="25">
        <f t="shared" si="5"/>
        <v>1927152</v>
      </c>
      <c r="O20" s="28">
        <f t="shared" si="6"/>
        <v>0.113580623608563</v>
      </c>
      <c r="P20" s="75">
        <v>30230438</v>
      </c>
      <c r="Q20" s="75">
        <v>944701.1875</v>
      </c>
      <c r="R20" s="75">
        <v>27161</v>
      </c>
      <c r="S20" s="76">
        <v>3433592</v>
      </c>
      <c r="T20" s="76">
        <v>942120</v>
      </c>
      <c r="U20" s="76">
        <v>985032</v>
      </c>
      <c r="V20" s="76">
        <v>1505832</v>
      </c>
      <c r="W20" s="77">
        <v>67.065771999999996</v>
      </c>
      <c r="X20" s="77">
        <v>68.733975000000001</v>
      </c>
      <c r="Y20" s="77">
        <v>30.891359000000001</v>
      </c>
      <c r="Z20" s="77">
        <v>39.585940999999998</v>
      </c>
      <c r="AA20" s="77">
        <v>38.404591000000003</v>
      </c>
      <c r="AB20" s="78"/>
      <c r="AC20" s="78"/>
      <c r="AD20" s="78"/>
      <c r="AE20" s="78"/>
      <c r="AG20" s="27">
        <f t="shared" si="7"/>
        <v>5.3419999999999996</v>
      </c>
      <c r="AH20" s="28">
        <f t="shared" si="8"/>
        <v>0.10614461017155639</v>
      </c>
      <c r="AI20" s="28">
        <f t="shared" si="9"/>
        <v>5.9846756658143242E-2</v>
      </c>
      <c r="AJ20" s="28">
        <f t="shared" si="10"/>
        <v>2.9249956811587978E-2</v>
      </c>
      <c r="AK20" s="28">
        <f t="shared" si="11"/>
        <v>4.6294541875756587E-2</v>
      </c>
      <c r="AL20" s="25">
        <f t="shared" si="12"/>
        <v>1927642.666666667</v>
      </c>
      <c r="AM20" s="28">
        <f t="shared" si="13"/>
        <v>0.11309396178778489</v>
      </c>
      <c r="AN20" s="75">
        <v>30230438</v>
      </c>
      <c r="AO20" s="75">
        <v>944701.1875</v>
      </c>
      <c r="AP20" s="75">
        <v>27161</v>
      </c>
      <c r="AQ20" s="76">
        <v>3418880</v>
      </c>
      <c r="AR20" s="76">
        <v>942130.66666666698</v>
      </c>
      <c r="AS20" s="76">
        <v>985512</v>
      </c>
      <c r="AT20" s="76">
        <v>1491130.66666667</v>
      </c>
      <c r="AU20" s="77">
        <v>67.065771874999996</v>
      </c>
      <c r="AV20" s="77">
        <v>68.733975000000001</v>
      </c>
      <c r="AW20" s="77">
        <v>30.882368750000001</v>
      </c>
      <c r="AX20" s="77">
        <v>39.533853125</v>
      </c>
      <c r="AY20" s="77">
        <v>38.395637499999999</v>
      </c>
      <c r="AZ20" s="78"/>
      <c r="BA20" s="78"/>
      <c r="BB20" s="78"/>
      <c r="BC20" s="78"/>
      <c r="BE20" s="33">
        <f t="shared" si="14"/>
        <v>0</v>
      </c>
      <c r="BF20" s="33">
        <f t="shared" si="15"/>
        <v>2.5587281311475474E-3</v>
      </c>
      <c r="BG20" s="33">
        <f t="array" ref="BG20">AVERAGE(AL20:AL24/AQ20:AQ24) - AVERAGE(N20:N24/S20:S24)</f>
        <v>6.0426826856446736E-4</v>
      </c>
      <c r="BI20" s="34">
        <f>IF( OR(ISBLANK(N20:N24),ISBLANK(AL20:AL24), ISBLANK(W20:W24),ISBLANK(AU20:AU24)), "·", bdRateExtend( N20:N24,W20:W24, AL20:AL24,AU20:AU24))</f>
        <v>1.8077152984274925E-4</v>
      </c>
      <c r="BJ20" s="34">
        <f>IF( OR(ISBLANK(N20:N24),ISBLANK(AL20:AL24), ISBLANK(X20:X24),ISBLANK(AV20:AV24)), "·", bdRateExtend( N20:N24,X20:X24, AL20:AL24,AV20:AV24))</f>
        <v>1.7106264163779805E-4</v>
      </c>
      <c r="BK20" s="34">
        <f>IF( OR(ISBLANK(V20:V24),ISBLANK(AT20:AT24), ISBLANK(Y20:Y24),ISBLANK(AW20:AW24)), "·", bdRateExtend( V20:V24,Y20:Y24, AT20:AT24,AW20:AW24))</f>
        <v>-5.5512045174943569E-4</v>
      </c>
      <c r="BL20" s="34">
        <f>IF( OR(ISBLANK(V20:V24),ISBLANK(AT20:AT24), ISBLANK(Z20:Z24),ISBLANK(AX20:AX24)), "·", bdRateExtend( V20:V24,Z20:Z24, AT20:AT24,AX20:AX24))</f>
        <v>1.5299442429353771E-2</v>
      </c>
      <c r="BM20" s="34">
        <f>IF( OR(ISBLANK(V20:V24),ISBLANK(AT20:AT24), ISBLANK(AA20:AA24),ISBLANK(AY20:AY24)), "·", bdRateExtend( V20:V24,AA20:AA24, AT20:AT24,AY20:AY24))</f>
        <v>7.7915352877961919E-3</v>
      </c>
      <c r="BO20" s="34">
        <f>IF( OR(ISBLANK(S20:S24),ISBLANK(AQ20:AQ24), ISBLANK(W20:W24),ISBLANK(AU20:AU24)), "·", bdRateExtend( S20:S24,W20:W24, AQ20:AQ24,AU20:AU24))</f>
        <v>-8.8151638938493981E-4</v>
      </c>
      <c r="BP20" s="34">
        <f>IF( OR(ISBLANK(S20:S24),ISBLANK(AQ20:AQ24), ISBLANK(X20:X24),ISBLANK(AV20:AV24)), "·", bdRateExtend( S20:S24,X20:X24, AQ20:AQ24,AV20:AV24))</f>
        <v>-5.4534917020665485E-4</v>
      </c>
      <c r="BQ20" s="34">
        <f>IF( OR(ISBLANK(S20:S24),ISBLANK(AQ20:AQ24), ISBLANK(Y20:Y24),ISBLANK(AW20:AW24)), "·", bdRateExtend( S20:S24,Y20:Y24, AQ20:AQ24,AW20:AW24))</f>
        <v>7.8529140519423279E-5</v>
      </c>
      <c r="BR20" s="34">
        <f>IF( OR(ISBLANK(S20:S24),ISBLANK(AQ20:AQ24), ISBLANK(Z20:Z24),ISBLANK(AX20:AX24)), "·", bdRateExtend( S20:S24,Z20:Z24, AQ20:AQ24,AX20:AX24))</f>
        <v>1.1759191994532792E-2</v>
      </c>
      <c r="BS20" s="34">
        <f>IF( OR(ISBLANK(S20:S24),ISBLANK(AQ20:AQ24), ISBLANK(AA20:AA24),ISBLANK(AY20:AY24)), "·", bdRateExtend( S20:S24,AA20:AA24, AQ20:AQ24,AY20:AY24))</f>
        <v>6.7121950218147486E-3</v>
      </c>
      <c r="BU20" s="4">
        <f t="shared" si="16"/>
        <v>-14712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8.4228249999999996</v>
      </c>
      <c r="J21" s="18">
        <f t="shared" si="1"/>
        <v>0.16736006667320094</v>
      </c>
      <c r="K21" s="18">
        <f t="shared" si="2"/>
        <v>7.0805627991592457E-2</v>
      </c>
      <c r="L21" s="18">
        <f t="shared" si="3"/>
        <v>4.0223730514492198E-2</v>
      </c>
      <c r="M21" s="18">
        <f t="shared" si="4"/>
        <v>9.6535562346965476E-2</v>
      </c>
      <c r="N21" s="15">
        <f t="shared" si="5"/>
        <v>2280624</v>
      </c>
      <c r="O21" s="18">
        <f t="shared" si="6"/>
        <v>0.17068250928309969</v>
      </c>
      <c r="P21" s="71">
        <v>31582662</v>
      </c>
      <c r="Q21" s="71">
        <v>986958.1875</v>
      </c>
      <c r="R21" s="71">
        <v>32537.78125</v>
      </c>
      <c r="S21" s="72">
        <v>5390608</v>
      </c>
      <c r="T21" s="72">
        <v>1295592</v>
      </c>
      <c r="U21" s="72">
        <v>985032</v>
      </c>
      <c r="V21" s="72">
        <v>3109376</v>
      </c>
      <c r="W21" s="73">
        <v>68.659734</v>
      </c>
      <c r="X21" s="73">
        <v>70.740427999999994</v>
      </c>
      <c r="Y21" s="73">
        <v>32.783678000000002</v>
      </c>
      <c r="Z21" s="73">
        <v>40.733424999999997</v>
      </c>
      <c r="AA21" s="73">
        <v>39.702150000000003</v>
      </c>
      <c r="AB21" s="74"/>
      <c r="AC21" s="74"/>
      <c r="AD21" s="74"/>
      <c r="AE21" s="74"/>
      <c r="AG21" s="17">
        <f t="shared" si="7"/>
        <v>8.4036124999999995</v>
      </c>
      <c r="AH21" s="18">
        <f t="shared" si="8"/>
        <v>0.16697831764232843</v>
      </c>
      <c r="AI21" s="18">
        <f t="shared" si="9"/>
        <v>7.0820861524813233E-2</v>
      </c>
      <c r="AJ21" s="18">
        <f t="shared" si="10"/>
        <v>4.0224061678257969E-2</v>
      </c>
      <c r="AK21" s="18">
        <f t="shared" si="11"/>
        <v>9.6154144479858705E-2</v>
      </c>
      <c r="AL21" s="15">
        <f t="shared" si="12"/>
        <v>2281114.6666666698</v>
      </c>
      <c r="AM21" s="18">
        <f t="shared" si="13"/>
        <v>0.17029318174636451</v>
      </c>
      <c r="AN21" s="71">
        <v>31582662</v>
      </c>
      <c r="AO21" s="71">
        <v>986958.1875</v>
      </c>
      <c r="AP21" s="71">
        <v>32537.78125</v>
      </c>
      <c r="AQ21" s="72">
        <v>5378312</v>
      </c>
      <c r="AR21" s="72">
        <v>1295602.66666667</v>
      </c>
      <c r="AS21" s="72">
        <v>985512</v>
      </c>
      <c r="AT21" s="72">
        <v>3097090.6666666698</v>
      </c>
      <c r="AU21" s="73">
        <v>68.659734374999999</v>
      </c>
      <c r="AV21" s="73">
        <v>70.740428124999994</v>
      </c>
      <c r="AW21" s="73">
        <v>32.778812500000001</v>
      </c>
      <c r="AX21" s="73">
        <v>40.701953125000003</v>
      </c>
      <c r="AY21" s="73">
        <v>39.685953124999997</v>
      </c>
      <c r="AZ21" s="74"/>
      <c r="BA21" s="74"/>
      <c r="BB21" s="74"/>
      <c r="BC21" s="74"/>
      <c r="BE21" s="23">
        <f t="shared" si="14"/>
        <v>0</v>
      </c>
      <c r="BF21" s="23">
        <f t="shared" si="15"/>
        <v>1.0584696101063051E-3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-12296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13.932475</v>
      </c>
      <c r="J22" s="28">
        <f t="shared" si="1"/>
        <v>0.27683585316360071</v>
      </c>
      <c r="K22" s="28">
        <f t="shared" si="2"/>
        <v>8.7307270061950076E-2</v>
      </c>
      <c r="L22" s="28">
        <f t="shared" si="3"/>
        <v>5.6725372584849824E-2</v>
      </c>
      <c r="M22" s="28">
        <f t="shared" si="4"/>
        <v>0.18950970676700762</v>
      </c>
      <c r="N22" s="25">
        <f t="shared" si="5"/>
        <v>2812136</v>
      </c>
      <c r="O22" s="28">
        <f t="shared" si="6"/>
        <v>0.27093994616620715</v>
      </c>
      <c r="P22" s="75">
        <v>32910555</v>
      </c>
      <c r="Q22" s="75">
        <v>1028454.84375</v>
      </c>
      <c r="R22" s="75">
        <v>34769.59375</v>
      </c>
      <c r="S22" s="76">
        <v>8916784</v>
      </c>
      <c r="T22" s="76">
        <v>1827104</v>
      </c>
      <c r="U22" s="76">
        <v>985032</v>
      </c>
      <c r="V22" s="76">
        <v>6104040</v>
      </c>
      <c r="W22" s="77">
        <v>69.831643999999997</v>
      </c>
      <c r="X22" s="77">
        <v>72.240358999999998</v>
      </c>
      <c r="Y22" s="77">
        <v>34.627749999999999</v>
      </c>
      <c r="Z22" s="77">
        <v>41.769931</v>
      </c>
      <c r="AA22" s="77">
        <v>40.774081000000002</v>
      </c>
      <c r="AB22" s="78"/>
      <c r="AC22" s="78"/>
      <c r="AD22" s="78"/>
      <c r="AE22" s="78"/>
      <c r="AG22" s="27">
        <f t="shared" si="7"/>
        <v>13.930987500000001</v>
      </c>
      <c r="AH22" s="28">
        <f t="shared" si="8"/>
        <v>0.27680629679751495</v>
      </c>
      <c r="AI22" s="28">
        <f t="shared" si="9"/>
        <v>8.7322503595170853E-2</v>
      </c>
      <c r="AJ22" s="28">
        <f t="shared" si="10"/>
        <v>5.6725703748615595E-2</v>
      </c>
      <c r="AK22" s="28">
        <f t="shared" si="11"/>
        <v>0.18948048156468764</v>
      </c>
      <c r="AL22" s="25">
        <f t="shared" si="12"/>
        <v>2812626.6666666698</v>
      </c>
      <c r="AM22" s="28">
        <f t="shared" si="13"/>
        <v>0.27091101927633854</v>
      </c>
      <c r="AN22" s="75">
        <v>32910555</v>
      </c>
      <c r="AO22" s="75">
        <v>1028454.84375</v>
      </c>
      <c r="AP22" s="75">
        <v>34769.59375</v>
      </c>
      <c r="AQ22" s="76">
        <v>8915832</v>
      </c>
      <c r="AR22" s="76">
        <v>1827114.66666667</v>
      </c>
      <c r="AS22" s="76">
        <v>985512</v>
      </c>
      <c r="AT22" s="76">
        <v>6103098.6666666698</v>
      </c>
      <c r="AU22" s="77">
        <v>69.831643749999998</v>
      </c>
      <c r="AV22" s="77">
        <v>72.240359374999997</v>
      </c>
      <c r="AW22" s="77">
        <v>34.624715625</v>
      </c>
      <c r="AX22" s="77">
        <v>41.744956250000001</v>
      </c>
      <c r="AY22" s="77">
        <v>40.748353125000001</v>
      </c>
      <c r="AZ22" s="78"/>
      <c r="BA22" s="78"/>
      <c r="BB22" s="78"/>
      <c r="BC22" s="78"/>
      <c r="BE22" s="33">
        <f t="shared" si="14"/>
        <v>0</v>
      </c>
      <c r="BF22" s="33">
        <f t="shared" si="15"/>
        <v>8.8707843166890843E-5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-952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24.26915</v>
      </c>
      <c r="J23" s="18">
        <f t="shared" si="1"/>
        <v>0.48222378621209805</v>
      </c>
      <c r="K23" s="18">
        <f t="shared" si="2"/>
        <v>0.1157467035570683</v>
      </c>
      <c r="L23" s="18">
        <f t="shared" si="3"/>
        <v>8.5164806079968042E-2</v>
      </c>
      <c r="M23" s="18">
        <f t="shared" si="4"/>
        <v>0.36645820632038673</v>
      </c>
      <c r="N23" s="15">
        <f t="shared" si="5"/>
        <v>3728160</v>
      </c>
      <c r="O23" s="18">
        <f t="shared" si="6"/>
        <v>0.47132119117640098</v>
      </c>
      <c r="P23" s="71">
        <v>32954716</v>
      </c>
      <c r="Q23" s="71">
        <v>1029834.875</v>
      </c>
      <c r="R23" s="71">
        <v>36665.46875</v>
      </c>
      <c r="S23" s="72">
        <v>15532256</v>
      </c>
      <c r="T23" s="72">
        <v>2743128</v>
      </c>
      <c r="U23" s="72">
        <v>985032</v>
      </c>
      <c r="V23" s="72">
        <v>11803488</v>
      </c>
      <c r="W23" s="73">
        <v>70.837203000000002</v>
      </c>
      <c r="X23" s="73">
        <v>73.567969000000005</v>
      </c>
      <c r="Y23" s="73">
        <v>36.275916000000002</v>
      </c>
      <c r="Z23" s="73">
        <v>42.959853000000003</v>
      </c>
      <c r="AA23" s="73">
        <v>41.852283999999997</v>
      </c>
      <c r="AB23" s="74"/>
      <c r="AC23" s="74"/>
      <c r="AD23" s="74"/>
      <c r="AE23" s="74"/>
      <c r="AG23" s="17">
        <f t="shared" si="7"/>
        <v>24.304987499999999</v>
      </c>
      <c r="AH23" s="18">
        <f t="shared" si="8"/>
        <v>0.48293587109922331</v>
      </c>
      <c r="AI23" s="18">
        <f t="shared" si="9"/>
        <v>0.11576193709028908</v>
      </c>
      <c r="AJ23" s="18">
        <f t="shared" si="10"/>
        <v>8.5165137243733799E-2</v>
      </c>
      <c r="AK23" s="18">
        <f t="shared" si="11"/>
        <v>0.36717062237127868</v>
      </c>
      <c r="AL23" s="15">
        <f t="shared" si="12"/>
        <v>3728650.6666666698</v>
      </c>
      <c r="AM23" s="18">
        <f t="shared" si="13"/>
        <v>0.47201717654007397</v>
      </c>
      <c r="AN23" s="71">
        <v>32954716</v>
      </c>
      <c r="AO23" s="71">
        <v>1029834.875</v>
      </c>
      <c r="AP23" s="71">
        <v>36665.46875</v>
      </c>
      <c r="AQ23" s="72">
        <v>15555192</v>
      </c>
      <c r="AR23" s="72">
        <v>2743138.6666666698</v>
      </c>
      <c r="AS23" s="72">
        <v>985512</v>
      </c>
      <c r="AT23" s="72">
        <v>11826434.6666667</v>
      </c>
      <c r="AU23" s="73">
        <v>70.837203125000002</v>
      </c>
      <c r="AV23" s="73">
        <v>73.567968750000006</v>
      </c>
      <c r="AW23" s="73">
        <v>36.275565624999999</v>
      </c>
      <c r="AX23" s="73">
        <v>42.939684374999999</v>
      </c>
      <c r="AY23" s="73">
        <v>41.844209374999998</v>
      </c>
      <c r="AZ23" s="74"/>
      <c r="BA23" s="74"/>
      <c r="BB23" s="74"/>
      <c r="BC23" s="74"/>
      <c r="BE23" s="23">
        <f t="shared" si="14"/>
        <v>0</v>
      </c>
      <c r="BF23" s="23">
        <f t="shared" si="15"/>
        <v>-3.2237412485050521E-4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22936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41.183624999999999</v>
      </c>
      <c r="J24" s="48">
        <f t="shared" si="1"/>
        <v>0.81831146032882141</v>
      </c>
      <c r="K24" s="48">
        <f t="shared" si="2"/>
        <v>0.19081118036607858</v>
      </c>
      <c r="L24" s="48">
        <f t="shared" si="3"/>
        <v>0.13218426543876938</v>
      </c>
      <c r="M24" s="48">
        <f t="shared" si="4"/>
        <v>0.62748140362809979</v>
      </c>
      <c r="N24" s="45">
        <f t="shared" si="5"/>
        <v>6145960</v>
      </c>
      <c r="O24" s="48">
        <f t="shared" si="6"/>
        <v>0.83449710091035545</v>
      </c>
      <c r="P24" s="83">
        <v>31584915</v>
      </c>
      <c r="Q24" s="83">
        <v>987028.59375</v>
      </c>
      <c r="R24" s="83">
        <v>18072.71875</v>
      </c>
      <c r="S24" s="84">
        <v>26357520</v>
      </c>
      <c r="T24" s="84">
        <v>4257608</v>
      </c>
      <c r="U24" s="84">
        <v>1888352</v>
      </c>
      <c r="V24" s="84">
        <v>20210952</v>
      </c>
      <c r="W24" s="85">
        <v>71.893763000000007</v>
      </c>
      <c r="X24" s="85">
        <v>75.707471999999996</v>
      </c>
      <c r="Y24" s="85">
        <v>37.304572</v>
      </c>
      <c r="Z24" s="85">
        <v>43.805143999999999</v>
      </c>
      <c r="AA24" s="85">
        <v>42.435972</v>
      </c>
      <c r="AB24" s="86"/>
      <c r="AC24" s="86"/>
      <c r="AD24" s="86"/>
      <c r="AE24" s="86"/>
      <c r="AG24" s="47">
        <f t="shared" si="7"/>
        <v>41.250987500000001</v>
      </c>
      <c r="AH24" s="48">
        <f t="shared" si="8"/>
        <v>0.81964994147870562</v>
      </c>
      <c r="AI24" s="48">
        <f t="shared" si="9"/>
        <v>0.19082641389929933</v>
      </c>
      <c r="AJ24" s="48">
        <f t="shared" si="10"/>
        <v>0.13218459660253515</v>
      </c>
      <c r="AK24" s="48">
        <f t="shared" si="11"/>
        <v>0.62882021594175075</v>
      </c>
      <c r="AL24" s="45">
        <f t="shared" si="12"/>
        <v>6146450.6666666698</v>
      </c>
      <c r="AM24" s="48">
        <f t="shared" si="13"/>
        <v>0.83586205630124377</v>
      </c>
      <c r="AN24" s="83">
        <v>31584915</v>
      </c>
      <c r="AO24" s="83">
        <v>987028.59375</v>
      </c>
      <c r="AP24" s="83">
        <v>18072.71875</v>
      </c>
      <c r="AQ24" s="84">
        <v>26400632</v>
      </c>
      <c r="AR24" s="84">
        <v>4257618.6666666698</v>
      </c>
      <c r="AS24" s="84">
        <v>1888832</v>
      </c>
      <c r="AT24" s="84">
        <v>20254074.666666701</v>
      </c>
      <c r="AU24" s="85">
        <v>71.893762499999994</v>
      </c>
      <c r="AV24" s="85">
        <v>75.707471874999996</v>
      </c>
      <c r="AW24" s="85">
        <v>37.303737499999997</v>
      </c>
      <c r="AX24" s="85">
        <v>43.797081249999998</v>
      </c>
      <c r="AY24" s="85">
        <v>42.424003124999999</v>
      </c>
      <c r="AZ24" s="86"/>
      <c r="BA24" s="86"/>
      <c r="BB24" s="86"/>
      <c r="BC24" s="86"/>
      <c r="BE24" s="53">
        <f t="shared" si="14"/>
        <v>0</v>
      </c>
      <c r="BF24" s="53">
        <f t="shared" si="15"/>
        <v>-3.6219011674804014E-4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43112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4.7519175000000002</v>
      </c>
      <c r="J25" s="18">
        <f t="shared" si="1"/>
        <v>0.20024614015387235</v>
      </c>
      <c r="K25" s="18">
        <f t="shared" si="2"/>
        <v>7.0227376233821762E-2</v>
      </c>
      <c r="L25" s="18">
        <f t="shared" si="3"/>
        <v>3.7841362228358516E-2</v>
      </c>
      <c r="M25" s="18">
        <f t="shared" si="4"/>
        <v>0.12999474407966244</v>
      </c>
      <c r="N25" s="15">
        <f t="shared" si="5"/>
        <v>1777624</v>
      </c>
      <c r="O25" s="18">
        <f t="shared" si="6"/>
        <v>0.21991691883272627</v>
      </c>
      <c r="P25" s="71">
        <v>23048304</v>
      </c>
      <c r="Q25" s="71">
        <v>720259.5</v>
      </c>
      <c r="R25" s="71">
        <v>17692.46875</v>
      </c>
      <c r="S25" s="72">
        <v>5068712</v>
      </c>
      <c r="T25" s="72">
        <v>957856</v>
      </c>
      <c r="U25" s="72">
        <v>819768</v>
      </c>
      <c r="V25" s="72">
        <v>3290480</v>
      </c>
      <c r="W25" s="73">
        <v>66.198772000000005</v>
      </c>
      <c r="X25" s="73">
        <v>68.019659000000004</v>
      </c>
      <c r="Y25" s="73">
        <v>27.512986999999999</v>
      </c>
      <c r="Z25" s="73">
        <v>33.296790999999999</v>
      </c>
      <c r="AA25" s="73">
        <v>32.741287</v>
      </c>
      <c r="AB25" s="74"/>
      <c r="AC25" s="74"/>
      <c r="AD25" s="74"/>
      <c r="AE25" s="74"/>
      <c r="AG25" s="17">
        <f t="shared" si="7"/>
        <v>4.7646075000000003</v>
      </c>
      <c r="AH25" s="18">
        <f t="shared" si="8"/>
        <v>0.20078089765304036</v>
      </c>
      <c r="AI25" s="18">
        <f t="shared" si="9"/>
        <v>7.0246760666415733E-2</v>
      </c>
      <c r="AJ25" s="18">
        <f t="shared" si="10"/>
        <v>3.7841783629067094E-2</v>
      </c>
      <c r="AK25" s="18">
        <f t="shared" si="11"/>
        <v>0.13052992297953911</v>
      </c>
      <c r="AL25" s="15">
        <f t="shared" si="12"/>
        <v>1778114.666666667</v>
      </c>
      <c r="AM25" s="18">
        <f t="shared" si="13"/>
        <v>0.22050420716422345</v>
      </c>
      <c r="AN25" s="71">
        <v>23048304</v>
      </c>
      <c r="AO25" s="71">
        <v>720259.5</v>
      </c>
      <c r="AP25" s="71">
        <v>17692.46875</v>
      </c>
      <c r="AQ25" s="72">
        <v>5082248</v>
      </c>
      <c r="AR25" s="72">
        <v>957866.66666666698</v>
      </c>
      <c r="AS25" s="72">
        <v>820248</v>
      </c>
      <c r="AT25" s="72">
        <v>3304026.6666666698</v>
      </c>
      <c r="AU25" s="73">
        <v>66.198771875000006</v>
      </c>
      <c r="AV25" s="73">
        <v>68.019659375000003</v>
      </c>
      <c r="AW25" s="73">
        <v>27.512149999999998</v>
      </c>
      <c r="AX25" s="73">
        <v>33.292087500000001</v>
      </c>
      <c r="AY25" s="73">
        <v>32.735662499999997</v>
      </c>
      <c r="AZ25" s="74"/>
      <c r="BA25" s="74"/>
      <c r="BB25" s="74"/>
      <c r="BC25" s="74"/>
      <c r="BE25" s="23">
        <f t="shared" si="14"/>
        <v>0</v>
      </c>
      <c r="BF25" s="23">
        <f t="shared" si="15"/>
        <v>-8.3751911358515008E-4</v>
      </c>
      <c r="BG25" s="23">
        <f t="array" ref="BG25">AVERAGE(AL25:AL29/AQ25:AQ29) - AVERAGE(N25:N29/S25:S29)</f>
        <v>-5.2541126053126663E-4</v>
      </c>
      <c r="BI25" s="24">
        <f>IF( OR(ISBLANK(N25:N29),ISBLANK(AL25:AL29), ISBLANK(W25:W29),ISBLANK(AU25:AU29)), "·", bdRateExtend( N25:N29,W25:W29, AL25:AL29,AU25:AU29))</f>
        <v>1.9425175899900893E-4</v>
      </c>
      <c r="BJ25" s="24">
        <f>IF( OR(ISBLANK(N25:N29),ISBLANK(AL25:AL29), ISBLANK(X25:X29),ISBLANK(AV25:AV29)), "·", bdRateExtend( N25:N29,X25:X29, AL25:AL29,AV25:AV29))</f>
        <v>1.8411275545626715E-4</v>
      </c>
      <c r="BK25" s="24">
        <f>IF( OR(ISBLANK(V25:V29),ISBLANK(AT25:AT29), ISBLANK(Y25:Y29),ISBLANK(AW25:AW29)), "·", bdRateExtend( V25:V29,Y25:Y29, AT25:AT29,AW25:AW29))</f>
        <v>3.9731046637156986E-3</v>
      </c>
      <c r="BL25" s="24">
        <f>IF( OR(ISBLANK(V25:V29),ISBLANK(AT25:AT29), ISBLANK(Z25:Z29),ISBLANK(AX25:AX29)), "·", bdRateExtend( V25:V29,Z25:Z29, AT25:AT29,AX25:AX29))</f>
        <v>5.850982204599342E-3</v>
      </c>
      <c r="BM25" s="24">
        <f>IF( OR(ISBLANK(V25:V29),ISBLANK(AT25:AT29), ISBLANK(AA25:AA29),ISBLANK(AY25:AY29)), "·", bdRateExtend( V25:V29,AA25:AA29, AT25:AT29,AY25:AY29))</f>
        <v>5.7197841683704898E-3</v>
      </c>
      <c r="BO25" s="24">
        <f>IF( OR(ISBLANK(S25:S29),ISBLANK(AQ25:AQ29), ISBLANK(W25:W29),ISBLANK(AU25:AU29)), "·", bdRateExtend( S25:S29,W25:W29, AQ25:AQ29,AU25:AU29))</f>
        <v>2.8342931213287681E-3</v>
      </c>
      <c r="BP25" s="24">
        <f>IF( OR(ISBLANK(S25:S29),ISBLANK(AQ25:AQ29), ISBLANK(X25:X29),ISBLANK(AV25:AV29)), "·", bdRateExtend( S25:S29,X25:X29, AQ25:AQ29,AV25:AV29))</f>
        <v>2.9140854274518624E-3</v>
      </c>
      <c r="BQ25" s="24">
        <f>IF( OR(ISBLANK(S25:S29),ISBLANK(AQ25:AQ29), ISBLANK(Y25:Y29),ISBLANK(AW25:AW29)), "·", bdRateExtend( S25:S29,Y25:Y29, AQ25:AQ29,AW25:AW29))</f>
        <v>3.1916692909175204E-3</v>
      </c>
      <c r="BR25" s="24">
        <f>IF( OR(ISBLANK(S25:S29),ISBLANK(AQ25:AQ29), ISBLANK(Z25:Z29),ISBLANK(AX25:AX29)), "·", bdRateExtend( S25:S29,Z25:Z29, AQ25:AQ29,AX25:AX29))</f>
        <v>4.9975982534025132E-3</v>
      </c>
      <c r="BS25" s="24">
        <f>IF( OR(ISBLANK(S25:S29),ISBLANK(AQ25:AQ29), ISBLANK(AA25:AA29),ISBLANK(AY25:AY29)), "·", bdRateExtend( S25:S29,AA25:AA29, AQ25:AQ29,AY25:AY29))</f>
        <v>4.7744279640207221E-3</v>
      </c>
      <c r="BU25" s="4">
        <f t="shared" si="16"/>
        <v>13536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8.1622125000000008</v>
      </c>
      <c r="J26" s="28">
        <f t="shared" si="1"/>
        <v>0.34395621309517449</v>
      </c>
      <c r="K26" s="28">
        <f t="shared" si="2"/>
        <v>8.4962916210895467E-2</v>
      </c>
      <c r="L26" s="28">
        <f t="shared" si="3"/>
        <v>5.2576902205432215E-2</v>
      </c>
      <c r="M26" s="28">
        <f t="shared" si="4"/>
        <v>0.25896927704389089</v>
      </c>
      <c r="N26" s="25">
        <f t="shared" si="5"/>
        <v>2150616</v>
      </c>
      <c r="O26" s="28">
        <f t="shared" si="6"/>
        <v>0.348799266309888</v>
      </c>
      <c r="P26" s="75">
        <v>24960947</v>
      </c>
      <c r="Q26" s="75">
        <v>780029.59375</v>
      </c>
      <c r="R26" s="75">
        <v>23053.84375</v>
      </c>
      <c r="S26" s="76">
        <v>8706360</v>
      </c>
      <c r="T26" s="76">
        <v>1330848</v>
      </c>
      <c r="U26" s="76">
        <v>819768</v>
      </c>
      <c r="V26" s="76">
        <v>6555136</v>
      </c>
      <c r="W26" s="77">
        <v>68.025103000000001</v>
      </c>
      <c r="X26" s="77">
        <v>69.987702999999996</v>
      </c>
      <c r="Y26" s="77">
        <v>29.930741000000001</v>
      </c>
      <c r="Z26" s="77">
        <v>34.477449999999997</v>
      </c>
      <c r="AA26" s="77">
        <v>34.066643999999997</v>
      </c>
      <c r="AB26" s="78"/>
      <c r="AC26" s="78"/>
      <c r="AD26" s="78"/>
      <c r="AE26" s="78"/>
      <c r="AG26" s="27">
        <f t="shared" si="7"/>
        <v>8.1816975000000003</v>
      </c>
      <c r="AH26" s="28">
        <f t="shared" si="8"/>
        <v>0.34477731237581188</v>
      </c>
      <c r="AI26" s="28">
        <f t="shared" si="9"/>
        <v>8.4982300643489536E-2</v>
      </c>
      <c r="AJ26" s="28">
        <f t="shared" si="10"/>
        <v>5.257732360614091E-2</v>
      </c>
      <c r="AK26" s="28">
        <f t="shared" si="11"/>
        <v>0.25979079772523694</v>
      </c>
      <c r="AL26" s="25">
        <f t="shared" si="12"/>
        <v>2151106.6666666698</v>
      </c>
      <c r="AM26" s="28">
        <f t="shared" si="13"/>
        <v>0.34963192702584561</v>
      </c>
      <c r="AN26" s="75">
        <v>24960947</v>
      </c>
      <c r="AO26" s="75">
        <v>780029.59375</v>
      </c>
      <c r="AP26" s="75">
        <v>23053.84375</v>
      </c>
      <c r="AQ26" s="76">
        <v>8727144</v>
      </c>
      <c r="AR26" s="76">
        <v>1330858.66666667</v>
      </c>
      <c r="AS26" s="76">
        <v>820248</v>
      </c>
      <c r="AT26" s="76">
        <v>6575930.6666666698</v>
      </c>
      <c r="AU26" s="77">
        <v>68.025103125000001</v>
      </c>
      <c r="AV26" s="77">
        <v>69.987703124999996</v>
      </c>
      <c r="AW26" s="77">
        <v>29.925571874999999</v>
      </c>
      <c r="AX26" s="77">
        <v>34.472450000000002</v>
      </c>
      <c r="AY26" s="77">
        <v>34.057806249999999</v>
      </c>
      <c r="AZ26" s="78"/>
      <c r="BA26" s="78"/>
      <c r="BB26" s="78"/>
      <c r="BC26" s="78"/>
      <c r="BE26" s="33">
        <f t="shared" si="14"/>
        <v>0</v>
      </c>
      <c r="BF26" s="33">
        <f t="shared" si="15"/>
        <v>-5.3205581015536296E-4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20784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14.741355</v>
      </c>
      <c r="J27" s="18">
        <f t="shared" si="1"/>
        <v>0.62120174421967278</v>
      </c>
      <c r="K27" s="18">
        <f t="shared" si="2"/>
        <v>0.10624323059268008</v>
      </c>
      <c r="L27" s="18">
        <f t="shared" si="3"/>
        <v>7.3857216587216834E-2</v>
      </c>
      <c r="M27" s="18">
        <f t="shared" si="4"/>
        <v>0.51493449378660461</v>
      </c>
      <c r="N27" s="15">
        <f t="shared" si="5"/>
        <v>2689272</v>
      </c>
      <c r="O27" s="18">
        <f t="shared" si="6"/>
        <v>0.62068141207410166</v>
      </c>
      <c r="P27" s="71">
        <v>25333628</v>
      </c>
      <c r="Q27" s="71">
        <v>791675.875</v>
      </c>
      <c r="R27" s="71">
        <v>24565.9375</v>
      </c>
      <c r="S27" s="72">
        <v>15724112</v>
      </c>
      <c r="T27" s="72">
        <v>1869504</v>
      </c>
      <c r="U27" s="72">
        <v>819768</v>
      </c>
      <c r="V27" s="72">
        <v>13034232</v>
      </c>
      <c r="W27" s="73">
        <v>69.401081000000005</v>
      </c>
      <c r="X27" s="73">
        <v>71.728734000000003</v>
      </c>
      <c r="Y27" s="73">
        <v>32.427734000000001</v>
      </c>
      <c r="Z27" s="73">
        <v>35.742927999999999</v>
      </c>
      <c r="AA27" s="73">
        <v>35.408391000000002</v>
      </c>
      <c r="AB27" s="74"/>
      <c r="AC27" s="74"/>
      <c r="AD27" s="74"/>
      <c r="AE27" s="74"/>
      <c r="AG27" s="17">
        <f t="shared" si="7"/>
        <v>14.7845925</v>
      </c>
      <c r="AH27" s="18">
        <f t="shared" si="8"/>
        <v>0.62302377553332733</v>
      </c>
      <c r="AI27" s="18">
        <f t="shared" si="9"/>
        <v>0.10626261502527416</v>
      </c>
      <c r="AJ27" s="18">
        <f t="shared" si="10"/>
        <v>7.3857637987925523E-2</v>
      </c>
      <c r="AK27" s="18">
        <f t="shared" si="11"/>
        <v>0.51675694650096904</v>
      </c>
      <c r="AL27" s="15">
        <f t="shared" si="12"/>
        <v>2689762.6666666698</v>
      </c>
      <c r="AM27" s="18">
        <f t="shared" si="13"/>
        <v>0.62250191721454184</v>
      </c>
      <c r="AN27" s="71">
        <v>25333628</v>
      </c>
      <c r="AO27" s="71">
        <v>791675.875</v>
      </c>
      <c r="AP27" s="71">
        <v>24565.9375</v>
      </c>
      <c r="AQ27" s="72">
        <v>15770232</v>
      </c>
      <c r="AR27" s="72">
        <v>1869514.66666667</v>
      </c>
      <c r="AS27" s="72">
        <v>820248</v>
      </c>
      <c r="AT27" s="72">
        <v>13080362.6666667</v>
      </c>
      <c r="AU27" s="73">
        <v>69.401081250000004</v>
      </c>
      <c r="AV27" s="73">
        <v>71.728734375000002</v>
      </c>
      <c r="AW27" s="73">
        <v>32.426196875000002</v>
      </c>
      <c r="AX27" s="73">
        <v>35.740456250000001</v>
      </c>
      <c r="AY27" s="73">
        <v>35.406509374999999</v>
      </c>
      <c r="AZ27" s="74"/>
      <c r="BA27" s="74"/>
      <c r="BB27" s="74"/>
      <c r="BC27" s="74"/>
      <c r="BE27" s="23">
        <f t="shared" si="14"/>
        <v>0</v>
      </c>
      <c r="BF27" s="23">
        <f t="shared" si="15"/>
        <v>-4.6905903719005049E-4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46120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27.9171075</v>
      </c>
      <c r="J28" s="28">
        <f t="shared" si="1"/>
        <v>1.176428888156354</v>
      </c>
      <c r="K28" s="28">
        <f t="shared" si="2"/>
        <v>0.14121896265262476</v>
      </c>
      <c r="L28" s="28">
        <f t="shared" si="3"/>
        <v>0.1088329486471615</v>
      </c>
      <c r="M28" s="28">
        <f t="shared" si="4"/>
        <v>1.035185905663341</v>
      </c>
      <c r="N28" s="25">
        <f t="shared" si="5"/>
        <v>3574592</v>
      </c>
      <c r="O28" s="28">
        <f t="shared" si="6"/>
        <v>1.1324165670198076</v>
      </c>
      <c r="P28" s="75">
        <v>26296196</v>
      </c>
      <c r="Q28" s="75">
        <v>821756.125</v>
      </c>
      <c r="R28" s="75">
        <v>28034.46875</v>
      </c>
      <c r="S28" s="76">
        <v>29778248</v>
      </c>
      <c r="T28" s="76">
        <v>2754824</v>
      </c>
      <c r="U28" s="76">
        <v>819768</v>
      </c>
      <c r="V28" s="76">
        <v>26203048</v>
      </c>
      <c r="W28" s="77">
        <v>70.442003</v>
      </c>
      <c r="X28" s="77">
        <v>73.004022000000006</v>
      </c>
      <c r="Y28" s="77">
        <v>34.886806</v>
      </c>
      <c r="Z28" s="77">
        <v>37.567675000000001</v>
      </c>
      <c r="AA28" s="77">
        <v>37.177562999999999</v>
      </c>
      <c r="AB28" s="78"/>
      <c r="AC28" s="78"/>
      <c r="AD28" s="78"/>
      <c r="AE28" s="78"/>
      <c r="AG28" s="27">
        <f t="shared" si="7"/>
        <v>28.006852500000001</v>
      </c>
      <c r="AH28" s="28">
        <f t="shared" si="8"/>
        <v>1.1802107488153637</v>
      </c>
      <c r="AI28" s="28">
        <f t="shared" si="9"/>
        <v>0.14123834708521882</v>
      </c>
      <c r="AJ28" s="28">
        <f t="shared" si="10"/>
        <v>0.10883337004787019</v>
      </c>
      <c r="AK28" s="28">
        <f t="shared" si="11"/>
        <v>1.0389681877230605</v>
      </c>
      <c r="AL28" s="25">
        <f t="shared" si="12"/>
        <v>3575082.6666666698</v>
      </c>
      <c r="AM28" s="28">
        <f t="shared" si="13"/>
        <v>1.1360569414678838</v>
      </c>
      <c r="AN28" s="75">
        <v>26296196</v>
      </c>
      <c r="AO28" s="75">
        <v>821756.125</v>
      </c>
      <c r="AP28" s="75">
        <v>28034.46875</v>
      </c>
      <c r="AQ28" s="76">
        <v>29873976</v>
      </c>
      <c r="AR28" s="76">
        <v>2754834.6666666698</v>
      </c>
      <c r="AS28" s="76">
        <v>820248</v>
      </c>
      <c r="AT28" s="76">
        <v>26298786.666666701</v>
      </c>
      <c r="AU28" s="77">
        <v>70.442003124999999</v>
      </c>
      <c r="AV28" s="77">
        <v>73.004021875000007</v>
      </c>
      <c r="AW28" s="77">
        <v>34.889843749999997</v>
      </c>
      <c r="AX28" s="77">
        <v>37.560703125000003</v>
      </c>
      <c r="AY28" s="77">
        <v>37.173903125000002</v>
      </c>
      <c r="AZ28" s="78"/>
      <c r="BA28" s="78"/>
      <c r="BB28" s="78"/>
      <c r="BC28" s="78"/>
      <c r="BE28" s="33">
        <f t="shared" si="14"/>
        <v>0</v>
      </c>
      <c r="BF28" s="33">
        <f t="shared" si="15"/>
        <v>-3.6823214187674258E-4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95728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48.7867575</v>
      </c>
      <c r="J29" s="38">
        <f t="shared" si="1"/>
        <v>2.0558774179050845</v>
      </c>
      <c r="K29" s="38">
        <f t="shared" si="2"/>
        <v>0.22668787576432869</v>
      </c>
      <c r="L29" s="38">
        <f t="shared" si="3"/>
        <v>0.16645085682879321</v>
      </c>
      <c r="M29" s="38">
        <f t="shared" si="4"/>
        <v>1.8291655223003676</v>
      </c>
      <c r="N29" s="35">
        <f t="shared" si="5"/>
        <v>5738016</v>
      </c>
      <c r="O29" s="38">
        <f t="shared" si="6"/>
        <v>2.0696462469730865</v>
      </c>
      <c r="P29" s="79">
        <v>25144011</v>
      </c>
      <c r="Q29" s="79">
        <v>785750.34375</v>
      </c>
      <c r="R29" s="79">
        <v>12609.28125</v>
      </c>
      <c r="S29" s="80">
        <v>52039208</v>
      </c>
      <c r="T29" s="80">
        <v>4213272</v>
      </c>
      <c r="U29" s="80">
        <v>1524744</v>
      </c>
      <c r="V29" s="80">
        <v>46300584</v>
      </c>
      <c r="W29" s="81">
        <v>71.520855999999995</v>
      </c>
      <c r="X29" s="81">
        <v>74.912312</v>
      </c>
      <c r="Y29" s="81">
        <v>36.559072</v>
      </c>
      <c r="Z29" s="81">
        <v>39.649644000000002</v>
      </c>
      <c r="AA29" s="81">
        <v>39.047978000000001</v>
      </c>
      <c r="AB29" s="82"/>
      <c r="AC29" s="82"/>
      <c r="AD29" s="82"/>
      <c r="AE29" s="82"/>
      <c r="AG29" s="37">
        <f t="shared" si="7"/>
        <v>48.977572500000001</v>
      </c>
      <c r="AH29" s="38">
        <f t="shared" si="8"/>
        <v>2.0639183755255526</v>
      </c>
      <c r="AI29" s="38">
        <f t="shared" si="9"/>
        <v>0.22670726019692278</v>
      </c>
      <c r="AJ29" s="38">
        <f t="shared" si="10"/>
        <v>0.1664512782295019</v>
      </c>
      <c r="AK29" s="38">
        <f t="shared" si="11"/>
        <v>1.8372069013215455</v>
      </c>
      <c r="AL29" s="35">
        <f t="shared" si="12"/>
        <v>5738506.6666666698</v>
      </c>
      <c r="AM29" s="38">
        <f t="shared" si="13"/>
        <v>2.0777410573038644</v>
      </c>
      <c r="AN29" s="79">
        <v>25144011</v>
      </c>
      <c r="AO29" s="79">
        <v>785750.34375</v>
      </c>
      <c r="AP29" s="79">
        <v>12609.28125</v>
      </c>
      <c r="AQ29" s="80">
        <v>52242744</v>
      </c>
      <c r="AR29" s="80">
        <v>4213282.6666666698</v>
      </c>
      <c r="AS29" s="80">
        <v>1525224</v>
      </c>
      <c r="AT29" s="80">
        <v>46504130.666666701</v>
      </c>
      <c r="AU29" s="81">
        <v>71.520856249999994</v>
      </c>
      <c r="AV29" s="81">
        <v>74.912312499999999</v>
      </c>
      <c r="AW29" s="81">
        <v>36.556653124999997</v>
      </c>
      <c r="AX29" s="81">
        <v>39.639712500000002</v>
      </c>
      <c r="AY29" s="81">
        <v>39.044609375</v>
      </c>
      <c r="AZ29" s="82"/>
      <c r="BA29" s="82"/>
      <c r="BB29" s="82"/>
      <c r="BC29" s="82"/>
      <c r="BE29" s="43">
        <f t="shared" si="14"/>
        <v>0</v>
      </c>
      <c r="BF29" s="43">
        <f t="shared" si="15"/>
        <v>-4.2019019984897155E-4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203536</v>
      </c>
    </row>
    <row r="30" spans="1:73" x14ac:dyDescent="0.3">
      <c r="B30" s="55" t="s">
        <v>288</v>
      </c>
      <c r="J30" s="56">
        <f>AVERAGE(J5:J24)</f>
        <v>0.43215806738407025</v>
      </c>
      <c r="K30" s="56">
        <f>AVERAGE(K5:K24)</f>
        <v>0.12489673662536585</v>
      </c>
      <c r="L30" s="56">
        <f>AVERAGE(L5:L24)</f>
        <v>8.4811709737202645E-2</v>
      </c>
      <c r="M30" s="56">
        <f>AVERAGE(M5:M24)</f>
        <v>0.30723933611893894</v>
      </c>
      <c r="AH30" s="56">
        <f>AVERAGE(AH5:AH24)</f>
        <v>0.43257898135738804</v>
      </c>
      <c r="AI30" s="56">
        <f>AVERAGE(AI5:AI24)</f>
        <v>0.12491448668552756</v>
      </c>
      <c r="AJ30" s="56">
        <f>AVERAGE(AJ5:AJ24)</f>
        <v>8.4812095608075816E-2</v>
      </c>
      <c r="AK30" s="56">
        <f>AVERAGE(AK5:AK24)</f>
        <v>0.30766063596313009</v>
      </c>
      <c r="BG30" s="8">
        <f>AVERAGE(BG5:BG24)</f>
        <v>5.1488400957849789E-4</v>
      </c>
      <c r="BI30" s="5">
        <f>AVERAGE(BI5:BI24)</f>
        <v>1.8005180157304457E-4</v>
      </c>
      <c r="BJ30" s="5">
        <f>AVERAGE(BJ5:BJ24)</f>
        <v>1.7039378362820878E-4</v>
      </c>
      <c r="BK30" s="5">
        <f>AVERAGE(BK5:BK24)</f>
        <v>4.1812113311057164E-5</v>
      </c>
      <c r="BL30" s="5">
        <f>AVERAGE(BL5:BL24)</f>
        <v>9.2337179924249502E-3</v>
      </c>
      <c r="BM30" s="5">
        <f>AVERAGE(BM5:BM24)</f>
        <v>6.786082870189919E-3</v>
      </c>
      <c r="BO30" s="5">
        <f>AVERAGE(BO5:BO24)</f>
        <v>-8.356235422063707E-4</v>
      </c>
      <c r="BP30" s="5">
        <f>AVERAGE(BP5:BP24)</f>
        <v>-4.6738403152074559E-4</v>
      </c>
      <c r="BQ30" s="5">
        <f>AVERAGE(BQ5:BQ24)</f>
        <v>4.6350464705768868E-4</v>
      </c>
      <c r="BR30" s="5">
        <f>AVERAGE(BR5:BR24)</f>
        <v>7.1061303757537497E-3</v>
      </c>
      <c r="BS30" s="5">
        <f>AVERAGE(BS5:BS24)</f>
        <v>5.786054465107382E-3</v>
      </c>
    </row>
    <row r="31" spans="1:73" x14ac:dyDescent="0.3">
      <c r="B31" s="55" t="s">
        <v>289</v>
      </c>
      <c r="J31" s="56">
        <f>AVERAGE(J25:J29)</f>
        <v>0.87954208070603168</v>
      </c>
      <c r="K31" s="56">
        <f>AVERAGE(K25:K29)</f>
        <v>0.12586807229087016</v>
      </c>
      <c r="L31" s="56">
        <f>AVERAGE(L25:L29)</f>
        <v>8.7911857299392465E-2</v>
      </c>
      <c r="M31" s="56">
        <f>AVERAGE(M25:M29)</f>
        <v>0.75364998857477328</v>
      </c>
      <c r="AH31" s="56">
        <f>AVERAGE(AH25:AH29)</f>
        <v>0.88254222198061927</v>
      </c>
      <c r="AI31" s="56">
        <f>AVERAGE(AI25:AI29)</f>
        <v>0.12588745672346419</v>
      </c>
      <c r="AJ31" s="56">
        <f>AVERAGE(AJ25:AJ29)</f>
        <v>8.7912278700101126E-2</v>
      </c>
      <c r="AK31" s="56">
        <f>AVERAGE(AK25:AK29)</f>
        <v>0.7566505512500703</v>
      </c>
      <c r="BG31" s="8">
        <f>AVERAGE(BG25:BG29)</f>
        <v>-5.2541126053126663E-4</v>
      </c>
      <c r="BI31" s="5">
        <f>AVERAGE(BI25:BI29)</f>
        <v>1.9425175899900893E-4</v>
      </c>
      <c r="BJ31" s="5">
        <f>AVERAGE(BJ25:BJ29)</f>
        <v>1.8411275545626715E-4</v>
      </c>
      <c r="BK31" s="5">
        <f>AVERAGE(BK25:BK29)</f>
        <v>3.9731046637156986E-3</v>
      </c>
      <c r="BL31" s="5">
        <f>AVERAGE(BL25:BL29)</f>
        <v>5.850982204599342E-3</v>
      </c>
      <c r="BM31" s="5">
        <f>AVERAGE(BM25:BM29)</f>
        <v>5.7197841683704898E-3</v>
      </c>
      <c r="BO31" s="5">
        <f>AVERAGE(BO25:BO29)</f>
        <v>2.8342931213287681E-3</v>
      </c>
      <c r="BP31" s="5">
        <f>AVERAGE(BP25:BP29)</f>
        <v>2.9140854274518624E-3</v>
      </c>
      <c r="BQ31" s="5">
        <f>AVERAGE(BQ25:BQ29)</f>
        <v>3.1916692909175204E-3</v>
      </c>
      <c r="BR31" s="5">
        <f>AVERAGE(BR25:BR29)</f>
        <v>4.9975982534025132E-3</v>
      </c>
      <c r="BS31" s="5">
        <f>AVERAGE(BS25:BS29)</f>
        <v>4.7744279640207221E-3</v>
      </c>
    </row>
    <row r="32" spans="1:73" collapsed="1" x14ac:dyDescent="0.3">
      <c r="B32" s="55" t="s">
        <v>290</v>
      </c>
      <c r="J32" s="56">
        <f>AVERAGE(J5:J29)</f>
        <v>0.52163487004846243</v>
      </c>
      <c r="K32" s="56">
        <f>AVERAGE(K5:K29)</f>
        <v>0.12509100375846671</v>
      </c>
      <c r="L32" s="56">
        <f>AVERAGE(L5:L29)</f>
        <v>8.5431739249640606E-2</v>
      </c>
      <c r="M32" s="56">
        <f>AVERAGE(M5:M29)</f>
        <v>0.39652146661010584</v>
      </c>
      <c r="AH32" s="56">
        <f>AVERAGE(AH5:AH29)</f>
        <v>0.52257162948203428</v>
      </c>
      <c r="AI32" s="56">
        <f>AVERAGE(AI5:AI29)</f>
        <v>0.12510908069311488</v>
      </c>
      <c r="AJ32" s="56">
        <f>AVERAGE(AJ5:AJ29)</f>
        <v>8.5432132226480884E-2</v>
      </c>
      <c r="AK32" s="56">
        <f>AVERAGE(AK5:AK29)</f>
        <v>0.39745861902051816</v>
      </c>
      <c r="BG32" s="8">
        <f>AVERAGE(BG5:BG29)</f>
        <v>3.06824955556545E-4</v>
      </c>
      <c r="BI32" s="5">
        <f>AVERAGE(BI5:BI29)</f>
        <v>1.8289179305823743E-4</v>
      </c>
      <c r="BJ32" s="5">
        <f>AVERAGE(BJ5:BJ29)</f>
        <v>1.7313757799382047E-4</v>
      </c>
      <c r="BK32" s="5">
        <f>AVERAGE(BK5:BK29)</f>
        <v>8.2807062339198547E-4</v>
      </c>
      <c r="BL32" s="5">
        <f>AVERAGE(BL5:BL29)</f>
        <v>8.5571708348598282E-3</v>
      </c>
      <c r="BM32" s="5">
        <f>AVERAGE(BM5:BM29)</f>
        <v>6.5728231298260329E-3</v>
      </c>
      <c r="BO32" s="5">
        <f>AVERAGE(BO5:BO29)</f>
        <v>-1.0164020949934293E-4</v>
      </c>
      <c r="BP32" s="5">
        <f>AVERAGE(BP5:BP29)</f>
        <v>2.08909860273776E-4</v>
      </c>
      <c r="BQ32" s="5">
        <f>AVERAGE(BQ5:BQ29)</f>
        <v>1.009137575829655E-3</v>
      </c>
      <c r="BR32" s="5">
        <f>AVERAGE(BR5:BR29)</f>
        <v>6.6844239512835026E-3</v>
      </c>
      <c r="BS32" s="5">
        <f>AVERAGE(BS5:BS29)</f>
        <v>5.5837291648900503E-3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20" sqref="A20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0" t="s">
        <v>366</v>
      </c>
      <c r="B1" s="70"/>
      <c r="C1" s="70"/>
      <c r="D1" s="70"/>
      <c r="E1" s="70"/>
      <c r="F1" s="70"/>
      <c r="H1" s="58" t="s">
        <v>2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E1" s="59" t="s">
        <v>3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x14ac:dyDescent="0.3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550</v>
      </c>
    </row>
    <row r="3" spans="1:60" ht="29.4" thickBot="1" x14ac:dyDescent="0.3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0.2960046198161877</v>
      </c>
      <c r="I5" s="17">
        <f>IF(OR(ISBLANK(Q5),ISBLANK(F5)),"·",Q5*F5/E5/1000000)</f>
        <v>207.83138249999999</v>
      </c>
      <c r="J5" s="18">
        <f>IF(ISBLANK(Q5),"·",Q5/C5)</f>
        <v>8.880138594485631</v>
      </c>
      <c r="K5" s="18">
        <f>IF(N5="","·",N5/C5)</f>
        <v>1.3759194631521297</v>
      </c>
      <c r="L5" s="18">
        <f>IF(R5="","·",R5/C5)</f>
        <v>1.2950767924002762</v>
      </c>
      <c r="M5" s="18">
        <f>IF(ISBLANK(T5),"·",T5/C5)</f>
        <v>7.5042148585723538</v>
      </c>
      <c r="N5" s="15">
        <f>IF(OR(ISBLANK(R5),ISBLANK(S5)),"",R5+S5)</f>
        <v>34348922.666666701</v>
      </c>
      <c r="O5" s="18">
        <f>IF(ISBLANK(Q5),"·",Q5/P5)</f>
        <v>8.880138594485631</v>
      </c>
      <c r="P5" s="19">
        <v>24964341</v>
      </c>
      <c r="Q5" s="20">
        <v>221686808</v>
      </c>
      <c r="R5" s="20">
        <v>32330738.666666701</v>
      </c>
      <c r="S5" s="20">
        <v>2018184</v>
      </c>
      <c r="T5" s="20">
        <v>187337778.66666701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/>
      <c r="AA5" s="22"/>
      <c r="AB5" s="22"/>
      <c r="AC5" s="22"/>
      <c r="AE5" s="23">
        <f>IF(ISBLANK(AN5),"·",AN5/(C5*D5*3))</f>
        <v>0.2960046198161877</v>
      </c>
      <c r="AF5" s="17">
        <f>IF(OR(ISBLANK(AN5),ISBLANK(F5)),"·",AN5*F5/E5/1000000)</f>
        <v>207.83138249999999</v>
      </c>
      <c r="AG5" s="18">
        <f>IF(ISBLANK(AN5),"·",AN5/C5)</f>
        <v>8.880138594485631</v>
      </c>
      <c r="AH5" s="18">
        <f>IF(AK5="","·",AK5/C5)</f>
        <v>1.3759194631521297</v>
      </c>
      <c r="AI5" s="18">
        <f>IF(AO5="","·",AO5/C5)</f>
        <v>1.2950767924002762</v>
      </c>
      <c r="AJ5" s="18">
        <f>IF(ISBLANK(AQ5),"·",AQ5/C5)</f>
        <v>7.5042148585723538</v>
      </c>
      <c r="AK5" s="15">
        <f>IF(OR(ISBLANK(AO5),ISBLANK(AP5)),"",AO5+AP5)</f>
        <v>34348922.666666701</v>
      </c>
      <c r="AL5" s="18">
        <f>IF(ISBLANK(AN5),"·",AN5/AM5)</f>
        <v>8.880138594485631</v>
      </c>
      <c r="AM5" s="71">
        <v>24964341</v>
      </c>
      <c r="AN5" s="72">
        <v>221686808</v>
      </c>
      <c r="AO5" s="72">
        <v>32330738.666666701</v>
      </c>
      <c r="AP5" s="72">
        <v>2018184</v>
      </c>
      <c r="AQ5" s="72">
        <v>187337778.66666701</v>
      </c>
      <c r="AR5" s="73" t="s">
        <v>549</v>
      </c>
      <c r="AS5" s="73" t="s">
        <v>549</v>
      </c>
      <c r="AT5" s="73" t="s">
        <v>549</v>
      </c>
      <c r="AU5" s="73" t="s">
        <v>549</v>
      </c>
      <c r="AV5" s="73" t="s">
        <v>549</v>
      </c>
      <c r="AW5" s="74"/>
      <c r="AX5" s="74"/>
      <c r="AY5" s="74"/>
      <c r="AZ5" s="74"/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0.42520766212683186</v>
      </c>
      <c r="I6" s="27">
        <f>IF(OR(ISBLANK(Q6),ISBLANK(F6)),"·",Q6*F6/E6/1000000)</f>
        <v>270.92784</v>
      </c>
      <c r="J6" s="28">
        <f>IF(ISBLANK(Q6),"·",Q6/C6)</f>
        <v>12.756229863804956</v>
      </c>
      <c r="K6" s="28">
        <f>IF(N6="","·",N6/C6)</f>
        <v>1.6764675524749624</v>
      </c>
      <c r="L6" s="28">
        <f>IF(R6="","·",R6/C6)</f>
        <v>1.5349109041212743</v>
      </c>
      <c r="M6" s="28">
        <f>IF(ISBLANK(T6),"·",T6/C6)</f>
        <v>11.079757602980413</v>
      </c>
      <c r="N6" s="25">
        <f>IF(OR(ISBLANK(R6),ISBLANK(S6)),"",R6+S6)</f>
        <v>37980018.666666701</v>
      </c>
      <c r="O6" s="28">
        <f>IF(ISBLANK(Q6),"·",Q6/P6)</f>
        <v>12.756229863804956</v>
      </c>
      <c r="P6" s="29">
        <v>22654789</v>
      </c>
      <c r="Q6" s="30">
        <v>288989696</v>
      </c>
      <c r="R6" s="30">
        <v>34773082.666666701</v>
      </c>
      <c r="S6" s="30">
        <v>3206936</v>
      </c>
      <c r="T6" s="30">
        <v>251009570.66666701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/>
      <c r="AA6" s="32"/>
      <c r="AB6" s="32"/>
      <c r="AC6" s="32"/>
      <c r="AE6" s="33">
        <f>IF(ISBLANK(AN6),"·",AN6/(C6*D6*3))</f>
        <v>0.42520766212683186</v>
      </c>
      <c r="AF6" s="27">
        <f>IF(OR(ISBLANK(AN6),ISBLANK(F6)),"·",AN6*F6/E6/1000000)</f>
        <v>270.92784</v>
      </c>
      <c r="AG6" s="28">
        <f>IF(ISBLANK(AN6),"·",AN6/C6)</f>
        <v>12.756229863804956</v>
      </c>
      <c r="AH6" s="28">
        <f>IF(AK6="","·",AK6/C6)</f>
        <v>1.6764675524749624</v>
      </c>
      <c r="AI6" s="28">
        <f>IF(AO6="","·",AO6/C6)</f>
        <v>1.5349109041212743</v>
      </c>
      <c r="AJ6" s="28">
        <f>IF(ISBLANK(AQ6),"·",AQ6/C6)</f>
        <v>11.079757602980413</v>
      </c>
      <c r="AK6" s="25">
        <f>IF(OR(ISBLANK(AO6),ISBLANK(AP6)),"",AO6+AP6)</f>
        <v>37980018.666666701</v>
      </c>
      <c r="AL6" s="28">
        <f>IF(ISBLANK(AN6),"·",AN6/AM6)</f>
        <v>12.756229863804956</v>
      </c>
      <c r="AM6" s="75">
        <v>22654789</v>
      </c>
      <c r="AN6" s="76">
        <v>288989696</v>
      </c>
      <c r="AO6" s="76">
        <v>34773082.666666701</v>
      </c>
      <c r="AP6" s="76">
        <v>3206936</v>
      </c>
      <c r="AQ6" s="76">
        <v>251009570.66666701</v>
      </c>
      <c r="AR6" s="77" t="s">
        <v>549</v>
      </c>
      <c r="AS6" s="77" t="s">
        <v>549</v>
      </c>
      <c r="AT6" s="77" t="s">
        <v>549</v>
      </c>
      <c r="AU6" s="77" t="s">
        <v>549</v>
      </c>
      <c r="AV6" s="77" t="s">
        <v>549</v>
      </c>
      <c r="AW6" s="78"/>
      <c r="AX6" s="78"/>
      <c r="AY6" s="78"/>
      <c r="AZ6" s="78"/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0.32926431952411844</v>
      </c>
      <c r="I7" s="17">
        <f>IF(OR(ISBLANK(Q7),ISBLANK(F7)),"·",Q7*F7/E7/1000000)</f>
        <v>314.37484499999999</v>
      </c>
      <c r="J7" s="18">
        <f>IF(ISBLANK(Q7),"·",Q7/C7)</f>
        <v>9.8779295857235532</v>
      </c>
      <c r="K7" s="18">
        <f>IF(N7="","·",N7/C7)</f>
        <v>1.6103822550507432</v>
      </c>
      <c r="L7" s="18">
        <f>IF(R7="","·",R7/C7)</f>
        <v>1.4965773742631743</v>
      </c>
      <c r="M7" s="18">
        <f>IF(ISBLANK(T7),"·",T7/C7)</f>
        <v>8.2675441885863137</v>
      </c>
      <c r="N7" s="15">
        <f>IF(OR(ISBLANK(R7),ISBLANK(S7)),"",R7+S7)</f>
        <v>54668802.666666701</v>
      </c>
      <c r="O7" s="18">
        <f>IF(ISBLANK(Q7),"·",Q7/P7)</f>
        <v>9.8779295857235532</v>
      </c>
      <c r="P7" s="19">
        <v>33947718</v>
      </c>
      <c r="Q7" s="20">
        <v>335333168</v>
      </c>
      <c r="R7" s="20">
        <v>50805386.666666701</v>
      </c>
      <c r="S7" s="20">
        <v>3863416</v>
      </c>
      <c r="T7" s="20">
        <v>280664258.66666698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/>
      <c r="AA7" s="22"/>
      <c r="AB7" s="22"/>
      <c r="AC7" s="22"/>
      <c r="AE7" s="23">
        <f>IF(ISBLANK(AN7),"·",AN7/(C7*D7*3))</f>
        <v>0.32926431952411844</v>
      </c>
      <c r="AF7" s="17">
        <f>IF(OR(ISBLANK(AN7),ISBLANK(F7)),"·",AN7*F7/E7/1000000)</f>
        <v>314.37484499999999</v>
      </c>
      <c r="AG7" s="18">
        <f>IF(ISBLANK(AN7),"·",AN7/C7)</f>
        <v>9.8779295857235532</v>
      </c>
      <c r="AH7" s="18">
        <f>IF(AK7="","·",AK7/C7)</f>
        <v>1.6103822550507432</v>
      </c>
      <c r="AI7" s="18">
        <f>IF(AO7="","·",AO7/C7)</f>
        <v>1.4965773742631743</v>
      </c>
      <c r="AJ7" s="18">
        <f>IF(ISBLANK(AQ7),"·",AQ7/C7)</f>
        <v>8.2675441885863137</v>
      </c>
      <c r="AK7" s="15">
        <f>IF(OR(ISBLANK(AO7),ISBLANK(AP7)),"",AO7+AP7)</f>
        <v>54668802.666666701</v>
      </c>
      <c r="AL7" s="18">
        <f>IF(ISBLANK(AN7),"·",AN7/AM7)</f>
        <v>9.8779295857235532</v>
      </c>
      <c r="AM7" s="71">
        <v>33947718</v>
      </c>
      <c r="AN7" s="72">
        <v>335333168</v>
      </c>
      <c r="AO7" s="72">
        <v>50805386.666666701</v>
      </c>
      <c r="AP7" s="72">
        <v>3863416</v>
      </c>
      <c r="AQ7" s="72">
        <v>280664258.66666698</v>
      </c>
      <c r="AR7" s="73" t="s">
        <v>549</v>
      </c>
      <c r="AS7" s="73" t="s">
        <v>549</v>
      </c>
      <c r="AT7" s="73" t="s">
        <v>549</v>
      </c>
      <c r="AU7" s="73" t="s">
        <v>549</v>
      </c>
      <c r="AV7" s="73" t="s">
        <v>549</v>
      </c>
      <c r="AW7" s="74"/>
      <c r="AX7" s="74"/>
      <c r="AY7" s="74"/>
      <c r="AZ7" s="74"/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0.26317798058177794</v>
      </c>
      <c r="I8" s="47">
        <f>IF(OR(ISBLANK(Q8),ISBLANK(F8)),"·",Q8*F8/E8/1000000)</f>
        <v>397.35322500000001</v>
      </c>
      <c r="J8" s="48">
        <f>IF(ISBLANK(Q8),"·",Q8/C8)</f>
        <v>7.8953394174533384</v>
      </c>
      <c r="K8" s="48">
        <f>IF(N8="","·",N8/C8)</f>
        <v>1.2380124382833644</v>
      </c>
      <c r="L8" s="48">
        <f>IF(R8="","·",R8/C8)</f>
        <v>1.0871895309943889</v>
      </c>
      <c r="M8" s="48">
        <f>IF(ISBLANK(T8),"·",T8/C8)</f>
        <v>6.6573236675323288</v>
      </c>
      <c r="N8" s="45">
        <f>IF(OR(ISBLANK(R8),ISBLANK(S8)),"",R8+S8)</f>
        <v>39875938.666666701</v>
      </c>
      <c r="O8" s="48">
        <f>IF(ISBLANK(Q8),"·",Q8/P8)</f>
        <v>7.8953394174533384</v>
      </c>
      <c r="P8" s="49">
        <v>32209643</v>
      </c>
      <c r="Q8" s="50">
        <v>254306064</v>
      </c>
      <c r="R8" s="50">
        <v>35017986.666666701</v>
      </c>
      <c r="S8" s="50">
        <v>4857952</v>
      </c>
      <c r="T8" s="50">
        <v>214430018.66666701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/>
      <c r="AA8" s="52"/>
      <c r="AB8" s="52"/>
      <c r="AC8" s="52"/>
      <c r="AE8" s="53">
        <f>IF(ISBLANK(AN8),"·",AN8/(C8*D8*3))</f>
        <v>0.26317798058177794</v>
      </c>
      <c r="AF8" s="47">
        <f>IF(OR(ISBLANK(AN8),ISBLANK(F8)),"·",AN8*F8/E8/1000000)</f>
        <v>397.35322500000001</v>
      </c>
      <c r="AG8" s="48">
        <f>IF(ISBLANK(AN8),"·",AN8/C8)</f>
        <v>7.8953394174533384</v>
      </c>
      <c r="AH8" s="48">
        <f>IF(AK8="","·",AK8/C8)</f>
        <v>1.2380124382833644</v>
      </c>
      <c r="AI8" s="48">
        <f>IF(AO8="","·",AO8/C8)</f>
        <v>1.0871895309943889</v>
      </c>
      <c r="AJ8" s="48">
        <f>IF(ISBLANK(AQ8),"·",AQ8/C8)</f>
        <v>6.6573236675323288</v>
      </c>
      <c r="AK8" s="45">
        <f>IF(OR(ISBLANK(AO8),ISBLANK(AP8)),"",AO8+AP8)</f>
        <v>39875938.666666701</v>
      </c>
      <c r="AL8" s="48">
        <f>IF(ISBLANK(AN8),"·",AN8/AM8)</f>
        <v>7.8953394174533384</v>
      </c>
      <c r="AM8" s="83">
        <v>32209643</v>
      </c>
      <c r="AN8" s="84">
        <v>254306064</v>
      </c>
      <c r="AO8" s="84">
        <v>35017986.666666701</v>
      </c>
      <c r="AP8" s="84">
        <v>4857952</v>
      </c>
      <c r="AQ8" s="84">
        <v>214430018.66666701</v>
      </c>
      <c r="AR8" s="85" t="s">
        <v>549</v>
      </c>
      <c r="AS8" s="85" t="s">
        <v>549</v>
      </c>
      <c r="AT8" s="85" t="s">
        <v>549</v>
      </c>
      <c r="AU8" s="85" t="s">
        <v>549</v>
      </c>
      <c r="AV8" s="85" t="s">
        <v>549</v>
      </c>
      <c r="AW8" s="86"/>
      <c r="AX8" s="86"/>
      <c r="AY8" s="86"/>
      <c r="AZ8" s="86"/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0.50143253063872861</v>
      </c>
      <c r="I9" s="37">
        <f>IF(OR(ISBLANK(Q9),ISBLANK(F9)),"·",Q9*F9/E9/1000000)</f>
        <v>356.9755725</v>
      </c>
      <c r="J9" s="38">
        <f>IF(ISBLANK(Q9),"·",Q9/C9)</f>
        <v>15.04297591916186</v>
      </c>
      <c r="K9" s="38">
        <f>IF(N9="","·",N9/C9)</f>
        <v>1.5178865111002755</v>
      </c>
      <c r="L9" s="38">
        <f>IF(R9="","·",R9/C9)</f>
        <v>1.4171732166559066</v>
      </c>
      <c r="M9" s="38">
        <f>IF(ISBLANK(T9),"·",T9/C9)</f>
        <v>13.525085194054512</v>
      </c>
      <c r="N9" s="35">
        <f>IF(OR(ISBLANK(R9),ISBLANK(S9)),"",R9+S9)</f>
        <v>38421362.666666701</v>
      </c>
      <c r="O9" s="38">
        <f>IF(ISBLANK(Q9),"·",Q9/P9)</f>
        <v>15.04297591916186</v>
      </c>
      <c r="P9" s="39">
        <v>25312408</v>
      </c>
      <c r="Q9" s="40">
        <v>380773944</v>
      </c>
      <c r="R9" s="40">
        <v>35872066.666666701</v>
      </c>
      <c r="S9" s="40">
        <v>2549296</v>
      </c>
      <c r="T9" s="40">
        <v>342352474.66666698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/>
      <c r="AA9" s="42"/>
      <c r="AB9" s="42"/>
      <c r="AC9" s="42"/>
      <c r="AE9" s="43">
        <f>IF(ISBLANK(AN9),"·",AN9/(C9*D9*3))</f>
        <v>0.50143253063872861</v>
      </c>
      <c r="AF9" s="37">
        <f>IF(OR(ISBLANK(AN9),ISBLANK(F9)),"·",AN9*F9/E9/1000000)</f>
        <v>356.9755725</v>
      </c>
      <c r="AG9" s="38">
        <f>IF(ISBLANK(AN9),"·",AN9/C9)</f>
        <v>15.04297591916186</v>
      </c>
      <c r="AH9" s="38">
        <f>IF(AK9="","·",AK9/C9)</f>
        <v>1.5178865111002755</v>
      </c>
      <c r="AI9" s="38">
        <f>IF(AO9="","·",AO9/C9)</f>
        <v>1.4171732166559066</v>
      </c>
      <c r="AJ9" s="38">
        <f>IF(ISBLANK(AQ9),"·",AQ9/C9)</f>
        <v>13.525085194054512</v>
      </c>
      <c r="AK9" s="35">
        <f>IF(OR(ISBLANK(AO9),ISBLANK(AP9)),"",AO9+AP9)</f>
        <v>38421362.666666701</v>
      </c>
      <c r="AL9" s="38">
        <f>IF(ISBLANK(AN9),"·",AN9/AM9)</f>
        <v>15.04297591916186</v>
      </c>
      <c r="AM9" s="79">
        <v>25312408</v>
      </c>
      <c r="AN9" s="80">
        <v>380773944</v>
      </c>
      <c r="AO9" s="80">
        <v>35872066.666666701</v>
      </c>
      <c r="AP9" s="80">
        <v>2549296</v>
      </c>
      <c r="AQ9" s="80">
        <v>342352474.66666698</v>
      </c>
      <c r="AR9" s="81" t="s">
        <v>549</v>
      </c>
      <c r="AS9" s="81" t="s">
        <v>549</v>
      </c>
      <c r="AT9" s="81" t="s">
        <v>549</v>
      </c>
      <c r="AU9" s="81" t="s">
        <v>549</v>
      </c>
      <c r="AV9" s="81" t="s">
        <v>549</v>
      </c>
      <c r="AW9" s="82"/>
      <c r="AX9" s="82"/>
      <c r="AY9" s="82"/>
      <c r="AZ9" s="82"/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x14ac:dyDescent="0.3">
      <c r="B10" s="55" t="s">
        <v>288</v>
      </c>
      <c r="J10" s="56">
        <f>AVERAGE(J5:J8)</f>
        <v>9.852409365366869</v>
      </c>
      <c r="K10" s="56">
        <f>AVERAGE(K5:K8)</f>
        <v>1.4751954272402998</v>
      </c>
      <c r="L10" s="56">
        <f>AVERAGE(L5:L8)</f>
        <v>1.3534386504447786</v>
      </c>
      <c r="M10" s="56">
        <f>AVERAGE(M5:M8)</f>
        <v>8.3772100794178534</v>
      </c>
      <c r="AG10" s="56">
        <f>AVERAGE(AG5:AG8)</f>
        <v>9.852409365366869</v>
      </c>
      <c r="AH10" s="56">
        <f>AVERAGE(AH5:AH8)</f>
        <v>1.4751954272402998</v>
      </c>
      <c r="AI10" s="56">
        <f>AVERAGE(AI5:AI8)</f>
        <v>1.3534386504447786</v>
      </c>
      <c r="AJ10" s="56">
        <f>AVERAGE(AJ5:AJ8)</f>
        <v>8.3772100794178534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x14ac:dyDescent="0.3">
      <c r="B11" s="55" t="s">
        <v>289</v>
      </c>
      <c r="J11" s="56">
        <f>AVERAGE(J9:J9)</f>
        <v>15.04297591916186</v>
      </c>
      <c r="K11" s="56">
        <f>AVERAGE(K9:K9)</f>
        <v>1.5178865111002755</v>
      </c>
      <c r="L11" s="56">
        <f>AVERAGE(L9:L9)</f>
        <v>1.4171732166559066</v>
      </c>
      <c r="M11" s="56">
        <f>AVERAGE(M9:M9)</f>
        <v>13.525085194054512</v>
      </c>
      <c r="AG11" s="56">
        <f>AVERAGE(AG9:AG9)</f>
        <v>15.04297591916186</v>
      </c>
      <c r="AH11" s="56">
        <f>AVERAGE(AH9:AH9)</f>
        <v>1.5178865111002755</v>
      </c>
      <c r="AI11" s="56">
        <f>AVERAGE(AI9:AI9)</f>
        <v>1.4171732166559066</v>
      </c>
      <c r="AJ11" s="56">
        <f>AVERAGE(AJ9:AJ9)</f>
        <v>13.525085194054512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 x14ac:dyDescent="0.3">
      <c r="B12" s="55" t="s">
        <v>290</v>
      </c>
      <c r="J12" s="56">
        <f>AVERAGE(J5:J9)</f>
        <v>10.890522676125867</v>
      </c>
      <c r="K12" s="56">
        <f>AVERAGE(K5:K9)</f>
        <v>1.483733644012295</v>
      </c>
      <c r="L12" s="56">
        <f>AVERAGE(L5:L9)</f>
        <v>1.3661855636870042</v>
      </c>
      <c r="M12" s="56">
        <f>AVERAGE(M5:M9)</f>
        <v>9.4067851023451858</v>
      </c>
      <c r="AG12" s="56">
        <f>AVERAGE(AG5:AG9)</f>
        <v>10.890522676125867</v>
      </c>
      <c r="AH12" s="56">
        <f>AVERAGE(AH5:AH9)</f>
        <v>1.483733644012295</v>
      </c>
      <c r="AI12" s="56">
        <f>AVERAGE(AI5:AI9)</f>
        <v>1.3661855636870042</v>
      </c>
      <c r="AJ12" s="56">
        <f>AVERAGE(AJ5:AJ9)</f>
        <v>9.4067851023451858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AO1" activePane="topRight" state="frozen"/>
      <selection pane="topRight" activeCell="A20" sqref="A20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0" t="s">
        <v>441</v>
      </c>
      <c r="B1" s="70"/>
      <c r="C1" s="70"/>
      <c r="D1" s="70"/>
      <c r="E1" s="70"/>
      <c r="F1" s="70"/>
      <c r="H1" s="58" t="s">
        <v>2</v>
      </c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E1" s="59" t="s">
        <v>3</v>
      </c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0" ht="30" customHeight="1" x14ac:dyDescent="0.3">
      <c r="A2" s="66" t="s">
        <v>93</v>
      </c>
      <c r="B2" s="67" t="s">
        <v>96</v>
      </c>
      <c r="C2" s="66" t="s">
        <v>102</v>
      </c>
      <c r="D2" s="67" t="s">
        <v>105</v>
      </c>
      <c r="E2" s="66" t="s">
        <v>108</v>
      </c>
      <c r="F2" s="67" t="s">
        <v>111</v>
      </c>
      <c r="H2" s="66" t="s">
        <v>310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9" t="s">
        <v>142</v>
      </c>
      <c r="R2" s="69"/>
      <c r="S2" s="69"/>
      <c r="T2" s="69"/>
      <c r="U2" s="68" t="s">
        <v>153</v>
      </c>
      <c r="V2" s="68"/>
      <c r="W2" s="69" t="s">
        <v>160</v>
      </c>
      <c r="X2" s="69"/>
      <c r="Y2" s="69"/>
      <c r="Z2" s="68" t="s">
        <v>170</v>
      </c>
      <c r="AA2" s="68"/>
      <c r="AB2" s="69" t="s">
        <v>177</v>
      </c>
      <c r="AC2" s="69"/>
      <c r="AE2" s="66" t="s">
        <v>310</v>
      </c>
      <c r="AF2" s="67" t="s">
        <v>114</v>
      </c>
      <c r="AG2" s="68" t="s">
        <v>117</v>
      </c>
      <c r="AH2" s="68"/>
      <c r="AI2" s="68"/>
      <c r="AJ2" s="68"/>
      <c r="AK2" s="66" t="s">
        <v>192</v>
      </c>
      <c r="AL2" s="67" t="s">
        <v>133</v>
      </c>
      <c r="AM2" s="66" t="s">
        <v>24</v>
      </c>
      <c r="AN2" s="69" t="s">
        <v>142</v>
      </c>
      <c r="AO2" s="69"/>
      <c r="AP2" s="69"/>
      <c r="AQ2" s="69"/>
      <c r="AR2" s="68" t="s">
        <v>153</v>
      </c>
      <c r="AS2" s="68"/>
      <c r="AT2" s="69" t="s">
        <v>160</v>
      </c>
      <c r="AU2" s="69"/>
      <c r="AV2" s="69"/>
      <c r="AW2" s="68" t="s">
        <v>170</v>
      </c>
      <c r="AX2" s="68"/>
      <c r="AY2" s="69" t="s">
        <v>177</v>
      </c>
      <c r="AZ2" s="69"/>
      <c r="BB2" s="68" t="s">
        <v>357</v>
      </c>
      <c r="BC2" s="68"/>
      <c r="BD2" s="68"/>
      <c r="BE2" s="67" t="s">
        <v>232</v>
      </c>
      <c r="BF2" s="66" t="s">
        <v>232</v>
      </c>
      <c r="BH2" t="s">
        <v>550</v>
      </c>
    </row>
    <row r="3" spans="1:60" ht="29.4" thickBot="1" x14ac:dyDescent="0.35">
      <c r="A3" s="66"/>
      <c r="B3" s="67"/>
      <c r="C3" s="66"/>
      <c r="D3" s="67"/>
      <c r="E3" s="66"/>
      <c r="F3" s="67"/>
      <c r="H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66"/>
      <c r="AF3" s="67"/>
      <c r="AG3" s="11" t="s">
        <v>118</v>
      </c>
      <c r="AH3" s="11" t="s">
        <v>121</v>
      </c>
      <c r="AI3" s="11" t="s">
        <v>124</v>
      </c>
      <c r="AJ3" s="11" t="s">
        <v>127</v>
      </c>
      <c r="AK3" s="66"/>
      <c r="AL3" s="67"/>
      <c r="AM3" s="66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7"/>
      <c r="BF3" s="66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0.29287159633014148</v>
      </c>
      <c r="I5" s="17">
        <f>IF(OR(ISBLANK(Q5),ISBLANK(F5)),"·",Q5*F5/E5/1000000)</f>
        <v>205.6316175</v>
      </c>
      <c r="J5" s="18">
        <f>IF(ISBLANK(Q5),"·",Q5/C5)</f>
        <v>8.7861478899042442</v>
      </c>
      <c r="K5" s="18">
        <f>IF(N5="","·",N5/C5)</f>
        <v>1.3513836662728931</v>
      </c>
      <c r="L5" s="18">
        <f>IF(R5="","·",R5/C5)</f>
        <v>1.2699513544806451</v>
      </c>
      <c r="M5" s="18">
        <f>IF(ISBLANK(T5),"·",T5/C5)</f>
        <v>7.4347599508702036</v>
      </c>
      <c r="N5" s="15">
        <f>IF(OR(ISBLANK(R5),ISBLANK(S5)),"",R5+S5)</f>
        <v>33736402.666666701</v>
      </c>
      <c r="O5" s="18">
        <f>IF(ISBLANK(Q5),"·",Q5/P5)</f>
        <v>8.7861478899042442</v>
      </c>
      <c r="P5" s="19">
        <v>24964341</v>
      </c>
      <c r="Q5" s="20">
        <v>219340392</v>
      </c>
      <c r="R5" s="20">
        <v>31703498.666666701</v>
      </c>
      <c r="S5" s="20">
        <v>2032904</v>
      </c>
      <c r="T5" s="20">
        <v>185603882.66666701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/>
      <c r="AA5" s="22"/>
      <c r="AB5" s="22"/>
      <c r="AC5" s="22"/>
      <c r="AE5" s="23">
        <f>IF(ISBLANK(AN5),"·",AN5/(C5*D5*3))</f>
        <v>0.29287159633014148</v>
      </c>
      <c r="AF5" s="17">
        <f>IF(OR(ISBLANK(AN5),ISBLANK(F5)),"·",AN5*F5/E5/1000000)</f>
        <v>205.6316175</v>
      </c>
      <c r="AG5" s="18">
        <f>IF(ISBLANK(AN5),"·",AN5/C5)</f>
        <v>8.7861478899042442</v>
      </c>
      <c r="AH5" s="18">
        <f>IF(AK5="","·",AK5/C5)</f>
        <v>1.3513836662728931</v>
      </c>
      <c r="AI5" s="18">
        <f>IF(AO5="","·",AO5/C5)</f>
        <v>1.2699513544806451</v>
      </c>
      <c r="AJ5" s="18">
        <f>IF(ISBLANK(AQ5),"·",AQ5/C5)</f>
        <v>7.4347599508702036</v>
      </c>
      <c r="AK5" s="15">
        <f>IF(OR(ISBLANK(AO5),ISBLANK(AP5)),"",AO5+AP5)</f>
        <v>33736402.666666701</v>
      </c>
      <c r="AL5" s="18">
        <f>IF(ISBLANK(AN5),"·",AN5/AM5)</f>
        <v>8.7861478899042442</v>
      </c>
      <c r="AM5" s="71">
        <v>24964341</v>
      </c>
      <c r="AN5" s="72">
        <v>219340392</v>
      </c>
      <c r="AO5" s="72">
        <v>31703498.666666701</v>
      </c>
      <c r="AP5" s="72">
        <v>2032904</v>
      </c>
      <c r="AQ5" s="72">
        <v>185603882.66666701</v>
      </c>
      <c r="AR5" s="73" t="s">
        <v>549</v>
      </c>
      <c r="AS5" s="73" t="s">
        <v>549</v>
      </c>
      <c r="AT5" s="73" t="s">
        <v>549</v>
      </c>
      <c r="AU5" s="73" t="s">
        <v>549</v>
      </c>
      <c r="AV5" s="73" t="s">
        <v>549</v>
      </c>
      <c r="AW5" s="74"/>
      <c r="AX5" s="74"/>
      <c r="AY5" s="74"/>
      <c r="AZ5" s="74"/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0.42264516640021088</v>
      </c>
      <c r="I6" s="27">
        <f>IF(OR(ISBLANK(Q6),ISBLANK(F6)),"·",Q6*F6/E6/1000000)</f>
        <v>269.29510499999998</v>
      </c>
      <c r="J6" s="28">
        <f>IF(ISBLANK(Q6),"·",Q6/C6)</f>
        <v>12.679354992006326</v>
      </c>
      <c r="K6" s="28">
        <f>IF(N6="","·",N6/C6)</f>
        <v>1.6759406881550167</v>
      </c>
      <c r="L6" s="28">
        <f>IF(R6="","·",R6/C6)</f>
        <v>1.5267685197450616</v>
      </c>
      <c r="M6" s="28">
        <f>IF(ISBLANK(T6),"·",T6/C6)</f>
        <v>11.003409595501729</v>
      </c>
      <c r="N6" s="25">
        <f>IF(OR(ISBLANK(R6),ISBLANK(S6)),"",R6+S6)</f>
        <v>37968082.666666701</v>
      </c>
      <c r="O6" s="28">
        <f>IF(ISBLANK(Q6),"·",Q6/P6)</f>
        <v>12.679354992006326</v>
      </c>
      <c r="P6" s="29">
        <v>22654789</v>
      </c>
      <c r="Q6" s="30">
        <v>287248112</v>
      </c>
      <c r="R6" s="30">
        <v>34588618.666666701</v>
      </c>
      <c r="S6" s="30">
        <v>3379464</v>
      </c>
      <c r="T6" s="30">
        <v>249279922.66666701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/>
      <c r="AA6" s="32"/>
      <c r="AB6" s="32"/>
      <c r="AC6" s="32"/>
      <c r="AE6" s="33">
        <f>IF(ISBLANK(AN6),"·",AN6/(C6*D6*3))</f>
        <v>0.42264516640021088</v>
      </c>
      <c r="AF6" s="27">
        <f>IF(OR(ISBLANK(AN6),ISBLANK(F6)),"·",AN6*F6/E6/1000000)</f>
        <v>269.29510499999998</v>
      </c>
      <c r="AG6" s="28">
        <f>IF(ISBLANK(AN6),"·",AN6/C6)</f>
        <v>12.679354992006326</v>
      </c>
      <c r="AH6" s="28">
        <f>IF(AK6="","·",AK6/C6)</f>
        <v>1.6759406881550167</v>
      </c>
      <c r="AI6" s="28">
        <f>IF(AO6="","·",AO6/C6)</f>
        <v>1.5267685197450616</v>
      </c>
      <c r="AJ6" s="28">
        <f>IF(ISBLANK(AQ6),"·",AQ6/C6)</f>
        <v>11.003409595501729</v>
      </c>
      <c r="AK6" s="25">
        <f>IF(OR(ISBLANK(AO6),ISBLANK(AP6)),"",AO6+AP6)</f>
        <v>37968082.666666701</v>
      </c>
      <c r="AL6" s="28">
        <f>IF(ISBLANK(AN6),"·",AN6/AM6)</f>
        <v>12.679354992006326</v>
      </c>
      <c r="AM6" s="75">
        <v>22654789</v>
      </c>
      <c r="AN6" s="76">
        <v>287248112</v>
      </c>
      <c r="AO6" s="76">
        <v>34588618.666666701</v>
      </c>
      <c r="AP6" s="76">
        <v>3379464</v>
      </c>
      <c r="AQ6" s="76">
        <v>249279922.66666701</v>
      </c>
      <c r="AR6" s="77" t="s">
        <v>549</v>
      </c>
      <c r="AS6" s="77" t="s">
        <v>549</v>
      </c>
      <c r="AT6" s="77" t="s">
        <v>549</v>
      </c>
      <c r="AU6" s="77" t="s">
        <v>549</v>
      </c>
      <c r="AV6" s="77" t="s">
        <v>549</v>
      </c>
      <c r="AW6" s="78"/>
      <c r="AX6" s="78"/>
      <c r="AY6" s="78"/>
      <c r="AZ6" s="78"/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0.321043977094425</v>
      </c>
      <c r="I7" s="17">
        <f>IF(OR(ISBLANK(Q7),ISBLANK(F7)),"·",Q7*F7/E7/1000000)</f>
        <v>306.52623</v>
      </c>
      <c r="J7" s="18">
        <f>IF(ISBLANK(Q7),"·",Q7/C7)</f>
        <v>9.6313193128327512</v>
      </c>
      <c r="K7" s="18">
        <f>IF(N7="","·",N7/C7)</f>
        <v>1.4778429191224782</v>
      </c>
      <c r="L7" s="18">
        <f>IF(R7="","·",R7/C7)</f>
        <v>1.36331622251212</v>
      </c>
      <c r="M7" s="18">
        <f>IF(ISBLANK(T7),"·",T7/C7)</f>
        <v>8.153473251623776</v>
      </c>
      <c r="N7" s="15">
        <f>IF(OR(ISBLANK(R7),ISBLANK(S7)),"",R7+S7)</f>
        <v>50169394.666666701</v>
      </c>
      <c r="O7" s="18">
        <f>IF(ISBLANK(Q7),"·",Q7/P7)</f>
        <v>9.6313193128327512</v>
      </c>
      <c r="P7" s="19">
        <v>33947718</v>
      </c>
      <c r="Q7" s="20">
        <v>326961312</v>
      </c>
      <c r="R7" s="20">
        <v>46281474.666666701</v>
      </c>
      <c r="S7" s="20">
        <v>3887920</v>
      </c>
      <c r="T7" s="20">
        <v>276791810.66666698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/>
      <c r="AA7" s="22"/>
      <c r="AB7" s="22"/>
      <c r="AC7" s="22"/>
      <c r="AE7" s="23">
        <f>IF(ISBLANK(AN7),"·",AN7/(C7*D7*3))</f>
        <v>0.321043977094425</v>
      </c>
      <c r="AF7" s="17">
        <f>IF(OR(ISBLANK(AN7),ISBLANK(F7)),"·",AN7*F7/E7/1000000)</f>
        <v>306.52623</v>
      </c>
      <c r="AG7" s="18">
        <f>IF(ISBLANK(AN7),"·",AN7/C7)</f>
        <v>9.6313193128327512</v>
      </c>
      <c r="AH7" s="18">
        <f>IF(AK7="","·",AK7/C7)</f>
        <v>1.4778429191224782</v>
      </c>
      <c r="AI7" s="18">
        <f>IF(AO7="","·",AO7/C7)</f>
        <v>1.36331622251212</v>
      </c>
      <c r="AJ7" s="18">
        <f>IF(ISBLANK(AQ7),"·",AQ7/C7)</f>
        <v>8.153473251623776</v>
      </c>
      <c r="AK7" s="15">
        <f>IF(OR(ISBLANK(AO7),ISBLANK(AP7)),"",AO7+AP7)</f>
        <v>50169394.666666701</v>
      </c>
      <c r="AL7" s="18">
        <f>IF(ISBLANK(AN7),"·",AN7/AM7)</f>
        <v>9.6313193128327512</v>
      </c>
      <c r="AM7" s="71">
        <v>33947718</v>
      </c>
      <c r="AN7" s="72">
        <v>326961312</v>
      </c>
      <c r="AO7" s="72">
        <v>46281474.666666701</v>
      </c>
      <c r="AP7" s="72">
        <v>3887920</v>
      </c>
      <c r="AQ7" s="72">
        <v>276791810.66666698</v>
      </c>
      <c r="AR7" s="73" t="s">
        <v>549</v>
      </c>
      <c r="AS7" s="73" t="s">
        <v>549</v>
      </c>
      <c r="AT7" s="73" t="s">
        <v>549</v>
      </c>
      <c r="AU7" s="73" t="s">
        <v>549</v>
      </c>
      <c r="AV7" s="73" t="s">
        <v>549</v>
      </c>
      <c r="AW7" s="74"/>
      <c r="AX7" s="74"/>
      <c r="AY7" s="74"/>
      <c r="AZ7" s="74"/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0.24077100968385978</v>
      </c>
      <c r="I8" s="47">
        <f>IF(OR(ISBLANK(Q8),ISBLANK(F8)),"·",Q8*F8/E8/1000000)</f>
        <v>363.52257500000002</v>
      </c>
      <c r="J8" s="48">
        <f>IF(ISBLANK(Q8),"·",Q8/C8)</f>
        <v>7.2231302905157939</v>
      </c>
      <c r="K8" s="48">
        <f>IF(N8="","·",N8/C8)</f>
        <v>0.88954089514952717</v>
      </c>
      <c r="L8" s="48">
        <f>IF(R8="","·",R8/C8)</f>
        <v>0.78847004503175344</v>
      </c>
      <c r="M8" s="48">
        <f>IF(ISBLANK(T8),"·",T8/C8)</f>
        <v>6.3335860837286218</v>
      </c>
      <c r="N8" s="45">
        <f>IF(OR(ISBLANK(R8),ISBLANK(S8)),"",R8+S8)</f>
        <v>28651794.666666701</v>
      </c>
      <c r="O8" s="48">
        <f>IF(ISBLANK(Q8),"·",Q8/P8)</f>
        <v>7.2231302905157939</v>
      </c>
      <c r="P8" s="49">
        <v>32209643</v>
      </c>
      <c r="Q8" s="50">
        <v>232654448</v>
      </c>
      <c r="R8" s="50">
        <v>25396338.666666701</v>
      </c>
      <c r="S8" s="50">
        <v>3255456</v>
      </c>
      <c r="T8" s="50">
        <v>204002546.66666701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/>
      <c r="AA8" s="52"/>
      <c r="AB8" s="52"/>
      <c r="AC8" s="52"/>
      <c r="AE8" s="53">
        <f>IF(ISBLANK(AN8),"·",AN8/(C8*D8*3))</f>
        <v>0.24077100968385978</v>
      </c>
      <c r="AF8" s="47">
        <f>IF(OR(ISBLANK(AN8),ISBLANK(F8)),"·",AN8*F8/E8/1000000)</f>
        <v>363.52257500000002</v>
      </c>
      <c r="AG8" s="48">
        <f>IF(ISBLANK(AN8),"·",AN8/C8)</f>
        <v>7.2231302905157939</v>
      </c>
      <c r="AH8" s="48">
        <f>IF(AK8="","·",AK8/C8)</f>
        <v>0.88954089514952717</v>
      </c>
      <c r="AI8" s="48">
        <f>IF(AO8="","·",AO8/C8)</f>
        <v>0.78847004503175344</v>
      </c>
      <c r="AJ8" s="48">
        <f>IF(ISBLANK(AQ8),"·",AQ8/C8)</f>
        <v>6.3335860837286218</v>
      </c>
      <c r="AK8" s="45">
        <f>IF(OR(ISBLANK(AO8),ISBLANK(AP8)),"",AO8+AP8)</f>
        <v>28651794.666666701</v>
      </c>
      <c r="AL8" s="48">
        <f>IF(ISBLANK(AN8),"·",AN8/AM8)</f>
        <v>7.2231302905157939</v>
      </c>
      <c r="AM8" s="83">
        <v>32209643</v>
      </c>
      <c r="AN8" s="84">
        <v>232654448</v>
      </c>
      <c r="AO8" s="84">
        <v>25396338.666666701</v>
      </c>
      <c r="AP8" s="84">
        <v>3255456</v>
      </c>
      <c r="AQ8" s="84">
        <v>204002546.66666701</v>
      </c>
      <c r="AR8" s="85" t="s">
        <v>549</v>
      </c>
      <c r="AS8" s="85" t="s">
        <v>549</v>
      </c>
      <c r="AT8" s="85" t="s">
        <v>549</v>
      </c>
      <c r="AU8" s="85" t="s">
        <v>549</v>
      </c>
      <c r="AV8" s="85" t="s">
        <v>549</v>
      </c>
      <c r="AW8" s="86"/>
      <c r="AX8" s="86"/>
      <c r="AY8" s="86"/>
      <c r="AZ8" s="86"/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0.49735886052405603</v>
      </c>
      <c r="I9" s="37">
        <f>IF(OR(ISBLANK(Q9),ISBLANK(F9)),"·",Q9*F9/E9/1000000)</f>
        <v>354.07548000000003</v>
      </c>
      <c r="J9" s="38">
        <f>IF(ISBLANK(Q9),"·",Q9/C9)</f>
        <v>14.920765815721682</v>
      </c>
      <c r="K9" s="38">
        <f>IF(N9="","·",N9/C9)</f>
        <v>1.5192019134120587</v>
      </c>
      <c r="L9" s="38">
        <f>IF(R9="","·",R9/C9)</f>
        <v>1.4119356272491619</v>
      </c>
      <c r="M9" s="38">
        <f>IF(ISBLANK(T9),"·",T9/C9)</f>
        <v>13.40155968830255</v>
      </c>
      <c r="N9" s="35">
        <f>IF(OR(ISBLANK(R9),ISBLANK(S9)),"",R9+S9)</f>
        <v>38454658.666666701</v>
      </c>
      <c r="O9" s="38">
        <f>IF(ISBLANK(Q9),"·",Q9/P9)</f>
        <v>14.920765815721682</v>
      </c>
      <c r="P9" s="39">
        <v>25312408</v>
      </c>
      <c r="Q9" s="40">
        <v>377680512</v>
      </c>
      <c r="R9" s="40">
        <v>35739490.666666701</v>
      </c>
      <c r="S9" s="40">
        <v>2715168</v>
      </c>
      <c r="T9" s="40">
        <v>339225746.66666698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/>
      <c r="AA9" s="42"/>
      <c r="AB9" s="42"/>
      <c r="AC9" s="42"/>
      <c r="AE9" s="43">
        <f>IF(ISBLANK(AN9),"·",AN9/(C9*D9*3))</f>
        <v>0.49735886052405603</v>
      </c>
      <c r="AF9" s="37">
        <f>IF(OR(ISBLANK(AN9),ISBLANK(F9)),"·",AN9*F9/E9/1000000)</f>
        <v>354.07548000000003</v>
      </c>
      <c r="AG9" s="38">
        <f>IF(ISBLANK(AN9),"·",AN9/C9)</f>
        <v>14.920765815721682</v>
      </c>
      <c r="AH9" s="38">
        <f>IF(AK9="","·",AK9/C9)</f>
        <v>1.5192019134120587</v>
      </c>
      <c r="AI9" s="38">
        <f>IF(AO9="","·",AO9/C9)</f>
        <v>1.4119356272491619</v>
      </c>
      <c r="AJ9" s="38">
        <f>IF(ISBLANK(AQ9),"·",AQ9/C9)</f>
        <v>13.40155968830255</v>
      </c>
      <c r="AK9" s="35">
        <f>IF(OR(ISBLANK(AO9),ISBLANK(AP9)),"",AO9+AP9)</f>
        <v>38454658.666666701</v>
      </c>
      <c r="AL9" s="38">
        <f>IF(ISBLANK(AN9),"·",AN9/AM9)</f>
        <v>14.920765815721682</v>
      </c>
      <c r="AM9" s="79">
        <v>25312408</v>
      </c>
      <c r="AN9" s="80">
        <v>377680512</v>
      </c>
      <c r="AO9" s="80">
        <v>35739490.666666701</v>
      </c>
      <c r="AP9" s="80">
        <v>2715168</v>
      </c>
      <c r="AQ9" s="80">
        <v>339225746.66666698</v>
      </c>
      <c r="AR9" s="81" t="s">
        <v>549</v>
      </c>
      <c r="AS9" s="81" t="s">
        <v>549</v>
      </c>
      <c r="AT9" s="81" t="s">
        <v>549</v>
      </c>
      <c r="AU9" s="81" t="s">
        <v>549</v>
      </c>
      <c r="AV9" s="81" t="s">
        <v>549</v>
      </c>
      <c r="AW9" s="82"/>
      <c r="AX9" s="82"/>
      <c r="AY9" s="82"/>
      <c r="AZ9" s="82"/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x14ac:dyDescent="0.3">
      <c r="B10" s="55" t="s">
        <v>288</v>
      </c>
      <c r="J10" s="56">
        <f>AVERAGE(J5:J8)</f>
        <v>9.5799881213147788</v>
      </c>
      <c r="K10" s="56">
        <f>AVERAGE(K5:K8)</f>
        <v>1.3486770421749787</v>
      </c>
      <c r="L10" s="56">
        <f>AVERAGE(L5:L8)</f>
        <v>1.237126535442395</v>
      </c>
      <c r="M10" s="56">
        <f>AVERAGE(M5:M8)</f>
        <v>8.2313072204310824</v>
      </c>
      <c r="AG10" s="56">
        <f>AVERAGE(AG5:AG8)</f>
        <v>9.5799881213147788</v>
      </c>
      <c r="AH10" s="56">
        <f>AVERAGE(AH5:AH8)</f>
        <v>1.3486770421749787</v>
      </c>
      <c r="AI10" s="56">
        <f>AVERAGE(AI5:AI8)</f>
        <v>1.237126535442395</v>
      </c>
      <c r="AJ10" s="56">
        <f>AVERAGE(AJ5:AJ8)</f>
        <v>8.2313072204310824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x14ac:dyDescent="0.3">
      <c r="B11" s="55" t="s">
        <v>289</v>
      </c>
      <c r="J11" s="56">
        <f>AVERAGE(J9:J9)</f>
        <v>14.920765815721682</v>
      </c>
      <c r="K11" s="56">
        <f>AVERAGE(K9:K9)</f>
        <v>1.5192019134120587</v>
      </c>
      <c r="L11" s="56">
        <f>AVERAGE(L9:L9)</f>
        <v>1.4119356272491619</v>
      </c>
      <c r="M11" s="56">
        <f>AVERAGE(M9:M9)</f>
        <v>13.40155968830255</v>
      </c>
      <c r="AG11" s="56">
        <f>AVERAGE(AG9:AG9)</f>
        <v>14.920765815721682</v>
      </c>
      <c r="AH11" s="56">
        <f>AVERAGE(AH9:AH9)</f>
        <v>1.5192019134120587</v>
      </c>
      <c r="AI11" s="56">
        <f>AVERAGE(AI9:AI9)</f>
        <v>1.4119356272491619</v>
      </c>
      <c r="AJ11" s="56">
        <f>AVERAGE(AJ9:AJ9)</f>
        <v>13.40155968830255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 x14ac:dyDescent="0.3">
      <c r="B12" s="55" t="s">
        <v>290</v>
      </c>
      <c r="J12" s="56">
        <f>AVERAGE(J5:J9)</f>
        <v>10.648143660196158</v>
      </c>
      <c r="K12" s="56">
        <f>AVERAGE(K5:K9)</f>
        <v>1.3827820164223947</v>
      </c>
      <c r="L12" s="56">
        <f>AVERAGE(L5:L9)</f>
        <v>1.2720883538037484</v>
      </c>
      <c r="M12" s="56">
        <f>AVERAGE(M5:M9)</f>
        <v>9.2653577140053756</v>
      </c>
      <c r="AG12" s="56">
        <f>AVERAGE(AG5:AG9)</f>
        <v>10.648143660196158</v>
      </c>
      <c r="AH12" s="56">
        <f>AVERAGE(AH5:AH9)</f>
        <v>1.3827820164223947</v>
      </c>
      <c r="AI12" s="56">
        <f>AVERAGE(AI5:AI9)</f>
        <v>1.2720883538037484</v>
      </c>
      <c r="AJ12" s="56">
        <f>AVERAGE(AJ5:AJ9)</f>
        <v>9.2653577140053756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Y1" activePane="topRight" state="frozen"/>
      <selection pane="topRight" activeCell="AZ5" sqref="AZ5:BC29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0" t="s">
        <v>528</v>
      </c>
      <c r="B1" s="70"/>
      <c r="C1" s="70"/>
      <c r="D1" s="70"/>
      <c r="E1" s="70"/>
      <c r="F1" s="70"/>
      <c r="G1" s="70"/>
      <c r="I1" s="58" t="s">
        <v>2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G1" s="59" t="s">
        <v>3</v>
      </c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</row>
    <row r="2" spans="1:73" ht="30" customHeight="1" x14ac:dyDescent="0.3">
      <c r="A2" s="66" t="s">
        <v>93</v>
      </c>
      <c r="B2" s="67" t="s">
        <v>96</v>
      </c>
      <c r="C2" s="66" t="s">
        <v>99</v>
      </c>
      <c r="D2" s="67" t="s">
        <v>102</v>
      </c>
      <c r="E2" s="66" t="s">
        <v>105</v>
      </c>
      <c r="F2" s="67" t="s">
        <v>108</v>
      </c>
      <c r="G2" s="66" t="s">
        <v>111</v>
      </c>
      <c r="I2" s="67" t="s">
        <v>114</v>
      </c>
      <c r="J2" s="68" t="s">
        <v>117</v>
      </c>
      <c r="K2" s="68"/>
      <c r="L2" s="68"/>
      <c r="M2" s="68"/>
      <c r="N2" s="66" t="s">
        <v>130</v>
      </c>
      <c r="O2" s="67" t="s">
        <v>133</v>
      </c>
      <c r="P2" s="66" t="s">
        <v>24</v>
      </c>
      <c r="Q2" s="67" t="s">
        <v>26</v>
      </c>
      <c r="R2" s="66" t="s">
        <v>22</v>
      </c>
      <c r="S2" s="69" t="s">
        <v>142</v>
      </c>
      <c r="T2" s="69"/>
      <c r="U2" s="69"/>
      <c r="V2" s="69"/>
      <c r="W2" s="68" t="s">
        <v>153</v>
      </c>
      <c r="X2" s="68"/>
      <c r="Y2" s="69" t="s">
        <v>160</v>
      </c>
      <c r="Z2" s="69"/>
      <c r="AA2" s="69"/>
      <c r="AB2" s="68" t="s">
        <v>170</v>
      </c>
      <c r="AC2" s="68"/>
      <c r="AD2" s="69" t="s">
        <v>177</v>
      </c>
      <c r="AE2" s="69"/>
      <c r="AG2" s="66" t="s">
        <v>114</v>
      </c>
      <c r="AH2" s="69" t="s">
        <v>117</v>
      </c>
      <c r="AI2" s="69"/>
      <c r="AJ2" s="69"/>
      <c r="AK2" s="69"/>
      <c r="AL2" s="67" t="s">
        <v>192</v>
      </c>
      <c r="AM2" s="66" t="s">
        <v>133</v>
      </c>
      <c r="AN2" s="67" t="s">
        <v>24</v>
      </c>
      <c r="AO2" s="66" t="s">
        <v>26</v>
      </c>
      <c r="AP2" s="67" t="s">
        <v>22</v>
      </c>
      <c r="AQ2" s="68" t="s">
        <v>142</v>
      </c>
      <c r="AR2" s="68"/>
      <c r="AS2" s="68"/>
      <c r="AT2" s="68"/>
      <c r="AU2" s="69" t="s">
        <v>153</v>
      </c>
      <c r="AV2" s="69"/>
      <c r="AW2" s="68" t="s">
        <v>160</v>
      </c>
      <c r="AX2" s="68"/>
      <c r="AY2" s="68"/>
      <c r="AZ2" s="69" t="s">
        <v>170</v>
      </c>
      <c r="BA2" s="69"/>
      <c r="BB2" s="68" t="s">
        <v>177</v>
      </c>
      <c r="BC2" s="68"/>
      <c r="BE2" s="67" t="s">
        <v>229</v>
      </c>
      <c r="BF2" s="66" t="s">
        <v>232</v>
      </c>
      <c r="BG2" s="67" t="s">
        <v>232</v>
      </c>
      <c r="BI2" s="68" t="s">
        <v>237</v>
      </c>
      <c r="BJ2" s="68"/>
      <c r="BK2" s="69" t="s">
        <v>242</v>
      </c>
      <c r="BL2" s="69"/>
      <c r="BM2" s="69"/>
      <c r="BO2" s="68" t="s">
        <v>249</v>
      </c>
      <c r="BP2" s="68"/>
      <c r="BQ2" s="69" t="s">
        <v>254</v>
      </c>
      <c r="BR2" s="69"/>
      <c r="BS2" s="69"/>
      <c r="BU2" t="s">
        <v>550</v>
      </c>
    </row>
    <row r="3" spans="1:73" ht="15" thickBot="1" x14ac:dyDescent="0.35">
      <c r="A3" s="66"/>
      <c r="B3" s="67"/>
      <c r="C3" s="66"/>
      <c r="D3" s="67"/>
      <c r="E3" s="66"/>
      <c r="F3" s="67"/>
      <c r="G3" s="66"/>
      <c r="I3" s="67"/>
      <c r="J3" s="11" t="s">
        <v>118</v>
      </c>
      <c r="K3" s="11" t="s">
        <v>121</v>
      </c>
      <c r="L3" s="11" t="s">
        <v>124</v>
      </c>
      <c r="M3" s="11" t="s">
        <v>127</v>
      </c>
      <c r="N3" s="66"/>
      <c r="O3" s="67"/>
      <c r="P3" s="66"/>
      <c r="Q3" s="67"/>
      <c r="R3" s="66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66"/>
      <c r="AH3" s="12" t="s">
        <v>118</v>
      </c>
      <c r="AI3" s="12" t="s">
        <v>121</v>
      </c>
      <c r="AJ3" s="12" t="s">
        <v>124</v>
      </c>
      <c r="AK3" s="12" t="s">
        <v>127</v>
      </c>
      <c r="AL3" s="67"/>
      <c r="AM3" s="66"/>
      <c r="AN3" s="67"/>
      <c r="AO3" s="66"/>
      <c r="AP3" s="67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7"/>
      <c r="BF3" s="66"/>
      <c r="BG3" s="67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1.2342225</v>
      </c>
      <c r="J5" s="18">
        <f t="shared" ref="J5:J29" si="1">IF(ISBLANK(S5),"·",S5/D5)</f>
        <v>5.2735379636097743E-2</v>
      </c>
      <c r="K5" s="18">
        <f t="shared" ref="K5:K29" si="2">IF(N5="","·",N5/D5)</f>
        <v>4.3968955559451781E-2</v>
      </c>
      <c r="L5" s="18">
        <f t="shared" ref="L5:L29" si="3">IF(T5="","·",T5/D5)</f>
        <v>2.6163077967890282E-2</v>
      </c>
      <c r="M5" s="18">
        <f t="shared" ref="M5:M29" si="4">IF(ISBLANK(V5),"·",V5/D5)</f>
        <v>8.7420693380209791E-3</v>
      </c>
      <c r="N5" s="15">
        <f t="shared" ref="N5:N29" si="5">IF(OR(ISBLANK(T5),ISBLANK(U5)),"",T5+U5)</f>
        <v>1097656</v>
      </c>
      <c r="O5" s="18">
        <f t="shared" ref="O5:O29" si="6">IF(ISBLANK(S5),"·",S5/P5)</f>
        <v>5.6522993367917371E-2</v>
      </c>
      <c r="P5" s="19">
        <v>23291477</v>
      </c>
      <c r="Q5" s="19">
        <v>727858.65625</v>
      </c>
      <c r="R5" s="19">
        <v>16263.4375</v>
      </c>
      <c r="S5" s="20">
        <v>1316504</v>
      </c>
      <c r="T5" s="20">
        <v>653144</v>
      </c>
      <c r="U5" s="20">
        <v>444512</v>
      </c>
      <c r="V5" s="20">
        <v>218240</v>
      </c>
      <c r="W5" s="21">
        <v>66.755174999999994</v>
      </c>
      <c r="X5" s="21">
        <v>68.482022000000001</v>
      </c>
      <c r="Y5" s="21">
        <v>31.711881000000002</v>
      </c>
      <c r="Z5" s="21">
        <v>44.206637999999998</v>
      </c>
      <c r="AA5" s="21">
        <v>43.811549999999997</v>
      </c>
      <c r="AB5" s="22">
        <v>3390.42</v>
      </c>
      <c r="AC5" s="22">
        <v>2217.2800000000002</v>
      </c>
      <c r="AD5" s="22">
        <v>9.1999999999999993</v>
      </c>
      <c r="AE5" s="22">
        <v>12.446999999999999</v>
      </c>
      <c r="AG5" s="17">
        <f t="shared" ref="AG5:AG29" si="7">IF(OR(ISBLANK(AQ5),ISBLANK(G5)),"·",AQ5*G5/F5/1000000)</f>
        <v>1.2325275</v>
      </c>
      <c r="AH5" s="18">
        <f t="shared" ref="AH5:AH29" si="8">IF(ISBLANK(AQ5),"·",AQ5/D5)</f>
        <v>5.2662956334397132E-2</v>
      </c>
      <c r="AI5" s="18">
        <f t="shared" ref="AI5:AI29" si="9">IF(AL5="","·",AL5/D5)</f>
        <v>4.3988610260798269E-2</v>
      </c>
      <c r="AJ5" s="18">
        <f t="shared" ref="AJ5:AJ29" si="10">IF(AR5="","·",AR5/D5)</f>
        <v>2.616350524400652E-2</v>
      </c>
      <c r="AK5" s="18">
        <f t="shared" ref="AK5:AK29" si="11">IF(ISBLANK(AT5),"·",AT5/D5)</f>
        <v>8.6700733124366065E-3</v>
      </c>
      <c r="AL5" s="15">
        <f t="shared" ref="AL5:AL29" si="12">IF(OR(ISBLANK(AR5),ISBLANK(AS5)),"",AR5+AS5)</f>
        <v>1098146.666666667</v>
      </c>
      <c r="AM5" s="18">
        <f t="shared" ref="AM5:AM29" si="13">IF(ISBLANK(AQ5),"·",AQ5/AN5)</f>
        <v>5.6445368406649349E-2</v>
      </c>
      <c r="AN5" s="71">
        <v>23291477</v>
      </c>
      <c r="AO5" s="71">
        <v>727858.65625</v>
      </c>
      <c r="AP5" s="71">
        <v>16263.4375</v>
      </c>
      <c r="AQ5" s="72">
        <v>1314696</v>
      </c>
      <c r="AR5" s="72">
        <v>653154.66666666698</v>
      </c>
      <c r="AS5" s="72">
        <v>444992</v>
      </c>
      <c r="AT5" s="72">
        <v>216442.66666666701</v>
      </c>
      <c r="AU5" s="73">
        <v>66.755174999999994</v>
      </c>
      <c r="AV5" s="73">
        <v>68.482021875000001</v>
      </c>
      <c r="AW5" s="73">
        <v>31.680265625000001</v>
      </c>
      <c r="AX5" s="73">
        <v>44.159965624999998</v>
      </c>
      <c r="AY5" s="73">
        <v>43.676034375</v>
      </c>
      <c r="AZ5" s="74"/>
      <c r="BA5" s="74"/>
      <c r="BB5" s="74"/>
      <c r="BC5" s="74"/>
      <c r="BE5" s="23">
        <f t="shared" ref="BE5:BE29" si="14">(AP5/AO5) - (R5/Q5)</f>
        <v>0</v>
      </c>
      <c r="BF5" s="23">
        <f t="shared" ref="BF5:BF29" si="15">(AL5/AQ5) - (N5/S5)</f>
        <v>1.5198306059237554E-3</v>
      </c>
      <c r="BG5" s="23">
        <f t="array" ref="BG5">AVERAGE(AL5:AL9/AQ5:AQ9) - AVERAGE(N5:N9/S5:S9)</f>
        <v>-3.7134735396970875E-4</v>
      </c>
      <c r="BI5" s="24">
        <f>IF( OR(ISBLANK(N5:N9),ISBLANK(AL5:AL9), ISBLANK(W5:W9),ISBLANK(AU5:AU9)), "·", bdRateExtend( N5:N9,W5:W9, AL5:AL9,AU5:AU9))</f>
        <v>3.079120001021618E-4</v>
      </c>
      <c r="BJ5" s="24">
        <f>IF( OR(ISBLANK(N5:N9),ISBLANK(AL5:AL9), ISBLANK(X5:X9),ISBLANK(AV5:AV9)), "·", bdRateExtend( N5:N9,X5:X9, AL5:AL9,AV5:AV9))</f>
        <v>2.9759639711213204E-4</v>
      </c>
      <c r="BK5" s="24">
        <f>IF( OR(ISBLANK(V5:V9),ISBLANK(AT5:AT9), ISBLANK(Y5:Y9),ISBLANK(AW5:AW9)), "·", bdRateExtend( V5:V9,Y5:Y9, AT5:AT9,AW5:AW9))</f>
        <v>2.7853087778684227E-3</v>
      </c>
      <c r="BL5" s="24">
        <f>IF( OR(ISBLANK(V5:V9),ISBLANK(AT5:AT9), ISBLANK(Z5:Z9),ISBLANK(AX5:AX9)), "·", bdRateExtend( V5:V9,Z5:Z9, AT5:AT9,AX5:AX9))</f>
        <v>4.1282341446899018E-2</v>
      </c>
      <c r="BM5" s="24">
        <f>IF( OR(ISBLANK(V5:V9),ISBLANK(AT5:AT9), ISBLANK(AA5:AA9),ISBLANK(AY5:AY9)), "·", bdRateExtend( V5:V9,AA5:AA9, AT5:AT9,AY5:AY9))</f>
        <v>1.9628156581029232E-2</v>
      </c>
      <c r="BO5" s="24">
        <f>IF( OR(ISBLANK(S5:S9),ISBLANK(AQ5:AQ9), ISBLANK(W5:W9),ISBLANK(AU5:AU9)), "·", bdRateExtend( S5:S9,W5:W9, AQ5:AQ9,AU5:AU9))</f>
        <v>7.8071934021872735E-4</v>
      </c>
      <c r="BP5" s="24">
        <f>IF( OR(ISBLANK(S5:S9),ISBLANK(AQ5:AQ9), ISBLANK(X5:X9),ISBLANK(AV5:AV9)), "·", bdRateExtend( S5:S9,X5:X9, AQ5:AQ9,AV5:AV9))</f>
        <v>1.0284453262248139E-3</v>
      </c>
      <c r="BQ5" s="24">
        <f>IF( OR(ISBLANK(S5:S9),ISBLANK(AQ5:AQ9), ISBLANK(Y5:Y9),ISBLANK(AW5:AW9)), "·", bdRateExtend( S5:S9,Y5:Y9, AQ5:AQ9,AW5:AW9))</f>
        <v>2.0161257525055376E-3</v>
      </c>
      <c r="BR5" s="24">
        <f>IF( OR(ISBLANK(S5:S9),ISBLANK(AQ5:AQ9), ISBLANK(Z5:Z9),ISBLANK(AX5:AX9)), "·", bdRateExtend( S5:S9,Z5:Z9, AQ5:AQ9,AX5:AX9))</f>
        <v>2.6774507677644221E-2</v>
      </c>
      <c r="BS5" s="24">
        <f>IF( OR(ISBLANK(S5:S9),ISBLANK(AQ5:AQ9), ISBLANK(AA5:AA9),ISBLANK(AY5:AY9)), "·", bdRateExtend( S5:S9,AA5:AA9, AQ5:AQ9,AY5:AY9))</f>
        <v>1.3388615269426696E-2</v>
      </c>
      <c r="BU5">
        <f>AQ5-S5</f>
        <v>-1808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1.5962475</v>
      </c>
      <c r="J6" s="28">
        <f t="shared" si="1"/>
        <v>6.8203843233835007E-2</v>
      </c>
      <c r="K6" s="28">
        <f t="shared" si="2"/>
        <v>5.3054234437832748E-2</v>
      </c>
      <c r="L6" s="28">
        <f t="shared" si="3"/>
        <v>3.5248356846271249E-2</v>
      </c>
      <c r="M6" s="28">
        <f t="shared" si="4"/>
        <v>1.5125254057377281E-2</v>
      </c>
      <c r="N6" s="25">
        <f t="shared" si="5"/>
        <v>1324464</v>
      </c>
      <c r="O6" s="28">
        <f t="shared" si="6"/>
        <v>6.8734074607536971E-2</v>
      </c>
      <c r="P6" s="29">
        <v>24771760</v>
      </c>
      <c r="Q6" s="29">
        <v>774117.5</v>
      </c>
      <c r="R6" s="29">
        <v>20008.375</v>
      </c>
      <c r="S6" s="30">
        <v>1702664</v>
      </c>
      <c r="T6" s="30">
        <v>879952</v>
      </c>
      <c r="U6" s="30">
        <v>444512</v>
      </c>
      <c r="V6" s="30">
        <v>377592</v>
      </c>
      <c r="W6" s="31">
        <v>68.484087000000002</v>
      </c>
      <c r="X6" s="31">
        <v>70.470168999999999</v>
      </c>
      <c r="Y6" s="31">
        <v>33.798805999999999</v>
      </c>
      <c r="Z6" s="31">
        <v>45.365068999999998</v>
      </c>
      <c r="AA6" s="31">
        <v>44.907209000000002</v>
      </c>
      <c r="AB6" s="32">
        <v>3386.91</v>
      </c>
      <c r="AC6" s="32">
        <v>2442.9699999999998</v>
      </c>
      <c r="AD6" s="32">
        <v>8.9570000000000007</v>
      </c>
      <c r="AE6" s="32">
        <v>12.837999999999999</v>
      </c>
      <c r="AG6" s="27">
        <f t="shared" si="7"/>
        <v>1.5948675000000001</v>
      </c>
      <c r="AH6" s="28">
        <f t="shared" si="8"/>
        <v>6.8144879129795569E-2</v>
      </c>
      <c r="AI6" s="28">
        <f t="shared" si="9"/>
        <v>5.3073889139179237E-2</v>
      </c>
      <c r="AJ6" s="28">
        <f t="shared" si="10"/>
        <v>3.5248784122387487E-2</v>
      </c>
      <c r="AK6" s="28">
        <f t="shared" si="11"/>
        <v>1.5066717229454083E-2</v>
      </c>
      <c r="AL6" s="25">
        <f t="shared" si="12"/>
        <v>1324954.666666667</v>
      </c>
      <c r="AM6" s="28">
        <f t="shared" si="13"/>
        <v>6.8674652103847281E-2</v>
      </c>
      <c r="AN6" s="75">
        <v>24771760</v>
      </c>
      <c r="AO6" s="75">
        <v>774117.5</v>
      </c>
      <c r="AP6" s="75">
        <v>20008.375</v>
      </c>
      <c r="AQ6" s="76">
        <v>1701192</v>
      </c>
      <c r="AR6" s="76">
        <v>879962.66666666698</v>
      </c>
      <c r="AS6" s="76">
        <v>444992</v>
      </c>
      <c r="AT6" s="76">
        <v>376130.66666666698</v>
      </c>
      <c r="AU6" s="77">
        <v>68.484087500000001</v>
      </c>
      <c r="AV6" s="77">
        <v>70.470168749999999</v>
      </c>
      <c r="AW6" s="77">
        <v>33.820796874999999</v>
      </c>
      <c r="AX6" s="77">
        <v>45.333096875000003</v>
      </c>
      <c r="AY6" s="77">
        <v>45.051343750000001</v>
      </c>
      <c r="AZ6" s="78"/>
      <c r="BA6" s="78"/>
      <c r="BB6" s="78"/>
      <c r="BC6" s="78"/>
      <c r="BE6" s="33">
        <f t="shared" si="14"/>
        <v>0</v>
      </c>
      <c r="BF6" s="33">
        <f t="shared" si="15"/>
        <v>9.6150365927449855E-4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-1472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2.1897899999999999</v>
      </c>
      <c r="J7" s="18">
        <f t="shared" si="1"/>
        <v>9.3564496655449469E-2</v>
      </c>
      <c r="K7" s="18">
        <f t="shared" si="2"/>
        <v>6.4822059592920964E-2</v>
      </c>
      <c r="L7" s="18">
        <f t="shared" si="3"/>
        <v>4.7016182001359458E-2</v>
      </c>
      <c r="M7" s="18">
        <f t="shared" si="4"/>
        <v>2.8718082323903524E-2</v>
      </c>
      <c r="N7" s="15">
        <f t="shared" si="5"/>
        <v>1618240</v>
      </c>
      <c r="O7" s="18">
        <f t="shared" si="6"/>
        <v>9.3617049588167717E-2</v>
      </c>
      <c r="P7" s="19">
        <v>24950327</v>
      </c>
      <c r="Q7" s="19">
        <v>779697.71875</v>
      </c>
      <c r="R7" s="19">
        <v>21339.03125</v>
      </c>
      <c r="S7" s="20">
        <v>2335776</v>
      </c>
      <c r="T7" s="20">
        <v>1173728</v>
      </c>
      <c r="U7" s="20">
        <v>444512</v>
      </c>
      <c r="V7" s="20">
        <v>716928</v>
      </c>
      <c r="W7" s="21">
        <v>69.813802999999993</v>
      </c>
      <c r="X7" s="21">
        <v>72.148833999999994</v>
      </c>
      <c r="Y7" s="21">
        <v>36.263181000000003</v>
      </c>
      <c r="Z7" s="21">
        <v>46.865138000000002</v>
      </c>
      <c r="AA7" s="21">
        <v>46.592928000000001</v>
      </c>
      <c r="AB7" s="22">
        <v>3412.23</v>
      </c>
      <c r="AC7" s="22">
        <v>2533.17</v>
      </c>
      <c r="AD7" s="22">
        <v>8.9350000000000005</v>
      </c>
      <c r="AE7" s="22">
        <v>12.92</v>
      </c>
      <c r="AG7" s="17">
        <f t="shared" si="7"/>
        <v>2.1907725</v>
      </c>
      <c r="AH7" s="18">
        <f t="shared" si="8"/>
        <v>9.3606476533868846E-2</v>
      </c>
      <c r="AI7" s="18">
        <f t="shared" si="9"/>
        <v>6.4841714294267577E-2</v>
      </c>
      <c r="AJ7" s="18">
        <f t="shared" si="10"/>
        <v>4.7016609277475821E-2</v>
      </c>
      <c r="AK7" s="18">
        <f t="shared" si="11"/>
        <v>2.8760489478439146E-2</v>
      </c>
      <c r="AL7" s="15">
        <f t="shared" si="12"/>
        <v>1618730.66666667</v>
      </c>
      <c r="AM7" s="18">
        <f t="shared" si="13"/>
        <v>9.3659053045677523E-2</v>
      </c>
      <c r="AN7" s="71">
        <v>24950327</v>
      </c>
      <c r="AO7" s="71">
        <v>779697.71875</v>
      </c>
      <c r="AP7" s="71">
        <v>21339.03125</v>
      </c>
      <c r="AQ7" s="72">
        <v>2336824</v>
      </c>
      <c r="AR7" s="72">
        <v>1173738.66666667</v>
      </c>
      <c r="AS7" s="72">
        <v>444992</v>
      </c>
      <c r="AT7" s="72">
        <v>717986.66666666698</v>
      </c>
      <c r="AU7" s="73">
        <v>69.813803125000007</v>
      </c>
      <c r="AV7" s="73">
        <v>72.148834375000007</v>
      </c>
      <c r="AW7" s="73">
        <v>36.248771875000003</v>
      </c>
      <c r="AX7" s="73">
        <v>46.839840625000001</v>
      </c>
      <c r="AY7" s="73">
        <v>46.438049999999997</v>
      </c>
      <c r="AZ7" s="74"/>
      <c r="BA7" s="74"/>
      <c r="BB7" s="74"/>
      <c r="BC7" s="74"/>
      <c r="BE7" s="23">
        <f t="shared" si="14"/>
        <v>0</v>
      </c>
      <c r="BF7" s="23">
        <f t="shared" si="15"/>
        <v>-1.0073252777298425E-4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1048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3.5857350000000001</v>
      </c>
      <c r="J8" s="28">
        <f t="shared" si="1"/>
        <v>0.15320989246221239</v>
      </c>
      <c r="K8" s="28">
        <f t="shared" si="2"/>
        <v>9.0252252202451491E-2</v>
      </c>
      <c r="L8" s="28">
        <f t="shared" si="3"/>
        <v>7.2446374610889985E-2</v>
      </c>
      <c r="M8" s="28">
        <f t="shared" si="4"/>
        <v>6.2933285521135932E-2</v>
      </c>
      <c r="N8" s="25">
        <f t="shared" si="5"/>
        <v>2253088</v>
      </c>
      <c r="O8" s="28">
        <f t="shared" si="6"/>
        <v>0.14685900382350292</v>
      </c>
      <c r="P8" s="29">
        <v>26043919</v>
      </c>
      <c r="Q8" s="29">
        <v>813872.46875</v>
      </c>
      <c r="R8" s="29">
        <v>24933.6875</v>
      </c>
      <c r="S8" s="30">
        <v>3824784</v>
      </c>
      <c r="T8" s="30">
        <v>1808576</v>
      </c>
      <c r="U8" s="30">
        <v>444512</v>
      </c>
      <c r="V8" s="30">
        <v>1571088</v>
      </c>
      <c r="W8" s="31">
        <v>70.797706000000005</v>
      </c>
      <c r="X8" s="31">
        <v>73.331155999999993</v>
      </c>
      <c r="Y8" s="31">
        <v>38.72625</v>
      </c>
      <c r="Z8" s="31">
        <v>48.146503000000003</v>
      </c>
      <c r="AA8" s="31">
        <v>48.046861999999997</v>
      </c>
      <c r="AB8" s="32">
        <v>4325.22</v>
      </c>
      <c r="AC8" s="32">
        <v>3988.77</v>
      </c>
      <c r="AD8" s="32">
        <v>12.647</v>
      </c>
      <c r="AE8" s="32">
        <v>20.260000000000002</v>
      </c>
      <c r="AG8" s="27">
        <f t="shared" si="7"/>
        <v>3.5944275000000001</v>
      </c>
      <c r="AH8" s="28">
        <f t="shared" si="8"/>
        <v>0.15358130222624342</v>
      </c>
      <c r="AI8" s="28">
        <f t="shared" si="9"/>
        <v>9.0271906903798091E-2</v>
      </c>
      <c r="AJ8" s="28">
        <f t="shared" si="10"/>
        <v>7.2446801887006348E-2</v>
      </c>
      <c r="AK8" s="28">
        <f t="shared" si="11"/>
        <v>6.3305122561283317E-2</v>
      </c>
      <c r="AL8" s="25">
        <f t="shared" si="12"/>
        <v>2253578.6666666698</v>
      </c>
      <c r="AM8" s="28">
        <f t="shared" si="13"/>
        <v>0.14721501783199373</v>
      </c>
      <c r="AN8" s="75">
        <v>26043919</v>
      </c>
      <c r="AO8" s="75">
        <v>813872.46875</v>
      </c>
      <c r="AP8" s="75">
        <v>24933.6875</v>
      </c>
      <c r="AQ8" s="76">
        <v>3834056</v>
      </c>
      <c r="AR8" s="76">
        <v>1808586.66666667</v>
      </c>
      <c r="AS8" s="76">
        <v>444992</v>
      </c>
      <c r="AT8" s="76">
        <v>1580370.66666667</v>
      </c>
      <c r="AU8" s="77">
        <v>70.797706250000005</v>
      </c>
      <c r="AV8" s="77">
        <v>73.331156250000006</v>
      </c>
      <c r="AW8" s="77">
        <v>38.7179</v>
      </c>
      <c r="AX8" s="77">
        <v>48.004215625000001</v>
      </c>
      <c r="AY8" s="77">
        <v>47.964578125000003</v>
      </c>
      <c r="AZ8" s="78"/>
      <c r="BA8" s="78"/>
      <c r="BB8" s="78"/>
      <c r="BC8" s="78"/>
      <c r="BE8" s="33">
        <f t="shared" si="14"/>
        <v>0</v>
      </c>
      <c r="BF8" s="33">
        <f t="shared" si="15"/>
        <v>-1.2966020556850477E-3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9272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7.5962325000000002</v>
      </c>
      <c r="J9" s="38">
        <f t="shared" si="1"/>
        <v>0.32456887205634627</v>
      </c>
      <c r="K9" s="38">
        <f t="shared" si="2"/>
        <v>0.15437154940320677</v>
      </c>
      <c r="L9" s="38">
        <f t="shared" si="3"/>
        <v>0.11731036681480997</v>
      </c>
      <c r="M9" s="38">
        <f t="shared" si="4"/>
        <v>0.17017296791451456</v>
      </c>
      <c r="N9" s="35">
        <f t="shared" si="5"/>
        <v>3853784</v>
      </c>
      <c r="O9" s="38">
        <f t="shared" si="6"/>
        <v>0.32357986973417574</v>
      </c>
      <c r="P9" s="39">
        <v>25040643</v>
      </c>
      <c r="Q9" s="39">
        <v>782520.09375</v>
      </c>
      <c r="R9" s="39">
        <v>10525.34375</v>
      </c>
      <c r="S9" s="40">
        <v>8102648</v>
      </c>
      <c r="T9" s="40">
        <v>2928576</v>
      </c>
      <c r="U9" s="40">
        <v>925208</v>
      </c>
      <c r="V9" s="40">
        <v>4248256</v>
      </c>
      <c r="W9" s="41">
        <v>72.046912000000006</v>
      </c>
      <c r="X9" s="41">
        <v>75.239984000000007</v>
      </c>
      <c r="Y9" s="41">
        <v>41.158309000000003</v>
      </c>
      <c r="Z9" s="41">
        <v>49.566080999999997</v>
      </c>
      <c r="AA9" s="41">
        <v>49.604275000000001</v>
      </c>
      <c r="AB9" s="42">
        <v>3690.23</v>
      </c>
      <c r="AC9" s="42">
        <v>3104.6</v>
      </c>
      <c r="AD9" s="42">
        <v>8.9220000000000006</v>
      </c>
      <c r="AE9" s="42">
        <v>14.519</v>
      </c>
      <c r="AG9" s="37">
        <f t="shared" si="7"/>
        <v>7.6444650000000003</v>
      </c>
      <c r="AH9" s="38">
        <f t="shared" si="8"/>
        <v>0.3266297315839421</v>
      </c>
      <c r="AI9" s="38">
        <f t="shared" si="9"/>
        <v>0.15439120410455337</v>
      </c>
      <c r="AJ9" s="38">
        <f t="shared" si="10"/>
        <v>0.11731079409092632</v>
      </c>
      <c r="AK9" s="38">
        <f t="shared" si="11"/>
        <v>0.17223425471822668</v>
      </c>
      <c r="AL9" s="35">
        <f t="shared" si="12"/>
        <v>3854274.6666666698</v>
      </c>
      <c r="AM9" s="38">
        <f t="shared" si="13"/>
        <v>0.32563444956265702</v>
      </c>
      <c r="AN9" s="79">
        <v>25040643</v>
      </c>
      <c r="AO9" s="79">
        <v>782520.09375</v>
      </c>
      <c r="AP9" s="79">
        <v>10525.34375</v>
      </c>
      <c r="AQ9" s="80">
        <v>8154096</v>
      </c>
      <c r="AR9" s="80">
        <v>2928586.6666666698</v>
      </c>
      <c r="AS9" s="80">
        <v>925688</v>
      </c>
      <c r="AT9" s="80">
        <v>4299714.6666666698</v>
      </c>
      <c r="AU9" s="81">
        <v>72.046912500000005</v>
      </c>
      <c r="AV9" s="81">
        <v>75.239984375000006</v>
      </c>
      <c r="AW9" s="81">
        <v>41.153465625000003</v>
      </c>
      <c r="AX9" s="81">
        <v>49.549090624999998</v>
      </c>
      <c r="AY9" s="81">
        <v>49.635853124999997</v>
      </c>
      <c r="AZ9" s="82"/>
      <c r="BA9" s="82"/>
      <c r="BB9" s="82"/>
      <c r="BC9" s="82"/>
      <c r="BE9" s="43">
        <f t="shared" si="14"/>
        <v>0</v>
      </c>
      <c r="BF9" s="43">
        <f t="shared" si="15"/>
        <v>-2.9407364515882106E-3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51448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2.1127349999999998</v>
      </c>
      <c r="J10" s="28">
        <f t="shared" si="1"/>
        <v>9.9474949866008466E-2</v>
      </c>
      <c r="K10" s="28">
        <f t="shared" si="2"/>
        <v>7.2585094480465032E-2</v>
      </c>
      <c r="L10" s="28">
        <f t="shared" si="3"/>
        <v>3.9493283296525072E-2</v>
      </c>
      <c r="M10" s="28">
        <f t="shared" si="4"/>
        <v>2.6863017792838416E-2</v>
      </c>
      <c r="N10" s="25">
        <f t="shared" si="5"/>
        <v>1644400</v>
      </c>
      <c r="O10" s="28">
        <f t="shared" si="6"/>
        <v>0.10771277402941312</v>
      </c>
      <c r="P10" s="29">
        <v>20922161</v>
      </c>
      <c r="Q10" s="29">
        <v>653817.53125</v>
      </c>
      <c r="R10" s="29">
        <v>19494.9375</v>
      </c>
      <c r="S10" s="30">
        <v>2253584</v>
      </c>
      <c r="T10" s="30">
        <v>894712</v>
      </c>
      <c r="U10" s="30">
        <v>749688</v>
      </c>
      <c r="V10" s="30">
        <v>608576</v>
      </c>
      <c r="W10" s="31">
        <v>65.964271999999994</v>
      </c>
      <c r="X10" s="31">
        <v>67.864969000000002</v>
      </c>
      <c r="Y10" s="31">
        <v>31.110005999999998</v>
      </c>
      <c r="Z10" s="31">
        <v>38.609444000000003</v>
      </c>
      <c r="AA10" s="31">
        <v>30.079319000000002</v>
      </c>
      <c r="AB10" s="32">
        <v>4703.8500000000004</v>
      </c>
      <c r="AC10" s="32">
        <v>4562.09</v>
      </c>
      <c r="AD10" s="32">
        <v>12.192</v>
      </c>
      <c r="AE10" s="32">
        <v>26.513999999999999</v>
      </c>
      <c r="AG10" s="27">
        <f t="shared" si="7"/>
        <v>2.1042074999999998</v>
      </c>
      <c r="AH10" s="28">
        <f t="shared" si="8"/>
        <v>9.9073445354092682E-2</v>
      </c>
      <c r="AI10" s="28">
        <f t="shared" si="9"/>
        <v>7.2606752888612958E-2</v>
      </c>
      <c r="AJ10" s="28">
        <f t="shared" si="10"/>
        <v>3.9493754131484822E-2</v>
      </c>
      <c r="AK10" s="28">
        <f t="shared" si="11"/>
        <v>2.6461984115882384E-2</v>
      </c>
      <c r="AL10" s="25">
        <f t="shared" si="12"/>
        <v>1644890.666666667</v>
      </c>
      <c r="AM10" s="28">
        <f t="shared" si="13"/>
        <v>0.10727801970360519</v>
      </c>
      <c r="AN10" s="75">
        <v>20922161</v>
      </c>
      <c r="AO10" s="75">
        <v>653817.53125</v>
      </c>
      <c r="AP10" s="75">
        <v>19494.9375</v>
      </c>
      <c r="AQ10" s="76">
        <v>2244488</v>
      </c>
      <c r="AR10" s="76">
        <v>894722.66666666698</v>
      </c>
      <c r="AS10" s="76">
        <v>750168</v>
      </c>
      <c r="AT10" s="76">
        <v>599490.66666666698</v>
      </c>
      <c r="AU10" s="77">
        <v>65.964271874999994</v>
      </c>
      <c r="AV10" s="77">
        <v>67.864968750000003</v>
      </c>
      <c r="AW10" s="77">
        <v>31.090803125000001</v>
      </c>
      <c r="AX10" s="77">
        <v>38.580871875</v>
      </c>
      <c r="AY10" s="77">
        <v>30.067271874999999</v>
      </c>
      <c r="AZ10" s="78"/>
      <c r="BA10" s="78"/>
      <c r="BB10" s="78"/>
      <c r="BC10" s="78"/>
      <c r="BE10" s="33">
        <f t="shared" si="14"/>
        <v>0</v>
      </c>
      <c r="BF10" s="33">
        <f t="shared" si="15"/>
        <v>3.1757155436342721E-3</v>
      </c>
      <c r="BG10" s="33">
        <f t="array" ref="BG10">AVERAGE(AL10:AL14/AQ10:AQ14) - AVERAGE(N10:N14/S10:S14)</f>
        <v>1.3491155155749279E-3</v>
      </c>
      <c r="BI10" s="34">
        <f>IF( OR(ISBLANK(N10:N14),ISBLANK(AL10:AL14), ISBLANK(W10:W14),ISBLANK(AU10:AU14)), "·", bdRateExtend( N10:N14,W10:W14, AL10:AL14,AU10:AU14))</f>
        <v>2.0618288144591546E-4</v>
      </c>
      <c r="BJ10" s="34">
        <f>IF( OR(ISBLANK(N10:N14),ISBLANK(AL10:AL14), ISBLANK(X10:X14),ISBLANK(AV10:AV14)), "·", bdRateExtend( N10:N14,X10:X14, AL10:AL14,AV10:AV14))</f>
        <v>1.9323082720079654E-4</v>
      </c>
      <c r="BK10" s="34">
        <f>IF( OR(ISBLANK(V10:V14),ISBLANK(AT10:AT14), ISBLANK(Y10:Y14),ISBLANK(AW10:AW14)), "·", bdRateExtend( V10:V14,Y10:Y14, AT10:AT14,AW10:AW14))</f>
        <v>-1.6770271274333393E-3</v>
      </c>
      <c r="BL10" s="34">
        <f>IF( OR(ISBLANK(V10:V14),ISBLANK(AT10:AT14), ISBLANK(Z10:Z14),ISBLANK(AX10:AX14)), "·", bdRateExtend( V10:V14,Z10:Z14, AT10:AT14,AX10:AX14))</f>
        <v>1.860756625778448E-3</v>
      </c>
      <c r="BM10" s="34">
        <f>IF( OR(ISBLANK(V10:V14),ISBLANK(AT10:AT14), ISBLANK(AA10:AA14),ISBLANK(AY10:AY14)), "·", bdRateExtend( V10:V14,AA10:AA14, AT10:AT14,AY10:AY14))</f>
        <v>-5.6689141230614748E-4</v>
      </c>
      <c r="BO10" s="34">
        <f>IF( OR(ISBLANK(S10:S14),ISBLANK(AQ10:AQ14), ISBLANK(W10:W14),ISBLANK(AU10:AU14)), "·", bdRateExtend( S10:S14,W10:W14, AQ10:AQ14,AU10:AU14))</f>
        <v>-2.0736171329814868E-3</v>
      </c>
      <c r="BP10" s="34">
        <f>IF( OR(ISBLANK(S10:S14),ISBLANK(AQ10:AQ14), ISBLANK(X10:X14),ISBLANK(AV10:AV14)), "·", bdRateExtend( S10:S14,X10:X14, AQ10:AQ14,AV10:AV14))</f>
        <v>-1.3921375497254473E-3</v>
      </c>
      <c r="BQ10" s="34">
        <f>IF( OR(ISBLANK(S10:S14),ISBLANK(AQ10:AQ14), ISBLANK(Y10:Y14),ISBLANK(AW10:AW14)), "·", bdRateExtend( S10:S14,Y10:Y14, AQ10:AQ14,AW10:AW14))</f>
        <v>6.6363349910125713E-4</v>
      </c>
      <c r="BR10" s="34">
        <f>IF( OR(ISBLANK(S10:S14),ISBLANK(AQ10:AQ14), ISBLANK(Z10:Z14),ISBLANK(AX10:AX14)), "·", bdRateExtend( S10:S14,Z10:Z14, AQ10:AQ14,AX10:AX14))</f>
        <v>3.7708717771045563E-3</v>
      </c>
      <c r="BS10" s="34">
        <f>IF( OR(ISBLANK(S10:S14),ISBLANK(AQ10:AQ14), ISBLANK(AA10:AA14),ISBLANK(AY10:AY14)), "·", bdRateExtend( S10:S14,AA10:AA14, AQ10:AQ14,AY10:AY14))</f>
        <v>1.7457486511582854E-3</v>
      </c>
      <c r="BU10" s="4">
        <f t="shared" si="16"/>
        <v>-9096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2.8598175000000001</v>
      </c>
      <c r="J11" s="18">
        <f t="shared" si="1"/>
        <v>0.13465020574678493</v>
      </c>
      <c r="K11" s="18">
        <f t="shared" si="2"/>
        <v>8.7533986743376868E-2</v>
      </c>
      <c r="L11" s="18">
        <f t="shared" si="3"/>
        <v>5.4442175559436902E-2</v>
      </c>
      <c r="M11" s="18">
        <f t="shared" si="4"/>
        <v>4.7089381410703054E-2</v>
      </c>
      <c r="N11" s="15">
        <f t="shared" si="5"/>
        <v>1983064</v>
      </c>
      <c r="O11" s="18">
        <f t="shared" si="6"/>
        <v>0.13605660149300131</v>
      </c>
      <c r="P11" s="19">
        <v>22420610</v>
      </c>
      <c r="Q11" s="19">
        <v>700644.0625</v>
      </c>
      <c r="R11" s="19">
        <v>24865.21875</v>
      </c>
      <c r="S11" s="20">
        <v>3050472</v>
      </c>
      <c r="T11" s="20">
        <v>1233376</v>
      </c>
      <c r="U11" s="20">
        <v>749688</v>
      </c>
      <c r="V11" s="20">
        <v>1066800</v>
      </c>
      <c r="W11" s="21">
        <v>67.688396999999995</v>
      </c>
      <c r="X11" s="21">
        <v>69.747327999999996</v>
      </c>
      <c r="Y11" s="21">
        <v>32.972577999999999</v>
      </c>
      <c r="Z11" s="21">
        <v>39.676994000000001</v>
      </c>
      <c r="AA11" s="21">
        <v>32.356859</v>
      </c>
      <c r="AB11" s="22">
        <v>4779.1899999999996</v>
      </c>
      <c r="AC11" s="22">
        <v>5081.8900000000003</v>
      </c>
      <c r="AD11" s="22">
        <v>11.942</v>
      </c>
      <c r="AE11" s="22">
        <v>24.608000000000001</v>
      </c>
      <c r="AG11" s="17">
        <f t="shared" si="7"/>
        <v>2.8487925000000001</v>
      </c>
      <c r="AH11" s="18">
        <f t="shared" si="8"/>
        <v>0.13413111020367482</v>
      </c>
      <c r="AI11" s="18">
        <f t="shared" si="9"/>
        <v>8.7555645151524919E-2</v>
      </c>
      <c r="AJ11" s="18">
        <f t="shared" si="10"/>
        <v>5.444264639439679E-2</v>
      </c>
      <c r="AK11" s="18">
        <f t="shared" si="11"/>
        <v>4.6570756702552826E-2</v>
      </c>
      <c r="AL11" s="15">
        <f t="shared" si="12"/>
        <v>1983554.66666667</v>
      </c>
      <c r="AM11" s="18">
        <f t="shared" si="13"/>
        <v>0.13553208409583861</v>
      </c>
      <c r="AN11" s="71">
        <v>22420610</v>
      </c>
      <c r="AO11" s="71">
        <v>700644.0625</v>
      </c>
      <c r="AP11" s="71">
        <v>24865.21875</v>
      </c>
      <c r="AQ11" s="72">
        <v>3038712</v>
      </c>
      <c r="AR11" s="72">
        <v>1233386.66666667</v>
      </c>
      <c r="AS11" s="72">
        <v>750168</v>
      </c>
      <c r="AT11" s="72">
        <v>1055050.66666667</v>
      </c>
      <c r="AU11" s="73">
        <v>67.688396874999995</v>
      </c>
      <c r="AV11" s="73">
        <v>69.747328124999996</v>
      </c>
      <c r="AW11" s="73">
        <v>32.961771874999997</v>
      </c>
      <c r="AX11" s="73">
        <v>39.699915625000003</v>
      </c>
      <c r="AY11" s="73">
        <v>32.333121875000003</v>
      </c>
      <c r="AZ11" s="74"/>
      <c r="BA11" s="74"/>
      <c r="BB11" s="74"/>
      <c r="BC11" s="74"/>
      <c r="BE11" s="23">
        <f t="shared" si="14"/>
        <v>0</v>
      </c>
      <c r="BF11" s="23">
        <f t="shared" si="15"/>
        <v>2.6773377039226443E-3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-11760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4.0342500000000001</v>
      </c>
      <c r="J12" s="28">
        <f t="shared" si="1"/>
        <v>0.18994659363192479</v>
      </c>
      <c r="K12" s="28">
        <f t="shared" si="2"/>
        <v>0.10927031807711826</v>
      </c>
      <c r="L12" s="28">
        <f t="shared" si="3"/>
        <v>7.6178506893178302E-2</v>
      </c>
      <c r="M12" s="28">
        <f t="shared" si="4"/>
        <v>8.0649437962101528E-2</v>
      </c>
      <c r="N12" s="25">
        <f t="shared" si="5"/>
        <v>2475496</v>
      </c>
      <c r="O12" s="28">
        <f t="shared" si="6"/>
        <v>0.18882923591911902</v>
      </c>
      <c r="P12" s="29">
        <v>22788844</v>
      </c>
      <c r="Q12" s="29">
        <v>712151.375</v>
      </c>
      <c r="R12" s="29">
        <v>26439.4375</v>
      </c>
      <c r="S12" s="30">
        <v>4303200</v>
      </c>
      <c r="T12" s="30">
        <v>1725808</v>
      </c>
      <c r="U12" s="30">
        <v>749688</v>
      </c>
      <c r="V12" s="30">
        <v>1827096</v>
      </c>
      <c r="W12" s="31">
        <v>69.049475000000001</v>
      </c>
      <c r="X12" s="31">
        <v>71.393259</v>
      </c>
      <c r="Y12" s="31">
        <v>35.019658999999997</v>
      </c>
      <c r="Z12" s="31">
        <v>40.725065999999998</v>
      </c>
      <c r="AA12" s="31">
        <v>34.284574999999997</v>
      </c>
      <c r="AB12" s="32">
        <v>3549.89</v>
      </c>
      <c r="AC12" s="32">
        <v>3452.81</v>
      </c>
      <c r="AD12" s="32">
        <v>8.5229999999999997</v>
      </c>
      <c r="AE12" s="32">
        <v>16.623999999999999</v>
      </c>
      <c r="AG12" s="27">
        <f t="shared" si="7"/>
        <v>4.0163774999999999</v>
      </c>
      <c r="AH12" s="28">
        <f t="shared" si="8"/>
        <v>0.18910509385013474</v>
      </c>
      <c r="AI12" s="28">
        <f t="shared" si="9"/>
        <v>0.10929197648526631</v>
      </c>
      <c r="AJ12" s="28">
        <f t="shared" si="10"/>
        <v>7.6178977728138184E-2</v>
      </c>
      <c r="AK12" s="28">
        <f t="shared" si="11"/>
        <v>7.9808409015271337E-2</v>
      </c>
      <c r="AL12" s="25">
        <f t="shared" si="12"/>
        <v>2475986.6666666698</v>
      </c>
      <c r="AM12" s="28">
        <f t="shared" si="13"/>
        <v>0.18799268624595439</v>
      </c>
      <c r="AN12" s="75">
        <v>22788844</v>
      </c>
      <c r="AO12" s="75">
        <v>712151.375</v>
      </c>
      <c r="AP12" s="75">
        <v>26439.4375</v>
      </c>
      <c r="AQ12" s="76">
        <v>4284136</v>
      </c>
      <c r="AR12" s="76">
        <v>1725818.66666667</v>
      </c>
      <c r="AS12" s="76">
        <v>750168</v>
      </c>
      <c r="AT12" s="76">
        <v>1808042.66666667</v>
      </c>
      <c r="AU12" s="77">
        <v>69.049475000000001</v>
      </c>
      <c r="AV12" s="77">
        <v>71.393259375</v>
      </c>
      <c r="AW12" s="77">
        <v>35.002734375000003</v>
      </c>
      <c r="AX12" s="77">
        <v>40.688562500000003</v>
      </c>
      <c r="AY12" s="77">
        <v>34.275971875000003</v>
      </c>
      <c r="AZ12" s="78"/>
      <c r="BA12" s="78"/>
      <c r="BB12" s="78"/>
      <c r="BC12" s="78"/>
      <c r="BE12" s="33">
        <f t="shared" si="14"/>
        <v>0</v>
      </c>
      <c r="BF12" s="33">
        <f t="shared" si="15"/>
        <v>2.6744220930491336E-3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-19064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6.5269950000000003</v>
      </c>
      <c r="J13" s="18">
        <f t="shared" si="1"/>
        <v>0.30731374280290141</v>
      </c>
      <c r="K13" s="18">
        <f t="shared" si="2"/>
        <v>0.14916369338067992</v>
      </c>
      <c r="L13" s="18">
        <f t="shared" si="3"/>
        <v>0.11607188219673995</v>
      </c>
      <c r="M13" s="18">
        <f t="shared" si="4"/>
        <v>0.1581232118295165</v>
      </c>
      <c r="N13" s="15">
        <f t="shared" si="5"/>
        <v>3379272</v>
      </c>
      <c r="O13" s="18">
        <f t="shared" si="6"/>
        <v>0.29311085946085264</v>
      </c>
      <c r="P13" s="19">
        <v>23752542</v>
      </c>
      <c r="Q13" s="19">
        <v>742266.9375</v>
      </c>
      <c r="R13" s="19">
        <v>30458.15625</v>
      </c>
      <c r="S13" s="20">
        <v>6962128</v>
      </c>
      <c r="T13" s="20">
        <v>2629584</v>
      </c>
      <c r="U13" s="20">
        <v>749688</v>
      </c>
      <c r="V13" s="20">
        <v>3582248</v>
      </c>
      <c r="W13" s="21">
        <v>70.030602999999999</v>
      </c>
      <c r="X13" s="21">
        <v>72.561171999999999</v>
      </c>
      <c r="Y13" s="21">
        <v>37.213605999999999</v>
      </c>
      <c r="Z13" s="21">
        <v>41.784291000000003</v>
      </c>
      <c r="AA13" s="21">
        <v>36.286212999999996</v>
      </c>
      <c r="AB13" s="22">
        <v>3814.46</v>
      </c>
      <c r="AC13" s="22">
        <v>3824.32</v>
      </c>
      <c r="AD13" s="22">
        <v>8.827</v>
      </c>
      <c r="AE13" s="22">
        <v>16.895</v>
      </c>
      <c r="AG13" s="17">
        <f t="shared" si="7"/>
        <v>6.53721</v>
      </c>
      <c r="AH13" s="18">
        <f t="shared" si="8"/>
        <v>0.30779470071427284</v>
      </c>
      <c r="AI13" s="18">
        <f t="shared" si="9"/>
        <v>0.14918535178882794</v>
      </c>
      <c r="AJ13" s="18">
        <f t="shared" si="10"/>
        <v>0.11607235303169983</v>
      </c>
      <c r="AK13" s="18">
        <f t="shared" si="11"/>
        <v>0.15860464057584778</v>
      </c>
      <c r="AL13" s="15">
        <f t="shared" si="12"/>
        <v>3379762.6666666698</v>
      </c>
      <c r="AM13" s="18">
        <f t="shared" si="13"/>
        <v>0.29356958930964105</v>
      </c>
      <c r="AN13" s="71">
        <v>23752542</v>
      </c>
      <c r="AO13" s="71">
        <v>742266.9375</v>
      </c>
      <c r="AP13" s="71">
        <v>30458.15625</v>
      </c>
      <c r="AQ13" s="72">
        <v>6973024</v>
      </c>
      <c r="AR13" s="72">
        <v>2629594.6666666698</v>
      </c>
      <c r="AS13" s="72">
        <v>750168</v>
      </c>
      <c r="AT13" s="72">
        <v>3593154.6666666698</v>
      </c>
      <c r="AU13" s="73">
        <v>70.030603124999999</v>
      </c>
      <c r="AV13" s="73">
        <v>72.561171874999999</v>
      </c>
      <c r="AW13" s="73">
        <v>37.207334375000002</v>
      </c>
      <c r="AX13" s="73">
        <v>41.768996874999999</v>
      </c>
      <c r="AY13" s="73">
        <v>36.271490624999998</v>
      </c>
      <c r="AZ13" s="74"/>
      <c r="BA13" s="74"/>
      <c r="BB13" s="74"/>
      <c r="BC13" s="74"/>
      <c r="BE13" s="23">
        <f t="shared" si="14"/>
        <v>0</v>
      </c>
      <c r="BF13" s="23">
        <f t="shared" si="15"/>
        <v>-6.8808380845791772E-4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10896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13.198515</v>
      </c>
      <c r="J14" s="48">
        <f t="shared" si="1"/>
        <v>0.62143222786140273</v>
      </c>
      <c r="K14" s="48">
        <f t="shared" si="2"/>
        <v>0.25059001873731862</v>
      </c>
      <c r="L14" s="48">
        <f t="shared" si="3"/>
        <v>0.1869531426666565</v>
      </c>
      <c r="M14" s="48">
        <f t="shared" si="4"/>
        <v>0.37081537153137906</v>
      </c>
      <c r="N14" s="45">
        <f t="shared" si="5"/>
        <v>5677064</v>
      </c>
      <c r="O14" s="48">
        <f t="shared" si="6"/>
        <v>0.62547186677087629</v>
      </c>
      <c r="P14" s="49">
        <v>22508472</v>
      </c>
      <c r="Q14" s="49">
        <v>703389.75</v>
      </c>
      <c r="R14" s="49">
        <v>13989.71875</v>
      </c>
      <c r="S14" s="50">
        <v>14078416</v>
      </c>
      <c r="T14" s="50">
        <v>4235384</v>
      </c>
      <c r="U14" s="50">
        <v>1441680</v>
      </c>
      <c r="V14" s="50">
        <v>8400744</v>
      </c>
      <c r="W14" s="51">
        <v>71.218100000000007</v>
      </c>
      <c r="X14" s="51">
        <v>74.730703000000005</v>
      </c>
      <c r="Y14" s="51">
        <v>39.646130999999997</v>
      </c>
      <c r="Z14" s="51">
        <v>43.088419000000002</v>
      </c>
      <c r="AA14" s="51">
        <v>38.527558999999997</v>
      </c>
      <c r="AB14" s="52">
        <v>5169.74</v>
      </c>
      <c r="AC14" s="52">
        <v>6204.94</v>
      </c>
      <c r="AD14" s="52">
        <v>12.653</v>
      </c>
      <c r="AE14" s="52">
        <v>28.129000000000001</v>
      </c>
      <c r="AG14" s="47">
        <f t="shared" si="7"/>
        <v>13.235557500000001</v>
      </c>
      <c r="AH14" s="48">
        <f t="shared" si="8"/>
        <v>0.62317631826100872</v>
      </c>
      <c r="AI14" s="48">
        <f t="shared" si="9"/>
        <v>0.25061167714546667</v>
      </c>
      <c r="AJ14" s="48">
        <f t="shared" si="10"/>
        <v>0.18695361350161635</v>
      </c>
      <c r="AK14" s="48">
        <f t="shared" si="11"/>
        <v>0.37255993276594496</v>
      </c>
      <c r="AL14" s="45">
        <f t="shared" si="12"/>
        <v>5677554.6666666698</v>
      </c>
      <c r="AM14" s="48">
        <f t="shared" si="13"/>
        <v>0.62722729468264216</v>
      </c>
      <c r="AN14" s="83">
        <v>22508472</v>
      </c>
      <c r="AO14" s="83">
        <v>703389.75</v>
      </c>
      <c r="AP14" s="83">
        <v>13989.71875</v>
      </c>
      <c r="AQ14" s="84">
        <v>14117928</v>
      </c>
      <c r="AR14" s="84">
        <v>4235394.6666666698</v>
      </c>
      <c r="AS14" s="84">
        <v>1442160</v>
      </c>
      <c r="AT14" s="84">
        <v>8440266.6666666698</v>
      </c>
      <c r="AU14" s="85">
        <v>71.218100000000007</v>
      </c>
      <c r="AV14" s="85">
        <v>74.730703125000005</v>
      </c>
      <c r="AW14" s="85">
        <v>39.638843749999999</v>
      </c>
      <c r="AX14" s="85">
        <v>43.068621874999998</v>
      </c>
      <c r="AY14" s="85">
        <v>38.509409374999997</v>
      </c>
      <c r="AZ14" s="86"/>
      <c r="BA14" s="86"/>
      <c r="BB14" s="86"/>
      <c r="BC14" s="86"/>
      <c r="BE14" s="53">
        <f t="shared" si="14"/>
        <v>0</v>
      </c>
      <c r="BF14" s="53">
        <f t="shared" si="15"/>
        <v>-1.0938139542734926E-3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39512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2.0223</v>
      </c>
      <c r="J15" s="18">
        <f t="shared" si="1"/>
        <v>6.354241542833601E-2</v>
      </c>
      <c r="K15" s="18">
        <f t="shared" si="2"/>
        <v>5.1433913761154727E-2</v>
      </c>
      <c r="L15" s="18">
        <f t="shared" si="3"/>
        <v>2.6396354535524302E-2</v>
      </c>
      <c r="M15" s="18">
        <f t="shared" si="4"/>
        <v>1.2090591774092149E-2</v>
      </c>
      <c r="N15" s="15">
        <f t="shared" si="5"/>
        <v>1746064</v>
      </c>
      <c r="O15" s="18">
        <f t="shared" si="6"/>
        <v>6.6324565326154813E-2</v>
      </c>
      <c r="P15" s="19">
        <v>32523696</v>
      </c>
      <c r="Q15" s="19">
        <v>1016365.5</v>
      </c>
      <c r="R15" s="19">
        <v>34573</v>
      </c>
      <c r="S15" s="20">
        <v>2157120</v>
      </c>
      <c r="T15" s="20">
        <v>896096</v>
      </c>
      <c r="U15" s="20">
        <v>849968</v>
      </c>
      <c r="V15" s="20">
        <v>410448</v>
      </c>
      <c r="W15" s="21">
        <v>66.386921999999998</v>
      </c>
      <c r="X15" s="21">
        <v>67.997512999999998</v>
      </c>
      <c r="Y15" s="21">
        <v>29.264875</v>
      </c>
      <c r="Z15" s="21">
        <v>43.246730999999997</v>
      </c>
      <c r="AA15" s="21">
        <v>43.583283999999999</v>
      </c>
      <c r="AB15" s="22">
        <v>4239.09</v>
      </c>
      <c r="AC15" s="22">
        <v>2693.91</v>
      </c>
      <c r="AD15" s="22">
        <v>11.673999999999999</v>
      </c>
      <c r="AE15" s="22">
        <v>14.89</v>
      </c>
      <c r="AG15" s="17">
        <f t="shared" si="7"/>
        <v>2.0153025000000002</v>
      </c>
      <c r="AH15" s="18">
        <f t="shared" si="8"/>
        <v>6.3322547925018111E-2</v>
      </c>
      <c r="AI15" s="18">
        <f t="shared" si="9"/>
        <v>5.1448367359086318E-2</v>
      </c>
      <c r="AJ15" s="18">
        <f t="shared" si="10"/>
        <v>2.6396668744174998E-2</v>
      </c>
      <c r="AK15" s="18">
        <f t="shared" si="11"/>
        <v>1.187103847942495E-2</v>
      </c>
      <c r="AL15" s="15">
        <f t="shared" si="12"/>
        <v>1746554.666666667</v>
      </c>
      <c r="AM15" s="18">
        <f t="shared" si="13"/>
        <v>6.6095071113688925E-2</v>
      </c>
      <c r="AN15" s="71">
        <v>32523696</v>
      </c>
      <c r="AO15" s="71">
        <v>1016365.5</v>
      </c>
      <c r="AP15" s="71">
        <v>34573</v>
      </c>
      <c r="AQ15" s="72">
        <v>2149656</v>
      </c>
      <c r="AR15" s="72">
        <v>896106.66666666698</v>
      </c>
      <c r="AS15" s="72">
        <v>850448</v>
      </c>
      <c r="AT15" s="72">
        <v>402994.66666666698</v>
      </c>
      <c r="AU15" s="73">
        <v>66.386921874999999</v>
      </c>
      <c r="AV15" s="73">
        <v>67.997512499999999</v>
      </c>
      <c r="AW15" s="73">
        <v>29.245506249999998</v>
      </c>
      <c r="AX15" s="73">
        <v>43.1833375</v>
      </c>
      <c r="AY15" s="73">
        <v>43.470537499999999</v>
      </c>
      <c r="AZ15" s="74"/>
      <c r="BA15" s="74"/>
      <c r="BB15" s="74"/>
      <c r="BC15" s="74"/>
      <c r="BE15" s="23">
        <f t="shared" si="14"/>
        <v>0</v>
      </c>
      <c r="BF15" s="23">
        <f t="shared" si="15"/>
        <v>3.0387854573887818E-3</v>
      </c>
      <c r="BG15" s="23">
        <f t="array" ref="BG15">AVERAGE(AL15:AL19/AQ15:AQ19) - AVERAGE(N15:N19/S15:S19)</f>
        <v>1.1247942741877681E-3</v>
      </c>
      <c r="BI15" s="24">
        <f>IF( OR(ISBLANK(N15:N19),ISBLANK(AL15:AL19), ISBLANK(W15:W19),ISBLANK(AU15:AU19)), "·", bdRateExtend( N15:N19,W15:W19, AL15:AL19,AU15:AU19))</f>
        <v>2.0624497471399827E-4</v>
      </c>
      <c r="BJ15" s="24">
        <f>IF( OR(ISBLANK(N15:N19),ISBLANK(AL15:AL19), ISBLANK(X15:X19),ISBLANK(AV15:AV19)), "·", bdRateExtend( N15:N19,X15:X19, AL15:AL19,AV15:AV19))</f>
        <v>1.9675584907452581E-4</v>
      </c>
      <c r="BK15" s="24">
        <f>IF( OR(ISBLANK(V15:V19),ISBLANK(AT15:AT19), ISBLANK(Y15:Y19),ISBLANK(AW15:AW19)), "·", bdRateExtend( V15:V19,Y15:Y19, AT15:AT19,AW15:AW19))</f>
        <v>-3.8028671956963356E-3</v>
      </c>
      <c r="BL15" s="24">
        <f>IF( OR(ISBLANK(V15:V19),ISBLANK(AT15:AT19), ISBLANK(Z15:Z19),ISBLANK(AX15:AX19)), "·", bdRateExtend( V15:V19,Z15:Z19, AT15:AT19,AX15:AX19))</f>
        <v>2.8440474075572819E-3</v>
      </c>
      <c r="BM15" s="24">
        <f>IF( OR(ISBLANK(V15:V19),ISBLANK(AT15:AT19), ISBLANK(AA15:AA19),ISBLANK(AY15:AY19)), "·", bdRateExtend( V15:V19,AA15:AA19, AT15:AT19,AY15:AY19))</f>
        <v>-1.2023099478812194E-2</v>
      </c>
      <c r="BO15" s="24">
        <f>IF( OR(ISBLANK(S15:S19),ISBLANK(AQ15:AQ19), ISBLANK(W15:W19),ISBLANK(AU15:AU19)), "·", bdRateExtend( S15:S19,W15:W19, AQ15:AQ19,AU15:AU19))</f>
        <v>-1.7562078080138877E-3</v>
      </c>
      <c r="BP15" s="24">
        <f>IF( OR(ISBLANK(S15:S19),ISBLANK(AQ15:AQ19), ISBLANK(X15:X19),ISBLANK(AV15:AV19)), "·", bdRateExtend( S15:S19,X15:X19, AQ15:AQ19,AV15:AV19))</f>
        <v>-1.2694546123809269E-3</v>
      </c>
      <c r="BQ15" s="24">
        <f>IF( OR(ISBLANK(S15:S19),ISBLANK(AQ15:AQ19), ISBLANK(Y15:Y19),ISBLANK(AW15:AW19)), "·", bdRateExtend( S15:S19,Y15:Y19, AQ15:AQ19,AW15:AW19))</f>
        <v>1.1747652533089514E-4</v>
      </c>
      <c r="BR15" s="24">
        <f>IF( OR(ISBLANK(S15:S19),ISBLANK(AQ15:AQ19), ISBLANK(Z15:Z19),ISBLANK(AX15:AX19)), "·", bdRateExtend( S15:S19,Z15:Z19, AQ15:AQ19,AX15:AX19))</f>
        <v>3.9857464008457022E-3</v>
      </c>
      <c r="BS15" s="24">
        <f>IF( OR(ISBLANK(S15:S19),ISBLANK(AQ15:AQ19), ISBLANK(AA15:AA19),ISBLANK(AY15:AY19)), "·", bdRateExtend( S15:S19,AA15:AA19, AQ15:AQ19,AY15:AY19))</f>
        <v>-5.2652763102243316E-3</v>
      </c>
      <c r="BU15" s="4">
        <f t="shared" si="16"/>
        <v>-7464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2.5936875000000001</v>
      </c>
      <c r="J16" s="28">
        <f t="shared" si="1"/>
        <v>8.1495904967750707E-2</v>
      </c>
      <c r="K16" s="28">
        <f t="shared" si="2"/>
        <v>5.9747167688856143E-2</v>
      </c>
      <c r="L16" s="28">
        <f t="shared" si="3"/>
        <v>3.4709608463225718E-2</v>
      </c>
      <c r="M16" s="28">
        <f t="shared" si="4"/>
        <v>2.173082738580543E-2</v>
      </c>
      <c r="N16" s="25">
        <f t="shared" si="5"/>
        <v>2028280</v>
      </c>
      <c r="O16" s="28">
        <f t="shared" si="6"/>
        <v>8.1135752730743319E-2</v>
      </c>
      <c r="P16" s="29">
        <v>34098408</v>
      </c>
      <c r="Q16" s="29">
        <v>1065575.25</v>
      </c>
      <c r="R16" s="29">
        <v>40281.5</v>
      </c>
      <c r="S16" s="30">
        <v>2766600</v>
      </c>
      <c r="T16" s="30">
        <v>1178312</v>
      </c>
      <c r="U16" s="30">
        <v>849968</v>
      </c>
      <c r="V16" s="30">
        <v>737712</v>
      </c>
      <c r="W16" s="31">
        <v>68.101580999999996</v>
      </c>
      <c r="X16" s="31">
        <v>70.121399999999994</v>
      </c>
      <c r="Y16" s="31">
        <v>31.679615999999999</v>
      </c>
      <c r="Z16" s="31">
        <v>43.969490999999998</v>
      </c>
      <c r="AA16" s="31">
        <v>44.250633999999998</v>
      </c>
      <c r="AB16" s="32">
        <v>4207.84</v>
      </c>
      <c r="AC16" s="32">
        <v>2903.95</v>
      </c>
      <c r="AD16" s="32">
        <v>12.44</v>
      </c>
      <c r="AE16" s="32">
        <v>15.478</v>
      </c>
      <c r="AG16" s="27">
        <f t="shared" si="7"/>
        <v>2.5835249999999998</v>
      </c>
      <c r="AH16" s="28">
        <f t="shared" si="8"/>
        <v>8.1176590426490516E-2</v>
      </c>
      <c r="AI16" s="28">
        <f t="shared" si="9"/>
        <v>5.9761621286787817E-2</v>
      </c>
      <c r="AJ16" s="28">
        <f t="shared" si="10"/>
        <v>3.4709922671876503E-2</v>
      </c>
      <c r="AK16" s="28">
        <f t="shared" si="11"/>
        <v>2.1411827053195946E-2</v>
      </c>
      <c r="AL16" s="25">
        <f t="shared" si="12"/>
        <v>2028770.66666667</v>
      </c>
      <c r="AM16" s="28">
        <f t="shared" si="13"/>
        <v>8.0817849325986124E-2</v>
      </c>
      <c r="AN16" s="75">
        <v>34098408</v>
      </c>
      <c r="AO16" s="75">
        <v>1065575.25</v>
      </c>
      <c r="AP16" s="75">
        <v>40281.5</v>
      </c>
      <c r="AQ16" s="76">
        <v>2755760</v>
      </c>
      <c r="AR16" s="76">
        <v>1178322.66666667</v>
      </c>
      <c r="AS16" s="76">
        <v>850448</v>
      </c>
      <c r="AT16" s="76">
        <v>726882.66666666698</v>
      </c>
      <c r="AU16" s="77">
        <v>68.101581249999995</v>
      </c>
      <c r="AV16" s="77">
        <v>70.121399999999994</v>
      </c>
      <c r="AW16" s="77">
        <v>31.6691875</v>
      </c>
      <c r="AX16" s="77">
        <v>43.980621874999997</v>
      </c>
      <c r="AY16" s="77">
        <v>44.292178125</v>
      </c>
      <c r="AZ16" s="78"/>
      <c r="BA16" s="78"/>
      <c r="BB16" s="78"/>
      <c r="BC16" s="78"/>
      <c r="BE16" s="33">
        <f t="shared" si="14"/>
        <v>0</v>
      </c>
      <c r="BF16" s="33">
        <f t="shared" si="15"/>
        <v>3.0618797814938592E-3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-10840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3.5834925000000002</v>
      </c>
      <c r="J17" s="18">
        <f t="shared" si="1"/>
        <v>0.11259643431702832</v>
      </c>
      <c r="K17" s="18">
        <f t="shared" si="2"/>
        <v>6.9817240734708588E-2</v>
      </c>
      <c r="L17" s="18">
        <f t="shared" si="3"/>
        <v>4.4779681509078163E-2</v>
      </c>
      <c r="M17" s="18">
        <f t="shared" si="4"/>
        <v>4.27612836892306E-2</v>
      </c>
      <c r="N17" s="15">
        <f t="shared" si="5"/>
        <v>2370136</v>
      </c>
      <c r="O17" s="18">
        <f t="shared" si="6"/>
        <v>0.11162203829674178</v>
      </c>
      <c r="P17" s="19">
        <v>34244062</v>
      </c>
      <c r="Q17" s="19">
        <v>1070126.9375</v>
      </c>
      <c r="R17" s="19">
        <v>41416.84375</v>
      </c>
      <c r="S17" s="20">
        <v>3822392</v>
      </c>
      <c r="T17" s="20">
        <v>1520168</v>
      </c>
      <c r="U17" s="20">
        <v>849968</v>
      </c>
      <c r="V17" s="20">
        <v>1451648</v>
      </c>
      <c r="W17" s="21">
        <v>69.444721999999999</v>
      </c>
      <c r="X17" s="21">
        <v>71.859572</v>
      </c>
      <c r="Y17" s="21">
        <v>34.128753000000003</v>
      </c>
      <c r="Z17" s="21">
        <v>45.224302999999999</v>
      </c>
      <c r="AA17" s="21">
        <v>45.659125000000003</v>
      </c>
      <c r="AB17" s="22">
        <v>5750.34</v>
      </c>
      <c r="AC17" s="22">
        <v>3352.52</v>
      </c>
      <c r="AD17" s="22">
        <v>14.38</v>
      </c>
      <c r="AE17" s="22">
        <v>19.501999999999999</v>
      </c>
      <c r="AG17" s="17">
        <f t="shared" si="7"/>
        <v>3.5750025000000001</v>
      </c>
      <c r="AH17" s="18">
        <f t="shared" si="8"/>
        <v>0.11232967117259546</v>
      </c>
      <c r="AI17" s="18">
        <f t="shared" si="9"/>
        <v>6.9831694332640262E-2</v>
      </c>
      <c r="AJ17" s="18">
        <f t="shared" si="10"/>
        <v>4.4779995717728949E-2</v>
      </c>
      <c r="AK17" s="18">
        <f t="shared" si="11"/>
        <v>4.2494834753448521E-2</v>
      </c>
      <c r="AL17" s="15">
        <f t="shared" si="12"/>
        <v>2370626.6666666698</v>
      </c>
      <c r="AM17" s="18">
        <f t="shared" si="13"/>
        <v>0.11135758368852387</v>
      </c>
      <c r="AN17" s="71">
        <v>34244062</v>
      </c>
      <c r="AO17" s="71">
        <v>1070126.9375</v>
      </c>
      <c r="AP17" s="71">
        <v>41416.84375</v>
      </c>
      <c r="AQ17" s="72">
        <v>3813336</v>
      </c>
      <c r="AR17" s="72">
        <v>1520178.66666667</v>
      </c>
      <c r="AS17" s="72">
        <v>850448</v>
      </c>
      <c r="AT17" s="72">
        <v>1442602.66666667</v>
      </c>
      <c r="AU17" s="73">
        <v>69.444721874999999</v>
      </c>
      <c r="AV17" s="73">
        <v>71.859571875</v>
      </c>
      <c r="AW17" s="73">
        <v>34.121584374999998</v>
      </c>
      <c r="AX17" s="73">
        <v>45.216481250000001</v>
      </c>
      <c r="AY17" s="73">
        <v>45.676812499999997</v>
      </c>
      <c r="AZ17" s="74"/>
      <c r="BA17" s="74"/>
      <c r="BB17" s="74"/>
      <c r="BC17" s="74"/>
      <c r="BE17" s="23">
        <f t="shared" si="14"/>
        <v>0</v>
      </c>
      <c r="BF17" s="23">
        <f t="shared" si="15"/>
        <v>1.6012189795930887E-3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-9056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6.4136625</v>
      </c>
      <c r="J18" s="28">
        <f t="shared" si="1"/>
        <v>0.20152282400837665</v>
      </c>
      <c r="K18" s="28">
        <f t="shared" si="2"/>
        <v>9.7636960457842856E-2</v>
      </c>
      <c r="L18" s="28">
        <f t="shared" si="3"/>
        <v>7.2599401232212424E-2</v>
      </c>
      <c r="M18" s="28">
        <f t="shared" si="4"/>
        <v>0.10386795365744467</v>
      </c>
      <c r="N18" s="25">
        <f t="shared" si="5"/>
        <v>3314552</v>
      </c>
      <c r="O18" s="28">
        <f t="shared" si="6"/>
        <v>0.192076786241619</v>
      </c>
      <c r="P18" s="29">
        <v>35617214</v>
      </c>
      <c r="Q18" s="29">
        <v>1113037.9375</v>
      </c>
      <c r="R18" s="29">
        <v>46682.59375</v>
      </c>
      <c r="S18" s="30">
        <v>6841240</v>
      </c>
      <c r="T18" s="30">
        <v>2464584</v>
      </c>
      <c r="U18" s="30">
        <v>849968</v>
      </c>
      <c r="V18" s="30">
        <v>3526080</v>
      </c>
      <c r="W18" s="31">
        <v>70.503552999999997</v>
      </c>
      <c r="X18" s="31">
        <v>73.141296999999994</v>
      </c>
      <c r="Y18" s="31">
        <v>36.484927999999996</v>
      </c>
      <c r="Z18" s="31">
        <v>46.496287000000002</v>
      </c>
      <c r="AA18" s="31">
        <v>47.021078000000003</v>
      </c>
      <c r="AB18" s="32">
        <v>3993.79</v>
      </c>
      <c r="AC18" s="32">
        <v>3329.26</v>
      </c>
      <c r="AD18" s="32">
        <v>12.567</v>
      </c>
      <c r="AE18" s="32">
        <v>16.297999999999998</v>
      </c>
      <c r="AG18" s="27">
        <f t="shared" si="7"/>
        <v>6.4196625000000003</v>
      </c>
      <c r="AH18" s="28">
        <f t="shared" si="8"/>
        <v>0.20171134919878855</v>
      </c>
      <c r="AI18" s="28">
        <f t="shared" si="9"/>
        <v>9.765141405577453E-2</v>
      </c>
      <c r="AJ18" s="28">
        <f t="shared" si="10"/>
        <v>7.2599715440863202E-2</v>
      </c>
      <c r="AK18" s="28">
        <f t="shared" si="11"/>
        <v>0.10405679305650735</v>
      </c>
      <c r="AL18" s="25">
        <f t="shared" si="12"/>
        <v>3315042.6666666698</v>
      </c>
      <c r="AM18" s="28">
        <f t="shared" si="13"/>
        <v>0.19225647463611276</v>
      </c>
      <c r="AN18" s="75">
        <v>35617214</v>
      </c>
      <c r="AO18" s="75">
        <v>1113037.9375</v>
      </c>
      <c r="AP18" s="75">
        <v>46682.59375</v>
      </c>
      <c r="AQ18" s="76">
        <v>6847640</v>
      </c>
      <c r="AR18" s="76">
        <v>2464594.6666666698</v>
      </c>
      <c r="AS18" s="76">
        <v>850448</v>
      </c>
      <c r="AT18" s="76">
        <v>3532490.6666666698</v>
      </c>
      <c r="AU18" s="77">
        <v>70.503553124999996</v>
      </c>
      <c r="AV18" s="77">
        <v>73.141296874999995</v>
      </c>
      <c r="AW18" s="77">
        <v>36.480912500000002</v>
      </c>
      <c r="AX18" s="77">
        <v>46.485374999999998</v>
      </c>
      <c r="AY18" s="77">
        <v>47.055568749999999</v>
      </c>
      <c r="AZ18" s="78"/>
      <c r="BA18" s="78"/>
      <c r="BB18" s="78"/>
      <c r="BC18" s="78"/>
      <c r="BE18" s="33">
        <f t="shared" si="14"/>
        <v>0</v>
      </c>
      <c r="BF18" s="33">
        <f t="shared" si="15"/>
        <v>-3.811687544257869E-4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6400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14.8375275</v>
      </c>
      <c r="J19" s="38">
        <f t="shared" si="1"/>
        <v>0.46620794952992128</v>
      </c>
      <c r="K19" s="38">
        <f t="shared" si="2"/>
        <v>0.16867230957910043</v>
      </c>
      <c r="L19" s="38">
        <f t="shared" si="3"/>
        <v>0.11773963716795338</v>
      </c>
      <c r="M19" s="38">
        <f t="shared" si="4"/>
        <v>0.29751773005773169</v>
      </c>
      <c r="N19" s="35">
        <f t="shared" si="5"/>
        <v>5726040</v>
      </c>
      <c r="O19" s="38">
        <f t="shared" si="6"/>
        <v>0.47002845082483458</v>
      </c>
      <c r="P19" s="39">
        <v>33671783</v>
      </c>
      <c r="Q19" s="39">
        <v>1052243.21875</v>
      </c>
      <c r="R19" s="39">
        <v>20401.53125</v>
      </c>
      <c r="S19" s="40">
        <v>15826696</v>
      </c>
      <c r="T19" s="40">
        <v>3996992</v>
      </c>
      <c r="U19" s="40">
        <v>1729048</v>
      </c>
      <c r="V19" s="40">
        <v>10100048</v>
      </c>
      <c r="W19" s="41">
        <v>71.550134</v>
      </c>
      <c r="X19" s="41">
        <v>75.140709000000001</v>
      </c>
      <c r="Y19" s="41">
        <v>38.807453000000002</v>
      </c>
      <c r="Z19" s="41">
        <v>48.244996999999998</v>
      </c>
      <c r="AA19" s="41">
        <v>48.837116000000002</v>
      </c>
      <c r="AB19" s="42">
        <v>4109.51</v>
      </c>
      <c r="AC19" s="42">
        <v>3850.27</v>
      </c>
      <c r="AD19" s="42">
        <v>11.72</v>
      </c>
      <c r="AE19" s="42">
        <v>18.047999999999998</v>
      </c>
      <c r="AG19" s="37">
        <f t="shared" si="7"/>
        <v>14.9087175</v>
      </c>
      <c r="AH19" s="38">
        <f t="shared" si="8"/>
        <v>0.46844480091415863</v>
      </c>
      <c r="AI19" s="38">
        <f t="shared" si="9"/>
        <v>0.1686867631770321</v>
      </c>
      <c r="AJ19" s="38">
        <f t="shared" si="10"/>
        <v>0.11773995137660416</v>
      </c>
      <c r="AK19" s="38">
        <f t="shared" si="11"/>
        <v>0.29975489565062075</v>
      </c>
      <c r="AL19" s="35">
        <f t="shared" si="12"/>
        <v>5726530.6666666698</v>
      </c>
      <c r="AM19" s="38">
        <f t="shared" si="13"/>
        <v>0.47228363285662656</v>
      </c>
      <c r="AN19" s="79">
        <v>33671783</v>
      </c>
      <c r="AO19" s="79">
        <v>1052243.21875</v>
      </c>
      <c r="AP19" s="79">
        <v>20401.53125</v>
      </c>
      <c r="AQ19" s="80">
        <v>15902632</v>
      </c>
      <c r="AR19" s="80">
        <v>3997002.6666666698</v>
      </c>
      <c r="AS19" s="80">
        <v>1729528</v>
      </c>
      <c r="AT19" s="80">
        <v>10175994.6666667</v>
      </c>
      <c r="AU19" s="81">
        <v>71.550134374999999</v>
      </c>
      <c r="AV19" s="81">
        <v>75.140709375</v>
      </c>
      <c r="AW19" s="81">
        <v>38.799587500000001</v>
      </c>
      <c r="AX19" s="81">
        <v>48.219396875000001</v>
      </c>
      <c r="AY19" s="81">
        <v>48.781934374999999</v>
      </c>
      <c r="AZ19" s="82"/>
      <c r="BA19" s="82"/>
      <c r="BB19" s="82"/>
      <c r="BC19" s="82"/>
      <c r="BE19" s="43">
        <f t="shared" si="14"/>
        <v>0</v>
      </c>
      <c r="BF19" s="43">
        <f t="shared" si="15"/>
        <v>-1.6967440931112132E-3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75936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2.2989875</v>
      </c>
      <c r="J20" s="28">
        <f t="shared" si="1"/>
        <v>4.5680481463268627E-2</v>
      </c>
      <c r="K20" s="28">
        <f t="shared" si="2"/>
        <v>3.3974918629181949E-2</v>
      </c>
      <c r="L20" s="28">
        <f t="shared" si="3"/>
        <v>1.8869131831110331E-2</v>
      </c>
      <c r="M20" s="28">
        <f t="shared" si="4"/>
        <v>1.168668649944366E-2</v>
      </c>
      <c r="N20" s="25">
        <f t="shared" si="5"/>
        <v>1094320</v>
      </c>
      <c r="O20" s="28">
        <f t="shared" si="6"/>
        <v>4.7768367867780222E-2</v>
      </c>
      <c r="P20" s="29">
        <v>30801806</v>
      </c>
      <c r="Q20" s="29">
        <v>962556.4375</v>
      </c>
      <c r="R20" s="29">
        <v>28246.0625</v>
      </c>
      <c r="S20" s="30">
        <v>1471352</v>
      </c>
      <c r="T20" s="30">
        <v>607768</v>
      </c>
      <c r="U20" s="30">
        <v>486552</v>
      </c>
      <c r="V20" s="30">
        <v>376424</v>
      </c>
      <c r="W20" s="31">
        <v>67.130622000000002</v>
      </c>
      <c r="X20" s="31">
        <v>68.790569000000005</v>
      </c>
      <c r="Y20" s="31">
        <v>30.040628000000002</v>
      </c>
      <c r="Z20" s="31">
        <v>39.385452999999998</v>
      </c>
      <c r="AA20" s="31">
        <v>38.009236999999999</v>
      </c>
      <c r="AB20" s="32">
        <v>4613.45</v>
      </c>
      <c r="AC20" s="32">
        <v>2245.71</v>
      </c>
      <c r="AD20" s="32">
        <v>10.686</v>
      </c>
      <c r="AE20" s="32">
        <v>12.180999999999999</v>
      </c>
      <c r="AG20" s="27">
        <f t="shared" si="7"/>
        <v>2.2821500000000001</v>
      </c>
      <c r="AH20" s="28">
        <f t="shared" si="8"/>
        <v>4.5345923269003635E-2</v>
      </c>
      <c r="AI20" s="28">
        <f t="shared" si="9"/>
        <v>3.3990152162402636E-2</v>
      </c>
      <c r="AJ20" s="28">
        <f t="shared" si="10"/>
        <v>1.8869462994876005E-2</v>
      </c>
      <c r="AK20" s="28">
        <f t="shared" si="11"/>
        <v>1.1352459468944346E-2</v>
      </c>
      <c r="AL20" s="25">
        <f t="shared" si="12"/>
        <v>1094810.666666667</v>
      </c>
      <c r="AM20" s="28">
        <f t="shared" si="13"/>
        <v>4.7418518251819392E-2</v>
      </c>
      <c r="AN20" s="75">
        <v>30801806</v>
      </c>
      <c r="AO20" s="75">
        <v>962556.4375</v>
      </c>
      <c r="AP20" s="75">
        <v>28246.0625</v>
      </c>
      <c r="AQ20" s="76">
        <v>1460576</v>
      </c>
      <c r="AR20" s="76">
        <v>607778.66666666698</v>
      </c>
      <c r="AS20" s="76">
        <v>487032</v>
      </c>
      <c r="AT20" s="76">
        <v>365658.66666666698</v>
      </c>
      <c r="AU20" s="77">
        <v>67.130621875000003</v>
      </c>
      <c r="AV20" s="77">
        <v>68.790568750000006</v>
      </c>
      <c r="AW20" s="77">
        <v>30.041068750000001</v>
      </c>
      <c r="AX20" s="77">
        <v>39.297615624999999</v>
      </c>
      <c r="AY20" s="77">
        <v>37.967503125</v>
      </c>
      <c r="AZ20" s="78"/>
      <c r="BA20" s="78"/>
      <c r="BB20" s="78"/>
      <c r="BC20" s="78"/>
      <c r="BE20" s="33">
        <f t="shared" si="14"/>
        <v>0</v>
      </c>
      <c r="BF20" s="33">
        <f t="shared" si="15"/>
        <v>5.8232717422618263E-3</v>
      </c>
      <c r="BG20" s="33">
        <f t="array" ref="BG20">AVERAGE(AL20:AL24/AQ20:AQ24) - AVERAGE(N20:N24/S20:S24)</f>
        <v>2.6409404755782795E-3</v>
      </c>
      <c r="BI20" s="34">
        <f>IF( OR(ISBLANK(N20:N24),ISBLANK(AL20:AL24), ISBLANK(W20:W24),ISBLANK(AU20:AU24)), "·", bdRateExtend( N20:N24,W20:W24, AL20:AL24,AU20:AU24))</f>
        <v>3.2750682291204924E-4</v>
      </c>
      <c r="BJ20" s="34">
        <f>IF( OR(ISBLANK(N20:N24),ISBLANK(AL20:AL24), ISBLANK(X20:X24),ISBLANK(AV20:AV24)), "·", bdRateExtend( N20:N24,X20:X24, AL20:AL24,AV20:AV24))</f>
        <v>3.0598191304287425E-4</v>
      </c>
      <c r="BK20" s="34">
        <f>IF( OR(ISBLANK(V20:V24),ISBLANK(AT20:AT24), ISBLANK(Y20:Y24),ISBLANK(AW20:AW24)), "·", bdRateExtend( V20:V24,Y20:Y24, AT20:AT24,AW20:AW24))</f>
        <v>-6.6444706960979705E-3</v>
      </c>
      <c r="BL20" s="34">
        <f>IF( OR(ISBLANK(V20:V24),ISBLANK(AT20:AT24), ISBLANK(Z20:Z24),ISBLANK(AX20:AX24)), "·", bdRateExtend( V20:V24,Z20:Z24, AT20:AT24,AX20:AX24))</f>
        <v>1.9679753777968489E-2</v>
      </c>
      <c r="BM20" s="34">
        <f>IF( OR(ISBLANK(V20:V24),ISBLANK(AT20:AT24), ISBLANK(AA20:AA24),ISBLANK(AY20:AY24)), "·", bdRateExtend( V20:V24,AA20:AA24, AT20:AT24,AY20:AY24))</f>
        <v>7.7926075039054243E-3</v>
      </c>
      <c r="BO20" s="34">
        <f>IF( OR(ISBLANK(S20:S24),ISBLANK(AQ20:AQ24), ISBLANK(W20:W24),ISBLANK(AU20:AU24)), "·", bdRateExtend( S20:S24,W20:W24, AQ20:AQ24,AU20:AU24))</f>
        <v>-4.5694719620674729E-3</v>
      </c>
      <c r="BP20" s="34">
        <f>IF( OR(ISBLANK(S20:S24),ISBLANK(AQ20:AQ24), ISBLANK(X20:X24),ISBLANK(AV20:AV24)), "·", bdRateExtend( S20:S24,X20:X24, AQ20:AQ24,AV20:AV24))</f>
        <v>-4.0801920218208609E-3</v>
      </c>
      <c r="BQ20" s="34">
        <f>IF( OR(ISBLANK(S20:S24),ISBLANK(AQ20:AQ24), ISBLANK(Y20:Y24),ISBLANK(AW20:AW24)), "·", bdRateExtend( S20:S24,Y20:Y24, AQ20:AQ24,AW20:AW24))</f>
        <v>-2.0695819344038746E-3</v>
      </c>
      <c r="BR20" s="34">
        <f>IF( OR(ISBLANK(S20:S24),ISBLANK(AQ20:AQ24), ISBLANK(Z20:Z24),ISBLANK(AX20:AX24)), "·", bdRateExtend( S20:S24,Z20:Z24, AQ20:AQ24,AX20:AX24))</f>
        <v>1.7341749177066212E-2</v>
      </c>
      <c r="BS20" s="34">
        <f>IF( OR(ISBLANK(S20:S24),ISBLANK(AQ20:AQ24), ISBLANK(AA20:AA24),ISBLANK(AY20:AY24)), "·", bdRateExtend( S20:S24,AA20:AA24, AQ20:AQ24,AY20:AY24))</f>
        <v>6.2423514240270705E-3</v>
      </c>
      <c r="BU20" s="4">
        <f t="shared" si="16"/>
        <v>-10776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3.1385624999999999</v>
      </c>
      <c r="J21" s="18">
        <f t="shared" si="1"/>
        <v>6.2362690576856131E-2</v>
      </c>
      <c r="K21" s="18">
        <f t="shared" si="2"/>
        <v>3.9540953620628455E-2</v>
      </c>
      <c r="L21" s="18">
        <f t="shared" si="3"/>
        <v>2.4435166822556836E-2</v>
      </c>
      <c r="M21" s="18">
        <f t="shared" si="4"/>
        <v>2.280286062158466E-2</v>
      </c>
      <c r="N21" s="15">
        <f t="shared" si="5"/>
        <v>1273600</v>
      </c>
      <c r="O21" s="18">
        <f t="shared" si="6"/>
        <v>6.3510305532603575E-2</v>
      </c>
      <c r="P21" s="19">
        <v>31627623</v>
      </c>
      <c r="Q21" s="19">
        <v>988363.21875</v>
      </c>
      <c r="R21" s="19">
        <v>32272.96875</v>
      </c>
      <c r="S21" s="20">
        <v>2008680</v>
      </c>
      <c r="T21" s="20">
        <v>787048</v>
      </c>
      <c r="U21" s="20">
        <v>486552</v>
      </c>
      <c r="V21" s="20">
        <v>734472</v>
      </c>
      <c r="W21" s="21">
        <v>68.791021999999998</v>
      </c>
      <c r="X21" s="21">
        <v>70.898105999999999</v>
      </c>
      <c r="Y21" s="21">
        <v>31.562602999999999</v>
      </c>
      <c r="Z21" s="21">
        <v>40.492533999999999</v>
      </c>
      <c r="AA21" s="21">
        <v>39.295644000000003</v>
      </c>
      <c r="AB21" s="22">
        <v>5683.53</v>
      </c>
      <c r="AC21" s="22">
        <v>3181.1</v>
      </c>
      <c r="AD21" s="22">
        <v>14.007</v>
      </c>
      <c r="AE21" s="22">
        <v>17.994</v>
      </c>
      <c r="AG21" s="17">
        <f t="shared" si="7"/>
        <v>3.1210749999999998</v>
      </c>
      <c r="AH21" s="18">
        <f t="shared" si="8"/>
        <v>6.2015216995730128E-2</v>
      </c>
      <c r="AI21" s="18">
        <f t="shared" si="9"/>
        <v>3.9556187153849141E-2</v>
      </c>
      <c r="AJ21" s="18">
        <f t="shared" si="10"/>
        <v>2.443549798632251E-2</v>
      </c>
      <c r="AK21" s="18">
        <f t="shared" si="11"/>
        <v>2.2455718204224338E-2</v>
      </c>
      <c r="AL21" s="15">
        <f t="shared" si="12"/>
        <v>1274090.666666667</v>
      </c>
      <c r="AM21" s="18">
        <f t="shared" si="13"/>
        <v>6.3156437649455985E-2</v>
      </c>
      <c r="AN21" s="71">
        <v>31627623</v>
      </c>
      <c r="AO21" s="71">
        <v>988363.21875</v>
      </c>
      <c r="AP21" s="71">
        <v>32272.96875</v>
      </c>
      <c r="AQ21" s="72">
        <v>1997488</v>
      </c>
      <c r="AR21" s="72">
        <v>787058.66666666698</v>
      </c>
      <c r="AS21" s="72">
        <v>487032</v>
      </c>
      <c r="AT21" s="72">
        <v>723290.66666666698</v>
      </c>
      <c r="AU21" s="73">
        <v>68.791021874999998</v>
      </c>
      <c r="AV21" s="73">
        <v>70.898106249999998</v>
      </c>
      <c r="AW21" s="73">
        <v>31.547462500000002</v>
      </c>
      <c r="AX21" s="73">
        <v>40.477543750000002</v>
      </c>
      <c r="AY21" s="73">
        <v>39.232834375000003</v>
      </c>
      <c r="AZ21" s="74"/>
      <c r="BA21" s="74"/>
      <c r="BB21" s="74"/>
      <c r="BC21" s="74"/>
      <c r="BE21" s="23">
        <f t="shared" si="14"/>
        <v>0</v>
      </c>
      <c r="BF21" s="23">
        <f t="shared" si="15"/>
        <v>3.7982378189129751E-3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-11192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5.1301500000000004</v>
      </c>
      <c r="J22" s="28">
        <f t="shared" si="1"/>
        <v>0.10193518754616436</v>
      </c>
      <c r="K22" s="28">
        <f t="shared" si="2"/>
        <v>4.6540596553646993E-2</v>
      </c>
      <c r="L22" s="28">
        <f t="shared" si="3"/>
        <v>3.1434809755575374E-2</v>
      </c>
      <c r="M22" s="28">
        <f t="shared" si="4"/>
        <v>5.5375714657874352E-2</v>
      </c>
      <c r="N22" s="25">
        <f t="shared" si="5"/>
        <v>1499056</v>
      </c>
      <c r="O22" s="28">
        <f t="shared" si="6"/>
        <v>0.10026366079919088</v>
      </c>
      <c r="P22" s="29">
        <v>32746620</v>
      </c>
      <c r="Q22" s="29">
        <v>1023331.875</v>
      </c>
      <c r="R22" s="29">
        <v>34640.1875</v>
      </c>
      <c r="S22" s="30">
        <v>3283296</v>
      </c>
      <c r="T22" s="30">
        <v>1012504</v>
      </c>
      <c r="U22" s="30">
        <v>486552</v>
      </c>
      <c r="V22" s="30">
        <v>1783632</v>
      </c>
      <c r="W22" s="31">
        <v>70.003466000000003</v>
      </c>
      <c r="X22" s="31">
        <v>72.449924999999993</v>
      </c>
      <c r="Y22" s="31">
        <v>33.580722000000002</v>
      </c>
      <c r="Z22" s="31">
        <v>41.718597000000003</v>
      </c>
      <c r="AA22" s="31">
        <v>40.583143999999997</v>
      </c>
      <c r="AB22" s="32">
        <v>4668.2700000000004</v>
      </c>
      <c r="AC22" s="32">
        <v>2622.11</v>
      </c>
      <c r="AD22" s="32">
        <v>11.252000000000001</v>
      </c>
      <c r="AE22" s="32">
        <v>13.76</v>
      </c>
      <c r="AG22" s="27">
        <f t="shared" si="7"/>
        <v>5.1036374999999996</v>
      </c>
      <c r="AH22" s="28">
        <f t="shared" si="8"/>
        <v>0.10140838878592973</v>
      </c>
      <c r="AI22" s="28">
        <f t="shared" si="9"/>
        <v>4.6555830086867776E-2</v>
      </c>
      <c r="AJ22" s="28">
        <f t="shared" si="10"/>
        <v>3.1435140919341145E-2</v>
      </c>
      <c r="AK22" s="28">
        <f t="shared" si="11"/>
        <v>5.4849247061405496E-2</v>
      </c>
      <c r="AL22" s="25">
        <f t="shared" si="12"/>
        <v>1499546.66666667</v>
      </c>
      <c r="AM22" s="28">
        <f t="shared" si="13"/>
        <v>9.9745500451649663E-2</v>
      </c>
      <c r="AN22" s="75">
        <v>32746620</v>
      </c>
      <c r="AO22" s="75">
        <v>1023331.875</v>
      </c>
      <c r="AP22" s="75">
        <v>34640.1875</v>
      </c>
      <c r="AQ22" s="76">
        <v>3266328</v>
      </c>
      <c r="AR22" s="76">
        <v>1012514.66666667</v>
      </c>
      <c r="AS22" s="76">
        <v>487032</v>
      </c>
      <c r="AT22" s="76">
        <v>1766674.66666667</v>
      </c>
      <c r="AU22" s="77">
        <v>70.003465625000004</v>
      </c>
      <c r="AV22" s="77">
        <v>72.449924999999993</v>
      </c>
      <c r="AW22" s="77">
        <v>33.569618749999997</v>
      </c>
      <c r="AX22" s="77">
        <v>41.681912500000003</v>
      </c>
      <c r="AY22" s="77">
        <v>40.571950000000001</v>
      </c>
      <c r="AZ22" s="78"/>
      <c r="BA22" s="78"/>
      <c r="BB22" s="78"/>
      <c r="BC22" s="78"/>
      <c r="BE22" s="33">
        <f t="shared" si="14"/>
        <v>0</v>
      </c>
      <c r="BF22" s="33">
        <f t="shared" si="15"/>
        <v>2.5220230217670725E-3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-16968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9.4932625000000002</v>
      </c>
      <c r="J23" s="18">
        <f t="shared" si="1"/>
        <v>0.18862947347786499</v>
      </c>
      <c r="K23" s="18">
        <f t="shared" si="2"/>
        <v>6.6069158233141551E-2</v>
      </c>
      <c r="L23" s="18">
        <f t="shared" si="3"/>
        <v>5.0963371435069925E-2</v>
      </c>
      <c r="M23" s="18">
        <f t="shared" si="4"/>
        <v>0.12254143891008044</v>
      </c>
      <c r="N23" s="15">
        <f t="shared" si="5"/>
        <v>2128064</v>
      </c>
      <c r="O23" s="18">
        <f t="shared" si="6"/>
        <v>0.18383202094654993</v>
      </c>
      <c r="P23" s="19">
        <v>33050216</v>
      </c>
      <c r="Q23" s="19">
        <v>1032819.25</v>
      </c>
      <c r="R23" s="19">
        <v>36820.71875</v>
      </c>
      <c r="S23" s="20">
        <v>6075688</v>
      </c>
      <c r="T23" s="20">
        <v>1641512</v>
      </c>
      <c r="U23" s="20">
        <v>486552</v>
      </c>
      <c r="V23" s="20">
        <v>3947016</v>
      </c>
      <c r="W23" s="21">
        <v>70.935637999999997</v>
      </c>
      <c r="X23" s="21">
        <v>73.669265999999993</v>
      </c>
      <c r="Y23" s="21">
        <v>35.489134</v>
      </c>
      <c r="Z23" s="21">
        <v>42.832922000000003</v>
      </c>
      <c r="AA23" s="21">
        <v>41.608640999999999</v>
      </c>
      <c r="AB23" s="22">
        <v>4501.97</v>
      </c>
      <c r="AC23" s="22">
        <v>2502.34</v>
      </c>
      <c r="AD23" s="22">
        <v>10.116</v>
      </c>
      <c r="AE23" s="22">
        <v>12.763</v>
      </c>
      <c r="AG23" s="17">
        <f t="shared" si="7"/>
        <v>9.4714749999999999</v>
      </c>
      <c r="AH23" s="18">
        <f t="shared" si="8"/>
        <v>0.18819655964519694</v>
      </c>
      <c r="AI23" s="18">
        <f t="shared" si="9"/>
        <v>6.6084391766362327E-2</v>
      </c>
      <c r="AJ23" s="18">
        <f t="shared" si="10"/>
        <v>5.0963702598835696E-2</v>
      </c>
      <c r="AK23" s="18">
        <f t="shared" si="11"/>
        <v>0.12210885624117813</v>
      </c>
      <c r="AL23" s="15">
        <f t="shared" si="12"/>
        <v>2128554.6666666698</v>
      </c>
      <c r="AM23" s="18">
        <f t="shared" si="13"/>
        <v>0.18341011750119879</v>
      </c>
      <c r="AN23" s="71">
        <v>33050216</v>
      </c>
      <c r="AO23" s="71">
        <v>1032819.25</v>
      </c>
      <c r="AP23" s="71">
        <v>36820.71875</v>
      </c>
      <c r="AQ23" s="72">
        <v>6061744</v>
      </c>
      <c r="AR23" s="72">
        <v>1641522.66666667</v>
      </c>
      <c r="AS23" s="72">
        <v>487032</v>
      </c>
      <c r="AT23" s="72">
        <v>3933082.6666666698</v>
      </c>
      <c r="AU23" s="73">
        <v>70.935637499999999</v>
      </c>
      <c r="AV23" s="73">
        <v>73.669268750000001</v>
      </c>
      <c r="AW23" s="73">
        <v>35.486553125</v>
      </c>
      <c r="AX23" s="73">
        <v>42.753943749999998</v>
      </c>
      <c r="AY23" s="73">
        <v>41.608881250000003</v>
      </c>
      <c r="AZ23" s="74"/>
      <c r="BA23" s="74"/>
      <c r="BB23" s="74"/>
      <c r="BC23" s="74"/>
      <c r="BE23" s="23">
        <f t="shared" si="14"/>
        <v>0</v>
      </c>
      <c r="BF23" s="23">
        <f t="shared" si="15"/>
        <v>8.8665526576586773E-4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-13944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18.411999999999999</v>
      </c>
      <c r="J24" s="48">
        <f t="shared" si="1"/>
        <v>0.3658432352075433</v>
      </c>
      <c r="K24" s="48">
        <f t="shared" si="2"/>
        <v>0.1123422572550711</v>
      </c>
      <c r="L24" s="48">
        <f t="shared" si="3"/>
        <v>8.0883852081191962E-2</v>
      </c>
      <c r="M24" s="48">
        <f t="shared" si="4"/>
        <v>0.25348210161782919</v>
      </c>
      <c r="N24" s="45">
        <f t="shared" si="5"/>
        <v>3618504</v>
      </c>
      <c r="O24" s="48">
        <f t="shared" si="6"/>
        <v>0.3741734436904004</v>
      </c>
      <c r="P24" s="49">
        <v>31492561</v>
      </c>
      <c r="Q24" s="49">
        <v>984142.53125</v>
      </c>
      <c r="R24" s="49">
        <v>17732.5</v>
      </c>
      <c r="S24" s="50">
        <v>11783680</v>
      </c>
      <c r="T24" s="50">
        <v>2605240</v>
      </c>
      <c r="U24" s="50">
        <v>1013264</v>
      </c>
      <c r="V24" s="50">
        <v>8164568</v>
      </c>
      <c r="W24" s="51">
        <v>71.941288</v>
      </c>
      <c r="X24" s="51">
        <v>75.855563000000004</v>
      </c>
      <c r="Y24" s="51">
        <v>36.958694000000001</v>
      </c>
      <c r="Z24" s="51">
        <v>43.624099999999999</v>
      </c>
      <c r="AA24" s="51">
        <v>42.268915999999997</v>
      </c>
      <c r="AB24" s="52">
        <v>4259.99</v>
      </c>
      <c r="AC24" s="52">
        <v>2848.84</v>
      </c>
      <c r="AD24" s="52">
        <v>9.7189999999999994</v>
      </c>
      <c r="AE24" s="52">
        <v>14.401999999999999</v>
      </c>
      <c r="AG24" s="47">
        <f t="shared" si="7"/>
        <v>18.404037500000001</v>
      </c>
      <c r="AH24" s="48">
        <f t="shared" si="8"/>
        <v>0.36568502171849593</v>
      </c>
      <c r="AI24" s="48">
        <f t="shared" si="9"/>
        <v>0.11235749078829187</v>
      </c>
      <c r="AJ24" s="48">
        <f t="shared" si="10"/>
        <v>8.0884183244957719E-2</v>
      </c>
      <c r="AK24" s="48">
        <f t="shared" si="11"/>
        <v>0.25332421929254756</v>
      </c>
      <c r="AL24" s="45">
        <f t="shared" si="12"/>
        <v>3618994.6666666698</v>
      </c>
      <c r="AM24" s="48">
        <f t="shared" si="13"/>
        <v>0.37401162769836344</v>
      </c>
      <c r="AN24" s="83">
        <v>31492561</v>
      </c>
      <c r="AO24" s="83">
        <v>984142.53125</v>
      </c>
      <c r="AP24" s="83">
        <v>17732.5</v>
      </c>
      <c r="AQ24" s="84">
        <v>11778584</v>
      </c>
      <c r="AR24" s="84">
        <v>2605250.6666666698</v>
      </c>
      <c r="AS24" s="84">
        <v>1013744</v>
      </c>
      <c r="AT24" s="84">
        <v>8159482.6666666698</v>
      </c>
      <c r="AU24" s="85">
        <v>71.941287500000001</v>
      </c>
      <c r="AV24" s="85">
        <v>75.855562500000005</v>
      </c>
      <c r="AW24" s="85">
        <v>36.955393749999999</v>
      </c>
      <c r="AX24" s="85">
        <v>43.62135</v>
      </c>
      <c r="AY24" s="85">
        <v>42.239159375</v>
      </c>
      <c r="AZ24" s="86"/>
      <c r="BA24" s="86"/>
      <c r="BB24" s="86"/>
      <c r="BC24" s="86"/>
      <c r="BE24" s="53">
        <f t="shared" si="14"/>
        <v>0</v>
      </c>
      <c r="BF24" s="53">
        <f t="shared" si="15"/>
        <v>1.7451452918348931E-4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-5096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2.3070900000000001</v>
      </c>
      <c r="J25" s="18">
        <f t="shared" si="1"/>
        <v>9.7220936072142952E-2</v>
      </c>
      <c r="K25" s="18">
        <f t="shared" si="2"/>
        <v>6.2317579583894188E-2</v>
      </c>
      <c r="L25" s="18">
        <f t="shared" si="3"/>
        <v>3.6406492815697342E-2</v>
      </c>
      <c r="M25" s="18">
        <f t="shared" si="4"/>
        <v>3.4879336647860609E-2</v>
      </c>
      <c r="N25" s="15">
        <f t="shared" si="5"/>
        <v>1577408</v>
      </c>
      <c r="O25" s="18">
        <f t="shared" si="6"/>
        <v>0.10581163468943489</v>
      </c>
      <c r="P25" s="19">
        <v>23257329</v>
      </c>
      <c r="Q25" s="19">
        <v>726791.53125</v>
      </c>
      <c r="R25" s="19">
        <v>18230.15625</v>
      </c>
      <c r="S25" s="20">
        <v>2460896</v>
      </c>
      <c r="T25" s="20">
        <v>921536</v>
      </c>
      <c r="U25" s="20">
        <v>655872</v>
      </c>
      <c r="V25" s="20">
        <v>882880</v>
      </c>
      <c r="W25" s="21">
        <v>66.245484000000005</v>
      </c>
      <c r="X25" s="21">
        <v>68.005644000000004</v>
      </c>
      <c r="Y25" s="21">
        <v>26.014424999999999</v>
      </c>
      <c r="Z25" s="21">
        <v>32.497411999999997</v>
      </c>
      <c r="AA25" s="21">
        <v>31.713719000000001</v>
      </c>
      <c r="AB25" s="22">
        <v>5030.8999999999996</v>
      </c>
      <c r="AC25" s="22">
        <v>4724.9399999999996</v>
      </c>
      <c r="AD25" s="22">
        <v>12.833</v>
      </c>
      <c r="AE25" s="22">
        <v>23.983000000000001</v>
      </c>
      <c r="AG25" s="17">
        <f t="shared" si="7"/>
        <v>2.3099625000000001</v>
      </c>
      <c r="AH25" s="18">
        <f t="shared" si="8"/>
        <v>9.7341983425678028E-2</v>
      </c>
      <c r="AI25" s="18">
        <f t="shared" si="9"/>
        <v>6.233696401648816E-2</v>
      </c>
      <c r="AJ25" s="18">
        <f t="shared" si="10"/>
        <v>3.640691421640592E-2</v>
      </c>
      <c r="AK25" s="18">
        <f t="shared" si="11"/>
        <v>3.5000805402104256E-2</v>
      </c>
      <c r="AL25" s="15">
        <f t="shared" si="12"/>
        <v>1577898.666666667</v>
      </c>
      <c r="AM25" s="18">
        <f t="shared" si="13"/>
        <v>0.10594337810674648</v>
      </c>
      <c r="AN25" s="71">
        <v>23257329</v>
      </c>
      <c r="AO25" s="71">
        <v>726791.53125</v>
      </c>
      <c r="AP25" s="71">
        <v>18230.15625</v>
      </c>
      <c r="AQ25" s="72">
        <v>2463960</v>
      </c>
      <c r="AR25" s="72">
        <v>921546.66666666698</v>
      </c>
      <c r="AS25" s="72">
        <v>656352</v>
      </c>
      <c r="AT25" s="72">
        <v>885954.66666666698</v>
      </c>
      <c r="AU25" s="73">
        <v>66.245484375000004</v>
      </c>
      <c r="AV25" s="73">
        <v>68.005643750000004</v>
      </c>
      <c r="AW25" s="73">
        <v>25.998818750000002</v>
      </c>
      <c r="AX25" s="73">
        <v>32.510081249999999</v>
      </c>
      <c r="AY25" s="73">
        <v>31.677084375</v>
      </c>
      <c r="AZ25" s="74"/>
      <c r="BA25" s="74"/>
      <c r="BB25" s="74"/>
      <c r="BC25" s="74"/>
      <c r="BE25" s="23">
        <f t="shared" si="14"/>
        <v>0</v>
      </c>
      <c r="BF25" s="23">
        <f t="shared" si="15"/>
        <v>-5.9794986243233428E-4</v>
      </c>
      <c r="BG25" s="23">
        <f t="array" ref="BG25">AVERAGE(AL25:AL29/AQ25:AQ29) - AVERAGE(N25:N29/S25:S29)</f>
        <v>-1.0787203139338564E-3</v>
      </c>
      <c r="BI25" s="24">
        <f>IF( OR(ISBLANK(N25:N29),ISBLANK(AL25:AL29), ISBLANK(W25:W29),ISBLANK(AU25:AU29)), "·", bdRateExtend( N25:N29,W25:W29, AL25:AL29,AU25:AU29))</f>
        <v>2.1536870900096261E-4</v>
      </c>
      <c r="BJ25" s="24">
        <f>IF( OR(ISBLANK(N25:N29),ISBLANK(AL25:AL29), ISBLANK(X25:X29),ISBLANK(AV25:AV29)), "·", bdRateExtend( N25:N29,X25:X29, AL25:AL29,AV25:AV29))</f>
        <v>2.0447939003909177E-4</v>
      </c>
      <c r="BK25" s="24">
        <f>IF( OR(ISBLANK(V25:V29),ISBLANK(AT25:AT29), ISBLANK(Y25:Y29),ISBLANK(AW25:AW29)), "·", bdRateExtend( V25:V29,Y25:Y29, AT25:AT29,AW25:AW29))</f>
        <v>6.9984271663638964E-3</v>
      </c>
      <c r="BL25" s="24">
        <f>IF( OR(ISBLANK(V25:V29),ISBLANK(AT25:AT29), ISBLANK(Z25:Z29),ISBLANK(AX25:AX29)), "·", bdRateExtend( V25:V29,Z25:Z29, AT25:AT29,AX25:AX29))</f>
        <v>6.4604680935842485E-3</v>
      </c>
      <c r="BM25" s="24">
        <f>IF( OR(ISBLANK(V25:V29),ISBLANK(AT25:AT29), ISBLANK(AA25:AA29),ISBLANK(AY25:AY29)), "·", bdRateExtend( V25:V29,AA25:AA29, AT25:AT29,AY25:AY29))</f>
        <v>1.1743145425947121E-2</v>
      </c>
      <c r="BO25" s="24">
        <f>IF( OR(ISBLANK(S25:S29),ISBLANK(AQ25:AQ29), ISBLANK(W25:W29),ISBLANK(AU25:AU29)), "·", bdRateExtend( S25:S29,W25:W29, AQ25:AQ29,AU25:AU29))</f>
        <v>3.4668140402356329E-3</v>
      </c>
      <c r="BP25" s="24">
        <f>IF( OR(ISBLANK(S25:S29),ISBLANK(AQ25:AQ29), ISBLANK(X25:X29),ISBLANK(AV25:AV29)), "·", bdRateExtend( S25:S29,X25:X29, AQ25:AQ29,AV25:AV29))</f>
        <v>3.5528811642053792E-3</v>
      </c>
      <c r="BQ25" s="24">
        <f>IF( OR(ISBLANK(S25:S29),ISBLANK(AQ25:AQ29), ISBLANK(Y25:Y29),ISBLANK(AW25:AW29)), "·", bdRateExtend( S25:S29,Y25:Y29, AQ25:AQ29,AW25:AW29))</f>
        <v>4.2512058485795201E-3</v>
      </c>
      <c r="BR25" s="24">
        <f>IF( OR(ISBLANK(S25:S29),ISBLANK(AQ25:AQ29), ISBLANK(Z25:Z29),ISBLANK(AX25:AX29)), "·", bdRateExtend( S25:S29,Z25:Z29, AQ25:AQ29,AX25:AX29))</f>
        <v>4.7244516196924824E-3</v>
      </c>
      <c r="BS25" s="24">
        <f>IF( OR(ISBLANK(S25:S29),ISBLANK(AQ25:AQ29), ISBLANK(AA25:AA29),ISBLANK(AY25:AY29)), "·", bdRateExtend( S25:S29,AA25:AA29, AQ25:AQ29,AY25:AY29))</f>
        <v>7.6046346344575966E-3</v>
      </c>
      <c r="BU25" s="4">
        <f t="shared" si="16"/>
        <v>3064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3.503835</v>
      </c>
      <c r="J26" s="28">
        <f t="shared" si="1"/>
        <v>0.14765185516921187</v>
      </c>
      <c r="K26" s="28">
        <f t="shared" si="2"/>
        <v>7.6049659123699334E-2</v>
      </c>
      <c r="L26" s="28">
        <f t="shared" si="3"/>
        <v>5.0138572355502488E-2</v>
      </c>
      <c r="M26" s="28">
        <f t="shared" si="4"/>
        <v>7.1578176205124383E-2</v>
      </c>
      <c r="N26" s="25">
        <f t="shared" si="5"/>
        <v>1925000</v>
      </c>
      <c r="O26" s="28">
        <f t="shared" si="6"/>
        <v>0.14955690240648453</v>
      </c>
      <c r="P26" s="29">
        <v>24989980</v>
      </c>
      <c r="Q26" s="29">
        <v>780936.875</v>
      </c>
      <c r="R26" s="29">
        <v>23153.53125</v>
      </c>
      <c r="S26" s="30">
        <v>3737424</v>
      </c>
      <c r="T26" s="30">
        <v>1269128</v>
      </c>
      <c r="U26" s="30">
        <v>655872</v>
      </c>
      <c r="V26" s="30">
        <v>1811816</v>
      </c>
      <c r="W26" s="31">
        <v>68.037041000000002</v>
      </c>
      <c r="X26" s="31">
        <v>70.009080999999995</v>
      </c>
      <c r="Y26" s="31">
        <v>28.056684000000001</v>
      </c>
      <c r="Z26" s="31">
        <v>33.754005999999997</v>
      </c>
      <c r="AA26" s="31">
        <v>33.161700000000003</v>
      </c>
      <c r="AB26" s="32">
        <v>3321.14</v>
      </c>
      <c r="AC26" s="32">
        <v>3285.49</v>
      </c>
      <c r="AD26" s="32">
        <v>9.0909999999999993</v>
      </c>
      <c r="AE26" s="32">
        <v>16.309000000000001</v>
      </c>
      <c r="AG26" s="27">
        <f t="shared" si="7"/>
        <v>3.5184825000000002</v>
      </c>
      <c r="AH26" s="28">
        <f t="shared" si="8"/>
        <v>0.14826910185708131</v>
      </c>
      <c r="AI26" s="28">
        <f t="shared" si="9"/>
        <v>7.6069043556293417E-2</v>
      </c>
      <c r="AJ26" s="28">
        <f t="shared" si="10"/>
        <v>5.0138993756211184E-2</v>
      </c>
      <c r="AK26" s="28">
        <f t="shared" si="11"/>
        <v>7.2195844293702516E-2</v>
      </c>
      <c r="AL26" s="25">
        <f t="shared" si="12"/>
        <v>1925490.66666667</v>
      </c>
      <c r="AM26" s="28">
        <f t="shared" si="13"/>
        <v>0.15018211299088674</v>
      </c>
      <c r="AN26" s="75">
        <v>24989980</v>
      </c>
      <c r="AO26" s="75">
        <v>780936.875</v>
      </c>
      <c r="AP26" s="75">
        <v>23153.53125</v>
      </c>
      <c r="AQ26" s="76">
        <v>3753048</v>
      </c>
      <c r="AR26" s="76">
        <v>1269138.66666667</v>
      </c>
      <c r="AS26" s="76">
        <v>656352</v>
      </c>
      <c r="AT26" s="76">
        <v>1827450.66666667</v>
      </c>
      <c r="AU26" s="77">
        <v>68.037040625000003</v>
      </c>
      <c r="AV26" s="77">
        <v>70.009081249999994</v>
      </c>
      <c r="AW26" s="77">
        <v>28.049334375000001</v>
      </c>
      <c r="AX26" s="77">
        <v>33.766318750000003</v>
      </c>
      <c r="AY26" s="77">
        <v>33.145734375000004</v>
      </c>
      <c r="AZ26" s="78"/>
      <c r="BA26" s="78"/>
      <c r="BB26" s="78"/>
      <c r="BC26" s="78"/>
      <c r="BE26" s="33">
        <f t="shared" si="14"/>
        <v>0</v>
      </c>
      <c r="BF26" s="33">
        <f t="shared" si="15"/>
        <v>-2.0134676624427028E-3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15624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5.9483775000000003</v>
      </c>
      <c r="J27" s="18">
        <f t="shared" si="1"/>
        <v>0.25066504933074718</v>
      </c>
      <c r="K27" s="18">
        <f t="shared" si="2"/>
        <v>9.5935242510313518E-2</v>
      </c>
      <c r="L27" s="18">
        <f t="shared" si="3"/>
        <v>7.0024155742116678E-2</v>
      </c>
      <c r="M27" s="18">
        <f t="shared" si="4"/>
        <v>0.15470578698004553</v>
      </c>
      <c r="N27" s="15">
        <f t="shared" si="5"/>
        <v>2428352</v>
      </c>
      <c r="O27" s="18">
        <f t="shared" si="6"/>
        <v>0.25095004038576374</v>
      </c>
      <c r="P27" s="19">
        <v>25283662</v>
      </c>
      <c r="Q27" s="19">
        <v>790114.4375</v>
      </c>
      <c r="R27" s="19">
        <v>24406.4375</v>
      </c>
      <c r="S27" s="20">
        <v>6344936</v>
      </c>
      <c r="T27" s="20">
        <v>1772480</v>
      </c>
      <c r="U27" s="20">
        <v>655872</v>
      </c>
      <c r="V27" s="20">
        <v>3915976</v>
      </c>
      <c r="W27" s="21">
        <v>69.410449999999997</v>
      </c>
      <c r="X27" s="21">
        <v>71.751655999999997</v>
      </c>
      <c r="Y27" s="21">
        <v>30.356244</v>
      </c>
      <c r="Z27" s="21">
        <v>35.031253</v>
      </c>
      <c r="AA27" s="21">
        <v>34.506405999999998</v>
      </c>
      <c r="AB27" s="22">
        <v>3333.28</v>
      </c>
      <c r="AC27" s="22">
        <v>3574.49</v>
      </c>
      <c r="AD27" s="22">
        <v>9.39</v>
      </c>
      <c r="AE27" s="22">
        <v>16.844000000000001</v>
      </c>
      <c r="AG27" s="17">
        <f t="shared" si="7"/>
        <v>5.9657099999999996</v>
      </c>
      <c r="AH27" s="18">
        <f t="shared" si="8"/>
        <v>0.25139544210886611</v>
      </c>
      <c r="AI27" s="18">
        <f t="shared" si="9"/>
        <v>9.59546269429076E-2</v>
      </c>
      <c r="AJ27" s="18">
        <f t="shared" si="10"/>
        <v>7.0024577142825367E-2</v>
      </c>
      <c r="AK27" s="18">
        <f t="shared" si="11"/>
        <v>0.15543660115887314</v>
      </c>
      <c r="AL27" s="15">
        <f t="shared" si="12"/>
        <v>2428842.6666666698</v>
      </c>
      <c r="AM27" s="18">
        <f t="shared" si="13"/>
        <v>0.25168126357645504</v>
      </c>
      <c r="AN27" s="71">
        <v>25283662</v>
      </c>
      <c r="AO27" s="71">
        <v>790114.4375</v>
      </c>
      <c r="AP27" s="71">
        <v>24406.4375</v>
      </c>
      <c r="AQ27" s="72">
        <v>6363424</v>
      </c>
      <c r="AR27" s="72">
        <v>1772490.66666667</v>
      </c>
      <c r="AS27" s="72">
        <v>656352</v>
      </c>
      <c r="AT27" s="72">
        <v>3934474.6666666698</v>
      </c>
      <c r="AU27" s="73">
        <v>69.410449999999997</v>
      </c>
      <c r="AV27" s="73">
        <v>71.751656249999996</v>
      </c>
      <c r="AW27" s="73">
        <v>30.353609375000001</v>
      </c>
      <c r="AX27" s="73">
        <v>35.027640624999997</v>
      </c>
      <c r="AY27" s="73">
        <v>34.501403125000003</v>
      </c>
      <c r="AZ27" s="74"/>
      <c r="BA27" s="74"/>
      <c r="BB27" s="74"/>
      <c r="BC27" s="74"/>
      <c r="BE27" s="23">
        <f t="shared" si="14"/>
        <v>0</v>
      </c>
      <c r="BF27" s="23">
        <f t="shared" si="15"/>
        <v>-1.0348380708590788E-3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18488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11.946194999999999</v>
      </c>
      <c r="J28" s="28">
        <f t="shared" si="1"/>
        <v>0.50341350376463589</v>
      </c>
      <c r="K28" s="28">
        <f t="shared" si="2"/>
        <v>0.13005068502372433</v>
      </c>
      <c r="L28" s="28">
        <f t="shared" si="3"/>
        <v>0.10413959825552749</v>
      </c>
      <c r="M28" s="28">
        <f t="shared" si="4"/>
        <v>0.37333879890052341</v>
      </c>
      <c r="N28" s="25">
        <f t="shared" si="5"/>
        <v>3291896</v>
      </c>
      <c r="O28" s="28">
        <f t="shared" si="6"/>
        <v>0.48447965425117834</v>
      </c>
      <c r="P28" s="29">
        <v>26301637</v>
      </c>
      <c r="Q28" s="29">
        <v>821926.15625</v>
      </c>
      <c r="R28" s="29">
        <v>28152.53125</v>
      </c>
      <c r="S28" s="30">
        <v>12742608</v>
      </c>
      <c r="T28" s="30">
        <v>2636024</v>
      </c>
      <c r="U28" s="30">
        <v>655872</v>
      </c>
      <c r="V28" s="30">
        <v>9450104</v>
      </c>
      <c r="W28" s="31">
        <v>70.434312000000006</v>
      </c>
      <c r="X28" s="31">
        <v>72.984228000000002</v>
      </c>
      <c r="Y28" s="31">
        <v>32.842013000000001</v>
      </c>
      <c r="Z28" s="31">
        <v>36.576587000000004</v>
      </c>
      <c r="AA28" s="31">
        <v>36.066780999999999</v>
      </c>
      <c r="AB28" s="32">
        <v>3428.66</v>
      </c>
      <c r="AC28" s="32">
        <v>4063.22</v>
      </c>
      <c r="AD28" s="32">
        <v>9.4930000000000003</v>
      </c>
      <c r="AE28" s="32">
        <v>18.103999999999999</v>
      </c>
      <c r="AG28" s="27">
        <f t="shared" si="7"/>
        <v>11.9898825</v>
      </c>
      <c r="AH28" s="28">
        <f t="shared" si="8"/>
        <v>0.50525449811017586</v>
      </c>
      <c r="AI28" s="28">
        <f t="shared" si="9"/>
        <v>0.13007006945631841</v>
      </c>
      <c r="AJ28" s="28">
        <f t="shared" si="10"/>
        <v>0.10414001965623618</v>
      </c>
      <c r="AK28" s="28">
        <f t="shared" si="11"/>
        <v>0.37518021464677204</v>
      </c>
      <c r="AL28" s="25">
        <f t="shared" si="12"/>
        <v>3292386.6666666698</v>
      </c>
      <c r="AM28" s="28">
        <f t="shared" si="13"/>
        <v>0.48625140708922415</v>
      </c>
      <c r="AN28" s="75">
        <v>26301637</v>
      </c>
      <c r="AO28" s="75">
        <v>821926.15625</v>
      </c>
      <c r="AP28" s="75">
        <v>28152.53125</v>
      </c>
      <c r="AQ28" s="76">
        <v>12789208</v>
      </c>
      <c r="AR28" s="76">
        <v>2636034.6666666698</v>
      </c>
      <c r="AS28" s="76">
        <v>656352</v>
      </c>
      <c r="AT28" s="76">
        <v>9496714.6666666698</v>
      </c>
      <c r="AU28" s="77">
        <v>70.434312500000004</v>
      </c>
      <c r="AV28" s="77">
        <v>72.984228125000001</v>
      </c>
      <c r="AW28" s="77">
        <v>32.844309375000002</v>
      </c>
      <c r="AX28" s="77">
        <v>36.565928124999999</v>
      </c>
      <c r="AY28" s="77">
        <v>36.060368750000002</v>
      </c>
      <c r="AZ28" s="78"/>
      <c r="BA28" s="78"/>
      <c r="BB28" s="78"/>
      <c r="BC28" s="78"/>
      <c r="BE28" s="33">
        <f t="shared" si="14"/>
        <v>0</v>
      </c>
      <c r="BF28" s="33">
        <f t="shared" si="15"/>
        <v>-9.0293863365864535E-4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46600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27.598395</v>
      </c>
      <c r="J29" s="38">
        <f t="shared" si="1"/>
        <v>1.1629983208235266</v>
      </c>
      <c r="K29" s="38">
        <f t="shared" si="2"/>
        <v>0.21359706275278117</v>
      </c>
      <c r="L29" s="38">
        <f t="shared" si="3"/>
        <v>0.16276001872283349</v>
      </c>
      <c r="M29" s="38">
        <f t="shared" si="4"/>
        <v>0.94937723823035725</v>
      </c>
      <c r="N29" s="35">
        <f t="shared" si="5"/>
        <v>5406656</v>
      </c>
      <c r="O29" s="38">
        <f t="shared" si="6"/>
        <v>1.1706547195677488</v>
      </c>
      <c r="P29" s="39">
        <v>25146858</v>
      </c>
      <c r="Q29" s="39">
        <v>785839.3125</v>
      </c>
      <c r="R29" s="39">
        <v>12625.625</v>
      </c>
      <c r="S29" s="40">
        <v>29438288</v>
      </c>
      <c r="T29" s="40">
        <v>4119848</v>
      </c>
      <c r="U29" s="40">
        <v>1286808</v>
      </c>
      <c r="V29" s="40">
        <v>24031024</v>
      </c>
      <c r="W29" s="41">
        <v>71.510181000000003</v>
      </c>
      <c r="X29" s="41">
        <v>74.895196999999996</v>
      </c>
      <c r="Y29" s="41">
        <v>35.532252999999997</v>
      </c>
      <c r="Z29" s="41">
        <v>38.584499999999998</v>
      </c>
      <c r="AA29" s="41">
        <v>38.022281</v>
      </c>
      <c r="AB29" s="42">
        <v>3548.6</v>
      </c>
      <c r="AC29" s="42">
        <v>4902.8500000000004</v>
      </c>
      <c r="AD29" s="42">
        <v>9.8650000000000002</v>
      </c>
      <c r="AE29" s="42">
        <v>22.181000000000001</v>
      </c>
      <c r="AG29" s="37">
        <f t="shared" si="7"/>
        <v>27.728384999999999</v>
      </c>
      <c r="AH29" s="38">
        <f t="shared" si="8"/>
        <v>1.1684761086341529</v>
      </c>
      <c r="AI29" s="38">
        <f t="shared" si="9"/>
        <v>0.21361644718537523</v>
      </c>
      <c r="AJ29" s="38">
        <f t="shared" si="10"/>
        <v>0.16276044012354215</v>
      </c>
      <c r="AK29" s="38">
        <f t="shared" si="11"/>
        <v>0.95485544744169348</v>
      </c>
      <c r="AL29" s="35">
        <f t="shared" si="12"/>
        <v>5407146.6666666698</v>
      </c>
      <c r="AM29" s="38">
        <f t="shared" si="13"/>
        <v>1.1761685694491137</v>
      </c>
      <c r="AN29" s="79">
        <v>25146858</v>
      </c>
      <c r="AO29" s="79">
        <v>785839.3125</v>
      </c>
      <c r="AP29" s="79">
        <v>12625.625</v>
      </c>
      <c r="AQ29" s="80">
        <v>29576944</v>
      </c>
      <c r="AR29" s="80">
        <v>4119858.6666666698</v>
      </c>
      <c r="AS29" s="80">
        <v>1287288</v>
      </c>
      <c r="AT29" s="80">
        <v>24169690.666666701</v>
      </c>
      <c r="AU29" s="81">
        <v>71.510181250000002</v>
      </c>
      <c r="AV29" s="81">
        <v>74.895196874999996</v>
      </c>
      <c r="AW29" s="81">
        <v>35.528799999999997</v>
      </c>
      <c r="AX29" s="81">
        <v>38.574312499999998</v>
      </c>
      <c r="AY29" s="81">
        <v>38.012787500000002</v>
      </c>
      <c r="AZ29" s="82"/>
      <c r="BA29" s="82"/>
      <c r="BB29" s="82"/>
      <c r="BC29" s="82"/>
      <c r="BE29" s="43">
        <f t="shared" si="14"/>
        <v>0</v>
      </c>
      <c r="BF29" s="43">
        <f t="shared" si="15"/>
        <v>-8.4440734027643738E-4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138656</v>
      </c>
    </row>
    <row r="30" spans="1:73" x14ac:dyDescent="0.3">
      <c r="B30" s="55" t="s">
        <v>288</v>
      </c>
      <c r="J30" s="56">
        <f>AVERAGE(J5:J24)</f>
        <v>0.18674584002380371</v>
      </c>
      <c r="K30" s="56">
        <f>AVERAGE(K5:K24)</f>
        <v>9.1069381956407777E-2</v>
      </c>
      <c r="L30" s="56">
        <f>AVERAGE(L5:L24)</f>
        <v>6.3706718184362798E-2</v>
      </c>
      <c r="M30" s="56">
        <f>AVERAGE(M5:M24)</f>
        <v>9.5654463427630385E-2</v>
      </c>
      <c r="AH30" s="56">
        <f>AVERAGE(AH5:AH24)</f>
        <v>0.18687710421214193</v>
      </c>
      <c r="AI30" s="56">
        <f>AVERAGE(AI5:AI24)</f>
        <v>9.1087132016569511E-2</v>
      </c>
      <c r="AJ30" s="56">
        <f>AVERAGE(AJ5:AJ24)</f>
        <v>6.3707104055235969E-2</v>
      </c>
      <c r="AK30" s="56">
        <f>AVERAGE(AK5:AK24)</f>
        <v>9.5786113486841823E-2</v>
      </c>
      <c r="BG30" s="8">
        <f>AVERAGE(BG5:BG24)</f>
        <v>1.1858757278428167E-3</v>
      </c>
      <c r="BI30" s="5">
        <f>AVERAGE(BI5:BI24)</f>
        <v>2.6196166979353119E-4</v>
      </c>
      <c r="BJ30" s="5">
        <f>AVERAGE(BJ5:BJ24)</f>
        <v>2.4839124660758216E-4</v>
      </c>
      <c r="BK30" s="5">
        <f>AVERAGE(BK5:BK24)</f>
        <v>-2.3347640603398057E-3</v>
      </c>
      <c r="BL30" s="5">
        <f>AVERAGE(BL5:BL24)</f>
        <v>1.6416724814550809E-2</v>
      </c>
      <c r="BM30" s="5">
        <f>AVERAGE(BM5:BM24)</f>
        <v>3.7076932984540789E-3</v>
      </c>
      <c r="BO30" s="5">
        <f>AVERAGE(BO5:BO24)</f>
        <v>-1.90464439071103E-3</v>
      </c>
      <c r="BP30" s="5">
        <f>AVERAGE(BP5:BP24)</f>
        <v>-1.4283347144256053E-3</v>
      </c>
      <c r="BQ30" s="5">
        <f>AVERAGE(BQ5:BQ24)</f>
        <v>1.8191346063345382E-4</v>
      </c>
      <c r="BR30" s="5">
        <f>AVERAGE(BR5:BR24)</f>
        <v>1.2968218758165173E-2</v>
      </c>
      <c r="BS30" s="5">
        <f>AVERAGE(BS5:BS24)</f>
        <v>4.02785975859693E-3</v>
      </c>
    </row>
    <row r="31" spans="1:73" x14ac:dyDescent="0.3">
      <c r="B31" s="55" t="s">
        <v>289</v>
      </c>
      <c r="J31" s="56">
        <f>AVERAGE(J25:J29)</f>
        <v>0.43238993303205292</v>
      </c>
      <c r="K31" s="56">
        <f>AVERAGE(K25:K29)</f>
        <v>0.1155900457988825</v>
      </c>
      <c r="L31" s="56">
        <f>AVERAGE(L25:L29)</f>
        <v>8.4693767578335508E-2</v>
      </c>
      <c r="M31" s="56">
        <f>AVERAGE(M25:M29)</f>
        <v>0.31677586739278218</v>
      </c>
      <c r="AH31" s="56">
        <f>AVERAGE(AH25:AH29)</f>
        <v>0.43414742682719087</v>
      </c>
      <c r="AI31" s="56">
        <f>AVERAGE(AI25:AI29)</f>
        <v>0.11560943023147656</v>
      </c>
      <c r="AJ31" s="56">
        <f>AVERAGE(AJ25:AJ29)</f>
        <v>8.4694188979044169E-2</v>
      </c>
      <c r="AK31" s="56">
        <f>AVERAGE(AK25:AK29)</f>
        <v>0.31853378258862908</v>
      </c>
      <c r="BG31" s="8">
        <f>AVERAGE(BG25:BG29)</f>
        <v>-1.0787203139338564E-3</v>
      </c>
      <c r="BI31" s="5">
        <f>AVERAGE(BI25:BI29)</f>
        <v>2.1536870900096261E-4</v>
      </c>
      <c r="BJ31" s="5">
        <f>AVERAGE(BJ25:BJ29)</f>
        <v>2.0447939003909177E-4</v>
      </c>
      <c r="BK31" s="5">
        <f>AVERAGE(BK25:BK29)</f>
        <v>6.9984271663638964E-3</v>
      </c>
      <c r="BL31" s="5">
        <f>AVERAGE(BL25:BL29)</f>
        <v>6.4604680935842485E-3</v>
      </c>
      <c r="BM31" s="5">
        <f>AVERAGE(BM25:BM29)</f>
        <v>1.1743145425947121E-2</v>
      </c>
      <c r="BO31" s="5">
        <f>AVERAGE(BO25:BO29)</f>
        <v>3.4668140402356329E-3</v>
      </c>
      <c r="BP31" s="5">
        <f>AVERAGE(BP25:BP29)</f>
        <v>3.5528811642053792E-3</v>
      </c>
      <c r="BQ31" s="5">
        <f>AVERAGE(BQ25:BQ29)</f>
        <v>4.2512058485795201E-3</v>
      </c>
      <c r="BR31" s="5">
        <f>AVERAGE(BR25:BR29)</f>
        <v>4.7244516196924824E-3</v>
      </c>
      <c r="BS31" s="5">
        <f>AVERAGE(BS25:BS29)</f>
        <v>7.6046346344575966E-3</v>
      </c>
    </row>
    <row r="32" spans="1:73" collapsed="1" x14ac:dyDescent="0.3">
      <c r="B32" s="55" t="s">
        <v>290</v>
      </c>
      <c r="J32" s="56">
        <f>AVERAGE(J5:J29)</f>
        <v>0.23587465862545354</v>
      </c>
      <c r="K32" s="56">
        <f>AVERAGE(K5:K29)</f>
        <v>9.5973514724902731E-2</v>
      </c>
      <c r="L32" s="56">
        <f>AVERAGE(L5:L29)</f>
        <v>6.7904128063157335E-2</v>
      </c>
      <c r="M32" s="56">
        <f>AVERAGE(M5:M29)</f>
        <v>0.13987874422066077</v>
      </c>
      <c r="AH32" s="56">
        <f>AVERAGE(AH5:AH29)</f>
        <v>0.2363311687351517</v>
      </c>
      <c r="AI32" s="56">
        <f>AVERAGE(AI5:AI29)</f>
        <v>9.5991591659550915E-2</v>
      </c>
      <c r="AJ32" s="56">
        <f>AVERAGE(AJ5:AJ29)</f>
        <v>6.7904521039997598E-2</v>
      </c>
      <c r="AK32" s="56">
        <f>AVERAGE(AK5:AK29)</f>
        <v>0.1403356473071993</v>
      </c>
      <c r="BG32" s="8">
        <f>AVERAGE(BG5:BG29)</f>
        <v>7.329565194874821E-4</v>
      </c>
      <c r="BI32" s="5">
        <f>AVERAGE(BI5:BI29)</f>
        <v>2.5264307763501749E-4</v>
      </c>
      <c r="BJ32" s="5">
        <f>AVERAGE(BJ5:BJ29)</f>
        <v>2.3960887529388407E-4</v>
      </c>
      <c r="BK32" s="5">
        <f>AVERAGE(BK5:BK29)</f>
        <v>-4.6812581499906526E-4</v>
      </c>
      <c r="BL32" s="5">
        <f>AVERAGE(BL5:BL29)</f>
        <v>1.4425473470357497E-2</v>
      </c>
      <c r="BM32" s="5">
        <f>AVERAGE(BM5:BM29)</f>
        <v>5.3147837239526877E-3</v>
      </c>
      <c r="BO32" s="5">
        <f>AVERAGE(BO5:BO29)</f>
        <v>-8.303527045216974E-4</v>
      </c>
      <c r="BP32" s="5">
        <f>AVERAGE(BP5:BP29)</f>
        <v>-4.3209153869940844E-4</v>
      </c>
      <c r="BQ32" s="5">
        <f>AVERAGE(BQ5:BQ29)</f>
        <v>9.9577193822266699E-4</v>
      </c>
      <c r="BR32" s="5">
        <f>AVERAGE(BR5:BR29)</f>
        <v>1.1319465330470634E-2</v>
      </c>
      <c r="BS32" s="5">
        <f>AVERAGE(BS5:BS29)</f>
        <v>4.7432147337690637E-3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104912.5</v>
      </c>
      <c r="AC33" s="57">
        <f>SUM(AC5:AC24,AC25:AC29)</f>
        <v>87493.840000000011</v>
      </c>
      <c r="AD33" s="57">
        <f>SUM(AD5:AD24,AD25:AD29)</f>
        <v>272.03100000000006</v>
      </c>
      <c r="AE33" s="57">
        <f>SUM(AE5:AE24,AE25:AE29)</f>
        <v>438.49099999999993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>
        <f>AZ33/AB33</f>
        <v>0</v>
      </c>
      <c r="BA34" s="8">
        <f>BA33/AC33</f>
        <v>0</v>
      </c>
      <c r="BB34" s="8">
        <f>BB33/AD33</f>
        <v>0</v>
      </c>
      <c r="BC34" s="8">
        <f>BC33/AE33</f>
        <v>0</v>
      </c>
    </row>
    <row r="35" spans="1:55" hidden="1" outlineLevel="2" x14ac:dyDescent="0.3">
      <c r="B35" s="55" t="s">
        <v>294</v>
      </c>
      <c r="AB35" s="57">
        <f>GEOMEAN(AB5:AB24,AB25:AB29)</f>
        <v>4138.4258342621752</v>
      </c>
      <c r="AC35" s="57">
        <f>GEOMEAN(AC5:AC24,AC25:AC29)</f>
        <v>3374.3053482218816</v>
      </c>
      <c r="AD35" s="57">
        <f>GEOMEAN(AD5:AD24,AD25:AD29)</f>
        <v>10.744178587138045</v>
      </c>
      <c r="AE35" s="57">
        <f>GEOMEAN(AE5:AE24,AE25:AE29)</f>
        <v>17.034427888953207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Esmaeil Faramarzi</cp:lastModifiedBy>
  <dcterms:created xsi:type="dcterms:W3CDTF">2018-08-31T19:13:00Z</dcterms:created>
  <dcterms:modified xsi:type="dcterms:W3CDTF">2019-04-25T16:33:25Z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